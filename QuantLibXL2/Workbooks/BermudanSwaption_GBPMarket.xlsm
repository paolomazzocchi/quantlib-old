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" sheetId="2" r:id="rId2"/>
  </sheets>
  <functionGroups builtInGroupCount="17"/>
  <definedNames>
    <definedName name="Calendar">NPV!$D$8</definedName>
    <definedName name="currency">NPV!$D$6</definedName>
    <definedName name="Discounting">NPV!$D$13</definedName>
    <definedName name="EvaluationDate">NPV!$D$5</definedName>
    <definedName name="familyName">NPV!$D$7</definedName>
    <definedName name="fixedLefFrequency">NPV!$D$22</definedName>
    <definedName name="fixedLegConvention">NPV!$D$23</definedName>
    <definedName name="fixedLegDayCounter">NPV!$D$24</definedName>
    <definedName name="floatingLegConvention">NPV!$G$23</definedName>
    <definedName name="floatingLegDayCounter">NPV!$G$25</definedName>
    <definedName name="floatingLegFrequency">NPV!$G$22</definedName>
    <definedName name="floatingLegIndex">NPV!$G$24</definedName>
    <definedName name="SettlementDate">NPV!$D$10</definedName>
    <definedName name="swapMaturityDate">NPV!$D$18</definedName>
    <definedName name="swapStartDate">NPV!$D$17</definedName>
    <definedName name="trigger">NPV!$D$2</definedName>
    <definedName name="type">NPV!$D$19</definedName>
  </definedNames>
  <calcPr calcId="145621"/>
</workbook>
</file>

<file path=xl/calcChain.xml><?xml version="1.0" encoding="utf-8"?>
<calcChain xmlns="http://schemas.openxmlformats.org/spreadsheetml/2006/main">
  <c r="D33" i="2" l="1"/>
  <c r="D32" i="2"/>
  <c r="D31" i="2"/>
  <c r="D30" i="2"/>
  <c r="D29" i="2"/>
  <c r="D28" i="2"/>
  <c r="I28" i="2" s="1"/>
  <c r="D27" i="2"/>
  <c r="I27" i="2" s="1"/>
  <c r="D26" i="2"/>
  <c r="I26" i="2" s="1"/>
  <c r="D25" i="2"/>
  <c r="D24" i="2"/>
  <c r="D23" i="2"/>
  <c r="I25" i="2"/>
  <c r="I24" i="2"/>
  <c r="I23" i="2"/>
  <c r="I33" i="2"/>
  <c r="I32" i="2"/>
  <c r="I31" i="2"/>
  <c r="I30" i="2"/>
  <c r="I29" i="2"/>
  <c r="F28" i="2"/>
  <c r="G28" i="2"/>
  <c r="F29" i="2"/>
  <c r="G29" i="2"/>
  <c r="F30" i="2"/>
  <c r="G30" i="2"/>
  <c r="F31" i="2"/>
  <c r="G31" i="2"/>
  <c r="F32" i="2"/>
  <c r="G32" i="2"/>
  <c r="F33" i="2"/>
  <c r="G33" i="2"/>
  <c r="G24" i="2"/>
  <c r="G25" i="2"/>
  <c r="G26" i="2"/>
  <c r="G27" i="2"/>
  <c r="G23" i="2"/>
  <c r="F24" i="2"/>
  <c r="F25" i="2"/>
  <c r="F26" i="2"/>
  <c r="F27" i="2"/>
  <c r="F23" i="2"/>
  <c r="G24" i="1"/>
  <c r="D13" i="1"/>
  <c r="D12" i="1"/>
  <c r="G25" i="1"/>
  <c r="E31" i="2"/>
  <c r="C3" i="2"/>
  <c r="E30" i="2"/>
  <c r="C2" i="2"/>
  <c r="J28" i="2" s="1"/>
  <c r="J29" i="2"/>
  <c r="E29" i="2"/>
  <c r="J31" i="2"/>
  <c r="E28" i="2"/>
  <c r="D5" i="1"/>
  <c r="J30" i="2"/>
  <c r="J32" i="2"/>
  <c r="E33" i="2"/>
  <c r="E27" i="2"/>
  <c r="D3" i="1"/>
  <c r="J23" i="2"/>
  <c r="J33" i="2"/>
  <c r="E25" i="2"/>
  <c r="E26" i="2"/>
  <c r="J26" i="2"/>
  <c r="J24" i="2"/>
  <c r="E32" i="2"/>
  <c r="E23" i="2"/>
  <c r="J25" i="2"/>
  <c r="E24" i="2"/>
  <c r="C4" i="2"/>
  <c r="J27" i="2"/>
  <c r="H30" i="1" l="1"/>
  <c r="H25" i="2"/>
  <c r="H28" i="2"/>
  <c r="H24" i="2"/>
  <c r="K25" i="2"/>
  <c r="H29" i="2"/>
  <c r="H23" i="2"/>
  <c r="K23" i="2" s="1"/>
  <c r="H27" i="2"/>
  <c r="K27" i="2" s="1"/>
  <c r="K29" i="2"/>
  <c r="H32" i="2"/>
  <c r="H33" i="2"/>
  <c r="K33" i="2" s="1"/>
  <c r="K28" i="2"/>
  <c r="K24" i="2"/>
  <c r="K32" i="2"/>
  <c r="H30" i="2"/>
  <c r="K30" i="2"/>
  <c r="H31" i="2"/>
  <c r="K31" i="2" s="1"/>
  <c r="H26" i="2"/>
  <c r="K26" i="2" s="1"/>
  <c r="D10" i="1"/>
  <c r="H31" i="1" l="1"/>
  <c r="L28" i="2"/>
  <c r="L31" i="2"/>
  <c r="L32" i="2"/>
  <c r="L30" i="2"/>
  <c r="L29" i="2"/>
  <c r="D17" i="1"/>
  <c r="M28" i="2"/>
  <c r="M31" i="2"/>
  <c r="M32" i="2"/>
  <c r="M30" i="2"/>
  <c r="M29" i="2"/>
  <c r="C5" i="2"/>
  <c r="L24" i="2"/>
  <c r="D18" i="1"/>
  <c r="G26" i="1" s="1"/>
  <c r="D26" i="1"/>
  <c r="L25" i="2"/>
  <c r="L26" i="2"/>
  <c r="L27" i="2"/>
  <c r="L23" i="2"/>
  <c r="D42" i="1"/>
  <c r="L33" i="2" l="1"/>
  <c r="N30" i="2"/>
  <c r="N29" i="2"/>
  <c r="N31" i="2"/>
  <c r="N32" i="2"/>
  <c r="N28" i="2"/>
  <c r="M23" i="2"/>
  <c r="M27" i="2"/>
  <c r="M26" i="2"/>
  <c r="M25" i="2"/>
  <c r="D28" i="1"/>
  <c r="M24" i="2"/>
  <c r="M33" i="2"/>
  <c r="G39" i="1" a="1"/>
  <c r="D29" i="1"/>
  <c r="G39" i="1" l="1"/>
  <c r="G40" i="1"/>
  <c r="G41" i="1"/>
  <c r="G42" i="1"/>
  <c r="G43" i="1"/>
  <c r="G44" i="1"/>
  <c r="N33" i="2"/>
  <c r="N24" i="2"/>
  <c r="N25" i="2"/>
  <c r="N26" i="2"/>
  <c r="N27" i="2"/>
  <c r="N23" i="2"/>
  <c r="D30" i="1"/>
  <c r="D40" i="1"/>
  <c r="D32" i="1" l="1"/>
  <c r="G32" i="1"/>
  <c r="D41" i="1"/>
  <c r="D43" i="1" s="1"/>
  <c r="D44" i="1" s="1"/>
  <c r="H33" i="1"/>
  <c r="D33" i="1" l="1"/>
  <c r="G33" i="1"/>
  <c r="H34" i="1" s="1"/>
  <c r="D34" i="1" l="1"/>
  <c r="G34" i="1"/>
</calcChain>
</file>

<file path=xl/sharedStrings.xml><?xml version="1.0" encoding="utf-8"?>
<sst xmlns="http://schemas.openxmlformats.org/spreadsheetml/2006/main" count="93" uniqueCount="80">
  <si>
    <t>calendar</t>
  </si>
  <si>
    <t>settlement date</t>
  </si>
  <si>
    <t>fixedLegFrequency</t>
  </si>
  <si>
    <t>fixedLegConvention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</si>
  <si>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</si>
  <si>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</si>
  <si>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</si>
  <si>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</si>
  <si>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</si>
  <si>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</si>
  <si>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</si>
  <si>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</si>
  <si>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Modified Following</t>
  </si>
  <si>
    <t>fixedSchedule</t>
  </si>
  <si>
    <t>floatSchedule</t>
  </si>
  <si>
    <t>swap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</si>
  <si>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</si>
  <si>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</si>
  <si>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</si>
  <si>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</si>
  <si>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</si>
  <si>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</si>
  <si>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</si>
  <si>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</si>
  <si>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ql version</t>
  </si>
  <si>
    <t>swaptions</t>
  </si>
  <si>
    <t>modelHW</t>
  </si>
  <si>
    <t>om</t>
  </si>
  <si>
    <t>EndCriteria</t>
  </si>
  <si>
    <t>calibrate</t>
  </si>
  <si>
    <t>npv</t>
  </si>
  <si>
    <t>swaption</t>
  </si>
  <si>
    <t>maturities</t>
  </si>
  <si>
    <t>period</t>
  </si>
  <si>
    <t>implied</t>
  </si>
  <si>
    <t>engines</t>
  </si>
  <si>
    <t>bermudanExercise</t>
  </si>
  <si>
    <t>engine</t>
  </si>
  <si>
    <t>set pricing engine</t>
  </si>
  <si>
    <t>NPV</t>
  </si>
  <si>
    <t>UnitedKingdom::Exchange</t>
  </si>
  <si>
    <t>trigger</t>
  </si>
  <si>
    <t>Forwarding TermStructure</t>
  </si>
  <si>
    <t>Discounting TermStructure</t>
  </si>
  <si>
    <t>Evaluation date (according to GBP market)</t>
  </si>
  <si>
    <t>GBP Fixing Days</t>
  </si>
  <si>
    <t>Maturity Date</t>
  </si>
  <si>
    <t>Start Date</t>
  </si>
  <si>
    <t>Currency</t>
  </si>
  <si>
    <t>GBP</t>
  </si>
  <si>
    <t>Actual/365 (fixed)</t>
  </si>
  <si>
    <t>Family Name</t>
  </si>
  <si>
    <t>LIBOR</t>
  </si>
  <si>
    <t>floatingLegDayCounter</t>
  </si>
  <si>
    <t>fixed leg</t>
  </si>
  <si>
    <t>floating leg</t>
  </si>
  <si>
    <t xml:space="preserve">Vanilla Swap </t>
  </si>
  <si>
    <t>Swaption</t>
  </si>
  <si>
    <t>Accrual Start Dates</t>
  </si>
  <si>
    <t>set engine</t>
  </si>
  <si>
    <t>Selected vol</t>
  </si>
  <si>
    <t>Simple Quote</t>
  </si>
  <si>
    <t>Swap Tenor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</si>
  <si>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</si>
  <si>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</si>
  <si>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</si>
  <si>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</si>
  <si>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</si>
  <si>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</si>
  <si>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</si>
  <si>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</si>
  <si>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</si>
  <si>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</si>
  <si>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</si>
  <si>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Option Expiry</t>
  </si>
  <si>
    <t>Selection</t>
  </si>
  <si>
    <t>% diff</t>
  </si>
  <si>
    <t>Tenor</t>
  </si>
  <si>
    <t>Expiry</t>
  </si>
  <si>
    <t>Instrument Selection (one for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</si>
</sst>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dd\-mmm\-yyyy"/>
    <numFmt numFmtId="166" formatCode="_(* #,##0.0000_);_(* \(#,##0.0000\);_(* &quot;-&quot;??_);_(@_)"/>
    <numFmt numFmtId="167" formatCode="[$-F800]dddd\,\ mmmm\ dd\,\ yyyy"/>
    <numFmt numFmtId="168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6">
    <xf numFmtId="0" fontId="0" fillId="0" borderId="0" xfId="0"/>
    <xf numFmtId="0" fontId="2" fillId="3" borderId="1" xfId="0" applyFont="1" applyFill="1" applyBorder="1"/>
    <xf numFmtId="0" fontId="2" fillId="2" borderId="1" xfId="0" applyFont="1" applyFill="1" applyBorder="1"/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2" fillId="3" borderId="1" xfId="0" applyFont="1" applyFill="1" applyBorder="1" applyAlignment="1">
      <alignment horizontal="center" wrapText="1"/>
    </xf>
    <xf numFmtId="165" fontId="2" fillId="0" borderId="1" xfId="0" applyNumberFormat="1" applyFont="1" applyBorder="1" applyAlignment="1">
      <alignment horizontal="center" vertical="center"/>
    </xf>
    <xf numFmtId="167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Continuous" vertical="center"/>
    </xf>
    <xf numFmtId="0" fontId="2" fillId="3" borderId="3" xfId="0" applyFont="1" applyFill="1" applyBorder="1" applyAlignment="1">
      <alignment horizontal="centerContinuous" vertical="center"/>
    </xf>
    <xf numFmtId="0" fontId="2" fillId="3" borderId="2" xfId="0" applyFont="1" applyFill="1" applyBorder="1" applyAlignment="1">
      <alignment horizontal="centerContinuous" vertical="center" wrapText="1"/>
    </xf>
    <xf numFmtId="0" fontId="2" fillId="3" borderId="3" xfId="0" applyFont="1" applyFill="1" applyBorder="1" applyAlignment="1">
      <alignment horizontal="centerContinuous" vertical="center" wrapText="1"/>
    </xf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3" borderId="12" xfId="0" applyFont="1" applyFill="1" applyBorder="1" applyAlignment="1">
      <alignment horizontal="centerContinuous" vertical="center"/>
    </xf>
    <xf numFmtId="0" fontId="2" fillId="5" borderId="0" xfId="0" applyFont="1" applyFill="1"/>
    <xf numFmtId="0" fontId="2" fillId="5" borderId="0" xfId="0" applyFont="1" applyFill="1" applyAlignment="1">
      <alignment horizontal="right"/>
    </xf>
    <xf numFmtId="168" fontId="2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2" fillId="4" borderId="4" xfId="0" applyFont="1" applyFill="1" applyBorder="1"/>
    <xf numFmtId="0" fontId="2" fillId="4" borderId="5" xfId="0" applyFont="1" applyFill="1" applyBorder="1" applyAlignment="1">
      <alignment horizontal="right"/>
    </xf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165" fontId="2" fillId="4" borderId="13" xfId="0" applyNumberFormat="1" applyFont="1" applyFill="1" applyBorder="1"/>
    <xf numFmtId="165" fontId="2" fillId="4" borderId="14" xfId="0" applyNumberFormat="1" applyFont="1" applyFill="1" applyBorder="1"/>
    <xf numFmtId="0" fontId="3" fillId="5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5" borderId="0" xfId="0" applyFont="1" applyFill="1"/>
    <xf numFmtId="10" fontId="2" fillId="0" borderId="1" xfId="0" applyNumberFormat="1" applyFont="1" applyBorder="1"/>
    <xf numFmtId="166" fontId="2" fillId="0" borderId="1" xfId="1" applyNumberFormat="1" applyFont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Continuous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47"/>
  <sheetViews>
    <sheetView showGridLines="0" tabSelected="1" workbookViewId="0">
      <selection activeCell="D2" sqref="D2"/>
    </sheetView>
  </sheetViews>
  <sheetFormatPr defaultRowHeight="12.75" x14ac:dyDescent="0.2"/>
  <cols>
    <col min="1" max="2" width="2.7109375" style="23" customWidth="1"/>
    <col min="3" max="3" width="24.5703125" style="24" customWidth="1"/>
    <col min="4" max="4" width="21.5703125" style="23" bestFit="1" customWidth="1"/>
    <col min="5" max="5" width="2.7109375" style="23" customWidth="1"/>
    <col min="6" max="6" width="18.7109375" style="23" bestFit="1" customWidth="1"/>
    <col min="7" max="7" width="16.42578125" style="23" bestFit="1" customWidth="1"/>
    <col min="8" max="8" width="2.7109375" style="23" customWidth="1"/>
    <col min="9" max="16384" width="9.140625" style="23"/>
  </cols>
  <sheetData>
    <row r="1" spans="2:8" x14ac:dyDescent="0.2">
      <c r="C1" s="23"/>
    </row>
    <row r="2" spans="2:8" x14ac:dyDescent="0.2">
      <c r="C2" s="7" t="s">
        <v>41</v>
      </c>
      <c r="D2" s="2"/>
    </row>
    <row r="3" spans="2:8" x14ac:dyDescent="0.2">
      <c r="C3" s="7" t="s">
        <v>24</v>
      </c>
      <c r="D3" s="6" t="str">
        <f>_xll.qlVersion(trigger)</f>
        <v>1.7</v>
      </c>
    </row>
    <row r="5" spans="2:8" ht="26.25" customHeight="1" x14ac:dyDescent="0.2">
      <c r="C5" s="9" t="s">
        <v>44</v>
      </c>
      <c r="D5" s="11">
        <f>_xll.qlSettingsEvaluationDate(trigger)</f>
        <v>42180</v>
      </c>
    </row>
    <row r="6" spans="2:8" x14ac:dyDescent="0.2">
      <c r="C6" s="7" t="s">
        <v>48</v>
      </c>
      <c r="D6" s="12" t="s">
        <v>49</v>
      </c>
    </row>
    <row r="7" spans="2:8" x14ac:dyDescent="0.2">
      <c r="C7" s="7" t="s">
        <v>51</v>
      </c>
      <c r="D7" s="12" t="s">
        <v>52</v>
      </c>
    </row>
    <row r="8" spans="2:8" x14ac:dyDescent="0.2">
      <c r="C8" s="7" t="s">
        <v>0</v>
      </c>
      <c r="D8" s="5" t="s">
        <v>40</v>
      </c>
    </row>
    <row r="9" spans="2:8" x14ac:dyDescent="0.2">
      <c r="C9" s="7" t="s">
        <v>45</v>
      </c>
      <c r="D9" s="12">
        <v>0</v>
      </c>
    </row>
    <row r="10" spans="2:8" x14ac:dyDescent="0.2">
      <c r="C10" s="7" t="s">
        <v>1</v>
      </c>
      <c r="D10" s="11">
        <f>_xll.qlCalendarAdvance(trigger,Calendar,EvaluationDate,D9&amp;"D","following",FALSE)</f>
        <v>42180</v>
      </c>
    </row>
    <row r="12" spans="2:8" x14ac:dyDescent="0.2">
      <c r="C12" s="7" t="s">
        <v>42</v>
      </c>
      <c r="D12" s="6" t="str">
        <f>currency&amp;"6M"</f>
        <v>GBP6M</v>
      </c>
    </row>
    <row r="13" spans="2:8" x14ac:dyDescent="0.2">
      <c r="C13" s="7" t="s">
        <v>43</v>
      </c>
      <c r="D13" s="6" t="str">
        <f>currency&amp;"ON"</f>
        <v>GBPON</v>
      </c>
    </row>
    <row r="15" spans="2:8" x14ac:dyDescent="0.2">
      <c r="B15" s="13" t="s">
        <v>56</v>
      </c>
      <c r="C15" s="22"/>
      <c r="D15" s="22"/>
      <c r="E15" s="22"/>
      <c r="F15" s="22"/>
      <c r="G15" s="22"/>
      <c r="H15" s="14"/>
    </row>
    <row r="16" spans="2:8" x14ac:dyDescent="0.2">
      <c r="B16" s="17"/>
      <c r="C16" s="3"/>
      <c r="D16" s="3"/>
      <c r="E16" s="4"/>
      <c r="F16" s="4"/>
      <c r="G16" s="4"/>
      <c r="H16" s="18"/>
    </row>
    <row r="17" spans="2:8" x14ac:dyDescent="0.2">
      <c r="B17" s="17"/>
      <c r="C17" s="7" t="s">
        <v>47</v>
      </c>
      <c r="D17" s="10">
        <f>_xll.qlCalendarAdvance(trigger,Calendar,SettlementDate,"1Y",floatingLegConvention)</f>
        <v>42548</v>
      </c>
      <c r="E17" s="4"/>
      <c r="F17" s="4"/>
      <c r="G17" s="4"/>
      <c r="H17" s="18"/>
    </row>
    <row r="18" spans="2:8" x14ac:dyDescent="0.2">
      <c r="B18" s="17"/>
      <c r="C18" s="7" t="s">
        <v>46</v>
      </c>
      <c r="D18" s="10">
        <f>_xll.qlCalendarAdvance(,Calendar,D17,"5Y",floatingLegConvention)</f>
        <v>44375</v>
      </c>
      <c r="E18" s="4"/>
      <c r="F18" s="4"/>
      <c r="G18" s="4"/>
      <c r="H18" s="18"/>
    </row>
    <row r="19" spans="2:8" x14ac:dyDescent="0.2">
      <c r="B19" s="17"/>
      <c r="C19" s="7" t="s">
        <v>8</v>
      </c>
      <c r="D19" s="12" t="s">
        <v>9</v>
      </c>
      <c r="E19" s="4"/>
      <c r="F19" s="4"/>
      <c r="G19" s="4"/>
      <c r="H19" s="18"/>
    </row>
    <row r="20" spans="2:8" x14ac:dyDescent="0.2">
      <c r="B20" s="17"/>
      <c r="C20" s="8"/>
      <c r="D20" s="4"/>
      <c r="E20" s="4"/>
      <c r="F20" s="4"/>
      <c r="G20" s="4"/>
      <c r="H20" s="18"/>
    </row>
    <row r="21" spans="2:8" x14ac:dyDescent="0.2">
      <c r="B21" s="17"/>
      <c r="C21" s="15" t="s">
        <v>54</v>
      </c>
      <c r="D21" s="16"/>
      <c r="E21" s="4"/>
      <c r="F21" s="15" t="s">
        <v>55</v>
      </c>
      <c r="G21" s="16"/>
      <c r="H21" s="18"/>
    </row>
    <row r="22" spans="2:8" x14ac:dyDescent="0.2">
      <c r="B22" s="17"/>
      <c r="C22" s="7" t="s">
        <v>2</v>
      </c>
      <c r="D22" s="12" t="s">
        <v>7</v>
      </c>
      <c r="E22" s="4"/>
      <c r="F22" s="7" t="s">
        <v>6</v>
      </c>
      <c r="G22" s="12" t="s">
        <v>7</v>
      </c>
      <c r="H22" s="18"/>
    </row>
    <row r="23" spans="2:8" x14ac:dyDescent="0.2">
      <c r="B23" s="17"/>
      <c r="C23" s="7" t="s">
        <v>3</v>
      </c>
      <c r="D23" s="12" t="s">
        <v>12</v>
      </c>
      <c r="E23" s="4"/>
      <c r="F23" s="7" t="s">
        <v>4</v>
      </c>
      <c r="G23" s="12" t="s">
        <v>12</v>
      </c>
      <c r="H23" s="18"/>
    </row>
    <row r="24" spans="2:8" x14ac:dyDescent="0.2">
      <c r="B24" s="17"/>
      <c r="C24" s="7" t="s">
        <v>5</v>
      </c>
      <c r="D24" s="12" t="s">
        <v>50</v>
      </c>
      <c r="E24" s="4"/>
      <c r="F24" s="7" t="s">
        <v>11</v>
      </c>
      <c r="G24" s="12" t="str">
        <f>currency&amp;familyName&amp;"6M"</f>
        <v>GBPLIBOR6M</v>
      </c>
      <c r="H24" s="18"/>
    </row>
    <row r="25" spans="2:8" x14ac:dyDescent="0.2">
      <c r="B25" s="17"/>
      <c r="C25" s="7" t="s">
        <v>10</v>
      </c>
      <c r="D25" s="25">
        <v>0.03</v>
      </c>
      <c r="E25" s="4"/>
      <c r="F25" s="7" t="s">
        <v>53</v>
      </c>
      <c r="G25" s="12" t="str">
        <f>_xll.qlInterestRateIndexDayCounter(,G24)</f>
        <v>Actual/365 (Fixed)</v>
      </c>
      <c r="H25" s="18"/>
    </row>
    <row r="26" spans="2:8" x14ac:dyDescent="0.2">
      <c r="B26" s="17"/>
      <c r="C26" s="7" t="s">
        <v>13</v>
      </c>
      <c r="D26" s="12" t="str">
        <f>_xll.qlSchedule(,C26,,,swapStartDate,swapMaturityDate,"1Y",Calendar,fixedLegConvention,fixedLegConvention,"Backward")</f>
        <v>fixedSchedule#0000</v>
      </c>
      <c r="E26" s="4"/>
      <c r="F26" s="7" t="s">
        <v>14</v>
      </c>
      <c r="G26" s="12" t="str">
        <f>_xll.qlSchedule(,F26,,,swapStartDate,swapMaturityDate,"6M",Calendar,floatingLegConvention,floatingLegConvention,"Backward")</f>
        <v>floatSchedule#0000</v>
      </c>
      <c r="H26" s="18"/>
    </row>
    <row r="27" spans="2:8" x14ac:dyDescent="0.2">
      <c r="B27" s="17"/>
      <c r="C27" s="3"/>
      <c r="D27" s="3"/>
      <c r="E27" s="4"/>
      <c r="F27" s="4"/>
      <c r="G27" s="4"/>
      <c r="H27" s="18"/>
    </row>
    <row r="28" spans="2:8" x14ac:dyDescent="0.2">
      <c r="B28" s="17"/>
      <c r="C28" s="7" t="s">
        <v>15</v>
      </c>
      <c r="D28" s="12" t="str">
        <f>_xll.qlVanillaSwap(,C28,,,D19,1000,D26,D25,fixedLegDayCounter,G26,floatingLegIndex,0,floatingLegDayCounter)</f>
        <v>swap#0000</v>
      </c>
      <c r="E28" s="4"/>
      <c r="F28" s="4"/>
      <c r="G28" s="4"/>
      <c r="H28" s="18"/>
    </row>
    <row r="29" spans="2:8" x14ac:dyDescent="0.2">
      <c r="B29" s="17"/>
      <c r="C29" s="7" t="s">
        <v>16</v>
      </c>
      <c r="D29" s="12" t="str">
        <f>_xll.qlDiscountingSwapEngine(D28,,,,Discounting)</f>
        <v>obj_00663#0000</v>
      </c>
      <c r="E29" s="4"/>
      <c r="F29" s="4"/>
      <c r="G29" s="4"/>
      <c r="H29" s="18"/>
    </row>
    <row r="30" spans="2:8" x14ac:dyDescent="0.2">
      <c r="B30" s="17"/>
      <c r="C30" s="7" t="s">
        <v>17</v>
      </c>
      <c r="D30" s="12" t="b">
        <f>_xll.qlInstrumentSetPricingEngine(,D28,D29)</f>
        <v>1</v>
      </c>
      <c r="E30" s="4"/>
      <c r="F30" s="4"/>
      <c r="G30" s="4"/>
      <c r="H30" s="18" t="str">
        <f>_xll.ohRangeRetrieveError(D37)</f>
        <v/>
      </c>
    </row>
    <row r="31" spans="2:8" x14ac:dyDescent="0.2">
      <c r="B31" s="17"/>
      <c r="C31" s="3"/>
      <c r="D31" s="3"/>
      <c r="E31" s="4"/>
      <c r="F31" s="4"/>
      <c r="G31" s="4"/>
      <c r="H31" s="18" t="str">
        <f>_xll.ohRangeRetrieveError(D39)</f>
        <v/>
      </c>
    </row>
    <row r="32" spans="2:8" x14ac:dyDescent="0.2">
      <c r="B32" s="17"/>
      <c r="C32" s="7" t="s">
        <v>18</v>
      </c>
      <c r="D32" s="25">
        <f>_xll.qlVanillaSwapFairRate(D30,D28)</f>
        <v>1.9921761563838548E-2</v>
      </c>
      <c r="E32" s="4"/>
      <c r="F32" s="7" t="s">
        <v>21</v>
      </c>
      <c r="G32" s="25" t="str">
        <f>_xll.qlVanillaSwap(,F32,,,D19,1000,D26,D32,D24,G26,G24,0,G25)</f>
        <v>atmSwap#0000</v>
      </c>
      <c r="H32" s="18"/>
    </row>
    <row r="33" spans="2:8" x14ac:dyDescent="0.2">
      <c r="B33" s="17"/>
      <c r="C33" s="7" t="s">
        <v>19</v>
      </c>
      <c r="D33" s="25">
        <f>D32*1.2</f>
        <v>2.3906113876606256E-2</v>
      </c>
      <c r="E33" s="4"/>
      <c r="F33" s="7" t="s">
        <v>22</v>
      </c>
      <c r="G33" s="25" t="str">
        <f>_xll.qlVanillaSwap(,F33,,,D19,1000,D26,D33,D24,G26,G24,0,G25)</f>
        <v>otmSwap#0000</v>
      </c>
      <c r="H33" s="18" t="str">
        <f>_xll.ohRangeRetrieveError(G32)</f>
        <v/>
      </c>
    </row>
    <row r="34" spans="2:8" x14ac:dyDescent="0.2">
      <c r="B34" s="17"/>
      <c r="C34" s="7" t="s">
        <v>20</v>
      </c>
      <c r="D34" s="25">
        <f>D33*0.8</f>
        <v>1.9124891101285006E-2</v>
      </c>
      <c r="E34" s="4"/>
      <c r="F34" s="7" t="s">
        <v>23</v>
      </c>
      <c r="G34" s="25" t="str">
        <f>_xll.qlVanillaSwap(,F34,,,D19,1000,D26,D34,D24,G26,G24,0,G25)</f>
        <v>itmSwap#0000</v>
      </c>
      <c r="H34" s="18" t="str">
        <f>_xll.ohRangeRetrieveError(G33)</f>
        <v/>
      </c>
    </row>
    <row r="35" spans="2:8" x14ac:dyDescent="0.2">
      <c r="B35" s="17"/>
      <c r="C35" s="3"/>
      <c r="D35" s="3"/>
      <c r="E35" s="4"/>
      <c r="F35" s="4"/>
      <c r="G35" s="4"/>
      <c r="H35" s="18"/>
    </row>
    <row r="36" spans="2:8" x14ac:dyDescent="0.2">
      <c r="B36" s="19"/>
      <c r="C36" s="20"/>
      <c r="D36" s="20"/>
      <c r="E36" s="20"/>
      <c r="F36" s="20"/>
      <c r="G36" s="20"/>
      <c r="H36" s="21"/>
    </row>
    <row r="38" spans="2:8" x14ac:dyDescent="0.2">
      <c r="B38" s="13" t="s">
        <v>57</v>
      </c>
      <c r="C38" s="22"/>
      <c r="D38" s="22"/>
      <c r="E38" s="14"/>
      <c r="G38" s="1" t="s">
        <v>58</v>
      </c>
    </row>
    <row r="39" spans="2:8" x14ac:dyDescent="0.2">
      <c r="B39" s="27"/>
      <c r="C39" s="28"/>
      <c r="D39" s="29"/>
      <c r="E39" s="30"/>
      <c r="G39" s="36">
        <f t="array" ref="G39:G44">_xll.qlTemp1(,D28)</f>
        <v>42548</v>
      </c>
    </row>
    <row r="40" spans="2:8" x14ac:dyDescent="0.2">
      <c r="B40" s="31"/>
      <c r="C40" s="7" t="s">
        <v>36</v>
      </c>
      <c r="D40" s="12" t="str">
        <f>_xll.qlBermudanExercise(,C40,,,G39:G44)</f>
        <v>bermudanExercise#0000</v>
      </c>
      <c r="E40" s="32"/>
      <c r="G40" s="36">
        <v>42549</v>
      </c>
    </row>
    <row r="41" spans="2:8" x14ac:dyDescent="0.2">
      <c r="B41" s="31"/>
      <c r="C41" s="7" t="s">
        <v>31</v>
      </c>
      <c r="D41" s="12" t="str">
        <f>_xll.qlSwaption(,C41,,,G32,D40)</f>
        <v>swaption#0000</v>
      </c>
      <c r="E41" s="32"/>
      <c r="G41" s="36">
        <v>42914</v>
      </c>
    </row>
    <row r="42" spans="2:8" x14ac:dyDescent="0.2">
      <c r="B42" s="31"/>
      <c r="C42" s="7" t="s">
        <v>37</v>
      </c>
      <c r="D42" s="12" t="str">
        <f>_xll.qlTreeSwaptionEngine(Calibration!C5,C42,,,Calibration!C2,50)</f>
        <v>engine#0000</v>
      </c>
      <c r="E42" s="32"/>
      <c r="G42" s="36">
        <v>43279</v>
      </c>
    </row>
    <row r="43" spans="2:8" x14ac:dyDescent="0.2">
      <c r="B43" s="31"/>
      <c r="C43" s="7" t="s">
        <v>38</v>
      </c>
      <c r="D43" s="12" t="b">
        <f>_xll.qlInstrumentSetPricingEngine(trigger,D41,D42)</f>
        <v>1</v>
      </c>
      <c r="E43" s="32"/>
      <c r="G43" s="36">
        <v>43644</v>
      </c>
    </row>
    <row r="44" spans="2:8" x14ac:dyDescent="0.2">
      <c r="B44" s="31"/>
      <c r="C44" s="7" t="s">
        <v>39</v>
      </c>
      <c r="D44" s="26">
        <f>_xll.qlInstrumentNPV(D43,D41)</f>
        <v>36.742690812540062</v>
      </c>
      <c r="E44" s="32"/>
      <c r="G44" s="37">
        <v>44011</v>
      </c>
    </row>
    <row r="45" spans="2:8" x14ac:dyDescent="0.2">
      <c r="B45" s="33"/>
      <c r="C45" s="34"/>
      <c r="D45" s="34"/>
      <c r="E45" s="35"/>
    </row>
    <row r="46" spans="2:8" x14ac:dyDescent="0.2">
      <c r="C46" s="23"/>
    </row>
    <row r="47" spans="2:8" x14ac:dyDescent="0.2">
      <c r="C47" s="23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33"/>
  <sheetViews>
    <sheetView showGridLines="0" workbookViewId="0"/>
  </sheetViews>
  <sheetFormatPr defaultRowHeight="12.75" x14ac:dyDescent="0.2"/>
  <cols>
    <col min="1" max="1" width="2.7109375" style="23" customWidth="1"/>
    <col min="2" max="2" width="9.85546875" style="23" bestFit="1" customWidth="1"/>
    <col min="3" max="3" width="14.42578125" style="23" bestFit="1" customWidth="1"/>
    <col min="4" max="13" width="12.7109375" style="23" customWidth="1"/>
    <col min="14" max="14" width="6.28515625" style="23" bestFit="1" customWidth="1"/>
    <col min="15" max="18" width="13.7109375" style="23" customWidth="1"/>
    <col min="19" max="16384" width="9.140625" style="23"/>
  </cols>
  <sheetData>
    <row r="2" spans="2:13" s="40" customFormat="1" x14ac:dyDescent="0.2">
      <c r="B2" s="1" t="s">
        <v>26</v>
      </c>
      <c r="C2" s="5" t="str">
        <f>_xll.qlHullWhite(trigger,B2,,,NPV!$D$12)</f>
        <v>modelHW#0000</v>
      </c>
      <c r="D2" s="38"/>
    </row>
    <row r="3" spans="2:13" s="40" customFormat="1" x14ac:dyDescent="0.2">
      <c r="B3" s="1" t="s">
        <v>27</v>
      </c>
      <c r="C3" s="5" t="str">
        <f>_xll.qlLevenbergMarquardt(trigger,B3)</f>
        <v>om#0000</v>
      </c>
      <c r="D3" s="38"/>
    </row>
    <row r="4" spans="2:13" x14ac:dyDescent="0.2">
      <c r="B4" s="1" t="s">
        <v>28</v>
      </c>
      <c r="C4" s="5" t="str">
        <f>_xll.qlEndCriteria(trigger,,,,400,100,0.00000001,0.00000001,0.00000001)</f>
        <v>obj_00658#0000</v>
      </c>
    </row>
    <row r="5" spans="2:13" x14ac:dyDescent="0.2">
      <c r="B5" s="1" t="s">
        <v>29</v>
      </c>
      <c r="C5" s="5" t="b">
        <f>_xll.qlCalibratedModelCalibrate(_xll.ohTrigger(K23:K27),C2,_xll.ohFilter(H23:H33,I23:I33),C3,C4)</f>
        <v>1</v>
      </c>
    </row>
    <row r="7" spans="2:13" x14ac:dyDescent="0.2">
      <c r="C7" s="13" t="s">
        <v>74</v>
      </c>
      <c r="D7" s="22"/>
      <c r="E7" s="22"/>
      <c r="F7" s="22"/>
      <c r="G7" s="22"/>
      <c r="H7" s="22"/>
      <c r="I7" s="22"/>
      <c r="J7" s="22"/>
      <c r="K7" s="22"/>
      <c r="L7" s="22"/>
      <c r="M7" s="14"/>
    </row>
    <row r="8" spans="2:13" x14ac:dyDescent="0.2">
      <c r="B8" s="1" t="s">
        <v>62</v>
      </c>
      <c r="C8" s="1" t="s">
        <v>63</v>
      </c>
      <c r="D8" s="1" t="s">
        <v>64</v>
      </c>
      <c r="E8" s="1" t="s">
        <v>65</v>
      </c>
      <c r="F8" s="1" t="s">
        <v>66</v>
      </c>
      <c r="G8" s="1" t="s">
        <v>67</v>
      </c>
      <c r="H8" s="1" t="s">
        <v>68</v>
      </c>
      <c r="I8" s="1" t="s">
        <v>69</v>
      </c>
      <c r="J8" s="1" t="s">
        <v>70</v>
      </c>
      <c r="K8" s="1" t="s">
        <v>71</v>
      </c>
      <c r="L8" s="1" t="s">
        <v>72</v>
      </c>
      <c r="M8" s="1" t="s">
        <v>73</v>
      </c>
    </row>
    <row r="9" spans="2:13" x14ac:dyDescent="0.2">
      <c r="B9" s="1" t="s">
        <v>63</v>
      </c>
      <c r="C9" s="41">
        <v>0.59599999999999997</v>
      </c>
      <c r="D9" s="41">
        <v>0.56899999999999995</v>
      </c>
      <c r="E9" s="41">
        <v>0.51900000000000002</v>
      </c>
      <c r="F9" s="41">
        <v>0.48399999999999999</v>
      </c>
      <c r="G9" s="41">
        <v>0.45799999999999996</v>
      </c>
      <c r="H9" s="41">
        <v>0.41299999999999998</v>
      </c>
      <c r="I9" s="41">
        <v>0.34700000000000003</v>
      </c>
      <c r="J9" s="41">
        <v>0.311</v>
      </c>
      <c r="K9" s="41">
        <v>0.30499999999999999</v>
      </c>
      <c r="L9" s="41">
        <v>0.311</v>
      </c>
      <c r="M9" s="41">
        <v>0.307</v>
      </c>
    </row>
    <row r="10" spans="2:13" x14ac:dyDescent="0.2">
      <c r="B10" s="1" t="s">
        <v>64</v>
      </c>
      <c r="C10" s="41">
        <v>0.52500000000000002</v>
      </c>
      <c r="D10" s="41">
        <v>0.496</v>
      </c>
      <c r="E10" s="41">
        <v>0.45700000000000002</v>
      </c>
      <c r="F10" s="41">
        <v>0.42499999999999999</v>
      </c>
      <c r="G10" s="41">
        <v>0.40600000000000003</v>
      </c>
      <c r="H10" s="41">
        <v>0.371</v>
      </c>
      <c r="I10" s="41">
        <v>0.32299999999999995</v>
      </c>
      <c r="J10" s="41">
        <v>0.30199999999999999</v>
      </c>
      <c r="K10" s="41">
        <v>0.30599999999999999</v>
      </c>
      <c r="L10" s="41">
        <v>0.29899999999999999</v>
      </c>
      <c r="M10" s="41">
        <v>0.29899999999999999</v>
      </c>
    </row>
    <row r="11" spans="2:13" x14ac:dyDescent="0.2">
      <c r="B11" s="1" t="s">
        <v>65</v>
      </c>
      <c r="C11" s="41">
        <v>0.499</v>
      </c>
      <c r="D11" s="41">
        <v>0.46899999999999997</v>
      </c>
      <c r="E11" s="41">
        <v>0.43700000000000006</v>
      </c>
      <c r="F11" s="41">
        <v>0.40899999999999997</v>
      </c>
      <c r="G11" s="41">
        <v>0.39</v>
      </c>
      <c r="H11" s="41">
        <v>0.35899999999999999</v>
      </c>
      <c r="I11" s="41">
        <v>0.315</v>
      </c>
      <c r="J11" s="41">
        <v>0.29399999999999998</v>
      </c>
      <c r="K11" s="41">
        <v>0.29699999999999999</v>
      </c>
      <c r="L11" s="41">
        <v>0.28999999999999998</v>
      </c>
      <c r="M11" s="41">
        <v>0.29299999999999998</v>
      </c>
    </row>
    <row r="12" spans="2:13" x14ac:dyDescent="0.2">
      <c r="B12" s="1" t="s">
        <v>66</v>
      </c>
      <c r="C12" s="41">
        <v>0.47600000000000003</v>
      </c>
      <c r="D12" s="41">
        <v>0.45</v>
      </c>
      <c r="E12" s="41">
        <v>0.42200000000000004</v>
      </c>
      <c r="F12" s="41">
        <v>0.39500000000000002</v>
      </c>
      <c r="G12" s="41">
        <v>0.37799999999999995</v>
      </c>
      <c r="H12" s="41">
        <v>0.34600000000000003</v>
      </c>
      <c r="I12" s="41">
        <v>0.307</v>
      </c>
      <c r="J12" s="41">
        <v>0.28699999999999998</v>
      </c>
      <c r="K12" s="41">
        <v>0.29100000000000004</v>
      </c>
      <c r="L12" s="41">
        <v>0.28100000000000003</v>
      </c>
      <c r="M12" s="41">
        <v>0.28300000000000003</v>
      </c>
    </row>
    <row r="13" spans="2:13" x14ac:dyDescent="0.2">
      <c r="B13" s="1" t="s">
        <v>67</v>
      </c>
      <c r="C13" s="41">
        <v>0.46399999999999997</v>
      </c>
      <c r="D13" s="41">
        <v>0.43700000000000006</v>
      </c>
      <c r="E13" s="41">
        <v>0.40899999999999997</v>
      </c>
      <c r="F13" s="41">
        <v>0.38400000000000001</v>
      </c>
      <c r="G13" s="41">
        <v>0.36599999999999999</v>
      </c>
      <c r="H13" s="41">
        <v>0.33600000000000002</v>
      </c>
      <c r="I13" s="41">
        <v>0.30099999999999999</v>
      </c>
      <c r="J13" s="41">
        <v>0.28100000000000003</v>
      </c>
      <c r="K13" s="41">
        <v>0.28300000000000003</v>
      </c>
      <c r="L13" s="41">
        <v>0.27200000000000002</v>
      </c>
      <c r="M13" s="41">
        <v>0.27300000000000002</v>
      </c>
    </row>
    <row r="14" spans="2:13" x14ac:dyDescent="0.2">
      <c r="B14" s="1" t="s">
        <v>68</v>
      </c>
      <c r="C14" s="41">
        <v>0.42799999999999999</v>
      </c>
      <c r="D14" s="41">
        <v>0.40700000000000003</v>
      </c>
      <c r="E14" s="41">
        <v>0.38799999999999996</v>
      </c>
      <c r="F14" s="41">
        <v>0.36700000000000005</v>
      </c>
      <c r="G14" s="41">
        <v>0.35200000000000004</v>
      </c>
      <c r="H14" s="41">
        <v>0.32600000000000001</v>
      </c>
      <c r="I14" s="41">
        <v>0.29799999999999999</v>
      </c>
      <c r="J14" s="41">
        <v>0.28100000000000003</v>
      </c>
      <c r="K14" s="41">
        <v>0.27800000000000002</v>
      </c>
      <c r="L14" s="41">
        <v>0.26800000000000002</v>
      </c>
      <c r="M14" s="41">
        <v>0.27</v>
      </c>
    </row>
    <row r="15" spans="2:13" x14ac:dyDescent="0.2">
      <c r="B15" s="1" t="s">
        <v>69</v>
      </c>
      <c r="C15" s="41">
        <v>0.39600000000000002</v>
      </c>
      <c r="D15" s="41">
        <v>0.38100000000000001</v>
      </c>
      <c r="E15" s="41">
        <v>0.36799999999999999</v>
      </c>
      <c r="F15" s="41">
        <v>0.35100000000000003</v>
      </c>
      <c r="G15" s="41">
        <v>0.33799999999999997</v>
      </c>
      <c r="H15" s="41">
        <v>0.317</v>
      </c>
      <c r="I15" s="41">
        <v>0.29299999999999998</v>
      </c>
      <c r="J15" s="41">
        <v>0.27899999999999997</v>
      </c>
      <c r="K15" s="41">
        <v>0.27</v>
      </c>
      <c r="L15" s="41">
        <v>0.26200000000000001</v>
      </c>
      <c r="M15" s="41">
        <v>0.26200000000000001</v>
      </c>
    </row>
    <row r="16" spans="2:13" x14ac:dyDescent="0.2">
      <c r="B16" s="1" t="s">
        <v>70</v>
      </c>
      <c r="C16" s="41">
        <v>0.36700000000000005</v>
      </c>
      <c r="D16" s="41">
        <v>0.35600000000000004</v>
      </c>
      <c r="E16" s="41">
        <v>0.34700000000000003</v>
      </c>
      <c r="F16" s="41">
        <v>0.33500000000000002</v>
      </c>
      <c r="G16" s="41">
        <v>0.32500000000000001</v>
      </c>
      <c r="H16" s="41">
        <v>0.308</v>
      </c>
      <c r="I16" s="41">
        <v>0.28800000000000003</v>
      </c>
      <c r="J16" s="41">
        <v>0.27</v>
      </c>
      <c r="K16" s="41">
        <v>0.26</v>
      </c>
      <c r="L16" s="41">
        <v>0.254</v>
      </c>
      <c r="M16" s="41">
        <v>0.25</v>
      </c>
    </row>
    <row r="17" spans="2:14" x14ac:dyDescent="0.2">
      <c r="B17" s="1" t="s">
        <v>71</v>
      </c>
      <c r="C17" s="41">
        <v>0.35799999999999998</v>
      </c>
      <c r="D17" s="41">
        <v>0.34899999999999998</v>
      </c>
      <c r="E17" s="41">
        <v>0.34200000000000003</v>
      </c>
      <c r="F17" s="41">
        <v>0.33100000000000002</v>
      </c>
      <c r="G17" s="41">
        <v>0.32100000000000001</v>
      </c>
      <c r="H17" s="41">
        <v>0.30399999999999999</v>
      </c>
      <c r="I17" s="41">
        <v>0.28300000000000003</v>
      </c>
      <c r="J17" s="41">
        <v>0.26500000000000001</v>
      </c>
      <c r="K17" s="41">
        <v>0.254</v>
      </c>
      <c r="L17" s="41">
        <v>0.24299999999999999</v>
      </c>
      <c r="M17" s="41">
        <v>0.23600000000000002</v>
      </c>
    </row>
    <row r="18" spans="2:14" x14ac:dyDescent="0.2">
      <c r="B18" s="1" t="s">
        <v>72</v>
      </c>
      <c r="C18" s="41">
        <v>0.35700000000000004</v>
      </c>
      <c r="D18" s="41">
        <v>0.34799999999999998</v>
      </c>
      <c r="E18" s="41">
        <v>0.34200000000000003</v>
      </c>
      <c r="F18" s="41">
        <v>0.33</v>
      </c>
      <c r="G18" s="41">
        <v>0.32</v>
      </c>
      <c r="H18" s="41">
        <v>0.30099999999999999</v>
      </c>
      <c r="I18" s="41">
        <v>0.27899999999999997</v>
      </c>
      <c r="J18" s="41">
        <v>0.25800000000000001</v>
      </c>
      <c r="K18" s="41">
        <v>0.245</v>
      </c>
      <c r="L18" s="41">
        <v>0.23100000000000001</v>
      </c>
      <c r="M18" s="41">
        <v>0.21899999999999997</v>
      </c>
    </row>
    <row r="19" spans="2:14" x14ac:dyDescent="0.2">
      <c r="B19" s="1" t="s">
        <v>73</v>
      </c>
      <c r="C19" s="41">
        <v>0.35700000000000004</v>
      </c>
      <c r="D19" s="41">
        <v>0.34799999999999998</v>
      </c>
      <c r="E19" s="41">
        <v>0.34100000000000003</v>
      </c>
      <c r="F19" s="41">
        <v>0.33</v>
      </c>
      <c r="G19" s="41">
        <v>0.32100000000000001</v>
      </c>
      <c r="H19" s="41">
        <v>0.30199999999999999</v>
      </c>
      <c r="I19" s="41">
        <v>0.27800000000000002</v>
      </c>
      <c r="J19" s="41">
        <v>0.252</v>
      </c>
      <c r="K19" s="41">
        <v>0.23699999999999999</v>
      </c>
      <c r="L19" s="41">
        <v>0.21899999999999997</v>
      </c>
      <c r="M19" s="41">
        <v>0.20600000000000002</v>
      </c>
    </row>
    <row r="21" spans="2:14" x14ac:dyDescent="0.2">
      <c r="B21" s="45" t="s">
        <v>79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14"/>
    </row>
    <row r="22" spans="2:14" x14ac:dyDescent="0.2">
      <c r="B22" s="39" t="s">
        <v>77</v>
      </c>
      <c r="C22" s="39" t="s">
        <v>78</v>
      </c>
      <c r="D22" s="39" t="s">
        <v>60</v>
      </c>
      <c r="E22" s="39" t="s">
        <v>61</v>
      </c>
      <c r="F22" s="39" t="s">
        <v>32</v>
      </c>
      <c r="G22" s="39" t="s">
        <v>33</v>
      </c>
      <c r="H22" s="39" t="s">
        <v>25</v>
      </c>
      <c r="I22" s="39" t="s">
        <v>75</v>
      </c>
      <c r="J22" s="39" t="s">
        <v>35</v>
      </c>
      <c r="K22" s="39" t="s">
        <v>59</v>
      </c>
      <c r="L22" s="39" t="s">
        <v>30</v>
      </c>
      <c r="M22" s="39" t="s">
        <v>34</v>
      </c>
      <c r="N22" s="39" t="s">
        <v>76</v>
      </c>
    </row>
    <row r="23" spans="2:14" x14ac:dyDescent="0.2">
      <c r="B23" s="5">
        <v>1</v>
      </c>
      <c r="C23" s="5">
        <v>5</v>
      </c>
      <c r="D23" s="43">
        <f>IF(C23=0,"--",INDEX(Calibration!C9:M9,C23))</f>
        <v>0.45799999999999996</v>
      </c>
      <c r="E23" s="12" t="str">
        <f>IFERROR(_xll.qlSimpleQuote(trigger,,,,D23),"--")</f>
        <v>obj_00655#0000</v>
      </c>
      <c r="F23" s="12" t="str">
        <f>(B23)&amp;"Y"</f>
        <v>1Y</v>
      </c>
      <c r="G23" s="12" t="str">
        <f>(C23)&amp;"Y"</f>
        <v>5Y</v>
      </c>
      <c r="H23" s="12" t="str">
        <f>IFERROR(_xll.qlSwaptionHelper(trigger,,,,F23,G23,E23,floatingLegIndex,"6M",fixedLegDayCounter,floatingLegDayCounter,NPV!$D$12),"--")</f>
        <v>obj_0065c#0000</v>
      </c>
      <c r="I23" s="12" t="b">
        <f>IF(D23="--",FALSE,TRUE)</f>
        <v>1</v>
      </c>
      <c r="J23" s="12" t="str">
        <f>_xll.qlJamshidianSwaptionEngine(,,,,Calibration!$C$2)</f>
        <v>obj_0064f#0000</v>
      </c>
      <c r="K23" s="12" t="b">
        <f>IFERROR(_xll.qlCalibrationHelperSetPricingEngine(,H23,J23),"--")</f>
        <v>1</v>
      </c>
      <c r="L23" s="42">
        <f>IF(I23=FALSE,"--",_xll.qlSwaptionHelperModelValue($C$5,H23))</f>
        <v>1.7780447492983097E-2</v>
      </c>
      <c r="M23" s="43">
        <f>IFERROR(_xll.qlCalibrationHelperImpliedVolatility(,H23,L23,0.0001,1000,0.05,0.5),"--")</f>
        <v>0.47831996239371866</v>
      </c>
      <c r="N23" s="44">
        <f>IFERROR((M23-D23)/D23,"--")</f>
        <v>4.4366730117289727E-2</v>
      </c>
    </row>
    <row r="24" spans="2:14" x14ac:dyDescent="0.2">
      <c r="B24" s="5">
        <v>2</v>
      </c>
      <c r="C24" s="5">
        <v>4</v>
      </c>
      <c r="D24" s="43">
        <f>IF(C24=0,"--",INDEX(Calibration!C10:M10,C24))</f>
        <v>0.42499999999999999</v>
      </c>
      <c r="E24" s="12" t="str">
        <f>IFERROR(_xll.qlSimpleQuote(trigger,,,,D24),"--")</f>
        <v>obj_00657#0000</v>
      </c>
      <c r="F24" s="12" t="str">
        <f t="shared" ref="F24:F27" si="0">(B24)&amp;"Y"</f>
        <v>2Y</v>
      </c>
      <c r="G24" s="12" t="str">
        <f t="shared" ref="G24:G27" si="1">(C24)&amp;"Y"</f>
        <v>4Y</v>
      </c>
      <c r="H24" s="12" t="str">
        <f>IFERROR(_xll.qlSwaptionHelper(trigger,,,,F24,G24,E24,floatingLegIndex,"6M",fixedLegDayCounter,floatingLegDayCounter,NPV!$D$12),"--")</f>
        <v>obj_0065b#0000</v>
      </c>
      <c r="I24" s="12" t="b">
        <f t="shared" ref="I24:I33" si="2">IF(D24="--",FALSE,TRUE)</f>
        <v>1</v>
      </c>
      <c r="J24" s="12" t="str">
        <f>_xll.qlJamshidianSwaptionEngine(,,,,Calibration!$C$2)</f>
        <v>obj_00654#0000</v>
      </c>
      <c r="K24" s="12" t="b">
        <f>IFERROR(_xll.qlCalibrationHelperSetPricingEngine(,H24,J24),"--")</f>
        <v>1</v>
      </c>
      <c r="L24" s="42">
        <f>IF(I24=FALSE,"--",_xll.qlSwaptionHelperModelValue($C$5,H24))</f>
        <v>1.9425374104370369E-2</v>
      </c>
      <c r="M24" s="43">
        <f>IFERROR(_xll.qlCalibrationHelperImpliedVolatility(,H24,L24,0.0001,1000,0.05,0.5),"--")</f>
        <v>0.42990701841666251</v>
      </c>
      <c r="N24" s="44">
        <f t="shared" ref="N24:N33" si="3">IFERROR((M24-D24)/D24,"--")</f>
        <v>1.1545925686264761E-2</v>
      </c>
    </row>
    <row r="25" spans="2:14" x14ac:dyDescent="0.2">
      <c r="B25" s="5">
        <v>3</v>
      </c>
      <c r="C25" s="5">
        <v>3</v>
      </c>
      <c r="D25" s="43">
        <f>IF(C25=0,"--",INDEX(Calibration!C11:M11,C25))</f>
        <v>0.43700000000000006</v>
      </c>
      <c r="E25" s="12" t="str">
        <f>IFERROR(_xll.qlSimpleQuote(trigger,,,,D25),"--")</f>
        <v>obj_00651#0000</v>
      </c>
      <c r="F25" s="12" t="str">
        <f t="shared" si="0"/>
        <v>3Y</v>
      </c>
      <c r="G25" s="12" t="str">
        <f t="shared" si="1"/>
        <v>3Y</v>
      </c>
      <c r="H25" s="12" t="str">
        <f>IFERROR(_xll.qlSwaptionHelper(trigger,,,,F25,G25,E25,floatingLegIndex,"6M",fixedLegDayCounter,floatingLegDayCounter,NPV!$D$12),"--")</f>
        <v>obj_0065a#0000</v>
      </c>
      <c r="I25" s="12" t="b">
        <f t="shared" si="2"/>
        <v>1</v>
      </c>
      <c r="J25" s="12" t="str">
        <f>_xll.qlJamshidianSwaptionEngine(,,,,Calibration!$C$2)</f>
        <v>obj_00656#0000</v>
      </c>
      <c r="K25" s="12" t="b">
        <f>IFERROR(_xll.qlCalibrationHelperSetPricingEngine(,H25,J25),"--")</f>
        <v>1</v>
      </c>
      <c r="L25" s="42">
        <f>IF(I25=FALSE,"--",_xll.qlSwaptionHelperModelValue($C$5,H25))</f>
        <v>1.796678106609283E-2</v>
      </c>
      <c r="M25" s="43">
        <f>IFERROR(_xll.qlCalibrationHelperImpliedVolatility(,H25,L25,0.0001,1000,0.05,0.5),"--")</f>
        <v>0.4200492235509849</v>
      </c>
      <c r="N25" s="44">
        <f t="shared" si="3"/>
        <v>-3.8788962125892806E-2</v>
      </c>
    </row>
    <row r="26" spans="2:14" x14ac:dyDescent="0.2">
      <c r="B26" s="5">
        <v>4</v>
      </c>
      <c r="C26" s="5">
        <v>2</v>
      </c>
      <c r="D26" s="43">
        <f>IF(C26=0,"--",INDEX(Calibration!C12:M12,C26))</f>
        <v>0.45</v>
      </c>
      <c r="E26" s="12" t="str">
        <f>IFERROR(_xll.qlSimpleQuote(trigger,,,,D26),"--")</f>
        <v>obj_00652#0000</v>
      </c>
      <c r="F26" s="12" t="str">
        <f t="shared" si="0"/>
        <v>4Y</v>
      </c>
      <c r="G26" s="12" t="str">
        <f t="shared" si="1"/>
        <v>2Y</v>
      </c>
      <c r="H26" s="12" t="str">
        <f>IFERROR(_xll.qlSwaptionHelper(trigger,,,,F26,G26,E26,floatingLegIndex,"6M",fixedLegDayCounter,floatingLegDayCounter,NPV!$D$12),"--")</f>
        <v>obj_0065e#0000</v>
      </c>
      <c r="I26" s="12" t="b">
        <f t="shared" si="2"/>
        <v>1</v>
      </c>
      <c r="J26" s="12" t="str">
        <f>_xll.qlJamshidianSwaptionEngine(,,,,Calibration!$C$2)</f>
        <v>obj_00653#0000</v>
      </c>
      <c r="K26" s="12" t="b">
        <f>IFERROR(_xll.qlCalibrationHelperSetPricingEngine(,H26,J26),"--")</f>
        <v>1</v>
      </c>
      <c r="L26" s="42">
        <f>IF(I26=FALSE,"--",_xll.qlSwaptionHelperModelValue($C$5,H26))</f>
        <v>1.4506587609974649E-2</v>
      </c>
      <c r="M26" s="43">
        <f>IFERROR(_xll.qlCalibrationHelperImpliedVolatility(,H26,L26,0.0001,1000,0.05,0.5),"--")</f>
        <v>0.43313907360750359</v>
      </c>
      <c r="N26" s="44">
        <f t="shared" si="3"/>
        <v>-3.7468725316658714E-2</v>
      </c>
    </row>
    <row r="27" spans="2:14" x14ac:dyDescent="0.2">
      <c r="B27" s="5">
        <v>5</v>
      </c>
      <c r="C27" s="5">
        <v>1</v>
      </c>
      <c r="D27" s="43">
        <f>IF(C27=0,"--",INDEX(Calibration!C13:M13,C27))</f>
        <v>0.46399999999999997</v>
      </c>
      <c r="E27" s="12" t="str">
        <f>IFERROR(_xll.qlSimpleQuote(trigger,,,,D27),"--")</f>
        <v>obj_0064e#0000</v>
      </c>
      <c r="F27" s="12" t="str">
        <f t="shared" si="0"/>
        <v>5Y</v>
      </c>
      <c r="G27" s="12" t="str">
        <f t="shared" si="1"/>
        <v>1Y</v>
      </c>
      <c r="H27" s="12" t="str">
        <f>IFERROR(_xll.qlSwaptionHelper(trigger,,,,F27,G27,E27,floatingLegIndex,"6M",fixedLegDayCounter,floatingLegDayCounter,NPV!$D$12),"--")</f>
        <v>obj_0065d#0000</v>
      </c>
      <c r="I27" s="12" t="b">
        <f t="shared" si="2"/>
        <v>1</v>
      </c>
      <c r="J27" s="12" t="str">
        <f>_xll.qlJamshidianSwaptionEngine(,,,,Calibration!$C$2)</f>
        <v>obj_00659#0000</v>
      </c>
      <c r="K27" s="12" t="b">
        <f>IFERROR(_xll.qlCalibrationHelperSetPricingEngine(,H27,J27),"--")</f>
        <v>1</v>
      </c>
      <c r="L27" s="42">
        <f>IF(I27=FALSE,"--",_xll.qlSwaptionHelperModelValue($C$5,H27))</f>
        <v>8.8125873574792894E-3</v>
      </c>
      <c r="M27" s="43">
        <f>IFERROR(_xll.qlCalibrationHelperImpliedVolatility(,H27,L27,0.0001,1000,0.05,0.5),"--")</f>
        <v>0.47041438433757893</v>
      </c>
      <c r="N27" s="44">
        <f t="shared" si="3"/>
        <v>1.3824104175816724E-2</v>
      </c>
    </row>
    <row r="28" spans="2:14" x14ac:dyDescent="0.2">
      <c r="B28" s="5">
        <v>7</v>
      </c>
      <c r="C28" s="5">
        <v>0</v>
      </c>
      <c r="D28" s="43" t="str">
        <f>IF(C28=0,"--",INDEX(Calibration!C14:M14,C28))</f>
        <v>--</v>
      </c>
      <c r="E28" s="12" t="str">
        <f>IFERROR(_xll.qlSimpleQuote(trigger,,,,D28),"--")</f>
        <v>--</v>
      </c>
      <c r="F28" s="12" t="str">
        <f t="shared" ref="F28:F33" si="4">(B28)&amp;"Y"</f>
        <v>7Y</v>
      </c>
      <c r="G28" s="12" t="str">
        <f t="shared" ref="G28:G33" si="5">(C28)&amp;"Y"</f>
        <v>0Y</v>
      </c>
      <c r="H28" s="12" t="str">
        <f>IFERROR(_xll.qlSwaptionHelper(trigger,,,,F28,G28,E28,floatingLegIndex,"6M",fixedLegDayCounter,floatingLegDayCounter,NPV!$D$12),"--")</f>
        <v>--</v>
      </c>
      <c r="I28" s="12" t="b">
        <f t="shared" si="2"/>
        <v>0</v>
      </c>
      <c r="J28" s="12" t="str">
        <f>_xll.qlJamshidianSwaptionEngine(,,,,Calibration!$C$2)</f>
        <v>obj_00649#0000</v>
      </c>
      <c r="K28" s="12" t="str">
        <f>IFERROR(_xll.qlCalibrationHelperSetPricingEngine(,H28,J28),"--")</f>
        <v>--</v>
      </c>
      <c r="L28" s="42" t="str">
        <f>IF(I28=FALSE,"--",_xll.qlSwaptionHelperModelValue($C$5,H28))</f>
        <v>--</v>
      </c>
      <c r="M28" s="43" t="str">
        <f>IFERROR(_xll.qlCalibrationHelperImpliedVolatility(,H28,L28,0.0001,1000,0.05,0.5),"--")</f>
        <v>--</v>
      </c>
      <c r="N28" s="44" t="str">
        <f t="shared" si="3"/>
        <v>--</v>
      </c>
    </row>
    <row r="29" spans="2:14" x14ac:dyDescent="0.2">
      <c r="B29" s="5">
        <v>10</v>
      </c>
      <c r="C29" s="5">
        <v>0</v>
      </c>
      <c r="D29" s="43" t="str">
        <f>IF(C29=0,"--",INDEX(Calibration!C15:M15,C29))</f>
        <v>--</v>
      </c>
      <c r="E29" s="12" t="str">
        <f>IFERROR(_xll.qlSimpleQuote(trigger,,,,D29),"--")</f>
        <v>--</v>
      </c>
      <c r="F29" s="12" t="str">
        <f t="shared" si="4"/>
        <v>10Y</v>
      </c>
      <c r="G29" s="12" t="str">
        <f t="shared" si="5"/>
        <v>0Y</v>
      </c>
      <c r="H29" s="12" t="str">
        <f>IFERROR(_xll.qlSwaptionHelper(trigger,,,,F29,G29,E29,floatingLegIndex,"6M",fixedLegDayCounter,floatingLegDayCounter,NPV!$D$12),"--")</f>
        <v>--</v>
      </c>
      <c r="I29" s="12" t="b">
        <f t="shared" si="2"/>
        <v>0</v>
      </c>
      <c r="J29" s="12" t="str">
        <f>_xll.qlJamshidianSwaptionEngine(,,,,Calibration!$C$2)</f>
        <v>obj_0064a#0000</v>
      </c>
      <c r="K29" s="12" t="str">
        <f>IFERROR(_xll.qlCalibrationHelperSetPricingEngine(,H29,J29),"--")</f>
        <v>--</v>
      </c>
      <c r="L29" s="42" t="str">
        <f>IF(I29=FALSE,"--",_xll.qlSwaptionHelperModelValue($C$5,H29))</f>
        <v>--</v>
      </c>
      <c r="M29" s="43" t="str">
        <f>IFERROR(_xll.qlCalibrationHelperImpliedVolatility(,H29,L29,0.0001,1000,0.05,0.5),"--")</f>
        <v>--</v>
      </c>
      <c r="N29" s="44" t="str">
        <f t="shared" si="3"/>
        <v>--</v>
      </c>
    </row>
    <row r="30" spans="2:14" x14ac:dyDescent="0.2">
      <c r="B30" s="5">
        <v>15</v>
      </c>
      <c r="C30" s="5">
        <v>0</v>
      </c>
      <c r="D30" s="43" t="str">
        <f>IF(C30=0,"--",INDEX(Calibration!C16:M16,C30))</f>
        <v>--</v>
      </c>
      <c r="E30" s="12" t="str">
        <f>IFERROR(_xll.qlSimpleQuote(trigger,,,,D30),"--")</f>
        <v>--</v>
      </c>
      <c r="F30" s="12" t="str">
        <f t="shared" si="4"/>
        <v>15Y</v>
      </c>
      <c r="G30" s="12" t="str">
        <f t="shared" si="5"/>
        <v>0Y</v>
      </c>
      <c r="H30" s="12" t="str">
        <f>IFERROR(_xll.qlSwaptionHelper(trigger,,,,F30,G30,E30,floatingLegIndex,"6M",fixedLegDayCounter,floatingLegDayCounter,NPV!$D$12),"--")</f>
        <v>--</v>
      </c>
      <c r="I30" s="12" t="b">
        <f t="shared" si="2"/>
        <v>0</v>
      </c>
      <c r="J30" s="12" t="str">
        <f>_xll.qlJamshidianSwaptionEngine(,,,,Calibration!$C$2)</f>
        <v>obj_0064c#0000</v>
      </c>
      <c r="K30" s="12" t="str">
        <f>IFERROR(_xll.qlCalibrationHelperSetPricingEngine(,H30,J30),"--")</f>
        <v>--</v>
      </c>
      <c r="L30" s="42" t="str">
        <f>IF(I30=FALSE,"--",_xll.qlSwaptionHelperModelValue($C$5,H30))</f>
        <v>--</v>
      </c>
      <c r="M30" s="43" t="str">
        <f>IFERROR(_xll.qlCalibrationHelperImpliedVolatility(,H30,L30,0.0001,1000,0.05,0.5),"--")</f>
        <v>--</v>
      </c>
      <c r="N30" s="44" t="str">
        <f t="shared" si="3"/>
        <v>--</v>
      </c>
    </row>
    <row r="31" spans="2:14" x14ac:dyDescent="0.2">
      <c r="B31" s="5">
        <v>20</v>
      </c>
      <c r="C31" s="5">
        <v>0</v>
      </c>
      <c r="D31" s="43" t="str">
        <f>IF(C31=0,"--",INDEX(Calibration!C17:M17,C31))</f>
        <v>--</v>
      </c>
      <c r="E31" s="12" t="str">
        <f>IFERROR(_xll.qlSimpleQuote(trigger,,,,D31),"--")</f>
        <v>--</v>
      </c>
      <c r="F31" s="12" t="str">
        <f t="shared" si="4"/>
        <v>20Y</v>
      </c>
      <c r="G31" s="12" t="str">
        <f t="shared" si="5"/>
        <v>0Y</v>
      </c>
      <c r="H31" s="12" t="str">
        <f>IFERROR(_xll.qlSwaptionHelper(trigger,,,,F31,G31,E31,floatingLegIndex,"6M",fixedLegDayCounter,floatingLegDayCounter,NPV!$D$12),"--")</f>
        <v>--</v>
      </c>
      <c r="I31" s="12" t="b">
        <f t="shared" si="2"/>
        <v>0</v>
      </c>
      <c r="J31" s="12" t="str">
        <f>_xll.qlJamshidianSwaptionEngine(,,,,Calibration!$C$2)</f>
        <v>obj_0064b#0000</v>
      </c>
      <c r="K31" s="12" t="str">
        <f>IFERROR(_xll.qlCalibrationHelperSetPricingEngine(,H31,J31),"--")</f>
        <v>--</v>
      </c>
      <c r="L31" s="42" t="str">
        <f>IF(I31=FALSE,"--",_xll.qlSwaptionHelperModelValue($C$5,H31))</f>
        <v>--</v>
      </c>
      <c r="M31" s="43" t="str">
        <f>IFERROR(_xll.qlCalibrationHelperImpliedVolatility(,H31,L31,0.0001,1000,0.05,0.5),"--")</f>
        <v>--</v>
      </c>
      <c r="N31" s="44" t="str">
        <f t="shared" si="3"/>
        <v>--</v>
      </c>
    </row>
    <row r="32" spans="2:14" x14ac:dyDescent="0.2">
      <c r="B32" s="5">
        <v>25</v>
      </c>
      <c r="C32" s="5">
        <v>0</v>
      </c>
      <c r="D32" s="43" t="str">
        <f>IF(C32=0,"--",INDEX(Calibration!C18:M18,C32))</f>
        <v>--</v>
      </c>
      <c r="E32" s="12" t="str">
        <f>IFERROR(_xll.qlSimpleQuote(trigger,,,,D32),"--")</f>
        <v>--</v>
      </c>
      <c r="F32" s="12" t="str">
        <f t="shared" si="4"/>
        <v>25Y</v>
      </c>
      <c r="G32" s="12" t="str">
        <f t="shared" si="5"/>
        <v>0Y</v>
      </c>
      <c r="H32" s="12" t="str">
        <f>IFERROR(_xll.qlSwaptionHelper(trigger,,,,F32,G32,E32,floatingLegIndex,"6M",fixedLegDayCounter,floatingLegDayCounter,NPV!$D$12),"--")</f>
        <v>--</v>
      </c>
      <c r="I32" s="12" t="b">
        <f t="shared" si="2"/>
        <v>0</v>
      </c>
      <c r="J32" s="12" t="str">
        <f>_xll.qlJamshidianSwaptionEngine(,,,,Calibration!$C$2)</f>
        <v>obj_0064d#0000</v>
      </c>
      <c r="K32" s="12" t="str">
        <f>IFERROR(_xll.qlCalibrationHelperSetPricingEngine(,H32,J32),"--")</f>
        <v>--</v>
      </c>
      <c r="L32" s="42" t="str">
        <f>IF(I32=FALSE,"--",_xll.qlSwaptionHelperModelValue($C$5,H32))</f>
        <v>--</v>
      </c>
      <c r="M32" s="43" t="str">
        <f>IFERROR(_xll.qlCalibrationHelperImpliedVolatility(,H32,L32,0.0001,1000,0.05,0.5),"--")</f>
        <v>--</v>
      </c>
      <c r="N32" s="44" t="str">
        <f t="shared" si="3"/>
        <v>--</v>
      </c>
    </row>
    <row r="33" spans="2:14" x14ac:dyDescent="0.2">
      <c r="B33" s="5">
        <v>30</v>
      </c>
      <c r="C33" s="5">
        <v>0</v>
      </c>
      <c r="D33" s="43" t="str">
        <f>IF(C33=0,"--",INDEX(Calibration!C19:M19,C33))</f>
        <v>--</v>
      </c>
      <c r="E33" s="12" t="str">
        <f>IFERROR(_xll.qlSimpleQuote(trigger,,,,D33),"--")</f>
        <v>--</v>
      </c>
      <c r="F33" s="12" t="str">
        <f t="shared" si="4"/>
        <v>30Y</v>
      </c>
      <c r="G33" s="12" t="str">
        <f t="shared" si="5"/>
        <v>0Y</v>
      </c>
      <c r="H33" s="12" t="str">
        <f>IFERROR(_xll.qlSwaptionHelper(trigger,,,,F33,G33,E33,floatingLegIndex,"6M",fixedLegDayCounter,floatingLegDayCounter,NPV!$D$12),"--")</f>
        <v>--</v>
      </c>
      <c r="I33" s="12" t="b">
        <f t="shared" si="2"/>
        <v>0</v>
      </c>
      <c r="J33" s="12" t="str">
        <f>_xll.qlJamshidianSwaptionEngine(,,,,Calibration!$C$2)</f>
        <v>obj_00650#0000</v>
      </c>
      <c r="K33" s="12" t="str">
        <f>IFERROR(_xll.qlCalibrationHelperSetPricingEngine(,H33,J33),"--")</f>
        <v>--</v>
      </c>
      <c r="L33" s="42" t="str">
        <f>IF(I33=FALSE,"--",_xll.qlSwaptionHelperModelValue($C$5,H33))</f>
        <v>--</v>
      </c>
      <c r="M33" s="43" t="str">
        <f>IFERROR(_xll.qlCalibrationHelperImpliedVolatility(,H33,L33,0.0001,1000,0.05,0.5),"--")</f>
        <v>--</v>
      </c>
      <c r="N33" s="44" t="str">
        <f t="shared" si="3"/>
        <v>--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NPV</vt:lpstr>
      <vt:lpstr>Calibration</vt:lpstr>
      <vt:lpstr>Calendar</vt:lpstr>
      <vt:lpstr>currency</vt:lpstr>
      <vt:lpstr>Discounting</vt:lpstr>
      <vt:lpstr>EvaluationDate</vt:lpstr>
      <vt:lpstr>familyName</vt:lpstr>
      <vt:lpstr>fixedLefFrequency</vt:lpstr>
      <vt:lpstr>fixedLegConvention</vt:lpstr>
      <vt:lpstr>fixedLegDayCounter</vt:lpstr>
      <vt:lpstr>floatingLegConvention</vt:lpstr>
      <vt:lpstr>floatingLegDayCounter</vt:lpstr>
      <vt:lpstr>floatingLegFrequency</vt:lpstr>
      <vt:lpstr>floatingLegIndex</vt:lpstr>
      <vt:lpstr>SettlementDate</vt:lpstr>
      <vt:lpstr>swapMaturityDate</vt:lpstr>
      <vt:lpstr>swapStartDate</vt:lpstr>
      <vt:lpstr>trigger</vt:lpstr>
      <vt:lpstr>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2015-09-08T15:46:20Z</dcterms:created>
  <dcterms:modified xsi:type="dcterms:W3CDTF">2015-09-18T10:14:50Z</dcterms:modified>
</cp:coreProperties>
</file>