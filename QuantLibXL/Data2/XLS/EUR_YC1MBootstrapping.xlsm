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definedNames>
    <definedName name="_xlnm._FilterDatabase" localSheetId="6" hidden="1">Monitor!$B$11:$F$3558</definedName>
    <definedName name="Accuracy">'General Settings'!$D$23</definedName>
    <definedName name="BondBasisDayCounter">'General Settings'!$M$14</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ontFuturesRollingDays">Selected!$B$4</definedName>
    <definedName name="IborIndex">Monitor!$Y$16</definedName>
    <definedName name="IborType">'General Settings'!$D$7</definedName>
    <definedName name="IndexTenor">'General Settings'!$D$6</definedName>
    <definedName name="InterpolatorID">'General Settings'!$D$25</definedName>
    <definedName name="MinDistance">RateHelpers!$K$2:$K$167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RateHelpers!$E$2:$E$167</definedName>
    <definedName name="RateHelpersIncluded">RateHelpers!$I$2:$I$167</definedName>
    <definedName name="RateHelpersPriority">RateHelpers!$J$2:$J$167</definedName>
    <definedName name="RecalcTrigger">Monitor!$J$20</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T19" i="12" l="1" a="1"/>
  <c r="T32" i="12" a="1"/>
  <c r="F4" i="12" l="1"/>
  <c r="F5" i="12"/>
  <c r="F6" i="12"/>
  <c r="F7" i="12"/>
  <c r="F8" i="12"/>
  <c r="F9" i="12"/>
  <c r="F10" i="12"/>
  <c r="F11" i="12"/>
  <c r="F12" i="12"/>
  <c r="F13" i="12"/>
  <c r="F14" i="12"/>
  <c r="F15" i="12"/>
  <c r="F16" i="12"/>
  <c r="F3" i="12"/>
  <c r="F7" i="4"/>
  <c r="F11" i="4"/>
  <c r="F15" i="4"/>
  <c r="F19" i="4"/>
  <c r="F23" i="4"/>
  <c r="F27" i="4"/>
  <c r="F31" i="4"/>
  <c r="F87" i="4"/>
  <c r="F91" i="4"/>
  <c r="F95" i="4"/>
  <c r="F99" i="4"/>
  <c r="F103" i="4"/>
  <c r="F107" i="4"/>
  <c r="F111" i="4"/>
  <c r="F115" i="4"/>
  <c r="F119" i="4"/>
  <c r="F123" i="4"/>
  <c r="F127" i="4"/>
  <c r="F13" i="4"/>
  <c r="F29" i="4"/>
  <c r="F93" i="4"/>
  <c r="F109" i="4"/>
  <c r="F121" i="4"/>
  <c r="F8" i="4"/>
  <c r="F12" i="4"/>
  <c r="F16" i="4"/>
  <c r="F20" i="4"/>
  <c r="F24" i="4"/>
  <c r="F28" i="4"/>
  <c r="F32" i="4"/>
  <c r="F88" i="4"/>
  <c r="F92" i="4"/>
  <c r="F96" i="4"/>
  <c r="F100" i="4"/>
  <c r="F104" i="4"/>
  <c r="F108" i="4"/>
  <c r="F112" i="4"/>
  <c r="F116" i="4"/>
  <c r="F120" i="4"/>
  <c r="F124" i="4"/>
  <c r="F128" i="4"/>
  <c r="F17" i="4"/>
  <c r="F25" i="4"/>
  <c r="F89" i="4"/>
  <c r="F101" i="4"/>
  <c r="F105" i="4"/>
  <c r="F117" i="4"/>
  <c r="F129" i="4"/>
  <c r="F10" i="4"/>
  <c r="F14" i="4"/>
  <c r="F18" i="4"/>
  <c r="F22" i="4"/>
  <c r="F26" i="4"/>
  <c r="F30" i="4"/>
  <c r="F90" i="4"/>
  <c r="F94" i="4"/>
  <c r="F98" i="4"/>
  <c r="F102" i="4"/>
  <c r="F106" i="4"/>
  <c r="F110" i="4"/>
  <c r="F114" i="4"/>
  <c r="F118" i="4"/>
  <c r="F122" i="4"/>
  <c r="F126" i="4"/>
  <c r="F130" i="4"/>
  <c r="F9" i="4"/>
  <c r="F21" i="4"/>
  <c r="F33" i="4"/>
  <c r="F97" i="4"/>
  <c r="F113" i="4"/>
  <c r="F125" i="4"/>
  <c r="C4" i="12"/>
  <c r="K4" i="11"/>
  <c r="C3" i="12"/>
  <c r="C5" i="12"/>
  <c r="K4" i="9"/>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7" i="12"/>
  <c r="B6" i="12"/>
  <c r="B8" i="12"/>
  <c r="B9" i="12"/>
  <c r="B3" i="12"/>
  <c r="B4" i="12"/>
  <c r="B5" i="12"/>
  <c r="C13" i="12" l="1"/>
  <c r="M13" i="6"/>
  <c r="C7" i="12"/>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F6" i="11"/>
  <c r="D7" i="11"/>
  <c r="K6" i="11"/>
  <c r="W19" i="12"/>
  <c r="J7" i="11" l="1"/>
  <c r="D8" i="11"/>
  <c r="F7" i="11"/>
  <c r="H7" i="11"/>
  <c r="X19" i="12"/>
  <c r="K7" i="11"/>
  <c r="W20" i="12"/>
  <c r="L4" i="11"/>
  <c r="E16" i="12" l="1"/>
  <c r="E9" i="12"/>
  <c r="E3" i="12"/>
  <c r="E15" i="12"/>
  <c r="E13" i="12"/>
  <c r="E6" i="12"/>
  <c r="E4" i="12"/>
  <c r="E12" i="12"/>
  <c r="E8" i="12"/>
  <c r="E7" i="12"/>
  <c r="E5" i="12"/>
  <c r="E11" i="12"/>
  <c r="E14" i="12"/>
  <c r="E10" i="12"/>
  <c r="H8" i="11"/>
  <c r="J8" i="11"/>
  <c r="D9" i="11"/>
  <c r="F8" i="11"/>
  <c r="X20" i="12"/>
  <c r="K8" i="11"/>
  <c r="W21" i="12"/>
  <c r="F9" i="11" l="1"/>
  <c r="H9" i="11"/>
  <c r="J9" i="11"/>
  <c r="D10" i="11"/>
  <c r="X21" i="12"/>
  <c r="K9" i="11"/>
  <c r="D11" i="11" l="1"/>
  <c r="F10" i="11"/>
  <c r="H10" i="11"/>
  <c r="J10" i="11"/>
  <c r="K10" i="11"/>
  <c r="D12" i="11" l="1"/>
  <c r="F11" i="11"/>
  <c r="J11" i="11"/>
  <c r="H11" i="11"/>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K18" i="11"/>
  <c r="K15" i="11"/>
  <c r="W22" i="12"/>
  <c r="W23" i="12"/>
  <c r="X23" i="12" s="1"/>
  <c r="K16" i="11"/>
  <c r="K17" i="11"/>
  <c r="D20" i="11" l="1"/>
  <c r="F19" i="11"/>
  <c r="J19" i="11"/>
  <c r="H19" i="11"/>
  <c r="X22" i="12"/>
  <c r="K19" i="11"/>
  <c r="W24" i="12"/>
  <c r="W25" i="12"/>
  <c r="X25" i="12"/>
  <c r="W26" i="12"/>
  <c r="D21" i="11" l="1"/>
  <c r="H20" i="11"/>
  <c r="J20" i="11"/>
  <c r="F20" i="11"/>
  <c r="X26" i="12"/>
  <c r="X24" i="12"/>
  <c r="F21" i="11" l="1"/>
  <c r="H21" i="11"/>
  <c r="J21" i="11"/>
  <c r="D22" i="11"/>
  <c r="D23" i="11" l="1"/>
  <c r="F22" i="11"/>
  <c r="H22" i="11"/>
  <c r="J22" i="11"/>
  <c r="K21" i="11"/>
  <c r="K20" i="11"/>
  <c r="W27" i="12"/>
  <c r="X27" i="12"/>
  <c r="W28" i="12"/>
  <c r="K22" i="11"/>
  <c r="W29" i="12"/>
  <c r="X28" i="12"/>
  <c r="W30" i="12"/>
  <c r="X29" i="12"/>
  <c r="X30" i="12"/>
  <c r="W31" i="12"/>
  <c r="W32" i="12"/>
  <c r="X31" i="12"/>
  <c r="W33" i="12"/>
  <c r="X32" i="12"/>
  <c r="W34" i="12"/>
  <c r="X33" i="12"/>
  <c r="X34" i="12"/>
  <c r="W35" i="12"/>
  <c r="W36" i="12"/>
  <c r="X35" i="12"/>
  <c r="X36" i="12"/>
  <c r="W37" i="12"/>
  <c r="X37" i="12"/>
  <c r="W38" i="12"/>
  <c r="X38" i="12"/>
  <c r="W39" i="12"/>
  <c r="W40" i="12"/>
  <c r="X39" i="12"/>
  <c r="X40" i="12"/>
  <c r="W41" i="12"/>
  <c r="W42" i="12"/>
  <c r="X41" i="12"/>
  <c r="W43" i="12"/>
  <c r="X42" i="12"/>
  <c r="W44" i="12"/>
  <c r="X43" i="12"/>
  <c r="W45" i="12"/>
  <c r="X44" i="12"/>
  <c r="W46" i="12"/>
  <c r="X45" i="12"/>
  <c r="W47" i="12"/>
  <c r="X46" i="12"/>
  <c r="W48" i="12"/>
  <c r="X47" i="12"/>
  <c r="X48" i="12"/>
  <c r="W49" i="12"/>
  <c r="X49" i="12"/>
  <c r="W50" i="12"/>
  <c r="W51" i="12"/>
  <c r="X50" i="12"/>
  <c r="W52" i="12"/>
  <c r="X51" i="12"/>
  <c r="W53" i="12"/>
  <c r="X52" i="12"/>
  <c r="X53" i="12"/>
  <c r="W54" i="12"/>
  <c r="X54" i="12"/>
  <c r="W55" i="12"/>
  <c r="W56" i="12"/>
  <c r="X55" i="12"/>
  <c r="X56" i="12"/>
  <c r="W57" i="12"/>
  <c r="X57" i="12"/>
  <c r="W58" i="12"/>
  <c r="X58" i="12"/>
  <c r="W59" i="12"/>
  <c r="X59" i="12"/>
  <c r="W60" i="12"/>
  <c r="X60" i="12"/>
  <c r="W61" i="12"/>
  <c r="W62" i="12"/>
  <c r="X61" i="12"/>
  <c r="X62" i="12"/>
  <c r="W63" i="12"/>
  <c r="X63" i="12"/>
  <c r="W64" i="12"/>
  <c r="W65" i="12"/>
  <c r="X64" i="12"/>
  <c r="W66" i="12"/>
  <c r="X65" i="12"/>
  <c r="X66" i="12"/>
  <c r="W67" i="12"/>
  <c r="W68" i="12"/>
  <c r="X67" i="12"/>
  <c r="X68" i="12"/>
  <c r="W69" i="12"/>
  <c r="W70" i="12"/>
  <c r="X69" i="12"/>
  <c r="W71" i="12"/>
  <c r="X70" i="12"/>
  <c r="X71" i="12"/>
  <c r="W72" i="12"/>
  <c r="W73" i="12"/>
  <c r="X72" i="12"/>
  <c r="W74" i="12"/>
  <c r="X73" i="12"/>
  <c r="W75" i="12"/>
  <c r="X74" i="12"/>
  <c r="W76" i="12"/>
  <c r="X75" i="12"/>
  <c r="W77" i="12"/>
  <c r="X76" i="12"/>
  <c r="W78" i="12"/>
  <c r="X77" i="12"/>
  <c r="X78" i="12"/>
  <c r="W79" i="12"/>
  <c r="X79" i="12"/>
  <c r="W80" i="12"/>
  <c r="W81" i="12"/>
  <c r="X80" i="12"/>
  <c r="W82" i="12"/>
  <c r="X81" i="12"/>
  <c r="X82" i="12"/>
  <c r="W83" i="12"/>
  <c r="X83" i="12"/>
  <c r="W84" i="12"/>
  <c r="W85" i="12"/>
  <c r="X84" i="12"/>
  <c r="W86" i="12"/>
  <c r="X85" i="12"/>
  <c r="X86" i="12"/>
  <c r="W87" i="12"/>
  <c r="W88" i="12"/>
  <c r="X87" i="12"/>
  <c r="W89" i="12"/>
  <c r="X88" i="12"/>
  <c r="X89" i="12"/>
  <c r="W90" i="12"/>
  <c r="X90" i="12"/>
  <c r="W91" i="12"/>
  <c r="X91" i="12"/>
  <c r="W92" i="12"/>
  <c r="X92" i="12"/>
  <c r="W93" i="12"/>
  <c r="W94" i="12"/>
  <c r="X93" i="12"/>
  <c r="W95" i="12"/>
  <c r="X94" i="12"/>
  <c r="W96" i="12"/>
  <c r="X95" i="12"/>
  <c r="X96" i="12"/>
  <c r="W97" i="12"/>
  <c r="X97" i="12"/>
  <c r="W98" i="12"/>
  <c r="X98" i="12"/>
  <c r="W99" i="12"/>
  <c r="W100" i="12"/>
  <c r="X99" i="12"/>
  <c r="X100" i="12"/>
  <c r="W101" i="12"/>
  <c r="X101" i="12"/>
  <c r="W102" i="12"/>
  <c r="X102" i="12"/>
  <c r="W103" i="12"/>
  <c r="X103" i="12"/>
  <c r="W104" i="12"/>
  <c r="X104" i="12"/>
  <c r="W105" i="12"/>
  <c r="W106" i="12"/>
  <c r="X105" i="12"/>
  <c r="W107" i="12"/>
  <c r="X106" i="12"/>
  <c r="W108" i="12"/>
  <c r="X107" i="12"/>
  <c r="W109" i="12"/>
  <c r="X108" i="12"/>
  <c r="W110" i="12"/>
  <c r="X109" i="12"/>
  <c r="W111" i="12"/>
  <c r="X110" i="12"/>
  <c r="X111" i="12"/>
  <c r="W112" i="12"/>
  <c r="X112" i="12"/>
  <c r="W113" i="12"/>
  <c r="W114" i="12"/>
  <c r="X113" i="12"/>
  <c r="X114" i="12"/>
  <c r="W115" i="12"/>
  <c r="X115" i="12"/>
  <c r="W116" i="12"/>
  <c r="X116" i="12"/>
  <c r="W117" i="12"/>
  <c r="W118" i="12"/>
  <c r="X117" i="12"/>
  <c r="X118" i="12"/>
  <c r="W119" i="12"/>
  <c r="X119" i="12"/>
  <c r="W120" i="12"/>
  <c r="W121" i="12"/>
  <c r="X120" i="12"/>
  <c r="X121" i="12"/>
  <c r="W122" i="12"/>
  <c r="X122" i="12"/>
  <c r="W123" i="12"/>
  <c r="X123" i="12"/>
  <c r="W124" i="12"/>
  <c r="X124" i="12"/>
  <c r="W125" i="12"/>
  <c r="W126" i="12"/>
  <c r="X125" i="12"/>
  <c r="X126" i="12"/>
  <c r="W127" i="12"/>
  <c r="W128" i="12"/>
  <c r="X127" i="12"/>
  <c r="X128" i="12"/>
  <c r="W129" i="12"/>
  <c r="W130" i="12"/>
  <c r="X129" i="12"/>
  <c r="W131" i="12"/>
  <c r="X130" i="12"/>
  <c r="W132" i="12"/>
  <c r="X131" i="12"/>
  <c r="X132" i="12"/>
  <c r="W133" i="12"/>
  <c r="X133" i="12"/>
  <c r="W134" i="12"/>
  <c r="X134" i="12"/>
  <c r="W135" i="12"/>
  <c r="X135" i="12"/>
  <c r="W136" i="12"/>
  <c r="X136" i="12"/>
  <c r="W137" i="12"/>
  <c r="W138" i="12"/>
  <c r="X137" i="12"/>
  <c r="X138" i="12"/>
  <c r="W139" i="12"/>
  <c r="X139" i="12"/>
  <c r="W140" i="12"/>
  <c r="W141" i="12"/>
  <c r="X140" i="12"/>
  <c r="W142" i="12"/>
  <c r="X141" i="12"/>
  <c r="W143" i="12"/>
  <c r="X142" i="12"/>
  <c r="W144" i="12"/>
  <c r="X143" i="12"/>
  <c r="X144" i="12"/>
  <c r="W145" i="12"/>
  <c r="X145" i="12"/>
  <c r="W146" i="12"/>
  <c r="X146" i="12"/>
  <c r="W147" i="12"/>
  <c r="X147" i="12"/>
  <c r="W148" i="12"/>
  <c r="W149" i="12"/>
  <c r="X148" i="12"/>
  <c r="X149" i="12"/>
  <c r="W150" i="12"/>
  <c r="X150" i="12"/>
  <c r="W151" i="12"/>
  <c r="X151" i="12"/>
  <c r="W152" i="12"/>
  <c r="X152" i="12"/>
  <c r="W153" i="12"/>
  <c r="W154" i="12"/>
  <c r="X153" i="12"/>
  <c r="X154" i="12"/>
  <c r="W155" i="12"/>
  <c r="W156" i="12"/>
  <c r="X155" i="12"/>
  <c r="X156" i="12"/>
  <c r="W157" i="12"/>
  <c r="X157" i="12"/>
  <c r="W158" i="12"/>
  <c r="X158" i="12"/>
  <c r="W159" i="12"/>
  <c r="X159" i="12"/>
  <c r="W160" i="12"/>
  <c r="X160" i="12"/>
  <c r="W161" i="12"/>
  <c r="W162" i="12"/>
  <c r="X161" i="12"/>
  <c r="W163" i="12"/>
  <c r="X162" i="12"/>
  <c r="W164" i="12"/>
  <c r="X163" i="12"/>
  <c r="W165" i="12"/>
  <c r="X164" i="12"/>
  <c r="W166" i="12"/>
  <c r="X165" i="12"/>
  <c r="X166" i="12"/>
  <c r="W167" i="12"/>
  <c r="X167" i="12"/>
  <c r="W168" i="12"/>
  <c r="W169" i="12"/>
  <c r="X168" i="12"/>
  <c r="X169" i="12"/>
  <c r="W170" i="12"/>
  <c r="X170" i="12"/>
  <c r="W171" i="12"/>
  <c r="W172" i="12"/>
  <c r="X171" i="12"/>
  <c r="X172" i="12"/>
  <c r="W173" i="12"/>
  <c r="X173" i="12"/>
  <c r="W174" i="12"/>
  <c r="X174" i="12"/>
  <c r="W175" i="12"/>
  <c r="X175" i="12"/>
  <c r="W176" i="12"/>
  <c r="X176" i="12"/>
  <c r="W177" i="12"/>
  <c r="X177" i="12"/>
  <c r="W178" i="12"/>
  <c r="X178" i="12"/>
  <c r="W179" i="12"/>
  <c r="W180" i="12"/>
  <c r="X179" i="12"/>
  <c r="W181" i="12"/>
  <c r="X180" i="12"/>
  <c r="W182" i="12"/>
  <c r="X181" i="12"/>
  <c r="X182" i="12"/>
  <c r="W183" i="12"/>
  <c r="X183" i="12"/>
  <c r="W184" i="12"/>
  <c r="W185" i="12"/>
  <c r="X184" i="12"/>
  <c r="W186" i="12"/>
  <c r="X185" i="12"/>
  <c r="W187" i="12"/>
  <c r="X186" i="12"/>
  <c r="X187" i="12"/>
  <c r="W188" i="12"/>
  <c r="W189" i="12"/>
  <c r="X188" i="12"/>
  <c r="X189" i="12"/>
  <c r="W190" i="12"/>
  <c r="W191" i="12"/>
  <c r="X190" i="12"/>
  <c r="X191" i="12"/>
  <c r="W192" i="12"/>
  <c r="X192" i="12"/>
  <c r="W193" i="12"/>
  <c r="W194" i="12"/>
  <c r="X193" i="12"/>
  <c r="X194" i="12"/>
  <c r="W195" i="12"/>
  <c r="X195" i="12"/>
  <c r="W196" i="12"/>
  <c r="W197" i="12"/>
  <c r="X196" i="12"/>
  <c r="X197" i="12"/>
  <c r="W198" i="12"/>
  <c r="X198" i="12"/>
  <c r="W199" i="12"/>
  <c r="X199" i="12"/>
  <c r="W200" i="12"/>
  <c r="X200" i="12"/>
  <c r="W201" i="12"/>
  <c r="W202" i="12"/>
  <c r="X201" i="12"/>
  <c r="W203" i="12"/>
  <c r="X202" i="12"/>
  <c r="X203" i="12"/>
  <c r="W204" i="12"/>
  <c r="W205" i="12"/>
  <c r="X204" i="12"/>
  <c r="X205" i="12"/>
  <c r="W206" i="12"/>
  <c r="X206" i="12"/>
  <c r="W207" i="12"/>
  <c r="W208" i="12"/>
  <c r="X207" i="12"/>
  <c r="X208" i="12"/>
  <c r="W209" i="12"/>
  <c r="W210" i="12"/>
  <c r="X209" i="12"/>
  <c r="X210" i="12"/>
  <c r="W211" i="12"/>
  <c r="X211" i="12"/>
  <c r="W212" i="12"/>
  <c r="W213" i="12"/>
  <c r="X212" i="12"/>
  <c r="W214" i="12"/>
  <c r="X213" i="12"/>
  <c r="X214" i="12"/>
  <c r="W215" i="12"/>
  <c r="W216" i="12"/>
  <c r="X215" i="12"/>
  <c r="W217" i="12"/>
  <c r="X216" i="12"/>
  <c r="W218" i="12"/>
  <c r="X217" i="12"/>
  <c r="W219" i="12"/>
  <c r="X218" i="12"/>
  <c r="W220" i="12"/>
  <c r="X219" i="12"/>
  <c r="X220" i="12"/>
  <c r="W221" i="12"/>
  <c r="X221" i="12"/>
  <c r="W222" i="12"/>
  <c r="W223" i="12"/>
  <c r="X222" i="12"/>
  <c r="X223" i="12"/>
  <c r="W224" i="12"/>
  <c r="X224" i="12"/>
  <c r="W225" i="12"/>
  <c r="X225" i="12"/>
  <c r="W226" i="12"/>
  <c r="X226" i="12"/>
  <c r="W227" i="12"/>
  <c r="X227" i="12"/>
  <c r="W228" i="12"/>
  <c r="X228" i="12"/>
  <c r="W229" i="12"/>
  <c r="X229" i="12"/>
  <c r="W230" i="12"/>
  <c r="X230" i="12"/>
  <c r="W231" i="12"/>
  <c r="X231" i="12"/>
  <c r="W232" i="12"/>
  <c r="X232" i="12"/>
  <c r="W233" i="12"/>
  <c r="W234" i="12"/>
  <c r="X233" i="12"/>
  <c r="X234" i="12"/>
  <c r="W235" i="12"/>
  <c r="X235" i="12"/>
  <c r="W236" i="12"/>
  <c r="X236" i="12"/>
  <c r="W237" i="12"/>
  <c r="X237" i="12"/>
  <c r="W238" i="12"/>
  <c r="X238" i="12"/>
  <c r="W239" i="12"/>
  <c r="X239" i="12"/>
  <c r="W240" i="12"/>
  <c r="X240" i="12"/>
  <c r="W241" i="12"/>
  <c r="X241" i="12"/>
  <c r="W242" i="12"/>
  <c r="X242" i="12"/>
  <c r="W243" i="12"/>
  <c r="X243" i="12"/>
  <c r="W244" i="12"/>
  <c r="W245" i="12"/>
  <c r="X244" i="12"/>
  <c r="X245" i="12"/>
  <c r="W246" i="12"/>
  <c r="X246" i="12"/>
  <c r="W247" i="12"/>
  <c r="X247" i="12"/>
  <c r="W248" i="12"/>
  <c r="X248" i="12"/>
  <c r="W249" i="12"/>
  <c r="X249" i="12"/>
  <c r="W250" i="12"/>
  <c r="X250" i="12"/>
  <c r="W251" i="12"/>
  <c r="W252" i="12"/>
  <c r="X251" i="12"/>
  <c r="X252" i="12"/>
  <c r="W253" i="12"/>
  <c r="W254" i="12"/>
  <c r="X253" i="12"/>
  <c r="W255" i="12"/>
  <c r="X254" i="12"/>
  <c r="W256" i="12"/>
  <c r="X255" i="12"/>
  <c r="W257" i="12"/>
  <c r="X256" i="12"/>
  <c r="X257" i="12"/>
  <c r="W258" i="12"/>
  <c r="W259" i="12"/>
  <c r="X258" i="12"/>
  <c r="W260" i="12"/>
  <c r="X259" i="12"/>
  <c r="W261" i="12"/>
  <c r="X260" i="12"/>
  <c r="X261" i="12"/>
  <c r="W262" i="12"/>
  <c r="X262" i="12"/>
  <c r="W263" i="12"/>
  <c r="W264" i="12"/>
  <c r="X263" i="12"/>
  <c r="W265" i="12"/>
  <c r="X264" i="12"/>
  <c r="X265" i="12"/>
  <c r="W266" i="12"/>
  <c r="X266" i="12"/>
  <c r="W267" i="12"/>
  <c r="X267" i="12"/>
  <c r="W268" i="12"/>
  <c r="X268" i="12"/>
  <c r="W269" i="12"/>
  <c r="W270" i="12"/>
  <c r="X269" i="12"/>
  <c r="W271" i="12"/>
  <c r="X270" i="12"/>
  <c r="W272" i="12"/>
  <c r="X271" i="12"/>
  <c r="W273" i="12"/>
  <c r="X272" i="12"/>
  <c r="W274" i="12"/>
  <c r="X273" i="12"/>
  <c r="X274" i="12"/>
  <c r="W275" i="12"/>
  <c r="W276" i="12"/>
  <c r="X275" i="12"/>
  <c r="W277" i="12"/>
  <c r="X276" i="12"/>
  <c r="W278" i="12"/>
  <c r="X277" i="12"/>
  <c r="W279" i="12"/>
  <c r="X278" i="12"/>
  <c r="W280" i="12"/>
  <c r="X279" i="12"/>
  <c r="W281" i="12"/>
  <c r="X280" i="12"/>
  <c r="W282" i="12"/>
  <c r="X281" i="12"/>
  <c r="W283" i="12"/>
  <c r="X282" i="12"/>
  <c r="X283" i="12"/>
  <c r="W284" i="12"/>
  <c r="X284" i="12"/>
  <c r="W285" i="12"/>
  <c r="W286" i="12"/>
  <c r="X285" i="12"/>
  <c r="X286" i="12"/>
  <c r="W287" i="12"/>
  <c r="W288" i="12"/>
  <c r="X287" i="12"/>
  <c r="W289" i="12"/>
  <c r="X288" i="12"/>
  <c r="W290" i="12"/>
  <c r="X289" i="12"/>
  <c r="W291" i="12"/>
  <c r="X290" i="12"/>
  <c r="X291" i="12"/>
  <c r="W292" i="12"/>
  <c r="X292" i="12"/>
  <c r="W293" i="12"/>
  <c r="W294" i="12"/>
  <c r="X293" i="12"/>
  <c r="W295" i="12"/>
  <c r="X294" i="12"/>
  <c r="W296" i="12"/>
  <c r="X295" i="12"/>
  <c r="W297" i="12"/>
  <c r="X296" i="12"/>
  <c r="W298" i="12"/>
  <c r="X297" i="12"/>
  <c r="X298" i="12"/>
  <c r="W299" i="12"/>
  <c r="W300" i="12"/>
  <c r="X299" i="12"/>
  <c r="W301" i="12"/>
  <c r="X300" i="12"/>
  <c r="W302" i="12"/>
  <c r="X301" i="12"/>
  <c r="X302" i="12"/>
  <c r="W303" i="12"/>
  <c r="X303" i="12"/>
  <c r="W304" i="12"/>
  <c r="W305" i="12"/>
  <c r="X304" i="12"/>
  <c r="X305" i="12"/>
  <c r="W306" i="12"/>
  <c r="W307" i="12"/>
  <c r="X306" i="12"/>
  <c r="X307" i="12"/>
  <c r="W308" i="12"/>
  <c r="W309" i="12"/>
  <c r="X308" i="12"/>
  <c r="W310" i="12"/>
  <c r="X309" i="12"/>
  <c r="X310" i="12"/>
  <c r="W311" i="12"/>
  <c r="W312" i="12"/>
  <c r="X311" i="12"/>
  <c r="W313" i="12"/>
  <c r="X312" i="12"/>
  <c r="X313" i="12"/>
  <c r="W314" i="12"/>
  <c r="W315" i="12"/>
  <c r="X314" i="12"/>
  <c r="X315" i="12"/>
  <c r="W316" i="12"/>
  <c r="W317" i="12"/>
  <c r="X316" i="12"/>
  <c r="W318" i="12"/>
  <c r="X317" i="12"/>
  <c r="X318" i="12"/>
  <c r="W319" i="12"/>
  <c r="W320" i="12"/>
  <c r="X319" i="12"/>
  <c r="W321" i="12"/>
  <c r="X320" i="12"/>
  <c r="W322" i="12"/>
  <c r="X321" i="12"/>
  <c r="X322" i="12"/>
  <c r="W323" i="12"/>
  <c r="X323" i="12"/>
  <c r="W324" i="12"/>
  <c r="X324" i="12"/>
  <c r="W325" i="12"/>
  <c r="X325" i="12"/>
  <c r="W326" i="12"/>
  <c r="W327" i="12"/>
  <c r="X326" i="12"/>
  <c r="X327" i="12"/>
  <c r="W328" i="12"/>
  <c r="W329" i="12"/>
  <c r="X328" i="12"/>
  <c r="X329" i="12"/>
  <c r="W330" i="12"/>
  <c r="W331" i="12"/>
  <c r="X330" i="12"/>
  <c r="X331" i="12"/>
  <c r="W332" i="12"/>
  <c r="X332" i="12"/>
  <c r="W333" i="12"/>
  <c r="W334" i="12"/>
  <c r="X333" i="12"/>
  <c r="X334" i="12"/>
  <c r="W335" i="12"/>
  <c r="W336" i="12"/>
  <c r="X335" i="12"/>
  <c r="W337" i="12"/>
  <c r="X336" i="12"/>
  <c r="X337" i="12"/>
  <c r="W338" i="12"/>
  <c r="X338" i="12"/>
  <c r="W339" i="12"/>
  <c r="W340" i="12"/>
  <c r="X339" i="12"/>
  <c r="X340" i="12"/>
  <c r="W341" i="12"/>
  <c r="X341" i="12"/>
  <c r="W342" i="12"/>
  <c r="W343" i="12"/>
  <c r="X342" i="12"/>
  <c r="W344" i="12"/>
  <c r="X343" i="12"/>
  <c r="X344" i="12"/>
  <c r="W345" i="12"/>
  <c r="X345" i="12"/>
  <c r="W346" i="12"/>
  <c r="W347" i="12"/>
  <c r="X346" i="12"/>
  <c r="X347" i="12"/>
  <c r="W348" i="12"/>
  <c r="X348" i="12"/>
  <c r="W349" i="12"/>
  <c r="W350" i="12"/>
  <c r="X349" i="12"/>
  <c r="W351" i="12"/>
  <c r="X350" i="12"/>
  <c r="W352" i="12"/>
  <c r="X351" i="12"/>
  <c r="X352" i="12"/>
  <c r="W353" i="12"/>
  <c r="X353" i="12"/>
  <c r="W354" i="12"/>
  <c r="X354" i="12"/>
  <c r="W355" i="12"/>
  <c r="X355" i="12"/>
  <c r="W356" i="12"/>
  <c r="W357" i="12"/>
  <c r="X356" i="12"/>
  <c r="W358" i="12"/>
  <c r="X357" i="12"/>
  <c r="W359" i="12"/>
  <c r="X358" i="12"/>
  <c r="W360" i="12"/>
  <c r="X359" i="12"/>
  <c r="X360" i="12"/>
  <c r="W361" i="12"/>
  <c r="X361" i="12"/>
  <c r="W362" i="12"/>
  <c r="X362" i="12"/>
  <c r="W363" i="12"/>
  <c r="W364" i="12"/>
  <c r="X363" i="12"/>
  <c r="X364" i="12"/>
  <c r="W365" i="12"/>
  <c r="X365" i="12"/>
  <c r="W366" i="12"/>
  <c r="W367" i="12"/>
  <c r="X366" i="12"/>
  <c r="W368" i="12"/>
  <c r="X367" i="12"/>
  <c r="W369" i="12"/>
  <c r="X368" i="12"/>
  <c r="W370" i="12"/>
  <c r="X369" i="12"/>
  <c r="X370" i="12"/>
  <c r="W371" i="12"/>
  <c r="W372" i="12"/>
  <c r="X371" i="12"/>
  <c r="W373" i="12"/>
  <c r="X372" i="12"/>
  <c r="W374" i="12"/>
  <c r="X373" i="12"/>
  <c r="X374" i="12"/>
  <c r="W375" i="12"/>
  <c r="X375" i="12"/>
  <c r="W376" i="12"/>
  <c r="W377" i="12"/>
  <c r="X376" i="12"/>
  <c r="W378" i="12"/>
  <c r="X377" i="12"/>
  <c r="X378" i="12"/>
  <c r="W379" i="12"/>
  <c r="X379" i="12"/>
  <c r="W380" i="12"/>
  <c r="W381" i="12"/>
  <c r="X380" i="12"/>
  <c r="W382" i="12"/>
  <c r="X381" i="12"/>
  <c r="W383" i="12"/>
  <c r="X382" i="12"/>
  <c r="W384" i="12"/>
  <c r="X383" i="12"/>
  <c r="X384" i="12"/>
  <c r="W385" i="12"/>
  <c r="W386" i="12"/>
  <c r="X385" i="12"/>
  <c r="X386" i="12"/>
  <c r="W387" i="12"/>
  <c r="X387" i="12"/>
  <c r="W388" i="12"/>
  <c r="X388" i="12"/>
  <c r="W389" i="12"/>
  <c r="X389" i="12"/>
  <c r="W390" i="12"/>
  <c r="W391" i="12"/>
  <c r="X390" i="12"/>
  <c r="W392" i="12"/>
  <c r="X391" i="12"/>
  <c r="W393" i="12"/>
  <c r="X392" i="12"/>
  <c r="X393" i="12"/>
  <c r="W394" i="12"/>
  <c r="W395" i="12"/>
  <c r="X394" i="12"/>
  <c r="W396" i="12"/>
  <c r="X395" i="12"/>
  <c r="X396" i="12"/>
  <c r="W397" i="12"/>
  <c r="W398" i="12"/>
  <c r="X397" i="12"/>
  <c r="X398" i="12"/>
  <c r="W399" i="12"/>
  <c r="X399" i="12"/>
  <c r="W400" i="12"/>
  <c r="W401" i="12"/>
  <c r="X400" i="12"/>
  <c r="W402" i="12"/>
  <c r="X401" i="12"/>
  <c r="X402" i="12"/>
  <c r="W403" i="12"/>
  <c r="W404" i="12"/>
  <c r="X403" i="12"/>
  <c r="W405" i="12"/>
  <c r="X404" i="12"/>
  <c r="X405" i="12"/>
  <c r="W406" i="12"/>
  <c r="W407" i="12"/>
  <c r="X406" i="12"/>
  <c r="X407" i="12"/>
  <c r="W408" i="12"/>
  <c r="X408" i="12"/>
  <c r="W409" i="12"/>
  <c r="X409" i="12"/>
  <c r="W410" i="12"/>
  <c r="X410" i="12"/>
  <c r="W411" i="12"/>
  <c r="X411" i="12"/>
  <c r="W412" i="12"/>
  <c r="X412" i="12"/>
  <c r="W413" i="12"/>
  <c r="W414" i="12"/>
  <c r="X413" i="12"/>
  <c r="W415" i="12"/>
  <c r="X414" i="12"/>
  <c r="W416" i="12"/>
  <c r="X415" i="12"/>
  <c r="X416" i="12"/>
  <c r="W417" i="12"/>
  <c r="X417" i="12"/>
  <c r="W418" i="12"/>
  <c r="W419" i="12"/>
  <c r="X418" i="12"/>
  <c r="X419" i="12"/>
  <c r="W420" i="12"/>
  <c r="X420" i="12"/>
  <c r="W421" i="12"/>
  <c r="W422" i="12"/>
  <c r="X421" i="12"/>
  <c r="W423" i="12"/>
  <c r="X422" i="12"/>
  <c r="X423" i="12"/>
  <c r="W424" i="12"/>
  <c r="W425" i="12"/>
  <c r="X424" i="12"/>
  <c r="W426" i="12"/>
  <c r="X425" i="12"/>
  <c r="W427" i="12"/>
  <c r="X426" i="12"/>
  <c r="X427" i="12"/>
  <c r="W428" i="12"/>
  <c r="W429" i="12"/>
  <c r="X428" i="12"/>
  <c r="W430" i="12"/>
  <c r="X429" i="12"/>
  <c r="W431" i="12"/>
  <c r="X430" i="12"/>
  <c r="X431" i="12"/>
  <c r="W432" i="12"/>
  <c r="W433" i="12"/>
  <c r="X432" i="12"/>
  <c r="X433" i="12"/>
  <c r="W434" i="12"/>
  <c r="W435" i="12"/>
  <c r="X434" i="12"/>
  <c r="W436" i="12"/>
  <c r="X435" i="12"/>
  <c r="X436" i="12"/>
  <c r="W437" i="12"/>
  <c r="W438" i="12"/>
  <c r="X437" i="12"/>
  <c r="X438" i="12"/>
  <c r="W439" i="12"/>
  <c r="W440" i="12"/>
  <c r="X439" i="12"/>
  <c r="W441" i="12"/>
  <c r="X440" i="12"/>
  <c r="W442" i="12"/>
  <c r="X441" i="12"/>
  <c r="W443" i="12"/>
  <c r="X442" i="12"/>
  <c r="W444" i="12"/>
  <c r="X443" i="12"/>
  <c r="W445" i="12"/>
  <c r="X444" i="12"/>
  <c r="X445" i="12"/>
  <c r="W446" i="12"/>
  <c r="X446" i="12"/>
  <c r="W447" i="12"/>
  <c r="X447" i="12"/>
  <c r="W448" i="12"/>
  <c r="X448" i="12"/>
  <c r="W449" i="12"/>
  <c r="X449" i="12"/>
  <c r="W450" i="12"/>
  <c r="W451" i="12"/>
  <c r="X450" i="12"/>
  <c r="X451" i="12"/>
  <c r="W452" i="12"/>
  <c r="W453" i="12"/>
  <c r="X452" i="12"/>
  <c r="X453" i="12"/>
  <c r="W454" i="12"/>
  <c r="X454" i="12"/>
  <c r="W455" i="12"/>
  <c r="W456" i="12"/>
  <c r="X455" i="12"/>
  <c r="W457" i="12"/>
  <c r="X456" i="12"/>
  <c r="W458" i="12"/>
  <c r="X457" i="12"/>
  <c r="X458" i="12"/>
  <c r="W459" i="12"/>
  <c r="W460" i="12"/>
  <c r="X459" i="12"/>
  <c r="X460" i="12"/>
  <c r="W461" i="12"/>
  <c r="W462" i="12"/>
  <c r="X461" i="12"/>
  <c r="X462" i="12"/>
  <c r="W463" i="12"/>
  <c r="X463" i="12"/>
  <c r="W464" i="12"/>
  <c r="W465" i="12"/>
  <c r="X464" i="12"/>
  <c r="X465" i="12"/>
  <c r="W466" i="12"/>
  <c r="X466" i="12"/>
  <c r="W467" i="12"/>
  <c r="W468" i="12"/>
  <c r="X467" i="12"/>
  <c r="W469" i="12"/>
  <c r="X468" i="12"/>
  <c r="W470" i="12"/>
  <c r="X469" i="12"/>
  <c r="X470" i="12"/>
  <c r="W471" i="12"/>
  <c r="X471" i="12"/>
  <c r="W472" i="12"/>
  <c r="W473" i="12"/>
  <c r="X472" i="12"/>
  <c r="X473" i="12"/>
  <c r="W474" i="12"/>
  <c r="X474" i="12"/>
  <c r="W475" i="12"/>
  <c r="X475" i="12"/>
  <c r="W476" i="12"/>
  <c r="W477" i="12"/>
  <c r="X476" i="12"/>
  <c r="W478" i="12"/>
  <c r="X477" i="12"/>
  <c r="X478" i="12"/>
  <c r="W479" i="12"/>
  <c r="W480" i="12"/>
  <c r="X479" i="12"/>
  <c r="W481" i="12"/>
  <c r="X480" i="12"/>
  <c r="W482" i="12"/>
  <c r="X481" i="12"/>
  <c r="W483" i="12"/>
  <c r="X482" i="12"/>
  <c r="W484" i="12"/>
  <c r="X483" i="12"/>
  <c r="W485" i="12"/>
  <c r="X484" i="12"/>
  <c r="W486" i="12"/>
  <c r="X485" i="12"/>
  <c r="X486" i="12"/>
  <c r="W487" i="12"/>
  <c r="X487" i="12"/>
  <c r="W488" i="12"/>
  <c r="X488" i="12"/>
  <c r="W489" i="12"/>
  <c r="X489" i="12"/>
  <c r="W490" i="12"/>
  <c r="X490" i="12"/>
  <c r="W491" i="12"/>
  <c r="X491" i="12"/>
  <c r="W492" i="12"/>
  <c r="W493" i="12"/>
  <c r="X492" i="12"/>
  <c r="X493" i="12"/>
  <c r="W494" i="12"/>
  <c r="X494" i="12"/>
  <c r="W495" i="12"/>
  <c r="X495" i="12"/>
  <c r="W496" i="12"/>
  <c r="W497" i="12"/>
  <c r="X496" i="12"/>
  <c r="W498" i="12"/>
  <c r="X497" i="12"/>
  <c r="X498" i="12"/>
  <c r="W499" i="12"/>
  <c r="W500" i="12"/>
  <c r="X499" i="12"/>
  <c r="X500" i="12"/>
  <c r="W501" i="12"/>
  <c r="W502" i="12"/>
  <c r="X501" i="12"/>
  <c r="W503" i="12"/>
  <c r="X502" i="12"/>
  <c r="X503" i="12"/>
  <c r="W504" i="12"/>
  <c r="W505" i="12"/>
  <c r="X504" i="12"/>
  <c r="W506" i="12"/>
  <c r="X505" i="12"/>
  <c r="W507" i="12"/>
  <c r="X506" i="12"/>
  <c r="X507" i="12"/>
  <c r="W508" i="12"/>
  <c r="W509" i="12"/>
  <c r="X508" i="12"/>
  <c r="X509" i="12"/>
  <c r="W510" i="12"/>
  <c r="W511" i="12"/>
  <c r="X510" i="12"/>
  <c r="X511" i="12"/>
  <c r="W512" i="12"/>
  <c r="X512" i="12"/>
  <c r="W513" i="12"/>
  <c r="X513" i="12"/>
  <c r="W514" i="12"/>
  <c r="X514" i="12"/>
  <c r="W515" i="12"/>
  <c r="W516" i="12"/>
  <c r="X515" i="12"/>
  <c r="W517" i="12"/>
  <c r="X516" i="12"/>
  <c r="W518" i="12"/>
  <c r="X517" i="12"/>
  <c r="W519" i="12"/>
  <c r="X518" i="12"/>
  <c r="W520" i="12"/>
  <c r="X519" i="12"/>
  <c r="X520" i="12"/>
  <c r="W521" i="12"/>
  <c r="W522" i="12"/>
  <c r="X521" i="12"/>
  <c r="W523" i="12"/>
  <c r="X522" i="12"/>
  <c r="W524" i="12"/>
  <c r="X523" i="12"/>
  <c r="W525" i="12"/>
  <c r="X524" i="12"/>
  <c r="X525" i="12"/>
  <c r="W526" i="12"/>
  <c r="X526" i="12"/>
  <c r="W527" i="12"/>
  <c r="W528" i="12"/>
  <c r="X527" i="12"/>
  <c r="X528" i="12"/>
  <c r="W529" i="12"/>
  <c r="W530" i="12"/>
  <c r="X529" i="12"/>
  <c r="X530" i="12"/>
  <c r="W531" i="12"/>
  <c r="W532" i="12"/>
  <c r="X531" i="12"/>
  <c r="W533" i="12"/>
  <c r="X532" i="12"/>
  <c r="W534" i="12"/>
  <c r="X533" i="12"/>
  <c r="X534" i="12"/>
  <c r="W535" i="12"/>
  <c r="X535" i="12"/>
  <c r="W536" i="12"/>
  <c r="X536" i="12"/>
  <c r="W537" i="12"/>
  <c r="X537" i="12"/>
  <c r="W538" i="12"/>
  <c r="W539" i="12"/>
  <c r="X538" i="12"/>
  <c r="W540" i="12"/>
  <c r="X539" i="12"/>
  <c r="W541" i="12"/>
  <c r="X540" i="12"/>
  <c r="W542" i="12"/>
  <c r="X541" i="12"/>
  <c r="X542" i="12"/>
  <c r="W543" i="12"/>
  <c r="W544" i="12"/>
  <c r="X543" i="12"/>
  <c r="W545" i="12"/>
  <c r="X544" i="12"/>
  <c r="X545" i="12"/>
  <c r="W546" i="12"/>
  <c r="X546" i="12"/>
  <c r="W547" i="12"/>
  <c r="X547" i="12"/>
  <c r="W548" i="12"/>
  <c r="X548" i="12"/>
  <c r="W549" i="12"/>
  <c r="X549" i="12"/>
  <c r="W550" i="12"/>
  <c r="X550" i="12"/>
  <c r="W551" i="12"/>
  <c r="X551" i="12"/>
  <c r="W552" i="12"/>
  <c r="W553" i="12"/>
  <c r="X552" i="12"/>
  <c r="W554" i="12"/>
  <c r="X553" i="12"/>
  <c r="X554" i="12"/>
  <c r="W555" i="12"/>
  <c r="X555" i="12"/>
  <c r="W556" i="12"/>
  <c r="X556" i="12"/>
  <c r="W557" i="12"/>
  <c r="W558" i="12"/>
  <c r="X557" i="12"/>
  <c r="W559" i="12"/>
  <c r="X558" i="12"/>
  <c r="W560" i="12"/>
  <c r="X559" i="12"/>
  <c r="W561" i="12"/>
  <c r="X560" i="12"/>
  <c r="X561" i="12"/>
  <c r="W562" i="12"/>
  <c r="X562" i="12"/>
  <c r="W563" i="12"/>
  <c r="W564" i="12"/>
  <c r="X563" i="12"/>
  <c r="X564" i="12"/>
  <c r="W565" i="12"/>
  <c r="X565" i="12"/>
  <c r="W566" i="12"/>
  <c r="X566" i="12"/>
  <c r="W567" i="12"/>
  <c r="W568" i="12"/>
  <c r="X567" i="12"/>
  <c r="W569" i="12"/>
  <c r="X568" i="12"/>
  <c r="X569" i="12"/>
  <c r="W570" i="12"/>
  <c r="W571" i="12"/>
  <c r="X570" i="12"/>
  <c r="X571" i="12"/>
  <c r="W572" i="12"/>
  <c r="X572" i="12"/>
  <c r="W573" i="12"/>
  <c r="X573" i="12"/>
  <c r="W574" i="12"/>
  <c r="W575" i="12"/>
  <c r="X574" i="12"/>
  <c r="X575" i="12"/>
  <c r="W576" i="12"/>
  <c r="W577" i="12"/>
  <c r="X576" i="12"/>
  <c r="W578" i="12"/>
  <c r="X577" i="12"/>
  <c r="X578" i="12"/>
  <c r="W579" i="12"/>
  <c r="X579" i="12"/>
  <c r="W580" i="12"/>
  <c r="W581" i="12"/>
  <c r="X580" i="12"/>
  <c r="X581" i="12"/>
  <c r="W582" i="12"/>
  <c r="X582" i="12"/>
  <c r="W583" i="12"/>
  <c r="X583" i="12"/>
  <c r="W584" i="12"/>
  <c r="W585" i="12"/>
  <c r="X584" i="12"/>
  <c r="W586" i="12"/>
  <c r="X585" i="12"/>
  <c r="W587" i="12"/>
  <c r="X586" i="12"/>
  <c r="X587" i="12"/>
  <c r="W588" i="12"/>
  <c r="X588" i="12"/>
  <c r="W589" i="12"/>
  <c r="W590" i="12"/>
  <c r="X589" i="12"/>
  <c r="X590" i="12"/>
  <c r="W591" i="12"/>
  <c r="W592" i="12"/>
  <c r="X591" i="12"/>
  <c r="X592" i="12"/>
  <c r="W593" i="12"/>
  <c r="W594" i="12"/>
  <c r="X593" i="12"/>
  <c r="W595" i="12"/>
  <c r="X594" i="12"/>
  <c r="W596" i="12"/>
  <c r="X595" i="12"/>
  <c r="X596" i="12"/>
  <c r="W597" i="12"/>
  <c r="W598" i="12"/>
  <c r="X597" i="12"/>
  <c r="X598" i="12"/>
  <c r="W599" i="12"/>
  <c r="X599" i="12"/>
  <c r="W600" i="12"/>
  <c r="W601" i="12"/>
  <c r="X600" i="12"/>
  <c r="W602" i="12"/>
  <c r="X601" i="12"/>
  <c r="W603" i="12"/>
  <c r="X602" i="12"/>
  <c r="W604" i="12"/>
  <c r="X603" i="12"/>
  <c r="X604" i="12"/>
  <c r="W605" i="12"/>
  <c r="W606" i="12"/>
  <c r="X605" i="12"/>
  <c r="X606" i="12"/>
  <c r="W607" i="12"/>
  <c r="W608" i="12"/>
  <c r="X607" i="12"/>
  <c r="W609" i="12"/>
  <c r="X608" i="12"/>
  <c r="W610" i="12"/>
  <c r="X609" i="12"/>
  <c r="X610" i="12"/>
  <c r="W611" i="12"/>
  <c r="X611" i="12"/>
  <c r="W612" i="12"/>
  <c r="X612" i="12"/>
  <c r="W613" i="12"/>
  <c r="X613" i="12"/>
  <c r="W614" i="12"/>
  <c r="W615" i="12"/>
  <c r="X614" i="12"/>
  <c r="W616" i="12"/>
  <c r="X615" i="12"/>
  <c r="W617" i="12"/>
  <c r="X616" i="12"/>
  <c r="W618" i="12"/>
  <c r="X617" i="12"/>
  <c r="W619" i="12"/>
  <c r="X618" i="12"/>
  <c r="W620" i="12"/>
  <c r="X619" i="12"/>
  <c r="X620" i="12"/>
  <c r="W621" i="12"/>
  <c r="W622" i="12"/>
  <c r="X621" i="12"/>
  <c r="W623" i="12"/>
  <c r="X622" i="12"/>
  <c r="X623" i="12"/>
  <c r="W624" i="12"/>
  <c r="W625" i="12"/>
  <c r="X624" i="12"/>
  <c r="X625" i="12"/>
  <c r="W626" i="12"/>
  <c r="W627" i="12"/>
  <c r="X626" i="12"/>
  <c r="X627" i="12"/>
  <c r="W628" i="12"/>
  <c r="X628" i="12"/>
  <c r="W629" i="12"/>
  <c r="W630" i="12"/>
  <c r="X629" i="12"/>
  <c r="X630" i="12"/>
  <c r="W631" i="12"/>
  <c r="X631" i="12"/>
  <c r="W632" i="12"/>
  <c r="W633" i="12"/>
  <c r="X632" i="12"/>
  <c r="W634" i="12"/>
  <c r="X633" i="12"/>
  <c r="W635" i="12"/>
  <c r="X634" i="12"/>
  <c r="X635" i="12"/>
  <c r="W636" i="12"/>
  <c r="W637" i="12"/>
  <c r="X636" i="12"/>
  <c r="X637" i="12"/>
  <c r="W638" i="12"/>
  <c r="W639" i="12"/>
  <c r="X638" i="12"/>
  <c r="X639" i="12"/>
  <c r="W640" i="12"/>
  <c r="W641" i="12"/>
  <c r="X640" i="12"/>
  <c r="W642" i="12"/>
  <c r="X641" i="12"/>
  <c r="W643" i="12"/>
  <c r="X642" i="12"/>
  <c r="X643" i="12"/>
  <c r="W644" i="12"/>
  <c r="W645" i="12"/>
  <c r="X644" i="12"/>
  <c r="X645" i="12"/>
  <c r="W646" i="12"/>
  <c r="W647" i="12"/>
  <c r="X646" i="12"/>
  <c r="X647" i="12"/>
  <c r="W648" i="12"/>
  <c r="X648" i="12"/>
  <c r="W649" i="12"/>
  <c r="X649" i="12"/>
  <c r="W650" i="12"/>
  <c r="W651" i="12"/>
  <c r="X650" i="12"/>
  <c r="W652" i="12"/>
  <c r="X651" i="12"/>
  <c r="X652" i="12"/>
  <c r="W653" i="12"/>
  <c r="X653" i="12"/>
  <c r="W654" i="12"/>
  <c r="X654" i="12"/>
  <c r="W655" i="12"/>
  <c r="X655" i="12"/>
  <c r="W656" i="12"/>
  <c r="W657" i="12"/>
  <c r="X656" i="12"/>
  <c r="W658" i="12"/>
  <c r="X657" i="12"/>
  <c r="X658" i="12"/>
  <c r="W659" i="12"/>
  <c r="W660" i="12"/>
  <c r="X659" i="12"/>
  <c r="W661" i="12"/>
  <c r="X660" i="12"/>
  <c r="W662" i="12"/>
  <c r="X661" i="12"/>
  <c r="W663" i="12"/>
  <c r="X662" i="12"/>
  <c r="X663" i="12"/>
  <c r="W664" i="12"/>
  <c r="X664" i="12"/>
  <c r="W665" i="12"/>
  <c r="X665" i="12"/>
  <c r="W666" i="12"/>
  <c r="W667" i="12"/>
  <c r="X666" i="12"/>
  <c r="X667" i="12"/>
  <c r="W668" i="12"/>
  <c r="X668" i="12"/>
  <c r="W669" i="12"/>
  <c r="W670" i="12"/>
  <c r="X669" i="12"/>
  <c r="W671" i="12"/>
  <c r="X670" i="12"/>
  <c r="X671" i="12"/>
  <c r="W672" i="12"/>
  <c r="X672" i="12"/>
  <c r="W673" i="12"/>
  <c r="X673" i="12"/>
  <c r="W674" i="12"/>
  <c r="X674" i="12"/>
  <c r="W675" i="12"/>
  <c r="X675" i="12"/>
  <c r="W676" i="12"/>
  <c r="X676" i="12"/>
  <c r="W677" i="12"/>
  <c r="W678" i="12"/>
  <c r="X677" i="12"/>
  <c r="W679" i="12"/>
  <c r="X678" i="12"/>
  <c r="W680" i="12"/>
  <c r="X679" i="12"/>
  <c r="W681" i="12"/>
  <c r="X680" i="12"/>
  <c r="X681" i="12"/>
  <c r="W682" i="12"/>
  <c r="W683" i="12"/>
  <c r="X682" i="12"/>
  <c r="X683" i="12"/>
  <c r="W684" i="12"/>
  <c r="W685" i="12"/>
  <c r="X684" i="12"/>
  <c r="X685" i="12"/>
  <c r="W686" i="12"/>
  <c r="W687" i="12"/>
  <c r="X686" i="12"/>
  <c r="W688" i="12"/>
  <c r="X687" i="12"/>
  <c r="X688" i="12"/>
  <c r="W689" i="12"/>
  <c r="X689" i="12"/>
  <c r="W690" i="12"/>
  <c r="X690" i="12"/>
  <c r="W691" i="12"/>
  <c r="X691" i="12"/>
  <c r="W692" i="12"/>
  <c r="W693" i="12"/>
  <c r="X692" i="12"/>
  <c r="X693" i="12"/>
  <c r="W694" i="12"/>
  <c r="X694" i="12"/>
  <c r="W695" i="12"/>
  <c r="W696" i="12"/>
  <c r="X695" i="12"/>
  <c r="W697" i="12"/>
  <c r="X696" i="12"/>
  <c r="W698" i="12"/>
  <c r="X697" i="12"/>
  <c r="W699" i="12"/>
  <c r="X698" i="12"/>
  <c r="X699" i="12"/>
  <c r="W700" i="12"/>
  <c r="X700" i="12"/>
  <c r="W701" i="12"/>
  <c r="X701" i="12"/>
  <c r="W702" i="12"/>
  <c r="W703" i="12"/>
  <c r="X702" i="12"/>
  <c r="X703" i="12"/>
  <c r="W704" i="12"/>
  <c r="W705" i="12"/>
  <c r="X704" i="12"/>
  <c r="X705" i="12"/>
  <c r="W706" i="12"/>
  <c r="W707" i="12"/>
  <c r="X706" i="12"/>
  <c r="X707" i="12"/>
  <c r="W708" i="12"/>
  <c r="W709" i="12"/>
  <c r="X708" i="12"/>
  <c r="X709" i="12"/>
  <c r="W710" i="12"/>
  <c r="W711" i="12"/>
  <c r="X710" i="12"/>
  <c r="W712" i="12"/>
  <c r="X711" i="12"/>
  <c r="X712" i="12"/>
  <c r="W713" i="12"/>
  <c r="X713" i="12"/>
  <c r="W714" i="12"/>
  <c r="X714" i="12"/>
  <c r="W715" i="12"/>
  <c r="X715" i="12"/>
  <c r="W716" i="12"/>
  <c r="W717" i="12"/>
  <c r="X716" i="12"/>
  <c r="X717" i="12"/>
  <c r="W718" i="12"/>
  <c r="X718" i="12"/>
  <c r="W719" i="12"/>
  <c r="X719" i="12"/>
  <c r="W720" i="12"/>
  <c r="W721" i="12"/>
  <c r="X720" i="12"/>
  <c r="W722" i="12"/>
  <c r="X721" i="12"/>
  <c r="X722" i="12"/>
  <c r="W723" i="12"/>
  <c r="X723" i="12"/>
  <c r="W724" i="12"/>
  <c r="X724" i="12"/>
  <c r="W725" i="12"/>
  <c r="W726" i="12"/>
  <c r="X725" i="12"/>
  <c r="X726" i="12"/>
  <c r="W727" i="12"/>
  <c r="W728" i="12"/>
  <c r="X727" i="12"/>
  <c r="X728" i="12"/>
  <c r="W729" i="12"/>
  <c r="W730" i="12"/>
  <c r="X729" i="12"/>
  <c r="X730" i="12"/>
  <c r="W731" i="12"/>
  <c r="W732" i="12"/>
  <c r="X731" i="12"/>
  <c r="X732" i="12"/>
  <c r="W733" i="12"/>
  <c r="W734" i="12"/>
  <c r="X733" i="12"/>
  <c r="W735" i="12"/>
  <c r="X734" i="12"/>
  <c r="W736" i="12"/>
  <c r="X735" i="12"/>
  <c r="W737" i="12"/>
  <c r="X736" i="12"/>
  <c r="X737" i="12"/>
  <c r="W738" i="12"/>
  <c r="X738" i="12"/>
  <c r="W739" i="12"/>
  <c r="W740" i="12"/>
  <c r="X739" i="12"/>
  <c r="X740" i="12"/>
  <c r="W741" i="12"/>
  <c r="W742" i="12"/>
  <c r="X741" i="12"/>
  <c r="X742" i="12"/>
  <c r="W743" i="12"/>
  <c r="W744" i="12"/>
  <c r="X743" i="12"/>
  <c r="X744" i="12"/>
  <c r="W745" i="12"/>
  <c r="X745" i="12"/>
  <c r="W746" i="12"/>
  <c r="W747" i="12"/>
  <c r="X746" i="12"/>
  <c r="X747" i="12"/>
  <c r="W748" i="12"/>
  <c r="X748" i="12"/>
  <c r="W749" i="12"/>
  <c r="X749" i="12"/>
  <c r="W750" i="12"/>
  <c r="W751" i="12"/>
  <c r="X750" i="12"/>
  <c r="W752" i="12"/>
  <c r="X751" i="12"/>
  <c r="W753" i="12"/>
  <c r="X752" i="12"/>
  <c r="X753" i="12"/>
  <c r="W754" i="12"/>
  <c r="W755" i="12"/>
  <c r="X754" i="12"/>
  <c r="W756" i="12"/>
  <c r="X755" i="12"/>
  <c r="W757" i="12"/>
  <c r="X756" i="12"/>
  <c r="X757" i="12"/>
  <c r="W758" i="12"/>
  <c r="W759" i="12"/>
  <c r="X758" i="12"/>
  <c r="X759" i="12"/>
  <c r="W760" i="12"/>
  <c r="X760" i="12"/>
  <c r="W761" i="12"/>
  <c r="W762" i="12"/>
  <c r="X761" i="12"/>
  <c r="W763" i="12"/>
  <c r="X762" i="12"/>
  <c r="W764" i="12"/>
  <c r="X763" i="12"/>
  <c r="W765" i="12"/>
  <c r="X764" i="12"/>
  <c r="W766" i="12"/>
  <c r="X765" i="12"/>
  <c r="X766" i="12"/>
  <c r="W767" i="12"/>
  <c r="W768" i="12"/>
  <c r="X767" i="12"/>
  <c r="W769" i="12"/>
  <c r="X768" i="12"/>
  <c r="X769" i="12"/>
  <c r="W770" i="12"/>
  <c r="W771" i="12"/>
  <c r="X770" i="12"/>
  <c r="W772" i="12"/>
  <c r="X771" i="12"/>
  <c r="X772" i="12"/>
  <c r="W773" i="12"/>
  <c r="X773" i="12"/>
  <c r="W774" i="12"/>
  <c r="X774" i="12"/>
  <c r="W775" i="12"/>
  <c r="W776" i="12"/>
  <c r="X775" i="12"/>
  <c r="X776" i="12"/>
  <c r="W777" i="12"/>
  <c r="W778" i="12"/>
  <c r="X777" i="12"/>
  <c r="X778" i="12"/>
  <c r="W779" i="12"/>
  <c r="X779" i="12"/>
  <c r="W780" i="12"/>
  <c r="W781" i="12"/>
  <c r="X780" i="12"/>
  <c r="X781" i="12"/>
  <c r="W782" i="12"/>
  <c r="W783" i="12"/>
  <c r="X782" i="12"/>
  <c r="W784" i="12"/>
  <c r="X783" i="12"/>
  <c r="W785" i="12"/>
  <c r="X784" i="12"/>
  <c r="X785" i="12"/>
  <c r="W786" i="12"/>
  <c r="X786" i="12"/>
  <c r="W787" i="12"/>
  <c r="X787" i="12"/>
  <c r="W788" i="12"/>
  <c r="X788" i="12"/>
  <c r="W789" i="12"/>
  <c r="X789" i="12"/>
  <c r="W790" i="12"/>
  <c r="X790" i="12"/>
  <c r="W791" i="12"/>
  <c r="X791" i="12"/>
  <c r="W792" i="12"/>
  <c r="X792" i="12"/>
  <c r="W793" i="12"/>
  <c r="W794" i="12"/>
  <c r="X793" i="12"/>
  <c r="X794" i="12"/>
  <c r="W795" i="12"/>
  <c r="W796" i="12"/>
  <c r="X795" i="12"/>
  <c r="X796" i="12"/>
  <c r="W797" i="12"/>
  <c r="W798" i="12"/>
  <c r="X797" i="12"/>
  <c r="W799" i="12"/>
  <c r="X798" i="12"/>
  <c r="X799" i="12"/>
  <c r="W800" i="12"/>
  <c r="W801" i="12"/>
  <c r="X800" i="12"/>
  <c r="W802" i="12"/>
  <c r="X801" i="12"/>
  <c r="X802" i="12"/>
  <c r="W803" i="12"/>
  <c r="W804" i="12"/>
  <c r="X803" i="12"/>
  <c r="W805" i="12"/>
  <c r="X804" i="12"/>
  <c r="W806" i="12"/>
  <c r="X805" i="12"/>
  <c r="W807" i="12"/>
  <c r="X806" i="12"/>
  <c r="X807" i="12"/>
  <c r="W808" i="12"/>
  <c r="W809" i="12"/>
  <c r="X808" i="12"/>
  <c r="X809" i="12"/>
  <c r="W810" i="12"/>
  <c r="X810" i="12"/>
  <c r="W811" i="12"/>
  <c r="W812" i="12"/>
  <c r="X811" i="12"/>
  <c r="W813" i="12"/>
  <c r="X812" i="12"/>
  <c r="X813" i="12"/>
  <c r="W814" i="12"/>
  <c r="W815" i="12"/>
  <c r="X814" i="12"/>
  <c r="X815" i="12"/>
  <c r="W816" i="12"/>
  <c r="W817" i="12"/>
  <c r="X816" i="12"/>
  <c r="W818" i="12"/>
  <c r="X817" i="12"/>
  <c r="W819" i="12"/>
  <c r="X818" i="12"/>
  <c r="X819" i="12"/>
  <c r="W820" i="12"/>
  <c r="X820" i="12"/>
  <c r="W821" i="12"/>
  <c r="X821" i="12"/>
  <c r="W822" i="12"/>
  <c r="W823" i="12"/>
  <c r="X822" i="12"/>
  <c r="W824" i="12"/>
  <c r="X823" i="12"/>
  <c r="W825" i="12"/>
  <c r="X824" i="12"/>
  <c r="X825" i="12"/>
  <c r="W826" i="12"/>
  <c r="X826" i="12"/>
  <c r="W827" i="12"/>
  <c r="X827" i="12"/>
  <c r="W828" i="12"/>
  <c r="X828" i="12"/>
  <c r="W829" i="12"/>
  <c r="X829" i="12"/>
  <c r="W830" i="12"/>
  <c r="W831" i="12"/>
  <c r="X830" i="12"/>
  <c r="X831" i="12"/>
  <c r="W832" i="12"/>
  <c r="W833" i="12"/>
  <c r="X832" i="12"/>
  <c r="X833" i="12"/>
  <c r="W834" i="12"/>
  <c r="X834" i="12"/>
  <c r="W835" i="12"/>
  <c r="X835" i="12"/>
  <c r="W836" i="12"/>
  <c r="X836" i="12"/>
  <c r="W837" i="12"/>
  <c r="W838" i="12"/>
  <c r="X837" i="12"/>
  <c r="W839" i="12"/>
  <c r="X838" i="12"/>
  <c r="W840" i="12"/>
  <c r="X839" i="12"/>
  <c r="X840" i="12"/>
  <c r="W841" i="12"/>
  <c r="W842" i="12"/>
  <c r="X841" i="12"/>
  <c r="X842" i="12"/>
  <c r="W843" i="12"/>
  <c r="W844" i="12"/>
  <c r="X843" i="12"/>
  <c r="W845" i="12"/>
  <c r="X844" i="12"/>
  <c r="W846" i="12"/>
  <c r="X845" i="12"/>
  <c r="X846" i="12"/>
  <c r="W847" i="12"/>
  <c r="W848" i="12"/>
  <c r="X847" i="12"/>
  <c r="W849" i="12"/>
  <c r="X848" i="12"/>
  <c r="X849" i="12"/>
  <c r="W850" i="12"/>
  <c r="X850" i="12"/>
  <c r="W851" i="12"/>
  <c r="W852" i="12"/>
  <c r="X851" i="12"/>
  <c r="W853" i="12"/>
  <c r="X852" i="12"/>
  <c r="W854" i="12"/>
  <c r="X853" i="12"/>
  <c r="W855" i="12"/>
  <c r="X854" i="12"/>
  <c r="W856" i="12"/>
  <c r="X855" i="12"/>
  <c r="W857" i="12"/>
  <c r="X856" i="12"/>
  <c r="W858" i="12"/>
  <c r="X857" i="12"/>
  <c r="W859" i="12"/>
  <c r="X858" i="12"/>
  <c r="W860" i="12"/>
  <c r="X859" i="12"/>
  <c r="X860" i="12"/>
  <c r="W861" i="12"/>
  <c r="X861" i="12"/>
  <c r="W862" i="12"/>
  <c r="X862" i="12"/>
  <c r="W863" i="12"/>
  <c r="W864" i="12"/>
  <c r="X863" i="12"/>
  <c r="W865" i="12"/>
  <c r="X864" i="12"/>
  <c r="X865" i="12"/>
  <c r="W866" i="12"/>
  <c r="W867" i="12"/>
  <c r="X866" i="12"/>
  <c r="W868" i="12"/>
  <c r="X867" i="12"/>
  <c r="X868" i="12"/>
  <c r="W869" i="12"/>
  <c r="W870" i="12"/>
  <c r="X869" i="12"/>
  <c r="X870" i="12"/>
  <c r="W871" i="12"/>
  <c r="X871" i="12"/>
  <c r="W872" i="12"/>
  <c r="W873" i="12"/>
  <c r="X872" i="12"/>
  <c r="X873" i="12"/>
  <c r="W874" i="12"/>
  <c r="W875" i="12"/>
  <c r="X874" i="12"/>
  <c r="W876" i="12"/>
  <c r="X875" i="12"/>
  <c r="X876" i="12"/>
  <c r="W877" i="12"/>
  <c r="X877" i="12"/>
  <c r="W878" i="12"/>
  <c r="W879" i="12"/>
  <c r="X878" i="12"/>
  <c r="W880" i="12"/>
  <c r="X879" i="12"/>
  <c r="X880" i="12"/>
  <c r="W881" i="12"/>
  <c r="X881" i="12"/>
  <c r="W882" i="12"/>
  <c r="W883" i="12"/>
  <c r="X882" i="12"/>
  <c r="X883" i="12"/>
  <c r="W884" i="12"/>
  <c r="X884" i="12"/>
  <c r="W885" i="12"/>
  <c r="X885" i="12"/>
  <c r="W886" i="12"/>
  <c r="X886" i="12"/>
  <c r="W887" i="12"/>
  <c r="W888" i="12"/>
  <c r="X887" i="12"/>
  <c r="W889" i="12"/>
  <c r="X888" i="12"/>
  <c r="X889" i="12"/>
  <c r="W890" i="12"/>
  <c r="X890" i="12"/>
  <c r="W891" i="12"/>
  <c r="W892" i="12"/>
  <c r="X891" i="12"/>
  <c r="X892" i="12"/>
  <c r="W893" i="12"/>
  <c r="X893" i="12"/>
  <c r="W894" i="12"/>
  <c r="X894" i="12"/>
  <c r="W895" i="12"/>
  <c r="X895" i="12"/>
  <c r="W896" i="12"/>
  <c r="W897" i="12"/>
  <c r="X896" i="12"/>
  <c r="W898" i="12"/>
  <c r="X897" i="12"/>
  <c r="W899" i="12"/>
  <c r="X898" i="12"/>
  <c r="X899" i="12"/>
  <c r="W900" i="12"/>
  <c r="W901" i="12"/>
  <c r="X900" i="12"/>
  <c r="X901" i="12"/>
  <c r="W902" i="12"/>
  <c r="X902" i="12"/>
  <c r="W903" i="12"/>
  <c r="X903" i="12"/>
  <c r="W904" i="12"/>
  <c r="W905" i="12"/>
  <c r="X904" i="12"/>
  <c r="W906" i="12"/>
  <c r="X905" i="12"/>
  <c r="W907" i="12"/>
  <c r="X906" i="12"/>
  <c r="X907" i="12"/>
  <c r="W908" i="12"/>
  <c r="X908" i="12"/>
  <c r="W909" i="12"/>
  <c r="W910" i="12"/>
  <c r="X909" i="12"/>
  <c r="W911" i="12"/>
  <c r="X910" i="12"/>
  <c r="X911" i="12"/>
  <c r="W912" i="12"/>
  <c r="W913" i="12"/>
  <c r="X912" i="12"/>
  <c r="W914" i="12"/>
  <c r="X913" i="12"/>
  <c r="W915" i="12"/>
  <c r="X914" i="12"/>
  <c r="X915" i="12"/>
  <c r="W916" i="12"/>
  <c r="X916" i="12"/>
  <c r="W917" i="12"/>
  <c r="X917" i="12"/>
  <c r="W918" i="12"/>
  <c r="W919" i="12"/>
  <c r="X918" i="12"/>
  <c r="X919" i="12"/>
  <c r="W920" i="12"/>
  <c r="W921" i="12"/>
  <c r="X920" i="12"/>
  <c r="W922" i="12"/>
  <c r="X921" i="12"/>
  <c r="W923" i="12"/>
  <c r="X922" i="12"/>
  <c r="W924" i="12"/>
  <c r="X923" i="12"/>
  <c r="X924" i="12"/>
  <c r="W925" i="12"/>
  <c r="W926" i="12"/>
  <c r="X925" i="12"/>
  <c r="W927" i="12"/>
  <c r="X926" i="12"/>
  <c r="W928" i="12"/>
  <c r="X927" i="12"/>
  <c r="W929" i="12"/>
  <c r="X928" i="12"/>
  <c r="W930" i="12"/>
  <c r="X929" i="12"/>
  <c r="W931" i="12"/>
  <c r="X930" i="12"/>
  <c r="W932" i="12"/>
  <c r="X931" i="12"/>
  <c r="W933" i="12"/>
  <c r="X932" i="12"/>
  <c r="X933" i="12"/>
  <c r="W934" i="12"/>
  <c r="X934" i="12"/>
  <c r="W935" i="12"/>
  <c r="W936" i="12"/>
  <c r="X935" i="12"/>
  <c r="W937" i="12"/>
  <c r="X936" i="12"/>
  <c r="X937" i="12"/>
  <c r="W938" i="12"/>
  <c r="W939" i="12"/>
  <c r="X938" i="12"/>
  <c r="X939" i="12"/>
  <c r="W940" i="12"/>
  <c r="X940" i="12"/>
  <c r="W941" i="12"/>
  <c r="X941" i="12"/>
  <c r="W942" i="12"/>
  <c r="W943" i="12"/>
  <c r="X942" i="12"/>
  <c r="W944" i="12"/>
  <c r="X943" i="12"/>
  <c r="X944" i="12"/>
  <c r="W945" i="12"/>
  <c r="X945" i="12"/>
  <c r="W946" i="12"/>
  <c r="W947" i="12"/>
  <c r="X946" i="12"/>
  <c r="W948" i="12"/>
  <c r="X947" i="12"/>
  <c r="W949" i="12"/>
  <c r="X948" i="12"/>
  <c r="X949" i="12"/>
  <c r="W950" i="12"/>
  <c r="W951" i="12"/>
  <c r="X950" i="12"/>
  <c r="W952" i="12"/>
  <c r="X951" i="12"/>
  <c r="W953" i="12"/>
  <c r="X952" i="12"/>
  <c r="W954" i="12"/>
  <c r="X953" i="12"/>
  <c r="W955" i="12"/>
  <c r="X954" i="12"/>
  <c r="W956" i="12"/>
  <c r="X955" i="12"/>
  <c r="X956" i="12"/>
  <c r="W957" i="12"/>
  <c r="X957" i="12"/>
  <c r="W958" i="12"/>
  <c r="W959" i="12"/>
  <c r="X958" i="12"/>
  <c r="X959" i="12"/>
  <c r="W960" i="12"/>
  <c r="X960" i="12"/>
  <c r="W961" i="12"/>
  <c r="W962" i="12"/>
  <c r="X961" i="12"/>
  <c r="W963" i="12"/>
  <c r="X962" i="12"/>
  <c r="W964" i="12"/>
  <c r="X963" i="12"/>
  <c r="W965" i="12"/>
  <c r="X964" i="12"/>
  <c r="X965" i="12"/>
  <c r="W966" i="12"/>
  <c r="W967" i="12"/>
  <c r="X966" i="12"/>
  <c r="X967" i="12"/>
  <c r="W968" i="12"/>
  <c r="W969" i="12"/>
  <c r="X968" i="12"/>
  <c r="X969" i="12"/>
  <c r="W970" i="12"/>
  <c r="X970" i="12"/>
  <c r="W971" i="12"/>
  <c r="X971" i="12"/>
  <c r="W972" i="12"/>
  <c r="X972" i="12"/>
  <c r="W973" i="12"/>
  <c r="X973" i="12"/>
  <c r="W974" i="12"/>
  <c r="W975" i="12"/>
  <c r="X974" i="12"/>
  <c r="X975" i="12"/>
  <c r="W976" i="12"/>
  <c r="X976" i="12"/>
  <c r="W977" i="12"/>
  <c r="W978" i="12"/>
  <c r="X977" i="12"/>
  <c r="X978" i="12"/>
  <c r="W979" i="12"/>
  <c r="X979" i="12"/>
  <c r="W980" i="12"/>
  <c r="W981" i="12"/>
  <c r="X980" i="12"/>
  <c r="W982" i="12"/>
  <c r="X981" i="12"/>
  <c r="W983" i="12"/>
  <c r="X982" i="12"/>
  <c r="X983" i="12"/>
  <c r="W984" i="12"/>
  <c r="X984" i="12"/>
  <c r="W985" i="12"/>
  <c r="X985" i="12"/>
  <c r="W986" i="12"/>
  <c r="W987" i="12"/>
  <c r="X986" i="12"/>
  <c r="W988" i="12"/>
  <c r="X987" i="12"/>
  <c r="W989" i="12"/>
  <c r="X988" i="12"/>
  <c r="X989" i="12"/>
  <c r="W990" i="12"/>
  <c r="X990" i="12"/>
  <c r="W991" i="12"/>
  <c r="X991" i="12"/>
  <c r="W992" i="12"/>
  <c r="X992" i="12"/>
  <c r="W993" i="12"/>
  <c r="X993" i="12"/>
  <c r="W994" i="12"/>
  <c r="W995" i="12"/>
  <c r="X994" i="12"/>
  <c r="W996" i="12"/>
  <c r="X995" i="12"/>
  <c r="W997" i="12"/>
  <c r="X996" i="12"/>
  <c r="W998" i="12"/>
  <c r="X997" i="12"/>
  <c r="X998" i="12"/>
  <c r="W999" i="12"/>
  <c r="X999" i="12"/>
  <c r="W1000" i="12"/>
  <c r="W1001" i="12"/>
  <c r="X1000" i="12"/>
  <c r="W1002" i="12"/>
  <c r="X1001" i="12"/>
  <c r="X1002" i="12"/>
  <c r="W1003" i="12"/>
  <c r="X1003" i="12"/>
  <c r="W1004" i="12"/>
  <c r="W1005" i="12"/>
  <c r="X1004" i="12"/>
  <c r="W1006" i="12"/>
  <c r="X1005" i="12"/>
  <c r="X1006" i="12"/>
  <c r="W1007" i="12"/>
  <c r="W1008" i="12"/>
  <c r="X1007" i="12"/>
  <c r="X1008" i="12"/>
  <c r="W1009" i="12"/>
  <c r="X1009" i="12"/>
  <c r="W1010" i="12"/>
  <c r="W1011" i="12"/>
  <c r="X1010" i="12"/>
  <c r="X1011" i="12"/>
  <c r="W1012" i="12"/>
  <c r="X1012" i="12"/>
  <c r="W1013" i="12"/>
  <c r="W1014" i="12"/>
  <c r="X1013" i="12"/>
  <c r="X1014" i="12"/>
  <c r="W1015" i="12"/>
  <c r="X1015" i="12"/>
  <c r="W1016" i="12"/>
  <c r="W1017" i="12"/>
  <c r="X1016" i="12"/>
  <c r="W1018" i="12"/>
  <c r="X1017" i="12"/>
  <c r="X1018" i="12"/>
  <c r="W1019" i="12"/>
  <c r="X1019" i="12"/>
  <c r="W1020" i="12"/>
  <c r="X1020" i="12"/>
  <c r="W1021" i="12"/>
  <c r="W1022" i="12"/>
  <c r="X1021" i="12"/>
  <c r="W1023" i="12"/>
  <c r="X1022" i="12"/>
  <c r="W1024" i="12"/>
  <c r="X1023" i="12"/>
  <c r="W1025" i="12"/>
  <c r="X1024" i="12"/>
  <c r="W1026" i="12"/>
  <c r="X1025" i="12"/>
  <c r="X1026" i="12"/>
  <c r="W1027" i="12"/>
  <c r="W1028" i="12"/>
  <c r="X1027" i="12"/>
  <c r="W1029" i="12"/>
  <c r="X1028" i="12"/>
  <c r="X1029" i="12"/>
  <c r="W1030" i="12"/>
  <c r="W1031" i="12"/>
  <c r="X1030" i="12"/>
  <c r="W1032" i="12"/>
  <c r="X1031" i="12"/>
  <c r="X1032" i="12"/>
  <c r="W1033" i="12"/>
  <c r="X1033" i="12"/>
  <c r="W1034" i="12"/>
  <c r="X1034" i="12"/>
  <c r="W1035" i="12"/>
  <c r="W1036" i="12"/>
  <c r="X1035" i="12"/>
  <c r="W1037" i="12"/>
  <c r="X1036" i="12"/>
  <c r="X1037" i="12"/>
  <c r="W1038" i="12"/>
  <c r="W1039" i="12"/>
  <c r="X1038" i="12"/>
  <c r="W1040" i="12"/>
  <c r="X1039" i="12"/>
  <c r="W1041" i="12"/>
  <c r="X1040" i="12"/>
  <c r="W1042" i="12"/>
  <c r="X1041" i="12"/>
  <c r="X1042" i="12"/>
  <c r="W1043" i="12"/>
  <c r="W1044" i="12"/>
  <c r="X1043" i="12"/>
  <c r="X1044" i="12"/>
  <c r="W1045" i="12"/>
  <c r="X1045" i="12"/>
  <c r="W1046" i="12"/>
  <c r="W1047" i="12"/>
  <c r="X1046" i="12"/>
  <c r="X1047" i="12"/>
  <c r="W1048" i="12"/>
  <c r="X1048" i="12"/>
  <c r="W1049" i="12"/>
  <c r="X1049" i="12"/>
  <c r="W1050" i="12"/>
  <c r="X1050" i="12"/>
  <c r="W1051" i="12"/>
  <c r="X1051" i="12"/>
  <c r="W1052" i="12"/>
  <c r="X1052" i="12"/>
  <c r="W1053" i="12"/>
  <c r="X1053" i="12"/>
  <c r="W1054" i="12"/>
  <c r="W1055" i="12"/>
  <c r="X1054" i="12"/>
  <c r="W1056" i="12"/>
  <c r="X1055" i="12"/>
  <c r="X1056" i="12"/>
  <c r="W1057" i="12"/>
  <c r="W1058" i="12"/>
  <c r="X1057" i="12"/>
  <c r="X1058" i="12"/>
  <c r="W1059" i="12"/>
  <c r="X1059" i="12"/>
  <c r="W1060" i="12"/>
  <c r="X1060" i="12"/>
  <c r="W1061" i="12"/>
  <c r="W1062" i="12"/>
  <c r="X1061" i="12"/>
  <c r="W1063" i="12"/>
  <c r="X1062" i="12"/>
  <c r="W1064" i="12"/>
  <c r="X1063" i="12"/>
  <c r="X1064" i="12"/>
  <c r="W1065" i="12"/>
  <c r="X1065" i="12"/>
  <c r="W1066" i="12"/>
  <c r="X1066" i="12"/>
  <c r="W1067" i="12"/>
  <c r="X1067" i="12"/>
  <c r="W1068" i="12"/>
  <c r="X1068" i="12"/>
  <c r="W1069" i="12"/>
  <c r="X1069" i="12"/>
  <c r="W1070" i="12"/>
  <c r="W1071" i="12"/>
  <c r="X1070" i="12"/>
  <c r="W1072" i="12"/>
  <c r="X1071" i="12"/>
  <c r="X1072" i="12"/>
  <c r="W1073" i="12"/>
  <c r="X1073" i="12"/>
  <c r="W1074" i="12"/>
  <c r="W1075" i="12"/>
  <c r="X1074" i="12"/>
  <c r="W1076" i="12"/>
  <c r="X1075" i="12"/>
  <c r="X1076" i="12"/>
  <c r="W1077" i="12"/>
  <c r="W1078" i="12"/>
  <c r="X1077" i="12"/>
  <c r="X1078" i="12"/>
  <c r="W1079" i="12"/>
  <c r="W1080" i="12"/>
  <c r="X1079" i="12"/>
  <c r="W1081" i="12"/>
  <c r="X1080" i="12"/>
  <c r="W1082" i="12"/>
  <c r="X1081" i="12"/>
  <c r="X1082" i="12"/>
  <c r="W1083" i="12"/>
  <c r="X1083" i="12"/>
  <c r="W1084" i="12"/>
  <c r="W1085" i="12"/>
  <c r="X1084" i="12"/>
  <c r="X1085" i="12"/>
  <c r="W1086" i="12"/>
  <c r="W1087" i="12"/>
  <c r="X1086" i="12"/>
  <c r="W1088" i="12"/>
  <c r="X1087" i="12"/>
  <c r="W1089" i="12"/>
  <c r="X1088" i="12"/>
  <c r="X1089" i="12"/>
  <c r="W1090" i="12"/>
  <c r="X1090" i="12"/>
  <c r="W1091" i="12"/>
  <c r="W1092" i="12"/>
  <c r="X1091" i="12"/>
  <c r="W1093" i="12"/>
  <c r="X1092" i="12"/>
  <c r="X1093" i="12"/>
  <c r="W1094" i="12"/>
  <c r="W1095" i="12"/>
  <c r="X1094" i="12"/>
  <c r="W1096" i="12"/>
  <c r="X1095" i="12"/>
  <c r="W1097" i="12"/>
  <c r="X1096" i="12"/>
  <c r="W1098" i="12"/>
  <c r="X1097" i="12"/>
  <c r="X1098" i="12"/>
  <c r="W1099" i="12"/>
  <c r="X1099" i="12"/>
  <c r="W1100" i="12"/>
  <c r="W1101" i="12"/>
  <c r="X1100" i="12"/>
  <c r="X1101" i="12"/>
  <c r="W1102" i="12"/>
  <c r="W1103" i="12"/>
  <c r="X1102" i="12"/>
  <c r="X1103" i="12"/>
  <c r="W1104" i="12"/>
  <c r="X1104" i="12"/>
  <c r="W1105" i="12"/>
  <c r="X1105" i="12"/>
  <c r="W1106" i="12"/>
  <c r="W1107" i="12"/>
  <c r="X1106" i="12"/>
  <c r="X1107" i="12"/>
  <c r="W1108" i="12"/>
  <c r="W1109" i="12"/>
  <c r="X1108" i="12"/>
  <c r="W1110" i="12"/>
  <c r="X1109" i="12"/>
  <c r="X1110" i="12"/>
  <c r="W1111" i="12"/>
  <c r="W1112" i="12"/>
  <c r="X1111" i="12"/>
  <c r="W1113" i="12"/>
  <c r="X1112" i="12"/>
  <c r="X1113" i="12"/>
  <c r="W1114" i="12"/>
  <c r="X1114" i="12"/>
  <c r="W1115" i="12"/>
  <c r="X1115" i="12"/>
  <c r="W1116" i="12"/>
  <c r="W1117" i="12"/>
  <c r="X1116" i="12"/>
  <c r="X1117" i="12"/>
  <c r="W1118" i="12"/>
  <c r="X1118" i="12"/>
  <c r="W1119" i="12"/>
  <c r="X1119" i="12"/>
  <c r="W1120" i="12"/>
  <c r="X1120" i="12"/>
  <c r="W1121" i="12"/>
  <c r="X1121" i="12"/>
  <c r="W1122" i="12"/>
  <c r="W1123" i="12"/>
  <c r="X1122" i="12"/>
  <c r="W1124" i="12"/>
  <c r="X1123" i="12"/>
  <c r="W1125" i="12"/>
  <c r="X1124" i="12"/>
  <c r="W1126" i="12"/>
  <c r="X1125" i="12"/>
  <c r="X1126" i="12"/>
  <c r="W1127" i="12"/>
  <c r="X1127" i="12"/>
  <c r="W1128" i="12"/>
  <c r="X1128" i="12"/>
  <c r="W1129" i="12"/>
  <c r="W1130" i="12"/>
  <c r="X1129" i="12"/>
  <c r="W1131" i="12"/>
  <c r="X1130" i="12"/>
  <c r="X1131" i="12"/>
  <c r="W1132" i="12"/>
  <c r="X1132" i="12"/>
  <c r="W1133" i="12"/>
  <c r="X1133" i="12"/>
  <c r="W1134" i="12"/>
  <c r="X1134" i="12"/>
  <c r="W1135" i="12"/>
  <c r="W1136" i="12"/>
  <c r="X1135" i="12"/>
  <c r="W1137" i="12"/>
  <c r="X1136" i="12"/>
  <c r="X1137" i="12"/>
  <c r="W1138" i="12"/>
  <c r="W1139" i="12"/>
  <c r="X1138" i="12"/>
  <c r="X1139" i="12"/>
  <c r="W1140" i="12"/>
  <c r="X1140" i="12"/>
  <c r="W1141" i="12"/>
  <c r="X1141" i="12"/>
  <c r="W1142" i="12"/>
  <c r="X1142" i="12"/>
  <c r="W1143" i="12"/>
  <c r="W1144" i="12"/>
  <c r="X1143" i="12"/>
  <c r="W1145" i="12"/>
  <c r="X1144" i="12"/>
  <c r="W1146" i="12"/>
  <c r="X1145" i="12"/>
  <c r="X1146" i="12"/>
  <c r="W1147" i="12"/>
  <c r="W1148" i="12"/>
  <c r="X1147" i="12"/>
  <c r="W1149" i="12"/>
  <c r="X1148" i="12"/>
  <c r="W1150" i="12"/>
  <c r="X1149" i="12"/>
  <c r="X1150" i="12"/>
  <c r="W1151" i="12"/>
  <c r="W1152" i="12"/>
  <c r="X1151" i="12"/>
  <c r="W1153" i="12"/>
  <c r="X1152" i="12"/>
  <c r="W1154" i="12"/>
  <c r="X1153" i="12"/>
  <c r="X1154" i="12"/>
  <c r="W1155" i="12"/>
  <c r="X1155" i="12"/>
  <c r="W1156" i="12"/>
  <c r="W1157" i="12"/>
  <c r="X1156" i="12"/>
  <c r="X1157" i="12"/>
  <c r="W1158" i="12"/>
  <c r="X1158" i="12"/>
  <c r="W1159" i="12"/>
  <c r="X1159" i="12"/>
  <c r="W1160" i="12"/>
  <c r="W1161" i="12"/>
  <c r="X1160" i="12"/>
  <c r="W1162" i="12"/>
  <c r="X1161" i="12"/>
  <c r="X1162" i="12"/>
  <c r="W1163" i="12"/>
  <c r="X1163" i="12"/>
  <c r="W1164" i="12"/>
  <c r="W1165" i="12"/>
  <c r="X1164" i="12"/>
  <c r="X1165" i="12"/>
  <c r="W1166" i="12"/>
  <c r="W1167" i="12"/>
  <c r="X1166" i="12"/>
  <c r="X1167" i="12"/>
  <c r="W1168" i="12"/>
  <c r="W1169" i="12"/>
  <c r="X1168" i="12"/>
  <c r="X1169" i="12"/>
  <c r="W1170" i="12"/>
  <c r="X1170" i="12"/>
  <c r="W1171" i="12"/>
  <c r="W1172" i="12"/>
  <c r="X1171" i="12"/>
  <c r="W1173" i="12"/>
  <c r="X1172" i="12"/>
  <c r="W1174" i="12"/>
  <c r="X1173" i="12"/>
  <c r="X1174" i="12"/>
  <c r="W1175" i="12"/>
  <c r="X1175" i="12"/>
  <c r="W1176" i="12"/>
  <c r="X1176" i="12"/>
  <c r="W1177" i="12"/>
  <c r="X1177" i="12"/>
  <c r="W1178" i="12"/>
  <c r="W1179" i="12"/>
  <c r="X1178" i="12"/>
  <c r="W1180" i="12"/>
  <c r="X1179" i="12"/>
  <c r="X1180" i="12"/>
  <c r="W1181" i="12"/>
  <c r="X1181" i="12"/>
  <c r="W1182" i="12"/>
  <c r="X1182" i="12"/>
  <c r="W1183" i="12"/>
  <c r="X1183" i="12"/>
  <c r="W1184" i="12"/>
  <c r="X1184" i="12"/>
  <c r="W1185" i="12"/>
  <c r="X1185" i="12"/>
  <c r="W1186" i="12"/>
  <c r="W1187" i="12"/>
  <c r="X1186" i="12"/>
  <c r="W1188" i="12"/>
  <c r="X1187" i="12"/>
  <c r="X1188" i="12"/>
  <c r="W1189" i="12"/>
  <c r="X1189" i="12"/>
  <c r="W1190" i="12"/>
  <c r="X1190" i="12"/>
  <c r="W1191" i="12"/>
  <c r="W1192" i="12"/>
  <c r="X1191" i="12"/>
  <c r="W1193" i="12"/>
  <c r="X1192" i="12"/>
  <c r="X1193" i="12"/>
  <c r="W1194" i="12"/>
  <c r="X1194" i="12"/>
  <c r="W1195" i="12"/>
  <c r="W1196" i="12"/>
  <c r="X1195" i="12"/>
  <c r="W1197" i="12"/>
  <c r="X1196" i="12"/>
  <c r="W1198" i="12"/>
  <c r="X1197" i="12"/>
  <c r="X1198" i="12"/>
  <c r="W1199" i="12"/>
  <c r="X1199" i="12"/>
  <c r="W1200" i="12"/>
  <c r="W1201" i="12"/>
  <c r="X1200" i="12"/>
  <c r="W1202" i="12"/>
  <c r="X1201" i="12"/>
  <c r="W1203" i="12"/>
  <c r="X1202" i="12"/>
  <c r="W1204" i="12"/>
  <c r="X1203" i="12"/>
  <c r="X1204" i="12"/>
  <c r="W1205" i="12"/>
  <c r="W1206" i="12"/>
  <c r="X1205" i="12"/>
  <c r="W1207" i="12"/>
  <c r="X1206" i="12"/>
  <c r="X1207" i="12"/>
  <c r="W1208" i="12"/>
  <c r="X1208" i="12"/>
  <c r="W1209" i="12"/>
  <c r="W1210" i="12"/>
  <c r="X1209" i="12"/>
  <c r="W1211" i="12"/>
  <c r="X1210" i="12"/>
  <c r="W1212" i="12"/>
  <c r="X1211" i="12"/>
  <c r="X1212" i="12"/>
  <c r="W1213" i="12"/>
  <c r="X1213" i="12"/>
  <c r="W1214" i="12"/>
  <c r="X1214" i="12"/>
  <c r="W1215" i="12"/>
  <c r="X1215" i="12"/>
  <c r="W1216" i="12"/>
  <c r="X1216" i="12"/>
  <c r="W1217" i="12"/>
  <c r="X1217" i="12"/>
  <c r="W1218" i="12"/>
  <c r="W1219" i="12"/>
  <c r="X1218" i="12"/>
  <c r="X1219" i="12"/>
  <c r="W1220" i="12"/>
  <c r="X1220" i="12"/>
  <c r="W1221" i="12"/>
  <c r="W1222" i="12"/>
  <c r="X1221" i="12"/>
  <c r="X1222" i="12"/>
  <c r="W1223" i="12"/>
  <c r="W1224" i="12"/>
  <c r="X1223" i="12"/>
  <c r="W1225" i="12"/>
  <c r="X1224" i="12"/>
  <c r="W1226" i="12"/>
  <c r="X1225" i="12"/>
  <c r="W1227" i="12"/>
  <c r="X1226" i="12"/>
  <c r="X1227" i="12"/>
  <c r="W1228" i="12"/>
  <c r="X1228" i="12"/>
  <c r="W1229" i="12"/>
  <c r="W1230" i="12"/>
  <c r="X1229" i="12"/>
  <c r="X1230" i="12"/>
  <c r="W1231" i="12"/>
  <c r="W1232" i="12"/>
  <c r="X1231" i="12"/>
  <c r="W1233" i="12"/>
  <c r="X1232" i="12"/>
  <c r="W1234" i="12"/>
  <c r="X1233" i="12"/>
  <c r="W1235" i="12"/>
  <c r="X1234" i="12"/>
  <c r="W1236" i="12"/>
  <c r="X1235" i="12"/>
  <c r="W1237" i="12"/>
  <c r="X1236" i="12"/>
  <c r="W1238" i="12"/>
  <c r="X1237" i="12"/>
  <c r="W1239" i="12"/>
  <c r="X1238" i="12"/>
  <c r="X1239" i="12"/>
  <c r="W1240" i="12"/>
  <c r="W1241" i="12"/>
  <c r="X1240" i="12"/>
  <c r="X1241" i="12"/>
  <c r="W1242" i="12"/>
  <c r="W1243" i="12"/>
  <c r="X1242" i="12"/>
  <c r="W1244" i="12"/>
  <c r="X1243" i="12"/>
  <c r="W1245" i="12"/>
  <c r="X1244" i="12"/>
  <c r="X1245" i="12"/>
  <c r="W1246" i="12"/>
  <c r="X1246" i="12"/>
  <c r="W1247" i="12"/>
  <c r="X1247" i="12"/>
  <c r="W1248" i="12"/>
  <c r="W1249" i="12"/>
  <c r="X1248" i="12"/>
  <c r="X1249" i="12"/>
  <c r="W1250" i="12"/>
  <c r="W1251" i="12"/>
  <c r="X1250" i="12"/>
  <c r="W1252" i="12"/>
  <c r="X1251" i="12"/>
  <c r="W1253" i="12"/>
  <c r="X1252" i="12"/>
  <c r="W1254" i="12"/>
  <c r="X1253" i="12"/>
  <c r="W1255" i="12"/>
  <c r="X1254" i="12"/>
  <c r="X1255" i="12"/>
  <c r="W1256" i="12"/>
  <c r="W1257" i="12"/>
  <c r="X1256" i="12"/>
  <c r="X1257" i="12"/>
  <c r="W1258" i="12"/>
  <c r="X1258" i="12"/>
  <c r="W1259" i="12"/>
  <c r="W1260" i="12"/>
  <c r="X1259" i="12"/>
  <c r="X1260" i="12"/>
  <c r="W1261" i="12"/>
  <c r="W1262" i="12"/>
  <c r="X1261" i="12"/>
  <c r="X1262" i="12"/>
  <c r="W1263" i="12"/>
  <c r="W1264" i="12"/>
  <c r="X1263" i="12"/>
  <c r="W1265" i="12"/>
  <c r="X1264" i="12"/>
  <c r="X1265" i="12"/>
  <c r="W1266" i="12"/>
  <c r="X1266" i="12"/>
  <c r="W1267" i="12"/>
  <c r="X1267" i="12"/>
  <c r="W1268" i="12"/>
  <c r="W1269" i="12"/>
  <c r="X1268" i="12"/>
  <c r="W1270" i="12"/>
  <c r="X1269" i="12"/>
  <c r="W1271" i="12"/>
  <c r="X1270" i="12"/>
  <c r="X1271" i="12"/>
  <c r="W1272" i="12"/>
  <c r="W1273" i="12"/>
  <c r="X1272" i="12"/>
  <c r="X1273" i="12"/>
  <c r="W1274" i="12"/>
  <c r="W1275" i="12"/>
  <c r="X1274" i="12"/>
  <c r="X1275" i="12"/>
  <c r="W1276" i="12"/>
  <c r="W1277" i="12"/>
  <c r="X1276" i="12"/>
  <c r="W1278" i="12"/>
  <c r="X1277" i="12"/>
  <c r="W1279" i="12"/>
  <c r="X1278" i="12"/>
  <c r="X1279" i="12"/>
  <c r="W1280" i="12"/>
  <c r="W1281" i="12"/>
  <c r="X1280" i="12"/>
  <c r="W1282" i="12"/>
  <c r="X1281" i="12"/>
  <c r="X1282" i="12"/>
  <c r="W1283" i="12"/>
  <c r="W1284" i="12"/>
  <c r="X1283" i="12"/>
  <c r="W1285" i="12"/>
  <c r="X1284" i="12"/>
  <c r="W1286" i="12"/>
  <c r="X1285" i="12"/>
  <c r="W1287" i="12"/>
  <c r="X1286" i="12"/>
  <c r="X1287" i="12"/>
  <c r="W1288" i="12"/>
  <c r="X1288" i="12"/>
  <c r="W1289" i="12"/>
  <c r="W1290" i="12"/>
  <c r="X1289" i="12"/>
  <c r="W1291" i="12"/>
  <c r="X1290" i="12"/>
  <c r="W1292" i="12"/>
  <c r="X1291" i="12"/>
  <c r="X1292" i="12"/>
  <c r="W1293" i="12"/>
  <c r="X1293" i="12"/>
  <c r="W1294" i="12"/>
  <c r="W1295" i="12"/>
  <c r="X1294" i="12"/>
  <c r="X1295" i="12"/>
  <c r="W1296" i="12"/>
  <c r="W1297" i="12"/>
  <c r="X1296" i="12"/>
  <c r="W1298" i="12"/>
  <c r="X1297" i="12"/>
  <c r="X1298" i="12"/>
  <c r="W1299" i="12"/>
  <c r="W1300" i="12"/>
  <c r="X1299" i="12"/>
  <c r="X1300" i="12"/>
  <c r="W1301" i="12"/>
  <c r="W1302" i="12"/>
  <c r="X1301" i="12"/>
  <c r="W1303" i="12"/>
  <c r="X1302" i="12"/>
  <c r="W1304" i="12"/>
  <c r="X1303" i="12"/>
  <c r="W1305" i="12"/>
  <c r="X1304" i="12"/>
  <c r="W1306" i="12"/>
  <c r="X1305" i="12"/>
  <c r="W1307" i="12"/>
  <c r="X1306" i="12"/>
  <c r="X1307" i="12"/>
  <c r="W1308" i="12"/>
  <c r="X1308" i="12"/>
  <c r="W1309" i="12"/>
  <c r="W1310" i="12"/>
  <c r="X1309" i="12"/>
  <c r="X1310" i="12"/>
  <c r="W1311" i="12"/>
  <c r="X1311" i="12"/>
  <c r="W1312" i="12"/>
  <c r="X1312" i="12"/>
  <c r="W1313" i="12"/>
  <c r="X1313" i="12"/>
  <c r="W1314" i="12"/>
  <c r="X1314" i="12"/>
  <c r="W1315" i="12"/>
  <c r="X1315" i="12"/>
  <c r="W1316" i="12"/>
  <c r="W1317" i="12"/>
  <c r="X1316" i="12"/>
  <c r="W1318" i="12"/>
  <c r="X1317" i="12"/>
  <c r="X1318" i="12"/>
  <c r="W1319" i="12"/>
  <c r="W1320" i="12"/>
  <c r="X1319" i="12"/>
  <c r="W1321" i="12"/>
  <c r="X1320" i="12"/>
  <c r="W1322" i="12"/>
  <c r="X1321" i="12"/>
  <c r="X1322" i="12"/>
  <c r="W1323" i="12"/>
  <c r="X1323" i="12"/>
  <c r="W1324" i="12"/>
  <c r="X1324" i="12"/>
  <c r="W1325" i="12"/>
  <c r="X1325" i="12"/>
  <c r="W1326" i="12"/>
  <c r="W1327" i="12"/>
  <c r="X1326" i="12"/>
  <c r="W1328" i="12"/>
  <c r="X1327" i="12"/>
  <c r="W1329" i="12"/>
  <c r="X1328" i="12"/>
  <c r="W1330" i="12"/>
  <c r="X1329" i="12"/>
  <c r="W1331" i="12"/>
  <c r="X1330" i="12"/>
  <c r="X1331" i="12"/>
  <c r="W1332" i="12"/>
  <c r="X1332" i="12"/>
  <c r="W1333" i="12"/>
  <c r="X1333" i="12"/>
  <c r="W1334" i="12"/>
  <c r="X1334" i="12"/>
  <c r="W1335" i="12"/>
  <c r="W1336" i="12"/>
  <c r="X1335" i="12"/>
  <c r="X1336" i="12"/>
  <c r="W1337" i="12"/>
  <c r="X1337" i="12"/>
  <c r="W1338" i="12"/>
  <c r="W1339" i="12"/>
  <c r="X1338" i="12"/>
  <c r="X1339" i="12"/>
  <c r="W1340" i="12"/>
  <c r="W1341" i="12"/>
  <c r="X1340" i="12"/>
  <c r="W1342" i="12"/>
  <c r="X1341" i="12"/>
  <c r="X1342" i="12"/>
  <c r="W1343" i="12"/>
  <c r="X1343" i="12"/>
  <c r="W1344" i="12"/>
  <c r="W1345" i="12"/>
  <c r="X1344" i="12"/>
  <c r="W1346" i="12"/>
  <c r="X1345" i="12"/>
  <c r="X1346" i="12"/>
  <c r="W1347" i="12"/>
  <c r="W1348" i="12"/>
  <c r="X1347" i="12"/>
  <c r="W1349" i="12"/>
  <c r="X1348" i="12"/>
  <c r="X1349" i="12"/>
  <c r="W1350" i="12"/>
  <c r="X1350" i="12"/>
  <c r="W1351" i="12"/>
  <c r="W1352" i="12"/>
  <c r="X1351" i="12"/>
  <c r="X1352" i="12"/>
  <c r="W1353" i="12"/>
  <c r="W1354" i="12"/>
  <c r="X1353" i="12"/>
  <c r="X1354" i="12"/>
  <c r="W1355" i="12"/>
  <c r="W1356" i="12"/>
  <c r="X1355" i="12"/>
  <c r="X1356" i="12"/>
  <c r="W1357" i="12"/>
  <c r="X1357" i="12"/>
  <c r="W1358" i="12"/>
  <c r="X1358" i="12"/>
  <c r="W1359" i="12"/>
  <c r="X1359" i="12"/>
  <c r="W1360" i="12"/>
  <c r="X1360" i="12"/>
  <c r="W1361" i="12"/>
  <c r="X1361" i="12"/>
  <c r="W1362" i="12"/>
  <c r="X1362" i="12"/>
  <c r="W1363" i="12"/>
  <c r="W1364" i="12"/>
  <c r="X1363" i="12"/>
  <c r="W1365" i="12"/>
  <c r="X1364" i="12"/>
  <c r="X1365" i="12"/>
  <c r="W1366" i="12"/>
  <c r="X1366" i="12"/>
  <c r="W1367" i="12"/>
  <c r="W1368" i="12"/>
  <c r="X1367" i="12"/>
  <c r="X1368" i="12"/>
  <c r="W1369" i="12"/>
  <c r="X1369" i="12"/>
  <c r="W1370" i="12"/>
  <c r="X1370" i="12"/>
  <c r="W1371" i="12"/>
  <c r="W1372" i="12"/>
  <c r="X1371" i="12"/>
  <c r="W1373" i="12"/>
  <c r="X1372" i="12"/>
  <c r="W1374" i="12"/>
  <c r="X1373" i="12"/>
  <c r="X1374" i="12"/>
  <c r="W1375" i="12"/>
  <c r="X1375" i="12"/>
  <c r="W1376" i="12"/>
  <c r="X1376" i="12"/>
  <c r="W1377" i="12"/>
  <c r="X1377" i="12"/>
  <c r="W1378" i="12"/>
  <c r="X1378" i="12"/>
  <c r="W1379" i="12"/>
  <c r="X1379" i="12"/>
  <c r="W1380" i="12"/>
  <c r="X1380" i="12"/>
  <c r="W1381" i="12"/>
  <c r="X1381" i="12"/>
  <c r="W1382" i="12"/>
  <c r="X1382" i="12"/>
  <c r="W1383" i="12"/>
  <c r="X1383" i="12"/>
  <c r="W1384" i="12"/>
  <c r="X1384" i="12"/>
  <c r="W1385" i="12"/>
  <c r="X1385" i="12"/>
  <c r="W1386" i="12"/>
  <c r="W1387" i="12"/>
  <c r="X1386" i="12"/>
  <c r="W1388" i="12"/>
  <c r="X1387" i="12"/>
  <c r="X1388" i="12"/>
  <c r="W1389" i="12"/>
  <c r="X1389" i="12"/>
  <c r="W1390" i="12"/>
  <c r="X1390" i="12"/>
  <c r="W1391" i="12"/>
  <c r="W1392" i="12"/>
  <c r="X1391" i="12"/>
  <c r="W1393" i="12"/>
  <c r="X1392" i="12"/>
  <c r="X1393" i="12"/>
  <c r="W1394" i="12"/>
  <c r="X1394" i="12"/>
  <c r="W1395" i="12"/>
  <c r="W1396" i="12"/>
  <c r="X1395" i="12"/>
  <c r="W1397" i="12"/>
  <c r="X1396" i="12"/>
  <c r="W1398" i="12"/>
  <c r="X1397" i="12"/>
  <c r="W1399" i="12"/>
  <c r="X1398" i="12"/>
  <c r="W1400" i="12"/>
  <c r="X1399" i="12"/>
  <c r="X1400" i="12"/>
  <c r="W1401" i="12"/>
  <c r="W1402" i="12"/>
  <c r="X1401" i="12"/>
  <c r="W1403" i="12"/>
  <c r="X1402" i="12"/>
  <c r="W1404" i="12"/>
  <c r="X1403" i="12"/>
  <c r="X1404" i="12"/>
  <c r="W1405" i="12"/>
  <c r="W1406" i="12"/>
  <c r="X1405" i="12"/>
  <c r="X1406" i="12"/>
  <c r="W1407" i="12"/>
  <c r="X1407" i="12"/>
  <c r="W1408" i="12"/>
  <c r="X1408" i="12"/>
  <c r="W1409" i="12"/>
  <c r="X1409" i="12"/>
  <c r="W1410" i="12"/>
  <c r="X1410" i="12"/>
  <c r="W1411" i="12"/>
  <c r="X1411" i="12"/>
  <c r="W1412" i="12"/>
  <c r="W1413" i="12"/>
  <c r="X1412" i="12"/>
  <c r="X1413" i="12"/>
  <c r="W1414" i="12"/>
  <c r="X1414" i="12"/>
  <c r="W1415" i="12"/>
  <c r="X1415" i="12"/>
  <c r="W1416" i="12"/>
  <c r="X1416" i="12"/>
  <c r="W1417" i="12"/>
  <c r="X1417" i="12"/>
  <c r="W1418" i="12"/>
  <c r="W1419" i="12"/>
  <c r="X1418" i="12"/>
  <c r="X1419" i="12"/>
  <c r="W1420" i="12"/>
  <c r="X1420" i="12"/>
  <c r="W1421" i="12"/>
  <c r="W1422" i="12"/>
  <c r="X1421" i="12"/>
  <c r="W1423" i="12"/>
  <c r="X1422" i="12"/>
  <c r="W1424" i="12"/>
  <c r="X1423" i="12"/>
  <c r="W1425" i="12"/>
  <c r="X1424" i="12"/>
  <c r="W1426" i="12"/>
  <c r="X1425" i="12"/>
  <c r="X1426" i="12"/>
  <c r="W1427" i="12"/>
  <c r="W1428" i="12"/>
  <c r="X1427" i="12"/>
  <c r="X1428" i="12"/>
  <c r="W1429" i="12"/>
  <c r="W1430" i="12"/>
  <c r="X1429" i="12"/>
  <c r="X1430" i="12"/>
  <c r="W1431" i="12"/>
  <c r="W1432" i="12"/>
  <c r="X1431" i="12"/>
  <c r="W1433" i="12"/>
  <c r="X1432" i="12"/>
  <c r="W1434" i="12"/>
  <c r="X1433" i="12"/>
  <c r="W1435" i="12"/>
  <c r="X1434" i="12"/>
  <c r="X1435" i="12"/>
  <c r="W1436" i="12"/>
  <c r="X1436" i="12"/>
  <c r="W1437" i="12"/>
  <c r="X1437" i="12"/>
  <c r="W1438" i="12"/>
  <c r="X1438" i="12"/>
  <c r="W1439" i="12"/>
  <c r="W1440" i="12"/>
  <c r="X1439" i="12"/>
  <c r="X1440" i="12"/>
  <c r="W1441" i="12"/>
  <c r="X1441" i="12"/>
  <c r="W1442" i="12"/>
  <c r="W1443" i="12"/>
  <c r="X1442" i="12"/>
  <c r="X1443" i="12"/>
  <c r="W1444" i="12"/>
  <c r="W1445" i="12"/>
  <c r="X1444" i="12"/>
  <c r="W1446" i="12"/>
  <c r="X1445" i="12"/>
  <c r="X1446" i="12"/>
  <c r="W1447" i="12"/>
  <c r="X1447" i="12"/>
  <c r="W1448" i="12"/>
  <c r="X1448" i="12"/>
  <c r="W1449" i="12"/>
  <c r="W1450" i="12"/>
  <c r="X1449" i="12"/>
  <c r="W1451" i="12"/>
  <c r="X1450" i="12"/>
  <c r="X1451" i="12"/>
  <c r="W1452" i="12"/>
  <c r="W1453" i="12"/>
  <c r="X1452" i="12"/>
  <c r="X1453" i="12"/>
  <c r="W1454" i="12"/>
  <c r="X1454" i="12"/>
  <c r="W1455" i="12"/>
  <c r="W1456" i="12"/>
  <c r="X1455" i="12"/>
  <c r="X1456" i="12"/>
  <c r="W1457" i="12"/>
  <c r="X1457" i="12"/>
  <c r="W1458" i="12"/>
  <c r="X1458" i="12"/>
  <c r="W1459" i="12"/>
  <c r="X1459" i="12"/>
  <c r="W1460" i="12"/>
  <c r="X1460" i="12"/>
  <c r="W1461" i="12"/>
  <c r="X1461" i="12"/>
  <c r="W1462" i="12"/>
  <c r="X1462" i="12"/>
  <c r="W1463" i="12"/>
  <c r="W1464" i="12"/>
  <c r="X1463" i="12"/>
  <c r="W1465" i="12"/>
  <c r="X1464" i="12"/>
  <c r="W1466" i="12"/>
  <c r="X1465" i="12"/>
  <c r="X1466" i="12"/>
  <c r="W1467" i="12"/>
  <c r="W1468" i="12"/>
  <c r="X1467" i="12"/>
  <c r="X1468" i="12"/>
  <c r="W1469" i="12"/>
  <c r="W1470" i="12"/>
  <c r="X1469" i="12"/>
  <c r="X1470" i="12"/>
  <c r="W1471" i="12"/>
  <c r="X1471" i="12"/>
  <c r="W1472" i="12"/>
  <c r="X1472" i="12"/>
  <c r="W1473" i="12"/>
  <c r="X1473" i="12"/>
  <c r="W1474" i="12"/>
  <c r="X1474" i="12"/>
  <c r="W1475" i="12"/>
  <c r="W1476" i="12"/>
  <c r="X1475" i="12"/>
  <c r="X1476" i="12"/>
  <c r="W1477" i="12"/>
  <c r="X1477" i="12"/>
  <c r="W1478" i="12"/>
  <c r="X1478" i="12"/>
  <c r="W1479" i="12"/>
  <c r="W1480" i="12"/>
  <c r="X1479" i="12"/>
  <c r="W1481" i="12"/>
  <c r="X1480" i="12"/>
  <c r="X1481" i="12"/>
  <c r="W1482" i="12"/>
  <c r="X1482" i="12"/>
  <c r="W1483" i="12"/>
  <c r="X1483" i="12"/>
  <c r="W1484" i="12"/>
  <c r="W1485" i="12"/>
  <c r="X1484" i="12"/>
  <c r="X1485" i="12"/>
  <c r="W1486" i="12"/>
  <c r="W1487" i="12"/>
  <c r="X1486" i="12"/>
  <c r="X1487" i="12"/>
  <c r="W1488" i="12"/>
  <c r="X1488" i="12"/>
  <c r="W1489" i="12"/>
  <c r="W1490" i="12"/>
  <c r="X1489" i="12"/>
  <c r="X1490" i="12"/>
  <c r="W1491" i="12"/>
  <c r="W1492" i="12"/>
  <c r="X1491" i="12"/>
  <c r="W1493" i="12"/>
  <c r="X1492" i="12"/>
  <c r="X1493" i="12"/>
  <c r="W1494" i="12"/>
  <c r="W1495" i="12"/>
  <c r="X1494" i="12"/>
  <c r="X1495" i="12"/>
  <c r="W1496" i="12"/>
  <c r="W1497" i="12"/>
  <c r="X1496" i="12"/>
  <c r="X1497" i="12"/>
  <c r="W1498" i="12"/>
  <c r="X1498" i="12"/>
  <c r="W1499" i="12"/>
  <c r="W1500" i="12"/>
  <c r="X1499" i="12"/>
  <c r="W1501" i="12"/>
  <c r="X1500" i="12"/>
  <c r="W1502" i="12"/>
  <c r="X1501" i="12"/>
  <c r="X1502" i="12"/>
  <c r="W1503" i="12"/>
  <c r="X1503" i="12"/>
  <c r="W1504" i="12"/>
  <c r="X1504" i="12"/>
  <c r="W1505" i="12"/>
  <c r="W1506" i="12"/>
  <c r="X1505" i="12"/>
  <c r="X1506" i="12"/>
  <c r="W1507" i="12"/>
  <c r="X1507" i="12"/>
  <c r="W1508" i="12"/>
  <c r="W1509" i="12"/>
  <c r="X1508" i="12"/>
  <c r="W1510" i="12"/>
  <c r="X1509" i="12"/>
  <c r="W1511" i="12"/>
  <c r="X1510" i="12"/>
  <c r="W1512" i="12"/>
  <c r="X1511" i="12"/>
  <c r="W1513" i="12"/>
  <c r="X1512" i="12"/>
  <c r="W1514" i="12"/>
  <c r="X1513" i="12"/>
  <c r="X1514" i="12"/>
  <c r="W1515" i="12"/>
  <c r="W1516" i="12"/>
  <c r="X1515" i="12"/>
  <c r="W1517" i="12"/>
  <c r="X1516" i="12"/>
  <c r="X1517" i="12"/>
  <c r="W1518" i="12"/>
  <c r="X1518" i="12"/>
  <c r="W1519" i="12"/>
  <c r="W1520" i="12"/>
  <c r="X1519" i="12"/>
  <c r="W1521" i="12"/>
  <c r="X1520" i="12"/>
  <c r="W1522" i="12"/>
  <c r="X1521" i="12"/>
  <c r="W1523" i="12"/>
  <c r="X1522" i="12"/>
  <c r="W1524" i="12"/>
  <c r="X1523" i="12"/>
  <c r="X1524" i="12"/>
  <c r="W1525" i="12"/>
  <c r="W1526" i="12"/>
  <c r="X1525" i="12"/>
  <c r="W1527" i="12"/>
  <c r="X1526" i="12"/>
  <c r="W1528" i="12"/>
  <c r="X1527" i="12"/>
  <c r="W1529" i="12"/>
  <c r="X1528" i="12"/>
  <c r="W1530" i="12"/>
  <c r="X1529" i="12"/>
  <c r="W1531" i="12"/>
  <c r="X1530" i="12"/>
  <c r="W1532" i="12"/>
  <c r="X1531" i="12"/>
  <c r="X1532" i="12"/>
  <c r="W1533" i="12"/>
  <c r="W1534" i="12"/>
  <c r="X1533" i="12"/>
  <c r="X1534" i="12"/>
  <c r="W1535" i="12"/>
  <c r="W1536" i="12"/>
  <c r="X1535" i="12"/>
  <c r="X1536" i="12"/>
  <c r="W1537" i="12"/>
  <c r="W1538" i="12"/>
  <c r="X1537" i="12"/>
  <c r="W1539" i="12"/>
  <c r="X1538" i="12"/>
  <c r="X1539" i="12"/>
  <c r="W1540" i="12"/>
  <c r="W1541" i="12"/>
  <c r="X1540" i="12"/>
  <c r="X1541" i="12"/>
  <c r="W1542" i="12"/>
  <c r="X1542" i="12"/>
  <c r="W1543" i="12"/>
  <c r="X1543" i="12"/>
  <c r="W1544" i="12"/>
  <c r="X1544" i="12"/>
  <c r="W1545" i="12"/>
  <c r="W1546" i="12"/>
  <c r="X1545" i="12"/>
  <c r="W1547" i="12"/>
  <c r="X1546" i="12"/>
  <c r="W1548" i="12"/>
  <c r="X1547" i="12"/>
  <c r="X1548" i="12"/>
  <c r="W1549" i="12"/>
  <c r="X1549" i="12"/>
  <c r="W1550" i="12"/>
  <c r="X1550" i="12"/>
  <c r="W1551" i="12"/>
  <c r="X1551" i="12"/>
  <c r="W1552" i="12"/>
  <c r="X1552" i="12"/>
  <c r="W1553" i="12"/>
  <c r="W1554" i="12"/>
  <c r="X1553" i="12"/>
  <c r="X1554" i="12"/>
  <c r="W1555" i="12"/>
  <c r="W1556" i="12"/>
  <c r="X1555" i="12"/>
  <c r="X1556" i="12"/>
  <c r="W1557" i="12"/>
  <c r="X1557" i="12"/>
  <c r="W1558" i="12"/>
  <c r="X1558" i="12"/>
  <c r="W1559" i="12"/>
  <c r="X1559" i="12"/>
  <c r="W1560" i="12"/>
  <c r="W1561" i="12"/>
  <c r="X1560" i="12"/>
  <c r="X1561" i="12"/>
  <c r="W1562" i="12"/>
  <c r="X1562" i="12"/>
  <c r="W1563" i="12"/>
  <c r="W1564" i="12"/>
  <c r="X1563" i="12"/>
  <c r="X1564" i="12"/>
  <c r="W1565" i="12"/>
  <c r="W1566" i="12"/>
  <c r="X1565" i="12"/>
  <c r="W1567" i="12"/>
  <c r="X1566" i="12"/>
  <c r="X1567" i="12"/>
  <c r="W1568" i="12"/>
  <c r="W1569" i="12"/>
  <c r="X1568" i="12"/>
  <c r="X1569" i="12"/>
  <c r="W1570" i="12"/>
  <c r="X1570" i="12"/>
  <c r="W1571" i="12"/>
  <c r="W1572" i="12"/>
  <c r="X1571" i="12"/>
  <c r="X1572" i="12"/>
  <c r="W1573" i="12"/>
  <c r="W1574" i="12"/>
  <c r="X1573" i="12"/>
  <c r="X1574" i="12"/>
  <c r="W1575" i="12"/>
  <c r="X1575" i="12"/>
  <c r="W1576" i="12"/>
  <c r="X1576" i="12"/>
  <c r="W1577" i="12"/>
  <c r="X1577" i="12"/>
  <c r="W1578" i="12"/>
  <c r="W1579" i="12"/>
  <c r="X1578" i="12"/>
  <c r="X1579" i="12"/>
  <c r="W1580" i="12"/>
  <c r="W1581" i="12"/>
  <c r="X1580" i="12"/>
  <c r="X1581" i="12"/>
  <c r="W1582" i="12"/>
  <c r="W1583" i="12"/>
  <c r="X1582" i="12"/>
  <c r="X1583" i="12"/>
  <c r="W1584" i="12"/>
  <c r="W1585" i="12"/>
  <c r="X1584" i="12"/>
  <c r="W1586" i="12"/>
  <c r="X1585" i="12"/>
  <c r="X1586" i="12"/>
  <c r="W1587" i="12"/>
  <c r="W1588" i="12"/>
  <c r="X1587" i="12"/>
  <c r="W1589" i="12"/>
  <c r="X1588" i="12"/>
  <c r="W1590" i="12"/>
  <c r="X1589" i="12"/>
  <c r="W1591" i="12"/>
  <c r="X1590" i="12"/>
  <c r="X1591" i="12"/>
  <c r="W1592" i="12"/>
  <c r="X1592" i="12"/>
  <c r="W1593" i="12"/>
  <c r="W1594" i="12"/>
  <c r="X1593" i="12"/>
  <c r="X1594" i="12"/>
  <c r="W1595" i="12"/>
  <c r="W1596" i="12"/>
  <c r="X1595" i="12"/>
  <c r="X1596" i="12"/>
  <c r="W1597" i="12"/>
  <c r="X1597" i="12"/>
  <c r="W1598" i="12"/>
  <c r="X1598" i="12"/>
  <c r="W1599" i="12"/>
  <c r="X1599" i="12"/>
  <c r="W1600" i="12"/>
  <c r="W1601" i="12"/>
  <c r="X1600" i="12"/>
  <c r="W1602" i="12"/>
  <c r="X1601" i="12"/>
  <c r="X1602" i="12"/>
  <c r="W1603" i="12"/>
  <c r="W1604" i="12"/>
  <c r="X1603" i="12"/>
  <c r="X1604" i="12"/>
  <c r="W1605" i="12"/>
  <c r="X1605" i="12"/>
  <c r="W1606" i="12"/>
  <c r="W1607" i="12"/>
  <c r="X1606" i="12"/>
  <c r="W1608" i="12"/>
  <c r="X1607" i="12"/>
  <c r="X1608" i="12"/>
  <c r="W1609" i="12"/>
  <c r="X1609" i="12"/>
  <c r="W1610" i="12"/>
  <c r="X1610" i="12"/>
  <c r="W1611" i="12"/>
  <c r="X1611" i="12"/>
  <c r="W1612" i="12"/>
  <c r="X1612" i="12"/>
  <c r="W1613" i="12"/>
  <c r="W1614" i="12"/>
  <c r="X1613" i="12"/>
  <c r="W1615" i="12"/>
  <c r="X1614" i="12"/>
  <c r="W1616" i="12"/>
  <c r="X1615" i="12"/>
  <c r="X1616" i="12"/>
  <c r="W1617" i="12"/>
  <c r="W1618" i="12"/>
  <c r="X1617" i="12"/>
  <c r="X1618" i="12"/>
  <c r="W1619" i="12"/>
  <c r="X1619" i="12"/>
  <c r="W1620" i="12"/>
  <c r="X1620" i="12"/>
  <c r="W1621" i="12"/>
  <c r="W1622" i="12"/>
  <c r="X1621" i="12"/>
  <c r="W1623" i="12"/>
  <c r="X1622" i="12"/>
  <c r="W1624" i="12"/>
  <c r="X1623" i="12"/>
  <c r="X1624" i="12"/>
  <c r="W1625" i="12"/>
  <c r="X1625" i="12"/>
  <c r="W1626" i="12"/>
  <c r="X1626" i="12"/>
  <c r="W1627" i="12"/>
  <c r="W1628" i="12"/>
  <c r="X1627" i="12"/>
  <c r="X1628" i="12"/>
  <c r="W1629" i="12"/>
  <c r="W1630" i="12"/>
  <c r="X1629" i="12"/>
  <c r="X1630" i="12"/>
  <c r="W1631" i="12"/>
  <c r="X1631" i="12"/>
  <c r="W1632" i="12"/>
  <c r="W1633" i="12"/>
  <c r="X1632" i="12"/>
  <c r="X1633" i="12"/>
  <c r="W1634" i="12"/>
  <c r="W1635" i="12"/>
  <c r="X1634" i="12"/>
  <c r="X1635" i="12"/>
  <c r="W1636" i="12"/>
  <c r="W1637" i="12"/>
  <c r="X1636" i="12"/>
  <c r="W1638" i="12"/>
  <c r="X1637" i="12"/>
  <c r="W1639" i="12"/>
  <c r="X1638" i="12"/>
  <c r="W1640" i="12"/>
  <c r="X1639" i="12"/>
  <c r="X1640" i="12"/>
  <c r="W1641" i="12"/>
  <c r="W1642" i="12"/>
  <c r="X1641" i="12"/>
  <c r="W1643" i="12"/>
  <c r="X1642" i="12"/>
  <c r="X1643" i="12"/>
  <c r="W1644" i="12"/>
  <c r="X1644" i="12"/>
  <c r="W1645" i="12"/>
  <c r="W1646" i="12"/>
  <c r="X1645" i="12"/>
  <c r="X1646" i="12"/>
  <c r="W1647" i="12"/>
  <c r="W1648" i="12"/>
  <c r="X1647" i="12"/>
  <c r="X1648" i="12"/>
  <c r="W1649" i="12"/>
  <c r="W1650" i="12"/>
  <c r="X1649" i="12"/>
  <c r="X1650" i="12"/>
  <c r="W1651" i="12"/>
  <c r="W1652" i="12"/>
  <c r="X1651" i="12"/>
  <c r="X1652" i="12"/>
  <c r="W1653" i="12"/>
  <c r="X1653" i="12"/>
  <c r="W1654" i="12"/>
  <c r="W1655" i="12"/>
  <c r="X1654" i="12"/>
  <c r="W1656" i="12"/>
  <c r="X1655" i="12"/>
  <c r="X1656" i="12"/>
  <c r="W1657" i="12"/>
  <c r="W1658" i="12"/>
  <c r="X1657" i="12"/>
  <c r="X1658" i="12"/>
  <c r="W1659" i="12"/>
  <c r="W1660" i="12"/>
  <c r="X1659" i="12"/>
  <c r="X1660" i="12"/>
  <c r="W1661" i="12"/>
  <c r="W1662" i="12"/>
  <c r="X1661" i="12"/>
  <c r="W1663" i="12"/>
  <c r="X1662" i="12"/>
  <c r="W1664" i="12"/>
  <c r="X1663" i="12"/>
  <c r="X1664" i="12"/>
  <c r="W1665" i="12"/>
  <c r="W1666" i="12"/>
  <c r="X1665" i="12"/>
  <c r="W1667" i="12"/>
  <c r="X1666" i="12"/>
  <c r="X1667" i="12"/>
  <c r="W1668" i="12"/>
  <c r="W1669" i="12"/>
  <c r="X1668" i="12"/>
  <c r="X1669" i="12"/>
  <c r="W1670" i="12"/>
  <c r="X1670" i="12"/>
  <c r="W1671" i="12"/>
  <c r="W1672" i="12"/>
  <c r="X1671" i="12"/>
  <c r="X1672" i="12"/>
  <c r="W1673" i="12"/>
  <c r="X1673" i="12"/>
  <c r="W1674" i="12"/>
  <c r="X1674" i="12"/>
  <c r="W1675" i="12"/>
  <c r="X1675" i="12"/>
  <c r="W1676" i="12"/>
  <c r="X1676" i="12"/>
  <c r="W1677" i="12"/>
  <c r="W1678" i="12"/>
  <c r="X1677" i="12"/>
  <c r="X1678" i="12"/>
  <c r="W1679" i="12"/>
  <c r="W1680" i="12"/>
  <c r="X1679" i="12"/>
  <c r="X1680" i="12"/>
  <c r="W1681" i="12"/>
  <c r="X1681" i="12"/>
  <c r="W1682" i="12"/>
  <c r="W1683" i="12"/>
  <c r="X1682" i="12"/>
  <c r="X1683" i="12"/>
  <c r="W1684" i="12"/>
  <c r="W1685" i="12"/>
  <c r="X1684" i="12"/>
  <c r="X1685" i="12"/>
  <c r="W1686" i="12"/>
  <c r="X1686" i="12"/>
  <c r="W1687" i="12"/>
  <c r="W1688" i="12"/>
  <c r="X1687" i="12"/>
  <c r="X1688" i="12"/>
  <c r="W1689" i="12"/>
  <c r="W1690" i="12"/>
  <c r="X1689" i="12"/>
  <c r="X1690" i="12"/>
  <c r="W1691" i="12"/>
  <c r="W1692" i="12"/>
  <c r="X1691" i="12"/>
  <c r="X1692" i="12"/>
  <c r="W1693" i="12"/>
  <c r="W1694" i="12"/>
  <c r="X1693" i="12"/>
  <c r="W1695" i="12"/>
  <c r="X1694" i="12"/>
  <c r="X1695" i="12"/>
  <c r="W1696" i="12"/>
  <c r="W1697" i="12"/>
  <c r="X1696" i="12"/>
  <c r="X1697" i="12"/>
  <c r="W1698" i="12"/>
  <c r="X1698" i="12"/>
  <c r="W1699" i="12"/>
  <c r="X1699" i="12"/>
  <c r="W1700" i="12"/>
  <c r="W1701" i="12"/>
  <c r="X1700" i="12"/>
  <c r="X1701" i="12"/>
  <c r="W1702" i="12"/>
  <c r="W1703" i="12"/>
  <c r="X1702" i="12"/>
  <c r="X1703" i="12"/>
  <c r="W1704" i="12"/>
  <c r="W1705" i="12"/>
  <c r="X1704" i="12"/>
  <c r="X1705" i="12"/>
  <c r="W1706" i="12"/>
  <c r="X1706" i="12"/>
  <c r="W1707" i="12"/>
  <c r="X1707" i="12"/>
  <c r="W1708" i="12"/>
  <c r="X1708" i="12"/>
  <c r="W1709" i="12"/>
  <c r="X1709" i="12"/>
  <c r="W1710" i="12"/>
  <c r="X1710" i="12"/>
  <c r="W1711" i="12"/>
  <c r="X1711" i="12"/>
  <c r="W1712" i="12"/>
  <c r="W1713" i="12"/>
  <c r="X1712" i="12"/>
  <c r="W1714" i="12"/>
  <c r="X1713" i="12"/>
  <c r="W1715" i="12"/>
  <c r="X1714" i="12"/>
  <c r="W1716" i="12"/>
  <c r="X1715" i="12"/>
  <c r="W1717" i="12"/>
  <c r="X1716" i="12"/>
  <c r="X1717" i="12"/>
  <c r="W1718" i="12"/>
  <c r="W1719" i="12"/>
  <c r="X1718" i="12"/>
  <c r="X1719" i="12"/>
  <c r="W1720" i="12"/>
  <c r="W1721" i="12"/>
  <c r="X1720" i="12"/>
  <c r="X1721" i="12"/>
  <c r="W1722" i="12"/>
  <c r="X1722" i="12"/>
  <c r="W1723" i="12"/>
  <c r="X1723" i="12"/>
  <c r="W1724" i="12"/>
  <c r="X1724" i="12"/>
  <c r="W1725" i="12"/>
  <c r="X1725" i="12"/>
  <c r="W1726" i="12"/>
  <c r="W1727" i="12"/>
  <c r="X1726" i="12"/>
  <c r="X1727" i="12"/>
  <c r="W1728" i="12"/>
  <c r="X1728" i="12"/>
  <c r="W1729" i="12"/>
  <c r="X1729" i="12"/>
  <c r="W1730" i="12"/>
  <c r="W1731" i="12"/>
  <c r="X1730" i="12"/>
  <c r="X1731" i="12"/>
  <c r="W1732" i="12"/>
  <c r="W1733" i="12"/>
  <c r="X1732" i="12"/>
  <c r="X1733" i="12"/>
  <c r="W1734" i="12"/>
  <c r="X1734" i="12"/>
  <c r="W1735" i="12"/>
  <c r="W1736" i="12"/>
  <c r="X1735" i="12"/>
  <c r="X1736" i="12"/>
  <c r="W1737" i="12"/>
  <c r="W1738" i="12"/>
  <c r="X1737" i="12"/>
  <c r="W1739" i="12"/>
  <c r="X1738" i="12"/>
  <c r="W1740" i="12"/>
  <c r="X1739" i="12"/>
  <c r="W1741" i="12"/>
  <c r="X1740" i="12"/>
  <c r="X1741" i="12"/>
  <c r="W1742" i="12"/>
  <c r="X1742" i="12"/>
  <c r="W1743" i="12"/>
  <c r="X1743" i="12"/>
  <c r="W1744" i="12"/>
  <c r="X1744" i="12"/>
  <c r="W1745" i="12"/>
  <c r="X1745" i="12"/>
  <c r="W1746" i="12"/>
  <c r="W1747" i="12"/>
  <c r="X1746" i="12"/>
  <c r="X1747" i="12"/>
  <c r="W1748" i="12"/>
  <c r="X1748" i="12"/>
  <c r="W1749" i="12"/>
  <c r="X1749" i="12"/>
  <c r="W1750" i="12"/>
  <c r="W1751" i="12"/>
  <c r="X1750" i="12"/>
  <c r="X1751" i="12"/>
  <c r="W1752" i="12"/>
  <c r="X1752" i="12"/>
  <c r="W1753" i="12"/>
  <c r="X1753" i="12"/>
  <c r="W1754" i="12"/>
  <c r="X1754" i="12"/>
  <c r="W1755" i="12"/>
  <c r="X1755" i="12"/>
  <c r="W1756" i="12"/>
  <c r="W1757" i="12"/>
  <c r="X1756" i="12"/>
  <c r="X1757" i="12"/>
  <c r="W1758" i="12"/>
  <c r="X1758" i="12"/>
  <c r="W1759" i="12"/>
  <c r="W1760" i="12"/>
  <c r="X1759" i="12"/>
  <c r="W1761" i="12"/>
  <c r="X1760" i="12"/>
  <c r="W1762" i="12"/>
  <c r="X1761" i="12"/>
  <c r="W1763" i="12"/>
  <c r="X1762" i="12"/>
  <c r="W1764" i="12"/>
  <c r="X1763" i="12"/>
  <c r="W1765" i="12"/>
  <c r="X1764" i="12"/>
  <c r="W1766" i="12"/>
  <c r="X1765" i="12"/>
  <c r="W1767" i="12"/>
  <c r="X1766" i="12"/>
  <c r="X1767" i="12"/>
  <c r="W1768" i="12"/>
  <c r="W1769" i="12"/>
  <c r="X1768" i="12"/>
  <c r="W1770" i="12"/>
  <c r="X1769" i="12"/>
  <c r="X1770" i="12"/>
  <c r="W1771" i="12"/>
  <c r="W1772" i="12"/>
  <c r="X1771" i="12"/>
  <c r="W1773" i="12"/>
  <c r="X1772" i="12"/>
  <c r="X1773" i="12"/>
  <c r="W1774" i="12"/>
  <c r="X1774" i="12"/>
  <c r="W1775" i="12"/>
  <c r="X1775" i="12"/>
  <c r="W1776" i="12"/>
  <c r="X1776" i="12"/>
  <c r="W1777" i="12"/>
  <c r="X1777" i="12"/>
  <c r="W1778" i="12"/>
  <c r="W1779" i="12"/>
  <c r="X1778" i="12"/>
  <c r="W1780" i="12"/>
  <c r="X1779" i="12"/>
  <c r="X1780" i="12"/>
  <c r="W1781" i="12"/>
  <c r="W1782" i="12"/>
  <c r="X1781" i="12"/>
  <c r="W1783" i="12"/>
  <c r="X1782" i="12"/>
  <c r="W1784" i="12"/>
  <c r="X1783" i="12"/>
  <c r="W1785" i="12"/>
  <c r="X1784" i="12"/>
  <c r="X1785" i="12"/>
  <c r="W1786" i="12"/>
  <c r="W1787" i="12"/>
  <c r="X1786" i="12"/>
  <c r="X1787" i="12"/>
  <c r="W1788" i="12"/>
  <c r="X1788" i="12"/>
  <c r="W1789" i="12"/>
  <c r="W1790" i="12"/>
  <c r="X1789" i="12"/>
  <c r="X1790" i="12"/>
  <c r="W1791" i="12"/>
  <c r="W1792" i="12"/>
  <c r="X1791" i="12"/>
  <c r="W1793" i="12"/>
  <c r="X1792" i="12"/>
  <c r="W1794" i="12"/>
  <c r="X1793" i="12"/>
  <c r="X1794" i="12"/>
  <c r="W1795" i="12"/>
  <c r="W1796" i="12"/>
  <c r="X1795" i="12"/>
  <c r="X1796" i="12"/>
  <c r="W1797" i="12"/>
  <c r="W1798" i="12"/>
  <c r="X1797" i="12"/>
  <c r="X1798" i="12"/>
  <c r="W1799" i="12"/>
  <c r="X1799" i="12"/>
  <c r="W1800" i="12"/>
  <c r="W1801" i="12"/>
  <c r="X1800" i="12"/>
  <c r="X1801" i="12"/>
  <c r="W1802" i="12"/>
  <c r="W1803" i="12"/>
  <c r="X1802" i="12"/>
  <c r="X1803" i="12"/>
  <c r="W1804" i="12"/>
  <c r="X1804" i="12"/>
  <c r="W1805" i="12"/>
  <c r="W1806" i="12"/>
  <c r="X1805" i="12"/>
  <c r="W1807" i="12"/>
  <c r="X1806" i="12"/>
  <c r="W1808" i="12"/>
  <c r="X1807" i="12"/>
  <c r="W1809" i="12"/>
  <c r="X1808" i="12"/>
  <c r="X1809" i="12"/>
  <c r="W1810" i="12"/>
  <c r="X1810" i="12"/>
  <c r="W1811" i="12"/>
  <c r="W1812" i="12"/>
  <c r="X1811" i="12"/>
  <c r="W1813" i="12"/>
  <c r="X1812" i="12"/>
  <c r="W1814" i="12"/>
  <c r="X1813" i="12"/>
  <c r="X1814" i="12"/>
  <c r="W1815" i="12"/>
  <c r="W1816" i="12"/>
  <c r="X1815" i="12"/>
  <c r="W1817" i="12"/>
  <c r="X1816" i="12"/>
  <c r="W1818" i="12"/>
  <c r="X1817" i="12"/>
  <c r="W1819" i="12"/>
  <c r="X1818" i="12"/>
  <c r="W1820" i="12"/>
  <c r="X1819" i="12"/>
  <c r="X1820" i="12"/>
  <c r="W1821" i="12"/>
  <c r="W1822" i="12"/>
  <c r="X1821" i="12"/>
  <c r="X1822" i="12"/>
  <c r="W1823" i="12"/>
  <c r="X1823" i="12"/>
  <c r="W1824" i="12"/>
  <c r="W1825" i="12"/>
  <c r="X1824" i="12"/>
  <c r="W1826" i="12"/>
  <c r="X1825" i="12"/>
  <c r="X1826" i="12"/>
  <c r="W1827" i="12"/>
  <c r="W1828" i="12"/>
  <c r="X1827" i="12"/>
  <c r="W1829" i="12"/>
  <c r="X1828" i="12"/>
  <c r="X1829" i="12"/>
  <c r="W1830" i="12"/>
  <c r="W1831" i="12"/>
  <c r="X1830" i="12"/>
  <c r="W1832" i="12"/>
  <c r="X1831" i="12"/>
  <c r="W1833" i="12"/>
  <c r="X1832" i="12"/>
  <c r="X1833" i="12"/>
  <c r="W1834" i="12"/>
  <c r="W1835" i="12"/>
  <c r="X1834" i="12"/>
  <c r="X1835" i="12"/>
  <c r="W1836" i="12"/>
  <c r="X1836" i="12"/>
  <c r="W1837" i="12"/>
  <c r="W1838" i="12"/>
  <c r="X1837" i="12"/>
  <c r="X1838" i="12"/>
  <c r="W1839" i="12"/>
  <c r="W1840" i="12"/>
  <c r="X1839" i="12"/>
  <c r="W1841" i="12"/>
  <c r="X1840" i="12"/>
  <c r="X1841" i="12"/>
  <c r="W1842" i="12"/>
  <c r="W1843" i="12"/>
  <c r="X1842" i="12"/>
  <c r="X1843" i="12"/>
  <c r="W1844" i="12"/>
  <c r="W1845" i="12"/>
  <c r="X1844" i="12"/>
  <c r="W1846" i="12"/>
  <c r="X1845" i="12"/>
  <c r="X1846" i="12"/>
  <c r="W1847" i="12"/>
  <c r="W1848" i="12"/>
  <c r="X1847" i="12"/>
  <c r="W1849" i="12"/>
  <c r="X1848" i="12"/>
  <c r="W1850" i="12"/>
  <c r="X1849" i="12"/>
  <c r="W1851" i="12"/>
  <c r="X1850" i="12"/>
  <c r="X1851" i="12"/>
  <c r="W1852" i="12"/>
  <c r="W1853" i="12"/>
  <c r="X1852" i="12"/>
  <c r="X1853" i="12"/>
  <c r="W1854" i="12"/>
  <c r="X1854" i="12"/>
  <c r="W1855" i="12"/>
  <c r="X1855" i="12"/>
  <c r="W1856" i="12"/>
  <c r="W1857" i="12"/>
  <c r="X1856" i="12"/>
  <c r="X1857" i="12"/>
  <c r="W1858" i="12"/>
  <c r="X1858" i="12"/>
  <c r="W1859" i="12"/>
  <c r="X1859" i="12"/>
  <c r="W1860" i="12"/>
  <c r="X1860" i="12"/>
  <c r="W1861" i="12"/>
  <c r="X1861" i="12"/>
  <c r="W1862" i="12"/>
  <c r="X1862" i="12"/>
  <c r="W1863" i="12"/>
  <c r="X1863" i="12"/>
  <c r="W1864" i="12"/>
  <c r="W1865" i="12"/>
  <c r="X1864" i="12"/>
  <c r="X1865" i="12"/>
  <c r="W1866" i="12"/>
  <c r="W1867" i="12"/>
  <c r="X1866" i="12"/>
  <c r="X1867" i="12"/>
  <c r="W1868" i="12"/>
  <c r="W1869" i="12"/>
  <c r="X1868" i="12"/>
  <c r="X1869" i="12"/>
  <c r="W1870" i="12"/>
  <c r="X1870" i="12"/>
  <c r="W1871" i="12"/>
  <c r="X1871" i="12"/>
  <c r="W1872" i="12"/>
  <c r="W1873" i="12"/>
  <c r="X1872" i="12"/>
  <c r="X1873" i="12"/>
  <c r="W1874" i="12"/>
  <c r="W1875" i="12"/>
  <c r="X1874" i="12"/>
  <c r="W1876" i="12"/>
  <c r="X1875" i="12"/>
  <c r="W1877" i="12"/>
  <c r="X1876" i="12"/>
  <c r="W1878" i="12"/>
  <c r="X1877" i="12"/>
  <c r="X1878" i="12"/>
  <c r="W1879" i="12"/>
  <c r="X1879" i="12"/>
  <c r="W1880" i="12"/>
  <c r="W1881" i="12"/>
  <c r="X1880" i="12"/>
  <c r="W1882" i="12"/>
  <c r="X1881" i="12"/>
  <c r="W1883" i="12"/>
  <c r="X1882" i="12"/>
  <c r="X1883" i="12"/>
  <c r="W1884" i="12"/>
  <c r="W1885" i="12"/>
  <c r="X1884" i="12"/>
  <c r="W1886" i="12"/>
  <c r="X1885" i="12"/>
  <c r="W1887" i="12"/>
  <c r="X1886" i="12"/>
  <c r="W1888" i="12"/>
  <c r="X1887" i="12"/>
  <c r="X1888" i="12"/>
  <c r="W1889" i="12"/>
  <c r="W1890" i="12"/>
  <c r="X1889" i="12"/>
  <c r="X1890" i="12"/>
  <c r="W1891" i="12"/>
  <c r="W1892" i="12"/>
  <c r="X1891" i="12"/>
  <c r="W1893" i="12"/>
  <c r="X1892" i="12"/>
  <c r="X1893" i="12"/>
  <c r="W1894" i="12"/>
  <c r="X1894" i="12"/>
  <c r="W1895" i="12"/>
  <c r="X1895" i="12"/>
  <c r="W1896" i="12"/>
  <c r="W1897" i="12"/>
  <c r="X1896" i="12"/>
  <c r="X1897" i="12"/>
  <c r="W1898" i="12"/>
  <c r="X1898" i="12"/>
  <c r="W1899" i="12"/>
  <c r="W1900" i="12"/>
  <c r="X1899" i="12"/>
  <c r="W1901" i="12"/>
  <c r="X1900" i="12"/>
  <c r="X1901" i="12"/>
  <c r="W1902" i="12"/>
  <c r="W1903" i="12"/>
  <c r="X1902" i="12"/>
  <c r="W1904" i="12"/>
  <c r="X1903" i="12"/>
  <c r="X1904" i="12"/>
  <c r="W1905" i="12"/>
  <c r="X1905" i="12"/>
  <c r="W1906" i="12"/>
  <c r="X1906" i="12"/>
  <c r="W1907" i="12"/>
  <c r="X1907" i="12"/>
  <c r="W1908" i="12"/>
  <c r="W1909" i="12"/>
  <c r="X1908" i="12"/>
  <c r="X1909" i="12"/>
  <c r="W1910" i="12"/>
  <c r="X1910" i="12"/>
  <c r="W1911" i="12"/>
  <c r="W1912" i="12"/>
  <c r="X1911" i="12"/>
  <c r="X1912" i="12"/>
  <c r="W1913" i="12"/>
  <c r="W1914" i="12"/>
  <c r="X1913" i="12"/>
  <c r="W1915" i="12"/>
  <c r="X1914" i="12"/>
  <c r="X1915" i="12"/>
  <c r="W1916" i="12"/>
  <c r="X1916" i="12"/>
  <c r="W1917" i="12"/>
  <c r="W1918" i="12"/>
  <c r="X1917" i="12"/>
  <c r="W1919" i="12"/>
  <c r="X1918" i="12"/>
  <c r="X1919" i="12"/>
  <c r="W1920" i="12"/>
  <c r="X1920" i="12"/>
  <c r="W1921" i="12"/>
  <c r="W1922" i="12"/>
  <c r="X1921" i="12"/>
  <c r="W1923" i="12"/>
  <c r="X1922" i="12"/>
  <c r="W1924" i="12"/>
  <c r="X1923" i="12"/>
  <c r="X1924" i="12"/>
  <c r="W1925" i="12"/>
  <c r="X1925" i="12"/>
  <c r="W1926" i="12"/>
  <c r="W1927" i="12"/>
  <c r="X1926" i="12"/>
  <c r="X1927" i="12"/>
  <c r="W1928" i="12"/>
  <c r="W1929" i="12"/>
  <c r="X1928" i="12"/>
  <c r="X1929" i="12"/>
  <c r="W1930" i="12"/>
  <c r="W1931" i="12"/>
  <c r="X1930" i="12"/>
  <c r="W1932" i="12"/>
  <c r="X1931" i="12"/>
  <c r="W1933" i="12"/>
  <c r="X1932" i="12"/>
  <c r="X1933" i="12"/>
  <c r="W1934" i="12"/>
  <c r="X1934" i="12"/>
  <c r="W1935" i="12"/>
  <c r="W1936" i="12"/>
  <c r="X1935" i="12"/>
  <c r="W1937" i="12"/>
  <c r="X1936" i="12"/>
  <c r="W1938" i="12"/>
  <c r="X1937" i="12"/>
  <c r="X1938" i="12"/>
  <c r="W1939" i="12"/>
  <c r="W1940" i="12"/>
  <c r="X1939" i="12"/>
  <c r="X1940" i="12"/>
  <c r="W1941" i="12"/>
  <c r="W1942" i="12"/>
  <c r="X1941" i="12"/>
  <c r="W1943" i="12"/>
  <c r="X1942" i="12"/>
  <c r="X1943" i="12"/>
  <c r="W1944" i="12"/>
  <c r="W1945" i="12"/>
  <c r="X1944" i="12"/>
  <c r="X1945" i="12"/>
  <c r="W1946" i="12"/>
  <c r="X1946" i="12"/>
  <c r="W1947" i="12"/>
  <c r="X1947" i="12"/>
  <c r="W1948" i="12"/>
  <c r="X1948" i="12"/>
  <c r="W1949" i="12"/>
  <c r="W1950" i="12"/>
  <c r="X1949" i="12"/>
  <c r="X1950" i="12"/>
  <c r="W1951" i="12"/>
  <c r="W1952" i="12"/>
  <c r="X1951" i="12"/>
  <c r="X1952" i="12"/>
  <c r="W1953" i="12"/>
  <c r="W1954" i="12"/>
  <c r="X1953" i="12"/>
  <c r="X1954" i="12"/>
  <c r="W1955" i="12"/>
  <c r="W1956" i="12"/>
  <c r="X1955" i="12"/>
  <c r="X1956" i="12"/>
  <c r="W1957" i="12"/>
  <c r="X1957" i="12"/>
  <c r="W1958" i="12"/>
  <c r="X1958" i="12"/>
  <c r="W1959" i="12"/>
  <c r="W1960" i="12"/>
  <c r="X1959" i="12"/>
  <c r="W1961" i="12"/>
  <c r="X1960" i="12"/>
  <c r="X1961" i="12"/>
  <c r="W1962" i="12"/>
  <c r="X1962" i="12"/>
  <c r="W1963" i="12"/>
  <c r="X1963" i="12"/>
  <c r="W1964" i="12"/>
  <c r="W1965" i="12"/>
  <c r="X1964" i="12"/>
  <c r="W1966" i="12"/>
  <c r="X1965" i="12"/>
  <c r="X1966" i="12"/>
  <c r="W1967" i="12"/>
  <c r="W1968" i="12"/>
  <c r="X1967" i="12"/>
  <c r="X1968" i="12"/>
  <c r="W1969" i="12"/>
  <c r="W1970" i="12"/>
  <c r="X1969" i="12"/>
  <c r="X1970" i="12"/>
  <c r="W1971" i="12"/>
  <c r="X1971" i="12"/>
  <c r="W1972" i="12"/>
  <c r="W1973" i="12"/>
  <c r="X1972" i="12"/>
  <c r="X1973" i="12"/>
  <c r="W1974" i="12"/>
  <c r="X1974" i="12"/>
  <c r="W1975" i="12"/>
  <c r="X1975" i="12"/>
  <c r="W1976" i="12"/>
  <c r="W1977" i="12"/>
  <c r="X1976" i="12"/>
  <c r="W1978" i="12"/>
  <c r="X1977" i="12"/>
  <c r="W1979" i="12"/>
  <c r="X1978" i="12"/>
  <c r="W1980" i="12"/>
  <c r="X1979" i="12"/>
  <c r="W1981" i="12"/>
  <c r="X1980" i="12"/>
  <c r="X1981" i="12"/>
  <c r="W1982" i="12"/>
  <c r="X1982" i="12"/>
  <c r="W1983" i="12"/>
  <c r="W1984" i="12"/>
  <c r="X1983" i="12"/>
  <c r="W1985" i="12"/>
  <c r="X1984" i="12"/>
  <c r="X1985" i="12"/>
  <c r="W1986" i="12"/>
  <c r="W1987" i="12"/>
  <c r="X1986" i="12"/>
  <c r="W1988" i="12"/>
  <c r="X1987" i="12"/>
  <c r="W1989" i="12"/>
  <c r="X1988" i="12"/>
  <c r="W1990" i="12"/>
  <c r="X1989" i="12"/>
  <c r="X1990" i="12"/>
  <c r="W1991" i="12"/>
  <c r="W1992" i="12"/>
  <c r="X1991" i="12"/>
  <c r="W1993" i="12"/>
  <c r="X1992" i="12"/>
  <c r="W1994" i="12"/>
  <c r="X1993" i="12"/>
  <c r="W1995" i="12"/>
  <c r="X1994" i="12"/>
  <c r="X1995" i="12"/>
  <c r="W1996" i="12"/>
  <c r="W1997" i="12"/>
  <c r="X1996" i="12"/>
  <c r="W1998" i="12"/>
  <c r="X1997" i="12"/>
  <c r="W1999" i="12"/>
  <c r="X1998" i="12"/>
  <c r="W2000" i="12"/>
  <c r="X1999" i="12"/>
  <c r="W2001" i="12"/>
  <c r="X2000" i="12"/>
  <c r="X2001" i="12"/>
  <c r="W2002" i="12"/>
  <c r="W2003" i="12"/>
  <c r="X2002" i="12"/>
  <c r="W2004" i="12"/>
  <c r="X2003" i="12"/>
  <c r="W2005" i="12"/>
  <c r="X2004" i="12"/>
  <c r="W2006" i="12"/>
  <c r="X2005" i="12"/>
  <c r="X2006" i="12"/>
  <c r="W2007" i="12"/>
  <c r="X2007" i="12"/>
  <c r="W2008" i="12"/>
  <c r="W2009" i="12"/>
  <c r="X2008" i="12"/>
  <c r="W2010" i="12"/>
  <c r="X2009" i="12"/>
  <c r="X2010" i="12"/>
  <c r="W2011" i="12"/>
  <c r="W2012" i="12"/>
  <c r="X2011" i="12"/>
  <c r="W2013" i="12"/>
  <c r="X2012" i="12"/>
  <c r="X2013" i="12"/>
  <c r="W2014" i="12"/>
  <c r="X2014" i="12"/>
  <c r="W2015" i="12"/>
  <c r="W2016" i="12"/>
  <c r="X2015" i="12"/>
  <c r="X2016" i="12"/>
  <c r="W2017" i="12"/>
  <c r="W2018" i="12"/>
  <c r="X2017" i="12"/>
  <c r="X2018" i="12"/>
  <c r="W2019" i="12"/>
  <c r="W2020" i="12"/>
  <c r="X2019" i="12"/>
  <c r="X2020" i="12"/>
  <c r="W2021" i="12"/>
  <c r="X2021" i="12"/>
  <c r="W2022" i="12"/>
  <c r="X2022" i="12"/>
  <c r="W2023" i="12"/>
  <c r="X2023" i="12"/>
  <c r="W2024" i="12"/>
  <c r="X2024" i="12"/>
  <c r="W2025" i="12"/>
  <c r="W2026" i="12"/>
  <c r="X2025" i="12"/>
  <c r="W2027" i="12"/>
  <c r="X2026" i="12"/>
  <c r="X2027" i="12"/>
  <c r="W2028" i="12"/>
  <c r="W2029" i="12"/>
  <c r="X2028" i="12"/>
  <c r="X2029" i="12"/>
  <c r="W2030" i="12"/>
  <c r="W2031" i="12"/>
  <c r="X2030" i="12"/>
  <c r="W2032" i="12"/>
  <c r="X2031" i="12"/>
  <c r="W2033" i="12"/>
  <c r="X2032" i="12"/>
  <c r="X2033" i="12"/>
  <c r="W2034" i="12"/>
  <c r="X2034" i="12"/>
  <c r="W2035" i="12"/>
  <c r="W2036" i="12"/>
  <c r="X2035" i="12"/>
  <c r="W2037" i="12"/>
  <c r="X2036" i="12"/>
  <c r="X2037" i="12"/>
  <c r="W2038" i="12"/>
  <c r="W2039" i="12"/>
  <c r="X2038" i="12"/>
  <c r="X2039" i="12"/>
  <c r="W2040" i="12"/>
  <c r="W2041" i="12"/>
  <c r="X2040" i="12"/>
  <c r="W2042" i="12"/>
  <c r="X2041" i="12"/>
  <c r="W2043" i="12"/>
  <c r="X2042" i="12"/>
  <c r="X2043" i="12"/>
  <c r="W2044" i="12"/>
  <c r="X2044" i="12"/>
  <c r="W2045" i="12"/>
  <c r="W2046" i="12"/>
  <c r="X2045" i="12"/>
  <c r="W2047" i="12"/>
  <c r="X2046" i="12"/>
  <c r="X2047" i="12"/>
  <c r="W2048" i="12"/>
  <c r="X2048" i="12"/>
  <c r="W2049" i="12"/>
  <c r="W2050" i="12"/>
  <c r="X2049" i="12"/>
  <c r="X2050" i="12"/>
  <c r="W2051" i="12"/>
  <c r="X2051" i="12"/>
  <c r="W2052" i="12"/>
  <c r="W2053" i="12"/>
  <c r="X2052" i="12"/>
  <c r="W2054" i="12"/>
  <c r="X2053" i="12"/>
  <c r="W2055" i="12"/>
  <c r="X2054" i="12"/>
  <c r="X2055" i="12"/>
  <c r="W2056" i="12"/>
  <c r="W2057" i="12"/>
  <c r="X2056" i="12"/>
  <c r="W2058" i="12"/>
  <c r="X2057" i="12"/>
  <c r="W2059" i="12"/>
  <c r="X2058" i="12"/>
  <c r="X2059" i="12"/>
  <c r="W2060" i="12"/>
  <c r="X2060" i="12"/>
  <c r="W2061" i="12"/>
  <c r="W2062" i="12"/>
  <c r="X2061" i="12"/>
  <c r="X2062" i="12"/>
  <c r="W2063" i="12"/>
  <c r="W2064" i="12"/>
  <c r="X2063" i="12"/>
  <c r="W2065" i="12"/>
  <c r="X2064" i="12"/>
  <c r="W2066" i="12"/>
  <c r="X2065" i="12"/>
  <c r="X2066" i="12"/>
  <c r="W2067" i="12"/>
  <c r="X2067" i="12"/>
  <c r="W2068" i="12"/>
  <c r="X2068" i="12"/>
  <c r="W2069" i="12"/>
  <c r="W2070" i="12"/>
  <c r="X2069" i="12"/>
  <c r="X2070" i="12"/>
  <c r="W2071" i="12"/>
  <c r="W2072" i="12"/>
  <c r="X2071" i="12"/>
  <c r="X2072" i="12"/>
  <c r="W2073" i="12"/>
  <c r="W2074" i="12"/>
  <c r="X2073" i="12"/>
  <c r="W2075" i="12"/>
  <c r="X2074" i="12"/>
  <c r="X2075" i="12"/>
  <c r="W2076" i="12"/>
  <c r="W2077" i="12"/>
  <c r="X2076" i="12"/>
  <c r="X2077" i="12"/>
  <c r="W2078" i="12"/>
  <c r="X2078" i="12"/>
  <c r="W2079" i="12"/>
  <c r="X2079" i="12"/>
  <c r="W2080" i="12"/>
  <c r="W2081" i="12"/>
  <c r="X2080" i="12"/>
  <c r="X2081" i="12"/>
  <c r="W2082" i="12"/>
  <c r="W2083" i="12"/>
  <c r="X2082" i="12"/>
  <c r="X2083" i="12"/>
  <c r="W2084" i="12"/>
  <c r="X2084" i="12"/>
  <c r="W2085" i="12"/>
  <c r="X2085" i="12"/>
  <c r="W2086" i="12"/>
  <c r="X2086" i="12"/>
  <c r="W2087" i="12"/>
  <c r="W2088" i="12"/>
  <c r="X2087" i="12"/>
  <c r="X2088" i="12"/>
  <c r="W2089" i="12"/>
  <c r="X2089" i="12"/>
  <c r="W2090" i="12"/>
  <c r="X2090" i="12"/>
  <c r="W2091" i="12"/>
  <c r="X2091" i="12"/>
  <c r="W2092" i="12"/>
  <c r="X2092" i="12"/>
  <c r="W2093" i="12"/>
  <c r="W2094" i="12"/>
  <c r="X2093" i="12"/>
  <c r="X2094" i="12"/>
  <c r="W2095" i="12"/>
  <c r="X2095" i="12"/>
  <c r="W2096" i="12"/>
  <c r="W2097" i="12"/>
  <c r="X2096" i="12"/>
  <c r="W2098" i="12"/>
  <c r="X2097" i="12"/>
  <c r="W2099" i="12"/>
  <c r="X2098" i="12"/>
  <c r="W2100" i="12"/>
  <c r="X2099" i="12"/>
  <c r="W2101" i="12"/>
  <c r="X2100" i="12"/>
  <c r="W2102" i="12"/>
  <c r="X2101" i="12"/>
  <c r="X2102" i="12"/>
  <c r="W2103" i="12"/>
  <c r="X2103" i="12"/>
  <c r="W2104" i="12"/>
  <c r="X2104" i="12"/>
  <c r="W2105" i="12"/>
  <c r="X2105" i="12"/>
  <c r="W2106" i="12"/>
  <c r="W2107" i="12"/>
  <c r="X2106" i="12"/>
  <c r="W2108" i="12"/>
  <c r="X2107" i="12"/>
  <c r="W2109" i="12"/>
  <c r="X2108" i="12"/>
  <c r="X2109" i="12"/>
  <c r="W2110" i="12"/>
  <c r="W2111" i="12"/>
  <c r="X2110" i="12"/>
  <c r="X2111" i="12"/>
  <c r="W2112" i="12"/>
  <c r="X2112" i="12"/>
  <c r="W2113" i="12"/>
  <c r="W2114" i="12"/>
  <c r="X2113" i="12"/>
  <c r="X2114" i="12"/>
  <c r="W2115" i="12"/>
  <c r="X2115" i="12"/>
  <c r="W2116" i="12"/>
  <c r="X2116" i="12"/>
  <c r="W2117" i="12"/>
  <c r="W2118" i="12"/>
  <c r="X2117" i="12"/>
  <c r="W2119" i="12"/>
  <c r="X2118" i="12"/>
  <c r="W2120" i="12"/>
  <c r="X2119" i="12"/>
  <c r="X2120" i="12"/>
  <c r="W2121" i="12"/>
  <c r="X2121" i="12"/>
  <c r="W2122" i="12"/>
  <c r="X2122" i="12"/>
  <c r="W2123" i="12"/>
  <c r="W2124" i="12"/>
  <c r="X2123" i="12"/>
  <c r="X2124" i="12"/>
  <c r="W2125" i="12"/>
  <c r="X2125" i="12"/>
  <c r="W2126" i="12"/>
  <c r="X2126" i="12"/>
  <c r="W2127" i="12"/>
  <c r="X2127" i="12"/>
  <c r="W2128" i="12"/>
  <c r="W2129" i="12"/>
  <c r="X2128" i="12"/>
  <c r="W2130" i="12"/>
  <c r="X2129" i="12"/>
  <c r="X2130" i="12"/>
  <c r="W2131" i="12"/>
  <c r="W2132" i="12"/>
  <c r="X2131" i="12"/>
  <c r="W2133" i="12"/>
  <c r="X2132" i="12"/>
  <c r="W2134" i="12"/>
  <c r="X2133" i="12"/>
  <c r="X2134" i="12"/>
  <c r="W2135" i="12"/>
  <c r="W2136" i="12"/>
  <c r="X2135" i="12"/>
  <c r="X2136" i="12"/>
  <c r="W2137" i="12"/>
  <c r="X2137" i="12"/>
  <c r="W2138" i="12"/>
  <c r="X2138" i="12"/>
  <c r="W2139" i="12"/>
  <c r="X2139" i="12"/>
  <c r="W2140" i="12"/>
  <c r="X2140" i="12"/>
  <c r="W2141" i="12"/>
  <c r="X2141" i="12"/>
  <c r="W2142" i="12"/>
  <c r="X2142" i="12"/>
  <c r="W2143" i="12"/>
  <c r="W2144" i="12"/>
  <c r="X2143" i="12"/>
  <c r="W2145" i="12"/>
  <c r="X2144" i="12"/>
  <c r="X2145" i="12"/>
  <c r="W2146" i="12"/>
  <c r="W2147" i="12"/>
  <c r="X2146" i="12"/>
  <c r="W2148" i="12"/>
  <c r="X2147" i="12"/>
  <c r="X2148" i="12"/>
  <c r="W2149" i="12"/>
  <c r="W2150" i="12"/>
  <c r="X2149" i="12"/>
  <c r="W2151" i="12"/>
  <c r="X2150" i="12"/>
  <c r="W2152" i="12"/>
  <c r="X2151" i="12"/>
  <c r="X2152" i="12"/>
  <c r="W2153" i="12"/>
  <c r="X2153" i="12"/>
  <c r="W2154" i="12"/>
  <c r="X2154" i="12"/>
  <c r="W2155" i="12"/>
  <c r="X2155" i="12"/>
  <c r="W2156" i="12"/>
  <c r="X2156" i="12"/>
  <c r="W2157" i="12"/>
  <c r="W2158" i="12"/>
  <c r="X2157" i="12"/>
  <c r="X2158" i="12"/>
  <c r="W2159" i="12"/>
  <c r="W2160" i="12"/>
  <c r="X2159" i="12"/>
  <c r="X2160" i="12"/>
  <c r="W2161" i="12"/>
  <c r="W2162" i="12"/>
  <c r="X2161" i="12"/>
  <c r="X2162" i="12"/>
  <c r="W2163" i="12"/>
  <c r="W2164" i="12"/>
  <c r="X2163" i="12"/>
  <c r="W2165" i="12"/>
  <c r="X2164" i="12"/>
  <c r="X2165" i="12"/>
  <c r="W2166" i="12"/>
  <c r="W2167" i="12"/>
  <c r="X2166" i="12"/>
  <c r="W2168" i="12"/>
  <c r="X2167" i="12"/>
  <c r="W2169" i="12"/>
  <c r="X2168" i="12"/>
  <c r="X2169" i="12"/>
  <c r="W2170" i="12"/>
  <c r="W2171" i="12"/>
  <c r="X2170" i="12"/>
  <c r="X2171" i="12"/>
  <c r="W2172" i="12"/>
  <c r="X2172" i="12"/>
  <c r="W2173" i="12"/>
  <c r="W2174" i="12"/>
  <c r="X2173" i="12"/>
  <c r="X2174" i="12"/>
  <c r="W2175" i="12"/>
  <c r="W2176" i="12"/>
  <c r="X2175" i="12"/>
  <c r="X2176" i="12"/>
  <c r="W2177" i="12"/>
  <c r="X2177" i="12"/>
  <c r="W2178" i="12"/>
  <c r="X2178" i="12"/>
  <c r="W2179" i="12"/>
  <c r="W2180" i="12"/>
  <c r="X2179" i="12"/>
  <c r="X2180" i="12"/>
  <c r="W2181" i="12"/>
  <c r="X2181" i="12"/>
  <c r="W2182" i="12"/>
  <c r="X2182" i="12"/>
  <c r="W2183" i="12"/>
  <c r="W2184" i="12"/>
  <c r="X2183" i="12"/>
  <c r="W2185" i="12"/>
  <c r="X2184" i="12"/>
  <c r="X2185" i="12"/>
  <c r="W2186" i="12"/>
  <c r="W2187" i="12"/>
  <c r="X2186" i="12"/>
  <c r="X2187" i="12"/>
  <c r="W2188" i="12"/>
  <c r="W2189" i="12"/>
  <c r="X2188" i="12"/>
  <c r="X2189" i="12"/>
  <c r="W2190" i="12"/>
  <c r="X2190" i="12"/>
  <c r="W2191" i="12"/>
  <c r="W2192" i="12"/>
  <c r="X2191" i="12"/>
  <c r="X2192" i="12"/>
  <c r="W2193" i="12"/>
  <c r="X2193" i="12"/>
  <c r="W2194" i="12"/>
  <c r="W2195" i="12"/>
  <c r="X2194" i="12"/>
  <c r="X2195" i="12"/>
  <c r="W2196" i="12"/>
  <c r="W2197" i="12"/>
  <c r="X2196" i="12"/>
  <c r="X2197" i="12"/>
  <c r="W2198" i="12"/>
  <c r="W2199" i="12"/>
  <c r="X2198" i="12"/>
  <c r="W2200" i="12"/>
  <c r="X2199" i="12"/>
  <c r="X2200" i="12"/>
  <c r="W2201" i="12"/>
  <c r="X2201" i="12"/>
  <c r="W2202" i="12"/>
  <c r="X2202" i="12"/>
  <c r="W2203" i="12"/>
  <c r="W2204" i="12"/>
  <c r="X2203" i="12"/>
  <c r="X2204" i="12"/>
  <c r="W2205" i="12"/>
  <c r="X2205" i="12"/>
  <c r="W2206" i="12"/>
  <c r="W2207" i="12"/>
  <c r="X2206" i="12"/>
  <c r="W2208" i="12"/>
  <c r="X2207" i="12"/>
  <c r="X2208" i="12"/>
  <c r="W2209" i="12"/>
  <c r="X2209" i="12"/>
  <c r="W2210" i="12"/>
  <c r="X2210" i="12"/>
  <c r="W2211" i="12"/>
  <c r="W2212" i="12"/>
  <c r="X2211" i="12"/>
  <c r="X2212" i="12"/>
  <c r="W2213" i="12"/>
  <c r="X2213" i="12"/>
  <c r="W2214" i="12"/>
  <c r="X2214" i="12"/>
  <c r="W2215" i="12"/>
  <c r="W2216" i="12"/>
  <c r="X2215" i="12"/>
  <c r="W2217" i="12"/>
  <c r="X2216" i="12"/>
  <c r="W2218" i="12"/>
  <c r="X2217" i="12"/>
  <c r="W2219" i="12"/>
  <c r="X2218" i="12"/>
  <c r="X2219" i="12"/>
  <c r="W2220" i="12"/>
  <c r="W2221" i="12"/>
  <c r="X2220" i="12"/>
  <c r="W2222" i="12"/>
  <c r="X2221" i="12"/>
  <c r="W2223" i="12"/>
  <c r="X2222" i="12"/>
  <c r="W2224" i="12"/>
  <c r="X2223" i="12"/>
  <c r="W2225" i="12"/>
  <c r="X2224" i="12"/>
  <c r="X2225" i="12"/>
  <c r="W2226" i="12"/>
  <c r="W2227" i="12"/>
  <c r="X2226" i="12"/>
  <c r="X2227" i="12"/>
  <c r="W2228" i="12"/>
  <c r="X2228" i="12"/>
  <c r="W2229" i="12"/>
  <c r="W2230" i="12"/>
  <c r="X2229" i="12"/>
  <c r="X2230" i="12"/>
  <c r="W2231" i="12"/>
  <c r="W2232" i="12"/>
  <c r="X2231" i="12"/>
  <c r="W2233" i="12"/>
  <c r="X2232" i="12"/>
  <c r="W2234" i="12"/>
  <c r="X2233" i="12"/>
  <c r="W2235" i="12"/>
  <c r="X2234" i="12"/>
  <c r="W2236" i="12"/>
  <c r="X2235" i="12"/>
  <c r="X2236" i="12"/>
  <c r="W2237" i="12"/>
  <c r="W2238" i="12"/>
  <c r="X2237" i="12"/>
  <c r="W2239" i="12"/>
  <c r="X2238" i="12"/>
  <c r="X2239" i="12"/>
  <c r="W2240" i="12"/>
  <c r="W2241" i="12"/>
  <c r="X2240" i="12"/>
  <c r="W2242" i="12"/>
  <c r="X2241" i="12"/>
  <c r="X2242" i="12"/>
  <c r="W2243" i="12"/>
  <c r="W2244" i="12"/>
  <c r="X2243" i="12"/>
  <c r="X2244" i="12"/>
  <c r="W2245" i="12"/>
  <c r="X2245" i="12"/>
  <c r="W2246" i="12"/>
  <c r="W2247" i="12"/>
  <c r="X2246" i="12"/>
  <c r="W2248" i="12"/>
  <c r="X2247" i="12"/>
  <c r="X2248" i="12"/>
  <c r="W2249" i="12"/>
  <c r="X2249" i="12"/>
  <c r="W2250" i="12"/>
  <c r="W2251" i="12"/>
  <c r="X2250" i="12"/>
  <c r="W2252" i="12"/>
  <c r="X2251" i="12"/>
  <c r="X2252" i="12"/>
  <c r="W2253" i="12"/>
  <c r="X2253" i="12"/>
  <c r="W2254" i="12"/>
  <c r="X2254" i="12"/>
  <c r="W2255" i="12"/>
  <c r="X2255" i="12"/>
  <c r="W2256" i="12"/>
  <c r="W2257" i="12"/>
  <c r="X2256" i="12"/>
  <c r="W2258" i="12"/>
  <c r="X2257" i="12"/>
  <c r="W2259" i="12"/>
  <c r="X2258" i="12"/>
  <c r="X2259" i="12"/>
  <c r="W2260" i="12"/>
  <c r="X2260" i="12"/>
  <c r="W2261" i="12"/>
  <c r="W2262" i="12"/>
  <c r="X2261" i="12"/>
  <c r="X2262" i="12"/>
  <c r="W2263" i="12"/>
  <c r="W2264" i="12"/>
  <c r="X2263" i="12"/>
  <c r="X2264" i="12"/>
  <c r="W2265" i="12"/>
  <c r="X2265" i="12"/>
  <c r="W2266" i="12"/>
  <c r="W2267" i="12"/>
  <c r="X2266" i="12"/>
  <c r="X2267" i="12"/>
  <c r="W2268" i="12"/>
  <c r="W2269" i="12"/>
  <c r="X2268" i="12"/>
  <c r="X2269" i="12"/>
  <c r="W2270" i="12"/>
  <c r="W2271" i="12"/>
  <c r="X2270" i="12"/>
  <c r="W2272" i="12"/>
  <c r="X2271" i="12"/>
  <c r="X2272" i="12"/>
  <c r="W2273" i="12"/>
  <c r="X2273" i="12"/>
  <c r="W2274" i="12"/>
  <c r="W2275" i="12"/>
  <c r="X2274" i="12"/>
  <c r="X2275" i="12"/>
  <c r="W2276" i="12"/>
  <c r="X2276" i="12"/>
  <c r="W2277" i="12"/>
  <c r="X2277" i="12"/>
  <c r="W2278" i="12"/>
  <c r="X2278" i="12"/>
  <c r="W2279" i="12"/>
  <c r="X2279" i="12"/>
  <c r="W2280" i="12"/>
  <c r="W2281" i="12"/>
  <c r="X2280" i="12"/>
  <c r="X2281" i="12"/>
  <c r="W2282" i="12"/>
  <c r="X2282" i="12"/>
  <c r="W2283" i="12"/>
  <c r="X2283" i="12"/>
  <c r="W2284" i="12"/>
  <c r="W2285" i="12"/>
  <c r="X2284" i="12"/>
  <c r="W2286" i="12"/>
  <c r="X2285" i="12"/>
  <c r="W2287" i="12"/>
  <c r="X2286" i="12"/>
  <c r="X2287" i="12"/>
  <c r="W2288" i="12"/>
  <c r="W2289" i="12"/>
  <c r="X2288" i="12"/>
  <c r="X2289" i="12"/>
  <c r="W2290" i="12"/>
  <c r="X2290" i="12"/>
  <c r="W2291" i="12"/>
  <c r="X2291" i="12"/>
  <c r="W2292" i="12"/>
  <c r="W2293" i="12"/>
  <c r="X2292" i="12"/>
  <c r="X2293" i="12"/>
  <c r="W2294" i="12"/>
  <c r="W2295" i="12"/>
  <c r="X2294" i="12"/>
  <c r="X2295" i="12"/>
  <c r="W2296" i="12"/>
  <c r="X2296" i="12"/>
  <c r="W2297" i="12"/>
  <c r="W2298" i="12"/>
  <c r="X2297" i="12"/>
  <c r="X2298" i="12"/>
  <c r="W2299" i="12"/>
  <c r="W2300" i="12"/>
  <c r="X2299" i="12"/>
  <c r="X2300" i="12"/>
  <c r="W2301" i="12"/>
  <c r="X2301" i="12"/>
  <c r="W2302" i="12"/>
  <c r="X2302" i="12"/>
  <c r="W2303" i="12"/>
  <c r="W2304" i="12"/>
  <c r="X2303" i="12"/>
  <c r="X2304" i="12"/>
  <c r="W2305" i="12"/>
  <c r="W2306" i="12"/>
  <c r="X2305" i="12"/>
  <c r="X2306" i="12"/>
  <c r="W2307" i="12"/>
  <c r="X2307" i="12"/>
  <c r="W2308" i="12"/>
  <c r="W2309" i="12"/>
  <c r="X2308" i="12"/>
  <c r="X2309" i="12"/>
  <c r="W2310" i="12"/>
  <c r="W2311" i="12"/>
  <c r="X2310" i="12"/>
  <c r="W2312" i="12"/>
  <c r="X2311" i="12"/>
  <c r="W2313" i="12"/>
  <c r="X2312" i="12"/>
  <c r="W2314" i="12"/>
  <c r="X2313" i="12"/>
  <c r="X2314" i="12"/>
  <c r="W2315" i="12"/>
  <c r="X2315" i="12"/>
  <c r="W2316" i="12"/>
  <c r="W2317" i="12"/>
  <c r="X2316" i="12"/>
  <c r="W2318" i="12"/>
  <c r="X2317" i="12"/>
  <c r="X2318" i="12"/>
  <c r="W2319" i="12"/>
  <c r="X2319" i="12"/>
  <c r="W2320" i="12"/>
  <c r="X2320" i="12"/>
  <c r="W2321" i="12"/>
  <c r="W2322" i="12"/>
  <c r="X2321" i="12"/>
  <c r="X2322" i="12"/>
  <c r="W2323" i="12"/>
  <c r="X2323" i="12"/>
  <c r="W2324" i="12"/>
  <c r="X2324" i="12"/>
  <c r="W2325" i="12"/>
  <c r="X2325" i="12"/>
  <c r="W2326" i="12"/>
  <c r="W2327" i="12"/>
  <c r="X2326" i="12"/>
  <c r="W2328" i="12"/>
  <c r="X2327" i="12"/>
  <c r="W2329" i="12"/>
  <c r="X2328" i="12"/>
  <c r="X2329" i="12"/>
  <c r="W2330" i="12"/>
  <c r="X2330" i="12"/>
  <c r="W2331" i="12"/>
  <c r="W2332" i="12"/>
  <c r="X2331" i="12"/>
  <c r="W2333" i="12"/>
  <c r="X2332" i="12"/>
  <c r="X2333" i="12"/>
  <c r="W2334" i="12"/>
  <c r="X2334" i="12"/>
  <c r="W2335" i="12"/>
  <c r="X2335" i="12"/>
  <c r="W2336" i="12"/>
  <c r="W2337" i="12"/>
  <c r="X2336" i="12"/>
  <c r="X2337" i="12"/>
  <c r="W2338" i="12"/>
  <c r="W2339" i="12"/>
  <c r="X2338" i="12"/>
  <c r="W2340" i="12"/>
  <c r="X2339" i="12"/>
  <c r="W2341" i="12"/>
  <c r="X2340" i="12"/>
  <c r="W2342" i="12"/>
  <c r="X2341" i="12"/>
  <c r="X2342" i="12"/>
  <c r="W2343" i="12"/>
  <c r="W2344" i="12"/>
  <c r="X2343" i="12"/>
  <c r="W2345" i="12"/>
  <c r="X2344" i="12"/>
  <c r="X2345" i="12"/>
  <c r="W2346" i="12"/>
  <c r="X2346" i="12"/>
  <c r="W2347" i="12"/>
  <c r="W2348" i="12"/>
  <c r="X2347" i="12"/>
  <c r="W2349" i="12"/>
  <c r="X2348" i="12"/>
  <c r="W2350" i="12"/>
  <c r="X2349" i="12"/>
  <c r="X2350" i="12"/>
  <c r="W2351" i="12"/>
  <c r="X2351" i="12"/>
  <c r="W2352" i="12"/>
  <c r="W2353" i="12"/>
  <c r="X2352" i="12"/>
  <c r="X2353" i="12"/>
  <c r="W2354" i="12"/>
  <c r="W2355" i="12"/>
  <c r="X2354" i="12"/>
  <c r="X2355" i="12"/>
  <c r="W2356" i="12"/>
  <c r="W2357" i="12"/>
  <c r="X2356" i="12"/>
  <c r="X2357" i="12"/>
  <c r="W2358" i="12"/>
  <c r="X2358" i="12"/>
  <c r="W2359" i="12"/>
  <c r="X2359" i="12"/>
  <c r="W2360" i="12"/>
  <c r="X2360" i="12"/>
  <c r="W2361" i="12"/>
  <c r="W2362" i="12"/>
  <c r="X2361" i="12"/>
  <c r="W2363" i="12"/>
  <c r="X2362" i="12"/>
  <c r="W2364" i="12"/>
  <c r="X2363" i="12"/>
  <c r="W2365" i="12"/>
  <c r="X2364" i="12"/>
  <c r="W2366" i="12"/>
  <c r="X2365" i="12"/>
  <c r="X2366" i="12"/>
  <c r="W2367" i="12"/>
  <c r="X2367" i="12"/>
  <c r="W2368" i="12"/>
  <c r="W2369" i="12"/>
  <c r="X2368" i="12"/>
  <c r="X2369" i="12"/>
  <c r="W2370" i="12"/>
  <c r="X2370" i="12"/>
  <c r="W2371" i="12"/>
  <c r="W2372" i="12"/>
  <c r="X2371" i="12"/>
  <c r="W2373" i="12"/>
  <c r="X2372" i="12"/>
  <c r="X2373" i="12"/>
  <c r="W2374" i="12"/>
  <c r="X2374" i="12"/>
  <c r="W2375" i="12"/>
  <c r="X2375" i="12"/>
  <c r="W2376" i="12"/>
  <c r="X2376" i="12"/>
  <c r="W2377" i="12"/>
  <c r="X2377" i="12"/>
  <c r="W2378" i="12"/>
  <c r="W2379" i="12"/>
  <c r="X2378" i="12"/>
  <c r="W2380" i="12"/>
  <c r="X2379" i="12"/>
  <c r="W2381" i="12"/>
  <c r="X2380" i="12"/>
  <c r="W2382" i="12"/>
  <c r="X2381" i="12"/>
  <c r="X2382" i="12"/>
  <c r="W2383" i="12"/>
  <c r="X2383" i="12"/>
  <c r="W2384" i="12"/>
  <c r="W2385" i="12"/>
  <c r="X2384" i="12"/>
  <c r="W2386" i="12"/>
  <c r="X2385" i="12"/>
  <c r="W2387" i="12"/>
  <c r="X2386" i="12"/>
  <c r="W2388" i="12"/>
  <c r="X2387" i="12"/>
  <c r="W2389" i="12"/>
  <c r="X2388" i="12"/>
  <c r="X2389" i="12"/>
  <c r="W2390" i="12"/>
  <c r="X2390" i="12"/>
  <c r="W2391" i="12"/>
  <c r="W2392" i="12"/>
  <c r="X2391" i="12"/>
  <c r="W2393" i="12"/>
  <c r="X2392" i="12"/>
  <c r="W2394" i="12"/>
  <c r="X2393" i="12"/>
  <c r="W2395" i="12"/>
  <c r="X2394" i="12"/>
  <c r="X2395" i="12"/>
  <c r="W2396" i="12"/>
  <c r="X2396" i="12"/>
  <c r="W2397" i="12"/>
  <c r="W2398" i="12"/>
  <c r="X2397" i="12"/>
  <c r="W2399" i="12"/>
  <c r="X2398" i="12"/>
  <c r="W2400" i="12"/>
  <c r="X2399" i="12"/>
  <c r="W2401" i="12"/>
  <c r="X2400" i="12"/>
  <c r="X2401" i="12"/>
  <c r="W2402" i="12"/>
  <c r="X2402" i="12"/>
  <c r="W2403" i="12"/>
  <c r="W2404" i="12"/>
  <c r="X2403" i="12"/>
  <c r="W2405" i="12"/>
  <c r="X2404" i="12"/>
  <c r="X2405" i="12"/>
  <c r="W2406" i="12"/>
  <c r="W2407" i="12"/>
  <c r="X2406" i="12"/>
  <c r="X2407" i="12"/>
  <c r="W2408" i="12"/>
  <c r="W2409" i="12"/>
  <c r="X2408" i="12"/>
  <c r="W2410" i="12"/>
  <c r="X2409" i="12"/>
  <c r="W2411" i="12"/>
  <c r="X2410" i="12"/>
  <c r="X2411" i="12"/>
  <c r="W2412" i="12"/>
  <c r="W2413" i="12"/>
  <c r="X2412" i="12"/>
  <c r="W2414" i="12"/>
  <c r="X2413" i="12"/>
  <c r="X2414" i="12"/>
  <c r="W2415" i="12"/>
  <c r="W2416" i="12"/>
  <c r="X2415" i="12"/>
  <c r="X2416" i="12"/>
  <c r="W2417" i="12"/>
  <c r="W2418" i="12"/>
  <c r="X2417" i="12"/>
  <c r="X2418" i="12"/>
  <c r="W2419" i="12"/>
  <c r="X2419" i="12"/>
  <c r="W2420" i="12"/>
  <c r="X2420" i="12"/>
  <c r="W2421" i="12"/>
  <c r="W2422" i="12"/>
  <c r="X2421" i="12"/>
  <c r="X2422" i="12"/>
  <c r="W2423" i="12"/>
  <c r="X2423" i="12"/>
  <c r="W2424" i="12"/>
  <c r="W2425" i="12"/>
  <c r="X2424" i="12"/>
  <c r="X2425" i="12"/>
  <c r="W2426" i="12"/>
  <c r="X2426" i="12"/>
  <c r="W2427" i="12"/>
  <c r="X2427" i="12"/>
  <c r="W2428" i="12"/>
  <c r="X2428" i="12"/>
  <c r="W2429" i="12"/>
  <c r="W2430" i="12"/>
  <c r="X2429" i="12"/>
  <c r="X2430" i="12"/>
  <c r="W2431" i="12"/>
  <c r="X2431" i="12"/>
  <c r="W2432" i="12"/>
  <c r="X2432" i="12"/>
  <c r="W2433" i="12"/>
  <c r="X2433" i="12"/>
  <c r="W2434" i="12"/>
  <c r="W2435" i="12"/>
  <c r="X2434" i="12"/>
  <c r="W2436" i="12"/>
  <c r="X2435" i="12"/>
  <c r="W2437" i="12"/>
  <c r="X2436" i="12"/>
  <c r="W2438" i="12"/>
  <c r="X2437" i="12"/>
  <c r="W2439" i="12"/>
  <c r="X2438" i="12"/>
  <c r="X2439" i="12"/>
  <c r="W2440" i="12"/>
  <c r="X2440" i="12"/>
  <c r="W2441" i="12"/>
  <c r="X2441" i="12"/>
  <c r="W2442" i="12"/>
  <c r="W2443" i="12"/>
  <c r="X2442" i="12"/>
  <c r="W2444" i="12"/>
  <c r="X2443" i="12"/>
  <c r="X2444" i="12"/>
  <c r="W2445" i="12"/>
  <c r="W2446" i="12"/>
  <c r="X2445" i="12"/>
  <c r="X2446" i="12"/>
  <c r="W2447" i="12"/>
  <c r="X2447" i="12"/>
  <c r="W2448" i="12"/>
  <c r="W2449" i="12"/>
  <c r="X2448" i="12"/>
  <c r="W2450" i="12"/>
  <c r="X2449" i="12"/>
  <c r="W2451" i="12"/>
  <c r="X2450" i="12"/>
  <c r="W2452" i="12"/>
  <c r="X2451" i="12"/>
  <c r="W2453" i="12"/>
  <c r="X2452" i="12"/>
  <c r="X2453" i="12"/>
  <c r="W2454" i="12"/>
  <c r="W2455" i="12"/>
  <c r="X2454" i="12"/>
  <c r="X2455" i="12"/>
  <c r="W2456" i="12"/>
  <c r="X2456" i="12"/>
  <c r="W2457" i="12"/>
  <c r="X2457" i="12"/>
  <c r="W2458" i="12"/>
  <c r="X2458" i="12"/>
  <c r="W2459" i="12"/>
  <c r="X2459" i="12"/>
  <c r="W2460" i="12"/>
  <c r="W2461" i="12"/>
  <c r="X2460" i="12"/>
  <c r="X2461" i="12"/>
  <c r="W2462" i="12"/>
  <c r="W2463" i="12"/>
  <c r="X2462" i="12"/>
  <c r="W2464" i="12"/>
  <c r="X2463" i="12"/>
  <c r="X2464" i="12"/>
  <c r="W2465" i="12"/>
  <c r="X2465" i="12"/>
  <c r="W2466" i="12"/>
  <c r="W2467" i="12"/>
  <c r="X2466" i="12"/>
  <c r="X2467" i="12"/>
  <c r="W2468" i="12"/>
  <c r="X2468" i="12"/>
  <c r="W2469" i="12"/>
  <c r="W2470" i="12"/>
  <c r="X2469" i="12"/>
  <c r="X2470" i="12"/>
  <c r="W2471" i="12"/>
  <c r="X2471" i="12"/>
  <c r="W2472" i="12"/>
  <c r="X2472" i="12"/>
  <c r="W2473" i="12"/>
  <c r="W2474" i="12"/>
  <c r="X2473" i="12"/>
  <c r="W2475" i="12"/>
  <c r="X2474" i="12"/>
  <c r="X2475" i="12"/>
  <c r="W2476" i="12"/>
  <c r="W2477" i="12"/>
  <c r="X2476" i="12"/>
  <c r="X2477" i="12"/>
  <c r="W2478" i="12"/>
  <c r="W2479" i="12"/>
  <c r="X2478" i="12"/>
  <c r="X2479" i="12"/>
  <c r="W2480" i="12"/>
  <c r="X2480" i="12"/>
  <c r="W2481" i="12"/>
  <c r="X2481" i="12"/>
  <c r="W2482" i="12"/>
  <c r="X2482" i="12"/>
  <c r="W2483" i="12"/>
  <c r="W2484" i="12"/>
  <c r="X2483" i="12"/>
  <c r="W2485" i="12"/>
  <c r="X2484" i="12"/>
  <c r="X2485" i="12"/>
  <c r="W2486" i="12"/>
  <c r="W2487" i="12"/>
  <c r="X2486" i="12"/>
  <c r="W2488" i="12"/>
  <c r="X2487" i="12"/>
  <c r="W2489" i="12"/>
  <c r="X2488" i="12"/>
  <c r="X2489" i="12"/>
  <c r="W2490" i="12"/>
  <c r="X2490" i="12"/>
  <c r="W2491" i="12"/>
  <c r="X2491" i="12"/>
  <c r="W2492" i="12"/>
  <c r="X2492" i="12"/>
  <c r="W2493" i="12"/>
  <c r="X2493" i="12"/>
  <c r="W2494" i="12"/>
  <c r="X2494" i="12"/>
  <c r="W2495" i="12"/>
  <c r="X2495" i="12"/>
  <c r="W2496" i="12"/>
  <c r="W2497" i="12"/>
  <c r="X2496" i="12"/>
  <c r="X2497" i="12"/>
  <c r="W2498" i="12"/>
  <c r="W2499" i="12"/>
  <c r="X2498" i="12"/>
  <c r="X2499" i="12"/>
  <c r="W2500" i="12"/>
  <c r="X2500" i="12"/>
  <c r="W2501" i="12"/>
  <c r="W2502" i="12"/>
  <c r="X2501" i="12"/>
  <c r="X2502" i="12"/>
  <c r="W2503" i="12"/>
  <c r="X2503" i="12"/>
  <c r="W2504" i="12"/>
  <c r="W2505" i="12"/>
  <c r="X2504" i="12"/>
  <c r="X2505" i="12"/>
  <c r="W2506" i="12"/>
  <c r="W2507" i="12"/>
  <c r="X2506" i="12"/>
  <c r="W2508" i="12"/>
  <c r="X2507" i="12"/>
  <c r="W2509" i="12"/>
  <c r="X2508" i="12"/>
  <c r="W2510" i="12"/>
  <c r="X2509" i="12"/>
  <c r="X2510" i="12"/>
  <c r="W2511" i="12"/>
  <c r="W2512" i="12"/>
  <c r="X2511" i="12"/>
  <c r="W2513" i="12"/>
  <c r="X2512" i="12"/>
  <c r="W2514" i="12"/>
  <c r="X2513" i="12"/>
  <c r="X2514" i="12"/>
  <c r="W2515" i="12"/>
  <c r="W2516" i="12"/>
  <c r="X2515" i="12"/>
  <c r="X2516" i="12"/>
  <c r="W2517" i="12"/>
  <c r="X2517" i="12"/>
  <c r="W2518" i="12"/>
  <c r="X2518" i="12"/>
  <c r="W2519" i="12"/>
  <c r="W2520" i="12"/>
  <c r="X2519" i="12"/>
  <c r="X2520" i="12"/>
  <c r="W2521" i="12"/>
  <c r="X2521" i="12"/>
  <c r="W2522" i="12"/>
  <c r="X2522" i="12"/>
  <c r="W2523" i="12"/>
  <c r="W2524" i="12"/>
  <c r="X2523" i="12"/>
  <c r="X2524" i="12"/>
  <c r="W2525" i="12"/>
  <c r="X2525" i="12"/>
  <c r="W2526" i="12"/>
  <c r="X2526" i="12"/>
  <c r="W2527" i="12"/>
  <c r="X2527" i="12"/>
  <c r="W2528" i="12"/>
  <c r="W2529" i="12"/>
  <c r="X2528" i="12"/>
  <c r="W2530" i="12"/>
  <c r="X2529" i="12"/>
  <c r="W2531" i="12"/>
  <c r="X2530" i="12"/>
  <c r="X2531" i="12"/>
  <c r="W2532" i="12"/>
  <c r="X2532" i="12"/>
  <c r="W2533" i="12"/>
  <c r="X2533" i="12"/>
  <c r="W2534" i="12"/>
  <c r="X2534" i="12"/>
  <c r="W2535" i="12"/>
  <c r="W2536" i="12"/>
  <c r="X2535" i="12"/>
  <c r="W2537" i="12"/>
  <c r="X2536" i="12"/>
  <c r="W2538" i="12"/>
  <c r="X2537" i="12"/>
  <c r="W2539" i="12"/>
  <c r="X2538" i="12"/>
  <c r="W2540" i="12"/>
  <c r="X2539" i="12"/>
  <c r="W2541" i="12"/>
  <c r="X2540" i="12"/>
  <c r="W2542" i="12"/>
  <c r="X2541" i="12"/>
  <c r="W2543" i="12"/>
  <c r="X2542" i="12"/>
  <c r="X2543" i="12"/>
  <c r="W2544" i="12"/>
  <c r="W2545" i="12"/>
  <c r="X2544" i="12"/>
  <c r="W2546" i="12"/>
  <c r="X2545" i="12"/>
  <c r="W2547" i="12"/>
  <c r="X2546" i="12"/>
  <c r="W2548" i="12"/>
  <c r="X2547" i="12"/>
  <c r="X2548" i="12"/>
  <c r="W2549" i="12"/>
  <c r="X2549" i="12"/>
  <c r="W2550" i="12"/>
  <c r="W2551" i="12"/>
  <c r="X2550" i="12"/>
  <c r="X2551" i="12"/>
  <c r="W2552" i="12"/>
  <c r="X2552" i="12"/>
  <c r="W2553" i="12"/>
  <c r="W2554" i="12"/>
  <c r="X2553" i="12"/>
  <c r="W2555" i="12"/>
  <c r="X2554" i="12"/>
  <c r="X2555" i="12"/>
  <c r="W2556" i="12"/>
  <c r="W2557" i="12"/>
  <c r="X2556" i="12"/>
  <c r="X2557" i="12"/>
  <c r="W2558" i="12"/>
  <c r="W2559" i="12"/>
  <c r="X2558" i="12"/>
  <c r="X2559" i="12"/>
  <c r="W2560" i="12"/>
  <c r="X2560" i="12"/>
  <c r="W2561" i="12"/>
  <c r="W2562" i="12"/>
  <c r="X2561" i="12"/>
  <c r="X2562" i="12"/>
  <c r="W2563" i="12"/>
  <c r="W2564" i="12"/>
  <c r="X2563" i="12"/>
  <c r="W2565" i="12"/>
  <c r="X2564" i="12"/>
  <c r="X2565" i="12"/>
  <c r="W2566" i="12"/>
  <c r="X2566" i="12"/>
  <c r="W2567" i="12"/>
  <c r="W2568" i="12"/>
  <c r="X2567" i="12"/>
  <c r="W2569" i="12"/>
  <c r="X2568" i="12"/>
  <c r="X2569" i="12"/>
  <c r="W2570" i="12"/>
  <c r="W2571" i="12"/>
  <c r="X2570" i="12"/>
  <c r="W2572" i="12"/>
  <c r="X2571" i="12"/>
  <c r="X2572" i="12"/>
  <c r="W2573" i="12"/>
  <c r="W2574" i="12"/>
  <c r="X2573" i="12"/>
  <c r="X2574" i="12"/>
  <c r="W2575" i="12"/>
  <c r="W2576" i="12"/>
  <c r="X2575" i="12"/>
  <c r="X2576" i="12"/>
  <c r="W2577" i="12"/>
  <c r="W2578" i="12"/>
  <c r="X2577" i="12"/>
  <c r="X2578" i="12"/>
  <c r="W2579" i="12"/>
  <c r="X2579" i="12"/>
  <c r="W2580" i="12"/>
  <c r="W2581" i="12"/>
  <c r="X2580" i="12"/>
  <c r="W2582" i="12"/>
  <c r="X2581" i="12"/>
  <c r="W2583" i="12"/>
  <c r="X2582" i="12"/>
  <c r="W2584" i="12"/>
  <c r="X2583" i="12"/>
  <c r="X2584" i="12"/>
  <c r="W2585" i="12"/>
  <c r="X2585" i="12"/>
  <c r="W2586" i="12"/>
  <c r="X2586" i="12"/>
  <c r="W2587" i="12"/>
  <c r="W2588" i="12"/>
  <c r="X2587" i="12"/>
  <c r="W2589" i="12"/>
  <c r="X2588" i="12"/>
  <c r="W2590" i="12"/>
  <c r="X2589" i="12"/>
  <c r="X2590" i="12"/>
  <c r="W2591" i="12"/>
  <c r="X2591" i="12"/>
  <c r="W2592" i="12"/>
  <c r="W2593" i="12"/>
  <c r="X2592" i="12"/>
  <c r="W2594" i="12"/>
  <c r="X2593" i="12"/>
  <c r="W2595" i="12"/>
  <c r="X2594" i="12"/>
  <c r="W2596" i="12"/>
  <c r="X2595" i="12"/>
  <c r="X2596" i="12"/>
  <c r="W2597" i="12"/>
  <c r="W2598" i="12"/>
  <c r="X2597" i="12"/>
  <c r="X2598" i="12"/>
  <c r="W2599" i="12"/>
  <c r="W2600" i="12"/>
  <c r="X2599" i="12"/>
  <c r="W2601" i="12"/>
  <c r="X2600" i="12"/>
  <c r="X2601" i="12"/>
  <c r="W2602" i="12"/>
  <c r="X2602" i="12"/>
  <c r="W2603" i="12"/>
  <c r="X2603" i="12"/>
  <c r="W2604" i="12"/>
  <c r="X2604" i="12"/>
  <c r="W2605" i="12"/>
  <c r="W2606" i="12"/>
  <c r="X2605" i="12"/>
  <c r="W2607" i="12"/>
  <c r="X2606" i="12"/>
  <c r="W2608" i="12"/>
  <c r="X2607" i="12"/>
  <c r="W2609" i="12"/>
  <c r="X2608" i="12"/>
  <c r="W2610" i="12"/>
  <c r="X2609" i="12"/>
  <c r="X2610" i="12"/>
  <c r="W2611" i="12"/>
  <c r="X2611" i="12"/>
  <c r="W2612" i="12"/>
  <c r="W2613" i="12"/>
  <c r="X2612" i="12"/>
  <c r="W2614" i="12"/>
  <c r="X2613" i="12"/>
  <c r="W2615" i="12"/>
  <c r="X2614" i="12"/>
  <c r="X2615" i="12"/>
  <c r="W2616" i="12"/>
  <c r="W2617" i="12"/>
  <c r="X2616" i="12"/>
  <c r="X2617" i="12"/>
  <c r="W2618" i="12"/>
  <c r="W2619" i="12"/>
  <c r="X2618" i="12"/>
  <c r="W2620" i="12"/>
  <c r="X2619" i="12"/>
  <c r="W2621" i="12"/>
  <c r="X2620" i="12"/>
  <c r="X2621" i="12"/>
  <c r="W2622" i="12"/>
  <c r="W2623" i="12"/>
  <c r="X2622" i="12"/>
  <c r="W2624" i="12"/>
  <c r="X2623" i="12"/>
  <c r="W2625" i="12"/>
  <c r="X2624" i="12"/>
  <c r="X2625" i="12"/>
  <c r="W2626" i="12"/>
  <c r="W2627" i="12"/>
  <c r="X2626" i="12"/>
  <c r="W2628" i="12"/>
  <c r="X2627" i="12"/>
  <c r="X2628" i="12"/>
  <c r="W2629" i="12"/>
  <c r="X2629" i="12"/>
  <c r="W2630" i="12"/>
  <c r="X2630" i="12"/>
  <c r="W2631" i="12"/>
  <c r="W2632" i="12"/>
  <c r="X2631" i="12"/>
  <c r="W2633" i="12"/>
  <c r="X2632" i="12"/>
  <c r="X2633" i="12"/>
  <c r="W2634" i="12"/>
  <c r="W2635" i="12"/>
  <c r="X2634" i="12"/>
  <c r="W2636" i="12"/>
  <c r="X2635" i="12"/>
  <c r="X2636" i="12"/>
  <c r="W2637" i="12"/>
  <c r="X2637" i="12"/>
  <c r="W2638" i="12"/>
  <c r="X2638" i="12"/>
  <c r="W2639" i="12"/>
  <c r="X2639" i="12"/>
  <c r="W2640" i="12"/>
  <c r="X2640" i="12"/>
  <c r="W2641" i="12"/>
  <c r="W2642" i="12"/>
  <c r="X2641" i="12"/>
  <c r="X2642" i="12"/>
  <c r="W2643" i="12"/>
  <c r="W2644" i="12"/>
  <c r="X2643" i="12"/>
  <c r="X2644" i="12"/>
  <c r="W2645" i="12"/>
  <c r="X2645" i="12"/>
  <c r="W2646" i="12"/>
  <c r="X2646" i="12"/>
  <c r="W2647" i="12"/>
  <c r="X2647" i="12"/>
  <c r="W2648" i="12"/>
  <c r="W2649" i="12"/>
  <c r="X2648" i="12"/>
  <c r="W2650" i="12"/>
  <c r="X2649" i="12"/>
  <c r="W2651" i="12"/>
  <c r="X2650" i="12"/>
  <c r="X2651" i="12"/>
  <c r="W2652" i="12"/>
  <c r="X2652" i="12"/>
  <c r="W2653" i="12"/>
  <c r="W2654" i="12"/>
  <c r="X2653" i="12"/>
  <c r="W2655" i="12"/>
  <c r="X2654" i="12"/>
  <c r="X2655" i="12"/>
  <c r="W2656" i="12"/>
  <c r="W2657" i="12"/>
  <c r="X2656" i="12"/>
  <c r="X2657" i="12"/>
  <c r="W2658" i="12"/>
  <c r="W2659" i="12"/>
  <c r="X2658" i="12"/>
  <c r="W2660" i="12"/>
  <c r="X2659" i="12"/>
  <c r="W2661" i="12"/>
  <c r="X2660" i="12"/>
  <c r="X2661" i="12"/>
  <c r="W2662" i="12"/>
  <c r="X2662" i="12"/>
  <c r="W2663" i="12"/>
  <c r="W2664" i="12"/>
  <c r="X2663" i="12"/>
  <c r="X2664" i="12"/>
  <c r="W2665" i="12"/>
  <c r="X2665" i="12"/>
  <c r="W2666" i="12"/>
  <c r="W2667" i="12"/>
  <c r="X2666" i="12"/>
  <c r="W2668" i="12"/>
  <c r="X2667" i="12"/>
  <c r="W2669" i="12"/>
  <c r="X2668" i="12"/>
  <c r="X2669" i="12"/>
  <c r="W2670" i="12"/>
  <c r="X2670" i="12"/>
  <c r="W2671" i="12"/>
  <c r="X2671" i="12"/>
  <c r="W2672" i="12"/>
  <c r="W2673" i="12"/>
  <c r="X2672" i="12"/>
  <c r="W2674" i="12"/>
  <c r="X2673" i="12"/>
  <c r="W2675" i="12"/>
  <c r="X2674" i="12"/>
  <c r="W2676" i="12"/>
  <c r="X2675" i="12"/>
  <c r="X2676" i="12"/>
  <c r="W2677" i="12"/>
  <c r="X2677" i="12"/>
  <c r="W2678" i="12"/>
  <c r="X2678" i="12"/>
  <c r="W2679" i="12"/>
  <c r="W2680" i="12"/>
  <c r="X2679" i="12"/>
  <c r="W2681" i="12"/>
  <c r="X2680" i="12"/>
  <c r="W2682" i="12"/>
  <c r="X2681" i="12"/>
  <c r="W2683" i="12"/>
  <c r="X2682" i="12"/>
  <c r="W2684" i="12"/>
  <c r="X2683" i="12"/>
  <c r="W2685" i="12"/>
  <c r="X2684" i="12"/>
  <c r="W2686" i="12"/>
  <c r="X2685" i="12"/>
  <c r="X2686" i="12"/>
  <c r="W2687" i="12"/>
  <c r="W2688" i="12"/>
  <c r="X2687" i="12"/>
  <c r="W2689" i="12"/>
  <c r="X2688" i="12"/>
  <c r="X2689" i="12"/>
  <c r="W2690" i="12"/>
  <c r="X2690" i="12"/>
  <c r="W2691" i="12"/>
  <c r="X2691" i="12"/>
  <c r="W2692" i="12"/>
  <c r="X2692" i="12"/>
  <c r="W2693" i="12"/>
  <c r="X2693" i="12"/>
  <c r="W2694" i="12"/>
  <c r="W2695" i="12"/>
  <c r="X2694" i="12"/>
  <c r="W2696" i="12"/>
  <c r="X2695" i="12"/>
  <c r="X2696" i="12"/>
  <c r="W2697" i="12"/>
  <c r="W2698" i="12"/>
  <c r="X2697" i="12"/>
  <c r="X2698" i="12"/>
  <c r="W2699" i="12"/>
  <c r="X2699" i="12"/>
  <c r="W2700" i="12"/>
  <c r="X2700" i="12"/>
  <c r="W2701" i="12"/>
  <c r="W2702" i="12"/>
  <c r="X2701" i="12"/>
  <c r="W2703" i="12"/>
  <c r="X2702" i="12"/>
  <c r="X2703" i="12"/>
  <c r="W2704" i="12"/>
  <c r="X2704" i="12"/>
  <c r="W2705" i="12"/>
  <c r="X2705" i="12"/>
  <c r="W2706" i="12"/>
  <c r="W2707" i="12"/>
  <c r="X2706" i="12"/>
  <c r="X2707" i="12"/>
  <c r="W2708" i="12"/>
  <c r="W2709" i="12"/>
  <c r="X2708" i="12"/>
  <c r="W2710" i="12"/>
  <c r="X2709" i="12"/>
  <c r="X2710" i="12"/>
  <c r="W2711" i="12"/>
  <c r="W2712" i="12"/>
  <c r="X2711" i="12"/>
  <c r="W2713" i="12"/>
  <c r="X2712" i="12"/>
  <c r="X2713" i="12"/>
  <c r="W2714" i="12"/>
  <c r="W2715" i="12"/>
  <c r="X2714" i="12"/>
  <c r="W2716" i="12"/>
  <c r="X2715" i="12"/>
  <c r="W2717" i="12"/>
  <c r="X2716" i="12"/>
  <c r="X2717" i="12"/>
  <c r="W2718" i="12"/>
  <c r="X2718" i="12"/>
  <c r="W2719" i="12"/>
  <c r="W2720" i="12"/>
  <c r="X2719" i="12"/>
  <c r="W2721" i="12"/>
  <c r="X2720" i="12"/>
  <c r="W2722" i="12"/>
  <c r="X2721" i="12"/>
  <c r="W2723" i="12"/>
  <c r="X2722" i="12"/>
  <c r="W2724" i="12"/>
  <c r="X2723" i="12"/>
  <c r="W2725" i="12"/>
  <c r="X2724" i="12"/>
  <c r="X2725" i="12"/>
  <c r="W2726" i="12"/>
  <c r="X2726" i="12"/>
  <c r="W2727" i="12"/>
  <c r="W2728" i="12"/>
  <c r="X2727" i="12"/>
  <c r="W2729" i="12"/>
  <c r="X2728" i="12"/>
  <c r="W2730" i="12"/>
  <c r="X2729" i="12"/>
  <c r="X2730" i="12"/>
  <c r="W2731" i="12"/>
  <c r="W2732" i="12"/>
  <c r="X2731" i="12"/>
  <c r="W2733" i="12"/>
  <c r="X2732" i="12"/>
  <c r="W2734" i="12"/>
  <c r="X2733" i="12"/>
  <c r="W2735" i="12"/>
  <c r="X2734" i="12"/>
  <c r="W2736" i="12"/>
  <c r="X2735" i="12"/>
  <c r="X2736" i="12"/>
  <c r="W2737" i="12"/>
  <c r="X2737" i="12"/>
  <c r="W2738" i="12"/>
  <c r="X2738" i="12"/>
  <c r="W2739" i="12"/>
  <c r="X2739" i="12"/>
  <c r="W2740" i="12"/>
  <c r="X2740" i="12"/>
  <c r="W2741" i="12"/>
  <c r="W2742" i="12"/>
  <c r="X2741" i="12"/>
  <c r="W2743" i="12"/>
  <c r="X2742" i="12"/>
  <c r="W2744" i="12"/>
  <c r="X2743" i="12"/>
  <c r="X2744" i="12"/>
  <c r="W2745" i="12"/>
  <c r="X2745" i="12"/>
  <c r="W2746" i="12"/>
  <c r="X2746" i="12"/>
  <c r="W2747" i="12"/>
  <c r="W2748" i="12"/>
  <c r="X2747" i="12"/>
  <c r="W2749" i="12"/>
  <c r="X2748" i="12"/>
  <c r="X2749" i="12"/>
  <c r="W2750" i="12"/>
  <c r="X2750" i="12"/>
  <c r="W2751" i="12"/>
  <c r="W2752" i="12"/>
  <c r="X2751" i="12"/>
  <c r="W2753" i="12"/>
  <c r="X2752" i="12"/>
  <c r="X2753" i="12"/>
  <c r="W2754" i="12"/>
  <c r="X2754" i="12"/>
  <c r="W2755" i="12"/>
  <c r="W2756" i="12"/>
  <c r="X2755" i="12"/>
  <c r="X2756" i="12"/>
  <c r="W2757" i="12"/>
  <c r="X2757" i="12"/>
  <c r="W2758" i="12"/>
  <c r="X2758" i="12"/>
  <c r="W2759" i="12"/>
  <c r="X2759" i="12"/>
  <c r="W2760" i="12"/>
  <c r="X2760" i="12"/>
  <c r="W2761" i="12"/>
  <c r="X2761" i="12"/>
  <c r="W2762" i="12"/>
  <c r="X2762" i="12"/>
  <c r="W2763" i="12"/>
  <c r="W2764" i="12"/>
  <c r="X2763" i="12"/>
  <c r="X2764" i="12"/>
  <c r="W2765" i="12"/>
  <c r="W2766" i="12"/>
  <c r="X2765" i="12"/>
  <c r="W2767" i="12"/>
  <c r="X2766" i="12"/>
  <c r="W2768" i="12"/>
  <c r="X2767" i="12"/>
  <c r="W2769" i="12"/>
  <c r="X2768" i="12"/>
  <c r="X2769" i="12"/>
  <c r="W2770" i="12"/>
  <c r="X2770" i="12"/>
  <c r="W2771" i="12"/>
  <c r="X2771" i="12"/>
  <c r="W2772" i="12"/>
  <c r="W2773" i="12"/>
  <c r="X2772" i="12"/>
  <c r="X2773" i="12"/>
  <c r="W2774" i="12"/>
  <c r="X2774" i="12"/>
  <c r="W2775" i="12"/>
  <c r="X2775" i="12"/>
  <c r="W2776" i="12"/>
  <c r="X2776" i="12"/>
  <c r="W2777" i="12"/>
  <c r="W2778" i="12"/>
  <c r="X2777" i="12"/>
  <c r="X2778" i="12"/>
  <c r="W2779" i="12"/>
  <c r="W2780" i="12"/>
  <c r="X2779" i="12"/>
  <c r="X2780" i="12"/>
  <c r="W2781" i="12"/>
  <c r="W2782" i="12"/>
  <c r="X2781" i="12"/>
  <c r="X2782" i="12"/>
  <c r="W2783" i="12"/>
  <c r="W2784" i="12"/>
  <c r="X2783" i="12"/>
  <c r="W2785" i="12"/>
  <c r="X2784" i="12"/>
  <c r="X2785" i="12"/>
  <c r="W2786" i="12"/>
  <c r="W2787" i="12"/>
  <c r="X2786" i="12"/>
  <c r="X2787" i="12"/>
  <c r="W2788" i="12"/>
  <c r="W2789" i="12"/>
  <c r="X2788" i="12"/>
  <c r="W2790" i="12"/>
  <c r="X2789" i="12"/>
  <c r="X2790" i="12"/>
  <c r="W2791" i="12"/>
  <c r="W2792" i="12"/>
  <c r="X2791" i="12"/>
  <c r="X2792" i="12"/>
  <c r="W2793" i="12"/>
  <c r="W2794" i="12"/>
  <c r="X2793" i="12"/>
  <c r="W2795" i="12"/>
  <c r="X2794" i="12"/>
  <c r="X2795" i="12"/>
  <c r="W2796" i="12"/>
  <c r="W2797" i="12"/>
  <c r="X2796" i="12"/>
  <c r="X2797" i="12"/>
  <c r="W2798" i="12"/>
  <c r="W2799" i="12"/>
  <c r="X2798" i="12"/>
  <c r="X2799" i="12"/>
  <c r="W2800" i="12"/>
  <c r="X2800" i="12"/>
  <c r="W2801" i="12"/>
  <c r="X2801" i="12"/>
  <c r="W2802" i="12"/>
  <c r="X2802" i="12"/>
  <c r="W2803" i="12"/>
  <c r="W2804" i="12"/>
  <c r="X2803" i="12"/>
  <c r="X2804" i="12"/>
  <c r="W2805" i="12"/>
  <c r="W2806" i="12"/>
  <c r="X2805" i="12"/>
  <c r="W2807" i="12"/>
  <c r="X2806" i="12"/>
  <c r="W2808" i="12"/>
  <c r="X2807" i="12"/>
  <c r="W2809" i="12"/>
  <c r="X2808" i="12"/>
  <c r="X2809" i="12"/>
  <c r="W2810" i="12"/>
  <c r="X2810" i="12"/>
  <c r="W2811" i="12"/>
  <c r="W2812" i="12"/>
  <c r="X2811" i="12"/>
  <c r="W2813" i="12"/>
  <c r="X2812" i="12"/>
  <c r="W2814" i="12"/>
  <c r="X2813" i="12"/>
  <c r="X2814" i="12"/>
  <c r="W2815" i="12"/>
  <c r="X2815" i="12"/>
  <c r="W2816" i="12"/>
  <c r="X2816" i="12"/>
  <c r="W2817" i="12"/>
  <c r="W2818" i="12"/>
  <c r="X2817" i="12"/>
  <c r="W2819" i="12"/>
  <c r="X2818" i="12"/>
  <c r="X2819" i="12"/>
  <c r="W2820" i="12"/>
  <c r="X2820" i="12"/>
  <c r="W2821" i="12"/>
  <c r="X2821" i="12"/>
  <c r="W2822" i="12"/>
  <c r="X2822" i="12"/>
  <c r="W2823" i="12"/>
  <c r="W2824" i="12"/>
  <c r="X2823" i="12"/>
  <c r="W2825" i="12"/>
  <c r="X2824" i="12"/>
  <c r="X2825" i="12"/>
  <c r="W2826" i="12"/>
  <c r="X2826" i="12"/>
  <c r="W2827" i="12"/>
  <c r="X2827" i="12"/>
  <c r="W2828" i="12"/>
  <c r="W2829" i="12"/>
  <c r="X2828" i="12"/>
  <c r="X2829" i="12"/>
  <c r="W2830" i="12"/>
  <c r="X2830" i="12"/>
  <c r="W2831" i="12"/>
  <c r="W2832" i="12"/>
  <c r="X2831" i="12"/>
  <c r="W2833" i="12"/>
  <c r="X2832" i="12"/>
  <c r="W2834" i="12"/>
  <c r="X2833" i="12"/>
  <c r="X2834" i="12"/>
  <c r="W2835" i="12"/>
  <c r="W2836" i="12"/>
  <c r="X2835" i="12"/>
  <c r="W2837" i="12"/>
  <c r="X2836" i="12"/>
  <c r="X2837" i="12"/>
  <c r="W2838" i="12"/>
  <c r="X2838" i="12"/>
  <c r="W2839" i="12"/>
  <c r="W2840" i="12"/>
  <c r="X2839" i="12"/>
  <c r="W2841" i="12"/>
  <c r="X2840" i="12"/>
  <c r="X2841" i="12"/>
  <c r="W2842" i="12"/>
  <c r="W2843" i="12"/>
  <c r="X2842" i="12"/>
  <c r="X2843" i="12"/>
  <c r="W2844" i="12"/>
  <c r="X2844" i="12"/>
  <c r="W2845" i="12"/>
  <c r="W2846" i="12"/>
  <c r="X2845" i="12"/>
  <c r="W2847" i="12"/>
  <c r="X2846" i="12"/>
  <c r="X2847" i="12"/>
  <c r="W2848" i="12"/>
  <c r="X2848" i="12"/>
  <c r="W2849" i="12"/>
  <c r="W2850" i="12"/>
  <c r="X2849" i="12"/>
  <c r="W2851" i="12"/>
  <c r="X2850" i="12"/>
  <c r="X2851" i="12"/>
  <c r="W2852" i="12"/>
  <c r="X2852" i="12"/>
  <c r="W2853" i="12"/>
  <c r="W2854" i="12"/>
  <c r="X2853" i="12"/>
  <c r="W2855" i="12"/>
  <c r="X2854" i="12"/>
  <c r="W2856" i="12"/>
  <c r="X2855" i="12"/>
  <c r="X2856" i="12"/>
  <c r="W2857" i="12"/>
  <c r="X2857" i="12"/>
  <c r="W2858" i="12"/>
  <c r="X2858" i="12"/>
  <c r="W2859" i="12"/>
  <c r="W2860" i="12"/>
  <c r="X2859" i="12"/>
  <c r="W2861" i="12"/>
  <c r="X2860" i="12"/>
  <c r="X2861" i="12"/>
  <c r="W2862" i="12"/>
  <c r="X2862" i="12"/>
  <c r="W2863" i="12"/>
  <c r="W2864" i="12"/>
  <c r="X2863" i="12"/>
  <c r="X2864" i="12"/>
  <c r="W2865" i="12"/>
  <c r="X2865" i="12"/>
  <c r="W2866" i="12"/>
  <c r="W2867" i="12"/>
  <c r="X2866" i="12"/>
  <c r="X2867" i="12"/>
  <c r="W2868" i="12"/>
  <c r="X2868" i="12"/>
  <c r="W2869" i="12"/>
  <c r="W2870" i="12"/>
  <c r="X2869" i="12"/>
  <c r="X2870" i="12"/>
  <c r="W2871" i="12"/>
  <c r="X2871" i="12"/>
  <c r="W2872" i="12"/>
  <c r="W2873" i="12"/>
  <c r="X2872" i="12"/>
  <c r="W2874" i="12"/>
  <c r="X2873" i="12"/>
  <c r="X2874" i="12"/>
  <c r="W2875" i="12"/>
  <c r="W2876" i="12"/>
  <c r="X2875" i="12"/>
  <c r="X2876" i="12"/>
  <c r="W2877" i="12"/>
  <c r="W2878" i="12"/>
  <c r="X2877" i="12"/>
  <c r="X2878" i="12"/>
  <c r="W2879" i="12"/>
  <c r="X2879" i="12"/>
  <c r="W2880" i="12"/>
  <c r="X2880" i="12"/>
  <c r="W2881" i="12"/>
  <c r="X2881" i="12"/>
  <c r="W2882" i="12"/>
  <c r="X2882" i="12"/>
  <c r="W2883" i="12"/>
  <c r="X2883" i="12"/>
  <c r="W2884" i="12"/>
  <c r="W2885" i="12"/>
  <c r="X2884" i="12"/>
  <c r="W2886" i="12"/>
  <c r="X2885" i="12"/>
  <c r="W2887" i="12"/>
  <c r="X2886" i="12"/>
  <c r="X2887" i="12"/>
  <c r="W2888" i="12"/>
  <c r="X2888" i="12"/>
  <c r="W2889" i="12"/>
  <c r="X2889" i="12"/>
  <c r="W2890" i="12"/>
  <c r="W2891" i="12"/>
  <c r="X2890" i="12"/>
  <c r="X2891" i="12"/>
  <c r="W2892" i="12"/>
  <c r="X2892" i="12"/>
  <c r="W2893" i="12"/>
  <c r="W2894" i="12"/>
  <c r="X2893" i="12"/>
  <c r="W2895" i="12"/>
  <c r="X2894" i="12"/>
  <c r="X2895" i="12"/>
  <c r="W2896" i="12"/>
  <c r="X2896" i="12"/>
  <c r="W2897" i="12"/>
  <c r="W2898" i="12"/>
  <c r="X2897" i="12"/>
  <c r="X2898" i="12"/>
  <c r="W2899" i="12"/>
  <c r="X2899" i="12"/>
  <c r="W2900" i="12"/>
  <c r="W2901" i="12"/>
  <c r="X2900" i="12"/>
  <c r="W2902" i="12"/>
  <c r="X2901" i="12"/>
  <c r="X2902" i="12"/>
  <c r="W2903" i="12"/>
  <c r="W2904" i="12"/>
  <c r="X2903" i="12"/>
  <c r="X2904" i="12"/>
  <c r="W2905" i="12"/>
  <c r="W2906" i="12"/>
  <c r="X2905" i="12"/>
  <c r="W2907" i="12"/>
  <c r="X2906" i="12"/>
  <c r="W2908" i="12"/>
  <c r="X2907" i="12"/>
  <c r="W2909" i="12"/>
  <c r="X2908" i="12"/>
  <c r="W2910" i="12"/>
  <c r="X2909" i="12"/>
  <c r="X2910" i="12"/>
  <c r="W2911" i="12"/>
  <c r="X2911" i="12"/>
  <c r="W2912" i="12"/>
  <c r="X2912" i="12"/>
  <c r="W2913" i="12"/>
  <c r="W2914" i="12"/>
  <c r="X2913" i="12"/>
  <c r="W2915" i="12"/>
  <c r="X2914" i="12"/>
  <c r="X2915" i="12"/>
  <c r="W2916" i="12"/>
  <c r="W2917" i="12"/>
  <c r="X2916" i="12"/>
  <c r="X2917" i="12"/>
  <c r="W2918" i="12"/>
  <c r="W2919" i="12"/>
  <c r="X2918" i="12"/>
  <c r="X2919" i="12"/>
  <c r="W2920" i="12"/>
  <c r="W2921" i="12"/>
  <c r="X2920" i="12"/>
  <c r="X2921" i="12"/>
  <c r="W2922" i="12"/>
  <c r="X2922" i="12"/>
  <c r="W2923" i="12"/>
  <c r="X2923" i="12"/>
  <c r="W2924" i="12"/>
  <c r="X2924" i="12"/>
  <c r="W2925" i="12"/>
  <c r="W2926" i="12"/>
  <c r="X2925" i="12"/>
  <c r="W2927" i="12"/>
  <c r="X2926" i="12"/>
  <c r="W2928" i="12"/>
  <c r="X2927" i="12"/>
  <c r="X2928" i="12"/>
  <c r="W2929" i="12"/>
  <c r="X2929" i="12"/>
  <c r="W2930" i="12"/>
  <c r="X2930" i="12"/>
  <c r="W2931" i="12"/>
  <c r="X2931" i="12"/>
  <c r="W2932" i="12"/>
  <c r="W2933" i="12"/>
  <c r="X2932" i="12"/>
  <c r="X2933" i="12"/>
  <c r="W2934" i="12"/>
  <c r="W2935" i="12"/>
  <c r="X2934" i="12"/>
  <c r="X2935" i="12"/>
  <c r="W2936" i="12"/>
  <c r="W2937" i="12"/>
  <c r="X2936" i="12"/>
  <c r="X2937" i="12"/>
  <c r="W2938" i="12"/>
  <c r="W2939" i="12"/>
  <c r="X2938" i="12"/>
  <c r="W2940" i="12"/>
  <c r="X2939" i="12"/>
  <c r="W2941" i="12"/>
  <c r="X2940" i="12"/>
  <c r="W2942" i="12"/>
  <c r="X2941" i="12"/>
  <c r="W2943" i="12"/>
  <c r="X2942" i="12"/>
  <c r="W2944" i="12"/>
  <c r="X2943" i="12"/>
  <c r="X2944" i="12"/>
  <c r="W2945" i="12"/>
  <c r="W2946" i="12"/>
  <c r="X2945" i="12"/>
  <c r="W2947" i="12"/>
  <c r="X2946" i="12"/>
  <c r="W2948" i="12"/>
  <c r="X2947" i="12"/>
  <c r="W2949" i="12"/>
  <c r="X2948" i="12"/>
  <c r="W2950" i="12"/>
  <c r="X2949" i="12"/>
  <c r="X2950" i="12"/>
  <c r="W2951" i="12"/>
  <c r="W2952" i="12"/>
  <c r="X2951" i="12"/>
  <c r="W2953" i="12"/>
  <c r="X2952" i="12"/>
  <c r="X2953" i="12"/>
  <c r="W2954" i="12"/>
  <c r="W2955" i="12"/>
  <c r="X2954" i="12"/>
  <c r="W2956" i="12"/>
  <c r="X2955" i="12"/>
  <c r="X2956" i="12"/>
  <c r="W2957" i="12"/>
  <c r="X2957" i="12"/>
  <c r="W2958" i="12"/>
  <c r="X2958" i="12"/>
  <c r="W2959" i="12"/>
  <c r="X2959" i="12"/>
  <c r="W2960" i="12"/>
  <c r="W2961" i="12"/>
  <c r="X2960" i="12"/>
  <c r="X2961" i="12"/>
  <c r="W2962" i="12"/>
  <c r="W2963" i="12"/>
  <c r="X2962" i="12"/>
  <c r="X2963" i="12"/>
  <c r="W2964" i="12"/>
  <c r="W2965" i="12"/>
  <c r="X2964" i="12"/>
  <c r="X2965" i="12"/>
  <c r="W2966" i="12"/>
  <c r="W2967" i="12"/>
  <c r="X2966" i="12"/>
  <c r="W2968" i="12"/>
  <c r="X2967" i="12"/>
  <c r="W2969" i="12"/>
  <c r="X2968" i="12"/>
  <c r="X2969" i="12"/>
  <c r="W2970" i="12"/>
  <c r="W2971" i="12"/>
  <c r="X2970" i="12"/>
  <c r="W2972" i="12"/>
  <c r="X2971" i="12"/>
  <c r="X2972" i="12"/>
  <c r="W2973" i="12"/>
  <c r="W2974" i="12"/>
  <c r="X2973" i="12"/>
  <c r="W2975" i="12"/>
  <c r="X2974" i="12"/>
  <c r="W2976" i="12"/>
  <c r="X2975" i="12"/>
  <c r="W2977" i="12"/>
  <c r="X2976" i="12"/>
  <c r="X2977" i="12"/>
  <c r="W2978" i="12"/>
  <c r="W2979" i="12"/>
  <c r="X2978" i="12"/>
  <c r="W2980" i="12"/>
  <c r="X2979" i="12"/>
  <c r="X2980" i="12"/>
  <c r="W2981" i="12"/>
  <c r="W2982" i="12"/>
  <c r="X2981" i="12"/>
  <c r="W2983" i="12"/>
  <c r="X2982" i="12"/>
  <c r="X2983" i="12"/>
  <c r="W2984" i="12"/>
  <c r="X2984" i="12"/>
  <c r="W2985" i="12"/>
  <c r="W2986" i="12"/>
  <c r="X2985" i="12"/>
  <c r="X2986" i="12"/>
  <c r="W2987" i="12"/>
  <c r="W2988" i="12"/>
  <c r="X2987" i="12"/>
  <c r="X2988" i="12"/>
  <c r="W2989" i="12"/>
  <c r="X2989" i="12"/>
  <c r="W2990" i="12"/>
  <c r="W2991" i="12"/>
  <c r="X2990" i="12"/>
  <c r="X2991" i="12"/>
  <c r="W2992" i="12"/>
  <c r="W2993" i="12"/>
  <c r="X2992" i="12"/>
  <c r="W2994" i="12"/>
  <c r="X2993" i="12"/>
  <c r="X2994" i="12"/>
  <c r="W2995" i="12"/>
  <c r="W2996" i="12"/>
  <c r="X2995" i="12"/>
  <c r="X2996" i="12"/>
  <c r="W2997" i="12"/>
  <c r="X2997" i="12"/>
  <c r="W2998" i="12"/>
  <c r="X2998" i="12"/>
  <c r="W2999" i="12"/>
  <c r="W3000" i="12"/>
  <c r="X2999" i="12"/>
  <c r="X3000" i="12"/>
  <c r="W3001" i="12"/>
  <c r="W3002" i="12"/>
  <c r="X3001" i="12"/>
  <c r="W3003" i="12"/>
  <c r="X3002" i="12"/>
  <c r="W3004" i="12"/>
  <c r="X3003" i="12"/>
  <c r="X3004" i="12"/>
  <c r="W3005" i="12"/>
  <c r="W3006" i="12"/>
  <c r="X3005" i="12"/>
  <c r="W3007" i="12"/>
  <c r="X3006" i="12"/>
  <c r="W3008" i="12"/>
  <c r="X3007" i="12"/>
  <c r="W3009" i="12"/>
  <c r="X3008" i="12"/>
  <c r="W3010" i="12"/>
  <c r="X3009" i="12"/>
  <c r="X3010" i="12"/>
  <c r="W3011" i="12"/>
  <c r="W3012" i="12"/>
  <c r="X3011" i="12"/>
  <c r="X3012" i="12"/>
  <c r="W3013" i="12"/>
  <c r="X3013" i="12"/>
  <c r="W3014" i="12"/>
  <c r="W3015" i="12"/>
  <c r="X3014" i="12"/>
  <c r="W3016" i="12"/>
  <c r="X3015" i="12"/>
  <c r="X3016" i="12"/>
  <c r="W3017" i="12"/>
  <c r="W3018" i="12"/>
  <c r="X3017" i="12"/>
  <c r="W3019" i="12"/>
  <c r="X3018" i="12"/>
  <c r="W3020" i="12"/>
  <c r="X3019" i="12"/>
  <c r="W3021" i="12"/>
  <c r="X3020" i="12"/>
  <c r="X3021" i="12"/>
  <c r="W3022" i="12"/>
  <c r="X3022" i="12"/>
  <c r="W3023" i="12"/>
  <c r="X3023" i="12"/>
  <c r="W3024" i="12"/>
  <c r="X3024" i="12"/>
  <c r="W3025" i="12"/>
  <c r="W3026" i="12"/>
  <c r="X3025" i="12"/>
  <c r="X3026" i="12"/>
  <c r="W3027" i="12"/>
  <c r="W3028" i="12"/>
  <c r="X3027" i="12"/>
  <c r="W3029" i="12"/>
  <c r="X3028" i="12"/>
  <c r="X3029" i="12"/>
  <c r="W3030" i="12"/>
  <c r="W3031" i="12"/>
  <c r="X3030" i="12"/>
  <c r="W3032" i="12"/>
  <c r="X3031" i="12"/>
  <c r="W3033" i="12"/>
  <c r="X3032" i="12"/>
  <c r="W3034" i="12"/>
  <c r="X3033" i="12"/>
  <c r="X3034" i="12"/>
  <c r="W3035" i="12"/>
  <c r="W3036" i="12"/>
  <c r="X3035" i="12"/>
  <c r="X3036" i="12"/>
  <c r="W3037" i="12"/>
  <c r="X3037" i="12"/>
  <c r="W3038" i="12"/>
  <c r="X3038" i="12"/>
  <c r="W3039" i="12"/>
  <c r="X3039" i="12"/>
  <c r="W3040" i="12"/>
  <c r="X3040" i="12"/>
  <c r="W3041" i="12"/>
  <c r="X3041" i="12"/>
  <c r="W3042" i="12"/>
  <c r="X3042" i="12"/>
  <c r="W3043" i="12"/>
  <c r="X3043" i="12"/>
  <c r="W3044" i="12"/>
  <c r="W3045" i="12"/>
  <c r="X3044" i="12"/>
  <c r="W3046" i="12"/>
  <c r="X3045" i="12"/>
  <c r="X3046" i="12"/>
  <c r="W3047" i="12"/>
  <c r="X3047" i="12"/>
  <c r="W3048" i="12"/>
  <c r="X3048" i="12"/>
  <c r="W3049" i="12"/>
  <c r="W3050" i="12"/>
  <c r="X3049" i="12"/>
  <c r="W3051" i="12"/>
  <c r="X3050" i="12"/>
  <c r="W3052" i="12"/>
  <c r="X3051" i="12"/>
  <c r="X3052" i="12"/>
  <c r="W3053" i="12"/>
  <c r="X3053" i="12"/>
  <c r="W3054" i="12"/>
  <c r="W3055" i="12"/>
  <c r="X3054" i="12"/>
  <c r="X3055" i="12"/>
  <c r="W3056" i="12"/>
  <c r="X3056" i="12"/>
  <c r="W3057" i="12"/>
  <c r="X3057" i="12"/>
  <c r="W3058" i="12"/>
  <c r="X3058" i="12"/>
  <c r="W3059" i="12"/>
  <c r="W3060" i="12"/>
  <c r="X3059" i="12"/>
  <c r="W3061" i="12"/>
  <c r="X3060" i="12"/>
  <c r="W3062" i="12"/>
  <c r="X3061" i="12"/>
  <c r="W3063" i="12"/>
  <c r="X3062" i="12"/>
  <c r="W3064" i="12"/>
  <c r="X3063" i="12"/>
  <c r="X3064" i="12"/>
  <c r="W3065" i="12"/>
  <c r="W3066" i="12"/>
  <c r="X3065" i="12"/>
  <c r="X3066" i="12"/>
  <c r="W3067" i="12"/>
  <c r="X3067" i="12"/>
  <c r="W3068" i="12"/>
  <c r="X3068" i="12"/>
  <c r="W3069" i="12"/>
  <c r="W3070" i="12"/>
  <c r="X3069" i="12"/>
  <c r="W3071" i="12"/>
  <c r="X3070" i="12"/>
  <c r="X3071" i="12"/>
  <c r="W3072" i="12"/>
  <c r="X3072" i="12"/>
  <c r="W3073" i="12"/>
  <c r="W3074" i="12"/>
  <c r="X3073" i="12"/>
  <c r="W3075" i="12"/>
  <c r="X3074" i="12"/>
  <c r="X3075" i="12"/>
  <c r="W3076" i="12"/>
  <c r="W3077" i="12"/>
  <c r="X3076" i="12"/>
  <c r="X3077" i="12"/>
  <c r="W3078" i="12"/>
  <c r="X3078" i="12"/>
  <c r="W3079" i="12"/>
  <c r="W3080" i="12"/>
  <c r="X3079" i="12"/>
  <c r="W3081" i="12"/>
  <c r="X3080" i="12"/>
  <c r="W3082" i="12"/>
  <c r="X3081" i="12"/>
  <c r="X3082" i="12"/>
  <c r="W3083" i="12"/>
  <c r="X3083" i="12"/>
  <c r="W3084" i="12"/>
  <c r="W3085" i="12"/>
  <c r="X3084" i="12"/>
  <c r="W3086" i="12"/>
  <c r="X3085" i="12"/>
  <c r="W3087" i="12"/>
  <c r="X3086" i="12"/>
  <c r="W3088" i="12"/>
  <c r="X3087" i="12"/>
  <c r="W3089" i="12"/>
  <c r="X3088" i="12"/>
  <c r="X3089" i="12"/>
  <c r="W3090" i="12"/>
  <c r="X3090" i="12"/>
  <c r="W3091" i="12"/>
  <c r="X3091" i="12"/>
  <c r="W3092" i="12"/>
  <c r="W3093" i="12"/>
  <c r="X3092" i="12"/>
  <c r="W3094" i="12"/>
  <c r="X3093" i="12"/>
  <c r="X3094" i="12"/>
  <c r="W3095" i="12"/>
  <c r="X3095" i="12"/>
  <c r="W3096" i="12"/>
  <c r="X3096" i="12"/>
  <c r="W3097" i="12"/>
  <c r="W3098" i="12"/>
  <c r="X3097" i="12"/>
  <c r="X3098" i="12"/>
  <c r="W3099" i="12"/>
  <c r="W3100" i="12"/>
  <c r="X3099" i="12"/>
  <c r="W3101" i="12"/>
  <c r="X3100" i="12"/>
  <c r="X3101" i="12"/>
  <c r="W3102" i="12"/>
  <c r="W3103" i="12"/>
  <c r="X3102" i="12"/>
  <c r="X3103" i="12"/>
  <c r="W3104" i="12"/>
  <c r="X3104" i="12"/>
  <c r="W3105" i="12"/>
  <c r="X3105" i="12"/>
  <c r="W3106" i="12"/>
  <c r="W3107" i="12"/>
  <c r="X3106" i="12"/>
  <c r="X3107" i="12"/>
  <c r="W3108" i="12"/>
  <c r="X3108" i="12"/>
  <c r="W3109" i="12"/>
  <c r="X3109" i="12"/>
  <c r="W3110" i="12"/>
  <c r="W3111" i="12"/>
  <c r="X3110" i="12"/>
  <c r="X3111" i="12"/>
  <c r="W3112" i="12"/>
  <c r="X3112" i="12"/>
  <c r="W3113" i="12"/>
  <c r="X3113" i="12"/>
  <c r="W3114" i="12"/>
  <c r="X3114" i="12"/>
  <c r="W3115" i="12"/>
  <c r="X3115" i="12"/>
  <c r="W3116" i="12"/>
  <c r="W3117" i="12"/>
  <c r="X3116" i="12"/>
  <c r="W3118" i="12"/>
  <c r="X3117" i="12"/>
  <c r="X3118" i="12"/>
  <c r="W3119" i="12"/>
  <c r="X3119" i="12"/>
  <c r="W3120" i="12"/>
  <c r="W3121" i="12"/>
  <c r="X3120" i="12"/>
  <c r="X3121" i="12"/>
  <c r="W3122" i="12"/>
  <c r="W3123" i="12"/>
  <c r="X3122" i="12"/>
  <c r="W3124" i="12"/>
  <c r="X3123" i="12"/>
  <c r="W3125" i="12"/>
  <c r="X3124" i="12"/>
  <c r="X3125" i="12"/>
  <c r="W3126" i="12"/>
  <c r="W3127" i="12"/>
  <c r="X3126" i="12"/>
  <c r="W3128" i="12"/>
  <c r="X3127" i="12"/>
  <c r="X3128" i="12"/>
  <c r="W3129" i="12"/>
  <c r="W3130" i="12"/>
  <c r="X3129" i="12"/>
  <c r="W3131" i="12"/>
  <c r="X3130" i="12"/>
  <c r="W3132" i="12"/>
  <c r="X3131" i="12"/>
  <c r="W3133" i="12"/>
  <c r="X3132" i="12"/>
  <c r="W3134" i="12"/>
  <c r="X3133" i="12"/>
  <c r="X3134" i="12"/>
  <c r="W3135" i="12"/>
  <c r="W3136" i="12"/>
  <c r="X3135" i="12"/>
  <c r="W3137" i="12"/>
  <c r="X3136" i="12"/>
  <c r="W3138" i="12"/>
  <c r="X3137" i="12"/>
  <c r="X3138" i="12"/>
  <c r="W3139" i="12"/>
  <c r="X3139" i="12"/>
  <c r="W3140" i="12"/>
  <c r="X3140" i="12"/>
  <c r="W3141" i="12"/>
  <c r="X3141" i="12"/>
  <c r="W3142" i="12"/>
  <c r="X3142" i="12"/>
  <c r="W3143" i="12"/>
  <c r="W3144" i="12"/>
  <c r="X3143" i="12"/>
  <c r="X3144" i="12"/>
  <c r="W3145" i="12"/>
  <c r="W3146" i="12"/>
  <c r="X3145" i="12"/>
  <c r="X3146" i="12"/>
  <c r="W3147" i="12"/>
  <c r="X3147" i="12"/>
  <c r="W3148" i="12"/>
  <c r="W3149" i="12"/>
  <c r="X3148" i="12"/>
  <c r="W3150" i="12"/>
  <c r="X3149" i="12"/>
  <c r="W3151" i="12"/>
  <c r="X3150" i="12"/>
  <c r="X3151" i="12"/>
  <c r="W3152" i="12"/>
  <c r="W3153" i="12"/>
  <c r="X3152" i="12"/>
  <c r="X3153" i="12"/>
  <c r="W3154" i="12"/>
  <c r="X3154" i="12"/>
  <c r="W3155" i="12"/>
  <c r="X3155" i="12"/>
  <c r="W3156" i="12"/>
  <c r="W3157" i="12"/>
  <c r="X3156" i="12"/>
  <c r="W3158" i="12"/>
  <c r="X3157" i="12"/>
  <c r="X3158" i="12"/>
  <c r="W3159" i="12"/>
  <c r="X3159" i="12"/>
  <c r="W3160" i="12"/>
  <c r="W3161" i="12"/>
  <c r="X3160" i="12"/>
  <c r="X3161" i="12"/>
  <c r="W3162" i="12"/>
  <c r="X3162" i="12"/>
  <c r="W3163" i="12"/>
  <c r="X3163" i="12"/>
  <c r="W3164" i="12"/>
  <c r="W3165" i="12"/>
  <c r="X3164" i="12"/>
  <c r="X3165" i="12"/>
  <c r="W3166" i="12"/>
  <c r="X3166" i="12"/>
  <c r="W3167" i="12"/>
  <c r="W3168" i="12"/>
  <c r="X3167" i="12"/>
  <c r="X3168" i="12"/>
  <c r="W3169" i="12"/>
  <c r="X3169" i="12"/>
  <c r="W3170" i="12"/>
  <c r="W3171" i="12"/>
  <c r="X3170" i="12"/>
  <c r="W3172" i="12"/>
  <c r="X3171" i="12"/>
  <c r="X3172" i="12"/>
  <c r="W3173" i="12"/>
  <c r="X3173" i="12"/>
  <c r="W3174" i="12"/>
  <c r="X3174" i="12"/>
  <c r="W3175" i="12"/>
  <c r="W3176" i="12"/>
  <c r="X3175" i="12"/>
  <c r="W3177" i="12"/>
  <c r="X3176" i="12"/>
  <c r="W3178" i="12"/>
  <c r="X3177" i="12"/>
  <c r="X3178" i="12"/>
  <c r="W3179" i="12"/>
  <c r="X3179" i="12"/>
  <c r="W3180" i="12"/>
  <c r="W3181" i="12"/>
  <c r="X3180" i="12"/>
  <c r="W3182" i="12"/>
  <c r="X3181" i="12"/>
  <c r="W3183" i="12"/>
  <c r="X3182" i="12"/>
  <c r="W3184" i="12"/>
  <c r="X3183" i="12"/>
  <c r="X3184" i="12"/>
  <c r="W3185" i="12"/>
  <c r="W3186" i="12"/>
  <c r="X3185" i="12"/>
  <c r="W3187" i="12"/>
  <c r="X3186" i="12"/>
  <c r="W3188" i="12"/>
  <c r="X3187" i="12"/>
  <c r="W3189" i="12"/>
  <c r="X3188" i="12"/>
  <c r="X3189" i="12"/>
  <c r="W3190" i="12"/>
  <c r="X3190" i="12"/>
  <c r="W3191" i="12"/>
  <c r="W3192" i="12"/>
  <c r="X3191" i="12"/>
  <c r="W3193" i="12"/>
  <c r="X3192" i="12"/>
  <c r="X3193" i="12"/>
  <c r="W3194" i="12"/>
  <c r="W3195" i="12"/>
  <c r="X3194" i="12"/>
  <c r="X3195" i="12"/>
  <c r="W3196" i="12"/>
  <c r="X3196" i="12"/>
  <c r="W3197" i="12"/>
  <c r="W3198" i="12"/>
  <c r="X3197" i="12"/>
  <c r="X3198" i="12"/>
  <c r="W3199" i="12"/>
  <c r="X3199" i="12"/>
  <c r="W3200" i="12"/>
  <c r="W3201" i="12"/>
  <c r="X3200" i="12"/>
  <c r="X3201" i="12"/>
  <c r="W3202" i="12"/>
  <c r="W3203" i="12"/>
  <c r="X3202" i="12"/>
  <c r="X3203" i="12"/>
  <c r="W3204" i="12"/>
  <c r="X3204" i="12"/>
  <c r="W3205" i="12"/>
  <c r="W3206" i="12"/>
  <c r="X3205" i="12"/>
  <c r="W3207" i="12"/>
  <c r="X3206" i="12"/>
  <c r="W3208" i="12"/>
  <c r="X3207" i="12"/>
  <c r="W3209" i="12"/>
  <c r="X3208" i="12"/>
  <c r="X3209" i="12"/>
  <c r="W3210" i="12"/>
  <c r="W3211" i="12"/>
  <c r="X3210" i="12"/>
  <c r="W3212" i="12"/>
  <c r="X3211" i="12"/>
  <c r="X3212" i="12"/>
  <c r="W3213" i="12"/>
  <c r="W3214" i="12"/>
  <c r="X3213" i="12"/>
  <c r="W3215" i="12"/>
  <c r="X3214" i="12"/>
  <c r="X3215" i="12"/>
  <c r="W3216" i="12"/>
  <c r="W3217" i="12"/>
  <c r="X3216" i="12"/>
  <c r="W3218" i="12"/>
  <c r="X3217" i="12"/>
  <c r="W3219" i="12"/>
  <c r="X3218" i="12"/>
  <c r="X3219" i="12"/>
  <c r="W3220" i="12"/>
  <c r="W3221" i="12"/>
  <c r="X3220" i="12"/>
  <c r="X3221" i="12"/>
  <c r="W3222" i="12"/>
  <c r="W3223" i="12"/>
  <c r="X3222" i="12"/>
  <c r="X3223" i="12"/>
  <c r="W3224" i="12"/>
  <c r="X3224" i="12"/>
  <c r="W3225" i="12"/>
  <c r="W3226" i="12"/>
  <c r="X3225" i="12"/>
  <c r="W3227" i="12"/>
  <c r="X3226" i="12"/>
  <c r="W3228" i="12"/>
  <c r="X3227" i="12"/>
  <c r="X3228" i="12"/>
  <c r="W3229" i="12"/>
  <c r="W3230" i="12"/>
  <c r="X3229" i="12"/>
  <c r="X3230" i="12"/>
  <c r="W3231" i="12"/>
  <c r="X3231" i="12"/>
  <c r="W3232" i="12"/>
  <c r="X3232" i="12"/>
  <c r="W3233" i="12"/>
  <c r="W3234" i="12"/>
  <c r="X3233" i="12"/>
  <c r="W3235" i="12"/>
  <c r="X3234" i="12"/>
  <c r="X3235" i="12"/>
  <c r="W3236" i="12"/>
  <c r="X3236" i="12"/>
  <c r="W3237" i="12"/>
  <c r="W3238" i="12"/>
  <c r="X3237" i="12"/>
  <c r="X3238" i="12"/>
  <c r="W3239" i="12"/>
  <c r="X3239" i="12"/>
  <c r="W3240" i="12"/>
  <c r="W3241" i="12"/>
  <c r="X3240" i="12"/>
  <c r="X3241" i="12"/>
  <c r="W3242" i="12"/>
  <c r="X3242" i="12"/>
  <c r="W3243" i="12"/>
  <c r="X3243" i="12"/>
  <c r="W3244" i="12"/>
  <c r="W3245" i="12"/>
  <c r="X3244" i="12"/>
  <c r="W3246" i="12"/>
  <c r="X3245" i="12"/>
  <c r="X3246" i="12"/>
  <c r="W3247" i="12"/>
  <c r="X3247" i="12"/>
  <c r="W3248" i="12"/>
  <c r="X3248" i="12"/>
  <c r="W3249" i="12"/>
  <c r="X3249" i="12"/>
  <c r="W3250" i="12"/>
  <c r="X3250" i="12"/>
  <c r="W3251" i="12"/>
  <c r="W3252" i="12"/>
  <c r="X3251" i="12"/>
  <c r="X3252" i="12"/>
  <c r="W3253" i="12"/>
  <c r="X3253" i="12"/>
  <c r="W3254" i="12"/>
  <c r="X3254" i="12"/>
  <c r="W3255" i="12"/>
  <c r="X3255" i="12"/>
  <c r="W3256" i="12"/>
  <c r="X3256" i="12"/>
  <c r="W3257" i="12"/>
  <c r="W3258" i="12"/>
  <c r="X3257" i="12"/>
  <c r="W3259" i="12"/>
  <c r="X3258" i="12"/>
  <c r="W3260" i="12"/>
  <c r="X3259" i="12"/>
  <c r="W3261" i="12"/>
  <c r="X3260" i="12"/>
  <c r="W3262" i="12"/>
  <c r="X3261" i="12"/>
  <c r="X3262" i="12"/>
  <c r="W3263" i="12"/>
  <c r="X3263" i="12"/>
  <c r="W3264" i="12"/>
  <c r="X3264" i="12"/>
  <c r="W3265" i="12"/>
  <c r="W3266" i="12"/>
  <c r="X3265" i="12"/>
  <c r="W3267" i="12"/>
  <c r="X3266" i="12"/>
  <c r="X3267" i="12"/>
  <c r="W3268" i="12"/>
  <c r="X3268" i="12"/>
  <c r="W3269" i="12"/>
  <c r="X3269" i="12"/>
  <c r="W3270" i="12"/>
  <c r="W3271" i="12"/>
  <c r="X3270" i="12"/>
  <c r="W3272" i="12"/>
  <c r="X3271" i="12"/>
  <c r="X3272" i="12"/>
  <c r="W3273" i="12"/>
  <c r="X3273" i="12"/>
  <c r="W3274" i="12"/>
  <c r="W3275" i="12"/>
  <c r="X3274" i="12"/>
  <c r="X3275" i="12"/>
  <c r="W3276" i="12"/>
  <c r="W3277" i="12"/>
  <c r="X3276" i="12"/>
  <c r="W3278" i="12"/>
  <c r="X3277" i="12"/>
  <c r="W3279" i="12"/>
  <c r="X3278" i="12"/>
  <c r="X3279" i="12"/>
  <c r="W3280" i="12"/>
  <c r="W3281" i="12"/>
  <c r="X3280" i="12"/>
  <c r="X3281" i="12"/>
  <c r="W3282" i="12"/>
  <c r="W3283" i="12"/>
  <c r="X3282" i="12"/>
  <c r="X3283" i="12"/>
  <c r="W3284" i="12"/>
  <c r="W3285" i="12"/>
  <c r="X3284" i="12"/>
  <c r="X3285" i="12"/>
  <c r="W3286" i="12"/>
  <c r="X3286" i="12"/>
  <c r="W3287" i="12"/>
  <c r="X3287" i="12"/>
  <c r="W3288" i="12"/>
  <c r="W3289" i="12"/>
  <c r="X3288" i="12"/>
  <c r="X3289" i="12"/>
  <c r="W3290" i="12"/>
  <c r="X3290" i="12"/>
  <c r="W3291" i="12"/>
  <c r="X3291" i="12"/>
  <c r="W3292" i="12"/>
  <c r="W3293" i="12"/>
  <c r="X3292" i="12"/>
  <c r="W3294" i="12"/>
  <c r="X3293" i="12"/>
  <c r="X3294" i="12"/>
  <c r="W3295" i="12"/>
  <c r="X3295" i="12"/>
  <c r="W3296" i="12"/>
  <c r="W3297" i="12"/>
  <c r="X3296" i="12"/>
  <c r="X3297" i="12"/>
  <c r="W3298" i="12"/>
  <c r="X3298" i="12"/>
  <c r="W3299" i="12"/>
  <c r="W3300" i="12"/>
  <c r="X3299" i="12"/>
  <c r="W3301" i="12"/>
  <c r="X3300" i="12"/>
  <c r="W3302" i="12"/>
  <c r="X3301" i="12"/>
  <c r="X3302" i="12"/>
  <c r="W3303" i="12"/>
  <c r="X3303" i="12"/>
  <c r="W3304" i="12"/>
  <c r="X3304" i="12"/>
  <c r="W3305" i="12"/>
  <c r="W3306" i="12"/>
  <c r="X3305" i="12"/>
  <c r="X3306" i="12"/>
  <c r="W3307" i="12"/>
  <c r="X3307" i="12"/>
  <c r="W3308" i="12"/>
  <c r="X3308" i="12"/>
  <c r="W3309" i="12"/>
  <c r="X3309" i="12"/>
  <c r="W3310" i="12"/>
  <c r="W3311" i="12"/>
  <c r="X3310" i="12"/>
  <c r="X3311" i="12"/>
  <c r="W3312" i="12"/>
  <c r="W3313" i="12"/>
  <c r="X3312" i="12"/>
  <c r="X3313" i="12"/>
  <c r="W3314" i="12"/>
  <c r="X3314" i="12"/>
  <c r="W3315" i="12"/>
  <c r="X3315" i="12"/>
  <c r="W3316" i="12"/>
  <c r="W3317" i="12"/>
  <c r="X3316" i="12"/>
  <c r="X3317" i="12"/>
  <c r="W3318" i="12"/>
  <c r="W3319" i="12"/>
  <c r="X3318" i="12"/>
  <c r="X3319" i="12"/>
  <c r="W3320" i="12"/>
  <c r="X3320" i="12"/>
  <c r="W3321" i="12"/>
  <c r="X3321" i="12"/>
  <c r="W3322" i="12"/>
  <c r="X3322" i="12"/>
  <c r="W3323" i="12"/>
  <c r="X3323" i="12"/>
  <c r="W3324" i="12"/>
  <c r="W3325" i="12"/>
  <c r="X3324" i="12"/>
  <c r="W3326" i="12"/>
  <c r="X3325" i="12"/>
  <c r="X3326" i="12"/>
  <c r="W3327" i="12"/>
  <c r="W3328" i="12"/>
  <c r="X3327" i="12"/>
  <c r="W3329" i="12"/>
  <c r="X3328" i="12"/>
  <c r="W3330" i="12"/>
  <c r="X3329" i="12"/>
  <c r="W3331" i="12"/>
  <c r="X3330" i="12"/>
  <c r="W3332" i="12"/>
  <c r="X3331" i="12"/>
  <c r="X3332" i="12"/>
  <c r="W3333" i="12"/>
  <c r="W3334" i="12"/>
  <c r="X3333" i="12"/>
  <c r="W3335" i="12"/>
  <c r="X3334" i="12"/>
  <c r="X3335" i="12"/>
  <c r="W3336" i="12"/>
  <c r="W3337" i="12"/>
  <c r="X3336" i="12"/>
  <c r="W3338" i="12"/>
  <c r="X3337" i="12"/>
  <c r="X3338" i="12"/>
  <c r="W3339" i="12"/>
  <c r="W3340" i="12"/>
  <c r="X3339" i="12"/>
  <c r="X3340" i="12"/>
  <c r="W3341" i="12"/>
  <c r="X3341" i="12"/>
  <c r="W3342" i="12"/>
  <c r="W3343" i="12"/>
  <c r="X3342" i="12"/>
  <c r="X3343" i="12"/>
  <c r="W3344" i="12"/>
  <c r="X3344" i="12"/>
  <c r="W3345" i="12"/>
  <c r="W3346" i="12"/>
  <c r="X3345" i="12"/>
  <c r="X3346" i="12"/>
  <c r="W3347" i="12"/>
  <c r="X3347" i="12"/>
  <c r="W3348" i="12"/>
  <c r="W3349" i="12"/>
  <c r="X3348" i="12"/>
  <c r="W3350" i="12"/>
  <c r="X3349" i="12"/>
  <c r="W3351" i="12"/>
  <c r="X3350" i="12"/>
  <c r="W3352" i="12"/>
  <c r="X3351" i="12"/>
  <c r="X3352" i="12"/>
  <c r="W3353" i="12"/>
  <c r="X3353" i="12"/>
  <c r="W3354" i="12"/>
  <c r="X3354" i="12"/>
  <c r="W3355" i="12"/>
  <c r="W3356" i="12"/>
  <c r="X3355" i="12"/>
  <c r="X3356" i="12"/>
  <c r="W3357" i="12"/>
  <c r="W3358" i="12"/>
  <c r="X3357" i="12"/>
  <c r="X3358" i="12"/>
  <c r="W3359" i="12"/>
  <c r="W3360" i="12"/>
  <c r="X3359" i="12"/>
  <c r="W3361" i="12"/>
  <c r="X3360" i="12"/>
  <c r="W3362" i="12"/>
  <c r="X3361" i="12"/>
  <c r="X3362" i="12"/>
  <c r="W3363" i="12"/>
  <c r="W3364" i="12"/>
  <c r="X3363" i="12"/>
  <c r="W3365" i="12"/>
  <c r="X3364" i="12"/>
  <c r="W3366" i="12"/>
  <c r="X3365" i="12"/>
  <c r="X3366" i="12"/>
  <c r="W3367" i="12"/>
  <c r="X3367" i="12"/>
  <c r="W3368" i="12"/>
  <c r="W3369" i="12"/>
  <c r="X3368" i="12"/>
  <c r="X3369" i="12"/>
  <c r="W3370" i="12"/>
  <c r="W3371" i="12"/>
  <c r="X3370" i="12"/>
  <c r="X3371" i="12"/>
  <c r="W3372" i="12"/>
  <c r="X3372" i="12"/>
  <c r="W3373" i="12"/>
  <c r="X3373" i="12"/>
  <c r="W3374" i="12"/>
  <c r="X3374" i="12"/>
  <c r="W3375" i="12"/>
  <c r="W3376" i="12"/>
  <c r="X3375" i="12"/>
  <c r="X3376" i="12"/>
  <c r="W3377" i="12"/>
  <c r="W3378" i="12"/>
  <c r="X3377" i="12"/>
  <c r="X3378" i="12"/>
  <c r="W3379" i="12"/>
  <c r="X3379" i="12"/>
  <c r="W3380" i="12"/>
  <c r="X3380" i="12"/>
  <c r="W3381" i="12"/>
  <c r="X3381" i="12"/>
  <c r="W3382" i="12"/>
  <c r="W3383" i="12"/>
  <c r="X3382" i="12"/>
  <c r="X3383" i="12"/>
  <c r="W3384" i="12"/>
  <c r="X3384" i="12"/>
  <c r="W3385" i="12"/>
  <c r="W3386" i="12"/>
  <c r="X3385" i="12"/>
  <c r="W3387" i="12"/>
  <c r="X3386" i="12"/>
  <c r="X3387" i="12"/>
  <c r="W3388" i="12"/>
  <c r="X3388" i="12"/>
  <c r="W3389" i="12"/>
  <c r="X3389" i="12"/>
  <c r="W3390" i="12"/>
  <c r="W3391" i="12"/>
  <c r="X3390" i="12"/>
  <c r="W3392" i="12"/>
  <c r="X3391" i="12"/>
  <c r="X3392" i="12"/>
  <c r="W3393" i="12"/>
  <c r="X3393" i="12"/>
  <c r="W3394" i="12"/>
  <c r="X3394" i="12"/>
  <c r="W3395" i="12"/>
  <c r="W3396" i="12"/>
  <c r="X3395" i="12"/>
  <c r="X3396" i="12"/>
  <c r="W3397" i="12"/>
  <c r="W3398" i="12"/>
  <c r="X3397" i="12"/>
  <c r="X3398" i="12"/>
  <c r="W3399" i="12"/>
  <c r="W3400" i="12"/>
  <c r="X3399" i="12"/>
  <c r="W3401" i="12"/>
  <c r="X3400" i="12"/>
  <c r="W3402" i="12"/>
  <c r="X3401" i="12"/>
  <c r="W3403" i="12"/>
  <c r="X3402" i="12"/>
  <c r="X3403" i="12"/>
  <c r="W3404" i="12"/>
  <c r="W3405" i="12"/>
  <c r="X3404" i="12"/>
  <c r="W3406" i="12"/>
  <c r="X3405" i="12"/>
  <c r="W3407" i="12"/>
  <c r="X3406" i="12"/>
  <c r="X3407" i="12"/>
  <c r="W3408" i="12"/>
  <c r="X3408" i="12"/>
  <c r="W3409" i="12"/>
  <c r="X3409" i="12"/>
  <c r="W3410" i="12"/>
  <c r="X3410" i="12"/>
  <c r="W3411" i="12"/>
  <c r="W3412" i="12"/>
  <c r="X3411" i="12"/>
  <c r="W3413" i="12"/>
  <c r="X3412" i="12"/>
  <c r="X3413" i="12"/>
  <c r="W3414" i="12"/>
  <c r="W3415" i="12"/>
  <c r="X3414" i="12"/>
  <c r="X3415" i="12"/>
  <c r="W3416" i="12"/>
  <c r="X3416" i="12"/>
  <c r="W3417" i="12"/>
  <c r="X3417" i="12"/>
  <c r="W3418" i="12"/>
  <c r="W3419" i="12"/>
  <c r="X3418" i="12"/>
  <c r="X3419" i="12"/>
  <c r="W3420" i="12"/>
  <c r="X3420" i="12"/>
  <c r="W3421" i="12"/>
  <c r="X3421" i="12"/>
  <c r="W3422" i="12"/>
  <c r="X3422" i="12"/>
  <c r="W3423" i="12"/>
  <c r="W3424" i="12"/>
  <c r="X3423" i="12"/>
  <c r="X3424" i="12"/>
  <c r="W3425" i="12"/>
  <c r="X3425" i="12"/>
  <c r="W3426" i="12"/>
  <c r="W3427" i="12"/>
  <c r="X3426" i="12"/>
  <c r="X3427" i="12"/>
  <c r="W3428" i="12"/>
  <c r="W3429" i="12"/>
  <c r="X3428" i="12"/>
  <c r="W3430" i="12"/>
  <c r="X3429" i="12"/>
  <c r="X3430" i="12"/>
  <c r="W3431" i="12"/>
  <c r="X3431" i="12"/>
  <c r="W3432" i="12"/>
  <c r="W3433" i="12"/>
  <c r="X3432" i="12"/>
  <c r="W3434" i="12"/>
  <c r="X3433" i="12"/>
  <c r="W3435" i="12"/>
  <c r="X3434" i="12"/>
  <c r="X3435" i="12"/>
  <c r="W3436" i="12"/>
  <c r="X3436" i="12"/>
  <c r="W3437" i="12"/>
  <c r="W3438" i="12"/>
  <c r="X3437" i="12"/>
  <c r="X3438" i="12"/>
  <c r="W3439" i="12"/>
  <c r="W3440" i="12"/>
  <c r="X3439" i="12"/>
  <c r="X3440" i="12"/>
  <c r="W3441" i="12"/>
  <c r="X3441" i="12"/>
  <c r="W3442" i="12"/>
  <c r="W3443" i="12"/>
  <c r="X3442" i="12"/>
  <c r="X3443" i="12"/>
  <c r="W3444" i="12"/>
  <c r="X3444" i="12"/>
  <c r="W3445" i="12"/>
  <c r="X3445" i="12"/>
  <c r="W3446" i="12"/>
  <c r="X3446" i="12"/>
  <c r="W3447" i="12"/>
  <c r="X3447" i="12"/>
  <c r="W3448" i="12"/>
  <c r="W3449" i="12"/>
  <c r="X3448" i="12"/>
  <c r="W3450" i="12"/>
  <c r="X3449" i="12"/>
  <c r="X3450" i="12"/>
  <c r="W3451" i="12"/>
  <c r="X3451" i="12"/>
  <c r="W3452" i="12"/>
  <c r="W3453" i="12"/>
  <c r="X3452" i="12"/>
  <c r="X3453" i="12"/>
  <c r="W3454" i="12"/>
  <c r="X3454" i="12"/>
  <c r="W3455" i="12"/>
  <c r="W3456" i="12"/>
  <c r="X3455" i="12"/>
  <c r="X3456" i="12"/>
  <c r="W3457" i="12"/>
  <c r="W3458" i="12"/>
  <c r="X3457" i="12"/>
  <c r="W3459" i="12"/>
  <c r="X3458" i="12"/>
  <c r="W3460" i="12"/>
  <c r="X3459" i="12"/>
  <c r="W3461" i="12"/>
  <c r="X3460" i="12"/>
  <c r="X3461" i="12"/>
  <c r="W3462" i="12"/>
  <c r="X3462" i="12"/>
  <c r="W3463" i="12"/>
  <c r="W3464" i="12"/>
  <c r="X3463" i="12"/>
  <c r="W3465" i="12"/>
  <c r="X3464" i="12"/>
  <c r="W3466" i="12"/>
  <c r="X3465" i="12"/>
  <c r="W3467" i="12"/>
  <c r="X3466" i="12"/>
  <c r="W3468" i="12"/>
  <c r="X3467" i="12"/>
  <c r="W3469" i="12"/>
  <c r="X3468" i="12"/>
  <c r="W3470" i="12"/>
  <c r="X3469" i="12"/>
  <c r="W3471" i="12"/>
  <c r="X3470" i="12"/>
  <c r="W3472" i="12"/>
  <c r="X3471" i="12"/>
  <c r="X3472" i="12"/>
  <c r="W3473" i="12"/>
  <c r="W3474" i="12"/>
  <c r="X3473" i="12"/>
  <c r="W3475" i="12"/>
  <c r="X3474" i="12"/>
  <c r="X3475" i="12"/>
  <c r="W3476" i="12"/>
  <c r="W3477" i="12"/>
  <c r="X3476" i="12"/>
  <c r="W3478" i="12"/>
  <c r="X3477" i="12"/>
  <c r="W3479" i="12"/>
  <c r="X3478" i="12"/>
  <c r="W3480" i="12"/>
  <c r="X3479" i="12"/>
  <c r="W3481" i="12"/>
  <c r="X3480" i="12"/>
  <c r="W3482" i="12"/>
  <c r="X3481" i="12"/>
  <c r="W3483" i="12"/>
  <c r="X3482" i="12"/>
  <c r="X3483" i="12"/>
  <c r="W3484" i="12"/>
  <c r="X3484" i="12"/>
  <c r="W3485" i="12"/>
  <c r="X3485" i="12"/>
  <c r="W3486" i="12"/>
  <c r="X3486" i="12"/>
  <c r="W3487" i="12"/>
  <c r="W3488" i="12"/>
  <c r="X3487" i="12"/>
  <c r="W3489" i="12"/>
  <c r="X3488" i="12"/>
  <c r="W3490" i="12"/>
  <c r="X3489" i="12"/>
  <c r="W3491" i="12"/>
  <c r="X3490" i="12"/>
  <c r="W3492" i="12"/>
  <c r="X3491" i="12"/>
  <c r="X3492" i="12"/>
  <c r="W3493" i="12"/>
  <c r="X3493" i="12"/>
  <c r="W3494" i="12"/>
  <c r="X3494" i="12"/>
  <c r="W3495" i="12"/>
  <c r="W3496" i="12"/>
  <c r="X3495" i="12"/>
  <c r="X3496" i="12"/>
  <c r="W3497" i="12"/>
  <c r="W3498" i="12"/>
  <c r="X3497" i="12"/>
  <c r="X3498" i="12"/>
  <c r="W3499" i="12"/>
  <c r="W3500" i="12"/>
  <c r="X3499" i="12"/>
  <c r="X3500" i="12"/>
  <c r="W3501" i="12"/>
  <c r="X3501" i="12"/>
  <c r="W3502" i="12"/>
  <c r="W3503" i="12"/>
  <c r="X3502" i="12"/>
  <c r="X3503" i="12"/>
  <c r="W3504" i="12"/>
  <c r="W3505" i="12"/>
  <c r="X3504" i="12"/>
  <c r="X3505" i="12"/>
  <c r="W3506" i="12"/>
  <c r="W3507" i="12"/>
  <c r="X3506" i="12"/>
  <c r="W3508" i="12"/>
  <c r="X3507" i="12"/>
  <c r="X3508" i="12"/>
  <c r="W3509" i="12"/>
  <c r="W3510" i="12"/>
  <c r="X3509" i="12"/>
  <c r="X3510" i="12"/>
  <c r="W3511" i="12"/>
  <c r="W3512" i="12"/>
  <c r="X3511" i="12"/>
  <c r="X3512" i="12"/>
  <c r="W3513" i="12"/>
  <c r="W3514" i="12"/>
  <c r="X3513" i="12"/>
  <c r="X3514" i="12"/>
  <c r="W3515" i="12"/>
  <c r="W3516" i="12"/>
  <c r="X3515" i="12"/>
  <c r="W3517" i="12"/>
  <c r="X3516" i="12"/>
  <c r="X3517" i="12"/>
  <c r="W3518" i="12"/>
  <c r="W3519" i="12"/>
  <c r="X3518" i="12"/>
  <c r="W3520" i="12"/>
  <c r="X3519" i="12"/>
  <c r="X3520" i="12"/>
  <c r="W3521" i="12"/>
  <c r="W3522" i="12"/>
  <c r="X3521" i="12"/>
  <c r="W3523" i="12"/>
  <c r="X3522" i="12"/>
  <c r="W3524" i="12"/>
  <c r="X3523" i="12"/>
  <c r="W3525" i="12"/>
  <c r="X3524" i="12"/>
  <c r="X3525" i="12"/>
  <c r="W3526" i="12"/>
  <c r="W3527" i="12"/>
  <c r="X3526" i="12"/>
  <c r="X3527" i="12"/>
  <c r="W3528" i="12"/>
  <c r="X3528" i="12"/>
  <c r="W3529" i="12"/>
  <c r="W3530" i="12"/>
  <c r="X3529" i="12"/>
  <c r="W3531" i="12"/>
  <c r="X3530" i="12"/>
  <c r="X3531" i="12"/>
  <c r="W3532" i="12"/>
  <c r="X3532" i="12"/>
  <c r="W3533" i="12"/>
  <c r="X3533" i="12"/>
  <c r="W3534" i="12"/>
  <c r="X3534" i="12"/>
  <c r="W3535" i="12"/>
  <c r="X3535" i="12"/>
  <c r="W3536" i="12"/>
  <c r="X3536" i="12"/>
  <c r="W3537" i="12"/>
  <c r="W3538" i="12"/>
  <c r="X3537" i="12"/>
  <c r="X3538" i="12"/>
  <c r="W3539" i="12"/>
  <c r="W3540" i="12"/>
  <c r="X3539" i="12"/>
  <c r="W3541" i="12"/>
  <c r="X3540" i="12"/>
  <c r="X3541" i="12"/>
  <c r="W3542" i="12"/>
  <c r="W3543" i="12"/>
  <c r="X3542" i="12"/>
  <c r="W3544" i="12"/>
  <c r="X3543" i="12"/>
  <c r="X3544" i="12"/>
  <c r="W3545" i="12"/>
  <c r="X3545" i="12"/>
  <c r="W3546" i="12"/>
  <c r="W3547" i="12"/>
  <c r="X3546" i="12"/>
  <c r="X3547" i="12"/>
  <c r="W3548" i="12"/>
  <c r="X3548" i="12"/>
  <c r="W3549" i="12"/>
  <c r="W3550" i="12"/>
  <c r="X3549" i="12"/>
  <c r="W3551" i="12"/>
  <c r="X3550" i="12"/>
  <c r="X3551" i="12"/>
  <c r="W3552" i="12"/>
  <c r="X3552" i="12" s="1"/>
  <c r="J23" i="11" l="1"/>
  <c r="D24" i="11"/>
  <c r="F23" i="11"/>
  <c r="H23" i="11"/>
  <c r="K23" i="11"/>
  <c r="H24" i="11" l="1"/>
  <c r="J24" i="11"/>
  <c r="F24" i="11"/>
  <c r="D25" i="11"/>
  <c r="K24" i="11"/>
  <c r="F25" i="11" l="1"/>
  <c r="H25" i="11"/>
  <c r="J25" i="11"/>
  <c r="D26" i="11"/>
  <c r="K25" i="11"/>
  <c r="D27" i="11" l="1"/>
  <c r="F26" i="11"/>
  <c r="H26" i="11"/>
  <c r="J26" i="11"/>
  <c r="K26" i="11"/>
  <c r="D28" i="11" l="1"/>
  <c r="F27" i="11"/>
  <c r="J27" i="11"/>
  <c r="H27" i="11"/>
  <c r="K27" i="11"/>
  <c r="D29" i="11" l="1"/>
  <c r="H28" i="11"/>
  <c r="J28" i="11"/>
  <c r="F28" i="11"/>
  <c r="K28" i="11"/>
  <c r="F29" i="11" l="1"/>
  <c r="H29" i="11"/>
  <c r="J29" i="11"/>
  <c r="D30" i="11"/>
  <c r="K29" i="11"/>
  <c r="D31" i="11" l="1"/>
  <c r="F30" i="11"/>
  <c r="J30" i="11"/>
  <c r="H30" i="11"/>
  <c r="K30" i="11"/>
  <c r="J31" i="11" l="1"/>
  <c r="D32" i="11"/>
  <c r="F31" i="11"/>
  <c r="H31" i="11"/>
  <c r="K31" i="11"/>
  <c r="H32" i="11" l="1"/>
  <c r="J32" i="11"/>
  <c r="F32" i="11"/>
  <c r="D33" i="11"/>
  <c r="K32" i="11"/>
  <c r="F33" i="11" l="1"/>
  <c r="H33" i="11"/>
  <c r="J33" i="11"/>
  <c r="D34" i="11"/>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15" i="9"/>
  <c r="K8" i="9"/>
  <c r="K16" i="9"/>
  <c r="K14" i="9"/>
  <c r="K11" i="9"/>
  <c r="K13" i="9"/>
  <c r="K12" i="9"/>
  <c r="K7" i="9"/>
  <c r="K10" i="9"/>
  <c r="K6" i="9"/>
  <c r="K9"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I1" i="7"/>
  <c r="J1" i="7" s="1"/>
  <c r="I3" i="7"/>
  <c r="I4" i="7"/>
  <c r="I5" i="7"/>
  <c r="I6" i="7"/>
  <c r="F1" i="7"/>
  <c r="I7" i="7"/>
  <c r="K3" i="9"/>
  <c r="K3" i="11"/>
  <c r="E3" i="7"/>
  <c r="F83" i="4"/>
  <c r="L42" i="11"/>
  <c r="L6" i="11"/>
  <c r="F82" i="4"/>
  <c r="F149" i="4"/>
  <c r="L15" i="11"/>
  <c r="F158" i="4"/>
  <c r="L35" i="11"/>
  <c r="F138" i="4"/>
  <c r="L26" i="11"/>
  <c r="L22" i="11"/>
  <c r="L6" i="9"/>
  <c r="L16" i="11"/>
  <c r="F7" i="7"/>
  <c r="H6" i="7"/>
  <c r="F167" i="4"/>
  <c r="L32" i="11"/>
  <c r="L18" i="11"/>
  <c r="L29" i="11"/>
  <c r="F142" i="4"/>
  <c r="F154" i="4"/>
  <c r="F136" i="4"/>
  <c r="D6" i="7"/>
  <c r="F162" i="4"/>
  <c r="L40" i="11"/>
  <c r="F134" i="4"/>
  <c r="L8" i="9"/>
  <c r="L11" i="9"/>
  <c r="L7" i="11"/>
  <c r="F85" i="4"/>
  <c r="L9" i="9"/>
  <c r="L38" i="11"/>
  <c r="F155" i="4"/>
  <c r="L8" i="11"/>
  <c r="F133" i="4"/>
  <c r="F145" i="4"/>
  <c r="D5" i="7"/>
  <c r="H3" i="7"/>
  <c r="L27" i="11"/>
  <c r="L12" i="11"/>
  <c r="E6" i="7"/>
  <c r="L33" i="11"/>
  <c r="F79" i="4"/>
  <c r="F141" i="4"/>
  <c r="F151" i="4"/>
  <c r="L36" i="11"/>
  <c r="F77" i="4"/>
  <c r="E4" i="7"/>
  <c r="D7" i="7"/>
  <c r="L9" i="11"/>
  <c r="L10" i="11"/>
  <c r="L7" i="9"/>
  <c r="F159" i="4"/>
  <c r="L13" i="11"/>
  <c r="F153" i="4"/>
  <c r="L21" i="11"/>
  <c r="L28" i="11"/>
  <c r="L14" i="9"/>
  <c r="L11" i="11"/>
  <c r="H4" i="7"/>
  <c r="F148" i="4"/>
  <c r="D4" i="7"/>
  <c r="F81" i="4"/>
  <c r="L23" i="11"/>
  <c r="F157" i="4"/>
  <c r="F78" i="4"/>
  <c r="D3" i="7"/>
  <c r="G7" i="7"/>
  <c r="L12" i="9"/>
  <c r="F147" i="4"/>
  <c r="L15" i="9"/>
  <c r="F140" i="4"/>
  <c r="F156" i="4"/>
  <c r="L14" i="11"/>
  <c r="G131" i="4"/>
  <c r="E7" i="7"/>
  <c r="F144" i="4"/>
  <c r="L25" i="11"/>
  <c r="L34" i="11"/>
  <c r="L30" i="11"/>
  <c r="F165" i="4"/>
  <c r="H5" i="7"/>
  <c r="L17" i="11"/>
  <c r="F86" i="4"/>
  <c r="E5" i="7"/>
  <c r="F163" i="4"/>
  <c r="F150" i="4"/>
  <c r="F166" i="4"/>
  <c r="L13" i="9"/>
  <c r="F152" i="4"/>
  <c r="L37" i="11"/>
  <c r="F146" i="4"/>
  <c r="F139" i="4"/>
  <c r="L39" i="11"/>
  <c r="F160" i="4"/>
  <c r="L10" i="9"/>
  <c r="L4" i="9"/>
  <c r="H7" i="7"/>
  <c r="L31" i="11"/>
  <c r="F76" i="4"/>
  <c r="F143" i="4"/>
  <c r="F137" i="4"/>
  <c r="F161" i="4"/>
  <c r="F131" i="4"/>
  <c r="F132" i="4"/>
  <c r="L41" i="11"/>
  <c r="L24" i="11"/>
  <c r="F80" i="4"/>
  <c r="F164" i="4"/>
  <c r="L16" i="9"/>
  <c r="L20" i="11"/>
  <c r="L19" i="11"/>
  <c r="F84" i="4"/>
  <c r="F135" i="4"/>
  <c r="J2" i="7" l="1"/>
  <c r="J3" i="7"/>
  <c r="J6" i="7"/>
  <c r="L3" i="11"/>
  <c r="J4" i="7"/>
  <c r="J7" i="7"/>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K4" i="7"/>
  <c r="F2" i="4"/>
  <c r="D34" i="4" a="1"/>
  <c r="F3" i="4"/>
  <c r="K5" i="7"/>
  <c r="K3" i="7"/>
  <c r="D21" i="6"/>
  <c r="K6" i="7"/>
  <c r="F4" i="4"/>
  <c r="K2" i="7"/>
  <c r="B1" i="6"/>
  <c r="F6" i="4"/>
  <c r="K7" i="7"/>
  <c r="F5" i="4"/>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G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M44" i="4"/>
  <c r="L6" i="4"/>
  <c r="G44" i="4"/>
  <c r="G32" i="4"/>
  <c r="L33" i="4"/>
  <c r="G4" i="4"/>
  <c r="M48" i="4"/>
  <c r="G57" i="4"/>
  <c r="G51" i="4"/>
  <c r="M54" i="4"/>
  <c r="G55" i="4"/>
  <c r="M41" i="4"/>
  <c r="M7" i="4"/>
  <c r="M50" i="4"/>
  <c r="G13" i="4"/>
  <c r="G7" i="4"/>
  <c r="L37" i="4"/>
  <c r="H55" i="4"/>
  <c r="H58" i="4"/>
  <c r="M30" i="4"/>
  <c r="M4" i="4"/>
  <c r="M29" i="4"/>
  <c r="M31" i="4"/>
  <c r="G20" i="4"/>
  <c r="M10" i="4"/>
  <c r="G42" i="4"/>
  <c r="L21" i="4"/>
  <c r="H47" i="4"/>
  <c r="L43" i="4"/>
  <c r="L24" i="4"/>
  <c r="L40" i="4"/>
  <c r="L34" i="4"/>
  <c r="G53" i="4"/>
  <c r="L50" i="4"/>
  <c r="L20" i="4"/>
  <c r="H49" i="4"/>
  <c r="L19" i="4"/>
  <c r="M38" i="4"/>
  <c r="L11" i="4"/>
  <c r="G6" i="4"/>
  <c r="L41" i="4"/>
  <c r="M16" i="4"/>
  <c r="L29" i="4"/>
  <c r="H54" i="4"/>
  <c r="G41" i="4"/>
  <c r="G43" i="4"/>
  <c r="M53" i="4"/>
  <c r="L31" i="4"/>
  <c r="M36" i="4"/>
  <c r="G34" i="4"/>
  <c r="H37" i="4"/>
  <c r="M17" i="4"/>
  <c r="G38" i="4"/>
  <c r="L62" i="4"/>
  <c r="M37" i="4"/>
  <c r="F44" i="4"/>
  <c r="G10" i="4"/>
  <c r="G9" i="4"/>
  <c r="L2" i="4"/>
  <c r="G11" i="4"/>
  <c r="H39" i="4"/>
  <c r="L13" i="4"/>
  <c r="G48" i="4"/>
  <c r="M47" i="4"/>
  <c r="G23" i="4"/>
  <c r="G61" i="4"/>
  <c r="M12" i="4"/>
  <c r="M63" i="4"/>
  <c r="H62" i="4"/>
  <c r="M28" i="4"/>
  <c r="G47" i="4"/>
  <c r="H41" i="4"/>
  <c r="L25" i="4"/>
  <c r="F48" i="4"/>
  <c r="H34" i="4"/>
  <c r="H59" i="4"/>
  <c r="G59" i="4"/>
  <c r="L8" i="4"/>
  <c r="L61" i="4"/>
  <c r="M62" i="4"/>
  <c r="G63" i="4"/>
  <c r="M51" i="4"/>
  <c r="M19" i="4"/>
  <c r="M22" i="4"/>
  <c r="L56" i="4"/>
  <c r="H53" i="4"/>
  <c r="M8" i="4"/>
  <c r="H63" i="4"/>
  <c r="L12" i="4"/>
  <c r="M57" i="4"/>
  <c r="L60" i="4"/>
  <c r="F41" i="4"/>
  <c r="G56" i="4"/>
  <c r="G26" i="4"/>
  <c r="G58" i="4"/>
  <c r="M24" i="4"/>
  <c r="H40" i="4"/>
  <c r="L49" i="4"/>
  <c r="L47" i="4"/>
  <c r="M46" i="4"/>
  <c r="F58" i="4"/>
  <c r="F57" i="4"/>
  <c r="G22" i="4"/>
  <c r="G36" i="4"/>
  <c r="L30" i="4"/>
  <c r="M13" i="4"/>
  <c r="L51" i="4"/>
  <c r="L18" i="4"/>
  <c r="M23" i="4"/>
  <c r="F37" i="4"/>
  <c r="F35" i="4"/>
  <c r="F55" i="4"/>
  <c r="G3" i="4"/>
  <c r="G30" i="4"/>
  <c r="G31" i="4"/>
  <c r="M32" i="4"/>
  <c r="H42" i="4"/>
  <c r="L5" i="4"/>
  <c r="H45" i="4"/>
  <c r="M60" i="4"/>
  <c r="G17" i="4"/>
  <c r="L38" i="4"/>
  <c r="L36" i="4"/>
  <c r="H48" i="4"/>
  <c r="M5" i="4"/>
  <c r="L35" i="4"/>
  <c r="M40" i="4"/>
  <c r="G49" i="4"/>
  <c r="G21" i="4"/>
  <c r="F42" i="4"/>
  <c r="M9" i="4"/>
  <c r="H44" i="4"/>
  <c r="M6" i="4"/>
  <c r="M42" i="4"/>
  <c r="F52" i="4"/>
  <c r="M61" i="4"/>
  <c r="H61" i="4"/>
  <c r="F39" i="4"/>
  <c r="H38" i="4"/>
  <c r="G35" i="4"/>
  <c r="M34" i="4"/>
  <c r="L23" i="4"/>
  <c r="G45" i="4"/>
  <c r="G28" i="4"/>
  <c r="F51" i="4"/>
  <c r="L27" i="4"/>
  <c r="L54" i="4"/>
  <c r="G12" i="4"/>
  <c r="F60" i="4"/>
  <c r="L63" i="4"/>
  <c r="G14" i="4"/>
  <c r="F49" i="4"/>
  <c r="F36" i="4"/>
  <c r="G18" i="4"/>
  <c r="G27" i="4"/>
  <c r="F63" i="4"/>
  <c r="M58" i="4"/>
  <c r="L22" i="4"/>
  <c r="M35" i="4"/>
  <c r="L48" i="4"/>
  <c r="H52" i="4"/>
  <c r="M52" i="4"/>
  <c r="F46" i="4"/>
  <c r="F38" i="4"/>
  <c r="M43" i="4"/>
  <c r="G25" i="4"/>
  <c r="G54" i="4"/>
  <c r="M27" i="4"/>
  <c r="M45" i="4"/>
  <c r="F56" i="4"/>
  <c r="M39" i="4"/>
  <c r="G2" i="4"/>
  <c r="L46" i="4"/>
  <c r="G39" i="4"/>
  <c r="L17" i="4"/>
  <c r="F34" i="4"/>
  <c r="L53" i="4"/>
  <c r="F50" i="4"/>
  <c r="F47" i="4"/>
  <c r="M33" i="4"/>
  <c r="G40" i="4"/>
  <c r="M21" i="4"/>
  <c r="H36" i="4"/>
  <c r="H57" i="4"/>
  <c r="H56" i="4"/>
  <c r="G50" i="4"/>
  <c r="F59" i="4"/>
  <c r="L39" i="4"/>
  <c r="H60" i="4"/>
  <c r="H35" i="4"/>
  <c r="G24" i="4"/>
  <c r="L26" i="4"/>
  <c r="M55" i="4"/>
  <c r="F62" i="4"/>
  <c r="L9" i="4"/>
  <c r="L57" i="4"/>
  <c r="H43" i="4"/>
  <c r="M14" i="4"/>
  <c r="L59" i="4"/>
  <c r="F54" i="4"/>
  <c r="H50" i="4"/>
  <c r="F43" i="4"/>
  <c r="M56" i="4"/>
  <c r="H51" i="4"/>
  <c r="G19" i="4"/>
  <c r="L42" i="4"/>
  <c r="L45" i="4"/>
  <c r="G16" i="4"/>
  <c r="G5" i="4"/>
  <c r="M2" i="4"/>
  <c r="G33" i="4"/>
  <c r="F61" i="4"/>
  <c r="M49" i="4"/>
  <c r="M59" i="4"/>
  <c r="L4" i="4"/>
  <c r="G60" i="4"/>
  <c r="M18" i="4"/>
  <c r="F53" i="4"/>
  <c r="L7" i="4"/>
  <c r="M3" i="4"/>
  <c r="L58" i="4"/>
  <c r="M20" i="4"/>
  <c r="G52" i="4"/>
  <c r="L32" i="4"/>
  <c r="L14" i="4"/>
  <c r="H46" i="4"/>
  <c r="L52" i="4"/>
  <c r="G37" i="4"/>
  <c r="F45" i="4"/>
  <c r="L55" i="4"/>
  <c r="G29" i="4"/>
  <c r="L16" i="4"/>
  <c r="M11" i="4"/>
  <c r="L3" i="4"/>
  <c r="L10" i="4"/>
  <c r="L44" i="4"/>
  <c r="M26" i="4"/>
  <c r="M25" i="4"/>
  <c r="G46" i="4"/>
  <c r="G62" i="4"/>
  <c r="L28" i="4"/>
  <c r="F40" i="4"/>
  <c r="G8" i="4"/>
  <c r="E64" i="4" l="1"/>
  <c r="E65" i="4"/>
  <c r="C66" i="4"/>
  <c r="D66" i="4"/>
  <c r="C67" i="4"/>
  <c r="D67" i="4"/>
  <c r="F65" i="4"/>
  <c r="F64" i="4"/>
  <c r="M65" i="4"/>
  <c r="H64" i="4"/>
  <c r="M64" i="4"/>
  <c r="G64" i="4"/>
  <c r="G65" i="4"/>
  <c r="H65" i="4"/>
  <c r="L65" i="4"/>
  <c r="L64" i="4"/>
  <c r="E66" i="4" l="1"/>
  <c r="E67" i="4"/>
  <c r="C68" i="4"/>
  <c r="D68" i="4"/>
  <c r="C69" i="4"/>
  <c r="D69" i="4"/>
  <c r="F66" i="4"/>
  <c r="G66" i="4"/>
  <c r="L67" i="4"/>
  <c r="L66" i="4"/>
  <c r="M66" i="4"/>
  <c r="H67" i="4"/>
  <c r="M67" i="4"/>
  <c r="F67" i="4"/>
  <c r="G67" i="4"/>
  <c r="H66" i="4"/>
  <c r="E68" i="4" l="1"/>
  <c r="E69" i="4"/>
  <c r="C70" i="4"/>
  <c r="D70" i="4"/>
  <c r="C71" i="4"/>
  <c r="D71" i="4"/>
  <c r="M68" i="4"/>
  <c r="H69" i="4"/>
  <c r="L68" i="4"/>
  <c r="M69" i="4"/>
  <c r="H68" i="4"/>
  <c r="L69" i="4"/>
  <c r="G69" i="4"/>
  <c r="F69" i="4"/>
  <c r="F68" i="4"/>
  <c r="G68" i="4"/>
  <c r="E70" i="4" l="1"/>
  <c r="E71" i="4"/>
  <c r="C72" i="4"/>
  <c r="D72" i="4"/>
  <c r="C73" i="4"/>
  <c r="D73" i="4"/>
  <c r="C74" i="4"/>
  <c r="D74" i="4"/>
  <c r="F70" i="4"/>
  <c r="F71" i="4"/>
  <c r="H71" i="4"/>
  <c r="G70" i="4"/>
  <c r="H70" i="4"/>
  <c r="M70" i="4"/>
  <c r="G71" i="4"/>
  <c r="L70" i="4"/>
  <c r="M71" i="4"/>
  <c r="L71" i="4"/>
  <c r="E73" i="4" l="1"/>
  <c r="E72" i="4"/>
  <c r="E74" i="4"/>
  <c r="C75" i="4"/>
  <c r="D75" i="4"/>
  <c r="E87" i="4"/>
  <c r="E88" i="4"/>
  <c r="E89" i="4"/>
  <c r="E90" i="4"/>
  <c r="E91" i="4"/>
  <c r="E92" i="4"/>
  <c r="E93" i="4"/>
  <c r="B94" i="4"/>
  <c r="C94" i="4"/>
  <c r="H91" i="4"/>
  <c r="M77" i="4"/>
  <c r="G82" i="4"/>
  <c r="H78" i="4"/>
  <c r="L88" i="4"/>
  <c r="H89" i="4"/>
  <c r="L81" i="4"/>
  <c r="H76" i="4"/>
  <c r="M93" i="4"/>
  <c r="G78" i="4"/>
  <c r="M85" i="4"/>
  <c r="M88" i="4"/>
  <c r="G79" i="4"/>
  <c r="H80" i="4"/>
  <c r="G91" i="4"/>
  <c r="G89" i="4"/>
  <c r="L74" i="4"/>
  <c r="L89" i="4"/>
  <c r="L78" i="4"/>
  <c r="G88" i="4"/>
  <c r="L83" i="4"/>
  <c r="H84" i="4"/>
  <c r="M81" i="4"/>
  <c r="M84" i="4"/>
  <c r="H88" i="4"/>
  <c r="L85" i="4"/>
  <c r="L72" i="4"/>
  <c r="L76" i="4"/>
  <c r="G76" i="4"/>
  <c r="H77" i="4"/>
  <c r="H72" i="4"/>
  <c r="G85" i="4"/>
  <c r="M73" i="4"/>
  <c r="M78" i="4"/>
  <c r="M90" i="4"/>
  <c r="M92" i="4"/>
  <c r="L92" i="4"/>
  <c r="H93" i="4"/>
  <c r="M89" i="4"/>
  <c r="H90" i="4"/>
  <c r="G72" i="4"/>
  <c r="L90" i="4"/>
  <c r="M72" i="4"/>
  <c r="H81" i="4"/>
  <c r="L87" i="4"/>
  <c r="G92" i="4"/>
  <c r="M86" i="4"/>
  <c r="H83" i="4"/>
  <c r="G86" i="4"/>
  <c r="H86" i="4"/>
  <c r="H74" i="4"/>
  <c r="F74" i="4"/>
  <c r="M74" i="4"/>
  <c r="G90" i="4"/>
  <c r="G84" i="4"/>
  <c r="G83" i="4"/>
  <c r="L84" i="4"/>
  <c r="M80" i="4"/>
  <c r="M91" i="4"/>
  <c r="G93" i="4"/>
  <c r="H82" i="4"/>
  <c r="H73" i="4"/>
  <c r="L86" i="4"/>
  <c r="G81" i="4"/>
  <c r="G74" i="4"/>
  <c r="F73" i="4"/>
  <c r="L73" i="4"/>
  <c r="M82" i="4"/>
  <c r="H87" i="4"/>
  <c r="H85" i="4"/>
  <c r="M76" i="4"/>
  <c r="G77" i="4"/>
  <c r="M79" i="4"/>
  <c r="G80" i="4"/>
  <c r="G73" i="4"/>
  <c r="M87" i="4"/>
  <c r="L80" i="4"/>
  <c r="G87" i="4"/>
  <c r="L93" i="4"/>
  <c r="L82" i="4"/>
  <c r="H92" i="4"/>
  <c r="L91" i="4"/>
  <c r="M83" i="4"/>
  <c r="H79" i="4"/>
  <c r="L79" i="4"/>
  <c r="L77" i="4"/>
  <c r="F72" i="4"/>
  <c r="E75" i="4" l="1"/>
  <c r="E94" i="4"/>
  <c r="B95" i="4"/>
  <c r="C95" i="4"/>
  <c r="L75" i="4"/>
  <c r="L19" i="12" a="1"/>
  <c r="M75" i="4"/>
  <c r="G94" i="4"/>
  <c r="M94" i="4"/>
  <c r="L94" i="4"/>
  <c r="F75" i="4"/>
  <c r="H75" i="4"/>
  <c r="G75" i="4"/>
  <c r="P19" i="12" a="1"/>
  <c r="H94" i="4"/>
  <c r="E95" i="4" l="1"/>
  <c r="B96" i="4"/>
  <c r="C96" i="4"/>
  <c r="P20" i="12"/>
  <c r="P23" i="12"/>
  <c r="P29" i="12"/>
  <c r="L20" i="12"/>
  <c r="L25" i="12"/>
  <c r="L22" i="12"/>
  <c r="P21" i="12"/>
  <c r="L23" i="12"/>
  <c r="L29" i="12"/>
  <c r="P19" i="12"/>
  <c r="L19" i="12"/>
  <c r="P25" i="12"/>
  <c r="P28" i="12"/>
  <c r="P26" i="12"/>
  <c r="L26" i="12"/>
  <c r="L27" i="12"/>
  <c r="P24" i="12"/>
  <c r="P22" i="12"/>
  <c r="L24" i="12"/>
  <c r="L28" i="12"/>
  <c r="L21" i="12"/>
  <c r="P27" i="12"/>
  <c r="M25" i="12"/>
  <c r="M20" i="12"/>
  <c r="M27" i="12"/>
  <c r="H95" i="4"/>
  <c r="M24" i="12"/>
  <c r="M26" i="12"/>
  <c r="G95" i="4"/>
  <c r="M23" i="12"/>
  <c r="M29" i="12"/>
  <c r="M28" i="12"/>
  <c r="M21" i="12"/>
  <c r="M95" i="4"/>
  <c r="M22" i="12"/>
  <c r="L95" i="4"/>
  <c r="E96" i="4" l="1"/>
  <c r="B97" i="4"/>
  <c r="C97" i="4"/>
  <c r="B98" i="4"/>
  <c r="C98" i="4"/>
  <c r="G96" i="4"/>
  <c r="L96" i="4"/>
  <c r="M96" i="4"/>
  <c r="H96" i="4"/>
  <c r="E97" i="4" l="1"/>
  <c r="E98" i="4"/>
  <c r="B99" i="4"/>
  <c r="C99" i="4"/>
  <c r="M97" i="4"/>
  <c r="L98" i="4"/>
  <c r="G97" i="4"/>
  <c r="M98" i="4"/>
  <c r="H97" i="4"/>
  <c r="G98" i="4"/>
  <c r="L97" i="4"/>
  <c r="H98" i="4"/>
  <c r="E99" i="4" l="1"/>
  <c r="B100" i="4"/>
  <c r="C100" i="4"/>
  <c r="H99" i="4"/>
  <c r="L99" i="4"/>
  <c r="M99" i="4"/>
  <c r="G99" i="4"/>
  <c r="E100" i="4" l="1"/>
  <c r="B101" i="4"/>
  <c r="C101" i="4"/>
  <c r="M100" i="4"/>
  <c r="H100" i="4"/>
  <c r="G100" i="4"/>
  <c r="L100" i="4"/>
  <c r="E101" i="4" l="1"/>
  <c r="B102" i="4"/>
  <c r="C102" i="4"/>
  <c r="B103" i="4"/>
  <c r="C103" i="4"/>
  <c r="M101" i="4"/>
  <c r="H101" i="4"/>
  <c r="G101" i="4"/>
  <c r="L101" i="4"/>
  <c r="E102" i="4" l="1"/>
  <c r="E103" i="4"/>
  <c r="B104" i="4"/>
  <c r="C104" i="4"/>
  <c r="H103" i="4"/>
  <c r="L102" i="4"/>
  <c r="M102" i="4"/>
  <c r="L103" i="4"/>
  <c r="G103" i="4"/>
  <c r="G102" i="4"/>
  <c r="M103" i="4"/>
  <c r="H102" i="4"/>
  <c r="E104" i="4" l="1"/>
  <c r="B105" i="4"/>
  <c r="C105" i="4"/>
  <c r="H104" i="4"/>
  <c r="L104" i="4"/>
  <c r="G104" i="4"/>
  <c r="M104" i="4"/>
  <c r="E105" i="4" l="1"/>
  <c r="B106" i="4"/>
  <c r="C106" i="4"/>
  <c r="L105" i="4"/>
  <c r="M105" i="4"/>
  <c r="G105" i="4"/>
  <c r="H105" i="4"/>
  <c r="E106" i="4" l="1"/>
  <c r="B107" i="4"/>
  <c r="C107" i="4"/>
  <c r="M106" i="4"/>
  <c r="L106" i="4"/>
  <c r="G106" i="4"/>
  <c r="H106" i="4"/>
  <c r="E107" i="4" l="1"/>
  <c r="B108" i="4"/>
  <c r="C108" i="4"/>
  <c r="B109" i="4"/>
  <c r="C109" i="4"/>
  <c r="H107" i="4"/>
  <c r="G107" i="4"/>
  <c r="M107" i="4"/>
  <c r="L107" i="4"/>
  <c r="E108" i="4" l="1"/>
  <c r="E109" i="4"/>
  <c r="B110" i="4"/>
  <c r="C110" i="4"/>
  <c r="G108" i="4"/>
  <c r="L108" i="4"/>
  <c r="G109" i="4"/>
  <c r="L109" i="4"/>
  <c r="H109" i="4"/>
  <c r="M109" i="4"/>
  <c r="M108" i="4"/>
  <c r="H108" i="4"/>
  <c r="E110" i="4" l="1"/>
  <c r="B111" i="4"/>
  <c r="C111" i="4"/>
  <c r="G110" i="4"/>
  <c r="L110" i="4"/>
  <c r="M110" i="4"/>
  <c r="H110" i="4"/>
  <c r="E111" i="4" l="1"/>
  <c r="B112" i="4"/>
  <c r="C112" i="4"/>
  <c r="B113" i="4"/>
  <c r="C113" i="4"/>
  <c r="G111" i="4"/>
  <c r="L111" i="4"/>
  <c r="H111" i="4"/>
  <c r="M111" i="4"/>
  <c r="E112" i="4" l="1"/>
  <c r="E113" i="4"/>
  <c r="B114" i="4"/>
  <c r="C114" i="4"/>
  <c r="B115" i="4"/>
  <c r="C115" i="4"/>
  <c r="G113" i="4"/>
  <c r="H112" i="4"/>
  <c r="M113" i="4"/>
  <c r="L112" i="4"/>
  <c r="H113" i="4"/>
  <c r="M112" i="4"/>
  <c r="L113" i="4"/>
  <c r="G112" i="4"/>
  <c r="E114" i="4" l="1"/>
  <c r="E115" i="4"/>
  <c r="B116" i="4"/>
  <c r="C116" i="4"/>
  <c r="M115" i="4"/>
  <c r="H114" i="4"/>
  <c r="L114" i="4"/>
  <c r="M114" i="4"/>
  <c r="G115" i="4"/>
  <c r="H115" i="4"/>
  <c r="L115" i="4"/>
  <c r="G114" i="4"/>
  <c r="E116" i="4" l="1"/>
  <c r="B117" i="4"/>
  <c r="C117" i="4"/>
  <c r="M116" i="4"/>
  <c r="H116" i="4"/>
  <c r="L116" i="4"/>
  <c r="G116" i="4"/>
  <c r="E117" i="4" l="1"/>
  <c r="B118" i="4"/>
  <c r="C118" i="4"/>
  <c r="M117" i="4"/>
  <c r="L117" i="4"/>
  <c r="H117" i="4"/>
  <c r="G117" i="4"/>
  <c r="E118" i="4" l="1"/>
  <c r="B119" i="4"/>
  <c r="C119" i="4"/>
  <c r="G118" i="4"/>
  <c r="M118" i="4"/>
  <c r="L118" i="4"/>
  <c r="H118" i="4"/>
  <c r="E119" i="4" l="1"/>
  <c r="B120" i="4"/>
  <c r="C120" i="4"/>
  <c r="M119" i="4"/>
  <c r="L119" i="4"/>
  <c r="H119" i="4"/>
  <c r="G119" i="4"/>
  <c r="E120" i="4" l="1"/>
  <c r="B121" i="4"/>
  <c r="C121" i="4"/>
  <c r="H120" i="4"/>
  <c r="L120" i="4"/>
  <c r="M120" i="4"/>
  <c r="G120" i="4"/>
  <c r="E121" i="4" l="1"/>
  <c r="B122" i="4"/>
  <c r="C122" i="4"/>
  <c r="H121" i="4"/>
  <c r="M121" i="4"/>
  <c r="G121" i="4"/>
  <c r="L121" i="4"/>
  <c r="E122" i="4" l="1"/>
  <c r="B123" i="4"/>
  <c r="C123" i="4"/>
  <c r="L122" i="4"/>
  <c r="G122" i="4"/>
  <c r="H122" i="4"/>
  <c r="M122" i="4"/>
  <c r="E123" i="4" l="1"/>
  <c r="B124" i="4"/>
  <c r="C124" i="4"/>
  <c r="H123" i="4"/>
  <c r="L123" i="4"/>
  <c r="G123" i="4"/>
  <c r="M123" i="4"/>
  <c r="E124" i="4" l="1"/>
  <c r="B125" i="4"/>
  <c r="C125" i="4"/>
  <c r="M124" i="4"/>
  <c r="L124" i="4"/>
  <c r="G124" i="4"/>
  <c r="H124" i="4"/>
  <c r="E125" i="4" l="1"/>
  <c r="B126" i="4"/>
  <c r="C126" i="4"/>
  <c r="L125" i="4"/>
  <c r="M125" i="4"/>
  <c r="G125" i="4"/>
  <c r="H125" i="4"/>
  <c r="E126" i="4" l="1"/>
  <c r="B127" i="4"/>
  <c r="C127" i="4"/>
  <c r="B128" i="4"/>
  <c r="C128" i="4"/>
  <c r="L126" i="4"/>
  <c r="H126" i="4"/>
  <c r="M126" i="4"/>
  <c r="G126" i="4"/>
  <c r="E127" i="4" l="1"/>
  <c r="E128" i="4"/>
  <c r="B129" i="4"/>
  <c r="C129" i="4"/>
  <c r="G127" i="4"/>
  <c r="L127" i="4"/>
  <c r="M128" i="4"/>
  <c r="M127" i="4"/>
  <c r="H128" i="4"/>
  <c r="G128" i="4"/>
  <c r="L128" i="4"/>
  <c r="H127" i="4"/>
  <c r="E129" i="4" l="1"/>
  <c r="B130" i="4"/>
  <c r="C130" i="4"/>
  <c r="M129" i="4"/>
  <c r="L129" i="4"/>
  <c r="G129" i="4"/>
  <c r="H129" i="4"/>
  <c r="E130" i="4" l="1"/>
  <c r="B131" i="4"/>
  <c r="C131" i="4"/>
  <c r="G130" i="4"/>
  <c r="H130" i="4"/>
  <c r="M130" i="4"/>
  <c r="L130" i="4"/>
  <c r="B132" i="4" l="1"/>
  <c r="C132" i="4"/>
  <c r="H131" i="4"/>
  <c r="L131" i="4"/>
  <c r="M131" i="4"/>
  <c r="O94" i="4" l="1"/>
  <c r="B133" i="4"/>
  <c r="C133" i="4"/>
  <c r="G132" i="4"/>
  <c r="M132" i="4"/>
  <c r="H132" i="4"/>
  <c r="L132" i="4"/>
  <c r="O95" i="4" l="1"/>
  <c r="B134" i="4"/>
  <c r="C134" i="4"/>
  <c r="L133" i="4"/>
  <c r="G133" i="4"/>
  <c r="M133" i="4"/>
  <c r="H133" i="4"/>
  <c r="O96" i="4" l="1"/>
  <c r="B135" i="4"/>
  <c r="C135" i="4"/>
  <c r="M134" i="4"/>
  <c r="L134" i="4"/>
  <c r="H134" i="4"/>
  <c r="G134" i="4"/>
  <c r="O97" i="4" l="1"/>
  <c r="B136" i="4"/>
  <c r="C136" i="4"/>
  <c r="G135" i="4"/>
  <c r="H135" i="4"/>
  <c r="M135" i="4"/>
  <c r="L135" i="4"/>
  <c r="O98" i="4" l="1"/>
  <c r="B137" i="4"/>
  <c r="C137" i="4"/>
  <c r="H136" i="4"/>
  <c r="G136" i="4"/>
  <c r="M136" i="4"/>
  <c r="L136" i="4"/>
  <c r="O99" i="4" l="1"/>
  <c r="B138" i="4"/>
  <c r="C138" i="4"/>
  <c r="M137" i="4"/>
  <c r="L137" i="4"/>
  <c r="G137" i="4"/>
  <c r="H137" i="4"/>
  <c r="O100" i="4" l="1"/>
  <c r="B139" i="4"/>
  <c r="C139" i="4"/>
  <c r="H138" i="4"/>
  <c r="L138" i="4"/>
  <c r="G138" i="4"/>
  <c r="M138" i="4"/>
  <c r="O101" i="4" l="1"/>
  <c r="B140" i="4"/>
  <c r="C140" i="4"/>
  <c r="M139" i="4"/>
  <c r="L139" i="4"/>
  <c r="G139" i="4"/>
  <c r="H139" i="4"/>
  <c r="O102" i="4" l="1"/>
  <c r="B141" i="4"/>
  <c r="C141" i="4"/>
  <c r="L140" i="4"/>
  <c r="H140" i="4"/>
  <c r="M140" i="4"/>
  <c r="G140" i="4"/>
  <c r="O103" i="4" l="1"/>
  <c r="B142" i="4"/>
  <c r="C142" i="4"/>
  <c r="L141" i="4"/>
  <c r="H141" i="4"/>
  <c r="G141" i="4"/>
  <c r="M141" i="4"/>
  <c r="O104" i="4" l="1"/>
  <c r="B143" i="4"/>
  <c r="C143" i="4"/>
  <c r="G142" i="4"/>
  <c r="H142" i="4"/>
  <c r="M142" i="4"/>
  <c r="L142" i="4"/>
  <c r="O105" i="4" l="1"/>
  <c r="B144" i="4"/>
  <c r="C144" i="4"/>
  <c r="L143" i="4"/>
  <c r="G143" i="4"/>
  <c r="M143" i="4"/>
  <c r="H143" i="4"/>
  <c r="O106" i="4" l="1"/>
  <c r="B145" i="4"/>
  <c r="C145" i="4"/>
  <c r="G144" i="4"/>
  <c r="M144" i="4"/>
  <c r="L144" i="4"/>
  <c r="H144" i="4"/>
  <c r="O107" i="4" l="1"/>
  <c r="B146" i="4"/>
  <c r="C146" i="4"/>
  <c r="L145" i="4"/>
  <c r="G145" i="4"/>
  <c r="M145" i="4"/>
  <c r="H145" i="4"/>
  <c r="O108" i="4" l="1"/>
  <c r="B147" i="4"/>
  <c r="C147" i="4"/>
  <c r="M146" i="4"/>
  <c r="L146" i="4"/>
  <c r="G146" i="4"/>
  <c r="H146" i="4"/>
  <c r="O109" i="4" l="1"/>
  <c r="B148" i="4"/>
  <c r="C148" i="4"/>
  <c r="H147" i="4"/>
  <c r="M147" i="4"/>
  <c r="L147" i="4"/>
  <c r="G147" i="4"/>
  <c r="O110" i="4" l="1"/>
  <c r="B149" i="4"/>
  <c r="C149" i="4"/>
  <c r="M148" i="4"/>
  <c r="L148" i="4"/>
  <c r="H148" i="4"/>
  <c r="G148" i="4"/>
  <c r="O111" i="4" l="1"/>
  <c r="B150" i="4"/>
  <c r="C150" i="4"/>
  <c r="G149" i="4"/>
  <c r="H149" i="4"/>
  <c r="L149" i="4"/>
  <c r="M149" i="4"/>
  <c r="O112" i="4" l="1"/>
  <c r="B151" i="4"/>
  <c r="C151" i="4"/>
  <c r="G150" i="4"/>
  <c r="L150" i="4"/>
  <c r="H150" i="4"/>
  <c r="M150" i="4"/>
  <c r="O113" i="4" l="1"/>
  <c r="B152" i="4"/>
  <c r="C152" i="4"/>
  <c r="G151" i="4"/>
  <c r="H151" i="4"/>
  <c r="M151" i="4"/>
  <c r="L151" i="4"/>
  <c r="O114" i="4" l="1"/>
  <c r="B153" i="4"/>
  <c r="C153" i="4"/>
  <c r="M152" i="4"/>
  <c r="H152" i="4"/>
  <c r="L152" i="4"/>
  <c r="G152" i="4"/>
  <c r="O115" i="4" l="1"/>
  <c r="B154" i="4"/>
  <c r="C154" i="4"/>
  <c r="M153" i="4"/>
  <c r="G153" i="4"/>
  <c r="L153" i="4"/>
  <c r="H153" i="4"/>
  <c r="O116" i="4" l="1"/>
  <c r="B155" i="4"/>
  <c r="C155" i="4"/>
  <c r="L154" i="4"/>
  <c r="G154" i="4"/>
  <c r="M154" i="4"/>
  <c r="H154" i="4"/>
  <c r="O117" i="4" l="1"/>
  <c r="B156" i="4"/>
  <c r="C156" i="4"/>
  <c r="H155" i="4"/>
  <c r="M155" i="4"/>
  <c r="G155" i="4"/>
  <c r="L155" i="4"/>
  <c r="O118" i="4" l="1"/>
  <c r="B157" i="4"/>
  <c r="C157" i="4"/>
  <c r="H156" i="4"/>
  <c r="M156" i="4"/>
  <c r="L156" i="4"/>
  <c r="G156" i="4"/>
  <c r="O119" i="4" l="1"/>
  <c r="B158" i="4"/>
  <c r="C158" i="4"/>
  <c r="M157" i="4"/>
  <c r="H157" i="4"/>
  <c r="L157" i="4"/>
  <c r="G157" i="4"/>
  <c r="O120" i="4" l="1"/>
  <c r="B159" i="4"/>
  <c r="C159" i="4"/>
  <c r="H158" i="4"/>
  <c r="L158" i="4"/>
  <c r="G158" i="4"/>
  <c r="M158" i="4"/>
  <c r="O121" i="4" l="1"/>
  <c r="B160" i="4"/>
  <c r="C160" i="4"/>
  <c r="L159" i="4"/>
  <c r="M159" i="4"/>
  <c r="G159" i="4"/>
  <c r="H159" i="4"/>
  <c r="O122" i="4" l="1"/>
  <c r="B161" i="4"/>
  <c r="C161" i="4"/>
  <c r="L160" i="4"/>
  <c r="H160" i="4"/>
  <c r="G160" i="4"/>
  <c r="M160" i="4"/>
  <c r="O123" i="4" l="1"/>
  <c r="B162" i="4"/>
  <c r="C162" i="4"/>
  <c r="H161" i="4"/>
  <c r="G161" i="4"/>
  <c r="M161" i="4"/>
  <c r="L161" i="4"/>
  <c r="O124" i="4" l="1"/>
  <c r="B163" i="4"/>
  <c r="C163" i="4"/>
  <c r="L162" i="4"/>
  <c r="H162" i="4"/>
  <c r="M162" i="4"/>
  <c r="G162" i="4"/>
  <c r="O125" i="4" l="1"/>
  <c r="B164" i="4"/>
  <c r="C164" i="4"/>
  <c r="G163" i="4"/>
  <c r="M163" i="4"/>
  <c r="H163" i="4"/>
  <c r="L163" i="4"/>
  <c r="O126" i="4" l="1"/>
  <c r="B165" i="4"/>
  <c r="C165" i="4"/>
  <c r="L164" i="4"/>
  <c r="H164" i="4"/>
  <c r="M164" i="4"/>
  <c r="G164" i="4"/>
  <c r="O127" i="4" l="1"/>
  <c r="B166" i="4"/>
  <c r="C166" i="4"/>
  <c r="H165" i="4"/>
  <c r="L165" i="4"/>
  <c r="G165" i="4"/>
  <c r="M165" i="4"/>
  <c r="O128" i="4" l="1"/>
  <c r="B167" i="4"/>
  <c r="C167" i="4"/>
  <c r="G166" i="4"/>
  <c r="L166" i="4"/>
  <c r="H166" i="4"/>
  <c r="M166" i="4"/>
  <c r="O129" i="4" l="1"/>
  <c r="M167" i="4"/>
  <c r="L167" i="4"/>
  <c r="H167" i="4"/>
  <c r="G167" i="4"/>
  <c r="D2" i="5" a="1"/>
  <c r="L32" i="12" a="1"/>
  <c r="O130"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L66" i="12"/>
  <c r="L65" i="12"/>
  <c r="L35" i="12"/>
  <c r="L33" i="12"/>
  <c r="L46" i="12"/>
  <c r="L61" i="12"/>
  <c r="L34" i="12"/>
  <c r="L49" i="12"/>
  <c r="L42" i="12"/>
  <c r="L52" i="12"/>
  <c r="L60" i="12"/>
  <c r="L67" i="12"/>
  <c r="L68" i="12"/>
  <c r="L45" i="12"/>
  <c r="L48" i="12"/>
  <c r="L37" i="12"/>
  <c r="L58" i="12"/>
  <c r="L44" i="12"/>
  <c r="L43" i="12"/>
  <c r="L63" i="12"/>
  <c r="L57" i="12"/>
  <c r="L41" i="12"/>
  <c r="L64" i="12"/>
  <c r="L54" i="12"/>
  <c r="L36" i="12"/>
  <c r="L50" i="12"/>
  <c r="L53" i="12"/>
  <c r="L59" i="12"/>
  <c r="L39" i="12"/>
  <c r="L56" i="12"/>
  <c r="L51" i="12"/>
  <c r="L47" i="12"/>
  <c r="L55" i="12"/>
  <c r="L62" i="12"/>
  <c r="L40" i="12"/>
  <c r="L32" i="12"/>
  <c r="L38" i="12"/>
  <c r="P32" i="12" a="1"/>
  <c r="M63" i="12"/>
  <c r="E109" i="5"/>
  <c r="I70" i="5"/>
  <c r="F106" i="5"/>
  <c r="G122" i="5"/>
  <c r="G88" i="5"/>
  <c r="I102" i="5"/>
  <c r="G43" i="5"/>
  <c r="F101" i="5"/>
  <c r="I7" i="5"/>
  <c r="I81" i="5"/>
  <c r="E40" i="5"/>
  <c r="F15" i="5"/>
  <c r="I32" i="5"/>
  <c r="H76" i="5"/>
  <c r="F76" i="5"/>
  <c r="G3" i="5"/>
  <c r="E110" i="5"/>
  <c r="I77" i="5"/>
  <c r="H31" i="5"/>
  <c r="F120" i="5"/>
  <c r="I20" i="5"/>
  <c r="M53" i="12"/>
  <c r="H45" i="5"/>
  <c r="G15" i="5"/>
  <c r="E124" i="5"/>
  <c r="I5" i="5"/>
  <c r="F61" i="5"/>
  <c r="H94" i="5"/>
  <c r="E7" i="5"/>
  <c r="I39" i="5"/>
  <c r="F48" i="5"/>
  <c r="G123" i="5"/>
  <c r="F95" i="5"/>
  <c r="G11" i="5"/>
  <c r="F54" i="5"/>
  <c r="H39" i="5"/>
  <c r="E20" i="5"/>
  <c r="F56" i="5"/>
  <c r="E101" i="5"/>
  <c r="F75" i="5"/>
  <c r="E49" i="5"/>
  <c r="E73" i="5"/>
  <c r="I13" i="5"/>
  <c r="I120" i="5"/>
  <c r="F119" i="5"/>
  <c r="I114" i="5"/>
  <c r="F13" i="5"/>
  <c r="H52" i="5"/>
  <c r="F30" i="5"/>
  <c r="N49" i="12"/>
  <c r="I55" i="5"/>
  <c r="F126" i="5"/>
  <c r="E63" i="5"/>
  <c r="I54" i="5"/>
  <c r="F72" i="5"/>
  <c r="E61" i="5"/>
  <c r="F2" i="5"/>
  <c r="G97" i="5"/>
  <c r="E47" i="5"/>
  <c r="G65" i="5"/>
  <c r="I107" i="5"/>
  <c r="F3" i="5"/>
  <c r="E35" i="5"/>
  <c r="N23" i="12"/>
  <c r="H126" i="5"/>
  <c r="E87" i="5"/>
  <c r="E29" i="5"/>
  <c r="G78" i="5"/>
  <c r="I69" i="5"/>
  <c r="H73" i="5"/>
  <c r="E31" i="5"/>
  <c r="M48" i="12"/>
  <c r="F57" i="5"/>
  <c r="E79" i="5"/>
  <c r="H64" i="5"/>
  <c r="I43" i="5"/>
  <c r="N66" i="12"/>
  <c r="I56" i="5"/>
  <c r="G81" i="5"/>
  <c r="G6" i="5"/>
  <c r="E112" i="5"/>
  <c r="F91" i="5"/>
  <c r="H30" i="5"/>
  <c r="F122" i="5"/>
  <c r="E32" i="5"/>
  <c r="F114" i="5"/>
  <c r="H44" i="5"/>
  <c r="H112" i="5"/>
  <c r="E118" i="5"/>
  <c r="I89" i="5"/>
  <c r="G44" i="5"/>
  <c r="E123" i="5"/>
  <c r="F77" i="5"/>
  <c r="G111" i="5"/>
  <c r="E36" i="5"/>
  <c r="M54" i="12"/>
  <c r="I117" i="5"/>
  <c r="G103" i="5"/>
  <c r="H86" i="5"/>
  <c r="N28" i="12"/>
  <c r="N37" i="12"/>
  <c r="H75" i="5"/>
  <c r="G51" i="5"/>
  <c r="M49" i="12"/>
  <c r="F98" i="5"/>
  <c r="N48" i="12"/>
  <c r="G98" i="5"/>
  <c r="H77" i="5"/>
  <c r="G42" i="5"/>
  <c r="M57" i="12"/>
  <c r="E78" i="5"/>
  <c r="H80" i="5"/>
  <c r="M52" i="12"/>
  <c r="G102" i="5"/>
  <c r="I106" i="5"/>
  <c r="G54" i="5"/>
  <c r="F93" i="5"/>
  <c r="F27" i="5"/>
  <c r="G126" i="5"/>
  <c r="F25" i="5"/>
  <c r="I93" i="5"/>
  <c r="G125" i="5"/>
  <c r="G72" i="5"/>
  <c r="I123" i="5"/>
  <c r="I47" i="5"/>
  <c r="H11" i="5"/>
  <c r="H58" i="5"/>
  <c r="F37" i="5"/>
  <c r="E43" i="5"/>
  <c r="G109" i="5"/>
  <c r="F110" i="5"/>
  <c r="F26" i="5"/>
  <c r="E11" i="5"/>
  <c r="F92" i="5"/>
  <c r="M62" i="12"/>
  <c r="G55" i="5"/>
  <c r="H90" i="5"/>
  <c r="I53" i="5"/>
  <c r="F84" i="5"/>
  <c r="F42" i="5"/>
  <c r="E122" i="5"/>
  <c r="I40" i="5"/>
  <c r="E95" i="5"/>
  <c r="H104" i="5"/>
  <c r="H46" i="5"/>
  <c r="F64" i="5"/>
  <c r="F7" i="5"/>
  <c r="G12" i="5"/>
  <c r="E24" i="5"/>
  <c r="I14" i="5"/>
  <c r="G105" i="5"/>
  <c r="H25" i="5"/>
  <c r="F21" i="5"/>
  <c r="I84" i="5"/>
  <c r="M33" i="12"/>
  <c r="G5" i="5"/>
  <c r="M37" i="12"/>
  <c r="H20" i="5"/>
  <c r="E50" i="5"/>
  <c r="G66" i="5"/>
  <c r="I24" i="5"/>
  <c r="F60" i="5"/>
  <c r="I98" i="5"/>
  <c r="G27" i="5"/>
  <c r="G75" i="5"/>
  <c r="E60" i="5"/>
  <c r="F124" i="5"/>
  <c r="G106" i="5"/>
  <c r="E106" i="5"/>
  <c r="G93" i="5"/>
  <c r="H27" i="5"/>
  <c r="I124" i="5"/>
  <c r="N44" i="12"/>
  <c r="N20" i="12"/>
  <c r="I126" i="5"/>
  <c r="G68" i="5"/>
  <c r="E30" i="5"/>
  <c r="N35" i="12"/>
  <c r="H5" i="5"/>
  <c r="I88" i="5"/>
  <c r="F113" i="5"/>
  <c r="G100" i="5"/>
  <c r="H60" i="5"/>
  <c r="F125" i="5"/>
  <c r="E116" i="5"/>
  <c r="H92" i="5"/>
  <c r="F19" i="5"/>
  <c r="N45" i="12"/>
  <c r="F111" i="5"/>
  <c r="E88" i="5"/>
  <c r="H40" i="5"/>
  <c r="I99" i="5"/>
  <c r="G28" i="5"/>
  <c r="M45" i="12"/>
  <c r="F89" i="5"/>
  <c r="F73" i="5"/>
  <c r="H29" i="5"/>
  <c r="H37" i="5"/>
  <c r="G112" i="5"/>
  <c r="I75" i="5"/>
  <c r="G115" i="5"/>
  <c r="E6" i="5"/>
  <c r="F107" i="5"/>
  <c r="H120" i="5"/>
  <c r="H99" i="5"/>
  <c r="G85" i="5"/>
  <c r="N64" i="12"/>
  <c r="I74" i="5"/>
  <c r="G40" i="5"/>
  <c r="E57" i="5"/>
  <c r="E59" i="5"/>
  <c r="H38" i="5"/>
  <c r="F31" i="5"/>
  <c r="G24" i="5"/>
  <c r="F78" i="5"/>
  <c r="E13" i="5"/>
  <c r="N36" i="12"/>
  <c r="E103" i="5"/>
  <c r="M59" i="12"/>
  <c r="G76" i="5"/>
  <c r="M68" i="12"/>
  <c r="E12" i="5"/>
  <c r="G37" i="5"/>
  <c r="I11" i="5"/>
  <c r="E38" i="5"/>
  <c r="F53" i="5"/>
  <c r="H43" i="5"/>
  <c r="I79" i="5"/>
  <c r="I15" i="5"/>
  <c r="M47" i="12"/>
  <c r="N43" i="12"/>
  <c r="G89" i="5"/>
  <c r="E77" i="5"/>
  <c r="E46" i="5"/>
  <c r="G67" i="5"/>
  <c r="H82" i="5"/>
  <c r="N22" i="12"/>
  <c r="G16" i="5"/>
  <c r="F55" i="5"/>
  <c r="E71" i="5"/>
  <c r="M46" i="12"/>
  <c r="M42" i="12"/>
  <c r="G94" i="5"/>
  <c r="I61" i="5"/>
  <c r="H35" i="5"/>
  <c r="I80" i="5"/>
  <c r="H13" i="5"/>
  <c r="I82" i="5"/>
  <c r="F59" i="5"/>
  <c r="G56" i="5"/>
  <c r="F41" i="5"/>
  <c r="E9" i="5"/>
  <c r="H93" i="5"/>
  <c r="E41" i="5"/>
  <c r="N32" i="12"/>
  <c r="G80" i="5"/>
  <c r="F88" i="5"/>
  <c r="E85" i="5"/>
  <c r="H96" i="5"/>
  <c r="G92" i="5"/>
  <c r="N33" i="12"/>
  <c r="H114" i="5"/>
  <c r="F80" i="5"/>
  <c r="I105" i="5"/>
  <c r="I46" i="5"/>
  <c r="E51" i="5"/>
  <c r="H17" i="5"/>
  <c r="H63" i="5"/>
  <c r="H22" i="5"/>
  <c r="E104" i="5"/>
  <c r="E92" i="5"/>
  <c r="N56" i="12"/>
  <c r="H14" i="5"/>
  <c r="G9" i="5"/>
  <c r="H42" i="5"/>
  <c r="H8" i="5"/>
  <c r="N50" i="12"/>
  <c r="N62" i="12"/>
  <c r="F50" i="5"/>
  <c r="I121" i="5"/>
  <c r="N59" i="12"/>
  <c r="E64" i="5"/>
  <c r="G21" i="5"/>
  <c r="I91" i="5"/>
  <c r="G84" i="5"/>
  <c r="H19" i="5"/>
  <c r="H53" i="5"/>
  <c r="I115" i="5"/>
  <c r="F4" i="5"/>
  <c r="H117" i="5"/>
  <c r="G83" i="5"/>
  <c r="E80" i="5"/>
  <c r="E89" i="5"/>
  <c r="E113" i="5"/>
  <c r="E75" i="5"/>
  <c r="I85" i="5"/>
  <c r="I90" i="5"/>
  <c r="E84" i="5"/>
  <c r="I100" i="5"/>
  <c r="H115" i="5"/>
  <c r="G23" i="5"/>
  <c r="F104" i="5"/>
  <c r="G90" i="5"/>
  <c r="F24" i="5"/>
  <c r="F58" i="5"/>
  <c r="M61" i="12"/>
  <c r="E55" i="5"/>
  <c r="F6" i="5"/>
  <c r="F69" i="5"/>
  <c r="G38" i="5"/>
  <c r="H26" i="5"/>
  <c r="F10" i="5"/>
  <c r="G50" i="5"/>
  <c r="I3" i="5"/>
  <c r="F23" i="5"/>
  <c r="N52" i="12"/>
  <c r="I71" i="5"/>
  <c r="H87" i="5"/>
  <c r="H85" i="5"/>
  <c r="I27" i="5"/>
  <c r="E68" i="5"/>
  <c r="G87" i="5"/>
  <c r="F28" i="5"/>
  <c r="I104" i="5"/>
  <c r="G86" i="5"/>
  <c r="G19" i="5"/>
  <c r="H74" i="5"/>
  <c r="H24" i="5"/>
  <c r="H62" i="5"/>
  <c r="E53" i="5"/>
  <c r="F123" i="5"/>
  <c r="F17" i="5"/>
  <c r="M44" i="12"/>
  <c r="I25" i="5"/>
  <c r="E56" i="5"/>
  <c r="H10" i="5"/>
  <c r="G117" i="5"/>
  <c r="I112" i="5"/>
  <c r="G26" i="5"/>
  <c r="E100" i="5"/>
  <c r="I73" i="5"/>
  <c r="F63" i="5"/>
  <c r="H15" i="5"/>
  <c r="F115" i="5"/>
  <c r="F121" i="5"/>
  <c r="F29" i="5"/>
  <c r="F99" i="5"/>
  <c r="G33" i="5"/>
  <c r="E8" i="5"/>
  <c r="F45" i="5"/>
  <c r="I95" i="5"/>
  <c r="F32" i="5"/>
  <c r="F34" i="5"/>
  <c r="H32" i="5"/>
  <c r="I119" i="5"/>
  <c r="F47" i="5"/>
  <c r="G120" i="5"/>
  <c r="H122" i="5"/>
  <c r="F67" i="5"/>
  <c r="F12" i="5"/>
  <c r="F8" i="5"/>
  <c r="H116" i="5"/>
  <c r="H79" i="5"/>
  <c r="F112" i="5"/>
  <c r="N39" i="12"/>
  <c r="H118" i="5"/>
  <c r="G118" i="5"/>
  <c r="N38" i="12"/>
  <c r="H125" i="5"/>
  <c r="G48" i="5"/>
  <c r="N55" i="12"/>
  <c r="I21" i="5"/>
  <c r="E107" i="5"/>
  <c r="E44" i="5"/>
  <c r="H119" i="5"/>
  <c r="N40" i="12"/>
  <c r="G25" i="5"/>
  <c r="E120" i="5"/>
  <c r="M50" i="12"/>
  <c r="I83" i="5"/>
  <c r="I86" i="5"/>
  <c r="H84" i="5"/>
  <c r="I8" i="5"/>
  <c r="N46" i="12"/>
  <c r="H33" i="5"/>
  <c r="F108" i="5"/>
  <c r="M66" i="12"/>
  <c r="H49" i="5"/>
  <c r="M65" i="12"/>
  <c r="E22" i="5"/>
  <c r="F94" i="5"/>
  <c r="I116" i="5"/>
  <c r="N29" i="12"/>
  <c r="H124" i="5"/>
  <c r="E70" i="5"/>
  <c r="I64" i="5"/>
  <c r="I63" i="5"/>
  <c r="I4" i="5"/>
  <c r="H61" i="5"/>
  <c r="F70" i="5"/>
  <c r="F9" i="5"/>
  <c r="G62" i="5"/>
  <c r="H55" i="5"/>
  <c r="E34" i="5"/>
  <c r="G17" i="5"/>
  <c r="H123" i="5"/>
  <c r="G70" i="5"/>
  <c r="H72" i="5"/>
  <c r="N53" i="12"/>
  <c r="F83" i="5"/>
  <c r="E10" i="5"/>
  <c r="I17" i="5"/>
  <c r="G46" i="5"/>
  <c r="H16" i="5"/>
  <c r="G107" i="5"/>
  <c r="E115" i="5"/>
  <c r="I35" i="5"/>
  <c r="G73" i="5"/>
  <c r="H41" i="5"/>
  <c r="E14" i="5"/>
  <c r="H91" i="5"/>
  <c r="G47" i="5"/>
  <c r="M43" i="12"/>
  <c r="I76" i="5"/>
  <c r="I110" i="5"/>
  <c r="I103" i="5"/>
  <c r="I31" i="5"/>
  <c r="F39" i="5"/>
  <c r="E126" i="5"/>
  <c r="N61" i="12"/>
  <c r="G30" i="5"/>
  <c r="I94" i="5"/>
  <c r="E97" i="5"/>
  <c r="I57" i="5"/>
  <c r="G61" i="5"/>
  <c r="G29" i="5"/>
  <c r="E19" i="5"/>
  <c r="E82" i="5"/>
  <c r="E65" i="5"/>
  <c r="G41" i="5"/>
  <c r="N68" i="12"/>
  <c r="I125" i="5"/>
  <c r="E2" i="5"/>
  <c r="E27" i="5"/>
  <c r="H113" i="5"/>
  <c r="G113" i="5"/>
  <c r="I19" i="5"/>
  <c r="N27" i="12"/>
  <c r="G79" i="5"/>
  <c r="H51" i="5"/>
  <c r="G60" i="5"/>
  <c r="F22" i="5"/>
  <c r="N47" i="12"/>
  <c r="F66" i="5"/>
  <c r="G22" i="5"/>
  <c r="F52" i="5"/>
  <c r="F16" i="5"/>
  <c r="I65" i="5"/>
  <c r="F46" i="5"/>
  <c r="E15" i="5"/>
  <c r="I60" i="5"/>
  <c r="I92" i="5"/>
  <c r="H97" i="5"/>
  <c r="F102" i="5"/>
  <c r="I66" i="5"/>
  <c r="F5" i="5"/>
  <c r="F33" i="5"/>
  <c r="I16" i="5"/>
  <c r="E58" i="5"/>
  <c r="I48" i="5"/>
  <c r="F117" i="5"/>
  <c r="E99" i="5"/>
  <c r="I18" i="5"/>
  <c r="F11" i="5"/>
  <c r="E25" i="5"/>
  <c r="G104" i="5"/>
  <c r="I50" i="5"/>
  <c r="H66" i="5"/>
  <c r="F74" i="5"/>
  <c r="E23" i="5"/>
  <c r="F100" i="5"/>
  <c r="N19" i="12"/>
  <c r="E18" i="5"/>
  <c r="E119" i="5"/>
  <c r="H48" i="5"/>
  <c r="F49" i="5"/>
  <c r="I68" i="5"/>
  <c r="G58" i="5"/>
  <c r="F87" i="5"/>
  <c r="M19" i="12"/>
  <c r="I67" i="5"/>
  <c r="E17" i="5"/>
  <c r="F97" i="5"/>
  <c r="F82" i="5"/>
  <c r="M39" i="12"/>
  <c r="F118" i="5"/>
  <c r="F51" i="5"/>
  <c r="N21" i="12"/>
  <c r="M41" i="12"/>
  <c r="E86" i="5"/>
  <c r="E69" i="5"/>
  <c r="G63" i="5"/>
  <c r="E90" i="5"/>
  <c r="F35" i="5"/>
  <c r="M36" i="12"/>
  <c r="H98" i="5"/>
  <c r="H109" i="5"/>
  <c r="E117" i="5"/>
  <c r="H110" i="5"/>
  <c r="H70" i="5"/>
  <c r="E93" i="5"/>
  <c r="H28" i="5"/>
  <c r="H23" i="5"/>
  <c r="I97" i="5"/>
  <c r="G59" i="5"/>
  <c r="E94" i="5"/>
  <c r="E102" i="5"/>
  <c r="I30" i="5"/>
  <c r="I87" i="5"/>
  <c r="N26" i="12"/>
  <c r="G71" i="5"/>
  <c r="H7" i="5"/>
  <c r="F20" i="5"/>
  <c r="H100" i="5"/>
  <c r="E105" i="5"/>
  <c r="F62" i="5"/>
  <c r="M64" i="12"/>
  <c r="G101" i="5"/>
  <c r="G91" i="5"/>
  <c r="E83" i="5"/>
  <c r="G14" i="5"/>
  <c r="N25" i="12"/>
  <c r="G49" i="5"/>
  <c r="H89" i="5"/>
  <c r="H47" i="5"/>
  <c r="I26" i="5"/>
  <c r="H105" i="5"/>
  <c r="E54" i="5"/>
  <c r="M40" i="12"/>
  <c r="H54" i="5"/>
  <c r="E66" i="5"/>
  <c r="H88" i="5"/>
  <c r="I72" i="5"/>
  <c r="N34" i="12"/>
  <c r="E98" i="5"/>
  <c r="M38" i="12"/>
  <c r="M56" i="12"/>
  <c r="G10" i="5"/>
  <c r="G69" i="5"/>
  <c r="G7" i="5"/>
  <c r="N42" i="12"/>
  <c r="M67" i="12"/>
  <c r="E21" i="5"/>
  <c r="M60" i="12"/>
  <c r="I111" i="5"/>
  <c r="H81" i="5"/>
  <c r="F96" i="5"/>
  <c r="M51" i="12"/>
  <c r="E52" i="5"/>
  <c r="G39" i="5"/>
  <c r="H106" i="5"/>
  <c r="F18" i="5"/>
  <c r="I59" i="5"/>
  <c r="M32" i="12"/>
  <c r="H67" i="5"/>
  <c r="I101" i="5"/>
  <c r="I2" i="5"/>
  <c r="H4" i="5"/>
  <c r="I113" i="5"/>
  <c r="G13" i="5"/>
  <c r="I42" i="5"/>
  <c r="E16" i="5"/>
  <c r="I28" i="5"/>
  <c r="G18" i="5"/>
  <c r="F14" i="5"/>
  <c r="E4" i="5"/>
  <c r="I122" i="5"/>
  <c r="F40" i="5"/>
  <c r="E111" i="5"/>
  <c r="H18" i="5"/>
  <c r="F90" i="5"/>
  <c r="H6" i="5"/>
  <c r="H50" i="5"/>
  <c r="G32" i="5"/>
  <c r="G52" i="5"/>
  <c r="F44" i="5"/>
  <c r="M34" i="12"/>
  <c r="H36" i="5"/>
  <c r="H12" i="5"/>
  <c r="I6" i="5"/>
  <c r="F85" i="5"/>
  <c r="E26" i="5"/>
  <c r="G119" i="5"/>
  <c r="G34" i="5"/>
  <c r="I12" i="5"/>
  <c r="I9" i="5"/>
  <c r="M58" i="12"/>
  <c r="F79" i="5"/>
  <c r="H65" i="5"/>
  <c r="G74" i="5"/>
  <c r="E125" i="5"/>
  <c r="N54" i="12"/>
  <c r="E37" i="5"/>
  <c r="F71" i="5"/>
  <c r="H108" i="5"/>
  <c r="H95" i="5"/>
  <c r="F65" i="5"/>
  <c r="G4" i="5"/>
  <c r="G110" i="5"/>
  <c r="H111" i="5"/>
  <c r="H2" i="5"/>
  <c r="N57" i="12"/>
  <c r="I96" i="5"/>
  <c r="G64" i="5"/>
  <c r="F105" i="5"/>
  <c r="H102" i="5"/>
  <c r="H103" i="5"/>
  <c r="N65" i="12"/>
  <c r="G53" i="5"/>
  <c r="E45" i="5"/>
  <c r="G121" i="5"/>
  <c r="H21" i="5"/>
  <c r="I78" i="5"/>
  <c r="G82" i="5"/>
  <c r="N58" i="12"/>
  <c r="N60" i="12"/>
  <c r="M35" i="12"/>
  <c r="G96" i="5"/>
  <c r="F86" i="5"/>
  <c r="I23" i="5"/>
  <c r="I37" i="5"/>
  <c r="I34" i="5"/>
  <c r="E3" i="5"/>
  <c r="H59" i="5"/>
  <c r="G36" i="5"/>
  <c r="E91" i="5"/>
  <c r="G57" i="5"/>
  <c r="G116" i="5"/>
  <c r="G31" i="5"/>
  <c r="G77" i="5"/>
  <c r="G2" i="5"/>
  <c r="E114" i="5"/>
  <c r="E67" i="5"/>
  <c r="H34" i="5"/>
  <c r="H83" i="5"/>
  <c r="I118" i="5"/>
  <c r="I49" i="5"/>
  <c r="G99" i="5"/>
  <c r="G45" i="5"/>
  <c r="E108" i="5"/>
  <c r="I41" i="5"/>
  <c r="N41" i="12"/>
  <c r="F109" i="5"/>
  <c r="I62" i="5"/>
  <c r="I52" i="5"/>
  <c r="N24" i="12"/>
  <c r="F103" i="5"/>
  <c r="I10" i="5"/>
  <c r="F43" i="5"/>
  <c r="I58" i="5"/>
  <c r="N51" i="12"/>
  <c r="G108" i="5"/>
  <c r="F36" i="5"/>
  <c r="G35" i="5"/>
  <c r="G114" i="5"/>
  <c r="H56" i="5"/>
  <c r="I45" i="5"/>
  <c r="H9" i="5"/>
  <c r="E76" i="5"/>
  <c r="H121" i="5"/>
  <c r="E74" i="5"/>
  <c r="E33" i="5"/>
  <c r="E121" i="5"/>
  <c r="E62" i="5"/>
  <c r="G95" i="5"/>
  <c r="F68" i="5"/>
  <c r="H101" i="5"/>
  <c r="G20" i="5"/>
  <c r="F38" i="5"/>
  <c r="M55" i="12"/>
  <c r="I51" i="5"/>
  <c r="E39" i="5"/>
  <c r="N67" i="12"/>
  <c r="E81" i="5"/>
  <c r="E28" i="5"/>
  <c r="N63" i="12"/>
  <c r="E48" i="5"/>
  <c r="I38" i="5"/>
  <c r="H3" i="5"/>
  <c r="H69" i="5"/>
  <c r="I22" i="5"/>
  <c r="G8" i="5"/>
  <c r="E96" i="5"/>
  <c r="I44" i="5"/>
  <c r="I29" i="5"/>
  <c r="H78" i="5"/>
  <c r="H68" i="5"/>
  <c r="I109" i="5"/>
  <c r="E72" i="5"/>
  <c r="G124" i="5"/>
  <c r="I36" i="5"/>
  <c r="E42" i="5"/>
  <c r="H107" i="5"/>
  <c r="H71" i="5"/>
  <c r="F116" i="5"/>
  <c r="F81" i="5"/>
  <c r="H57" i="5"/>
  <c r="E5" i="5"/>
  <c r="I33" i="5"/>
  <c r="I108" i="5"/>
  <c r="C8" i="12" l="1"/>
  <c r="P66" i="12"/>
  <c r="P40" i="12"/>
  <c r="P45" i="12"/>
  <c r="P54" i="12"/>
  <c r="P39" i="12"/>
  <c r="P44" i="12"/>
  <c r="P47" i="12"/>
  <c r="P50" i="12"/>
  <c r="P58" i="12"/>
  <c r="P34" i="12"/>
  <c r="P62" i="12"/>
  <c r="P67" i="12"/>
  <c r="P55" i="12"/>
  <c r="P63" i="12"/>
  <c r="P57" i="12"/>
  <c r="P48" i="12"/>
  <c r="P61" i="12"/>
  <c r="P68" i="12"/>
  <c r="P60" i="12"/>
  <c r="P49" i="12"/>
  <c r="P64" i="12"/>
  <c r="P42" i="12"/>
  <c r="P35" i="12"/>
  <c r="P65" i="12"/>
  <c r="P53" i="12"/>
  <c r="P52" i="12"/>
  <c r="P43" i="12"/>
  <c r="P36" i="12"/>
  <c r="P41" i="12"/>
  <c r="P32" i="12"/>
  <c r="P37" i="12"/>
  <c r="P51" i="12"/>
  <c r="P33" i="12"/>
  <c r="P46" i="12"/>
  <c r="P56" i="12"/>
  <c r="P59" i="12"/>
  <c r="P38" i="12"/>
  <c r="Q66" i="12"/>
  <c r="R66" i="12" s="1"/>
  <c r="Q54" i="12"/>
  <c r="Q64" i="12"/>
  <c r="R64" i="12"/>
  <c r="Q58" i="12"/>
  <c r="Q65" i="12"/>
  <c r="Q53" i="12"/>
  <c r="Q62" i="12"/>
  <c r="R62" i="12" s="1"/>
  <c r="Q52" i="12"/>
  <c r="R52" i="12" s="1"/>
  <c r="Q67" i="12"/>
  <c r="R67" i="12" s="1"/>
  <c r="Q55" i="12"/>
  <c r="C28" i="6"/>
  <c r="R58" i="12"/>
  <c r="Q63" i="12"/>
  <c r="R63" i="12" s="1"/>
  <c r="Q57" i="12"/>
  <c r="R55" i="12"/>
  <c r="Q56" i="12"/>
  <c r="Q61" i="12"/>
  <c r="R61" i="12" s="1"/>
  <c r="R57" i="12"/>
  <c r="Q68" i="12"/>
  <c r="Q51" i="12"/>
  <c r="Q59" i="12"/>
  <c r="R59" i="12" s="1"/>
  <c r="Q60" i="12"/>
  <c r="R60" i="12" s="1"/>
  <c r="R65" i="12"/>
  <c r="R54" i="12"/>
  <c r="R51" i="12"/>
  <c r="R56" i="12"/>
  <c r="C9" i="12" l="1"/>
  <c r="C16" i="12" s="1"/>
  <c r="C15" i="12"/>
  <c r="R68" i="12"/>
  <c r="R53" i="12"/>
  <c r="D14" i="6"/>
  <c r="O43" i="12"/>
  <c r="D30" i="6"/>
  <c r="O61" i="12"/>
  <c r="O62" i="12"/>
  <c r="O57" i="12"/>
  <c r="O47" i="12"/>
  <c r="O52" i="12"/>
  <c r="O54" i="12"/>
  <c r="O35" i="12"/>
  <c r="O63" i="12"/>
  <c r="O19" i="12"/>
  <c r="O56" i="12"/>
  <c r="O32" i="12"/>
  <c r="Z16" i="12"/>
  <c r="O68" i="12"/>
  <c r="C27" i="6"/>
  <c r="O24" i="12"/>
  <c r="O33" i="12"/>
  <c r="D15" i="6"/>
  <c r="O64" i="12"/>
  <c r="O46" i="12"/>
  <c r="O29" i="12"/>
  <c r="O59" i="12"/>
  <c r="O21" i="12"/>
  <c r="O20" i="12"/>
  <c r="O28" i="12"/>
  <c r="O45" i="12"/>
  <c r="O38" i="12"/>
  <c r="O41" i="12"/>
  <c r="O42" i="12"/>
  <c r="O40" i="12"/>
  <c r="O48" i="12"/>
  <c r="O58" i="12"/>
  <c r="O27" i="12"/>
  <c r="O26" i="12"/>
  <c r="O60" i="12"/>
  <c r="O22" i="12"/>
  <c r="O53" i="12"/>
  <c r="O37" i="12"/>
  <c r="O49" i="12"/>
  <c r="O39" i="12"/>
  <c r="O66" i="12"/>
  <c r="O44" i="12"/>
  <c r="Y16" i="12"/>
  <c r="O23" i="12"/>
  <c r="O65" i="12"/>
  <c r="O34" i="12"/>
  <c r="O67" i="12"/>
  <c r="O36" i="12"/>
  <c r="J1" i="5" a="1"/>
  <c r="O50" i="12"/>
  <c r="O25" i="12"/>
  <c r="O51" i="12"/>
  <c r="O55" i="12"/>
  <c r="Q37" i="12"/>
  <c r="Q39" i="12"/>
  <c r="Q20" i="12"/>
  <c r="Q38" i="12"/>
  <c r="Q42" i="12"/>
  <c r="Q48" i="12"/>
  <c r="Q44" i="12"/>
  <c r="Q35" i="12"/>
  <c r="Q45" i="12"/>
  <c r="Q46" i="12"/>
  <c r="Q36" i="12"/>
  <c r="Q23" i="12"/>
  <c r="Q27" i="12"/>
  <c r="Q41" i="12"/>
  <c r="Q28" i="12"/>
  <c r="Q26" i="12"/>
  <c r="Q33" i="12"/>
  <c r="Q43" i="12"/>
  <c r="Q25" i="12"/>
  <c r="Q29" i="12"/>
  <c r="Q19" i="12"/>
  <c r="Q24" i="12"/>
  <c r="Q50" i="12"/>
  <c r="Q49" i="12"/>
  <c r="Q32" i="12"/>
  <c r="Q22" i="12"/>
  <c r="Q47" i="12"/>
  <c r="Q34" i="12"/>
  <c r="Q21" i="12"/>
  <c r="Q40" i="12"/>
  <c r="Y19" i="12" a="1"/>
  <c r="Y34" i="12" l="1"/>
  <c r="Y162" i="12"/>
  <c r="Y290" i="12"/>
  <c r="Y418" i="12"/>
  <c r="Y546" i="12"/>
  <c r="Y674" i="12"/>
  <c r="Y802" i="12"/>
  <c r="Y930" i="12"/>
  <c r="Y1058" i="12"/>
  <c r="Y1186" i="12"/>
  <c r="Y1314" i="12"/>
  <c r="Y88" i="12"/>
  <c r="Y216" i="12"/>
  <c r="Y344" i="12"/>
  <c r="Y472" i="12"/>
  <c r="Y600" i="12"/>
  <c r="Y728" i="12"/>
  <c r="Y856" i="12"/>
  <c r="Y41" i="12"/>
  <c r="Y169" i="12"/>
  <c r="Y297" i="12"/>
  <c r="Y425" i="12"/>
  <c r="Y553" i="12"/>
  <c r="Y681" i="12"/>
  <c r="Y809" i="12"/>
  <c r="Y937" i="12"/>
  <c r="Y117" i="12"/>
  <c r="Y275" i="12"/>
  <c r="Y432" i="12"/>
  <c r="Y590" i="12"/>
  <c r="Y748" i="12"/>
  <c r="Y906" i="12"/>
  <c r="Y1050" i="12"/>
  <c r="Y1187" i="12"/>
  <c r="Y1323" i="12"/>
  <c r="Y1454" i="12"/>
  <c r="Y1582" i="12"/>
  <c r="Y1710" i="12"/>
  <c r="Y1838" i="12"/>
  <c r="Y1966" i="12"/>
  <c r="Y2094" i="12"/>
  <c r="Y2222" i="12"/>
  <c r="Y28" i="12"/>
  <c r="Y186" i="12"/>
  <c r="Y342" i="12"/>
  <c r="Y500" i="12"/>
  <c r="Y657" i="12"/>
  <c r="Y815" i="12"/>
  <c r="Y972" i="12"/>
  <c r="Y1109" i="12"/>
  <c r="Y1245" i="12"/>
  <c r="Y1381" i="12"/>
  <c r="Y1509" i="12"/>
  <c r="Y93" i="12"/>
  <c r="Y272" i="12"/>
  <c r="Y453" i="12"/>
  <c r="Y634" i="12"/>
  <c r="Y813" i="12"/>
  <c r="Y990" i="12"/>
  <c r="Y1146" i="12"/>
  <c r="Y1302" i="12"/>
  <c r="Y1452" i="12"/>
  <c r="Y1597" i="12"/>
  <c r="Y1734" i="12"/>
  <c r="Y1871" i="12"/>
  <c r="Y2007" i="12"/>
  <c r="Y2144" i="12"/>
  <c r="Y2280" i="12"/>
  <c r="Y2408" i="12"/>
  <c r="Y2536" i="12"/>
  <c r="Y2664" i="12"/>
  <c r="Y2792" i="12"/>
  <c r="Y2920" i="12"/>
  <c r="Y3048" i="12"/>
  <c r="Y46" i="12"/>
  <c r="Y229" i="12"/>
  <c r="Y31" i="12"/>
  <c r="Y214" i="12"/>
  <c r="Y396" i="12"/>
  <c r="Y575" i="12"/>
  <c r="Y755" i="12"/>
  <c r="Y935" i="12"/>
  <c r="Y1096" i="12"/>
  <c r="Y1252" i="12"/>
  <c r="Y1405" i="12"/>
  <c r="Y50" i="12"/>
  <c r="Y194" i="12"/>
  <c r="Y338" i="12"/>
  <c r="Y482" i="12"/>
  <c r="Y626" i="12"/>
  <c r="Y770" i="12"/>
  <c r="Y914" i="12"/>
  <c r="Y1074" i="12"/>
  <c r="Y1218" i="12"/>
  <c r="Y1362" i="12"/>
  <c r="Y152" i="12"/>
  <c r="Y296" i="12"/>
  <c r="Y440" i="12"/>
  <c r="Y584" i="12"/>
  <c r="Y744" i="12"/>
  <c r="Y888" i="12"/>
  <c r="Y89" i="12"/>
  <c r="Y233" i="12"/>
  <c r="Y377" i="12"/>
  <c r="Y521" i="12"/>
  <c r="Y665" i="12"/>
  <c r="Y825" i="12"/>
  <c r="Y969" i="12"/>
  <c r="Y176" i="12"/>
  <c r="Y353" i="12"/>
  <c r="Y531" i="12"/>
  <c r="Y708" i="12"/>
  <c r="Y885" i="12"/>
  <c r="Y1067" i="12"/>
  <c r="Y1221" i="12"/>
  <c r="Y1374" i="12"/>
  <c r="Y1518" i="12"/>
  <c r="Y1662" i="12"/>
  <c r="Y1806" i="12"/>
  <c r="Y1950" i="12"/>
  <c r="Y2110" i="12"/>
  <c r="Y2254" i="12"/>
  <c r="Y86" i="12"/>
  <c r="Y263" i="12"/>
  <c r="Y442" i="12"/>
  <c r="Y619" i="12"/>
  <c r="Y796" i="12"/>
  <c r="Y989" i="12"/>
  <c r="Y1143" i="12"/>
  <c r="Y1296" i="12"/>
  <c r="Y1445" i="12"/>
  <c r="Y20" i="12"/>
  <c r="Y228" i="12"/>
  <c r="Y430" i="12"/>
  <c r="Y655" i="12"/>
  <c r="Y859" i="12"/>
  <c r="Y1048" i="12"/>
  <c r="Y1224" i="12"/>
  <c r="Y1398" i="12"/>
  <c r="Y1562" i="12"/>
  <c r="Y1717" i="12"/>
  <c r="Y1888" i="12"/>
  <c r="Y2041" i="12"/>
  <c r="Y2195" i="12"/>
  <c r="Y2344" i="12"/>
  <c r="Y2488" i="12"/>
  <c r="Y2632" i="12"/>
  <c r="Y2776" i="12"/>
  <c r="Y2936" i="12"/>
  <c r="Y3080" i="12"/>
  <c r="Y116" i="12"/>
  <c r="Y319" i="12"/>
  <c r="Y148" i="12"/>
  <c r="Y350" i="12"/>
  <c r="Y554" i="12"/>
  <c r="Y779" i="12"/>
  <c r="Y979" i="12"/>
  <c r="Y1155" i="12"/>
  <c r="Y1329" i="12"/>
  <c r="Y1497" i="12"/>
  <c r="Y1639" i="12"/>
  <c r="Y1776" i="12"/>
  <c r="Y1912" i="12"/>
  <c r="Y2049" i="12"/>
  <c r="Y2185" i="12"/>
  <c r="Y2319" i="12"/>
  <c r="Y204" i="12"/>
  <c r="Y426" i="12"/>
  <c r="Y630" i="12"/>
  <c r="Y837" i="12"/>
  <c r="Y1032" i="12"/>
  <c r="Y1210" i="12"/>
  <c r="Y1388" i="12"/>
  <c r="Y1555" i="12"/>
  <c r="Y1713" i="12"/>
  <c r="Y1868" i="12"/>
  <c r="Y2025" i="12"/>
  <c r="Y2181" i="12"/>
  <c r="Y2333" i="12"/>
  <c r="Y159" i="12"/>
  <c r="Y381" i="12"/>
  <c r="Y589" i="12"/>
  <c r="Y795" i="12"/>
  <c r="Y996" i="12"/>
  <c r="Y1175" i="12"/>
  <c r="Y1353" i="12"/>
  <c r="Y1521" i="12"/>
  <c r="Y1681" i="12"/>
  <c r="Y1837" i="12"/>
  <c r="Y1993" i="12"/>
  <c r="Y250" i="12"/>
  <c r="Y495" i="12"/>
  <c r="Y731" i="12"/>
  <c r="Y966" i="12"/>
  <c r="Y1171" i="12"/>
  <c r="Y1373" i="12"/>
  <c r="Y1565" i="12"/>
  <c r="Y1745" i="12"/>
  <c r="Y1923" i="12"/>
  <c r="Y2095" i="12"/>
  <c r="Y103" i="12"/>
  <c r="Y357" i="12"/>
  <c r="Y595" i="12"/>
  <c r="Y830" i="12"/>
  <c r="Y1052" i="12"/>
  <c r="Y1257" i="12"/>
  <c r="Y1455" i="12"/>
  <c r="Y1641" i="12"/>
  <c r="Y1820" i="12"/>
  <c r="Y1999" i="12"/>
  <c r="Y2165" i="12"/>
  <c r="Y179" i="12"/>
  <c r="Y429" i="12"/>
  <c r="Y143" i="12"/>
  <c r="Y451" i="12"/>
  <c r="Y726" i="12"/>
  <c r="Y993" i="12"/>
  <c r="Y1226" i="12"/>
  <c r="Y1453" i="12"/>
  <c r="Y1667" i="12"/>
  <c r="Y1869" i="12"/>
  <c r="Y2069" i="12"/>
  <c r="Y2255" i="12"/>
  <c r="Y2406" i="12"/>
  <c r="Y2543" i="12"/>
  <c r="Y2679" i="12"/>
  <c r="Y65" i="12"/>
  <c r="Y380" i="12"/>
  <c r="Y662" i="12"/>
  <c r="Y931" i="12"/>
  <c r="Y1168" i="12"/>
  <c r="Y1401" i="12"/>
  <c r="Y1617" i="12"/>
  <c r="Y1821" i="12"/>
  <c r="Y2022" i="12"/>
  <c r="Y2213" i="12"/>
  <c r="Y2372" i="12"/>
  <c r="Y75" i="12"/>
  <c r="Y317" i="12"/>
  <c r="Y607" i="12"/>
  <c r="Y877" i="12"/>
  <c r="Y1123" i="12"/>
  <c r="Y1355" i="12"/>
  <c r="Y1575" i="12"/>
  <c r="Y1780" i="12"/>
  <c r="Y1983" i="12"/>
  <c r="Y2173" i="12"/>
  <c r="Y2342" i="12"/>
  <c r="Y2482" i="12"/>
  <c r="Y2619" i="12"/>
  <c r="Y2755" i="12"/>
  <c r="Y2892" i="12"/>
  <c r="Y3028" i="12"/>
  <c r="Y3164" i="12"/>
  <c r="Y3292" i="12"/>
  <c r="Y66" i="12"/>
  <c r="Y226" i="12"/>
  <c r="Y386" i="12"/>
  <c r="Y562" i="12"/>
  <c r="Y722" i="12"/>
  <c r="Y882" i="12"/>
  <c r="Y1042" i="12"/>
  <c r="Y1234" i="12"/>
  <c r="Y40" i="12"/>
  <c r="Y200" i="12"/>
  <c r="Y376" i="12"/>
  <c r="Y536" i="12"/>
  <c r="Y696" i="12"/>
  <c r="Y872" i="12"/>
  <c r="Y105" i="12"/>
  <c r="Y265" i="12"/>
  <c r="Y441" i="12"/>
  <c r="Y601" i="12"/>
  <c r="Y761" i="12"/>
  <c r="Y921" i="12"/>
  <c r="Y157" i="12"/>
  <c r="Y373" i="12"/>
  <c r="Y571" i="12"/>
  <c r="Y787" i="12"/>
  <c r="Y982" i="12"/>
  <c r="Y1152" i="12"/>
  <c r="Y1340" i="12"/>
  <c r="Y1502" i="12"/>
  <c r="Y1678" i="12"/>
  <c r="Y1854" i="12"/>
  <c r="Y2014" i="12"/>
  <c r="Y2174" i="12"/>
  <c r="Y84" i="12"/>
  <c r="Y224" i="12"/>
  <c r="Y421" i="12"/>
  <c r="Y638" i="12"/>
  <c r="Y854" i="12"/>
  <c r="Y1040" i="12"/>
  <c r="Y1211" i="12"/>
  <c r="Y1397" i="12"/>
  <c r="Y1557" i="12"/>
  <c r="Y206" i="12"/>
  <c r="Y476" i="12"/>
  <c r="Y701" i="12"/>
  <c r="Y926" i="12"/>
  <c r="Y1127" i="12"/>
  <c r="Y1341" i="12"/>
  <c r="Y1526" i="12"/>
  <c r="Y1700" i="12"/>
  <c r="Y1905" i="12"/>
  <c r="Y2075" i="12"/>
  <c r="Y2246" i="12"/>
  <c r="Y2424" i="12"/>
  <c r="Y2584" i="12"/>
  <c r="Y2744" i="12"/>
  <c r="Y2904" i="12"/>
  <c r="Y3096" i="12"/>
  <c r="Y161" i="12"/>
  <c r="Y387" i="12"/>
  <c r="Y260" i="12"/>
  <c r="Y485" i="12"/>
  <c r="Y710" i="12"/>
  <c r="Y958" i="12"/>
  <c r="Y1174" i="12"/>
  <c r="Y1369" i="12"/>
  <c r="Y1552" i="12"/>
  <c r="Y1707" i="12"/>
  <c r="Y1861" i="12"/>
  <c r="Y2015" i="12"/>
  <c r="Y2168" i="12"/>
  <c r="Y2335" i="12"/>
  <c r="Y261" i="12"/>
  <c r="Y502" i="12"/>
  <c r="Y734" i="12"/>
  <c r="Y965" i="12"/>
  <c r="Y1166" i="12"/>
  <c r="Y1367" i="12"/>
  <c r="Y1576" i="12"/>
  <c r="Y1752" i="12"/>
  <c r="Y1927" i="12"/>
  <c r="Y2103" i="12"/>
  <c r="Y2278" i="12"/>
  <c r="Y106" i="12"/>
  <c r="Y355" i="12"/>
  <c r="Y614" i="12"/>
  <c r="Y847" i="12"/>
  <c r="Y1063" i="12"/>
  <c r="Y1264" i="12"/>
  <c r="Y1458" i="12"/>
  <c r="Y1642" i="12"/>
  <c r="Y1817" i="12"/>
  <c r="Y23" i="12"/>
  <c r="Y311" i="12"/>
  <c r="Y583" i="12"/>
  <c r="Y849" i="12"/>
  <c r="Y1094" i="12"/>
  <c r="Y1324" i="12"/>
  <c r="Y1540" i="12"/>
  <c r="Y1766" i="12"/>
  <c r="Y1968" i="12"/>
  <c r="Y2156" i="12"/>
  <c r="Y230" i="12"/>
  <c r="Y507" i="12"/>
  <c r="Y772" i="12"/>
  <c r="Y1027" i="12"/>
  <c r="Y1281" i="12"/>
  <c r="Y1503" i="12"/>
  <c r="Y1708" i="12"/>
  <c r="Y1909" i="12"/>
  <c r="Y2102" i="12"/>
  <c r="Y113" i="12"/>
  <c r="Y400" i="12"/>
  <c r="Y181" i="12"/>
  <c r="Y524" i="12"/>
  <c r="Y829" i="12"/>
  <c r="Y1111" i="12"/>
  <c r="Y1371" i="12"/>
  <c r="Y1613" i="12"/>
  <c r="Y1845" i="12"/>
  <c r="Y2091" i="12"/>
  <c r="Y2294" i="12"/>
  <c r="Y2458" i="12"/>
  <c r="Y2611" i="12"/>
  <c r="Y2765" i="12"/>
  <c r="Y302" i="12"/>
  <c r="Y628" i="12"/>
  <c r="Y963" i="12"/>
  <c r="Y1227" i="12"/>
  <c r="Y1483" i="12"/>
  <c r="Y1718" i="12"/>
  <c r="Y1948" i="12"/>
  <c r="Y2166" i="12"/>
  <c r="Y2354" i="12"/>
  <c r="Y39" i="12"/>
  <c r="Y395" i="12"/>
  <c r="Y709" i="12"/>
  <c r="Y1005" i="12"/>
  <c r="Y1268" i="12"/>
  <c r="Y1520" i="12"/>
  <c r="Y1754" i="12"/>
  <c r="Y2008" i="12"/>
  <c r="Y2221" i="12"/>
  <c r="Y2397" i="12"/>
  <c r="Y2550" i="12"/>
  <c r="Y2704" i="12"/>
  <c r="Y2858" i="12"/>
  <c r="Y3011" i="12"/>
  <c r="Y3180" i="12"/>
  <c r="Y3324" i="12"/>
  <c r="Y3452" i="12"/>
  <c r="Y99" i="12"/>
  <c r="Y411" i="12"/>
  <c r="Y689" i="12"/>
  <c r="Y957" i="12"/>
  <c r="Y1191" i="12"/>
  <c r="Y1420" i="12"/>
  <c r="Y1636" i="12"/>
  <c r="Y1840" i="12"/>
  <c r="Y2040" i="12"/>
  <c r="Y2230" i="12"/>
  <c r="Y2386" i="12"/>
  <c r="Y2523" i="12"/>
  <c r="Y2659" i="12"/>
  <c r="Y2796" i="12"/>
  <c r="Y2932" i="12"/>
  <c r="Y3069" i="12"/>
  <c r="Y3202" i="12"/>
  <c r="Y3330" i="12"/>
  <c r="Y3458" i="12"/>
  <c r="Y141" i="12"/>
  <c r="Y446" i="12"/>
  <c r="Y724" i="12"/>
  <c r="Y436" i="12"/>
  <c r="Y828" i="12"/>
  <c r="Y1158" i="12"/>
  <c r="Y1463" i="12"/>
  <c r="Y1740" i="12"/>
  <c r="Y2012" i="12"/>
  <c r="Y2261" i="12"/>
  <c r="Y2457" i="12"/>
  <c r="Y2624" i="12"/>
  <c r="Y2793" i="12"/>
  <c r="Y2948" i="12"/>
  <c r="Y438" i="12"/>
  <c r="Y832" i="12"/>
  <c r="Y1159" i="12"/>
  <c r="Y1464" i="12"/>
  <c r="Y1746" i="12"/>
  <c r="Y2013" i="12"/>
  <c r="Y2262" i="12"/>
  <c r="Y2459" i="12"/>
  <c r="Y2626" i="12"/>
  <c r="Y2794" i="12"/>
  <c r="Y2950" i="12"/>
  <c r="Y127" i="12"/>
  <c r="Y567" i="12"/>
  <c r="Y939" i="12"/>
  <c r="Y1251" i="12"/>
  <c r="Y1551" i="12"/>
  <c r="Y1825" i="12"/>
  <c r="Y2089" i="12"/>
  <c r="Y2325" i="12"/>
  <c r="Y2508" i="12"/>
  <c r="Y2675" i="12"/>
  <c r="Y2839" i="12"/>
  <c r="Y2996" i="12"/>
  <c r="Y3152" i="12"/>
  <c r="Y3299" i="12"/>
  <c r="Y3445" i="12"/>
  <c r="Y190" i="12"/>
  <c r="Y615" i="12"/>
  <c r="Y983" i="12"/>
  <c r="Y1293" i="12"/>
  <c r="Y1587" i="12"/>
  <c r="Y1860" i="12"/>
  <c r="Y2124" i="12"/>
  <c r="Y475" i="12"/>
  <c r="Y867" i="12"/>
  <c r="Y1188" i="12"/>
  <c r="Y1490" i="12"/>
  <c r="Y1770" i="12"/>
  <c r="Y2037" i="12"/>
  <c r="Y2283" i="12"/>
  <c r="Y2474" i="12"/>
  <c r="Y2641" i="12"/>
  <c r="Y2809" i="12"/>
  <c r="Y2964" i="12"/>
  <c r="Y3121" i="12"/>
  <c r="Y3269" i="12"/>
  <c r="Y3415" i="12"/>
  <c r="Y90" i="12"/>
  <c r="Y534" i="12"/>
  <c r="Y911" i="12"/>
  <c r="Y1231" i="12"/>
  <c r="Y1529" i="12"/>
  <c r="Y1805" i="12"/>
  <c r="Y2072" i="12"/>
  <c r="Y2309" i="12"/>
  <c r="Y2496" i="12"/>
  <c r="Y2665" i="12"/>
  <c r="Y2829" i="12"/>
  <c r="Y2986" i="12"/>
  <c r="Y3141" i="12"/>
  <c r="Y3288" i="12"/>
  <c r="Y3434" i="12"/>
  <c r="Y310" i="12"/>
  <c r="Y945" i="12"/>
  <c r="Y1440" i="12"/>
  <c r="Y1884" i="12"/>
  <c r="Y2277" i="12"/>
  <c r="Y2546" i="12"/>
  <c r="Y2787" i="12"/>
  <c r="Y3012" i="12"/>
  <c r="Y3205" i="12"/>
  <c r="Y3385" i="12"/>
  <c r="Y142" i="12"/>
  <c r="Y2356" i="12"/>
  <c r="Y2878" i="12"/>
  <c r="Y3275" i="12"/>
  <c r="Y3544" i="12"/>
  <c r="Y321" i="12"/>
  <c r="Y950" i="12"/>
  <c r="Y1444" i="12"/>
  <c r="Y1887" i="12"/>
  <c r="Y2279" i="12"/>
  <c r="Y2547" i="12"/>
  <c r="Y2791" i="12"/>
  <c r="Y3013" i="12"/>
  <c r="Y3206" i="12"/>
  <c r="Y3386" i="12"/>
  <c r="Y49" i="12"/>
  <c r="Y883" i="12"/>
  <c r="Y1447" i="12"/>
  <c r="Y2099" i="12"/>
  <c r="Y2701" i="12"/>
  <c r="Y3163" i="12"/>
  <c r="Y335" i="12"/>
  <c r="Y886" i="12"/>
  <c r="Y673" i="12"/>
  <c r="Y444" i="12"/>
  <c r="Y1038" i="12"/>
  <c r="Y1523" i="12"/>
  <c r="Y1962" i="12"/>
  <c r="Y2329" i="12"/>
  <c r="Y2589" i="12"/>
  <c r="Y2831" i="12"/>
  <c r="Y3050" i="12"/>
  <c r="Y3238" i="12"/>
  <c r="Y3418" i="12"/>
  <c r="Y173" i="12"/>
  <c r="Y839" i="12"/>
  <c r="Y1356" i="12"/>
  <c r="Y1801" i="12"/>
  <c r="Y2215" i="12"/>
  <c r="Y2501" i="12"/>
  <c r="Y2742" i="12"/>
  <c r="Y2973" i="12"/>
  <c r="Y3172" i="12"/>
  <c r="Y3351" i="12"/>
  <c r="Y3530" i="12"/>
  <c r="Y618" i="12"/>
  <c r="Y1172" i="12"/>
  <c r="Y1647" i="12"/>
  <c r="Y2074" i="12"/>
  <c r="Y2404" i="12"/>
  <c r="Y2654" i="12"/>
  <c r="Y2893" i="12"/>
  <c r="Y3104" i="12"/>
  <c r="Y3285" i="12"/>
  <c r="Y3465" i="12"/>
  <c r="Y366" i="12"/>
  <c r="Y985" i="12"/>
  <c r="Y1474" i="12"/>
  <c r="Y1919" i="12"/>
  <c r="Y2301" i="12"/>
  <c r="Y2565" i="12"/>
  <c r="Y2805" i="12"/>
  <c r="Y3029" i="12"/>
  <c r="Y3220" i="12"/>
  <c r="Y3400" i="12"/>
  <c r="Y195" i="12"/>
  <c r="Y82" i="12"/>
  <c r="Y242" i="12"/>
  <c r="Y402" i="12"/>
  <c r="Y578" i="12"/>
  <c r="Y738" i="12"/>
  <c r="Y898" i="12"/>
  <c r="Y1090" i="12"/>
  <c r="Y1250" i="12"/>
  <c r="Y56" i="12"/>
  <c r="Y232" i="12"/>
  <c r="Y392" i="12"/>
  <c r="Y552" i="12"/>
  <c r="Y712" i="12"/>
  <c r="Y904" i="12"/>
  <c r="Y121" i="12"/>
  <c r="Y281" i="12"/>
  <c r="Y457" i="12"/>
  <c r="Y617" i="12"/>
  <c r="Y777" i="12"/>
  <c r="Y953" i="12"/>
  <c r="Y196" i="12"/>
  <c r="Y394" i="12"/>
  <c r="Y609" i="12"/>
  <c r="Y806" i="12"/>
  <c r="Y999" i="12"/>
  <c r="Y1169" i="12"/>
  <c r="Y1357" i="12"/>
  <c r="Y1534" i="12"/>
  <c r="Y1694" i="12"/>
  <c r="Y1870" i="12"/>
  <c r="Y2030" i="12"/>
  <c r="Y2190" i="12"/>
  <c r="Y47" i="12"/>
  <c r="Y244" i="12"/>
  <c r="Y461" i="12"/>
  <c r="Y677" i="12"/>
  <c r="Y875" i="12"/>
  <c r="Y1057" i="12"/>
  <c r="Y1228" i="12"/>
  <c r="Y1413" i="12"/>
  <c r="Y1573" i="12"/>
  <c r="Y251" i="12"/>
  <c r="Y497" i="12"/>
  <c r="Y723" i="12"/>
  <c r="Y948" i="12"/>
  <c r="Y1165" i="12"/>
  <c r="Y1360" i="12"/>
  <c r="Y1544" i="12"/>
  <c r="Y1751" i="12"/>
  <c r="Y1922" i="12"/>
  <c r="Y2092" i="12"/>
  <c r="Y2263" i="12"/>
  <c r="Y2440" i="12"/>
  <c r="Y2600" i="12"/>
  <c r="Y2760" i="12"/>
  <c r="Y2952" i="12"/>
  <c r="Y3112" i="12"/>
  <c r="Y183" i="12"/>
  <c r="Y54" i="12"/>
  <c r="Y283" i="12"/>
  <c r="Y508" i="12"/>
  <c r="Y733" i="12"/>
  <c r="Y998" i="12"/>
  <c r="Y1193" i="12"/>
  <c r="Y1387" i="12"/>
  <c r="Y1570" i="12"/>
  <c r="Y1724" i="12"/>
  <c r="Y1878" i="12"/>
  <c r="Y2032" i="12"/>
  <c r="Y2202" i="12"/>
  <c r="Y35" i="12"/>
  <c r="Y288" i="12"/>
  <c r="Y527" i="12"/>
  <c r="Y759" i="12"/>
  <c r="Y987" i="12"/>
  <c r="Y1189" i="12"/>
  <c r="Y1409" i="12"/>
  <c r="Y1595" i="12"/>
  <c r="Y1771" i="12"/>
  <c r="Y1947" i="12"/>
  <c r="Y2122" i="12"/>
  <c r="Y2297" i="12"/>
  <c r="Y132" i="12"/>
  <c r="Y410" i="12"/>
  <c r="Y640" i="12"/>
  <c r="Y98" i="12"/>
  <c r="Y306" i="12"/>
  <c r="Y514" i="12"/>
  <c r="Y754" i="12"/>
  <c r="Y978" i="12"/>
  <c r="Y1170" i="12"/>
  <c r="Y72" i="12"/>
  <c r="Y280" i="12"/>
  <c r="Y504" i="12"/>
  <c r="Y760" i="12"/>
  <c r="Y952" i="12"/>
  <c r="Y217" i="12"/>
  <c r="Y473" i="12"/>
  <c r="Y697" i="12"/>
  <c r="Y889" i="12"/>
  <c r="Y215" i="12"/>
  <c r="Y471" i="12"/>
  <c r="Y727" i="12"/>
  <c r="Y1016" i="12"/>
  <c r="Y1255" i="12"/>
  <c r="Y1470" i="12"/>
  <c r="Y1726" i="12"/>
  <c r="Y1918" i="12"/>
  <c r="Y2142" i="12"/>
  <c r="Y67" i="12"/>
  <c r="Y323" i="12"/>
  <c r="Y579" i="12"/>
  <c r="Y894" i="12"/>
  <c r="Y1126" i="12"/>
  <c r="Y1348" i="12"/>
  <c r="Y44" i="12"/>
  <c r="Y340" i="12"/>
  <c r="Y611" i="12"/>
  <c r="Y970" i="12"/>
  <c r="Y1243" i="12"/>
  <c r="Y1489" i="12"/>
  <c r="Y1768" i="12"/>
  <c r="Y1973" i="12"/>
  <c r="Y2212" i="12"/>
  <c r="Y2456" i="12"/>
  <c r="Y2680" i="12"/>
  <c r="Y2872" i="12"/>
  <c r="Y3128" i="12"/>
  <c r="Y273" i="12"/>
  <c r="Y192" i="12"/>
  <c r="Y529" i="12"/>
  <c r="Y845" i="12"/>
  <c r="Y1115" i="12"/>
  <c r="Y1424" i="12"/>
  <c r="Y1622" i="12"/>
  <c r="Y1827" i="12"/>
  <c r="Y2066" i="12"/>
  <c r="Y2253" i="12"/>
  <c r="Y177" i="12"/>
  <c r="Y555" i="12"/>
  <c r="Y862" i="12"/>
  <c r="Y1121" i="12"/>
  <c r="Y1430" i="12"/>
  <c r="Y1654" i="12"/>
  <c r="Y1889" i="12"/>
  <c r="Y2141" i="12"/>
  <c r="Y2368" i="12"/>
  <c r="Y300" i="12"/>
  <c r="Y667" i="12"/>
  <c r="Y923" i="12"/>
  <c r="Y1151" i="12"/>
  <c r="Y1395" i="12"/>
  <c r="Y1603" i="12"/>
  <c r="Y1798" i="12"/>
  <c r="Y58" i="12"/>
  <c r="Y378" i="12"/>
  <c r="Y672" i="12"/>
  <c r="Y992" i="12"/>
  <c r="Y1247" i="12"/>
  <c r="Y1494" i="12"/>
  <c r="Y1722" i="12"/>
  <c r="Y1989" i="12"/>
  <c r="Y2198" i="12"/>
  <c r="Y325" i="12"/>
  <c r="Y653" i="12"/>
  <c r="Y947" i="12"/>
  <c r="Y1206" i="12"/>
  <c r="Y1478" i="12"/>
  <c r="Y1730" i="12"/>
  <c r="Y1953" i="12"/>
  <c r="Y2186" i="12"/>
  <c r="Y276" i="12"/>
  <c r="Y22" i="12"/>
  <c r="Y415" i="12"/>
  <c r="Y797" i="12"/>
  <c r="Y1139" i="12"/>
  <c r="Y1426" i="12"/>
  <c r="Y1716" i="12"/>
  <c r="Y1971" i="12"/>
  <c r="Y2211" i="12"/>
  <c r="Y2423" i="12"/>
  <c r="Y2594" i="12"/>
  <c r="Y2782" i="12"/>
  <c r="Y416" i="12"/>
  <c r="Y764" i="12"/>
  <c r="Y1082" i="12"/>
  <c r="Y1372" i="12"/>
  <c r="Y1668" i="12"/>
  <c r="Y1921" i="12"/>
  <c r="Y2189" i="12"/>
  <c r="Y2407" i="12"/>
  <c r="Y163" i="12"/>
  <c r="Y541" i="12"/>
  <c r="Y910" i="12"/>
  <c r="Y1209" i="12"/>
  <c r="Y1491" i="12"/>
  <c r="Y1804" i="12"/>
  <c r="Y2055" i="12"/>
  <c r="Y2284" i="12"/>
  <c r="Y2465" i="12"/>
  <c r="Y2653" i="12"/>
  <c r="Y2823" i="12"/>
  <c r="Y2994" i="12"/>
  <c r="Y3196" i="12"/>
  <c r="Y3356" i="12"/>
  <c r="Y3500" i="12"/>
  <c r="Y254" i="12"/>
  <c r="Y587" i="12"/>
  <c r="Y892" i="12"/>
  <c r="Y1162" i="12"/>
  <c r="Y1448" i="12"/>
  <c r="Y1687" i="12"/>
  <c r="Y1916" i="12"/>
  <c r="Y2135" i="12"/>
  <c r="Y2330" i="12"/>
  <c r="Y2489" i="12"/>
  <c r="Y2642" i="12"/>
  <c r="Y2813" i="12"/>
  <c r="Y2966" i="12"/>
  <c r="Y3120" i="12"/>
  <c r="Y3266" i="12"/>
  <c r="Y3410" i="12"/>
  <c r="Y60" i="12"/>
  <c r="Y412" i="12"/>
  <c r="Y33" i="12"/>
  <c r="Y542" i="12"/>
  <c r="Y960" i="12"/>
  <c r="Y1312" i="12"/>
  <c r="Y1638" i="12"/>
  <c r="Y1943" i="12"/>
  <c r="Y2232" i="12"/>
  <c r="Y2478" i="12"/>
  <c r="Y2667" i="12"/>
  <c r="Y2851" i="12"/>
  <c r="Y212" i="12"/>
  <c r="Y693" i="12"/>
  <c r="Y1083" i="12"/>
  <c r="Y1428" i="12"/>
  <c r="Y1778" i="12"/>
  <c r="Y2077" i="12"/>
  <c r="Y2341" i="12"/>
  <c r="Y2542" i="12"/>
  <c r="Y2732" i="12"/>
  <c r="Y2911" i="12"/>
  <c r="Y61" i="12"/>
  <c r="Y612" i="12"/>
  <c r="Y1020" i="12"/>
  <c r="Y1368" i="12"/>
  <c r="Y1688" i="12"/>
  <c r="Y1994" i="12"/>
  <c r="Y2273" i="12"/>
  <c r="Y2486" i="12"/>
  <c r="Y2698" i="12"/>
  <c r="Y2879" i="12"/>
  <c r="Y3055" i="12"/>
  <c r="Y3225" i="12"/>
  <c r="Y3390" i="12"/>
  <c r="Y68" i="12"/>
  <c r="Y570" i="12"/>
  <c r="Y1021" i="12"/>
  <c r="Y1370" i="12"/>
  <c r="Y1689" i="12"/>
  <c r="Y1995" i="12"/>
  <c r="Y314" i="12"/>
  <c r="Y774" i="12"/>
  <c r="Y1149" i="12"/>
  <c r="Y1528" i="12"/>
  <c r="Y1835" i="12"/>
  <c r="Y2132" i="12"/>
  <c r="Y2383" i="12"/>
  <c r="Y2579" i="12"/>
  <c r="Y2768" i="12"/>
  <c r="Y2945" i="12"/>
  <c r="Y3140" i="12"/>
  <c r="Y3305" i="12"/>
  <c r="Y3470" i="12"/>
  <c r="Y320" i="12"/>
  <c r="Y780" i="12"/>
  <c r="Y1153" i="12"/>
  <c r="Y1495" i="12"/>
  <c r="Y1839" i="12"/>
  <c r="Y2133" i="12"/>
  <c r="Y2384" i="12"/>
  <c r="Y2580" i="12"/>
  <c r="Y2769" i="12"/>
  <c r="Y2946" i="12"/>
  <c r="Y3122" i="12"/>
  <c r="Y3306" i="12"/>
  <c r="Y3471" i="12"/>
  <c r="Y573" i="12"/>
  <c r="Y1201" i="12"/>
  <c r="Y1721" i="12"/>
  <c r="Y2192" i="12"/>
  <c r="Y2513" i="12"/>
  <c r="Y2818" i="12"/>
  <c r="Y3065" i="12"/>
  <c r="Y3273" i="12"/>
  <c r="Y3476" i="12"/>
  <c r="Y2052" i="12"/>
  <c r="Y2734" i="12"/>
  <c r="Y3230" i="12"/>
  <c r="Y52" i="12"/>
  <c r="Y499" i="12"/>
  <c r="Y1141" i="12"/>
  <c r="Y1671" i="12"/>
  <c r="Y2149" i="12"/>
  <c r="Y2485" i="12"/>
  <c r="Y2761" i="12"/>
  <c r="Y3039" i="12"/>
  <c r="Y3253" i="12"/>
  <c r="Y3455" i="12"/>
  <c r="Y577" i="12"/>
  <c r="Y1265" i="12"/>
  <c r="Y1890" i="12"/>
  <c r="Y2639" i="12"/>
  <c r="Y3208" i="12"/>
  <c r="Y164" i="12"/>
  <c r="Y247" i="12"/>
  <c r="Y80" i="12"/>
  <c r="Y838" i="12"/>
  <c r="Y1410" i="12"/>
  <c r="Y1910" i="12"/>
  <c r="Y2369" i="12"/>
  <c r="Y2651" i="12"/>
  <c r="Y2916" i="12"/>
  <c r="Y3147" i="12"/>
  <c r="Y3350" i="12"/>
  <c r="Y3550" i="12"/>
  <c r="Y766" i="12"/>
  <c r="Y1412" i="12"/>
  <c r="Y1914" i="12"/>
  <c r="Y2331" i="12"/>
  <c r="Y2620" i="12"/>
  <c r="Y2889" i="12"/>
  <c r="Y3125" i="12"/>
  <c r="Y3329" i="12"/>
  <c r="Y3551" i="12"/>
  <c r="Y771" i="12"/>
  <c r="Y1359" i="12"/>
  <c r="Y1862" i="12"/>
  <c r="Y2299" i="12"/>
  <c r="Y2593" i="12"/>
  <c r="Y2862" i="12"/>
  <c r="Y3126" i="12"/>
  <c r="Y3331" i="12"/>
  <c r="Y3531" i="12"/>
  <c r="Y703" i="12"/>
  <c r="Y1299" i="12"/>
  <c r="Y1813" i="12"/>
  <c r="Y2265" i="12"/>
  <c r="Y2595" i="12"/>
  <c r="Y2863" i="12"/>
  <c r="Y3105" i="12"/>
  <c r="Y3310" i="12"/>
  <c r="Y3512" i="12"/>
  <c r="Y704" i="12"/>
  <c r="Y558" i="12"/>
  <c r="Y1125" i="12"/>
  <c r="Y1604" i="12"/>
  <c r="Y2035" i="12"/>
  <c r="Y2380" i="12"/>
  <c r="Y2631" i="12"/>
  <c r="Y2869" i="12"/>
  <c r="Y3085" i="12"/>
  <c r="Y3268" i="12"/>
  <c r="Y3448" i="12"/>
  <c r="Y397" i="12"/>
  <c r="Y1007" i="12"/>
  <c r="Y1488" i="12"/>
  <c r="Y1933" i="12"/>
  <c r="Y2307" i="12"/>
  <c r="Y2572" i="12"/>
  <c r="Y2816" i="12"/>
  <c r="Y3034" i="12"/>
  <c r="Y3224" i="12"/>
  <c r="Y3405" i="12"/>
  <c r="Y225" i="12"/>
  <c r="Y870" i="12"/>
  <c r="Y1378" i="12"/>
  <c r="Y1828" i="12"/>
  <c r="Y2237" i="12"/>
  <c r="Y2512" i="12"/>
  <c r="Y2757" i="12"/>
  <c r="Y2982" i="12"/>
  <c r="Y3182" i="12"/>
  <c r="Y3363" i="12"/>
  <c r="Y3540" i="12"/>
  <c r="Y670" i="12"/>
  <c r="Y1208" i="12"/>
  <c r="Y1731" i="12"/>
  <c r="Y2154" i="12"/>
  <c r="Y2461" i="12"/>
  <c r="Y2702" i="12"/>
  <c r="Y2937" i="12"/>
  <c r="Y3187" i="12"/>
  <c r="Y3389" i="12"/>
  <c r="Y602" i="12"/>
  <c r="Y1815" i="12"/>
  <c r="Y2799" i="12"/>
  <c r="Y3417" i="12"/>
  <c r="Y2004" i="12"/>
  <c r="Y2895" i="12"/>
  <c r="Y3493" i="12"/>
  <c r="Y3301" i="12"/>
  <c r="Y1284" i="12"/>
  <c r="Y2524" i="12"/>
  <c r="Y3211" i="12"/>
  <c r="Y1301" i="12"/>
  <c r="Y2525" i="12"/>
  <c r="Y3213" i="12"/>
  <c r="Y114" i="12"/>
  <c r="Y322" i="12"/>
  <c r="Y530" i="12"/>
  <c r="Y786" i="12"/>
  <c r="Y994" i="12"/>
  <c r="Y1202" i="12"/>
  <c r="Y104" i="12"/>
  <c r="Y312" i="12"/>
  <c r="Y520" i="12"/>
  <c r="Y776" i="12"/>
  <c r="Y25" i="12"/>
  <c r="Y249" i="12"/>
  <c r="Y489" i="12"/>
  <c r="Y713" i="12"/>
  <c r="Y905" i="12"/>
  <c r="Y236" i="12"/>
  <c r="Y492" i="12"/>
  <c r="Y767" i="12"/>
  <c r="Y1033" i="12"/>
  <c r="Y1272" i="12"/>
  <c r="Y1486" i="12"/>
  <c r="Y1742" i="12"/>
  <c r="Y1934" i="12"/>
  <c r="Y2158" i="12"/>
  <c r="Y107" i="12"/>
  <c r="Y363" i="12"/>
  <c r="Y598" i="12"/>
  <c r="Y913" i="12"/>
  <c r="Y1160" i="12"/>
  <c r="Y1365" i="12"/>
  <c r="Y69" i="12"/>
  <c r="Y364" i="12"/>
  <c r="Y678" i="12"/>
  <c r="Y1009" i="12"/>
  <c r="Y1263" i="12"/>
  <c r="Y1507" i="12"/>
  <c r="Y1785" i="12"/>
  <c r="Y1990" i="12"/>
  <c r="Y2229" i="12"/>
  <c r="Y2472" i="12"/>
  <c r="Y2696" i="12"/>
  <c r="Y2888" i="12"/>
  <c r="Y3144" i="12"/>
  <c r="Y298" i="12"/>
  <c r="Y238" i="12"/>
  <c r="Y597" i="12"/>
  <c r="Y868" i="12"/>
  <c r="Y1134" i="12"/>
  <c r="Y1442" i="12"/>
  <c r="Y1656" i="12"/>
  <c r="Y1844" i="12"/>
  <c r="Y2083" i="12"/>
  <c r="Y2271" i="12"/>
  <c r="Y234" i="12"/>
  <c r="Y580" i="12"/>
  <c r="Y887" i="12"/>
  <c r="Y1144" i="12"/>
  <c r="Y1450" i="12"/>
  <c r="Y1674" i="12"/>
  <c r="Y1908" i="12"/>
  <c r="Y2162" i="12"/>
  <c r="Y2385" i="12"/>
  <c r="Y326" i="12"/>
  <c r="Y692" i="12"/>
  <c r="Y949" i="12"/>
  <c r="Y1197" i="12"/>
  <c r="Y1417" i="12"/>
  <c r="Y1623" i="12"/>
  <c r="Y1857" i="12"/>
  <c r="Y91" i="12"/>
  <c r="Y406" i="12"/>
  <c r="Y702" i="12"/>
  <c r="Y1017" i="12"/>
  <c r="Y1273" i="12"/>
  <c r="Y1517" i="12"/>
  <c r="Y1788" i="12"/>
  <c r="Y2011" i="12"/>
  <c r="Y36" i="12"/>
  <c r="Y389" i="12"/>
  <c r="Y684" i="12"/>
  <c r="Y976" i="12"/>
  <c r="Y1230" i="12"/>
  <c r="Y1527" i="12"/>
  <c r="Y1753" i="12"/>
  <c r="Y1976" i="12"/>
  <c r="Y2207" i="12"/>
  <c r="Y307" i="12"/>
  <c r="Y62" i="12"/>
  <c r="Y487" i="12"/>
  <c r="Y863" i="12"/>
  <c r="Y1167" i="12"/>
  <c r="Y1482" i="12"/>
  <c r="Y1743" i="12"/>
  <c r="Y1996" i="12"/>
  <c r="Y2233" i="12"/>
  <c r="Y2441" i="12"/>
  <c r="Y2628" i="12"/>
  <c r="Y27" i="12"/>
  <c r="Y454" i="12"/>
  <c r="Y798" i="12"/>
  <c r="Y1112" i="12"/>
  <c r="Y1427" i="12"/>
  <c r="Y1692" i="12"/>
  <c r="Y1972" i="12"/>
  <c r="Y2234" i="12"/>
  <c r="Y2425" i="12"/>
  <c r="Y199" i="12"/>
  <c r="Y574" i="12"/>
  <c r="Y943" i="12"/>
  <c r="Y1239" i="12"/>
  <c r="Y1547" i="12"/>
  <c r="Y1829" i="12"/>
  <c r="Y2079" i="12"/>
  <c r="Y2304" i="12"/>
  <c r="Y2499" i="12"/>
  <c r="Y2670" i="12"/>
  <c r="Y2841" i="12"/>
  <c r="Y3045" i="12"/>
  <c r="Y3212" i="12"/>
  <c r="Y3372" i="12"/>
  <c r="Y3516" i="12"/>
  <c r="Y291" i="12"/>
  <c r="Y622" i="12"/>
  <c r="Y924" i="12"/>
  <c r="Y1220" i="12"/>
  <c r="Y1475" i="12"/>
  <c r="Y1712" i="12"/>
  <c r="Y1941" i="12"/>
  <c r="Y2159" i="12"/>
  <c r="Y2349" i="12"/>
  <c r="Y2506" i="12"/>
  <c r="Y2676" i="12"/>
  <c r="Y2830" i="12"/>
  <c r="Y2983" i="12"/>
  <c r="Y3137" i="12"/>
  <c r="Y3282" i="12"/>
  <c r="Y3426" i="12"/>
  <c r="Y100" i="12"/>
  <c r="Y483" i="12"/>
  <c r="Y96" i="12"/>
  <c r="Y592" i="12"/>
  <c r="Y1003" i="12"/>
  <c r="Y1352" i="12"/>
  <c r="Y1672" i="12"/>
  <c r="Y1979" i="12"/>
  <c r="Y2288" i="12"/>
  <c r="Y2498" i="12"/>
  <c r="Y2688" i="12"/>
  <c r="Y2870" i="12"/>
  <c r="Y271" i="12"/>
  <c r="Y740" i="12"/>
  <c r="Y1120" i="12"/>
  <c r="Y1499" i="12"/>
  <c r="Y1809" i="12"/>
  <c r="Y2108" i="12"/>
  <c r="Y2365" i="12"/>
  <c r="Y2563" i="12"/>
  <c r="Y2752" i="12"/>
  <c r="Y2930" i="12"/>
  <c r="Y180" i="12"/>
  <c r="Y663" i="12"/>
  <c r="Y1060" i="12"/>
  <c r="Y1404" i="12"/>
  <c r="Y1723" i="12"/>
  <c r="Y2027" i="12"/>
  <c r="Y2300" i="12"/>
  <c r="Y2529" i="12"/>
  <c r="Y2718" i="12"/>
  <c r="Y2899" i="12"/>
  <c r="Y3074" i="12"/>
  <c r="Y130" i="12"/>
  <c r="Y434" i="12"/>
  <c r="Y690" i="12"/>
  <c r="Y1010" i="12"/>
  <c r="Y1298" i="12"/>
  <c r="Y248" i="12"/>
  <c r="Y568" i="12"/>
  <c r="Y824" i="12"/>
  <c r="Y185" i="12"/>
  <c r="Y505" i="12"/>
  <c r="Y793" i="12"/>
  <c r="Y97" i="12"/>
  <c r="Y511" i="12"/>
  <c r="Y865" i="12"/>
  <c r="Y1204" i="12"/>
  <c r="Y1550" i="12"/>
  <c r="Y1790" i="12"/>
  <c r="Y2078" i="12"/>
  <c r="Y126" i="12"/>
  <c r="Y480" i="12"/>
  <c r="Y775" i="12"/>
  <c r="Y1177" i="12"/>
  <c r="Y1477" i="12"/>
  <c r="Y295" i="12"/>
  <c r="Y746" i="12"/>
  <c r="Y1087" i="12"/>
  <c r="Y1434" i="12"/>
  <c r="Y1802" i="12"/>
  <c r="Y2109" i="12"/>
  <c r="Y2376" i="12"/>
  <c r="Y2712" i="12"/>
  <c r="Y3000" i="12"/>
  <c r="Y207" i="12"/>
  <c r="Y305" i="12"/>
  <c r="Y666" i="12"/>
  <c r="Y1056" i="12"/>
  <c r="Y1460" i="12"/>
  <c r="Y1741" i="12"/>
  <c r="Y1980" i="12"/>
  <c r="Y2287" i="12"/>
  <c r="Y371" i="12"/>
  <c r="Y784" i="12"/>
  <c r="Y1233" i="12"/>
  <c r="Y1513" i="12"/>
  <c r="Y1830" i="12"/>
  <c r="Y2200" i="12"/>
  <c r="Y189" i="12"/>
  <c r="Y538" i="12"/>
  <c r="Y974" i="12"/>
  <c r="Y1286" i="12"/>
  <c r="Y1563" i="12"/>
  <c r="Y1876" i="12"/>
  <c r="Y188" i="12"/>
  <c r="Y613" i="12"/>
  <c r="Y1044" i="12"/>
  <c r="Y1399" i="12"/>
  <c r="Y1677" i="12"/>
  <c r="Y2033" i="12"/>
  <c r="Y167" i="12"/>
  <c r="Y566" i="12"/>
  <c r="Y1002" i="12"/>
  <c r="Y1358" i="12"/>
  <c r="Y1664" i="12"/>
  <c r="Y2019" i="12"/>
  <c r="Y83" i="12"/>
  <c r="Y517" i="12"/>
  <c r="Y560" i="12"/>
  <c r="Y961" i="12"/>
  <c r="Y1342" i="12"/>
  <c r="Y1767" i="12"/>
  <c r="Y2116" i="12"/>
  <c r="Y2371" i="12"/>
  <c r="Y2645" i="12"/>
  <c r="Y187" i="12"/>
  <c r="Y695" i="12"/>
  <c r="Y1140" i="12"/>
  <c r="Y1537" i="12"/>
  <c r="Y1872" i="12"/>
  <c r="Y2256" i="12"/>
  <c r="Y30" i="12"/>
  <c r="Y468" i="12"/>
  <c r="Y977" i="12"/>
  <c r="Y1384" i="12"/>
  <c r="Y1703" i="12"/>
  <c r="Y2104" i="12"/>
  <c r="Y2379" i="12"/>
  <c r="Y2602" i="12"/>
  <c r="Y2875" i="12"/>
  <c r="Y3097" i="12"/>
  <c r="Y3308" i="12"/>
  <c r="Y3532" i="12"/>
  <c r="Y445" i="12"/>
  <c r="Y823" i="12"/>
  <c r="Y1249" i="12"/>
  <c r="Y1558" i="12"/>
  <c r="Y1865" i="12"/>
  <c r="Y2183" i="12"/>
  <c r="Y2420" i="12"/>
  <c r="Y2608" i="12"/>
  <c r="Y2847" i="12"/>
  <c r="Y3035" i="12"/>
  <c r="Y3234" i="12"/>
  <c r="Y3442" i="12"/>
  <c r="Y256" i="12"/>
  <c r="Y659" i="12"/>
  <c r="Y639" i="12"/>
  <c r="Y1117" i="12"/>
  <c r="Y1571" i="12"/>
  <c r="Y2043" i="12"/>
  <c r="Y2364" i="12"/>
  <c r="Y2604" i="12"/>
  <c r="Y2890" i="12"/>
  <c r="Y494" i="12"/>
  <c r="Y1004" i="12"/>
  <c r="Y1538" i="12"/>
  <c r="Y1913" i="12"/>
  <c r="Y2289" i="12"/>
  <c r="Y2583" i="12"/>
  <c r="Y2833" i="12"/>
  <c r="Y3047" i="12"/>
  <c r="Y711" i="12"/>
  <c r="Y1176" i="12"/>
  <c r="Y1621" i="12"/>
  <c r="Y2057" i="12"/>
  <c r="Y2399" i="12"/>
  <c r="Y2634" i="12"/>
  <c r="Y2918" i="12"/>
  <c r="Y3133" i="12"/>
  <c r="Y3335" i="12"/>
  <c r="Y3518" i="12"/>
  <c r="Y513" i="12"/>
  <c r="Y1061" i="12"/>
  <c r="Y1443" i="12"/>
  <c r="Y1792" i="12"/>
  <c r="Y87" i="12"/>
  <c r="Y635" i="12"/>
  <c r="Y1071" i="12"/>
  <c r="Y1457" i="12"/>
  <c r="Y1873" i="12"/>
  <c r="Y2196" i="12"/>
  <c r="Y2452" i="12"/>
  <c r="Y2684" i="12"/>
  <c r="Y2886" i="12"/>
  <c r="Y3082" i="12"/>
  <c r="Y3287" i="12"/>
  <c r="Y3488" i="12"/>
  <c r="Y428" i="12"/>
  <c r="Y956" i="12"/>
  <c r="Y1347" i="12"/>
  <c r="Y1704" i="12"/>
  <c r="Y2038" i="12"/>
  <c r="Y2362" i="12"/>
  <c r="Y2601" i="12"/>
  <c r="Y2810" i="12"/>
  <c r="Y3024" i="12"/>
  <c r="Y3215" i="12"/>
  <c r="Y3398" i="12"/>
  <c r="Y403" i="12"/>
  <c r="Y1132" i="12"/>
  <c r="Y1781" i="12"/>
  <c r="Y2318" i="12"/>
  <c r="Y2637" i="12"/>
  <c r="Y2933" i="12"/>
  <c r="Y3183" i="12"/>
  <c r="Y3430" i="12"/>
  <c r="Y1951" i="12"/>
  <c r="Y2795" i="12"/>
  <c r="Y3344" i="12"/>
  <c r="Y750" i="12"/>
  <c r="Y807" i="12"/>
  <c r="Y1505" i="12"/>
  <c r="Y2051" i="12"/>
  <c r="Y2455" i="12"/>
  <c r="Y2819" i="12"/>
  <c r="Y3090" i="12"/>
  <c r="Y3319" i="12"/>
  <c r="Y3542" i="12"/>
  <c r="Y1014" i="12"/>
  <c r="Y1729" i="12"/>
  <c r="Y2578" i="12"/>
  <c r="Y3297" i="12"/>
  <c r="Y343" i="12"/>
  <c r="Y515" i="12"/>
  <c r="Y528" i="12"/>
  <c r="Y1223" i="12"/>
  <c r="Y1800" i="12"/>
  <c r="Y2293" i="12"/>
  <c r="Y2681" i="12"/>
  <c r="Y2972" i="12"/>
  <c r="Y3216" i="12"/>
  <c r="Y3462" i="12"/>
  <c r="Y532" i="12"/>
  <c r="Y1225" i="12"/>
  <c r="Y1858" i="12"/>
  <c r="Y2370" i="12"/>
  <c r="Y2682" i="12"/>
  <c r="Y2998" i="12"/>
  <c r="Y3239" i="12"/>
  <c r="Y3464" i="12"/>
  <c r="Y539" i="12"/>
  <c r="Y1294" i="12"/>
  <c r="Y1917" i="12"/>
  <c r="Y2373" i="12"/>
  <c r="Y2716" i="12"/>
  <c r="Y2999" i="12"/>
  <c r="Y3240" i="12"/>
  <c r="Y3487" i="12"/>
  <c r="Y620" i="12"/>
  <c r="Y1361" i="12"/>
  <c r="Y1970" i="12"/>
  <c r="Y2405" i="12"/>
  <c r="Y2717" i="12"/>
  <c r="Y3002" i="12"/>
  <c r="Y3264" i="12"/>
  <c r="Y3491" i="12"/>
  <c r="Y781" i="12"/>
  <c r="Y716" i="12"/>
  <c r="Y1311" i="12"/>
  <c r="Y1823" i="12"/>
  <c r="Y2268" i="12"/>
  <c r="Y2570" i="12"/>
  <c r="Y2842" i="12"/>
  <c r="Y3108" i="12"/>
  <c r="Y3313" i="12"/>
  <c r="Y3515" i="12"/>
  <c r="Y719" i="12"/>
  <c r="Y1318" i="12"/>
  <c r="Y1824" i="12"/>
  <c r="Y2269" i="12"/>
  <c r="Y2603" i="12"/>
  <c r="Y2873" i="12"/>
  <c r="Y3109" i="12"/>
  <c r="Y146" i="12"/>
  <c r="Y450" i="12"/>
  <c r="Y706" i="12"/>
  <c r="Y1026" i="12"/>
  <c r="Y1330" i="12"/>
  <c r="Y264" i="12"/>
  <c r="Y616" i="12"/>
  <c r="Y840" i="12"/>
  <c r="Y201" i="12"/>
  <c r="Y537" i="12"/>
  <c r="Y841" i="12"/>
  <c r="Y138" i="12"/>
  <c r="Y550" i="12"/>
  <c r="Y925" i="12"/>
  <c r="Y1238" i="12"/>
  <c r="Y1566" i="12"/>
  <c r="Y1822" i="12"/>
  <c r="Y2126" i="12"/>
  <c r="Y145" i="12"/>
  <c r="Y519" i="12"/>
  <c r="Y835" i="12"/>
  <c r="Y1194" i="12"/>
  <c r="Y1493" i="12"/>
  <c r="Y318" i="12"/>
  <c r="Y768" i="12"/>
  <c r="Y1107" i="12"/>
  <c r="Y1471" i="12"/>
  <c r="Y1819" i="12"/>
  <c r="Y2127" i="12"/>
  <c r="Y2392" i="12"/>
  <c r="Y2728" i="12"/>
  <c r="Y3016" i="12"/>
  <c r="Y252" i="12"/>
  <c r="Y327" i="12"/>
  <c r="Y687" i="12"/>
  <c r="Y1077" i="12"/>
  <c r="Y1479" i="12"/>
  <c r="Y1759" i="12"/>
  <c r="Y1997" i="12"/>
  <c r="Y2303" i="12"/>
  <c r="Y399" i="12"/>
  <c r="Y811" i="12"/>
  <c r="Y1256" i="12"/>
  <c r="Y1535" i="12"/>
  <c r="Y1849" i="12"/>
  <c r="Y2220" i="12"/>
  <c r="Y218" i="12"/>
  <c r="Y563" i="12"/>
  <c r="Y1019" i="12"/>
  <c r="Y1308" i="12"/>
  <c r="Y1584" i="12"/>
  <c r="Y1896" i="12"/>
  <c r="Y220" i="12"/>
  <c r="Y644" i="12"/>
  <c r="Y1069" i="12"/>
  <c r="Y1421" i="12"/>
  <c r="Y1699" i="12"/>
  <c r="Y2053" i="12"/>
  <c r="Y198" i="12"/>
  <c r="Y624" i="12"/>
  <c r="Y1079" i="12"/>
  <c r="Y1383" i="12"/>
  <c r="Y1686" i="12"/>
  <c r="Y2039" i="12"/>
  <c r="Y147" i="12"/>
  <c r="Y178" i="12"/>
  <c r="Y466" i="12"/>
  <c r="Y818" i="12"/>
  <c r="Y1106" i="12"/>
  <c r="Y1346" i="12"/>
  <c r="Y328" i="12"/>
  <c r="Y632" i="12"/>
  <c r="Y920" i="12"/>
  <c r="Y313" i="12"/>
  <c r="Y569" i="12"/>
  <c r="Y857" i="12"/>
  <c r="Y255" i="12"/>
  <c r="Y629" i="12"/>
  <c r="Y944" i="12"/>
  <c r="Y1289" i="12"/>
  <c r="Y1598" i="12"/>
  <c r="Y1886" i="12"/>
  <c r="Y2206" i="12"/>
  <c r="Y165" i="12"/>
  <c r="Y540" i="12"/>
  <c r="Y933" i="12"/>
  <c r="Y1262" i="12"/>
  <c r="Y1525" i="12"/>
  <c r="Y385" i="12"/>
  <c r="Y790" i="12"/>
  <c r="Y1184" i="12"/>
  <c r="Y1580" i="12"/>
  <c r="Y1836" i="12"/>
  <c r="Y2161" i="12"/>
  <c r="Y2504" i="12"/>
  <c r="Y2808" i="12"/>
  <c r="Y3032" i="12"/>
  <c r="Y341" i="12"/>
  <c r="Y372" i="12"/>
  <c r="Y800" i="12"/>
  <c r="Y1213" i="12"/>
  <c r="Y1515" i="12"/>
  <c r="Y1793" i="12"/>
  <c r="Y2100" i="12"/>
  <c r="Y63" i="12"/>
  <c r="Y449" i="12"/>
  <c r="Y915" i="12"/>
  <c r="Y1277" i="12"/>
  <c r="Y1616" i="12"/>
  <c r="Y1967" i="12"/>
  <c r="Y2240" i="12"/>
  <c r="Y243" i="12"/>
  <c r="Y718" i="12"/>
  <c r="Y1041" i="12"/>
  <c r="Y1332" i="12"/>
  <c r="Y1661" i="12"/>
  <c r="Y1915" i="12"/>
  <c r="Y282" i="12"/>
  <c r="Y762" i="12"/>
  <c r="Y1119" i="12"/>
  <c r="Y1446" i="12"/>
  <c r="Y1812" i="12"/>
  <c r="Y2073" i="12"/>
  <c r="Y262" i="12"/>
  <c r="Y714" i="12"/>
  <c r="Y1103" i="12"/>
  <c r="Y1407" i="12"/>
  <c r="Y1775" i="12"/>
  <c r="Y2060" i="12"/>
  <c r="Y211" i="12"/>
  <c r="Y108" i="12"/>
  <c r="Y627" i="12"/>
  <c r="Y1051" i="12"/>
  <c r="Y1508" i="12"/>
  <c r="Y1818" i="12"/>
  <c r="Y2164" i="12"/>
  <c r="Y2475" i="12"/>
  <c r="Y2697" i="12"/>
  <c r="Y266" i="12"/>
  <c r="Y831" i="12"/>
  <c r="Y1258" i="12"/>
  <c r="Y1591" i="12"/>
  <c r="Y2000" i="12"/>
  <c r="Y2295" i="12"/>
  <c r="Y81" i="12"/>
  <c r="Y641" i="12"/>
  <c r="Y1064" i="12"/>
  <c r="Y1439" i="12"/>
  <c r="Y1855" i="12"/>
  <c r="Y2150" i="12"/>
  <c r="Y210" i="12"/>
  <c r="Y642" i="12"/>
  <c r="Y1138" i="12"/>
  <c r="Y184" i="12"/>
  <c r="Y680" i="12"/>
  <c r="Y329" i="12"/>
  <c r="Y729" i="12"/>
  <c r="Y315" i="12"/>
  <c r="Y846" i="12"/>
  <c r="Y1406" i="12"/>
  <c r="Y1902" i="12"/>
  <c r="Y45" i="12"/>
  <c r="Y698" i="12"/>
  <c r="Y1092" i="12"/>
  <c r="Y139" i="12"/>
  <c r="Y836" i="12"/>
  <c r="Y1379" i="12"/>
  <c r="Y1939" i="12"/>
  <c r="Y2360" i="12"/>
  <c r="Y2856" i="12"/>
  <c r="Y365" i="12"/>
  <c r="Y621" i="12"/>
  <c r="Y1271" i="12"/>
  <c r="Y1690" i="12"/>
  <c r="Y2151" i="12"/>
  <c r="Y477" i="12"/>
  <c r="Y1078" i="12"/>
  <c r="Y1693" i="12"/>
  <c r="Y2084" i="12"/>
  <c r="Y460" i="12"/>
  <c r="Y1085" i="12"/>
  <c r="Y1500" i="12"/>
  <c r="Y1954" i="12"/>
  <c r="Y556" i="12"/>
  <c r="Y1222" i="12"/>
  <c r="Y1833" i="12"/>
  <c r="Y71" i="12"/>
  <c r="Y801" i="12"/>
  <c r="Y1334" i="12"/>
  <c r="Y1864" i="12"/>
  <c r="Y241" i="12"/>
  <c r="Y301" i="12"/>
  <c r="Y929" i="12"/>
  <c r="Y1536" i="12"/>
  <c r="Y1945" i="12"/>
  <c r="Y2353" i="12"/>
  <c r="Y2714" i="12"/>
  <c r="Y526" i="12"/>
  <c r="Y1053" i="12"/>
  <c r="Y1643" i="12"/>
  <c r="Y2093" i="12"/>
  <c r="Y29" i="12"/>
  <c r="Y675" i="12"/>
  <c r="Y1181" i="12"/>
  <c r="Y1676" i="12"/>
  <c r="Y2197" i="12"/>
  <c r="Y2516" i="12"/>
  <c r="Y2772" i="12"/>
  <c r="Y3062" i="12"/>
  <c r="Y3276" i="12"/>
  <c r="Y3548" i="12"/>
  <c r="Y516" i="12"/>
  <c r="Y1015" i="12"/>
  <c r="Y1366" i="12"/>
  <c r="Y1763" i="12"/>
  <c r="Y2088" i="12"/>
  <c r="Y2403" i="12"/>
  <c r="Y2625" i="12"/>
  <c r="Y2881" i="12"/>
  <c r="Y3103" i="12"/>
  <c r="Y3346" i="12"/>
  <c r="Y3538" i="12"/>
  <c r="Y591" i="12"/>
  <c r="Y493" i="12"/>
  <c r="Y1195" i="12"/>
  <c r="Y1706" i="12"/>
  <c r="Y2138" i="12"/>
  <c r="Y2519" i="12"/>
  <c r="Y2771" i="12"/>
  <c r="Y330" i="12"/>
  <c r="Y967" i="12"/>
  <c r="Y1572" i="12"/>
  <c r="Y1981" i="12"/>
  <c r="Y2413" i="12"/>
  <c r="Y2689" i="12"/>
  <c r="Y2989" i="12"/>
  <c r="Y462" i="12"/>
  <c r="Y1136" i="12"/>
  <c r="Y1653" i="12"/>
  <c r="Y2153" i="12"/>
  <c r="Y2466" i="12"/>
  <c r="Y2781" i="12"/>
  <c r="Y3036" i="12"/>
  <c r="Y3280" i="12"/>
  <c r="Y3499" i="12"/>
  <c r="Y668" i="12"/>
  <c r="Y1137" i="12"/>
  <c r="Y1553" i="12"/>
  <c r="Y1961" i="12"/>
  <c r="Y427" i="12"/>
  <c r="Y997" i="12"/>
  <c r="Y1418" i="12"/>
  <c r="Y1904" i="12"/>
  <c r="Y2257" i="12"/>
  <c r="Y2537" i="12"/>
  <c r="Y2788" i="12"/>
  <c r="Y3023" i="12"/>
  <c r="Y3232" i="12"/>
  <c r="Y3451" i="12"/>
  <c r="Y479" i="12"/>
  <c r="Y1036" i="12"/>
  <c r="Y1459" i="12"/>
  <c r="Y1907" i="12"/>
  <c r="Y2258" i="12"/>
  <c r="Y2538" i="12"/>
  <c r="Y2790" i="12"/>
  <c r="Y3043" i="12"/>
  <c r="Y3252" i="12"/>
  <c r="Y3489" i="12"/>
  <c r="Y803" i="12"/>
  <c r="Y1556" i="12"/>
  <c r="Y2148" i="12"/>
  <c r="Y2607" i="12"/>
  <c r="Y2959" i="12"/>
  <c r="Y3249" i="12"/>
  <c r="Y3520" i="12"/>
  <c r="Y2487" i="12"/>
  <c r="Y3139" i="12"/>
  <c r="Y1394" i="12"/>
  <c r="Y737" i="12"/>
  <c r="Y1559" i="12"/>
  <c r="Y2193" i="12"/>
  <c r="Y2609" i="12"/>
  <c r="Y2934" i="12"/>
  <c r="Y3229" i="12"/>
  <c r="Y3498" i="12"/>
  <c r="Y951" i="12"/>
  <c r="Y1834" i="12"/>
  <c r="Y2850" i="12"/>
  <c r="Y3478" i="12"/>
  <c r="Y74" i="12"/>
  <c r="Y172" i="12"/>
  <c r="Y1100" i="12"/>
  <c r="Y1748" i="12"/>
  <c r="Y2401" i="12"/>
  <c r="Y2741" i="12"/>
  <c r="Y3075" i="12"/>
  <c r="Y3328" i="12"/>
  <c r="Y277" i="12"/>
  <c r="Y1102" i="12"/>
  <c r="Y1749" i="12"/>
  <c r="Y2402" i="12"/>
  <c r="Y2775" i="12"/>
  <c r="Y3076" i="12"/>
  <c r="Y3374" i="12"/>
  <c r="Y279" i="12"/>
  <c r="Y1105" i="12"/>
  <c r="Y1807" i="12"/>
  <c r="Y2439" i="12"/>
  <c r="Y2777" i="12"/>
  <c r="Y3077" i="12"/>
  <c r="Y3375" i="12"/>
  <c r="Y285" i="12"/>
  <c r="Y1173" i="12"/>
  <c r="Y1863" i="12"/>
  <c r="Y2443" i="12"/>
  <c r="Y2778" i="12"/>
  <c r="Y3127" i="12"/>
  <c r="Y3376" i="12"/>
  <c r="Y465" i="12"/>
  <c r="Y470" i="12"/>
  <c r="Y1246" i="12"/>
  <c r="Y1875" i="12"/>
  <c r="Y2346" i="12"/>
  <c r="Y2692" i="12"/>
  <c r="Y2980" i="12"/>
  <c r="Y3223" i="12"/>
  <c r="Y3472" i="12"/>
  <c r="Y646" i="12"/>
  <c r="Y1377" i="12"/>
  <c r="Y1987" i="12"/>
  <c r="Y2417" i="12"/>
  <c r="Y2723" i="12"/>
  <c r="Y3009" i="12"/>
  <c r="Y3271" i="12"/>
  <c r="Y3473" i="12"/>
  <c r="Y572" i="12"/>
  <c r="Y1192" i="12"/>
  <c r="Y1719" i="12"/>
  <c r="Y2191" i="12"/>
  <c r="Y2545" i="12"/>
  <c r="Y2817" i="12"/>
  <c r="Y3060" i="12"/>
  <c r="Y258" i="12"/>
  <c r="Y658" i="12"/>
  <c r="Y1154" i="12"/>
  <c r="Y360" i="12"/>
  <c r="Y792" i="12"/>
  <c r="Y345" i="12"/>
  <c r="Y745" i="12"/>
  <c r="Y334" i="12"/>
  <c r="Y964" i="12"/>
  <c r="Y1422" i="12"/>
  <c r="Y1982" i="12"/>
  <c r="Y64" i="12"/>
  <c r="Y717" i="12"/>
  <c r="Y1279" i="12"/>
  <c r="Y160" i="12"/>
  <c r="Y880" i="12"/>
  <c r="Y1416" i="12"/>
  <c r="Y1956" i="12"/>
  <c r="Y2520" i="12"/>
  <c r="Y2968" i="12"/>
  <c r="Y79" i="12"/>
  <c r="Y643" i="12"/>
  <c r="Y1291" i="12"/>
  <c r="Y1810" i="12"/>
  <c r="Y2219" i="12"/>
  <c r="Y605" i="12"/>
  <c r="Y1099" i="12"/>
  <c r="Y1732" i="12"/>
  <c r="Y2259" i="12"/>
  <c r="Y486" i="12"/>
  <c r="Y1108" i="12"/>
  <c r="Y1542" i="12"/>
  <c r="Y1974" i="12"/>
  <c r="Y789" i="12"/>
  <c r="Y1297" i="12"/>
  <c r="Y1856" i="12"/>
  <c r="Y134" i="12"/>
  <c r="Y860" i="12"/>
  <c r="Y1431" i="12"/>
  <c r="Y1885" i="12"/>
  <c r="Y336" i="12"/>
  <c r="Y337" i="12"/>
  <c r="Y1022" i="12"/>
  <c r="Y1561" i="12"/>
  <c r="Y2021" i="12"/>
  <c r="Y2389" i="12"/>
  <c r="Y2731" i="12"/>
  <c r="Y561" i="12"/>
  <c r="Y1199" i="12"/>
  <c r="Y1744" i="12"/>
  <c r="Y2118" i="12"/>
  <c r="Y32" i="12"/>
  <c r="Y743" i="12"/>
  <c r="Y1295" i="12"/>
  <c r="Y1728" i="12"/>
  <c r="Y2243" i="12"/>
  <c r="Y2533" i="12"/>
  <c r="Y2789" i="12"/>
  <c r="Y3079" i="12"/>
  <c r="Y3340" i="12"/>
  <c r="Y55" i="12"/>
  <c r="Y551" i="12"/>
  <c r="Y1046" i="12"/>
  <c r="Y1393" i="12"/>
  <c r="Y1787" i="12"/>
  <c r="Y2112" i="12"/>
  <c r="Y2437" i="12"/>
  <c r="Y2693" i="12"/>
  <c r="Y2898" i="12"/>
  <c r="Y3154" i="12"/>
  <c r="Y3362" i="12"/>
  <c r="Y175" i="12"/>
  <c r="Y623" i="12"/>
  <c r="Y686" i="12"/>
  <c r="Y1236" i="12"/>
  <c r="Y1777" i="12"/>
  <c r="Y2171" i="12"/>
  <c r="Y2541" i="12"/>
  <c r="Y2812" i="12"/>
  <c r="Y388" i="12"/>
  <c r="Y1043" i="12"/>
  <c r="Y1607" i="12"/>
  <c r="Y2048" i="12"/>
  <c r="Y2435" i="12"/>
  <c r="Y2709" i="12"/>
  <c r="Y3008" i="12"/>
  <c r="Y510" i="12"/>
  <c r="Y1214" i="12"/>
  <c r="Y1756" i="12"/>
  <c r="Y2184" i="12"/>
  <c r="Y2549" i="12"/>
  <c r="Y2801" i="12"/>
  <c r="Y3093" i="12"/>
  <c r="Y3317" i="12"/>
  <c r="Y3536" i="12"/>
  <c r="Y715" i="12"/>
  <c r="Y1178" i="12"/>
  <c r="Y1624" i="12"/>
  <c r="Y2028" i="12"/>
  <c r="Y533" i="12"/>
  <c r="Y1034" i="12"/>
  <c r="Y1567" i="12"/>
  <c r="Y1938" i="12"/>
  <c r="Y2308" i="12"/>
  <c r="Y2558" i="12"/>
  <c r="Y2828" i="12"/>
  <c r="Y3042" i="12"/>
  <c r="Y3251" i="12"/>
  <c r="Y3507" i="12"/>
  <c r="Y582" i="12"/>
  <c r="Y1072" i="12"/>
  <c r="Y1568" i="12"/>
  <c r="Y1940" i="12"/>
  <c r="Y2285" i="12"/>
  <c r="Y2559" i="12"/>
  <c r="Y2849" i="12"/>
  <c r="Y3063" i="12"/>
  <c r="Y3270" i="12"/>
  <c r="Y3508" i="12"/>
  <c r="Y879" i="12"/>
  <c r="Y1612" i="12"/>
  <c r="Y2239" i="12"/>
  <c r="Y2669" i="12"/>
  <c r="Y2987" i="12"/>
  <c r="Y3295" i="12"/>
  <c r="Y3541" i="12"/>
  <c r="Y2548" i="12"/>
  <c r="Y3185" i="12"/>
  <c r="Y3209" i="12"/>
  <c r="Y881" i="12"/>
  <c r="Y1618" i="12"/>
  <c r="Y2241" i="12"/>
  <c r="Y2638" i="12"/>
  <c r="Y2961" i="12"/>
  <c r="Y3274" i="12"/>
  <c r="Y3521" i="12"/>
  <c r="Y1086" i="12"/>
  <c r="Y2002" i="12"/>
  <c r="Y2905" i="12"/>
  <c r="Y154" i="12"/>
  <c r="Y166" i="12"/>
  <c r="Y268" i="12"/>
  <c r="Y1163" i="12"/>
  <c r="Y1852" i="12"/>
  <c r="Y2436" i="12"/>
  <c r="Y2774" i="12"/>
  <c r="Y3099" i="12"/>
  <c r="Y3373" i="12"/>
  <c r="Y359" i="12"/>
  <c r="Y1164" i="12"/>
  <c r="Y1964" i="12"/>
  <c r="Y2438" i="12"/>
  <c r="Y2803" i="12"/>
  <c r="Y3100" i="12"/>
  <c r="Y3396" i="12"/>
  <c r="Y362" i="12"/>
  <c r="Y1235" i="12"/>
  <c r="Y1969" i="12"/>
  <c r="Y2469" i="12"/>
  <c r="Y2804" i="12"/>
  <c r="Y3150" i="12"/>
  <c r="Y3399" i="12"/>
  <c r="Y458" i="12"/>
  <c r="Y1240" i="12"/>
  <c r="Y2026" i="12"/>
  <c r="Y2470" i="12"/>
  <c r="Y2836" i="12"/>
  <c r="Y3151" i="12"/>
  <c r="Y3422" i="12"/>
  <c r="Y548" i="12"/>
  <c r="Y637" i="12"/>
  <c r="Y274" i="12"/>
  <c r="Y834" i="12"/>
  <c r="Y1266" i="12"/>
  <c r="Y408" i="12"/>
  <c r="Y808" i="12"/>
  <c r="Y361" i="12"/>
  <c r="Y873" i="12"/>
  <c r="Y413" i="12"/>
  <c r="Y1084" i="12"/>
  <c r="Y1438" i="12"/>
  <c r="Y1998" i="12"/>
  <c r="Y205" i="12"/>
  <c r="Y736" i="12"/>
  <c r="Y1313" i="12"/>
  <c r="Y182" i="12"/>
  <c r="Y902" i="12"/>
  <c r="Y1615" i="12"/>
  <c r="Y2024" i="12"/>
  <c r="Y2552" i="12"/>
  <c r="Y2984" i="12"/>
  <c r="Y102" i="12"/>
  <c r="Y822" i="12"/>
  <c r="Y1310" i="12"/>
  <c r="Y1895" i="12"/>
  <c r="Y2236" i="12"/>
  <c r="Y656" i="12"/>
  <c r="Y1300" i="12"/>
  <c r="Y1791" i="12"/>
  <c r="Y2315" i="12"/>
  <c r="Y512" i="12"/>
  <c r="Y1130" i="12"/>
  <c r="Y1701" i="12"/>
  <c r="Y124" i="12"/>
  <c r="Y819" i="12"/>
  <c r="Y1349" i="12"/>
  <c r="Y1879" i="12"/>
  <c r="Y292" i="12"/>
  <c r="Y890" i="12"/>
  <c r="Y1549" i="12"/>
  <c r="Y1931" i="12"/>
  <c r="Y368" i="12"/>
  <c r="Y379" i="12"/>
  <c r="Y1081" i="12"/>
  <c r="Y1590" i="12"/>
  <c r="Y2045" i="12"/>
  <c r="Y2492" i="12"/>
  <c r="Y2748" i="12"/>
  <c r="Y596" i="12"/>
  <c r="Y1287" i="12"/>
  <c r="Y1769" i="12"/>
  <c r="Y2140" i="12"/>
  <c r="Y122" i="12"/>
  <c r="Y778" i="12"/>
  <c r="Y1326" i="12"/>
  <c r="Y1881" i="12"/>
  <c r="Y2264" i="12"/>
  <c r="Y2567" i="12"/>
  <c r="Y2806" i="12"/>
  <c r="Y3114" i="12"/>
  <c r="Y3388" i="12"/>
  <c r="Y135" i="12"/>
  <c r="Y654" i="12"/>
  <c r="Y1073" i="12"/>
  <c r="Y1504" i="12"/>
  <c r="Y1814" i="12"/>
  <c r="Y2208" i="12"/>
  <c r="Y2454" i="12"/>
  <c r="Y2710" i="12"/>
  <c r="Y2915" i="12"/>
  <c r="Y3170" i="12"/>
  <c r="Y3378" i="12"/>
  <c r="Y219" i="12"/>
  <c r="Y691" i="12"/>
  <c r="Y739" i="12"/>
  <c r="Y1274" i="12"/>
  <c r="Y1808" i="12"/>
  <c r="Y2203" i="12"/>
  <c r="Y2562" i="12"/>
  <c r="Y2832" i="12"/>
  <c r="Y544" i="12"/>
  <c r="Y1200" i="12"/>
  <c r="Y1644" i="12"/>
  <c r="Y2143" i="12"/>
  <c r="Y2479" i="12"/>
  <c r="Y2773" i="12"/>
  <c r="Y3027" i="12"/>
  <c r="Y757" i="12"/>
  <c r="Y1292" i="12"/>
  <c r="Y1789" i="12"/>
  <c r="Y2216" i="12"/>
  <c r="Y2571" i="12"/>
  <c r="Y2820" i="12"/>
  <c r="Y3113" i="12"/>
  <c r="Y3353" i="12"/>
  <c r="Y128" i="12"/>
  <c r="Y758" i="12"/>
  <c r="Y1215" i="12"/>
  <c r="Y1657" i="12"/>
  <c r="Y2059" i="12"/>
  <c r="Y581" i="12"/>
  <c r="Y1113" i="12"/>
  <c r="Y1600" i="12"/>
  <c r="Y1975" i="12"/>
  <c r="Y2337" i="12"/>
  <c r="Y2599" i="12"/>
  <c r="Y2848" i="12"/>
  <c r="Y3061" i="12"/>
  <c r="Y3323" i="12"/>
  <c r="Y3525" i="12"/>
  <c r="Y636" i="12"/>
  <c r="Y1114" i="12"/>
  <c r="Y1602" i="12"/>
  <c r="Y1977" i="12"/>
  <c r="Y2338" i="12"/>
  <c r="Y2622" i="12"/>
  <c r="Y2868" i="12"/>
  <c r="Y3083" i="12"/>
  <c r="Y3325" i="12"/>
  <c r="Y42" i="12"/>
  <c r="Y1012" i="12"/>
  <c r="Y1665" i="12"/>
  <c r="Y2352" i="12"/>
  <c r="Y2699" i="12"/>
  <c r="Y3038" i="12"/>
  <c r="Y3318" i="12"/>
  <c r="Y1207" i="12"/>
  <c r="Y2610" i="12"/>
  <c r="Y3320" i="12"/>
  <c r="Y43" i="12"/>
  <c r="Y1013" i="12"/>
  <c r="Y1727" i="12"/>
  <c r="Y2320" i="12"/>
  <c r="Y2671" i="12"/>
  <c r="Y2988" i="12"/>
  <c r="Y3296" i="12"/>
  <c r="Y331" i="12"/>
  <c r="Y1142" i="12"/>
  <c r="Y2194" i="12"/>
  <c r="Y2962" i="12"/>
  <c r="Y422" i="12"/>
  <c r="Y348" i="12"/>
  <c r="Y358" i="12"/>
  <c r="Y1288" i="12"/>
  <c r="Y2018" i="12"/>
  <c r="Y2467" i="12"/>
  <c r="Y2802" i="12"/>
  <c r="Y3124" i="12"/>
  <c r="Y3395" i="12"/>
  <c r="Y448" i="12"/>
  <c r="Y1290" i="12"/>
  <c r="Y2020" i="12"/>
  <c r="Y2468" i="12"/>
  <c r="Y2834" i="12"/>
  <c r="Y3149" i="12"/>
  <c r="Y3419" i="12"/>
  <c r="Y455" i="12"/>
  <c r="Y1414" i="12"/>
  <c r="Y2023" i="12"/>
  <c r="Y2502" i="12"/>
  <c r="Y2835" i="12"/>
  <c r="Y3173" i="12"/>
  <c r="Y3421" i="12"/>
  <c r="Y545" i="12"/>
  <c r="Y1415" i="12"/>
  <c r="Y2080" i="12"/>
  <c r="Y2503" i="12"/>
  <c r="Y2894" i="12"/>
  <c r="Y3174" i="12"/>
  <c r="Y3444" i="12"/>
  <c r="Y625" i="12"/>
  <c r="Y354" i="12"/>
  <c r="Y962" i="12"/>
  <c r="Y456" i="12"/>
  <c r="Y153" i="12"/>
  <c r="Y59" i="12"/>
  <c r="Y1101" i="12"/>
  <c r="Y1758" i="12"/>
  <c r="Y303" i="12"/>
  <c r="Y1075" i="12"/>
  <c r="Y543" i="12"/>
  <c r="Y1632" i="12"/>
  <c r="Y2312" i="12"/>
  <c r="Y21" i="12"/>
  <c r="Y463" i="12"/>
  <c r="Y1588" i="12"/>
  <c r="Y95" i="12"/>
  <c r="Y1011" i="12"/>
  <c r="Y1986" i="12"/>
  <c r="Y435" i="12"/>
  <c r="Y1375" i="12"/>
  <c r="Y155" i="12"/>
  <c r="Y1145" i="12"/>
  <c r="Y1944" i="12"/>
  <c r="Y741" i="12"/>
  <c r="Y1619" i="12"/>
  <c r="Y459" i="12"/>
  <c r="Y763" i="12"/>
  <c r="Y1691" i="12"/>
  <c r="Y2334" i="12"/>
  <c r="Y223" i="12"/>
  <c r="Y1316" i="12"/>
  <c r="Y2047" i="12"/>
  <c r="Y278" i="12"/>
  <c r="Y1150" i="12"/>
  <c r="Y1958" i="12"/>
  <c r="Y2585" i="12"/>
  <c r="Y2960" i="12"/>
  <c r="Y3420" i="12"/>
  <c r="Y481" i="12"/>
  <c r="Y1278" i="12"/>
  <c r="Y1891" i="12"/>
  <c r="Y2310" i="12"/>
  <c r="Y2745" i="12"/>
  <c r="Y3086" i="12"/>
  <c r="Y3490" i="12"/>
  <c r="Y156" i="12"/>
  <c r="Y1039" i="12"/>
  <c r="Y1877" i="12"/>
  <c r="Y2434" i="12"/>
  <c r="Y37" i="12"/>
  <c r="Y1237" i="12"/>
  <c r="Y1880" i="12"/>
  <c r="Y2521" i="12"/>
  <c r="Y2970" i="12"/>
  <c r="Y893" i="12"/>
  <c r="Y1859" i="12"/>
  <c r="Y2421" i="12"/>
  <c r="Y2938" i="12"/>
  <c r="Y3262" i="12"/>
  <c r="Y352" i="12"/>
  <c r="Y1253" i="12"/>
  <c r="Y1893" i="12"/>
  <c r="Y732" i="12"/>
  <c r="Y1382" i="12"/>
  <c r="Y2101" i="12"/>
  <c r="Y2621" i="12"/>
  <c r="Y2985" i="12"/>
  <c r="Y3360" i="12"/>
  <c r="Y375" i="12"/>
  <c r="Y1305" i="12"/>
  <c r="Y2009" i="12"/>
  <c r="Y2476" i="12"/>
  <c r="Y2907" i="12"/>
  <c r="Y3233" i="12"/>
  <c r="Y496" i="12"/>
  <c r="Y1831" i="12"/>
  <c r="Y2484" i="12"/>
  <c r="Y3111" i="12"/>
  <c r="Y3497" i="12"/>
  <c r="Y2990" i="12"/>
  <c r="Y133" i="12"/>
  <c r="Y1325" i="12"/>
  <c r="Y2393" i="12"/>
  <c r="Y2903" i="12"/>
  <c r="Y3409" i="12"/>
  <c r="Y1327" i="12"/>
  <c r="Y2518" i="12"/>
  <c r="Y246" i="12"/>
  <c r="Y900" i="12"/>
  <c r="Y1581" i="12"/>
  <c r="Y2497" i="12"/>
  <c r="Y2997" i="12"/>
  <c r="Y3485" i="12"/>
  <c r="Y1045" i="12"/>
  <c r="Y2170" i="12"/>
  <c r="Y2861" i="12"/>
  <c r="Y3284" i="12"/>
  <c r="Y842" i="12"/>
  <c r="Y1750" i="12"/>
  <c r="Y2623" i="12"/>
  <c r="Y3194" i="12"/>
  <c r="Y110" i="12"/>
  <c r="Y1593" i="12"/>
  <c r="Y2374" i="12"/>
  <c r="Y2975" i="12"/>
  <c r="Y3466" i="12"/>
  <c r="Y304" i="12"/>
  <c r="Y1376" i="12"/>
  <c r="Y1985" i="12"/>
  <c r="Y2480" i="12"/>
  <c r="Y2815" i="12"/>
  <c r="Y3156" i="12"/>
  <c r="Y3403" i="12"/>
  <c r="Y564" i="12"/>
  <c r="Y1435" i="12"/>
  <c r="Y2087" i="12"/>
  <c r="Y2511" i="12"/>
  <c r="Y2900" i="12"/>
  <c r="Y3181" i="12"/>
  <c r="Y3428" i="12"/>
  <c r="Y484" i="12"/>
  <c r="Y1259" i="12"/>
  <c r="Y1883" i="12"/>
  <c r="Y2348" i="12"/>
  <c r="Y2666" i="12"/>
  <c r="Y2958" i="12"/>
  <c r="Y3226" i="12"/>
  <c r="Y3429" i="12"/>
  <c r="Y3254" i="12"/>
  <c r="Y1025" i="12"/>
  <c r="Y1625" i="12"/>
  <c r="Y2106" i="12"/>
  <c r="Y2490" i="12"/>
  <c r="Y2764" i="12"/>
  <c r="Y3017" i="12"/>
  <c r="Y3300" i="12"/>
  <c r="Y3502" i="12"/>
  <c r="Y1462" i="12"/>
  <c r="Y2703" i="12"/>
  <c r="Y3492" i="12"/>
  <c r="Y2292" i="12"/>
  <c r="Y3143" i="12"/>
  <c r="Y2534" i="12"/>
  <c r="Y170" i="12"/>
  <c r="Y2302" i="12"/>
  <c r="Y3145" i="12"/>
  <c r="Y1485" i="12"/>
  <c r="Y2719" i="12"/>
  <c r="Y3437" i="12"/>
  <c r="Y1851" i="12"/>
  <c r="Y2825" i="12"/>
  <c r="Y3438" i="12"/>
  <c r="Y2433" i="12"/>
  <c r="Y390" i="12"/>
  <c r="Y2210" i="12"/>
  <c r="Y3019" i="12"/>
  <c r="Y443" i="12"/>
  <c r="Y2223" i="12"/>
  <c r="Y3020" i="12"/>
  <c r="Y469" i="12"/>
  <c r="Y2224" i="12"/>
  <c r="Y3021" i="12"/>
  <c r="Y523" i="12"/>
  <c r="Y2247" i="12"/>
  <c r="Y3030" i="12"/>
  <c r="Y549" i="12"/>
  <c r="Y2248" i="12"/>
  <c r="Y3031" i="12"/>
  <c r="Y604" i="12"/>
  <c r="Y2249" i="12"/>
  <c r="Y3044" i="12"/>
  <c r="Y631" i="12"/>
  <c r="Y1796" i="12"/>
  <c r="Y2783" i="12"/>
  <c r="Y3414" i="12"/>
  <c r="Y1423" i="12"/>
  <c r="Y3549" i="12"/>
  <c r="Y2690" i="12"/>
  <c r="Y2866" i="12"/>
  <c r="Y3482" i="12"/>
  <c r="Y3514" i="12"/>
  <c r="Y2630" i="12"/>
  <c r="Y1628" i="12"/>
  <c r="Y664" i="12"/>
  <c r="Y1306" i="12"/>
  <c r="Y1461" i="12"/>
  <c r="Y2616" i="12"/>
  <c r="Y1929" i="12"/>
  <c r="Y2064" i="12"/>
  <c r="Y467" i="12"/>
  <c r="Y1156" i="12"/>
  <c r="Y1254" i="12"/>
  <c r="Y730" i="12"/>
  <c r="Y2316" i="12"/>
  <c r="Y2323" i="12"/>
  <c r="Y3484" i="12"/>
  <c r="Y2017" i="12"/>
  <c r="Y3250" i="12"/>
  <c r="Y1425" i="12"/>
  <c r="Y599" i="12"/>
  <c r="Y2668" i="12"/>
  <c r="Y1960" i="12"/>
  <c r="Y3427" i="12"/>
  <c r="Y955" i="12"/>
  <c r="Y2725" i="12"/>
  <c r="Y821" i="12"/>
  <c r="Y2685" i="12"/>
  <c r="Y1070" i="12"/>
  <c r="Y3227" i="12"/>
  <c r="Y576" i="12"/>
  <c r="Y2576" i="12"/>
  <c r="Y1620" i="12"/>
  <c r="Y765" i="12"/>
  <c r="Y3192" i="12"/>
  <c r="Y2530" i="12"/>
  <c r="Y1047" i="12"/>
  <c r="Y3309" i="12"/>
  <c r="Y2656" i="12"/>
  <c r="Y858" i="12"/>
  <c r="Y2598" i="12"/>
  <c r="Y934" i="12"/>
  <c r="Y2981" i="12"/>
  <c r="Y799" i="12"/>
  <c r="Y2450" i="12"/>
  <c r="Y3294" i="12"/>
  <c r="Y1841" i="12"/>
  <c r="Y2853" i="12"/>
  <c r="Y3367" i="12"/>
  <c r="Y3057" i="12"/>
  <c r="Y3349" i="12"/>
  <c r="Y1484" i="12"/>
  <c r="Y2016" i="12"/>
  <c r="Y901" i="12"/>
  <c r="Y1124" i="12"/>
  <c r="Y2553" i="12"/>
  <c r="Y2554" i="12"/>
  <c r="Y2555" i="12"/>
  <c r="Y2566" i="12"/>
  <c r="Y3256" i="12"/>
  <c r="Y3257" i="12"/>
  <c r="Y1055" i="12"/>
  <c r="Y1599" i="12"/>
  <c r="Y2535" i="12"/>
  <c r="Y936" i="12"/>
  <c r="Y650" i="12"/>
  <c r="Y756" i="12"/>
  <c r="Y1068" i="12"/>
  <c r="Y125" i="12"/>
  <c r="Y346" i="12"/>
  <c r="Y871" i="12"/>
  <c r="Y1610" i="12"/>
  <c r="Y2123" i="12"/>
  <c r="Y2139" i="12"/>
  <c r="Y1564" i="12"/>
  <c r="Y1626" i="12"/>
  <c r="Y3228" i="12"/>
  <c r="Y1585" i="12"/>
  <c r="Y2949" i="12"/>
  <c r="Y384" i="12"/>
  <c r="Y2730" i="12"/>
  <c r="Y2235" i="12"/>
  <c r="Y1441" i="12"/>
  <c r="Y3171" i="12"/>
  <c r="Y851" i="12"/>
  <c r="Y1229" i="12"/>
  <c r="Y2747" i="12"/>
  <c r="Y869" i="12"/>
  <c r="Y2228" i="12"/>
  <c r="Y3416" i="12"/>
  <c r="Y2845" i="12"/>
  <c r="Y3411" i="12"/>
  <c r="Y2700" i="12"/>
  <c r="Y1679" i="12"/>
  <c r="Y903" i="12"/>
  <c r="Y3259" i="12"/>
  <c r="Y2561" i="12"/>
  <c r="Y1473" i="12"/>
  <c r="Y3352" i="12"/>
  <c r="Y2686" i="12"/>
  <c r="Y932" i="12"/>
  <c r="Y2660" i="12"/>
  <c r="Y119" i="12"/>
  <c r="Y2347" i="12"/>
  <c r="Y3315" i="12"/>
  <c r="Y1554" i="12"/>
  <c r="Y2844" i="12"/>
  <c r="Y3519" i="12"/>
  <c r="Y1898" i="12"/>
  <c r="Y2880" i="12"/>
  <c r="Y2290" i="12"/>
  <c r="Y2707" i="12"/>
  <c r="Y1652" i="12"/>
  <c r="Y2179" i="12"/>
  <c r="Y2429" i="12"/>
  <c r="Y1543" i="12"/>
  <c r="Y3303" i="12"/>
  <c r="Y3311" i="12"/>
  <c r="Y3312" i="12"/>
  <c r="Y3322" i="12"/>
  <c r="Y3326" i="12"/>
  <c r="Y3327" i="12"/>
  <c r="Y1867" i="12"/>
  <c r="Y3006" i="12"/>
  <c r="Y2883" i="12"/>
  <c r="Y2327" i="12"/>
  <c r="Y57" i="12"/>
  <c r="Y649" i="12"/>
  <c r="Y669" i="12"/>
  <c r="Y1614" i="12"/>
  <c r="Y2270" i="12"/>
  <c r="Y954" i="12"/>
  <c r="Y115" i="12"/>
  <c r="Y2058" i="12"/>
  <c r="Y1232" i="12"/>
  <c r="Y1492" i="12"/>
  <c r="Y1760" i="12"/>
  <c r="Y447" i="12"/>
  <c r="Y593" i="12"/>
  <c r="Y2662" i="12"/>
  <c r="Y2390" i="12"/>
  <c r="Y2414" i="12"/>
  <c r="Y213" i="12"/>
  <c r="Y2250" i="12"/>
  <c r="Y374" i="12"/>
  <c r="Y2340" i="12"/>
  <c r="Y1675" i="12"/>
  <c r="Y404" i="12"/>
  <c r="Y2739" i="12"/>
  <c r="Y895" i="12"/>
  <c r="Y1267" i="12"/>
  <c r="Y2867" i="12"/>
  <c r="Y151" i="12"/>
  <c r="Y2410" i="12"/>
  <c r="Y3453" i="12"/>
  <c r="Y2387" i="12"/>
  <c r="Y2426" i="12"/>
  <c r="Y2001" i="12"/>
  <c r="Y2321" i="12"/>
  <c r="Y370" i="12"/>
  <c r="Y1122" i="12"/>
  <c r="Y488" i="12"/>
  <c r="Y393" i="12"/>
  <c r="Y78" i="12"/>
  <c r="Y1118" i="12"/>
  <c r="Y1774" i="12"/>
  <c r="Y382" i="12"/>
  <c r="Y1331" i="12"/>
  <c r="Y565" i="12"/>
  <c r="Y1649" i="12"/>
  <c r="Y2328" i="12"/>
  <c r="Y70" i="12"/>
  <c r="Y891" i="12"/>
  <c r="Y1605" i="12"/>
  <c r="Y123" i="12"/>
  <c r="Y1054" i="12"/>
  <c r="Y2005" i="12"/>
  <c r="Y742" i="12"/>
  <c r="Y1437" i="12"/>
  <c r="Y347" i="12"/>
  <c r="Y1196" i="12"/>
  <c r="Y2115" i="12"/>
  <c r="Y918" i="12"/>
  <c r="Y1797" i="12"/>
  <c r="Y490" i="12"/>
  <c r="Y896" i="12"/>
  <c r="Y1794" i="12"/>
  <c r="Y2509" i="12"/>
  <c r="Y339" i="12"/>
  <c r="Y1343" i="12"/>
  <c r="Y2070" i="12"/>
  <c r="Y356" i="12"/>
  <c r="Y1411" i="12"/>
  <c r="Y2031" i="12"/>
  <c r="Y2636" i="12"/>
  <c r="Y2977" i="12"/>
  <c r="Y3436" i="12"/>
  <c r="Y721" i="12"/>
  <c r="Y1309" i="12"/>
  <c r="Y1965" i="12"/>
  <c r="Y2367" i="12"/>
  <c r="Y2762" i="12"/>
  <c r="Y3186" i="12"/>
  <c r="Y3506" i="12"/>
  <c r="Y209" i="12"/>
  <c r="Y1080" i="12"/>
  <c r="Y1911" i="12"/>
  <c r="Y2582" i="12"/>
  <c r="Y101" i="12"/>
  <c r="Y1275" i="12"/>
  <c r="Y1949" i="12"/>
  <c r="Y2605" i="12"/>
  <c r="Y3067" i="12"/>
  <c r="Y981" i="12"/>
  <c r="Y1892" i="12"/>
  <c r="Y2445" i="12"/>
  <c r="Y2957" i="12"/>
  <c r="Y3371" i="12"/>
  <c r="Y405" i="12"/>
  <c r="Y1333" i="12"/>
  <c r="Y1928" i="12"/>
  <c r="Y817" i="12"/>
  <c r="Y1631" i="12"/>
  <c r="Y2167" i="12"/>
  <c r="Y2663" i="12"/>
  <c r="Y3004" i="12"/>
  <c r="Y3379" i="12"/>
  <c r="Y682" i="12"/>
  <c r="Y1385" i="12"/>
  <c r="Y2105" i="12"/>
  <c r="Y2517" i="12"/>
  <c r="Y2927" i="12"/>
  <c r="Y3343" i="12"/>
  <c r="Y651" i="12"/>
  <c r="Y1937" i="12"/>
  <c r="Y2575" i="12"/>
  <c r="Y3136" i="12"/>
  <c r="Y1560" i="12"/>
  <c r="Y3040" i="12"/>
  <c r="Y231" i="12"/>
  <c r="Y1386" i="12"/>
  <c r="Y2422" i="12"/>
  <c r="Y3066" i="12"/>
  <c r="Y3431" i="12"/>
  <c r="Y1392" i="12"/>
  <c r="Y2763" i="12"/>
  <c r="Y423" i="12"/>
  <c r="Y606" i="12"/>
  <c r="Y1637" i="12"/>
  <c r="Y2528" i="12"/>
  <c r="Y3022" i="12"/>
  <c r="Y3509" i="12"/>
  <c r="Y1469" i="12"/>
  <c r="Y2252" i="12"/>
  <c r="Y2917" i="12"/>
  <c r="Y3307" i="12"/>
  <c r="Y916" i="12"/>
  <c r="Y2125" i="12"/>
  <c r="Y2683" i="12"/>
  <c r="Y3219" i="12"/>
  <c r="Y193" i="12"/>
  <c r="Y1648" i="12"/>
  <c r="Y2532" i="12"/>
  <c r="Y3054" i="12"/>
  <c r="Y3533" i="12"/>
  <c r="Y391" i="12"/>
  <c r="Y1433" i="12"/>
  <c r="Y2086" i="12"/>
  <c r="Y2510" i="12"/>
  <c r="Y2897" i="12"/>
  <c r="Y3179" i="12"/>
  <c r="Y3425" i="12"/>
  <c r="Y794" i="12"/>
  <c r="Y1548" i="12"/>
  <c r="Y2146" i="12"/>
  <c r="Y2544" i="12"/>
  <c r="Y2928" i="12"/>
  <c r="Y3203" i="12"/>
  <c r="Y3449" i="12"/>
  <c r="Y647" i="12"/>
  <c r="Y1319" i="12"/>
  <c r="Y1936" i="12"/>
  <c r="Y2382" i="12"/>
  <c r="Y2695" i="12"/>
  <c r="Y3010" i="12"/>
  <c r="Y3248" i="12"/>
  <c r="Y3450" i="12"/>
  <c r="Y245" i="12"/>
  <c r="Y1088" i="12"/>
  <c r="Y1680" i="12"/>
  <c r="Y2201" i="12"/>
  <c r="Y2522" i="12"/>
  <c r="Y2797" i="12"/>
  <c r="Y3041" i="12"/>
  <c r="Y3321" i="12"/>
  <c r="Y3524" i="12"/>
  <c r="Y1629" i="12"/>
  <c r="Y2884" i="12"/>
  <c r="Y112" i="12"/>
  <c r="Y2411" i="12"/>
  <c r="Y3210" i="12"/>
  <c r="Y2826" i="12"/>
  <c r="Y833" i="12"/>
  <c r="Y2415" i="12"/>
  <c r="Y3281" i="12"/>
  <c r="Y1682" i="12"/>
  <c r="Y2811" i="12"/>
  <c r="Y3504" i="12"/>
  <c r="Y2029" i="12"/>
  <c r="Y2913" i="12"/>
  <c r="Y3505" i="12"/>
  <c r="Y2736" i="12"/>
  <c r="Y968" i="12"/>
  <c r="Y2343" i="12"/>
  <c r="Y3095" i="12"/>
  <c r="Y971" i="12"/>
  <c r="Y2345" i="12"/>
  <c r="Y3098" i="12"/>
  <c r="Y973" i="12"/>
  <c r="Y2358" i="12"/>
  <c r="Y3106" i="12"/>
  <c r="Y988" i="12"/>
  <c r="Y2363" i="12"/>
  <c r="Y3107" i="12"/>
  <c r="Y991" i="12"/>
  <c r="Y2366" i="12"/>
  <c r="Y3118" i="12"/>
  <c r="Y1028" i="12"/>
  <c r="Y2377" i="12"/>
  <c r="Y3119" i="12"/>
  <c r="Y705" i="12"/>
  <c r="Y2396" i="12"/>
  <c r="Y3129" i="12"/>
  <c r="Y1217" i="12"/>
  <c r="Y2587" i="12"/>
  <c r="Y2209" i="12"/>
  <c r="Y3334" i="12"/>
  <c r="Y3190" i="12"/>
  <c r="Y1338" i="12"/>
  <c r="Y2130" i="12"/>
  <c r="Y3267" i="12"/>
  <c r="Y2286" i="12"/>
  <c r="Y24" i="12"/>
  <c r="Y585" i="12"/>
  <c r="Y2062" i="12"/>
  <c r="Y1029" i="12"/>
  <c r="Y140" i="12"/>
  <c r="Y316" i="12"/>
  <c r="Y820" i="12"/>
  <c r="Y1589" i="12"/>
  <c r="Y2081" i="12"/>
  <c r="Y1920" i="12"/>
  <c r="Y1510" i="12"/>
  <c r="Y1601" i="12"/>
  <c r="Y3148" i="12"/>
  <c r="Y1530" i="12"/>
  <c r="Y2864" i="12"/>
  <c r="Y324" i="12"/>
  <c r="Y2708" i="12"/>
  <c r="Y2204" i="12"/>
  <c r="Y1328" i="12"/>
  <c r="Y3015" i="12"/>
  <c r="Y1481" i="12"/>
  <c r="Y1702" i="12"/>
  <c r="Y3159" i="12"/>
  <c r="Y1634" i="12"/>
  <c r="Y3005" i="12"/>
  <c r="Y2050" i="12"/>
  <c r="Y3387" i="12"/>
  <c r="Y3138" i="12"/>
  <c r="Y3068" i="12"/>
  <c r="Y2067" i="12"/>
  <c r="Y85" i="12"/>
  <c r="Y3025" i="12"/>
  <c r="Y2217" i="12"/>
  <c r="Y844" i="12"/>
  <c r="Y286" i="12"/>
  <c r="Y2182" i="12"/>
  <c r="Y3537" i="12"/>
  <c r="Y2231" i="12"/>
  <c r="Y3517" i="12"/>
  <c r="Y2042" i="12"/>
  <c r="Y3088" i="12"/>
  <c r="Y586" i="12"/>
  <c r="Y2581" i="12"/>
  <c r="Y816" i="12"/>
  <c r="Y2614" i="12"/>
  <c r="Y3424" i="12"/>
  <c r="Y2324" i="12"/>
  <c r="Y1339" i="12"/>
  <c r="Y1363" i="12"/>
  <c r="Y1364" i="12"/>
  <c r="Y1396" i="12"/>
  <c r="Y1402" i="12"/>
  <c r="Y2586" i="12"/>
  <c r="Y3123" i="12"/>
  <c r="Y1432" i="12"/>
  <c r="Y1244" i="12"/>
  <c r="Y2644" i="12"/>
  <c r="Y610" i="12"/>
  <c r="Y2238" i="12"/>
  <c r="Y1853" i="12"/>
  <c r="Y1037" i="12"/>
  <c r="Y1472" i="12"/>
  <c r="Y1739" i="12"/>
  <c r="Y419" i="12"/>
  <c r="Y259" i="12"/>
  <c r="Y2577" i="12"/>
  <c r="Y2336" i="12"/>
  <c r="Y2361" i="12"/>
  <c r="Y174" i="12"/>
  <c r="Y2065" i="12"/>
  <c r="Y3298" i="12"/>
  <c r="Y1498" i="12"/>
  <c r="Y645" i="12"/>
  <c r="Y2814" i="12"/>
  <c r="Y2655" i="12"/>
  <c r="Y1516" i="12"/>
  <c r="Y1735" i="12"/>
  <c r="Y3177" i="12"/>
  <c r="Y1670" i="12"/>
  <c r="Y3102" i="12"/>
  <c r="Y2097" i="12"/>
  <c r="Y2281" i="12"/>
  <c r="Y1942" i="12"/>
  <c r="Y501" i="12"/>
  <c r="Y433" i="12"/>
  <c r="Y2713" i="12"/>
  <c r="Y1645" i="12"/>
  <c r="Y3510" i="12"/>
  <c r="Y2947" i="12"/>
  <c r="Y2129" i="12"/>
  <c r="Y383" i="12"/>
  <c r="Y2225" i="12"/>
  <c r="Y3291" i="12"/>
  <c r="Y1715" i="12"/>
  <c r="Y3059" i="12"/>
  <c r="Y3539" i="12"/>
  <c r="Y2096" i="12"/>
  <c r="Y3110" i="12"/>
  <c r="Y749" i="12"/>
  <c r="Y2612" i="12"/>
  <c r="Y77" i="12"/>
  <c r="Y1466" i="12"/>
  <c r="Y3439" i="12"/>
  <c r="Y3503" i="12"/>
  <c r="Y1116" i="12"/>
  <c r="Y3222" i="12"/>
  <c r="Y1545" i="12"/>
  <c r="Y1577" i="12"/>
  <c r="Y1578" i="12"/>
  <c r="Y1579" i="12"/>
  <c r="Y1594" i="12"/>
  <c r="Y2737" i="12"/>
  <c r="Y2827" i="12"/>
  <c r="Y3347" i="12"/>
  <c r="Y1451" i="12"/>
  <c r="Y136" i="12"/>
  <c r="Y1205" i="12"/>
  <c r="Y171" i="12"/>
  <c r="Y683" i="12"/>
  <c r="Y897" i="12"/>
  <c r="Y1633" i="12"/>
  <c r="Y2145" i="12"/>
  <c r="Y2188" i="12"/>
  <c r="Y1795" i="12"/>
  <c r="Y1651" i="12"/>
  <c r="Y3244" i="12"/>
  <c r="Y1609" i="12"/>
  <c r="Y3314" i="12"/>
  <c r="Y1532" i="12"/>
  <c r="Y783" i="12"/>
  <c r="Y2852" i="12"/>
  <c r="Y2245" i="12"/>
  <c r="Y1725" i="12"/>
  <c r="Y2430" i="12"/>
  <c r="Y1000" i="12"/>
  <c r="Y3160" i="12"/>
  <c r="Y2876" i="12"/>
  <c r="Y3456" i="12"/>
  <c r="Y3184" i="12"/>
  <c r="Y498" i="12"/>
  <c r="Y1282" i="12"/>
  <c r="Y648" i="12"/>
  <c r="Y409" i="12"/>
  <c r="Y294" i="12"/>
  <c r="Y1135" i="12"/>
  <c r="Y2046" i="12"/>
  <c r="Y401" i="12"/>
  <c r="Y1429" i="12"/>
  <c r="Y588" i="12"/>
  <c r="Y1666" i="12"/>
  <c r="Y2568" i="12"/>
  <c r="Y94" i="12"/>
  <c r="Y912" i="12"/>
  <c r="Y1673" i="12"/>
  <c r="Y150" i="12"/>
  <c r="Y1322" i="12"/>
  <c r="Y2044" i="12"/>
  <c r="Y769" i="12"/>
  <c r="Y1480" i="12"/>
  <c r="Y437" i="12"/>
  <c r="Y1468" i="12"/>
  <c r="Y2136" i="12"/>
  <c r="Y1129" i="12"/>
  <c r="Y1842" i="12"/>
  <c r="Y547" i="12"/>
  <c r="Y1198" i="12"/>
  <c r="Y1894" i="12"/>
  <c r="Y2526" i="12"/>
  <c r="Y491" i="12"/>
  <c r="Y1456" i="12"/>
  <c r="Y2276" i="12"/>
  <c r="Y431" i="12"/>
  <c r="Y1465" i="12"/>
  <c r="Y2128" i="12"/>
  <c r="Y2687" i="12"/>
  <c r="Y3131" i="12"/>
  <c r="Y3468" i="12"/>
  <c r="Y753" i="12"/>
  <c r="Y1337" i="12"/>
  <c r="Y1992" i="12"/>
  <c r="Y2471" i="12"/>
  <c r="Y2779" i="12"/>
  <c r="Y3218" i="12"/>
  <c r="Y3522" i="12"/>
  <c r="Y269" i="12"/>
  <c r="Y1389" i="12"/>
  <c r="Y2076" i="12"/>
  <c r="Y2646" i="12"/>
  <c r="Y158" i="12"/>
  <c r="Y1317" i="12"/>
  <c r="Y2172" i="12"/>
  <c r="Y2647" i="12"/>
  <c r="Y237" i="12"/>
  <c r="Y1097" i="12"/>
  <c r="Y1926" i="12"/>
  <c r="Y2592" i="12"/>
  <c r="Y2976" i="12"/>
  <c r="Y3408" i="12"/>
  <c r="Y464" i="12"/>
  <c r="Y1408" i="12"/>
  <c r="Y2090" i="12"/>
  <c r="Y909" i="12"/>
  <c r="Y1669" i="12"/>
  <c r="Y2226" i="12"/>
  <c r="Y2705" i="12"/>
  <c r="Y3101" i="12"/>
  <c r="Y3397" i="12"/>
  <c r="Y735" i="12"/>
  <c r="Y1419" i="12"/>
  <c r="Y2169" i="12"/>
  <c r="Y2643" i="12"/>
  <c r="Y2965" i="12"/>
  <c r="Y3361" i="12"/>
  <c r="Y725" i="12"/>
  <c r="Y1991" i="12"/>
  <c r="Y2729" i="12"/>
  <c r="Y3161" i="12"/>
  <c r="Y1783" i="12"/>
  <c r="Y3091" i="12"/>
  <c r="Y414" i="12"/>
  <c r="Y1782" i="12"/>
  <c r="Y2514" i="12"/>
  <c r="Y3115" i="12"/>
  <c r="Y3477" i="12"/>
  <c r="Y1506" i="12"/>
  <c r="Y3014" i="12"/>
  <c r="Y509" i="12"/>
  <c r="Y685" i="12"/>
  <c r="Y1695" i="12"/>
  <c r="Y2556" i="12"/>
  <c r="Y3169" i="12"/>
  <c r="Y3529" i="12"/>
  <c r="Y1524" i="12"/>
  <c r="Y2298" i="12"/>
  <c r="Y2944" i="12"/>
  <c r="Y3441" i="12"/>
  <c r="Y984" i="12"/>
  <c r="Y2175" i="12"/>
  <c r="Y2743" i="12"/>
  <c r="Y3263" i="12"/>
  <c r="Y773" i="12"/>
  <c r="Y1698" i="12"/>
  <c r="Y2627" i="12"/>
  <c r="Y3078" i="12"/>
  <c r="Y111" i="12"/>
  <c r="Y791" i="12"/>
  <c r="Y1487" i="12"/>
  <c r="Y2137" i="12"/>
  <c r="Y2539" i="12"/>
  <c r="Y2924" i="12"/>
  <c r="Y3201" i="12"/>
  <c r="Y3494" i="12"/>
  <c r="Y861" i="12"/>
  <c r="Y1608" i="12"/>
  <c r="Y2187" i="12"/>
  <c r="Y2633" i="12"/>
  <c r="Y2956" i="12"/>
  <c r="Y3247" i="12"/>
  <c r="Y3495" i="12"/>
  <c r="Y720" i="12"/>
  <c r="Y1436" i="12"/>
  <c r="Y1988" i="12"/>
  <c r="Y2418" i="12"/>
  <c r="Y2724" i="12"/>
  <c r="Y3037" i="12"/>
  <c r="Y3272" i="12"/>
  <c r="Y3475" i="12"/>
  <c r="Y506" i="12"/>
  <c r="Y1147" i="12"/>
  <c r="Y1784" i="12"/>
  <c r="Y2244" i="12"/>
  <c r="Y2551" i="12"/>
  <c r="Y2822" i="12"/>
  <c r="Y3070" i="12"/>
  <c r="Y3345" i="12"/>
  <c r="Y3545" i="12"/>
  <c r="Y1984" i="12"/>
  <c r="Y2978" i="12"/>
  <c r="Y785" i="12"/>
  <c r="Y2507" i="12"/>
  <c r="Y3279" i="12"/>
  <c r="Y3003" i="12"/>
  <c r="Y1091" i="12"/>
  <c r="Y2615" i="12"/>
  <c r="Y3355" i="12"/>
  <c r="Y1850" i="12"/>
  <c r="Y2912" i="12"/>
  <c r="Y253" i="12"/>
  <c r="Y2180" i="12"/>
  <c r="Y2995" i="12"/>
  <c r="Y287" i="12"/>
  <c r="Y2914" i="12"/>
  <c r="Y1157" i="12"/>
  <c r="Y2446" i="12"/>
  <c r="Y3166" i="12"/>
  <c r="Y1161" i="12"/>
  <c r="Y2462" i="12"/>
  <c r="Y3167" i="12"/>
  <c r="Y1179" i="12"/>
  <c r="Y2463" i="12"/>
  <c r="Y3168" i="12"/>
  <c r="Y1182" i="12"/>
  <c r="Y2464" i="12"/>
  <c r="Y3175" i="12"/>
  <c r="Y1212" i="12"/>
  <c r="Y2473" i="12"/>
  <c r="Y3176" i="12"/>
  <c r="Y1216" i="12"/>
  <c r="Y2477" i="12"/>
  <c r="Y3188" i="12"/>
  <c r="Y1786" i="12"/>
  <c r="Y2780" i="12"/>
  <c r="Y3413" i="12"/>
  <c r="Y1957" i="12"/>
  <c r="Y3235" i="12"/>
  <c r="Y2971" i="12"/>
  <c r="Y1705" i="12"/>
  <c r="Y3480" i="12"/>
  <c r="Y2056" i="12"/>
  <c r="Y2967" i="12"/>
  <c r="Y2266" i="12"/>
  <c r="Y3049" i="12"/>
  <c r="Y594" i="12"/>
  <c r="Y452" i="12"/>
  <c r="Y559" i="12"/>
  <c r="Y1683" i="12"/>
  <c r="Y1018" i="12"/>
  <c r="Y1344" i="12"/>
  <c r="Y1720" i="12"/>
  <c r="Y2177" i="12"/>
  <c r="Y222" i="12"/>
  <c r="Y2560" i="12"/>
  <c r="Y503" i="12"/>
  <c r="Y2721" i="12"/>
  <c r="Y788" i="12"/>
  <c r="Y2540" i="12"/>
  <c r="Y293" i="12"/>
  <c r="Y2107" i="12"/>
  <c r="Y1354" i="12"/>
  <c r="Y289" i="12"/>
  <c r="Y2613" i="12"/>
  <c r="Y805" i="12"/>
  <c r="Y149" i="12"/>
  <c r="Y2359" i="12"/>
  <c r="Y3433" i="12"/>
  <c r="Y2199" i="12"/>
  <c r="Y3380" i="12"/>
  <c r="Y2758" i="12"/>
  <c r="Y2152" i="12"/>
  <c r="Y1832" i="12"/>
  <c r="Y420" i="12"/>
  <c r="Y671" i="12"/>
  <c r="Y2618" i="12"/>
  <c r="Y1583" i="12"/>
  <c r="Y3486" i="12"/>
  <c r="Y2919" i="12"/>
  <c r="Y1755" i="12"/>
  <c r="Y3198" i="12"/>
  <c r="Y1546" i="12"/>
  <c r="Y2955" i="12"/>
  <c r="Y3246" i="12"/>
  <c r="Y1659" i="12"/>
  <c r="Y2661" i="12"/>
  <c r="Y3293" i="12"/>
  <c r="Y1496" i="12"/>
  <c r="Y2786" i="12"/>
  <c r="Y3496" i="12"/>
  <c r="Y1270" i="12"/>
  <c r="Y2282" i="12"/>
  <c r="Y3092" i="12"/>
  <c r="Y2155" i="12"/>
  <c r="Y1089" i="12"/>
  <c r="Y3155" i="12"/>
  <c r="Y2711" i="12"/>
  <c r="Y2993" i="12"/>
  <c r="Y3081" i="12"/>
  <c r="Y3084" i="12"/>
  <c r="Y3236" i="12"/>
  <c r="Y3237" i="12"/>
  <c r="Y3242" i="12"/>
  <c r="Y3245" i="12"/>
  <c r="Y2569" i="12"/>
  <c r="Y1403" i="12"/>
  <c r="Y2378" i="12"/>
  <c r="Y2491" i="12"/>
  <c r="Y2691" i="12"/>
  <c r="Y3547" i="12"/>
  <c r="Y676" i="12"/>
  <c r="Y120" i="12"/>
  <c r="Y633" i="12"/>
  <c r="Y1390" i="12"/>
  <c r="Y1541" i="12"/>
  <c r="Y2648" i="12"/>
  <c r="Y1946" i="12"/>
  <c r="Y2351" i="12"/>
  <c r="Y525" i="12"/>
  <c r="Y1180" i="12"/>
  <c r="Y1285" i="12"/>
  <c r="Y864" i="12"/>
  <c r="Y810" i="12"/>
  <c r="Y2738" i="12"/>
  <c r="Y855" i="12"/>
  <c r="Y2557" i="12"/>
  <c r="Y333" i="12"/>
  <c r="Y2313" i="12"/>
  <c r="Y1391" i="12"/>
  <c r="Y351" i="12"/>
  <c r="Y2121" i="12"/>
  <c r="Y3463" i="12"/>
  <c r="Y202" i="12"/>
  <c r="Y2409" i="12"/>
  <c r="Y3543" i="12"/>
  <c r="Y2706" i="12"/>
  <c r="Y1260" i="12"/>
  <c r="Y3339" i="12"/>
  <c r="Y652" i="12"/>
  <c r="Y3162" i="12"/>
  <c r="Y3116" i="12"/>
  <c r="Y2119" i="12"/>
  <c r="Y608" i="12"/>
  <c r="Y3051" i="12"/>
  <c r="Y2260" i="12"/>
  <c r="Y922" i="12"/>
  <c r="Y3241" i="12"/>
  <c r="Y1658" i="12"/>
  <c r="Y3007" i="12"/>
  <c r="Y1065" i="12"/>
  <c r="Y2694" i="12"/>
  <c r="Y942" i="12"/>
  <c r="Y2483" i="12"/>
  <c r="Y3316" i="12"/>
  <c r="Y1335" i="12"/>
  <c r="Y2322" i="12"/>
  <c r="Y3117" i="12"/>
  <c r="Y3412" i="12"/>
  <c r="Y3142" i="12"/>
  <c r="Y3423" i="12"/>
  <c r="Y2807" i="12"/>
  <c r="Y3073" i="12"/>
  <c r="Y3153" i="12"/>
  <c r="Y1336" i="12"/>
  <c r="Y2649" i="12"/>
  <c r="Y2650" i="12"/>
  <c r="Y2657" i="12"/>
  <c r="Y2658" i="12"/>
  <c r="Y2674" i="12"/>
  <c r="Y2677" i="12"/>
  <c r="Y3402" i="12"/>
  <c r="Y2588" i="12"/>
  <c r="Y1978" i="12"/>
  <c r="Y3302" i="12"/>
  <c r="Y850" i="12"/>
  <c r="Y2824" i="12"/>
  <c r="Y1963" i="12"/>
  <c r="Y48" i="12"/>
  <c r="Y878" i="12"/>
  <c r="Y1307" i="12"/>
  <c r="Y1315" i="12"/>
  <c r="Y899" i="12"/>
  <c r="Y843" i="12"/>
  <c r="Y2909" i="12"/>
  <c r="Y986" i="12"/>
  <c r="Y2574" i="12"/>
  <c r="Y3001" i="12"/>
  <c r="Y782" i="12"/>
  <c r="Y2751" i="12"/>
  <c r="Y2317" i="12"/>
  <c r="Y1476" i="12"/>
  <c r="Y3189" i="12"/>
  <c r="Y3481" i="12"/>
  <c r="Y257" i="12"/>
  <c r="Y1803" i="12"/>
  <c r="Y3195" i="12"/>
  <c r="Y1736" i="12"/>
  <c r="Y2726" i="12"/>
  <c r="Y1320" i="12"/>
  <c r="Y3364" i="12"/>
  <c r="Y1076" i="12"/>
  <c r="Y2733" i="12"/>
  <c r="Y660" i="12"/>
  <c r="Y866" i="12"/>
  <c r="Y688" i="12"/>
  <c r="Y407" i="12"/>
  <c r="Y417" i="12"/>
  <c r="Y1635" i="12"/>
  <c r="Y908" i="12"/>
  <c r="Y2227" i="12"/>
  <c r="Y109" i="12"/>
  <c r="Y1035" i="12"/>
  <c r="Y3260" i="12"/>
  <c r="Y2272" i="12"/>
  <c r="Y518" i="12"/>
  <c r="Y2910" i="12"/>
  <c r="Y2871" i="12"/>
  <c r="Y2759" i="12"/>
  <c r="Y1757" i="12"/>
  <c r="Y2495" i="12"/>
  <c r="Y1190" i="12"/>
  <c r="Y3178" i="12"/>
  <c r="Y2902" i="12"/>
  <c r="Y1203" i="12"/>
  <c r="Y747" i="12"/>
  <c r="Y751" i="12"/>
  <c r="Y2859" i="12"/>
  <c r="Y980" i="12"/>
  <c r="Y3217" i="12"/>
  <c r="Y2332" i="12"/>
  <c r="Y3552" i="12"/>
  <c r="Y2921" i="12"/>
  <c r="Y1001" i="12"/>
  <c r="Y2447" i="12"/>
  <c r="Y3358" i="12"/>
  <c r="Y1765" i="12"/>
  <c r="Y2843" i="12"/>
  <c r="Y309" i="12"/>
  <c r="Y2147" i="12"/>
  <c r="Y2931" i="12"/>
  <c r="Y2242" i="12"/>
  <c r="Y1952" i="12"/>
  <c r="Y2735" i="12"/>
  <c r="Y3457" i="12"/>
  <c r="Y3200" i="12"/>
  <c r="Y3071" i="12"/>
  <c r="Y2010" i="12"/>
  <c r="Y2305" i="12"/>
  <c r="Y1684" i="12"/>
  <c r="Y1685" i="12"/>
  <c r="Y2740" i="12"/>
  <c r="Y2063" i="12"/>
  <c r="Y1903" i="12"/>
  <c r="Y1747" i="12"/>
  <c r="Y3534" i="12"/>
  <c r="Y3467" i="12"/>
  <c r="Y3401" i="12"/>
  <c r="Y2398" i="12"/>
  <c r="Y2131" i="12"/>
  <c r="Y2494" i="12"/>
  <c r="Y1522" i="12"/>
  <c r="Y1646" i="12"/>
  <c r="Y270" i="12"/>
  <c r="Y1024" i="12"/>
  <c r="Y2727" i="12"/>
  <c r="Y848" i="12"/>
  <c r="Y2925" i="12"/>
  <c r="Y3454" i="12"/>
  <c r="Y1351" i="12"/>
  <c r="Y191" i="12"/>
  <c r="Y1539" i="12"/>
  <c r="Y2784" i="12"/>
  <c r="Y3157" i="12"/>
  <c r="Y884" i="12"/>
  <c r="Y1059" i="12"/>
  <c r="Y2992" i="12"/>
  <c r="Y3513" i="12"/>
  <c r="Y2854" i="12"/>
  <c r="Y1955" i="12"/>
  <c r="Y3046" i="12"/>
  <c r="Y73" i="12"/>
  <c r="Y2117" i="12"/>
  <c r="Y1400" i="12"/>
  <c r="Y1104" i="12"/>
  <c r="Y1709" i="12"/>
  <c r="Y240" i="12"/>
  <c r="Y2432" i="12"/>
  <c r="Y2846" i="12"/>
  <c r="Y3304" i="12"/>
  <c r="Y2176" i="12"/>
  <c r="Y3033" i="12"/>
  <c r="Y3337" i="12"/>
  <c r="Y3338" i="12"/>
  <c r="Y3231" i="12"/>
  <c r="Y928" i="12"/>
  <c r="Y3221" i="12"/>
  <c r="Y3381" i="12"/>
  <c r="Y2767" i="12"/>
  <c r="Y3165" i="12"/>
  <c r="Y137" i="12"/>
  <c r="Y1241" i="12"/>
  <c r="Y1897" i="12"/>
  <c r="Y3052" i="12"/>
  <c r="Y1586" i="12"/>
  <c r="Y3342" i="12"/>
  <c r="Y2935" i="12"/>
  <c r="Y2163" i="12"/>
  <c r="Y1531" i="12"/>
  <c r="Y852" i="12"/>
  <c r="Y1128" i="12"/>
  <c r="Y1611" i="12"/>
  <c r="Y1449" i="12"/>
  <c r="Y2400" i="12"/>
  <c r="Y197" i="12"/>
  <c r="Y1711" i="12"/>
  <c r="Y3459" i="12"/>
  <c r="Y2941" i="12"/>
  <c r="Y1030" i="12"/>
  <c r="Y2922" i="12"/>
  <c r="Y2840" i="12"/>
  <c r="Y1574" i="12"/>
  <c r="Y2926" i="12"/>
  <c r="Y2388" i="12"/>
  <c r="Y941" i="12"/>
  <c r="Y2749" i="12"/>
  <c r="Y3341" i="12"/>
  <c r="Y699" i="12"/>
  <c r="Y3443" i="12"/>
  <c r="Y2306" i="12"/>
  <c r="Y2756" i="12"/>
  <c r="Y2874" i="12"/>
  <c r="Y2640" i="12"/>
  <c r="Y2800" i="12"/>
  <c r="Y1303" i="12"/>
  <c r="Y1733" i="12"/>
  <c r="Y3392" i="12"/>
  <c r="Y1031" i="12"/>
  <c r="Y2596" i="12"/>
  <c r="Y3064" i="12"/>
  <c r="Y1596" i="12"/>
  <c r="Y2943" i="12"/>
  <c r="Y2412" i="12"/>
  <c r="Y2071" i="12"/>
  <c r="Y2451" i="12"/>
  <c r="Y603" i="12"/>
  <c r="Y3193" i="12"/>
  <c r="Y2746" i="12"/>
  <c r="Y3336" i="12"/>
  <c r="Y129" i="12"/>
  <c r="Y235" i="12"/>
  <c r="Y3435" i="12"/>
  <c r="Y1848" i="12"/>
  <c r="Y1519" i="12"/>
  <c r="Y1738" i="12"/>
  <c r="Y3393" i="12"/>
  <c r="Y3258" i="12"/>
  <c r="Y946" i="12"/>
  <c r="Y827" i="12"/>
  <c r="Y522" i="12"/>
  <c r="Y439" i="12"/>
  <c r="Y1811" i="12"/>
  <c r="Y938" i="12"/>
  <c r="Y51" i="12"/>
  <c r="Y144" i="12"/>
  <c r="Y1093" i="12"/>
  <c r="Y3404" i="12"/>
  <c r="Y2291" i="12"/>
  <c r="Y557" i="12"/>
  <c r="Y2929" i="12"/>
  <c r="Y2891" i="12"/>
  <c r="Y2860" i="12"/>
  <c r="Y1826" i="12"/>
  <c r="Y2515" i="12"/>
  <c r="Y1269" i="12"/>
  <c r="Y3197" i="12"/>
  <c r="Y3089" i="12"/>
  <c r="Y1261" i="12"/>
  <c r="Y812" i="12"/>
  <c r="Y826" i="12"/>
  <c r="Y2885" i="12"/>
  <c r="Y1696" i="12"/>
  <c r="Y3261" i="12"/>
  <c r="Y2531" i="12"/>
  <c r="Y1049" i="12"/>
  <c r="Y2951" i="12"/>
  <c r="Y1062" i="12"/>
  <c r="Y2722" i="12"/>
  <c r="Y3382" i="12"/>
  <c r="Y1882" i="12"/>
  <c r="Y3087" i="12"/>
  <c r="Y398" i="12"/>
  <c r="Y2274" i="12"/>
  <c r="Y3135" i="12"/>
  <c r="Y2821" i="12"/>
  <c r="Y2003" i="12"/>
  <c r="Y2908" i="12"/>
  <c r="Y3479" i="12"/>
  <c r="Y3278" i="12"/>
  <c r="Y927" i="12"/>
  <c r="Y2160" i="12"/>
  <c r="Y2428" i="12"/>
  <c r="Y2527" i="12"/>
  <c r="Y2034" i="12"/>
  <c r="Y2837" i="12"/>
  <c r="Y2750" i="12"/>
  <c r="Y2082" i="12"/>
  <c r="Y1924" i="12"/>
  <c r="Y1761" i="12"/>
  <c r="Y3535" i="12"/>
  <c r="Y3469" i="12"/>
  <c r="Y2444" i="12"/>
  <c r="Y2969" i="12"/>
  <c r="Y2882" i="12"/>
  <c r="Y2267" i="12"/>
  <c r="Y1321" i="12"/>
  <c r="Y1533" i="12"/>
  <c r="Y1900" i="12"/>
  <c r="Y1932" i="12"/>
  <c r="Y917" i="12"/>
  <c r="Y3243" i="12"/>
  <c r="Y1874" i="12"/>
  <c r="Y2460" i="12"/>
  <c r="Y3283" i="12"/>
  <c r="Y2974" i="12"/>
  <c r="Y1714" i="12"/>
  <c r="Y2381" i="12"/>
  <c r="Y2573" i="12"/>
  <c r="Y2357" i="12"/>
  <c r="Y1650" i="12"/>
  <c r="Y3146" i="12"/>
  <c r="Y3377" i="12"/>
  <c r="Y2766" i="12"/>
  <c r="Y3094" i="12"/>
  <c r="Y3199" i="12"/>
  <c r="Y26" i="12"/>
  <c r="Y1219" i="12"/>
  <c r="Y1846" i="12"/>
  <c r="Y1606" i="12"/>
  <c r="Y1514" i="12"/>
  <c r="Y3214" i="12"/>
  <c r="Y2672" i="12"/>
  <c r="Y1467" i="12"/>
  <c r="Y700" i="12"/>
  <c r="Y3354" i="12"/>
  <c r="Y474" i="12"/>
  <c r="Y1131" i="12"/>
  <c r="Y959" i="12"/>
  <c r="Y1816" i="12"/>
  <c r="Y3289" i="12"/>
  <c r="Y3447" i="12"/>
  <c r="Y2855" i="12"/>
  <c r="Y3370" i="12"/>
  <c r="Y2114" i="12"/>
  <c r="Y284" i="12"/>
  <c r="Y2134" i="12"/>
  <c r="Y1640" i="12"/>
  <c r="Y1133" i="12"/>
  <c r="Y1847" i="12"/>
  <c r="Y1345" i="12"/>
  <c r="Y1501" i="12"/>
  <c r="Y3432" i="12"/>
  <c r="Y2652" i="12"/>
  <c r="Y2218" i="12"/>
  <c r="Y3058" i="12"/>
  <c r="Y3359" i="12"/>
  <c r="Y3384" i="12"/>
  <c r="Y3255" i="12"/>
  <c r="Y1148" i="12"/>
  <c r="Y3290" i="12"/>
  <c r="Y3391" i="12"/>
  <c r="Y2770" i="12"/>
  <c r="Y1242" i="12"/>
  <c r="Y1006" i="12"/>
  <c r="Y1779" i="12"/>
  <c r="Y2442" i="12"/>
  <c r="Y1660" i="12"/>
  <c r="Y2391" i="12"/>
  <c r="Y2006" i="12"/>
  <c r="Y2419" i="12"/>
  <c r="Y2214" i="12"/>
  <c r="Y1592" i="12"/>
  <c r="Y118" i="12"/>
  <c r="Y1185" i="12"/>
  <c r="Y1663" i="12"/>
  <c r="Y1511" i="12"/>
  <c r="Y2505" i="12"/>
  <c r="Y853" i="12"/>
  <c r="Y1899" i="12"/>
  <c r="Y3460" i="12"/>
  <c r="Y2865" i="12"/>
  <c r="Y1959" i="12"/>
  <c r="Y1023" i="12"/>
  <c r="Y1935" i="12"/>
  <c r="Y239" i="12"/>
  <c r="Y3474" i="12"/>
  <c r="Y2375" i="12"/>
  <c r="Y2887" i="12"/>
  <c r="Y3365" i="12"/>
  <c r="Y907" i="12"/>
  <c r="Y3511" i="12"/>
  <c r="Y2416" i="12"/>
  <c r="Y2785" i="12"/>
  <c r="Y2901" i="12"/>
  <c r="Y2673" i="12"/>
  <c r="Y2979" i="12"/>
  <c r="Y1512" i="12"/>
  <c r="Y1901" i="12"/>
  <c r="Y3461" i="12"/>
  <c r="Y1799" i="12"/>
  <c r="Y3265" i="12"/>
  <c r="Y168" i="12"/>
  <c r="Y1630" i="12"/>
  <c r="Y1283" i="12"/>
  <c r="Y1350" i="12"/>
  <c r="Y76" i="12"/>
  <c r="Y1655" i="12"/>
  <c r="Y661" i="12"/>
  <c r="Y995" i="12"/>
  <c r="Y1906" i="12"/>
  <c r="Y332" i="12"/>
  <c r="Y2591" i="12"/>
  <c r="Y874" i="12"/>
  <c r="Y876" i="12"/>
  <c r="Y804" i="12"/>
  <c r="Y3207" i="12"/>
  <c r="Y367" i="12"/>
  <c r="Y2906" i="12"/>
  <c r="Y1772" i="12"/>
  <c r="Y131" i="12"/>
  <c r="Y3407" i="12"/>
  <c r="Y2098" i="12"/>
  <c r="Y2394" i="12"/>
  <c r="Y975" i="12"/>
  <c r="Y2942" i="12"/>
  <c r="Y2068" i="12"/>
  <c r="Y92" i="12"/>
  <c r="Y2564" i="12"/>
  <c r="Y1110" i="12"/>
  <c r="Y3286" i="12"/>
  <c r="Y1183" i="12"/>
  <c r="Y2754" i="12"/>
  <c r="Y221" i="12"/>
  <c r="Y2036" i="12"/>
  <c r="Y3134" i="12"/>
  <c r="Y1008" i="12"/>
  <c r="Y2311" i="12"/>
  <c r="Y3158" i="12"/>
  <c r="Y814" i="12"/>
  <c r="Y2054" i="12"/>
  <c r="Y2963" i="12"/>
  <c r="Y752" i="12"/>
  <c r="Y3348" i="12"/>
  <c r="Y1866" i="12"/>
  <c r="Y2896" i="12"/>
  <c r="Y2617" i="12"/>
  <c r="Y2629" i="12"/>
  <c r="Y3369" i="12"/>
  <c r="Y2923" i="12"/>
  <c r="Y2838" i="12"/>
  <c r="Y2753" i="12"/>
  <c r="Y2085" i="12"/>
  <c r="Y1925" i="12"/>
  <c r="Y1762" i="12"/>
  <c r="Y3546" i="12"/>
  <c r="Y2798" i="12"/>
  <c r="Y1627" i="12"/>
  <c r="Y3191" i="12"/>
  <c r="Y2678" i="12"/>
  <c r="Y424" i="12"/>
  <c r="Y694" i="12"/>
  <c r="Y369" i="12"/>
  <c r="Y919" i="12"/>
  <c r="Y679" i="12"/>
  <c r="Y227" i="12"/>
  <c r="Y2355" i="12"/>
  <c r="Y2120" i="12"/>
  <c r="Y3332" i="12"/>
  <c r="Y308" i="12"/>
  <c r="Y1066" i="12"/>
  <c r="Y3204" i="12"/>
  <c r="Y2991" i="12"/>
  <c r="Y2205" i="12"/>
  <c r="Y2720" i="12"/>
  <c r="Y2939" i="12"/>
  <c r="Y2111" i="12"/>
  <c r="Y3130" i="12"/>
  <c r="Y3333" i="12"/>
  <c r="Y2178" i="12"/>
  <c r="Y478" i="12"/>
  <c r="Y2431" i="12"/>
  <c r="Y3018" i="12"/>
  <c r="Y1304" i="12"/>
  <c r="Y1380" i="12"/>
  <c r="Y3366" i="12"/>
  <c r="Y2590" i="12"/>
  <c r="Y3026" i="12"/>
  <c r="Y1764" i="12"/>
  <c r="Y2449" i="12"/>
  <c r="Y2606" i="12"/>
  <c r="Y2395" i="12"/>
  <c r="Y1276" i="12"/>
  <c r="Y3072" i="12"/>
  <c r="Y2326" i="12"/>
  <c r="Y2940" i="12"/>
  <c r="Y2113" i="12"/>
  <c r="Y349" i="12"/>
  <c r="Y3056" i="12"/>
  <c r="Y2296" i="12"/>
  <c r="Y535" i="12"/>
  <c r="Y2448" i="12"/>
  <c r="Y1843" i="12"/>
  <c r="Y299" i="12"/>
  <c r="Y2453" i="12"/>
  <c r="Y2877" i="12"/>
  <c r="Y3440" i="12"/>
  <c r="Y3053" i="12"/>
  <c r="Y1930" i="12"/>
  <c r="Y2481" i="12"/>
  <c r="Y2635" i="12"/>
  <c r="Y2427" i="12"/>
  <c r="Y2157" i="12"/>
  <c r="Y3357" i="12"/>
  <c r="Y3526" i="12"/>
  <c r="Y2857" i="12"/>
  <c r="Y3446" i="12"/>
  <c r="Y19" i="12"/>
  <c r="Y707" i="12"/>
  <c r="Y2275" i="12"/>
  <c r="Y3394" i="12"/>
  <c r="Y2350" i="12"/>
  <c r="Y203" i="12"/>
  <c r="Y3501" i="12"/>
  <c r="Y53" i="12"/>
  <c r="Y2715" i="12"/>
  <c r="Y2339" i="12"/>
  <c r="Y3132" i="12"/>
  <c r="Y3383" i="12"/>
  <c r="Y3406" i="12"/>
  <c r="Y3277" i="12"/>
  <c r="Y1280" i="12"/>
  <c r="Y3368" i="12"/>
  <c r="Y3527" i="12"/>
  <c r="Y2953" i="12"/>
  <c r="Y3483" i="12"/>
  <c r="Y38" i="12"/>
  <c r="Y940" i="12"/>
  <c r="Y2314" i="12"/>
  <c r="Y1737" i="12"/>
  <c r="Y2500" i="12"/>
  <c r="Y1098" i="12"/>
  <c r="Y267" i="12"/>
  <c r="Y3523" i="12"/>
  <c r="Y2251" i="12"/>
  <c r="Y1697" i="12"/>
  <c r="Y208" i="12"/>
  <c r="Y1248" i="12"/>
  <c r="Y1773" i="12"/>
  <c r="Y1569" i="12"/>
  <c r="Y2597" i="12"/>
  <c r="Y1095" i="12"/>
  <c r="Y2061" i="12"/>
  <c r="Y3528" i="12"/>
  <c r="Y2954" i="12"/>
  <c r="Y2493" i="12"/>
  <c r="S59" i="12"/>
  <c r="S62" i="12"/>
  <c r="S52" i="12"/>
  <c r="S57" i="12"/>
  <c r="S66" i="12"/>
  <c r="S60" i="12"/>
  <c r="S64" i="12"/>
  <c r="S55" i="12"/>
  <c r="S54" i="12"/>
  <c r="S63" i="12"/>
  <c r="S53" i="12"/>
  <c r="S67" i="12"/>
  <c r="S51" i="12"/>
  <c r="S61" i="12"/>
  <c r="J36" i="5"/>
  <c r="J91" i="5"/>
  <c r="J126" i="5"/>
  <c r="J81" i="5"/>
  <c r="J94" i="5"/>
  <c r="J7" i="5"/>
  <c r="J12" i="5"/>
  <c r="J117" i="5"/>
  <c r="J104" i="5"/>
  <c r="J72" i="5"/>
  <c r="J75" i="5"/>
  <c r="J5" i="5"/>
  <c r="J98" i="5"/>
  <c r="J30" i="5"/>
  <c r="J44" i="5"/>
  <c r="J3" i="5"/>
  <c r="J93" i="5"/>
  <c r="J102" i="5"/>
  <c r="J70" i="5"/>
  <c r="J1" i="5"/>
  <c r="J52" i="5"/>
  <c r="J125" i="5"/>
  <c r="J26" i="5"/>
  <c r="J32" i="5"/>
  <c r="J80" i="5"/>
  <c r="J99" i="5"/>
  <c r="J64" i="5"/>
  <c r="J107" i="5"/>
  <c r="J78" i="5"/>
  <c r="J85" i="5"/>
  <c r="J47" i="5"/>
  <c r="J34" i="5"/>
  <c r="J109" i="5"/>
  <c r="J88" i="5"/>
  <c r="J103" i="5"/>
  <c r="J8" i="5"/>
  <c r="J71" i="5"/>
  <c r="J118" i="5"/>
  <c r="J59" i="5"/>
  <c r="J114" i="5"/>
  <c r="J46" i="5"/>
  <c r="J68" i="5"/>
  <c r="J43" i="5"/>
  <c r="J121" i="5"/>
  <c r="J112" i="5"/>
  <c r="J22" i="5"/>
  <c r="J50" i="5"/>
  <c r="J23" i="5"/>
  <c r="J120" i="5"/>
  <c r="J77" i="5"/>
  <c r="J96" i="5"/>
  <c r="J33" i="5"/>
  <c r="J57" i="5"/>
  <c r="J21" i="5"/>
  <c r="J2" i="5"/>
  <c r="J56" i="5"/>
  <c r="J69" i="5"/>
  <c r="J92" i="5"/>
  <c r="J97" i="5"/>
  <c r="J95" i="5"/>
  <c r="J110" i="5"/>
  <c r="J111" i="5"/>
  <c r="J67" i="5"/>
  <c r="J101" i="5"/>
  <c r="J31" i="5"/>
  <c r="J100" i="5"/>
  <c r="J62" i="5"/>
  <c r="J18" i="5"/>
  <c r="J45" i="5"/>
  <c r="J20" i="5"/>
  <c r="J37" i="5"/>
  <c r="J9" i="5"/>
  <c r="J84" i="5"/>
  <c r="J24" i="5"/>
  <c r="J49" i="5"/>
  <c r="J38" i="5"/>
  <c r="J82" i="5"/>
  <c r="J60" i="5"/>
  <c r="J83" i="5"/>
  <c r="J119" i="5"/>
  <c r="J4" i="5"/>
  <c r="J54" i="5"/>
  <c r="J11" i="5"/>
  <c r="J86" i="5"/>
  <c r="J41" i="5"/>
  <c r="J14" i="5"/>
  <c r="J79" i="5"/>
  <c r="J123" i="5"/>
  <c r="J25" i="5"/>
  <c r="J90" i="5"/>
  <c r="J10" i="5"/>
  <c r="J58" i="5"/>
  <c r="J113" i="5"/>
  <c r="J29" i="5"/>
  <c r="J108" i="5"/>
  <c r="J39" i="5"/>
  <c r="J105" i="5"/>
  <c r="J63" i="5"/>
  <c r="J53" i="5"/>
  <c r="J116" i="5"/>
  <c r="J28" i="5"/>
  <c r="J89" i="5"/>
  <c r="J6" i="5"/>
  <c r="J122" i="5"/>
  <c r="J16" i="5"/>
  <c r="J73" i="5"/>
  <c r="J48" i="5"/>
  <c r="J66" i="5"/>
  <c r="J106" i="5"/>
  <c r="J40" i="5"/>
  <c r="J35" i="5"/>
  <c r="J115" i="5"/>
  <c r="J27" i="5"/>
  <c r="J61" i="5"/>
  <c r="J55" i="5"/>
  <c r="J76" i="5"/>
  <c r="J124" i="5"/>
  <c r="J42" i="5"/>
  <c r="J19" i="5"/>
  <c r="J74" i="5"/>
  <c r="J13" i="5"/>
  <c r="J87" i="5"/>
  <c r="J17" i="5"/>
  <c r="J51" i="5"/>
  <c r="J15" i="5"/>
  <c r="J65" i="5"/>
  <c r="S65" i="12"/>
  <c r="S58" i="12"/>
  <c r="S56" i="12"/>
  <c r="S68" i="12"/>
  <c r="R29" i="12"/>
  <c r="R28" i="12"/>
  <c r="R22" i="12"/>
  <c r="R39" i="12"/>
  <c r="R43" i="12"/>
  <c r="R38" i="12"/>
  <c r="R25" i="12"/>
  <c r="R49" i="12"/>
  <c r="R41" i="12"/>
  <c r="R33" i="12"/>
  <c r="R26" i="12"/>
  <c r="R23" i="12"/>
  <c r="R42" i="12"/>
  <c r="R32" i="12"/>
  <c r="R35" i="12"/>
  <c r="R37" i="12"/>
  <c r="R27" i="12"/>
  <c r="R48" i="12"/>
  <c r="R21" i="12"/>
  <c r="R44" i="12"/>
  <c r="R46" i="12"/>
  <c r="R34" i="12"/>
  <c r="R45" i="12"/>
  <c r="Z19" i="12" a="1"/>
  <c r="R36" i="12"/>
  <c r="R40" i="12"/>
  <c r="R20" i="12"/>
  <c r="R47" i="12"/>
  <c r="D29" i="6"/>
  <c r="R19" i="12"/>
  <c r="R50" i="12"/>
  <c r="R24" i="12"/>
  <c r="S48" i="12" l="1"/>
  <c r="S44" i="12"/>
  <c r="S35" i="12"/>
  <c r="S40" i="12"/>
  <c r="S38" i="12"/>
  <c r="S33" i="12"/>
  <c r="S36" i="12"/>
  <c r="S37" i="12"/>
  <c r="S26" i="12"/>
  <c r="S49" i="12"/>
  <c r="S21" i="12"/>
  <c r="S23" i="12"/>
  <c r="S39" i="12"/>
  <c r="S50" i="12"/>
  <c r="S32" i="12"/>
  <c r="S46" i="12"/>
  <c r="S28" i="12"/>
  <c r="S19" i="12"/>
  <c r="S45" i="12"/>
  <c r="S27" i="12"/>
  <c r="S22" i="12"/>
  <c r="S42" i="12"/>
  <c r="S24" i="12"/>
  <c r="S41" i="12"/>
  <c r="S20" i="12"/>
  <c r="S34" i="12"/>
  <c r="S47" i="12"/>
  <c r="S25" i="12"/>
  <c r="S43" i="12"/>
  <c r="Z1159" i="12"/>
  <c r="Z637" i="12"/>
  <c r="Z3330" i="12"/>
  <c r="Z1381" i="12"/>
  <c r="Z2122" i="12"/>
  <c r="Z24" i="12"/>
  <c r="Z634" i="12"/>
  <c r="Z1370" i="12"/>
  <c r="Z3046" i="12"/>
  <c r="Z176" i="12"/>
  <c r="Z3312" i="12"/>
  <c r="Z3200" i="12"/>
  <c r="Z1014" i="12"/>
  <c r="Z2245" i="12"/>
  <c r="Z2054" i="12"/>
  <c r="Z974" i="12"/>
  <c r="Z2252" i="12"/>
  <c r="Z1781" i="12"/>
  <c r="Z566" i="12"/>
  <c r="Z234" i="12"/>
  <c r="Z1082" i="12"/>
  <c r="Z177" i="12"/>
  <c r="Z862" i="12"/>
  <c r="Z461" i="12"/>
  <c r="Z565" i="12"/>
  <c r="Z523" i="12"/>
  <c r="Z783" i="12"/>
  <c r="Z3542" i="12"/>
  <c r="Z1146" i="12"/>
  <c r="Z1566" i="12"/>
  <c r="Z2960" i="12"/>
  <c r="Z2022" i="12"/>
  <c r="Z1528" i="12"/>
  <c r="Z3455" i="12"/>
  <c r="Z2799" i="12"/>
  <c r="Z1503" i="12"/>
  <c r="Z344" i="12"/>
  <c r="Z1495" i="12"/>
  <c r="Z836" i="12"/>
  <c r="Z66" i="12"/>
  <c r="Z1067" i="12"/>
  <c r="Z355" i="12"/>
  <c r="Z838" i="12"/>
  <c r="Z3524" i="12"/>
  <c r="Z924" i="12"/>
  <c r="Z1818" i="12"/>
  <c r="Z209" i="12"/>
  <c r="Z2217" i="12"/>
  <c r="Z211" i="12"/>
  <c r="Z1108" i="12"/>
  <c r="Z2900" i="12"/>
  <c r="Z1193" i="12"/>
  <c r="Z1491" i="12"/>
  <c r="Z3397" i="12"/>
  <c r="Z1959" i="12"/>
  <c r="Z3452" i="12"/>
  <c r="Z328" i="12"/>
  <c r="Z2746" i="12"/>
  <c r="Z1671" i="12"/>
  <c r="Z2113" i="12"/>
  <c r="Z3038" i="12"/>
  <c r="Z629" i="12"/>
  <c r="Z240" i="12"/>
  <c r="Z3435" i="12"/>
  <c r="Z1417" i="12"/>
  <c r="Z2431" i="12"/>
  <c r="Z2617" i="12"/>
  <c r="Z445" i="12"/>
  <c r="Z562" i="12"/>
  <c r="Z3130" i="12"/>
  <c r="Z1348" i="12"/>
  <c r="Z3392" i="12"/>
  <c r="Z2415" i="12"/>
  <c r="Z3084" i="12"/>
  <c r="Z1016" i="12"/>
  <c r="Z2721" i="12"/>
  <c r="Z3054" i="12"/>
  <c r="Z1650" i="12"/>
  <c r="Z3256" i="12"/>
  <c r="Z3550" i="12"/>
  <c r="Z1023" i="12"/>
  <c r="Z309" i="12"/>
  <c r="Z3433" i="12"/>
  <c r="Z1083" i="12"/>
  <c r="Z2642" i="12"/>
  <c r="Z2729" i="12"/>
  <c r="Z1683" i="12"/>
  <c r="Z537" i="12"/>
  <c r="Z913" i="12"/>
  <c r="Z549" i="12"/>
  <c r="Z1551" i="12"/>
  <c r="Z1879" i="12"/>
  <c r="Z2786" i="12"/>
  <c r="Z367" i="12"/>
  <c r="Z469" i="12"/>
  <c r="Z653" i="12"/>
  <c r="Z2143" i="12"/>
  <c r="Z2355" i="12"/>
  <c r="Z2190" i="12"/>
  <c r="Z44" i="12"/>
  <c r="Z3108" i="12"/>
  <c r="Z476" i="12"/>
  <c r="Z1591" i="12"/>
  <c r="Z1992" i="12"/>
  <c r="Z1997" i="12"/>
  <c r="Z1942" i="12"/>
  <c r="Z582" i="12"/>
  <c r="Z3547" i="12"/>
  <c r="Z2174" i="12"/>
  <c r="Z1626" i="12"/>
  <c r="Z3174" i="12"/>
  <c r="Z384" i="12"/>
  <c r="Z538" i="12"/>
  <c r="Z2489" i="12"/>
  <c r="Z2454" i="12"/>
  <c r="Z875" i="12"/>
  <c r="Z1343" i="12"/>
  <c r="Z3088" i="12"/>
  <c r="Z1326" i="12"/>
  <c r="Z1630" i="12"/>
  <c r="Z828" i="12"/>
  <c r="Z2458" i="12"/>
  <c r="Z2025" i="12"/>
  <c r="Z743" i="12"/>
  <c r="Z3168" i="12"/>
  <c r="Z1535" i="12"/>
  <c r="Z2870" i="12"/>
  <c r="Z2758" i="12"/>
  <c r="Z129" i="12"/>
  <c r="Z3169" i="12"/>
  <c r="Z3226" i="12"/>
  <c r="Z2197" i="12"/>
  <c r="Z27" i="12"/>
  <c r="Z2857" i="12"/>
  <c r="Z2882" i="12"/>
  <c r="Z2927" i="12"/>
  <c r="Z491" i="12"/>
  <c r="Z2692" i="12"/>
  <c r="Z452" i="12"/>
  <c r="Z1598" i="12"/>
  <c r="Z1974" i="12"/>
  <c r="Z1202" i="12"/>
  <c r="Z3096" i="12"/>
  <c r="Z1746" i="12"/>
  <c r="Z2589" i="12"/>
  <c r="Z1805" i="12"/>
  <c r="Z1999" i="12"/>
  <c r="Z2440" i="12"/>
  <c r="Z2939" i="12"/>
  <c r="Z938" i="12"/>
  <c r="Z246" i="12"/>
  <c r="Z522" i="12"/>
  <c r="Z612" i="12"/>
  <c r="Z2821" i="12"/>
  <c r="Z2506" i="12"/>
  <c r="Z1855" i="12"/>
  <c r="Z669" i="12"/>
  <c r="Z2264" i="12"/>
  <c r="Z3271" i="12"/>
  <c r="Z1147" i="12"/>
  <c r="Z419" i="12"/>
  <c r="Z2982" i="12"/>
  <c r="Z2026" i="12"/>
  <c r="Z1311" i="12"/>
  <c r="Z2828" i="12"/>
  <c r="Z1305" i="12"/>
  <c r="Z3378" i="12"/>
  <c r="Z1026" i="12"/>
  <c r="Z2019" i="12"/>
  <c r="Z2837" i="12"/>
  <c r="Z2671" i="12"/>
  <c r="Z1256" i="12"/>
  <c r="Z1235" i="12"/>
  <c r="Z2151" i="12"/>
  <c r="Z1258" i="12"/>
  <c r="Z512" i="12"/>
  <c r="Z2975" i="12"/>
  <c r="Z148" i="12"/>
  <c r="Z468" i="12"/>
  <c r="Z116" i="12"/>
  <c r="Z2209" i="12"/>
  <c r="Z672" i="12"/>
  <c r="Z2009" i="12"/>
  <c r="Z134" i="12"/>
  <c r="Z1175" i="12"/>
  <c r="Z2919" i="12"/>
  <c r="Z1464" i="12"/>
  <c r="Z542" i="12"/>
  <c r="Z2575" i="12"/>
  <c r="Z3548" i="12"/>
  <c r="Z822" i="12"/>
  <c r="Z1611" i="12"/>
  <c r="Z1698" i="12"/>
  <c r="Z3412" i="12"/>
  <c r="Z757" i="12"/>
  <c r="Z1213" i="12"/>
  <c r="Z2091" i="12"/>
  <c r="Z2876" i="12"/>
  <c r="Z3372" i="12"/>
  <c r="Z260" i="12"/>
  <c r="Z1480" i="12"/>
  <c r="Z1859" i="12"/>
  <c r="Z281" i="12"/>
  <c r="Z1454" i="12"/>
  <c r="Z3215" i="12"/>
  <c r="Z3526" i="12"/>
  <c r="Z458" i="12"/>
  <c r="Z675" i="12"/>
  <c r="Z2885" i="12"/>
  <c r="Z1948" i="12"/>
  <c r="Z63" i="12"/>
  <c r="Z770" i="12"/>
  <c r="Z2423" i="12"/>
  <c r="Z1912" i="12"/>
  <c r="Z2965" i="12"/>
  <c r="Z2258" i="12"/>
  <c r="Z20" i="12"/>
  <c r="Z256" i="12"/>
  <c r="Z1628" i="12"/>
  <c r="Z2634" i="12"/>
  <c r="Z2723" i="12"/>
  <c r="Z1000" i="12"/>
  <c r="Z26" i="12"/>
  <c r="Z2451" i="12"/>
  <c r="Z1010" i="12"/>
  <c r="Z2306" i="12"/>
  <c r="Z2078" i="12"/>
  <c r="Z2523" i="12"/>
  <c r="Z2936" i="12"/>
  <c r="Z2222" i="12"/>
  <c r="Z556" i="12"/>
  <c r="Z2356" i="12"/>
  <c r="Z2417" i="12"/>
  <c r="Z119" i="12"/>
  <c r="Z1003" i="12"/>
  <c r="Z1738" i="12"/>
  <c r="Z3161" i="12"/>
  <c r="Z2404" i="12"/>
  <c r="Z1009" i="12"/>
  <c r="Z94" i="12"/>
  <c r="Z1554" i="12"/>
  <c r="Z1584" i="12"/>
  <c r="Z695" i="12"/>
  <c r="Z2244" i="12"/>
  <c r="Z670" i="12"/>
  <c r="Z2977" i="12"/>
  <c r="Z1780" i="12"/>
  <c r="Z1635" i="12"/>
  <c r="Z3111" i="12"/>
  <c r="Z1289" i="12"/>
  <c r="Z1722" i="12"/>
  <c r="Z2304" i="12"/>
  <c r="Z2940" i="12"/>
  <c r="Z528" i="12"/>
  <c r="Z1138" i="12"/>
  <c r="Z3486" i="12"/>
  <c r="Z2420" i="12"/>
  <c r="Z2298" i="12"/>
  <c r="Z3220" i="12"/>
  <c r="Z3183" i="12"/>
  <c r="Z2633" i="12"/>
  <c r="Z1621" i="12"/>
  <c r="Z3380" i="12"/>
  <c r="Z3000" i="12"/>
  <c r="Z41" i="12"/>
  <c r="Z3503" i="12"/>
  <c r="Z3062" i="12"/>
  <c r="Z433" i="12"/>
  <c r="Z808" i="12"/>
  <c r="Z2157" i="12"/>
  <c r="Z967" i="12"/>
  <c r="Z3279" i="12"/>
  <c r="Z3510" i="12"/>
  <c r="Z317" i="12"/>
  <c r="Z1979" i="12"/>
  <c r="Z2365" i="12"/>
  <c r="Z3494" i="12"/>
  <c r="Z1021" i="12"/>
  <c r="Z2303" i="12"/>
  <c r="Z3520" i="12"/>
  <c r="Z3401" i="12"/>
  <c r="Z613" i="12"/>
  <c r="Z1006" i="12"/>
  <c r="Z2679" i="12"/>
  <c r="Z496" i="12"/>
  <c r="Z548" i="12"/>
  <c r="Z2116" i="12"/>
  <c r="Z1571" i="12"/>
  <c r="Z806" i="12"/>
  <c r="Z1770" i="12"/>
  <c r="Z657" i="12"/>
  <c r="Z1357" i="12"/>
  <c r="Z2056" i="12"/>
  <c r="Z1894" i="12"/>
  <c r="Z274" i="12"/>
  <c r="Z1729" i="12"/>
  <c r="Z166" i="12"/>
  <c r="Z2184" i="12"/>
  <c r="Z315" i="12"/>
  <c r="Z1428" i="12"/>
  <c r="Z794" i="12"/>
  <c r="Z2548" i="12"/>
  <c r="Z3068" i="12"/>
  <c r="Z1741" i="12"/>
  <c r="Z563" i="12"/>
  <c r="Z2724" i="12"/>
  <c r="Z436" i="12"/>
  <c r="Z1941" i="12"/>
  <c r="Z1272" i="12"/>
  <c r="Z1360" i="12"/>
  <c r="Z704" i="12"/>
  <c r="Z697" i="12"/>
  <c r="Z1358" i="12"/>
  <c r="Z216" i="12"/>
  <c r="Z1646" i="12"/>
  <c r="Z1240" i="12"/>
  <c r="Z2292" i="12"/>
  <c r="Z3413" i="12"/>
  <c r="Z786" i="12"/>
  <c r="Z1847" i="12"/>
  <c r="Z826" i="12"/>
  <c r="Z2060" i="12"/>
  <c r="Z1297" i="12"/>
  <c r="Z3034" i="12"/>
  <c r="Z3142" i="12"/>
  <c r="Z3110" i="12"/>
  <c r="Z2590" i="12"/>
  <c r="Z1090" i="12"/>
  <c r="Z2047" i="12"/>
  <c r="Z1106" i="12"/>
  <c r="Z635" i="12"/>
  <c r="Z1709" i="12"/>
  <c r="Z1291" i="12"/>
  <c r="Z1605" i="12"/>
  <c r="Z2477" i="12"/>
  <c r="Z2535" i="12"/>
  <c r="Z3447" i="12"/>
  <c r="Z524" i="12"/>
  <c r="Z3024" i="12"/>
  <c r="Z811" i="12"/>
  <c r="Z673" i="12"/>
  <c r="Z1349" i="12"/>
  <c r="Z2635" i="12"/>
  <c r="Z2171" i="12"/>
  <c r="Z2855" i="12"/>
  <c r="Z2672" i="12"/>
  <c r="Z95" i="12"/>
  <c r="Z1408" i="12"/>
  <c r="Z3002" i="12"/>
  <c r="Z1609" i="12"/>
  <c r="Z2953" i="12"/>
  <c r="Z1459" i="12"/>
  <c r="Z756" i="12"/>
  <c r="Z688" i="12"/>
  <c r="Z2690" i="12"/>
  <c r="Z2203" i="12"/>
  <c r="Z1071" i="12"/>
  <c r="Z2735" i="12"/>
  <c r="Z1303" i="12"/>
  <c r="Z2179" i="12"/>
  <c r="Z224" i="12"/>
  <c r="Z3094" i="12"/>
  <c r="Z457" i="12"/>
  <c r="Z1152" i="12"/>
  <c r="Z1737" i="12"/>
  <c r="Z595" i="12"/>
  <c r="Z3025" i="12"/>
  <c r="Z3429" i="12"/>
  <c r="Z2680" i="12"/>
  <c r="Z2508" i="12"/>
  <c r="Z1129" i="12"/>
  <c r="Z2495" i="12"/>
  <c r="Z2987" i="12"/>
  <c r="Z1254" i="12"/>
  <c r="Z2594" i="12"/>
  <c r="Z1141" i="12"/>
  <c r="Z2712" i="12"/>
  <c r="Z2163" i="12"/>
  <c r="Z792" i="12"/>
  <c r="Z610" i="12"/>
  <c r="Z2345" i="12"/>
  <c r="Z498" i="12"/>
  <c r="Z2526" i="12"/>
  <c r="Z1697" i="12"/>
  <c r="Z606" i="12"/>
  <c r="Z480" i="12"/>
  <c r="Z2181" i="12"/>
  <c r="Z3083" i="12"/>
  <c r="Z2845" i="12"/>
  <c r="Z190" i="12"/>
  <c r="Z499" i="12"/>
  <c r="Z140" i="12"/>
  <c r="Z1353" i="12"/>
  <c r="Z3032" i="12"/>
  <c r="Z1988" i="12"/>
  <c r="Z2012" i="12"/>
  <c r="Z1119" i="12"/>
  <c r="Z3473" i="12"/>
  <c r="Z181" i="12"/>
  <c r="Z1161" i="12"/>
  <c r="Z3134" i="12"/>
  <c r="Z125" i="12"/>
  <c r="Z1007" i="12"/>
  <c r="Z719" i="12"/>
  <c r="Z1295" i="12"/>
  <c r="Z1537" i="12"/>
  <c r="Z423" i="12"/>
  <c r="Z619" i="12"/>
  <c r="Z2956" i="12"/>
  <c r="Z351" i="12"/>
  <c r="Z1398" i="12"/>
  <c r="Z932" i="12"/>
  <c r="Z849" i="12"/>
  <c r="Z21" i="12"/>
  <c r="Z1238" i="12"/>
  <c r="Z183" i="12"/>
  <c r="Z2568" i="12"/>
  <c r="Z970" i="12"/>
  <c r="Z2246" i="12"/>
  <c r="Z3184" i="12"/>
  <c r="Z456" i="12"/>
  <c r="Z1346" i="12"/>
  <c r="Z202" i="12"/>
  <c r="Z3199" i="12"/>
  <c r="Z2958" i="12"/>
  <c r="Z1118" i="12"/>
  <c r="Z365" i="12"/>
  <c r="Z2348" i="12"/>
  <c r="Z2941" i="12"/>
  <c r="Z937" i="12"/>
  <c r="Z89" i="12"/>
  <c r="Z3365" i="12"/>
  <c r="Z259" i="12"/>
  <c r="Z1966" i="12"/>
  <c r="Z552" i="12"/>
  <c r="Z3019" i="12"/>
  <c r="Z1224" i="12"/>
  <c r="Z2705" i="12"/>
  <c r="Z1024" i="12"/>
  <c r="Z73" i="12"/>
  <c r="Z2284" i="12"/>
  <c r="Z2578" i="12"/>
  <c r="Z1536" i="12"/>
  <c r="Z3213" i="12"/>
  <c r="Z3070" i="12"/>
  <c r="Z3308" i="12"/>
  <c r="Z2697" i="12"/>
  <c r="Z1164" i="12"/>
  <c r="Z1678" i="12"/>
  <c r="Z2644" i="12"/>
  <c r="Z1898" i="12"/>
  <c r="Z1899" i="12"/>
  <c r="Z2925" i="12"/>
  <c r="Z3409" i="12"/>
  <c r="Z2917" i="12"/>
  <c r="Z720" i="12"/>
  <c r="Z2230" i="12"/>
  <c r="Z3382" i="12"/>
  <c r="Z408" i="12"/>
  <c r="Z1461" i="12"/>
  <c r="Z3009" i="12"/>
  <c r="Z1532" i="12"/>
  <c r="Z2752" i="12"/>
  <c r="Z790" i="12"/>
  <c r="Z70" i="12"/>
  <c r="Z1049" i="12"/>
  <c r="Z2030" i="12"/>
  <c r="Z2542" i="12"/>
  <c r="Z980" i="12"/>
  <c r="Z923" i="12"/>
  <c r="Z2776" i="12"/>
  <c r="Z229" i="12"/>
  <c r="Z214" i="12"/>
  <c r="Z795" i="12"/>
  <c r="Z3379" i="12"/>
  <c r="Z894" i="12"/>
  <c r="Z1064" i="12"/>
  <c r="Z2829" i="12"/>
  <c r="Z2410" i="12"/>
  <c r="Z3098" i="12"/>
  <c r="Z1669" i="12"/>
  <c r="Z1473" i="12"/>
  <c r="Z2667" i="12"/>
  <c r="Z111" i="12"/>
  <c r="Z2798" i="12"/>
  <c r="Z2216" i="12"/>
  <c r="Z3531" i="12"/>
  <c r="Z3416" i="12"/>
  <c r="Z2339" i="12"/>
  <c r="Z1973" i="12"/>
  <c r="Z1830" i="12"/>
  <c r="Z2159" i="12"/>
  <c r="Z314" i="12"/>
  <c r="Z1112" i="12"/>
  <c r="Z3115" i="12"/>
  <c r="Z3229" i="12"/>
  <c r="Z1252" i="12"/>
  <c r="Z2092" i="12"/>
  <c r="Z2725" i="12"/>
  <c r="Z2446" i="12"/>
  <c r="Z208" i="12"/>
  <c r="Z3192" i="12"/>
  <c r="Z1929" i="12"/>
  <c r="Z127" i="12"/>
  <c r="Z860" i="12"/>
  <c r="Z1101" i="12"/>
  <c r="Z79" i="12"/>
  <c r="Z2472" i="12"/>
  <c r="Z925" i="12"/>
  <c r="Z1839" i="12"/>
  <c r="Z172" i="12"/>
  <c r="Z3498" i="12"/>
  <c r="Z2968" i="12"/>
  <c r="Z1742" i="12"/>
  <c r="Z2631" i="12"/>
  <c r="Z812" i="12"/>
  <c r="Z682" i="12"/>
  <c r="Z2089" i="12"/>
  <c r="Z2126" i="12"/>
  <c r="Z2008" i="12"/>
  <c r="Z3245" i="12"/>
  <c r="Z252" i="12"/>
  <c r="Z343" i="12"/>
  <c r="Z751" i="12"/>
  <c r="Z2946" i="12"/>
  <c r="Z3217" i="12"/>
  <c r="Z3373" i="12"/>
  <c r="Z1761" i="12"/>
  <c r="Z330" i="12"/>
  <c r="Z3050" i="12"/>
  <c r="Z888" i="12"/>
  <c r="Z300" i="12"/>
  <c r="Z573" i="12"/>
  <c r="Z3313" i="12"/>
  <c r="Z1787" i="12"/>
  <c r="Z1828" i="12"/>
  <c r="Z1031" i="12"/>
  <c r="Z617" i="12"/>
  <c r="Z2674" i="12"/>
  <c r="Z1943" i="12"/>
  <c r="Z157" i="12"/>
  <c r="Z939" i="12"/>
  <c r="Z29" i="12"/>
  <c r="Z2130" i="12"/>
  <c r="Z2011" i="12"/>
  <c r="Z471" i="12"/>
  <c r="Z676" i="12"/>
  <c r="Z2428" i="12"/>
  <c r="Z1268" i="12"/>
  <c r="Z622" i="12"/>
  <c r="Z3404" i="12"/>
  <c r="Z3325" i="12"/>
  <c r="Z1642" i="12"/>
  <c r="Z1945" i="12"/>
  <c r="Z3049" i="12"/>
  <c r="Z1200" i="12"/>
  <c r="Z2233" i="12"/>
  <c r="Z2551" i="12"/>
  <c r="Z3063" i="12"/>
  <c r="Z3484" i="12"/>
  <c r="Z1602" i="12"/>
  <c r="Z1519" i="12"/>
  <c r="Z2698" i="12"/>
  <c r="Z1788" i="12"/>
  <c r="Z866" i="12"/>
  <c r="Z1468" i="12"/>
  <c r="Z1576" i="12"/>
  <c r="Z604" i="12"/>
  <c r="Z2579" i="12"/>
  <c r="Z2694" i="12"/>
  <c r="Z1524" i="12"/>
  <c r="Z533" i="12"/>
  <c r="Z1391" i="12"/>
  <c r="Z426" i="12"/>
  <c r="Z1148" i="12"/>
  <c r="Z2422" i="12"/>
  <c r="Z3403" i="12"/>
  <c r="Z3233" i="12"/>
  <c r="Z1636" i="12"/>
  <c r="Z2325" i="12"/>
  <c r="Z1301" i="12"/>
  <c r="Z454" i="12"/>
  <c r="Z78" i="12"/>
  <c r="Z3218" i="12"/>
  <c r="Z727" i="12"/>
  <c r="Z3138" i="12"/>
  <c r="Z591" i="12"/>
  <c r="Z3030" i="12"/>
  <c r="Z2967" i="12"/>
  <c r="Z611" i="12"/>
  <c r="Z3333" i="12"/>
  <c r="Z3112" i="12"/>
  <c r="Z1284" i="12"/>
  <c r="Z19" i="12"/>
  <c r="Z52" i="12"/>
  <c r="Z1523" i="12"/>
  <c r="Z28" i="12"/>
  <c r="Z93" i="12"/>
  <c r="Z1338" i="12"/>
  <c r="Z993" i="12"/>
  <c r="Z2730" i="12"/>
  <c r="Z126" i="12"/>
  <c r="Z847" i="12"/>
  <c r="Z686" i="12"/>
  <c r="Z2899" i="12"/>
  <c r="Z948" i="12"/>
  <c r="Z2059" i="12"/>
  <c r="Z451" i="12"/>
  <c r="Z2581" i="12"/>
  <c r="Z203" i="12"/>
  <c r="Z2427" i="12"/>
  <c r="Z3152" i="12"/>
  <c r="Z807" i="12"/>
  <c r="Z68" i="12"/>
  <c r="Z141" i="12"/>
  <c r="Z2310" i="12"/>
  <c r="Z3173" i="12"/>
  <c r="Z2017" i="12"/>
  <c r="Z797" i="12"/>
  <c r="Z3015" i="12"/>
  <c r="Z605" i="12"/>
  <c r="Z1221" i="12"/>
  <c r="Z782" i="12"/>
  <c r="Z90" i="12"/>
  <c r="Z1423" i="12"/>
  <c r="Z1833" i="12"/>
  <c r="Z2081" i="12"/>
  <c r="Z2455" i="12"/>
  <c r="Z223" i="12"/>
  <c r="Z855" i="12"/>
  <c r="Z1660" i="12"/>
  <c r="Z2938" i="12"/>
  <c r="Z518" i="12"/>
  <c r="Z585" i="12"/>
  <c r="Z2436" i="12"/>
  <c r="Z2007" i="12"/>
  <c r="Z663" i="12"/>
  <c r="Z1810" i="12"/>
  <c r="Z943" i="12"/>
  <c r="Z2979" i="12"/>
  <c r="Z1335" i="12"/>
  <c r="Z2287" i="12"/>
  <c r="Z1996" i="12"/>
  <c r="Z189" i="12"/>
  <c r="Z945" i="12"/>
  <c r="Z393" i="12"/>
  <c r="Z835" i="12"/>
  <c r="Z2759" i="12"/>
  <c r="Z1944" i="12"/>
  <c r="Z1273" i="12"/>
  <c r="Z1539" i="12"/>
  <c r="Z2301" i="12"/>
  <c r="Z1070" i="12"/>
  <c r="Z865" i="12"/>
  <c r="Z1054" i="12"/>
  <c r="Z515" i="12"/>
  <c r="Z3395" i="12"/>
  <c r="Z3191" i="12"/>
  <c r="Z2567" i="12"/>
  <c r="Z295" i="12"/>
  <c r="Z1950" i="12"/>
  <c r="Z1764" i="12"/>
  <c r="Z340" i="12"/>
  <c r="Z2879" i="12"/>
  <c r="Z601" i="12"/>
  <c r="Z1073" i="12"/>
  <c r="Z632" i="12"/>
  <c r="Z2511" i="12"/>
  <c r="Z2391" i="12"/>
  <c r="Z421" i="12"/>
  <c r="Z2516" i="12"/>
  <c r="Z791" i="12"/>
  <c r="Z1562" i="12"/>
  <c r="Z3353" i="12"/>
  <c r="Z2839" i="12"/>
  <c r="Z1719" i="12"/>
  <c r="Z2794" i="12"/>
  <c r="Z3454" i="12"/>
  <c r="Z3176" i="12"/>
  <c r="Z3359" i="12"/>
  <c r="Z1952" i="12"/>
  <c r="Z2073" i="12"/>
  <c r="Z700" i="12"/>
  <c r="Z3358" i="12"/>
  <c r="Z1756" i="12"/>
  <c r="Z1171" i="12"/>
  <c r="Z350" i="12"/>
  <c r="Z1986" i="12"/>
  <c r="Z705" i="12"/>
  <c r="Z730" i="12"/>
  <c r="Z1376" i="12"/>
  <c r="Z2646" i="12"/>
  <c r="Z1995" i="12"/>
  <c r="Z694" i="12"/>
  <c r="Z43" i="12"/>
  <c r="Z508" i="12"/>
  <c r="Z519" i="12"/>
  <c r="Z2263" i="12"/>
  <c r="Z114" i="12"/>
  <c r="Z2286" i="12"/>
  <c r="Z137" i="12"/>
  <c r="Z2783" i="12"/>
  <c r="Z2737" i="12"/>
  <c r="Z732" i="12"/>
  <c r="Z2133" i="12"/>
  <c r="Z2973" i="12"/>
  <c r="Z662" i="12"/>
  <c r="Z1544" i="12"/>
  <c r="Z645" i="12"/>
  <c r="Z1306" i="12"/>
  <c r="Z1465" i="12"/>
  <c r="Z1253" i="12"/>
  <c r="Z1277" i="12"/>
  <c r="Z2607" i="12"/>
  <c r="Z1489" i="12"/>
  <c r="Z714" i="12"/>
  <c r="Z1134" i="12"/>
  <c r="Z2466" i="12"/>
  <c r="Z1884" i="12"/>
  <c r="Z1128" i="12"/>
  <c r="Z959" i="12"/>
  <c r="Z551" i="12"/>
  <c r="Z2605" i="12"/>
  <c r="Z3057" i="12"/>
  <c r="Z37" i="12"/>
  <c r="Z935" i="12"/>
  <c r="Z2261" i="12"/>
  <c r="Z971" i="12"/>
  <c r="Z2621" i="12"/>
  <c r="Z1280" i="12"/>
  <c r="Z3477" i="12"/>
  <c r="Z2131" i="12"/>
  <c r="Z470" i="12"/>
  <c r="Z941" i="12"/>
  <c r="Z3465" i="12"/>
  <c r="Z2803" i="12"/>
  <c r="Z1608" i="12"/>
  <c r="Z874" i="12"/>
  <c r="Z3272" i="12"/>
  <c r="Z2400" i="12"/>
  <c r="Z170" i="12"/>
  <c r="Z410" i="12"/>
  <c r="Z2743" i="12"/>
  <c r="Z3352" i="12"/>
  <c r="Z3144" i="12"/>
  <c r="Z2043" i="12"/>
  <c r="Z1114" i="12"/>
  <c r="Z1259" i="12"/>
  <c r="Z460" i="12"/>
  <c r="Z162" i="12"/>
  <c r="Z334" i="12"/>
  <c r="Z2162" i="12"/>
  <c r="Z1834" i="12"/>
  <c r="Z798" i="12"/>
  <c r="Z101" i="12"/>
  <c r="Z1212" i="12"/>
  <c r="Z1900" i="12"/>
  <c r="Z2756" i="12"/>
  <c r="Z3422" i="12"/>
  <c r="Z969" i="12"/>
  <c r="Z2544" i="12"/>
  <c r="Z3221" i="12"/>
  <c r="Z1667" i="12"/>
  <c r="Z1001" i="12"/>
  <c r="Z3383" i="12"/>
  <c r="Z1135" i="12"/>
  <c r="Z2842" i="12"/>
  <c r="Z800" i="12"/>
  <c r="Z282" i="12"/>
  <c r="Z2706" i="12"/>
  <c r="Z2914" i="12"/>
  <c r="Z1526" i="12"/>
  <c r="Z1034" i="12"/>
  <c r="Z91" i="12"/>
  <c r="Z364" i="12"/>
  <c r="Z3126" i="12"/>
  <c r="Z887" i="12"/>
  <c r="Z1422" i="12"/>
  <c r="Z1275" i="12"/>
  <c r="Z2816" i="12"/>
  <c r="Z473" i="12"/>
  <c r="Z3332" i="12"/>
  <c r="Z1053" i="12"/>
  <c r="Z3338" i="12"/>
  <c r="Z1583" i="12"/>
  <c r="Z2963" i="12"/>
  <c r="Z1337" i="12"/>
  <c r="Z738" i="12"/>
  <c r="Z1384" i="12"/>
  <c r="Z139" i="12"/>
  <c r="Z1430" i="12"/>
  <c r="Z3128" i="12"/>
  <c r="Z1179" i="12"/>
  <c r="Z931" i="12"/>
  <c r="Z2779" i="12"/>
  <c r="Z3114" i="12"/>
  <c r="Z2166" i="12"/>
  <c r="Z3430" i="12"/>
  <c r="Z2040" i="12"/>
  <c r="Z1556" i="12"/>
  <c r="Z1707" i="12"/>
  <c r="Z965" i="12"/>
  <c r="Z1022" i="12"/>
  <c r="Z1232" i="12"/>
  <c r="Z3438" i="12"/>
  <c r="Z2530" i="12"/>
  <c r="Z1250" i="12"/>
  <c r="Z1726" i="12"/>
  <c r="Z511" i="12"/>
  <c r="Z897" i="12"/>
  <c r="Z3081" i="12"/>
  <c r="Z3224" i="12"/>
  <c r="Z739" i="12"/>
  <c r="Z2539" i="12"/>
  <c r="Z933" i="12"/>
  <c r="Z1293" i="12"/>
  <c r="Z1458" i="12"/>
  <c r="Z781" i="12"/>
  <c r="Z2532" i="12"/>
  <c r="Z3113" i="12"/>
  <c r="Z814" i="12"/>
  <c r="Z2353" i="12"/>
  <c r="Z1323" i="12"/>
  <c r="Z1368" i="12"/>
  <c r="Z2411" i="12"/>
  <c r="Z2064" i="12"/>
  <c r="Z1132" i="12"/>
  <c r="Z1867" i="12"/>
  <c r="Z3482" i="12"/>
  <c r="Z891" i="12"/>
  <c r="Z3371" i="12"/>
  <c r="Z279" i="12"/>
  <c r="Z746" i="12"/>
  <c r="Z3022" i="12"/>
  <c r="Z178" i="12"/>
  <c r="Z580" i="12"/>
  <c r="Z954" i="12"/>
  <c r="Z327" i="12"/>
  <c r="Z2253" i="12"/>
  <c r="Z973" i="12"/>
  <c r="Z1051" i="12"/>
  <c r="Z3043" i="12"/>
  <c r="Z1373" i="12"/>
  <c r="Z1078" i="12"/>
  <c r="Z3048" i="12"/>
  <c r="Z572" i="12"/>
  <c r="Z696" i="12"/>
  <c r="Z2282" i="12"/>
  <c r="Z1507" i="12"/>
  <c r="Z326" i="12"/>
  <c r="Z636" i="12"/>
  <c r="Z2619" i="12"/>
  <c r="Z656" i="12"/>
  <c r="Z447" i="12"/>
  <c r="Z1976" i="12"/>
  <c r="Z1679" i="12"/>
  <c r="Z1055" i="12"/>
  <c r="Z97" i="12"/>
  <c r="Z2165" i="12"/>
  <c r="Z1852" i="12"/>
  <c r="Z2524" i="12"/>
  <c r="Z1936" i="12"/>
  <c r="Z1413" i="12"/>
  <c r="Z1223" i="12"/>
  <c r="Z2141" i="12"/>
  <c r="Z690" i="12"/>
  <c r="Z2272" i="12"/>
  <c r="Z681" i="12"/>
  <c r="Z991" i="12"/>
  <c r="Z34" i="12"/>
  <c r="Z2637" i="12"/>
  <c r="Z2048" i="12"/>
  <c r="Z3432" i="12"/>
  <c r="Z341" i="12"/>
  <c r="Z590" i="12"/>
  <c r="Z749" i="12"/>
  <c r="Z1793" i="12"/>
  <c r="Z3294" i="12"/>
  <c r="Z863" i="12"/>
  <c r="Z1685" i="12"/>
  <c r="Z450" i="12"/>
  <c r="Z540" i="12"/>
  <c r="Z2315" i="12"/>
  <c r="Z589" i="12"/>
  <c r="Z558" i="12"/>
  <c r="Z1740" i="12"/>
  <c r="Z907" i="12"/>
  <c r="Z654" i="12"/>
  <c r="Z1735" i="12"/>
  <c r="Z2274" i="12"/>
  <c r="Z2185" i="12"/>
  <c r="Z2332" i="12"/>
  <c r="Z576" i="12"/>
  <c r="Z998" i="12"/>
  <c r="Z1424" i="12"/>
  <c r="Z1136" i="12"/>
  <c r="Z1472" i="12"/>
  <c r="Z3467" i="12"/>
  <c r="Z2220" i="12"/>
  <c r="Z2094" i="12"/>
  <c r="Z3020" i="12"/>
  <c r="Z2195" i="12"/>
  <c r="Z2629" i="12"/>
  <c r="Z633" i="12"/>
  <c r="Z353" i="12"/>
  <c r="Z2414" i="12"/>
  <c r="Z2777" i="12"/>
  <c r="Z396" i="12"/>
  <c r="Z1700" i="12"/>
  <c r="Z2421" i="12"/>
  <c r="Z1382" i="12"/>
  <c r="Z1143" i="12"/>
  <c r="Z1097" i="12"/>
  <c r="Z3006" i="12"/>
  <c r="Z1149" i="12"/>
  <c r="Z1255" i="12"/>
  <c r="Z3398" i="12"/>
  <c r="Z1743" i="12"/>
  <c r="Z1557" i="12"/>
  <c r="Z2610" i="12"/>
  <c r="Z324" i="12"/>
  <c r="Z1786" i="12"/>
  <c r="Z2650" i="12"/>
  <c r="Z785" i="12"/>
  <c r="Z358" i="12"/>
  <c r="Z988" i="12"/>
  <c r="Z2447" i="12"/>
  <c r="Z2507" i="12"/>
  <c r="Z1930" i="12"/>
  <c r="Z1481" i="12"/>
  <c r="Z405" i="12"/>
  <c r="Z882" i="12"/>
  <c r="Z667" i="12"/>
  <c r="Z3502" i="12"/>
  <c r="Z2922" i="12"/>
  <c r="Z1891" i="12"/>
  <c r="Z2741" i="12"/>
  <c r="Z2935" i="12"/>
  <c r="Z2994" i="12"/>
  <c r="Z1975" i="12"/>
  <c r="Z2660" i="12"/>
  <c r="Z2378" i="12"/>
  <c r="Z2558" i="12"/>
  <c r="Z2288" i="12"/>
  <c r="Z3280" i="12"/>
  <c r="Z1044" i="12"/>
  <c r="Z143" i="12"/>
  <c r="Z1798" i="12"/>
  <c r="Z1261" i="12"/>
  <c r="Z3243" i="12"/>
  <c r="Z2035" i="12"/>
  <c r="Z2290" i="12"/>
  <c r="Z987" i="12"/>
  <c r="Z2103" i="12"/>
  <c r="Z1319" i="12"/>
  <c r="Z1595" i="12"/>
  <c r="Z3235" i="12"/>
  <c r="Z1690" i="12"/>
  <c r="Z3051" i="12"/>
  <c r="Z257" i="12"/>
  <c r="Z3053" i="12"/>
  <c r="Z363" i="12"/>
  <c r="Z621" i="12"/>
  <c r="Z3146" i="12"/>
  <c r="Z1040" i="12"/>
  <c r="Z1634" i="12"/>
  <c r="Z2827" i="12"/>
  <c r="Z383" i="12"/>
  <c r="Z179" i="12"/>
  <c r="Z2512" i="12"/>
  <c r="Z638" i="12"/>
  <c r="Z1506" i="12"/>
  <c r="Z347" i="12"/>
  <c r="Z1980" i="12"/>
  <c r="Z1604" i="12"/>
  <c r="Z2398" i="12"/>
  <c r="Z896" i="12"/>
  <c r="Z744" i="12"/>
  <c r="Z500" i="12"/>
  <c r="Z2622" i="12"/>
  <c r="Z1579" i="12"/>
  <c r="Z3309" i="12"/>
  <c r="Z3509" i="12"/>
  <c r="Z2029" i="12"/>
  <c r="Z2907" i="12"/>
  <c r="Z1405" i="12"/>
  <c r="Z1488" i="12"/>
  <c r="Z117" i="12"/>
  <c r="Z2313" i="12"/>
  <c r="Z2467" i="12"/>
  <c r="Z2966" i="12"/>
  <c r="Z3514" i="12"/>
  <c r="Z3239" i="12"/>
  <c r="Z2657" i="12"/>
  <c r="Z2985" i="12"/>
  <c r="Z2715" i="12"/>
  <c r="Z1197" i="12"/>
  <c r="Z620" i="12"/>
  <c r="Z3408" i="12"/>
  <c r="Z2435" i="12"/>
  <c r="Z1693" i="12"/>
  <c r="Z2801" i="12"/>
  <c r="Z2276" i="12"/>
  <c r="Z813" i="12"/>
  <c r="Z1363" i="12"/>
  <c r="Z2978" i="12"/>
  <c r="Z1184" i="12"/>
  <c r="Z716" i="12"/>
  <c r="Z387" i="12"/>
  <c r="Z2909" i="12"/>
  <c r="Z485" i="12"/>
  <c r="Z750" i="12"/>
  <c r="Z1322" i="12"/>
  <c r="Z1505" i="12"/>
  <c r="Z2238" i="12"/>
  <c r="Z3153" i="12"/>
  <c r="Z1977" i="12"/>
  <c r="Z1691" i="12"/>
  <c r="Z2099" i="12"/>
  <c r="Z1603" i="12"/>
  <c r="Z2434" i="12"/>
  <c r="Z2129" i="12"/>
  <c r="Z1758" i="12"/>
  <c r="Z1271" i="12"/>
  <c r="Z3468" i="12"/>
  <c r="Z903" i="12"/>
  <c r="Z1389" i="12"/>
  <c r="Z1954" i="12"/>
  <c r="Z2859" i="12"/>
  <c r="Z1380" i="12"/>
  <c r="Z462" i="12"/>
  <c r="Z2576" i="12"/>
  <c r="Z3055" i="12"/>
  <c r="Z1354" i="12"/>
  <c r="Z1420" i="12"/>
  <c r="Z1939" i="12"/>
  <c r="Z501" i="12"/>
  <c r="Z1947" i="12"/>
  <c r="Z1841" i="12"/>
  <c r="Z2693" i="12"/>
  <c r="Z1412" i="12"/>
  <c r="Z765" i="12"/>
  <c r="Z546" i="12"/>
  <c r="Z312" i="12"/>
  <c r="Z103" i="12"/>
  <c r="Z2266" i="12"/>
  <c r="Z856" i="12"/>
  <c r="Z2369" i="12"/>
  <c r="Z199" i="12"/>
  <c r="Z1784" i="12"/>
  <c r="Z53" i="12"/>
  <c r="Z1951" i="12"/>
  <c r="Z1674" i="12"/>
  <c r="Z92" i="12"/>
  <c r="Z748" i="12"/>
  <c r="Z2983" i="12"/>
  <c r="Z1655" i="12"/>
  <c r="Z1647" i="12"/>
  <c r="Z2013" i="12"/>
  <c r="Z313" i="12"/>
  <c r="Z2442" i="12"/>
  <c r="Z1777" i="12"/>
  <c r="Z564" i="12"/>
  <c r="Z2713" i="12"/>
  <c r="Z776" i="12"/>
  <c r="Z1860" i="12"/>
  <c r="Z299" i="12"/>
  <c r="Z2057" i="12"/>
  <c r="Z825" i="12"/>
  <c r="Z276" i="12"/>
  <c r="Z545" i="12"/>
  <c r="Z254" i="12"/>
  <c r="Z689" i="12"/>
  <c r="Z2686" i="12"/>
  <c r="Z2459" i="12"/>
  <c r="Z544" i="12"/>
  <c r="Z3414" i="12"/>
  <c r="Z1921" i="12"/>
  <c r="Z3481" i="12"/>
  <c r="Z1865" i="12"/>
  <c r="Z2928" i="12"/>
  <c r="Z2522" i="12"/>
  <c r="Z3264" i="12"/>
  <c r="Z3099" i="12"/>
  <c r="Z1315" i="12"/>
  <c r="Z1530" i="12"/>
  <c r="Z3516" i="12"/>
  <c r="Z1313" i="12"/>
  <c r="Z1971" i="12"/>
  <c r="Z402" i="12"/>
  <c r="Z3400" i="12"/>
  <c r="Z3255" i="12"/>
  <c r="Z1173" i="12"/>
  <c r="Z293" i="12"/>
  <c r="Z2625" i="12"/>
  <c r="Z138" i="12"/>
  <c r="Z1916" i="12"/>
  <c r="Z1654" i="12"/>
  <c r="Z1142" i="12"/>
  <c r="Z876" i="12"/>
  <c r="Z1364" i="12"/>
  <c r="Z1111" i="12"/>
  <c r="Z3175" i="12"/>
  <c r="Z557" i="12"/>
  <c r="Z2205" i="12"/>
  <c r="Z1028" i="12"/>
  <c r="Z3368" i="12"/>
  <c r="Z761" i="12"/>
  <c r="Z3479" i="12"/>
  <c r="Z2655" i="12"/>
  <c r="Z2846" i="12"/>
  <c r="Z1402" i="12"/>
  <c r="Z39" i="12"/>
  <c r="Z2262" i="12"/>
  <c r="Z692" i="12"/>
  <c r="Z956" i="12"/>
  <c r="Z3411" i="12"/>
  <c r="Z1725" i="12"/>
  <c r="Z846" i="12"/>
  <c r="Z1102" i="12"/>
  <c r="Z990" i="12"/>
  <c r="Z1564" i="12"/>
  <c r="Z3504" i="12"/>
  <c r="Z3011" i="12"/>
  <c r="Z2361" i="12"/>
  <c r="Z2742" i="12"/>
  <c r="Z2324" i="12"/>
  <c r="Z2018" i="12"/>
  <c r="Z368" i="12"/>
  <c r="Z2696" i="12"/>
  <c r="Z1130" i="12"/>
  <c r="Z2158" i="12"/>
  <c r="Z2943" i="12"/>
  <c r="Z1819" i="12"/>
  <c r="Z3337" i="12"/>
  <c r="Z3426" i="12"/>
  <c r="Z1316" i="12"/>
  <c r="Z2214" i="12"/>
  <c r="Z3319" i="12"/>
  <c r="Z810" i="12"/>
  <c r="Z3533" i="12"/>
  <c r="Z1186" i="12"/>
  <c r="Z226" i="12"/>
  <c r="Z2223" i="12"/>
  <c r="Z3223" i="12"/>
  <c r="Z2403" i="12"/>
  <c r="Z1496" i="12"/>
  <c r="Z165" i="12"/>
  <c r="Z1745" i="12"/>
  <c r="Z1449" i="12"/>
  <c r="Z3295" i="12"/>
  <c r="Z902" i="12"/>
  <c r="Z1795" i="12"/>
  <c r="Z908" i="12"/>
  <c r="Z1857" i="12"/>
  <c r="Z1663" i="12"/>
  <c r="Z2294" i="12"/>
  <c r="Z2904" i="12"/>
  <c r="Z2627" i="12"/>
  <c r="Z100" i="12"/>
  <c r="Z1902" i="12"/>
  <c r="Z1695" i="12"/>
  <c r="Z1919" i="12"/>
  <c r="Z272" i="12"/>
  <c r="Z1629" i="12"/>
  <c r="Z3406" i="12"/>
  <c r="Z920" i="12"/>
  <c r="Z1189" i="12"/>
  <c r="Z3045" i="12"/>
  <c r="Z2236" i="12"/>
  <c r="Z371" i="12"/>
  <c r="Z2675" i="12"/>
  <c r="Z1217" i="12"/>
  <c r="Z1680" i="12"/>
  <c r="Z3090" i="12"/>
  <c r="Z2768" i="12"/>
  <c r="Z854" i="12"/>
  <c r="Z124" i="12"/>
  <c r="Z1448" i="12"/>
  <c r="Z1183" i="12"/>
  <c r="Z1760" i="12"/>
  <c r="Z382" i="12"/>
  <c r="Z1378" i="12"/>
  <c r="Z2592" i="12"/>
  <c r="Z275" i="12"/>
  <c r="Z893" i="12"/>
  <c r="Z1237" i="12"/>
  <c r="Z685" i="12"/>
  <c r="Z3010" i="12"/>
  <c r="Z2796" i="12"/>
  <c r="Z1920" i="12"/>
  <c r="Z2844" i="12"/>
  <c r="Z2632" i="12"/>
  <c r="Z804" i="12"/>
  <c r="Z2213" i="12"/>
  <c r="Z173" i="12"/>
  <c r="Z2961" i="12"/>
  <c r="Z2557" i="12"/>
  <c r="Z112" i="12"/>
  <c r="Z238" i="12"/>
  <c r="Z2449" i="12"/>
  <c r="Z2248" i="12"/>
  <c r="Z1499" i="12"/>
  <c r="Z708" i="12"/>
  <c r="Z131" i="12"/>
  <c r="Z1283" i="12"/>
  <c r="Z1792" i="12"/>
  <c r="Z72" i="12"/>
  <c r="Z3075" i="12"/>
  <c r="Z2049" i="12"/>
  <c r="Z644" i="12"/>
  <c r="Z151" i="12"/>
  <c r="Z77" i="12"/>
  <c r="Z1329" i="12"/>
  <c r="Z1804" i="12"/>
  <c r="Z1018" i="12"/>
  <c r="Z1314" i="12"/>
  <c r="Z2193" i="12"/>
  <c r="Z237" i="12"/>
  <c r="Z3147" i="12"/>
  <c r="Z1025" i="12"/>
  <c r="Z1245" i="12"/>
  <c r="Z626" i="12"/>
  <c r="Z1377" i="12"/>
  <c r="Z723" i="12"/>
  <c r="Z817" i="12"/>
  <c r="Z1375" i="12"/>
  <c r="Z728" i="12"/>
  <c r="Z747" i="12"/>
  <c r="Z3464" i="12"/>
  <c r="Z192" i="12"/>
  <c r="Z2071" i="12"/>
  <c r="Z543" i="12"/>
  <c r="Z1568" i="12"/>
  <c r="Z428" i="12"/>
  <c r="Z395" i="12"/>
  <c r="Z1451" i="12"/>
  <c r="Z1050" i="12"/>
  <c r="Z1091" i="12"/>
  <c r="Z2112" i="12"/>
  <c r="Z915" i="12"/>
  <c r="Z1369" i="12"/>
  <c r="Z1813" i="12"/>
  <c r="Z1594" i="12"/>
  <c r="Z1778" i="12"/>
  <c r="Z1970" i="12"/>
  <c r="Z2784" i="12"/>
  <c r="Z2101" i="12"/>
  <c r="Z1531" i="12"/>
  <c r="Z2020" i="12"/>
  <c r="Z1367" i="12"/>
  <c r="Z773" i="12"/>
  <c r="Z1383" i="12"/>
  <c r="Z1249" i="12"/>
  <c r="Z149" i="12"/>
  <c r="Z2036" i="12"/>
  <c r="Z2762" i="12"/>
  <c r="Z3164" i="12"/>
  <c r="Z1616" i="12"/>
  <c r="Z2265" i="12"/>
  <c r="Z1209" i="12"/>
  <c r="Z1926" i="12"/>
  <c r="Z1817" i="12"/>
  <c r="Z2448" i="12"/>
  <c r="Z1341" i="12"/>
  <c r="Z2177" i="12"/>
  <c r="Z2482" i="12"/>
  <c r="Z3424" i="12"/>
  <c r="Z297" i="12"/>
  <c r="Z2343" i="12"/>
  <c r="Z1205" i="12"/>
  <c r="Z963" i="12"/>
  <c r="Z2848" i="12"/>
  <c r="Z2457" i="12"/>
  <c r="Z3102" i="12"/>
  <c r="Z3155" i="12"/>
  <c r="Z2867" i="12"/>
  <c r="Z1169" i="12"/>
  <c r="Z1588" i="12"/>
  <c r="Z2875" i="12"/>
  <c r="Z2687" i="12"/>
  <c r="Z2076" i="12"/>
  <c r="Z3277" i="12"/>
  <c r="Z752" i="12"/>
  <c r="Z2838" i="12"/>
  <c r="Z316" i="12"/>
  <c r="Z2574" i="12"/>
  <c r="Z2841" i="12"/>
  <c r="Z186" i="12"/>
  <c r="Z2387" i="12"/>
  <c r="Z3436" i="12"/>
  <c r="Z1823" i="12"/>
  <c r="Z2688" i="12"/>
  <c r="Z2483" i="12"/>
  <c r="Z3273" i="12"/>
  <c r="Z2897" i="12"/>
  <c r="Z2189" i="12"/>
  <c r="Z2577" i="12"/>
  <c r="Z3190" i="12"/>
  <c r="Z1478" i="12"/>
  <c r="Z1543" i="12"/>
  <c r="Z2121" i="12"/>
  <c r="Z2351" i="12"/>
  <c r="Z731" i="12"/>
  <c r="Z2117" i="12"/>
  <c r="Z1587" i="12"/>
  <c r="Z1922" i="12"/>
  <c r="Z164" i="12"/>
  <c r="Z2114" i="12"/>
  <c r="Z3133" i="12"/>
  <c r="Z171" i="12"/>
  <c r="Z917" i="12"/>
  <c r="Z3276" i="12"/>
  <c r="Z54" i="12"/>
  <c r="Z3242" i="12"/>
  <c r="Z60" i="12"/>
  <c r="Z2929" i="12"/>
  <c r="Z3281" i="12"/>
  <c r="Z2439" i="12"/>
  <c r="Z2889" i="12"/>
  <c r="Z1540" i="12"/>
  <c r="Z2491" i="12"/>
  <c r="Z3270" i="12"/>
  <c r="Z99" i="12"/>
  <c r="Z801" i="12"/>
  <c r="Z648" i="12"/>
  <c r="Z2125" i="12"/>
  <c r="Z3089" i="12"/>
  <c r="Z2856" i="12"/>
  <c r="Z2986" i="12"/>
  <c r="Z3196" i="12"/>
  <c r="Z3339" i="12"/>
  <c r="Z1060" i="12"/>
  <c r="Z892" i="12"/>
  <c r="Z1344" i="12"/>
  <c r="Z1706" i="12"/>
  <c r="Z3384" i="12"/>
  <c r="Z1885" i="12"/>
  <c r="Z2268" i="12"/>
  <c r="Z3125" i="12"/>
  <c r="Z3172" i="12"/>
  <c r="Z3456" i="12"/>
  <c r="Z737" i="12"/>
  <c r="Z3459" i="12"/>
  <c r="Z429" i="12"/>
  <c r="Z2374" i="12"/>
  <c r="Z2951" i="12"/>
  <c r="Z1270" i="12"/>
  <c r="Z570" i="12"/>
  <c r="Z342" i="12"/>
  <c r="Z1625" i="12"/>
  <c r="Z3188" i="12"/>
  <c r="Z1686" i="12"/>
  <c r="Z1552" i="12"/>
  <c r="Z1639" i="12"/>
  <c r="Z1061" i="12"/>
  <c r="Z146" i="12"/>
  <c r="Z1236" i="12"/>
  <c r="Z2392" i="12"/>
  <c r="Z2375" i="12"/>
  <c r="Z3410" i="12"/>
  <c r="Z2224" i="12"/>
  <c r="Z878" i="12"/>
  <c r="Z1172" i="12"/>
  <c r="Z614" i="12"/>
  <c r="Z3386" i="12"/>
  <c r="Z3405" i="12"/>
  <c r="Z832" i="12"/>
  <c r="Z666" i="12"/>
  <c r="Z1717" i="12"/>
  <c r="Z679" i="12"/>
  <c r="Z2001" i="12"/>
  <c r="Z1287" i="12"/>
  <c r="Z464" i="12"/>
  <c r="Z2720" i="12"/>
  <c r="Z3329" i="12"/>
  <c r="Z3287" i="12"/>
  <c r="Z1276" i="12"/>
  <c r="Z2372" i="12"/>
  <c r="Z2639" i="12"/>
  <c r="Z55" i="12"/>
  <c r="Z616" i="12"/>
  <c r="Z3314" i="12"/>
  <c r="Z1308" i="12"/>
  <c r="Z1835" i="12"/>
  <c r="Z2677" i="12"/>
  <c r="Z2689" i="12"/>
  <c r="Z197" i="12"/>
  <c r="Z1196" i="12"/>
  <c r="Z767" i="12"/>
  <c r="Z1162" i="12"/>
  <c r="Z22" i="12"/>
  <c r="Z303" i="12"/>
  <c r="Z1244" i="12"/>
  <c r="Z1365" i="12"/>
  <c r="Z1298" i="12"/>
  <c r="Z1969" i="12"/>
  <c r="Z2381" i="12"/>
  <c r="Z1081" i="12"/>
  <c r="Z1328" i="12"/>
  <c r="Z160" i="12"/>
  <c r="Z106" i="12"/>
  <c r="Z242" i="12"/>
  <c r="Z2167" i="12"/>
  <c r="Z772" i="12"/>
  <c r="Z1905" i="12"/>
  <c r="Z333" i="12"/>
  <c r="Z3067" i="12"/>
  <c r="Z1279" i="12"/>
  <c r="Z1215" i="12"/>
  <c r="Z108" i="12"/>
  <c r="Z1463" i="12"/>
  <c r="Z359" i="12"/>
  <c r="Z290" i="12"/>
  <c r="Z3282" i="12"/>
  <c r="Z1029" i="12"/>
  <c r="Z2046" i="12"/>
  <c r="Z321" i="12"/>
  <c r="Z2502" i="12"/>
  <c r="Z2984" i="12"/>
  <c r="Z534" i="12"/>
  <c r="Z509" i="12"/>
  <c r="Z3074" i="12"/>
  <c r="Z413" i="12"/>
  <c r="Z599" i="12"/>
  <c r="Z2201" i="12"/>
  <c r="Z554" i="12"/>
  <c r="Z2045" i="12"/>
  <c r="Z2000" i="12"/>
  <c r="Z3061" i="12"/>
  <c r="Z947" i="12"/>
  <c r="Z1907" i="12"/>
  <c r="Z3391" i="12"/>
  <c r="Z1359" i="12"/>
  <c r="Z1229" i="12"/>
  <c r="Z3085" i="12"/>
  <c r="Z850" i="12"/>
  <c r="Z3137" i="12"/>
  <c r="Z2079" i="12"/>
  <c r="Z1015" i="12"/>
  <c r="Z3238" i="12"/>
  <c r="Z1806" i="12"/>
  <c r="Z2653" i="12"/>
  <c r="Z373" i="12"/>
  <c r="Z1475" i="12"/>
  <c r="Z1623" i="12"/>
  <c r="Z2593" i="12"/>
  <c r="Z2597" i="12"/>
  <c r="Z680" i="12"/>
  <c r="Z409" i="12"/>
  <c r="Z2192" i="12"/>
  <c r="Z1388" i="12"/>
  <c r="Z2641" i="12"/>
  <c r="Z65" i="12"/>
  <c r="Z2074" i="12"/>
  <c r="Z1387" i="12"/>
  <c r="Z3453" i="12"/>
  <c r="Z2237" i="12"/>
  <c r="Z3536" i="12"/>
  <c r="Z2341" i="12"/>
  <c r="Z3374" i="12"/>
  <c r="Z3093" i="12"/>
  <c r="Z3283" i="12"/>
  <c r="Z2648" i="12"/>
  <c r="Z2789" i="12"/>
  <c r="Z1928" i="12"/>
  <c r="Z2344" i="12"/>
  <c r="Z1964" i="12"/>
  <c r="Z3496" i="12"/>
  <c r="Z1286" i="12"/>
  <c r="Z3540" i="12"/>
  <c r="Z2044" i="12"/>
  <c r="Z1987" i="12"/>
  <c r="Z1797" i="12"/>
  <c r="Z1581" i="12"/>
  <c r="Z922" i="12"/>
  <c r="Z2028" i="12"/>
  <c r="Z1622" i="12"/>
  <c r="Z2470" i="12"/>
  <c r="Z379" i="12"/>
  <c r="Z2149" i="12"/>
  <c r="Z122" i="12"/>
  <c r="Z1195" i="12"/>
  <c r="Z2083" i="12"/>
  <c r="Z869" i="12"/>
  <c r="Z1304" i="12"/>
  <c r="Z2474" i="12"/>
  <c r="Z311" i="12"/>
  <c r="Z1113" i="12"/>
  <c r="Z2862" i="12"/>
  <c r="Z2335" i="12"/>
  <c r="Z3076" i="12"/>
  <c r="Z1791" i="12"/>
  <c r="Z2989" i="12"/>
  <c r="Z2890" i="12"/>
  <c r="Z1762" i="12"/>
  <c r="Z1836" i="12"/>
  <c r="Z2970" i="12"/>
  <c r="Z298" i="12"/>
  <c r="Z2884" i="12"/>
  <c r="Z1615" i="12"/>
  <c r="Z2200" i="12"/>
  <c r="Z3268" i="12"/>
  <c r="Z3458" i="12"/>
  <c r="Z1041" i="12"/>
  <c r="Z2150" i="12"/>
  <c r="Z1020" i="12"/>
  <c r="Z2602" i="12"/>
  <c r="Z222" i="12"/>
  <c r="Z3092" i="12"/>
  <c r="Z1479" i="12"/>
  <c r="Z1218" i="12"/>
  <c r="Z3214" i="12"/>
  <c r="Z1444" i="12"/>
  <c r="Z2235" i="12"/>
  <c r="Z2475" i="12"/>
  <c r="Z2412" i="12"/>
  <c r="Z2097" i="12"/>
  <c r="Z1606" i="12"/>
  <c r="Z2038" i="12"/>
  <c r="Z2792" i="12"/>
  <c r="Z1696" i="12"/>
  <c r="Z1396" i="12"/>
  <c r="Z701" i="12"/>
  <c r="Z2908" i="12"/>
  <c r="Z374" i="12"/>
  <c r="Z3249" i="12"/>
  <c r="Z2878" i="12"/>
  <c r="Z3193" i="12"/>
  <c r="Z2359" i="12"/>
  <c r="Z1013" i="12"/>
  <c r="Z2418" i="12"/>
  <c r="Z2826" i="12"/>
  <c r="Z1296" i="12"/>
  <c r="Z2854" i="12"/>
  <c r="Z928" i="12"/>
  <c r="Z929" i="12"/>
  <c r="Z2561" i="12"/>
  <c r="Z1967" i="12"/>
  <c r="Z642" i="12"/>
  <c r="Z584" i="12"/>
  <c r="Z2959" i="12"/>
  <c r="Z3346" i="12"/>
  <c r="Z1440" i="12"/>
  <c r="Z1517" i="12"/>
  <c r="Z483" i="12"/>
  <c r="Z1982" i="12"/>
  <c r="Z1027" i="12"/>
  <c r="Z1455" i="12"/>
  <c r="Z568" i="12"/>
  <c r="Z3298" i="12"/>
  <c r="Z2142" i="12"/>
  <c r="Z649" i="12"/>
  <c r="Z1170" i="12"/>
  <c r="Z3269" i="12"/>
  <c r="Z435" i="12"/>
  <c r="Z1497" i="12"/>
  <c r="Z1909" i="12"/>
  <c r="Z1484" i="12"/>
  <c r="Z1633" i="12"/>
  <c r="Z2871" i="12"/>
  <c r="Z3306" i="12"/>
  <c r="Z74" i="12"/>
  <c r="Z2283" i="12"/>
  <c r="Z1767" i="12"/>
  <c r="Z2016" i="12"/>
  <c r="Z2872" i="12"/>
  <c r="Z2169" i="12"/>
  <c r="Z1434" i="12"/>
  <c r="Z449" i="12"/>
  <c r="Z734" i="12"/>
  <c r="Z1820" i="12"/>
  <c r="Z3066" i="12"/>
  <c r="Z3512" i="12"/>
  <c r="Z678" i="12"/>
  <c r="Z539" i="12"/>
  <c r="Z3419" i="12"/>
  <c r="Z1181" i="12"/>
  <c r="Z1110" i="12"/>
  <c r="Z831" i="12"/>
  <c r="Z2638" i="12"/>
  <c r="Z2124" i="12"/>
  <c r="Z2499" i="12"/>
  <c r="Z1406" i="12"/>
  <c r="Z2974" i="12"/>
  <c r="Z3106" i="12"/>
  <c r="Z3135" i="12"/>
  <c r="Z2518" i="12"/>
  <c r="Z2316" i="12"/>
  <c r="Z1657" i="12"/>
  <c r="Z2662" i="12"/>
  <c r="Z2923" i="12"/>
  <c r="Z2853" i="12"/>
  <c r="Z1716" i="12"/>
  <c r="Z1965" i="12"/>
  <c r="Z3551" i="12"/>
  <c r="Z2802" i="12"/>
  <c r="Z1961" i="12"/>
  <c r="Z1299" i="12"/>
  <c r="Z1219" i="12"/>
  <c r="Z217" i="12"/>
  <c r="Z3278" i="12"/>
  <c r="Z1374" i="12"/>
  <c r="Z442" i="12"/>
  <c r="Z123" i="12"/>
  <c r="Z703" i="12"/>
  <c r="Z1427" i="12"/>
  <c r="Z3291" i="12"/>
  <c r="Z861" i="12"/>
  <c r="Z69" i="12"/>
  <c r="Z2302" i="12"/>
  <c r="Z2809" i="12"/>
  <c r="Z2360" i="12"/>
  <c r="Z3396" i="12"/>
  <c r="Z2566" i="12"/>
  <c r="Z1527" i="12"/>
  <c r="Z2305" i="12"/>
  <c r="Z2913" i="12"/>
  <c r="Z1074" i="12"/>
  <c r="Z3369" i="12"/>
  <c r="Z3511" i="12"/>
  <c r="Z3086" i="12"/>
  <c r="Z1105" i="12"/>
  <c r="Z693" i="12"/>
  <c r="Z1494" i="12"/>
  <c r="Z3202" i="12"/>
  <c r="Z3310" i="12"/>
  <c r="Z3078" i="12"/>
  <c r="Z3388" i="12"/>
  <c r="Z2362" i="12"/>
  <c r="Z1886" i="12"/>
  <c r="Z2154" i="12"/>
  <c r="Z3350" i="12"/>
  <c r="Z2533" i="12"/>
  <c r="Z1868" i="12"/>
  <c r="Z2910" i="12"/>
  <c r="Z816" i="12"/>
  <c r="Z1949" i="12"/>
  <c r="Z1809" i="12"/>
  <c r="Z2399" i="12"/>
  <c r="Z2520" i="12"/>
  <c r="Z2588" i="12"/>
  <c r="Z3445" i="12"/>
  <c r="Z2219" i="12"/>
  <c r="Z3321" i="12"/>
  <c r="Z3506" i="12"/>
  <c r="Z809" i="12"/>
  <c r="Z1664" i="12"/>
  <c r="Z1282" i="12"/>
  <c r="Z1452" i="12"/>
  <c r="Z2042" i="12"/>
  <c r="Z1624" i="12"/>
  <c r="Z1570" i="12"/>
  <c r="Z3216" i="12"/>
  <c r="Z984" i="12"/>
  <c r="Z210" i="12"/>
  <c r="Z1586" i="12"/>
  <c r="Z2812" i="12"/>
  <c r="Z1776" i="12"/>
  <c r="Z2681" i="12"/>
  <c r="Z1871" i="12"/>
  <c r="Z1718" i="12"/>
  <c r="Z3300" i="12"/>
  <c r="Z2015" i="12"/>
  <c r="Z2014" i="12"/>
  <c r="Z2066" i="12"/>
  <c r="Z1673" i="12"/>
  <c r="Z2296" i="12"/>
  <c r="Z2110" i="12"/>
  <c r="Z1864" i="12"/>
  <c r="Z3351" i="12"/>
  <c r="Z1765" i="12"/>
  <c r="Z530" i="12"/>
  <c r="Z273" i="12"/>
  <c r="Z45" i="12"/>
  <c r="Z2775" i="12"/>
  <c r="Z3521" i="12"/>
  <c r="Z1757" i="12"/>
  <c r="Z2556" i="12"/>
  <c r="Z3101" i="12"/>
  <c r="Z600" i="12"/>
  <c r="Z3041" i="12"/>
  <c r="Z1188" i="12"/>
  <c r="Z3131" i="12"/>
  <c r="Z1932" i="12"/>
  <c r="Z2710" i="12"/>
  <c r="Z2247" i="12"/>
  <c r="Z2337" i="12"/>
  <c r="Z1032" i="12"/>
  <c r="Z3417" i="12"/>
  <c r="Z459" i="12"/>
  <c r="Z1438" i="12"/>
  <c r="Z1675" i="12"/>
  <c r="Z2432" i="12"/>
  <c r="Z1395" i="12"/>
  <c r="Z163" i="12"/>
  <c r="Z2140" i="12"/>
  <c r="Z2463" i="12"/>
  <c r="Z250" i="12"/>
  <c r="Z699" i="12"/>
  <c r="Z3016" i="12"/>
  <c r="Z3393" i="12"/>
  <c r="Z2037" i="12"/>
  <c r="Z3375" i="12"/>
  <c r="Z1870" i="12"/>
  <c r="Z2295" i="12"/>
  <c r="Z307" i="12"/>
  <c r="Z2886" i="12"/>
  <c r="Z3357" i="12"/>
  <c r="Z2437" i="12"/>
  <c r="Z2087" i="12"/>
  <c r="Z646" i="12"/>
  <c r="Z1917" i="12"/>
  <c r="Z2926" i="12"/>
  <c r="Z3367" i="12"/>
  <c r="Z2865" i="12"/>
  <c r="Z335" i="12"/>
  <c r="Z1490" i="12"/>
  <c r="Z829" i="12"/>
  <c r="Z3425" i="12"/>
  <c r="Z1126" i="12"/>
  <c r="Z1436" i="12"/>
  <c r="Z2115" i="12"/>
  <c r="Z2394" i="12"/>
  <c r="Z1204" i="12"/>
  <c r="Z1500" i="12"/>
  <c r="Z818" i="12"/>
  <c r="Z532" i="12"/>
  <c r="Z2972" i="12"/>
  <c r="Z858" i="12"/>
  <c r="Z87" i="12"/>
  <c r="Z1755" i="12"/>
  <c r="Z81" i="12"/>
  <c r="Z2818" i="12"/>
  <c r="Z1462" i="12"/>
  <c r="Z1670" i="12"/>
  <c r="Z187" i="12"/>
  <c r="Z1046" i="12"/>
  <c r="Z3072" i="12"/>
  <c r="Z531" i="12"/>
  <c r="Z1732" i="12"/>
  <c r="Z2293" i="12"/>
  <c r="Z3194" i="12"/>
  <c r="Z2616" i="12"/>
  <c r="Z1548" i="12"/>
  <c r="Z1775" i="12"/>
  <c r="Z3156" i="12"/>
  <c r="Z2052" i="12"/>
  <c r="Z288" i="12"/>
  <c r="Z1958" i="12"/>
  <c r="Z2863" i="12"/>
  <c r="Z3027" i="12"/>
  <c r="Z431" i="12"/>
  <c r="Z872" i="12"/>
  <c r="Z919" i="12"/>
  <c r="Z2196" i="12"/>
  <c r="Z308" i="12"/>
  <c r="Z1573" i="12"/>
  <c r="Z3355" i="12"/>
  <c r="Z3209" i="12"/>
  <c r="Z2065" i="12"/>
  <c r="Z953" i="12"/>
  <c r="Z778" i="12"/>
  <c r="Z755" i="12"/>
  <c r="Z1433" i="12"/>
  <c r="Z3335" i="12"/>
  <c r="Z541" i="12"/>
  <c r="Z911" i="12"/>
  <c r="Z2670" i="12"/>
  <c r="Z2156" i="12"/>
  <c r="Z2317" i="12"/>
  <c r="Z1263" i="12"/>
  <c r="Z651" i="12"/>
  <c r="Z803" i="12"/>
  <c r="Z2649" i="12"/>
  <c r="Z2992" i="12"/>
  <c r="Z2021" i="12"/>
  <c r="Z1538" i="12"/>
  <c r="Z3198" i="12"/>
  <c r="Z2652" i="12"/>
  <c r="Z33" i="12"/>
  <c r="Z1715" i="12"/>
  <c r="Z291" i="12"/>
  <c r="Z1832" i="12"/>
  <c r="Z1062" i="12"/>
  <c r="Z2425" i="12"/>
  <c r="Z1563" i="12"/>
  <c r="Z909" i="12"/>
  <c r="Z2831" i="12"/>
  <c r="Z185" i="12"/>
  <c r="Z691" i="12"/>
  <c r="Z25" i="12"/>
  <c r="Z2496" i="12"/>
  <c r="Z3103" i="12"/>
  <c r="Z3522" i="12"/>
  <c r="Z1513" i="12"/>
  <c r="Z366" i="12"/>
  <c r="Z1199" i="12"/>
  <c r="Z2623" i="12"/>
  <c r="Z3047" i="12"/>
  <c r="Z232" i="12"/>
  <c r="Z784" i="12"/>
  <c r="Z517" i="12"/>
  <c r="Z403" i="12"/>
  <c r="Z3251" i="12"/>
  <c r="Z1862" i="12"/>
  <c r="Z2815" i="12"/>
  <c r="Z1222" i="12"/>
  <c r="Z495" i="12"/>
  <c r="Z2255" i="12"/>
  <c r="Z167" i="12"/>
  <c r="Z1492" i="12"/>
  <c r="Z3493" i="12"/>
  <c r="Z3121" i="12"/>
  <c r="Z3347" i="12"/>
  <c r="Z881" i="12"/>
  <c r="Z227" i="12"/>
  <c r="Z957" i="12"/>
  <c r="Z1878" i="12"/>
  <c r="Z1549" i="12"/>
  <c r="Z1561" i="12"/>
  <c r="Z270" i="12"/>
  <c r="Z1963" i="12"/>
  <c r="Z46" i="12"/>
  <c r="Z2564" i="12"/>
  <c r="Z3423" i="12"/>
  <c r="Z1645" i="12"/>
  <c r="Z1048" i="12"/>
  <c r="Z2825" i="12"/>
  <c r="Z2123" i="12"/>
  <c r="Z2176" i="12"/>
  <c r="Z2281" i="12"/>
  <c r="Z2175" i="12"/>
  <c r="Z434" i="12"/>
  <c r="Z3036" i="12"/>
  <c r="Z198" i="12"/>
  <c r="Z1371" i="12"/>
  <c r="Z2285" i="12"/>
  <c r="Z1131" i="12"/>
  <c r="Z2182" i="12"/>
  <c r="Z740" i="12"/>
  <c r="Z3207" i="12"/>
  <c r="Z2971" i="12"/>
  <c r="Z1453" i="12"/>
  <c r="Z3315" i="12"/>
  <c r="Z2761" i="12"/>
  <c r="Z2221" i="12"/>
  <c r="Z1652" i="12"/>
  <c r="Z921" i="12"/>
  <c r="Z1180" i="12"/>
  <c r="Z1198" i="12"/>
  <c r="Z1122" i="12"/>
  <c r="Z2309" i="12"/>
  <c r="Z1037" i="12"/>
  <c r="Z2003" i="12"/>
  <c r="Z1882" i="12"/>
  <c r="Z2804" i="12"/>
  <c r="Z2318" i="12"/>
  <c r="Z32" i="12"/>
  <c r="Z2817" i="12"/>
  <c r="Z930" i="12"/>
  <c r="Z3495" i="12"/>
  <c r="Z513" i="12"/>
  <c r="Z3203" i="12"/>
  <c r="Z3356" i="12"/>
  <c r="Z1285" i="12"/>
  <c r="Z2300" i="12"/>
  <c r="Z1426" i="12"/>
  <c r="Z837" i="12"/>
  <c r="Z1812" i="12"/>
  <c r="Z3119" i="12"/>
  <c r="Z2095" i="12"/>
  <c r="Z2383" i="12"/>
  <c r="Z1216" i="12"/>
  <c r="Z713" i="12"/>
  <c r="Z1940" i="12"/>
  <c r="Z3017" i="12"/>
  <c r="Z2106" i="12"/>
  <c r="Z1012" i="12"/>
  <c r="Z23" i="12"/>
  <c r="Z2744" i="12"/>
  <c r="Z1225" i="12"/>
  <c r="Z687" i="12"/>
  <c r="Z1056" i="12"/>
  <c r="Z2023" i="12"/>
  <c r="Z3363" i="12"/>
  <c r="Z386" i="12"/>
  <c r="Z3535" i="12"/>
  <c r="Z3507" i="12"/>
  <c r="Z296" i="12"/>
  <c r="Z169" i="12"/>
  <c r="Z1522" i="12"/>
  <c r="Z1993" i="12"/>
  <c r="Z2726" i="12"/>
  <c r="Z425" i="12"/>
  <c r="Z1362" i="12"/>
  <c r="Z486" i="12"/>
  <c r="Z184" i="12"/>
  <c r="Z2405" i="12"/>
  <c r="Z2748" i="12"/>
  <c r="Z664" i="12"/>
  <c r="Z3418" i="12"/>
  <c r="Z155" i="12"/>
  <c r="Z1265" i="12"/>
  <c r="Z3179" i="12"/>
  <c r="Z1192" i="12"/>
  <c r="Z3275" i="12"/>
  <c r="Z1039" i="12"/>
  <c r="Z1342" i="12"/>
  <c r="Z3349" i="12"/>
  <c r="Z1262" i="12"/>
  <c r="Z2409" i="12"/>
  <c r="Z2249" i="12"/>
  <c r="Z2703" i="12"/>
  <c r="Z2624" i="12"/>
  <c r="Z2250" i="12"/>
  <c r="Z3450" i="12"/>
  <c r="Z609" i="12"/>
  <c r="Z490" i="12"/>
  <c r="Z2275" i="12"/>
  <c r="Z2433" i="12"/>
  <c r="Z2767" i="12"/>
  <c r="Z1429" i="12"/>
  <c r="Z627" i="12"/>
  <c r="Z3021" i="12"/>
  <c r="Z1057" i="12"/>
  <c r="Z775" i="12"/>
  <c r="Z1597" i="12"/>
  <c r="Z3178" i="12"/>
  <c r="Z502" i="12"/>
  <c r="Z553" i="12"/>
  <c r="Z2545" i="12"/>
  <c r="Z277" i="12"/>
  <c r="Z3421" i="12"/>
  <c r="Z1547" i="12"/>
  <c r="Z1471" i="12"/>
  <c r="Z1546" i="12"/>
  <c r="Z306" i="12"/>
  <c r="Z283" i="12"/>
  <c r="Z2204" i="12"/>
  <c r="Z249" i="12"/>
  <c r="Z1747" i="12"/>
  <c r="Z2811" i="12"/>
  <c r="Z1641" i="12"/>
  <c r="Z2085" i="12"/>
  <c r="Z3087" i="12"/>
  <c r="Z1211" i="12"/>
  <c r="Z2550" i="12"/>
  <c r="Z3444" i="12"/>
  <c r="Z1620" i="12"/>
  <c r="Z607" i="12"/>
  <c r="Z3474" i="12"/>
  <c r="Z1418" i="12"/>
  <c r="Z3389" i="12"/>
  <c r="Z1227" i="12"/>
  <c r="Z1842" i="12"/>
  <c r="Z1267" i="12"/>
  <c r="Z385" i="12"/>
  <c r="Z934" i="12"/>
  <c r="Z1585" i="12"/>
  <c r="Z1150" i="12"/>
  <c r="Z2363" i="12"/>
  <c r="Z3237" i="12"/>
  <c r="Z1728" i="12"/>
  <c r="Z2134" i="12"/>
  <c r="Z1774" i="12"/>
  <c r="Z2852" i="12"/>
  <c r="Z2173" i="12"/>
  <c r="Z225" i="12"/>
  <c r="Z2832" i="12"/>
  <c r="Z2614" i="12"/>
  <c r="Z2547" i="12"/>
  <c r="Z415" i="12"/>
  <c r="Z2186" i="12"/>
  <c r="Z2481" i="12"/>
  <c r="Z2820" i="12"/>
  <c r="Z1796" i="12"/>
  <c r="Z2704" i="12"/>
  <c r="Z1485" i="12"/>
  <c r="Z1541" i="12"/>
  <c r="Z3457" i="12"/>
  <c r="Z3236" i="12"/>
  <c r="Z660" i="12"/>
  <c r="Z1844" i="12"/>
  <c r="Z2453" i="12"/>
  <c r="Z630" i="12"/>
  <c r="Z1019" i="12"/>
  <c r="Z193" i="12"/>
  <c r="Z2770" i="12"/>
  <c r="Z391" i="12"/>
  <c r="Z354" i="12"/>
  <c r="Z2881" i="12"/>
  <c r="Z1689" i="12"/>
  <c r="Z255" i="12"/>
  <c r="Z266" i="12"/>
  <c r="Z2251" i="12"/>
  <c r="Z1542" i="12"/>
  <c r="Z182" i="12"/>
  <c r="Z1985" i="12"/>
  <c r="Z3058" i="12"/>
  <c r="Z196" i="12"/>
  <c r="Z879" i="12"/>
  <c r="Z2256" i="12"/>
  <c r="Z677" i="12"/>
  <c r="Z1260" i="12"/>
  <c r="Z1047" i="12"/>
  <c r="Z2005" i="12"/>
  <c r="Z1390" i="12"/>
  <c r="Z289" i="12"/>
  <c r="Z2234" i="12"/>
  <c r="Z2993" i="12"/>
  <c r="Z286" i="12"/>
  <c r="Z1815" i="12"/>
  <c r="Z1247" i="12"/>
  <c r="Z2127" i="12"/>
  <c r="Z1403" i="12"/>
  <c r="Z1269" i="12"/>
  <c r="Z322" i="12"/>
  <c r="Z3166" i="12"/>
  <c r="Z2148" i="12"/>
  <c r="Z647" i="12"/>
  <c r="Z465" i="12"/>
  <c r="Z3159" i="12"/>
  <c r="Z110" i="12"/>
  <c r="Z1233" i="12"/>
  <c r="Z805" i="12"/>
  <c r="Z2242" i="12"/>
  <c r="Z2393" i="12"/>
  <c r="Z1701" i="12"/>
  <c r="Z1520" i="12"/>
  <c r="Z1043" i="12"/>
  <c r="Z213" i="12"/>
  <c r="Z2976" i="12"/>
  <c r="Z2525" i="12"/>
  <c r="Z394" i="12"/>
  <c r="Z665" i="12"/>
  <c r="Z444" i="12"/>
  <c r="Z369" i="12"/>
  <c r="Z1156" i="12"/>
  <c r="Z2573" i="12"/>
  <c r="Z1607" i="12"/>
  <c r="Z1157" i="12"/>
  <c r="Z357" i="12"/>
  <c r="Z2139" i="12"/>
  <c r="Z3427" i="12"/>
  <c r="Z1727" i="12"/>
  <c r="Z2824" i="12"/>
  <c r="Z2896" i="12"/>
  <c r="Z2840" i="12"/>
  <c r="Z559" i="12"/>
  <c r="Z1801" i="12"/>
  <c r="Z422" i="12"/>
  <c r="Z430" i="12"/>
  <c r="Z80" i="12"/>
  <c r="Z1257" i="12"/>
  <c r="Z438" i="12"/>
  <c r="Z2096" i="12"/>
  <c r="Z624" i="12"/>
  <c r="Z2665" i="12"/>
  <c r="Z48" i="12"/>
  <c r="Z207" i="12"/>
  <c r="Z2587" i="12"/>
  <c r="Z389" i="12"/>
  <c r="Z205" i="12"/>
  <c r="Z1100" i="12"/>
  <c r="Z968" i="12"/>
  <c r="Z2456" i="12"/>
  <c r="Z1155" i="12"/>
  <c r="Z2906" i="12"/>
  <c r="Z1897" i="12"/>
  <c r="Z914" i="12"/>
  <c r="Z1906" i="12"/>
  <c r="Z71" i="12"/>
  <c r="Z2493" i="12"/>
  <c r="Z3060" i="12"/>
  <c r="Z1177" i="12"/>
  <c r="Z514" i="12"/>
  <c r="Z3136" i="12"/>
  <c r="Z1095" i="12"/>
  <c r="Z3013" i="12"/>
  <c r="Z3247" i="12"/>
  <c r="Z2866" i="12"/>
  <c r="Z1103" i="12"/>
  <c r="Z1411" i="12"/>
  <c r="Z98" i="12"/>
  <c r="Z3472" i="12"/>
  <c r="Z1086" i="12"/>
  <c r="Z1682" i="12"/>
  <c r="Z2088" i="12"/>
  <c r="Z2389" i="12"/>
  <c r="Z2395" i="12"/>
  <c r="Z1508" i="12"/>
  <c r="Z64" i="12"/>
  <c r="Z1811" i="12"/>
  <c r="Z674" i="12"/>
  <c r="Z2153" i="12"/>
  <c r="Z906" i="12"/>
  <c r="Z1656" i="12"/>
  <c r="Z3285" i="12"/>
  <c r="Z736" i="12"/>
  <c r="Z1649" i="12"/>
  <c r="Z1724" i="12"/>
  <c r="Z1187" i="12"/>
  <c r="Z1766" i="12"/>
  <c r="Z1068" i="12"/>
  <c r="Z3364" i="12"/>
  <c r="Z3187" i="12"/>
  <c r="Z1534" i="12"/>
  <c r="Z952" i="12"/>
  <c r="Z3529" i="12"/>
  <c r="Z1320" i="12"/>
  <c r="Z3104" i="12"/>
  <c r="Z2583" i="12"/>
  <c r="Z698" i="12"/>
  <c r="Z1644" i="12"/>
  <c r="Z3149" i="12"/>
  <c r="Z3523" i="12"/>
  <c r="Z1893" i="12"/>
  <c r="Z983" i="12"/>
  <c r="Z2643" i="12"/>
  <c r="Z918" i="12"/>
  <c r="Z870" i="12"/>
  <c r="Z1334" i="12"/>
  <c r="Z2995" i="12"/>
  <c r="Z2734" i="12"/>
  <c r="Z2996" i="12"/>
  <c r="Z320" i="12"/>
  <c r="Z955" i="12"/>
  <c r="Z1763" i="12"/>
  <c r="Z3244" i="12"/>
  <c r="Z764" i="12"/>
  <c r="Z3007" i="12"/>
  <c r="Z819" i="12"/>
  <c r="Z2480" i="12"/>
  <c r="Z2461" i="12"/>
  <c r="Z1991" i="12"/>
  <c r="Z3322" i="12"/>
  <c r="Z3211" i="12"/>
  <c r="Z2340" i="12"/>
  <c r="Z2754" i="12"/>
  <c r="Z658" i="12"/>
  <c r="Z2521" i="12"/>
  <c r="Z2902" i="12"/>
  <c r="Z3326" i="12"/>
  <c r="Z2916" i="12"/>
  <c r="Z1846" i="12"/>
  <c r="Z2307" i="12"/>
  <c r="Z2849" i="12"/>
  <c r="Z1190" i="12"/>
  <c r="Z2312" i="12"/>
  <c r="Z2755" i="12"/>
  <c r="Z3052" i="12"/>
  <c r="Z2651" i="12"/>
  <c r="Z550" i="12"/>
  <c r="Z1356" i="12"/>
  <c r="Z1194" i="12"/>
  <c r="Z261" i="12"/>
  <c r="Z104" i="12"/>
  <c r="Z1246" i="12"/>
  <c r="Z133" i="12"/>
  <c r="Z3105" i="12"/>
  <c r="Z506" i="12"/>
  <c r="Z985" i="12"/>
  <c r="Z156" i="12"/>
  <c r="Z742" i="12"/>
  <c r="Z1392" i="12"/>
  <c r="Z1145" i="12"/>
  <c r="Z3162" i="12"/>
  <c r="Z144" i="12"/>
  <c r="Z745" i="12"/>
  <c r="Z2819" i="12"/>
  <c r="Z516" i="12"/>
  <c r="Z852" i="12"/>
  <c r="Z975" i="12"/>
  <c r="Z2485" i="12"/>
  <c r="Z147" i="12"/>
  <c r="Z3288" i="12"/>
  <c r="Z338" i="12"/>
  <c r="Z2465" i="12"/>
  <c r="Z376" i="12"/>
  <c r="Z194" i="12"/>
  <c r="Z2537" i="12"/>
  <c r="Z853" i="12"/>
  <c r="Z1515" i="12"/>
  <c r="Z777" i="12"/>
  <c r="Z916" i="12"/>
  <c r="Z3252" i="12"/>
  <c r="Z1614" i="12"/>
  <c r="Z839" i="12"/>
  <c r="Z2429" i="12"/>
  <c r="Z709" i="12"/>
  <c r="Z2700" i="12"/>
  <c r="Z1089" i="12"/>
  <c r="Z175" i="12"/>
  <c r="Z2041" i="12"/>
  <c r="Z1631" i="12"/>
  <c r="Z1510" i="12"/>
  <c r="Z2441" i="12"/>
  <c r="Z3366" i="12"/>
  <c r="Z1684" i="12"/>
  <c r="Z3139" i="12"/>
  <c r="Z3539" i="12"/>
  <c r="Z3246" i="12"/>
  <c r="Z2932" i="12"/>
  <c r="Z3208" i="12"/>
  <c r="Z204" i="12"/>
  <c r="Z3376" i="12"/>
  <c r="Z961" i="12"/>
  <c r="Z575" i="12"/>
  <c r="Z2396" i="12"/>
  <c r="Z1011" i="12"/>
  <c r="Z2791" i="12"/>
  <c r="Z1753" i="12"/>
  <c r="Z1281" i="12"/>
  <c r="Z3129" i="12"/>
  <c r="Z904" i="12"/>
  <c r="Z132" i="12"/>
  <c r="Z3140" i="12"/>
  <c r="Z2531" i="12"/>
  <c r="Z3317" i="12"/>
  <c r="Z478" i="12"/>
  <c r="Z3261" i="12"/>
  <c r="Z1435" i="12"/>
  <c r="Z618" i="12"/>
  <c r="Z2528" i="12"/>
  <c r="Z2668" i="12"/>
  <c r="Z2787" i="12"/>
  <c r="Z2753" i="12"/>
  <c r="Z3491" i="12"/>
  <c r="Z1640" i="12"/>
  <c r="Z845" i="12"/>
  <c r="Z47" i="12"/>
  <c r="Z1441" i="12"/>
  <c r="Z2921" i="12"/>
  <c r="Z1968" i="12"/>
  <c r="Z2997" i="12"/>
  <c r="Z1829" i="12"/>
  <c r="Z1596" i="12"/>
  <c r="Z2836" i="12"/>
  <c r="Z294" i="12"/>
  <c r="Z215" i="12"/>
  <c r="Z1151" i="12"/>
  <c r="Z3080" i="12"/>
  <c r="Z1721" i="12"/>
  <c r="Z1093" i="12"/>
  <c r="Z482" i="12"/>
  <c r="Z2749" i="12"/>
  <c r="Z2145" i="12"/>
  <c r="Z793" i="12"/>
  <c r="Z1239" i="12"/>
  <c r="Z602" i="12"/>
  <c r="Z768" i="12"/>
  <c r="Z1863" i="12"/>
  <c r="Z432" i="12"/>
  <c r="Z2408" i="12"/>
  <c r="Z2053" i="12"/>
  <c r="Z2822" i="12"/>
  <c r="Z130" i="12"/>
  <c r="Z412" i="12"/>
  <c r="Z579" i="12"/>
  <c r="Z2067" i="12"/>
  <c r="Z201" i="12"/>
  <c r="Z3148" i="12"/>
  <c r="Z2346" i="12"/>
  <c r="Z3480" i="12"/>
  <c r="Z3307" i="12"/>
  <c r="Z2259" i="12"/>
  <c r="Z1785" i="12"/>
  <c r="Z1582" i="12"/>
  <c r="Z1518" i="12"/>
  <c r="Z2901" i="12"/>
  <c r="Z2933" i="12"/>
  <c r="Z1989" i="12"/>
  <c r="Z3059" i="12"/>
  <c r="Z901" i="12"/>
  <c r="Z1869" i="12"/>
  <c r="Z1292" i="12"/>
  <c r="Z1511" i="12"/>
  <c r="Z3004" i="12"/>
  <c r="Z2980" i="12"/>
  <c r="Z1750" i="12"/>
  <c r="Z1580" i="12"/>
  <c r="Z1372" i="12"/>
  <c r="Z1266" i="12"/>
  <c r="Z168" i="12"/>
  <c r="Z493" i="12"/>
  <c r="Z49" i="12"/>
  <c r="Z3483" i="12"/>
  <c r="Z774" i="12"/>
  <c r="Z1676" i="12"/>
  <c r="Z418" i="12"/>
  <c r="Z2912" i="12"/>
  <c r="Z88" i="12"/>
  <c r="Z497" i="12"/>
  <c r="Z592" i="12"/>
  <c r="Z3525" i="12"/>
  <c r="Z999" i="12"/>
  <c r="Z3324" i="12"/>
  <c r="Z1220" i="12"/>
  <c r="Z848" i="12"/>
  <c r="Z1088" i="12"/>
  <c r="Z1502" i="12"/>
  <c r="Z3344" i="12"/>
  <c r="Z235" i="12"/>
  <c r="Z631" i="12"/>
  <c r="Z706" i="12"/>
  <c r="Z2430" i="12"/>
  <c r="Z2601" i="12"/>
  <c r="Z2969" i="12"/>
  <c r="Z2128" i="12"/>
  <c r="Z206" i="12"/>
  <c r="Z2226" i="12"/>
  <c r="Z1300" i="12"/>
  <c r="Z1730" i="12"/>
  <c r="Z2760" i="12"/>
  <c r="Z2473" i="12"/>
  <c r="Z3274" i="12"/>
  <c r="Z118" i="12"/>
  <c r="Z2443" i="12"/>
  <c r="Z2538" i="12"/>
  <c r="Z3095" i="12"/>
  <c r="Z2075" i="12"/>
  <c r="Z2714" i="12"/>
  <c r="Z2051" i="12"/>
  <c r="Z2239" i="12"/>
  <c r="Z195" i="12"/>
  <c r="Z397" i="12"/>
  <c r="Z3097" i="12"/>
  <c r="Z712" i="12"/>
  <c r="Z1749" i="12"/>
  <c r="Z2991" i="12"/>
  <c r="Z843" i="12"/>
  <c r="Z42" i="12"/>
  <c r="Z484" i="12"/>
  <c r="Z251" i="12"/>
  <c r="Z2109" i="12"/>
  <c r="Z1956" i="12"/>
  <c r="Z1821" i="12"/>
  <c r="Z3470" i="12"/>
  <c r="Z310" i="12"/>
  <c r="Z120" i="12"/>
  <c r="Z977" i="12"/>
  <c r="Z1361" i="12"/>
  <c r="Z2774" i="12"/>
  <c r="Z1572" i="12"/>
  <c r="Z1153" i="12"/>
  <c r="Z3151" i="12"/>
  <c r="Z1807" i="12"/>
  <c r="Z717" i="12"/>
  <c r="Z1892" i="12"/>
  <c r="Z492" i="12"/>
  <c r="Z1178" i="12"/>
  <c r="Z2585" i="12"/>
  <c r="Z2382" i="12"/>
  <c r="Z1035" i="12"/>
  <c r="Z1466" i="12"/>
  <c r="Z1748" i="12"/>
  <c r="Z2546" i="12"/>
  <c r="Z944" i="12"/>
  <c r="Z1278" i="12"/>
  <c r="Z3266" i="12"/>
  <c r="Z463" i="12"/>
  <c r="Z3171" i="12"/>
  <c r="Z424" i="12"/>
  <c r="Z2070" i="12"/>
  <c r="Z1957" i="12"/>
  <c r="Z2543" i="12"/>
  <c r="Z233" i="12"/>
  <c r="Z85" i="12"/>
  <c r="Z2494" i="12"/>
  <c r="Z3219" i="12"/>
  <c r="Z1569" i="12"/>
  <c r="Z986" i="12"/>
  <c r="Z1092" i="12"/>
  <c r="Z962" i="12"/>
  <c r="Z102" i="12"/>
  <c r="Z2243" i="12"/>
  <c r="Z262" i="12"/>
  <c r="Z758" i="12"/>
  <c r="Z569" i="12"/>
  <c r="Z2835" i="12"/>
  <c r="Z3442" i="12"/>
  <c r="Z2161" i="12"/>
  <c r="Z927" i="12"/>
  <c r="Z561" i="12"/>
  <c r="Z779" i="12"/>
  <c r="Z769" i="12"/>
  <c r="Z2227" i="12"/>
  <c r="Z3538" i="12"/>
  <c r="Z1648" i="12"/>
  <c r="Z1208" i="12"/>
  <c r="Z2918" i="12"/>
  <c r="Z2024" i="12"/>
  <c r="Z2289" i="12"/>
  <c r="Z154" i="12"/>
  <c r="Z448" i="12"/>
  <c r="Z3182" i="12"/>
  <c r="Z446" i="12"/>
  <c r="Z2598" i="12"/>
  <c r="Z3336" i="12"/>
  <c r="Z1739" i="12"/>
  <c r="Z583" i="12"/>
  <c r="Z2386" i="12"/>
  <c r="Z3485" i="12"/>
  <c r="Z1042" i="12"/>
  <c r="Z1592" i="12"/>
  <c r="Z3528" i="12"/>
  <c r="Z420" i="12"/>
  <c r="Z722" i="12"/>
  <c r="Z1672" i="12"/>
  <c r="Z596" i="12"/>
  <c r="Z3206" i="12"/>
  <c r="Z239" i="12"/>
  <c r="Z1703" i="12"/>
  <c r="Z1908" i="12"/>
  <c r="Z1512" i="12"/>
  <c r="Z2218" i="12"/>
  <c r="Z2894" i="12"/>
  <c r="Z555" i="12"/>
  <c r="Z2942" i="12"/>
  <c r="Z527" i="12"/>
  <c r="Z1045" i="12"/>
  <c r="Z2664" i="12"/>
  <c r="Z2336" i="12"/>
  <c r="Z1332" i="12"/>
  <c r="Z652" i="12"/>
  <c r="Z2765" i="12"/>
  <c r="Z3250" i="12"/>
  <c r="Z3302" i="12"/>
  <c r="Z661" i="12"/>
  <c r="Z2509" i="12"/>
  <c r="Z336" i="12"/>
  <c r="Z1139" i="12"/>
  <c r="Z2138" i="12"/>
  <c r="Z3443" i="12"/>
  <c r="Z2858" i="12"/>
  <c r="Z2930" i="12"/>
  <c r="Z1321" i="12"/>
  <c r="Z1096" i="12"/>
  <c r="Z2225" i="12"/>
  <c r="Z1477" i="12"/>
  <c r="Z1516" i="12"/>
  <c r="Z247" i="12"/>
  <c r="Z3167" i="12"/>
  <c r="Z1085" i="12"/>
  <c r="Z1877" i="12"/>
  <c r="Z35" i="12"/>
  <c r="Z2202" i="12"/>
  <c r="Z3544" i="12"/>
  <c r="Z1401" i="12"/>
  <c r="Z2241" i="12"/>
  <c r="Z910" i="12"/>
  <c r="Z1191" i="12"/>
  <c r="Z2806" i="12"/>
  <c r="Z3265" i="12"/>
  <c r="Z593" i="12"/>
  <c r="Z1553" i="12"/>
  <c r="Z1415" i="12"/>
  <c r="Z820" i="12"/>
  <c r="Z1903" i="12"/>
  <c r="Z529" i="12"/>
  <c r="Z1533" i="12"/>
  <c r="Z1017" i="12"/>
  <c r="Z258" i="12"/>
  <c r="Z586" i="12"/>
  <c r="Z1712" i="12"/>
  <c r="Z2228" i="12"/>
  <c r="Z2206" i="12"/>
  <c r="Z2269" i="12"/>
  <c r="Z3026" i="12"/>
  <c r="Z521" i="12"/>
  <c r="Z375" i="12"/>
  <c r="Z2717" i="12"/>
  <c r="Z339" i="12"/>
  <c r="Z3127" i="12"/>
  <c r="Z2084" i="12"/>
  <c r="Z2950" i="12"/>
  <c r="Z1550" i="12"/>
  <c r="Z488" i="12"/>
  <c r="Z2407" i="12"/>
  <c r="Z245" i="12"/>
  <c r="Z1350" i="12"/>
  <c r="Z3488" i="12"/>
  <c r="Z1681" i="12"/>
  <c r="Z2135" i="12"/>
  <c r="Z2591" i="12"/>
  <c r="Z3513" i="12"/>
  <c r="Z3177" i="12"/>
  <c r="Z2270" i="12"/>
  <c r="Z762" i="12"/>
  <c r="Z992" i="12"/>
  <c r="Z2194" i="12"/>
  <c r="Z1574" i="12"/>
  <c r="Z1290" i="12"/>
  <c r="Z898" i="12"/>
  <c r="Z1962" i="12"/>
  <c r="Z979" i="12"/>
  <c r="Z857" i="12"/>
  <c r="Z1653" i="12"/>
  <c r="Z1251" i="12"/>
  <c r="Z348" i="12"/>
  <c r="Z83" i="12"/>
  <c r="Z3370" i="12"/>
  <c r="Z840" i="12"/>
  <c r="Z2390" i="12"/>
  <c r="Z1174" i="12"/>
  <c r="Z3008" i="12"/>
  <c r="Z2586" i="12"/>
  <c r="Z221" i="12"/>
  <c r="Z406" i="12"/>
  <c r="Z1115" i="12"/>
  <c r="Z3248" i="12"/>
  <c r="Z3478" i="12"/>
  <c r="Z581" i="12"/>
  <c r="Z36" i="12"/>
  <c r="Z3360" i="12"/>
  <c r="Z2354" i="12"/>
  <c r="Z2357" i="12"/>
  <c r="Z2750" i="12"/>
  <c r="Z2034" i="12"/>
  <c r="Z2905" i="12"/>
  <c r="Z3394" i="12"/>
  <c r="Z1955" i="12"/>
  <c r="Z3064" i="12"/>
  <c r="Z2347" i="12"/>
  <c r="Z2352" i="12"/>
  <c r="Z2763" i="12"/>
  <c r="Z2780" i="12"/>
  <c r="Z1521" i="12"/>
  <c r="Z2606" i="12"/>
  <c r="Z1425" i="12"/>
  <c r="Z3515" i="12"/>
  <c r="Z2663" i="12"/>
  <c r="Z361" i="12"/>
  <c r="Z2691" i="12"/>
  <c r="Z2004" i="12"/>
  <c r="Z2563" i="12"/>
  <c r="Z474" i="12"/>
  <c r="Z1840" i="12"/>
  <c r="Z525" i="12"/>
  <c r="Z2727" i="12"/>
  <c r="Z946" i="12"/>
  <c r="Z895" i="12"/>
  <c r="Z1866" i="12"/>
  <c r="Z725" i="12"/>
  <c r="Z643" i="12"/>
  <c r="Z3500" i="12"/>
  <c r="Z1838" i="12"/>
  <c r="Z1063" i="12"/>
  <c r="Z2565" i="12"/>
  <c r="Z877" i="12"/>
  <c r="Z504" i="12"/>
  <c r="Z1379" i="12"/>
  <c r="Z278" i="12"/>
  <c r="Z1210" i="12"/>
  <c r="Z2808" i="12"/>
  <c r="Z1509" i="12"/>
  <c r="Z873" i="12"/>
  <c r="Z3241" i="12"/>
  <c r="Z1310" i="12"/>
  <c r="Z3073" i="12"/>
  <c r="Z1457" i="12"/>
  <c r="Z2745" i="12"/>
  <c r="Z1632" i="12"/>
  <c r="Z2731" i="12"/>
  <c r="Z1469" i="12"/>
  <c r="Z1705" i="12"/>
  <c r="Z2062" i="12"/>
  <c r="Z1525" i="12"/>
  <c r="Z3499" i="12"/>
  <c r="Z263" i="12"/>
  <c r="Z1998" i="12"/>
  <c r="Z1336" i="12"/>
  <c r="Z3228" i="12"/>
  <c r="Z2376" i="12"/>
  <c r="Z510" i="12"/>
  <c r="Z2981" i="12"/>
  <c r="Z264" i="12"/>
  <c r="Z380" i="12"/>
  <c r="Z760" i="12"/>
  <c r="Z392" i="12"/>
  <c r="Z2915" i="12"/>
  <c r="Z2498" i="12"/>
  <c r="Z3361" i="12"/>
  <c r="Z2584" i="12"/>
  <c r="Z2445" i="12"/>
  <c r="Z191" i="12"/>
  <c r="Z3407" i="12"/>
  <c r="Z1493" i="12"/>
  <c r="Z1601" i="12"/>
  <c r="Z2732" i="12"/>
  <c r="Z3180" i="12"/>
  <c r="Z1324" i="12"/>
  <c r="Z2893" i="12"/>
  <c r="Z3263" i="12"/>
  <c r="Z1918" i="12"/>
  <c r="Z989" i="12"/>
  <c r="Z2738" i="12"/>
  <c r="Z3492" i="12"/>
  <c r="Z2058" i="12"/>
  <c r="Z2107" i="12"/>
  <c r="Z851" i="12"/>
  <c r="Z1619" i="12"/>
  <c r="Z2678" i="12"/>
  <c r="Z318" i="12"/>
  <c r="Z3091" i="12"/>
  <c r="Z871" i="12"/>
  <c r="Z2869" i="12"/>
  <c r="Z2998" i="12"/>
  <c r="Z3541" i="12"/>
  <c r="Z356" i="12"/>
  <c r="Z2560" i="12"/>
  <c r="Z1116" i="12"/>
  <c r="Z2640" i="12"/>
  <c r="Z1924" i="12"/>
  <c r="Z1934" i="12"/>
  <c r="Z1933" i="12"/>
  <c r="Z2540" i="12"/>
  <c r="Z1904" i="12"/>
  <c r="Z1339" i="12"/>
  <c r="Z253" i="12"/>
  <c r="Z587" i="12"/>
  <c r="Z951" i="12"/>
  <c r="Z2911" i="12"/>
  <c r="Z2468" i="12"/>
  <c r="Z976" i="12"/>
  <c r="Z228" i="12"/>
  <c r="Z1330" i="12"/>
  <c r="Z1123" i="12"/>
  <c r="Z2515" i="12"/>
  <c r="Z304" i="12"/>
  <c r="Z912" i="12"/>
  <c r="Z2368" i="12"/>
  <c r="Z3292" i="12"/>
  <c r="Z3343" i="12"/>
  <c r="Z1590" i="12"/>
  <c r="Z3100" i="12"/>
  <c r="Z1659" i="12"/>
  <c r="Z520" i="12"/>
  <c r="Z2736" i="12"/>
  <c r="Z2647" i="12"/>
  <c r="Z668" i="12"/>
  <c r="Z2701" i="12"/>
  <c r="Z113" i="12"/>
  <c r="Z2883" i="12"/>
  <c r="Z1107" i="12"/>
  <c r="Z75" i="12"/>
  <c r="Z1831" i="12"/>
  <c r="Z905" i="12"/>
  <c r="Z3304" i="12"/>
  <c r="Z3463" i="12"/>
  <c r="Z2603" i="12"/>
  <c r="Z2464" i="12"/>
  <c r="Z2830" i="12"/>
  <c r="Z331" i="12"/>
  <c r="Z827" i="12"/>
  <c r="Z2330" i="12"/>
  <c r="Z2490" i="12"/>
  <c r="Z3290" i="12"/>
  <c r="Z1133" i="12"/>
  <c r="Z1165" i="12"/>
  <c r="Z3267" i="12"/>
  <c r="Z1702" i="12"/>
  <c r="Z597" i="12"/>
  <c r="Z2833" i="12"/>
  <c r="Z1910" i="12"/>
  <c r="Z1638" i="12"/>
  <c r="Z1692" i="12"/>
  <c r="Z721" i="12"/>
  <c r="Z2164" i="12"/>
  <c r="Z2751" i="12"/>
  <c r="Z1231" i="12"/>
  <c r="Z1264" i="12"/>
  <c r="Z3079" i="12"/>
  <c r="Z2554" i="12"/>
  <c r="Z2444" i="12"/>
  <c r="Z1529" i="12"/>
  <c r="Z1274" i="12"/>
  <c r="Z3056" i="12"/>
  <c r="Z3348" i="12"/>
  <c r="Z3323" i="12"/>
  <c r="Z3331" i="12"/>
  <c r="Z2962" i="12"/>
  <c r="Z1802" i="12"/>
  <c r="Z1824" i="12"/>
  <c r="Z2093" i="12"/>
  <c r="Z2119" i="12"/>
  <c r="Z2903" i="12"/>
  <c r="Z145" i="12"/>
  <c r="Z2257" i="12"/>
  <c r="Z1450" i="12"/>
  <c r="Z830" i="12"/>
  <c r="Z2757" i="12"/>
  <c r="Z1799" i="12"/>
  <c r="Z1098" i="12"/>
  <c r="Z2813" i="12"/>
  <c r="Z305" i="12"/>
  <c r="Z2210" i="12"/>
  <c r="Z2895" i="12"/>
  <c r="Z2120" i="12"/>
  <c r="Z2385" i="12"/>
  <c r="Z1038" i="12"/>
  <c r="Z2319" i="12"/>
  <c r="Z2572" i="12"/>
  <c r="Z3065" i="12"/>
  <c r="Z3197" i="12"/>
  <c r="Z2645" i="12"/>
  <c r="Z388" i="12"/>
  <c r="Z472" i="12"/>
  <c r="Z1312" i="12"/>
  <c r="Z535" i="12"/>
  <c r="Z526" i="12"/>
  <c r="Z2618" i="12"/>
  <c r="Z2187" i="12"/>
  <c r="Z3286" i="12"/>
  <c r="Z2476" i="12"/>
  <c r="Z1699" i="12"/>
  <c r="Z2291" i="12"/>
  <c r="Z3475" i="12"/>
  <c r="Z2501" i="12"/>
  <c r="Z3037" i="12"/>
  <c r="Z841" i="12"/>
  <c r="Z3234" i="12"/>
  <c r="Z1990" i="12"/>
  <c r="Z3254" i="12"/>
  <c r="Z1355" i="12"/>
  <c r="Z84" i="12"/>
  <c r="Z1849" i="12"/>
  <c r="Z2503" i="12"/>
  <c r="Z1984" i="12"/>
  <c r="Z2949" i="12"/>
  <c r="Z2438" i="12"/>
  <c r="Z404" i="12"/>
  <c r="Z2068" i="12"/>
  <c r="Z481" i="12"/>
  <c r="Z1431" i="12"/>
  <c r="Z3039" i="12"/>
  <c r="Z2764" i="12"/>
  <c r="Z3195" i="12"/>
  <c r="Z623" i="12"/>
  <c r="Z3305" i="12"/>
  <c r="Z2364" i="12"/>
  <c r="Z3342" i="12"/>
  <c r="Z3545" i="12"/>
  <c r="Z2061" i="12"/>
  <c r="Z2847" i="12"/>
  <c r="Z2471" i="12"/>
  <c r="Z1960" i="12"/>
  <c r="Z729" i="12"/>
  <c r="Z960" i="12"/>
  <c r="Z1853" i="12"/>
  <c r="Z3160" i="12"/>
  <c r="Z2954" i="12"/>
  <c r="Z3033" i="12"/>
  <c r="Z3145" i="12"/>
  <c r="Z3069" i="12"/>
  <c r="Z2555" i="12"/>
  <c r="Z1848" i="12"/>
  <c r="Z3141" i="12"/>
  <c r="Z2931" i="12"/>
  <c r="Z1874" i="12"/>
  <c r="Z2273" i="12"/>
  <c r="Z2500" i="12"/>
  <c r="Z2329" i="12"/>
  <c r="Z1677" i="12"/>
  <c r="Z1076" i="12"/>
  <c r="Z2658" i="12"/>
  <c r="Z241" i="12"/>
  <c r="Z3519" i="12"/>
  <c r="Z1443" i="12"/>
  <c r="Z1409" i="12"/>
  <c r="Z2834" i="12"/>
  <c r="Z2260" i="12"/>
  <c r="Z1309" i="12"/>
  <c r="Z567" i="12"/>
  <c r="Z3469" i="12"/>
  <c r="Z2683" i="12"/>
  <c r="Z332" i="12"/>
  <c r="Z1474" i="12"/>
  <c r="Z2673" i="12"/>
  <c r="Z3077" i="12"/>
  <c r="Z1241" i="12"/>
  <c r="Z3132" i="12"/>
  <c r="Z414" i="12"/>
  <c r="Z360" i="12"/>
  <c r="Z628" i="12"/>
  <c r="Z2178" i="12"/>
  <c r="Z1030" i="12"/>
  <c r="Z3505" i="12"/>
  <c r="Z1404" i="12"/>
  <c r="Z398" i="12"/>
  <c r="Z1783" i="12"/>
  <c r="Z437" i="12"/>
  <c r="Z40" i="12"/>
  <c r="Z377" i="12"/>
  <c r="Z1084" i="12"/>
  <c r="Z2805" i="12"/>
  <c r="Z2709" i="12"/>
  <c r="Z1416" i="12"/>
  <c r="Z1069" i="12"/>
  <c r="Z1723" i="12"/>
  <c r="Z1876" i="12"/>
  <c r="Z1288" i="12"/>
  <c r="Z1827" i="12"/>
  <c r="Z2469" i="12"/>
  <c r="Z3399" i="12"/>
  <c r="Z3118" i="12"/>
  <c r="Z3262" i="12"/>
  <c r="Z1333" i="12"/>
  <c r="Z2137" i="12"/>
  <c r="Z2231" i="12"/>
  <c r="Z733" i="12"/>
  <c r="Z1711" i="12"/>
  <c r="Z2208" i="12"/>
  <c r="Z1482" i="12"/>
  <c r="Z940" i="12"/>
  <c r="Z1445" i="12"/>
  <c r="Z608" i="12"/>
  <c r="Z1816" i="12"/>
  <c r="Z2278" i="12"/>
  <c r="Z2604" i="12"/>
  <c r="Z1666" i="12"/>
  <c r="Z2778" i="12"/>
  <c r="Z949" i="12"/>
  <c r="Z467" i="12"/>
  <c r="Z1214" i="12"/>
  <c r="Z2271" i="12"/>
  <c r="Z105" i="12"/>
  <c r="Z1752" i="12"/>
  <c r="Z2373" i="12"/>
  <c r="Z3204" i="12"/>
  <c r="Z2267" i="12"/>
  <c r="Z1140" i="12"/>
  <c r="Z683" i="12"/>
  <c r="Z1066" i="12"/>
  <c r="Z1397" i="12"/>
  <c r="Z2232" i="12"/>
  <c r="Z3001" i="12"/>
  <c r="Z802" i="12"/>
  <c r="Z1769" i="12"/>
  <c r="Z3028" i="12"/>
  <c r="Z833" i="12"/>
  <c r="Z3532" i="12"/>
  <c r="Z2891" i="12"/>
  <c r="Z3543" i="12"/>
  <c r="Z900" i="12"/>
  <c r="Z3031" i="12"/>
  <c r="Z3260" i="12"/>
  <c r="Z547" i="12"/>
  <c r="Z439" i="12"/>
  <c r="Z3390" i="12"/>
  <c r="Z899" i="12"/>
  <c r="Z1059" i="12"/>
  <c r="Z219" i="12"/>
  <c r="Z2377" i="12"/>
  <c r="Z3259" i="12"/>
  <c r="Z401" i="12"/>
  <c r="Z2722" i="12"/>
  <c r="Z2388" i="12"/>
  <c r="Z2326" i="12"/>
  <c r="Z1935" i="12"/>
  <c r="Z2183" i="12"/>
  <c r="Z771" i="12"/>
  <c r="Z1575" i="12"/>
  <c r="Z1911" i="12"/>
  <c r="Z724" i="12"/>
  <c r="Z1888" i="12"/>
  <c r="Z1914" i="12"/>
  <c r="Z427" i="12"/>
  <c r="Z2769" i="12"/>
  <c r="Z889" i="12"/>
  <c r="Z2147" i="12"/>
  <c r="Z1158" i="12"/>
  <c r="Z1327" i="12"/>
  <c r="Z285" i="12"/>
  <c r="Z2934" i="12"/>
  <c r="Z2212" i="12"/>
  <c r="Z3284" i="12"/>
  <c r="Z505" i="12"/>
  <c r="Z1704" i="12"/>
  <c r="Z2350" i="12"/>
  <c r="Z978" i="12"/>
  <c r="Z292" i="12"/>
  <c r="Z1854" i="12"/>
  <c r="Z994" i="12"/>
  <c r="Z603" i="12"/>
  <c r="Z136" i="12"/>
  <c r="Z2211" i="12"/>
  <c r="Z96" i="12"/>
  <c r="Z2636" i="12"/>
  <c r="Z2077" i="12"/>
  <c r="Z381" i="12"/>
  <c r="Z2552" i="12"/>
  <c r="Z1442" i="12"/>
  <c r="Z1248" i="12"/>
  <c r="Z1772" i="12"/>
  <c r="Z1972" i="12"/>
  <c r="Z2611" i="12"/>
  <c r="Z2031" i="12"/>
  <c r="Z2600" i="12"/>
  <c r="Z578" i="12"/>
  <c r="Z868" i="12"/>
  <c r="Z31" i="12"/>
  <c r="Z1845" i="12"/>
  <c r="Z337" i="12"/>
  <c r="Z3005" i="12"/>
  <c r="Z1627" i="12"/>
  <c r="Z3044" i="12"/>
  <c r="Z3240" i="12"/>
  <c r="Z503" i="12"/>
  <c r="Z799" i="12"/>
  <c r="Z121" i="12"/>
  <c r="Z942" i="12"/>
  <c r="Z886" i="12"/>
  <c r="Z2719" i="12"/>
  <c r="Z2676" i="12"/>
  <c r="Z2338" i="12"/>
  <c r="Z2010" i="12"/>
  <c r="Z1782" i="12"/>
  <c r="Z2788" i="12"/>
  <c r="Z443" i="12"/>
  <c r="Z684" i="12"/>
  <c r="Z2002" i="12"/>
  <c r="Z3340" i="12"/>
  <c r="Z1612" i="12"/>
  <c r="Z3431" i="12"/>
  <c r="Z2708" i="12"/>
  <c r="Z3150" i="12"/>
  <c r="Z1077" i="12"/>
  <c r="Z2514" i="12"/>
  <c r="Z2880" i="12"/>
  <c r="Z2487" i="12"/>
  <c r="Z1560" i="12"/>
  <c r="Z2656" i="12"/>
  <c r="Z3518" i="12"/>
  <c r="Z1514" i="12"/>
  <c r="Z1915" i="12"/>
  <c r="Z844" i="12"/>
  <c r="Z1410" i="12"/>
  <c r="Z577" i="12"/>
  <c r="Z598" i="12"/>
  <c r="Z759" i="12"/>
  <c r="Z2793" i="12"/>
  <c r="Z3189" i="12"/>
  <c r="Z2497" i="12"/>
  <c r="Z2331" i="12"/>
  <c r="Z2397" i="12"/>
  <c r="Z2948" i="12"/>
  <c r="Z323" i="12"/>
  <c r="Z1856" i="12"/>
  <c r="Z2240" i="12"/>
  <c r="Z2504" i="12"/>
  <c r="Z2707" i="12"/>
  <c r="Z265" i="12"/>
  <c r="Z3109" i="12"/>
  <c r="Z3289" i="12"/>
  <c r="Z1476" i="12"/>
  <c r="Z2519" i="12"/>
  <c r="Z571" i="12"/>
  <c r="Z2280" i="12"/>
  <c r="Z3029" i="12"/>
  <c r="Z2371" i="12"/>
  <c r="Z1432" i="12"/>
  <c r="Z1736" i="12"/>
  <c r="Z3040" i="12"/>
  <c r="Z2384" i="12"/>
  <c r="Z2098" i="12"/>
  <c r="Z1925" i="12"/>
  <c r="Z1662" i="12"/>
  <c r="Z2559" i="12"/>
  <c r="Z3327" i="12"/>
  <c r="Z76" i="12"/>
  <c r="Z2484" i="12"/>
  <c r="Z890" i="12"/>
  <c r="Z1058" i="12"/>
  <c r="Z319" i="12"/>
  <c r="Z271" i="12"/>
  <c r="Z2661" i="12"/>
  <c r="Z3311" i="12"/>
  <c r="Z1456" i="12"/>
  <c r="Z1033" i="12"/>
  <c r="Z1072" i="12"/>
  <c r="Z735" i="12"/>
  <c r="Z2069" i="12"/>
  <c r="Z702" i="12"/>
  <c r="Z1687" i="12"/>
  <c r="Z2033" i="12"/>
  <c r="Z390" i="12"/>
  <c r="Z3527" i="12"/>
  <c r="Z2366" i="12"/>
  <c r="Z2072" i="12"/>
  <c r="Z3487" i="12"/>
  <c r="Z1651" i="12"/>
  <c r="Z981" i="12"/>
  <c r="Z2492" i="12"/>
  <c r="Z280" i="12"/>
  <c r="Z2553" i="12"/>
  <c r="Z67" i="12"/>
  <c r="Z3490" i="12"/>
  <c r="Z1861" i="12"/>
  <c r="Z2659" i="12"/>
  <c r="Z2580" i="12"/>
  <c r="Z741" i="12"/>
  <c r="Z370" i="12"/>
  <c r="Z2379" i="12"/>
  <c r="Z2416" i="12"/>
  <c r="Z1714" i="12"/>
  <c r="Z2937" i="12"/>
  <c r="Z1166" i="12"/>
  <c r="Z650" i="12"/>
  <c r="Z3537" i="12"/>
  <c r="Z3222" i="12"/>
  <c r="Z3362" i="12"/>
  <c r="Z3301" i="12"/>
  <c r="Z1773" i="12"/>
  <c r="Z1460" i="12"/>
  <c r="Z2460" i="12"/>
  <c r="Z3014" i="12"/>
  <c r="Z2595" i="12"/>
  <c r="Z2861" i="12"/>
  <c r="Z2850" i="12"/>
  <c r="Z3186" i="12"/>
  <c r="Z2823" i="12"/>
  <c r="Z2955" i="12"/>
  <c r="Z1803" i="12"/>
  <c r="Z2229" i="12"/>
  <c r="Z1927" i="12"/>
  <c r="Z3293" i="12"/>
  <c r="Z2782" i="12"/>
  <c r="Z2342" i="12"/>
  <c r="Z536" i="12"/>
  <c r="Z3489" i="12"/>
  <c r="Z2795" i="12"/>
  <c r="Z3448" i="12"/>
  <c r="Z2032" i="12"/>
  <c r="Z2426" i="12"/>
  <c r="Z107" i="12"/>
  <c r="Z1120" i="12"/>
  <c r="Z2486" i="12"/>
  <c r="Z3023" i="12"/>
  <c r="Z1565" i="12"/>
  <c r="Z1121" i="12"/>
  <c r="Z3377" i="12"/>
  <c r="Z2957" i="12"/>
  <c r="Z3299" i="12"/>
  <c r="Z352" i="12"/>
  <c r="Z1226" i="12"/>
  <c r="Z1331" i="12"/>
  <c r="Z399" i="12"/>
  <c r="Z1125" i="12"/>
  <c r="Z2308" i="12"/>
  <c r="Z2569" i="12"/>
  <c r="Z1243" i="12"/>
  <c r="Z655" i="12"/>
  <c r="Z362" i="12"/>
  <c r="Z3552" i="12"/>
  <c r="Z3420" i="12"/>
  <c r="Z2771" i="12"/>
  <c r="Z1127" i="12"/>
  <c r="Z1851" i="12"/>
  <c r="Z1665" i="12"/>
  <c r="Z407" i="12"/>
  <c r="Z2086" i="12"/>
  <c r="Z1439" i="12"/>
  <c r="Z287" i="12"/>
  <c r="Z1978" i="12"/>
  <c r="Z1913" i="12"/>
  <c r="Z1734" i="12"/>
  <c r="Z3201" i="12"/>
  <c r="Z2478" i="12"/>
  <c r="Z639" i="12"/>
  <c r="Z3257" i="12"/>
  <c r="Z159" i="12"/>
  <c r="Z1880" i="12"/>
  <c r="Z1577" i="12"/>
  <c r="Z1938" i="12"/>
  <c r="Z2999" i="12"/>
  <c r="Z3303" i="12"/>
  <c r="Z1790" i="12"/>
  <c r="Z859" i="12"/>
  <c r="Z1230" i="12"/>
  <c r="Z3320" i="12"/>
  <c r="Z3530" i="12"/>
  <c r="Z1708" i="12"/>
  <c r="Z2988" i="12"/>
  <c r="Z400" i="12"/>
  <c r="Z1446" i="12"/>
  <c r="Z475" i="12"/>
  <c r="Z1901" i="12"/>
  <c r="Z2055" i="12"/>
  <c r="Z2215" i="12"/>
  <c r="Z3446" i="12"/>
  <c r="Z2541" i="12"/>
  <c r="Z1366" i="12"/>
  <c r="Z1144" i="12"/>
  <c r="Z883" i="12"/>
  <c r="Z3508" i="12"/>
  <c r="Z615" i="12"/>
  <c r="Z1618" i="12"/>
  <c r="Z2402" i="12"/>
  <c r="Z1593" i="12"/>
  <c r="Z3231" i="12"/>
  <c r="Z754" i="12"/>
  <c r="Z301" i="12"/>
  <c r="Z3123" i="12"/>
  <c r="Z1117" i="12"/>
  <c r="Z2773" i="12"/>
  <c r="Z1104" i="12"/>
  <c r="Z1036" i="12"/>
  <c r="Z3296" i="12"/>
  <c r="Z1203" i="12"/>
  <c r="Z3549" i="12"/>
  <c r="Z2630" i="12"/>
  <c r="Z2684" i="12"/>
  <c r="Z2766" i="12"/>
  <c r="Z152" i="12"/>
  <c r="Z2873" i="12"/>
  <c r="Z3117" i="12"/>
  <c r="Z1771" i="12"/>
  <c r="Z2887" i="12"/>
  <c r="Z2716" i="12"/>
  <c r="Z507" i="12"/>
  <c r="Z3434" i="12"/>
  <c r="Z1206" i="12"/>
  <c r="Z50" i="12"/>
  <c r="Z1185" i="12"/>
  <c r="Z1501" i="12"/>
  <c r="Z1137" i="12"/>
  <c r="Z2322" i="12"/>
  <c r="Z1340" i="12"/>
  <c r="Z1578" i="12"/>
  <c r="Z1890" i="12"/>
  <c r="Z345" i="12"/>
  <c r="Z2947" i="12"/>
  <c r="Z244" i="12"/>
  <c r="Z479" i="12"/>
  <c r="Z1437" i="12"/>
  <c r="Z2877" i="12"/>
  <c r="Z1850" i="12"/>
  <c r="Z972" i="12"/>
  <c r="Z1896" i="12"/>
  <c r="Z588" i="12"/>
  <c r="Z2277" i="12"/>
  <c r="Z2320" i="12"/>
  <c r="Z3460" i="12"/>
  <c r="Z2898" i="12"/>
  <c r="Z1385" i="12"/>
  <c r="Z1094" i="12"/>
  <c r="Z2188" i="12"/>
  <c r="Z2328" i="12"/>
  <c r="Z1883" i="12"/>
  <c r="Z1079" i="12"/>
  <c r="Z1352" i="12"/>
  <c r="Z440" i="12"/>
  <c r="Z2860" i="12"/>
  <c r="Z349" i="12"/>
  <c r="Z56" i="12"/>
  <c r="Z640" i="12"/>
  <c r="Z834" i="12"/>
  <c r="Z1610" i="12"/>
  <c r="Z2814" i="12"/>
  <c r="Z2279" i="12"/>
  <c r="Z2108" i="12"/>
  <c r="Z3205" i="12"/>
  <c r="Z1182" i="12"/>
  <c r="Z416" i="12"/>
  <c r="Z1994" i="12"/>
  <c r="Z1843" i="12"/>
  <c r="Z2609" i="12"/>
  <c r="Z180" i="12"/>
  <c r="Z236" i="12"/>
  <c r="Z1487" i="12"/>
  <c r="Z2772" i="12"/>
  <c r="Z1318" i="12"/>
  <c r="Z3143" i="12"/>
  <c r="Z1347" i="12"/>
  <c r="Z3253" i="12"/>
  <c r="Z2990" i="12"/>
  <c r="Z964" i="12"/>
  <c r="Z1754" i="12"/>
  <c r="Z3440" i="12"/>
  <c r="Z1822" i="12"/>
  <c r="Z2747" i="12"/>
  <c r="Z3035" i="12"/>
  <c r="Z996" i="12"/>
  <c r="Z1889" i="12"/>
  <c r="Z378" i="12"/>
  <c r="Z3341" i="12"/>
  <c r="Z2462" i="12"/>
  <c r="Z1160" i="12"/>
  <c r="Z2924" i="12"/>
  <c r="Z1931" i="12"/>
  <c r="Z3385" i="12"/>
  <c r="Z2529" i="12"/>
  <c r="Z2370" i="12"/>
  <c r="Z1658" i="12"/>
  <c r="Z2299" i="12"/>
  <c r="Z1923" i="12"/>
  <c r="Z3082" i="12"/>
  <c r="Z2488" i="12"/>
  <c r="Z372" i="12"/>
  <c r="Z3441" i="12"/>
  <c r="Z30" i="12"/>
  <c r="Z763" i="12"/>
  <c r="Z2800" i="12"/>
  <c r="Z1302" i="12"/>
  <c r="Z2358" i="12"/>
  <c r="Z718" i="12"/>
  <c r="Z2132" i="12"/>
  <c r="Z1751" i="12"/>
  <c r="Z2920" i="12"/>
  <c r="Z1004" i="12"/>
  <c r="Z711" i="12"/>
  <c r="Z842" i="12"/>
  <c r="Z3232" i="12"/>
  <c r="Z2669" i="12"/>
  <c r="Z3116" i="12"/>
  <c r="Z3225" i="12"/>
  <c r="Z453" i="12"/>
  <c r="Z1419" i="12"/>
  <c r="Z1407" i="12"/>
  <c r="Z2790" i="12"/>
  <c r="Z3170" i="12"/>
  <c r="Z1800" i="12"/>
  <c r="Z2596" i="12"/>
  <c r="Z2733" i="12"/>
  <c r="Z1637" i="12"/>
  <c r="Z2517" i="12"/>
  <c r="Z2006" i="12"/>
  <c r="Z1052" i="12"/>
  <c r="Z966" i="12"/>
  <c r="Z2144" i="12"/>
  <c r="Z200" i="12"/>
  <c r="Z2104" i="12"/>
  <c r="Z3471" i="12"/>
  <c r="Z62" i="12"/>
  <c r="Z715" i="12"/>
  <c r="Z3158" i="12"/>
  <c r="Z2090" i="12"/>
  <c r="Z2695" i="12"/>
  <c r="Z1887" i="12"/>
  <c r="Z1953" i="12"/>
  <c r="Z2608" i="12"/>
  <c r="Z3461" i="12"/>
  <c r="Z3328" i="12"/>
  <c r="Z51" i="12"/>
  <c r="Z2599" i="12"/>
  <c r="Z1555" i="12"/>
  <c r="Z2172" i="12"/>
  <c r="Z2785" i="12"/>
  <c r="Z2534" i="12"/>
  <c r="Z1167" i="12"/>
  <c r="Z3428" i="12"/>
  <c r="Z3387" i="12"/>
  <c r="Z329" i="12"/>
  <c r="Z2102" i="12"/>
  <c r="Z3449" i="12"/>
  <c r="Z212" i="12"/>
  <c r="Z2479" i="12"/>
  <c r="Z218" i="12"/>
  <c r="Z2136" i="12"/>
  <c r="Z284" i="12"/>
  <c r="Z1467" i="12"/>
  <c r="Z1808" i="12"/>
  <c r="Z58" i="12"/>
  <c r="Z2582" i="12"/>
  <c r="Z487" i="12"/>
  <c r="Z57" i="12"/>
  <c r="Z2419" i="12"/>
  <c r="Z267" i="12"/>
  <c r="Z2180" i="12"/>
  <c r="Z2146" i="12"/>
  <c r="Z3462" i="12"/>
  <c r="Z3120" i="12"/>
  <c r="Z2452" i="12"/>
  <c r="Z707" i="12"/>
  <c r="Z1768" i="12"/>
  <c r="Z109" i="12"/>
  <c r="Z3439" i="12"/>
  <c r="Z880" i="12"/>
  <c r="Z1981" i="12"/>
  <c r="Z2424" i="12"/>
  <c r="Z789" i="12"/>
  <c r="Z3124" i="12"/>
  <c r="Z1201" i="12"/>
  <c r="Z1875" i="12"/>
  <c r="Z726" i="12"/>
  <c r="Z2334" i="12"/>
  <c r="Z411" i="12"/>
  <c r="Z2527" i="12"/>
  <c r="Z574" i="12"/>
  <c r="Z821" i="12"/>
  <c r="Z1163" i="12"/>
  <c r="Z3181" i="12"/>
  <c r="Z1983" i="12"/>
  <c r="Z2702" i="12"/>
  <c r="Z268" i="12"/>
  <c r="Z494" i="12"/>
  <c r="Z1825" i="12"/>
  <c r="Z2864" i="12"/>
  <c r="Z1317" i="12"/>
  <c r="Z1065" i="12"/>
  <c r="Z1613" i="12"/>
  <c r="Z625" i="12"/>
  <c r="Z950" i="12"/>
  <c r="Z2111" i="12"/>
  <c r="Z1168" i="12"/>
  <c r="Z82" i="12"/>
  <c r="Z38" i="12"/>
  <c r="Z1694" i="12"/>
  <c r="Z2254" i="12"/>
  <c r="Z2620" i="12"/>
  <c r="Z2027" i="12"/>
  <c r="Z2945" i="12"/>
  <c r="Z641" i="12"/>
  <c r="Z1720" i="12"/>
  <c r="Z1558" i="12"/>
  <c r="Z2888" i="12"/>
  <c r="Z824" i="12"/>
  <c r="Z2807" i="12"/>
  <c r="Z2536" i="12"/>
  <c r="Z1234" i="12"/>
  <c r="Z2406" i="12"/>
  <c r="Z1617" i="12"/>
  <c r="Z1207" i="12"/>
  <c r="Z3546" i="12"/>
  <c r="Z3003" i="12"/>
  <c r="Z1447" i="12"/>
  <c r="Z3345" i="12"/>
  <c r="Z302" i="12"/>
  <c r="Z325" i="12"/>
  <c r="Z2314" i="12"/>
  <c r="Z2333" i="12"/>
  <c r="Z885" i="12"/>
  <c r="Z2050" i="12"/>
  <c r="Z243" i="12"/>
  <c r="Z1779" i="12"/>
  <c r="Z174" i="12"/>
  <c r="Z2510" i="12"/>
  <c r="Z3297" i="12"/>
  <c r="Z753" i="12"/>
  <c r="Z2450" i="12"/>
  <c r="Z982" i="12"/>
  <c r="Z2311" i="12"/>
  <c r="Z2513" i="12"/>
  <c r="Z710" i="12"/>
  <c r="Z3354" i="12"/>
  <c r="Z1937" i="12"/>
  <c r="Z2505" i="12"/>
  <c r="Z659" i="12"/>
  <c r="Z2615" i="12"/>
  <c r="Z188" i="12"/>
  <c r="Z3185" i="12"/>
  <c r="Z1087" i="12"/>
  <c r="Z671" i="12"/>
  <c r="Z2207" i="12"/>
  <c r="Z3318" i="12"/>
  <c r="Z3042" i="12"/>
  <c r="Z59" i="12"/>
  <c r="Z2155" i="12"/>
  <c r="Z2711" i="12"/>
  <c r="Z3012" i="12"/>
  <c r="Z1109" i="12"/>
  <c r="Z1759" i="12"/>
  <c r="Z2160" i="12"/>
  <c r="Z3157" i="12"/>
  <c r="Z1559" i="12"/>
  <c r="Z86" i="12"/>
  <c r="Z1498" i="12"/>
  <c r="Z766" i="12"/>
  <c r="Z1228" i="12"/>
  <c r="Z780" i="12"/>
  <c r="Z2718" i="12"/>
  <c r="Z3212" i="12"/>
  <c r="Z1099" i="12"/>
  <c r="Z61" i="12"/>
  <c r="Z2892" i="12"/>
  <c r="Z1504" i="12"/>
  <c r="Z2739" i="12"/>
  <c r="Z3163" i="12"/>
  <c r="Z220" i="12"/>
  <c r="Z1668" i="12"/>
  <c r="Z815" i="12"/>
  <c r="Z1858" i="12"/>
  <c r="Z2100" i="12"/>
  <c r="Z1486" i="12"/>
  <c r="Z2628" i="12"/>
  <c r="Z2349" i="12"/>
  <c r="Z1643" i="12"/>
  <c r="Z997" i="12"/>
  <c r="Z788" i="12"/>
  <c r="Z2297" i="12"/>
  <c r="Z2549" i="12"/>
  <c r="Z2699" i="12"/>
  <c r="Z3466" i="12"/>
  <c r="Z2810" i="12"/>
  <c r="Z594" i="12"/>
  <c r="Z1710" i="12"/>
  <c r="Z2944" i="12"/>
  <c r="Z1307" i="12"/>
  <c r="Z1008" i="12"/>
  <c r="Z230" i="12"/>
  <c r="Z2682" i="12"/>
  <c r="Z128" i="12"/>
  <c r="Z1744" i="12"/>
  <c r="Z1394" i="12"/>
  <c r="Z995" i="12"/>
  <c r="Z150" i="12"/>
  <c r="Z1421" i="12"/>
  <c r="Z3258" i="12"/>
  <c r="Z1946" i="12"/>
  <c r="Z1393" i="12"/>
  <c r="Z3107" i="12"/>
  <c r="Z1600" i="12"/>
  <c r="Z1386" i="12"/>
  <c r="Z231" i="12"/>
  <c r="Z3381" i="12"/>
  <c r="Z1589" i="12"/>
  <c r="Z3437" i="12"/>
  <c r="Z466" i="12"/>
  <c r="Z135" i="12"/>
  <c r="Z2868" i="12"/>
  <c r="Z3517" i="12"/>
  <c r="Z926" i="12"/>
  <c r="Z958" i="12"/>
  <c r="Z796" i="12"/>
  <c r="Z1731" i="12"/>
  <c r="Z560" i="12"/>
  <c r="Z864" i="12"/>
  <c r="Z3501" i="12"/>
  <c r="Z2170" i="12"/>
  <c r="Z158" i="12"/>
  <c r="Z2321" i="12"/>
  <c r="Z1325" i="12"/>
  <c r="Z1837" i="12"/>
  <c r="Z1599" i="12"/>
  <c r="Z1483" i="12"/>
  <c r="Z2401" i="12"/>
  <c r="Z2118" i="12"/>
  <c r="Z2152" i="12"/>
  <c r="Z489" i="12"/>
  <c r="Z2685" i="12"/>
  <c r="Z2666" i="12"/>
  <c r="Z884" i="12"/>
  <c r="Z3154" i="12"/>
  <c r="Z2964" i="12"/>
  <c r="Z346" i="12"/>
  <c r="Z2626" i="12"/>
  <c r="Z1567" i="12"/>
  <c r="Z1895" i="12"/>
  <c r="Z1005" i="12"/>
  <c r="Z2191" i="12"/>
  <c r="Z2039" i="12"/>
  <c r="Z2728" i="12"/>
  <c r="Z142" i="12"/>
  <c r="Z161" i="12"/>
  <c r="Z2082" i="12"/>
  <c r="Z3018" i="12"/>
  <c r="Z2570" i="12"/>
  <c r="Z2781" i="12"/>
  <c r="Z3230" i="12"/>
  <c r="Z269" i="12"/>
  <c r="Z1470" i="12"/>
  <c r="Z3071" i="12"/>
  <c r="Z1414" i="12"/>
  <c r="Z1124" i="12"/>
  <c r="Z477" i="12"/>
  <c r="Z1351" i="12"/>
  <c r="Z3402" i="12"/>
  <c r="Z2952" i="12"/>
  <c r="Z1242" i="12"/>
  <c r="Z2380" i="12"/>
  <c r="Z1661" i="12"/>
  <c r="Z2843" i="12"/>
  <c r="Z2327" i="12"/>
  <c r="Z823" i="12"/>
  <c r="Z2323" i="12"/>
  <c r="Z1713" i="12"/>
  <c r="Z1080" i="12"/>
  <c r="Z1826" i="12"/>
  <c r="Z2198" i="12"/>
  <c r="Z1075" i="12"/>
  <c r="Z1345" i="12"/>
  <c r="Z3497" i="12"/>
  <c r="Z1814" i="12"/>
  <c r="Z1176" i="12"/>
  <c r="Z2654" i="12"/>
  <c r="Z2080" i="12"/>
  <c r="Z936" i="12"/>
  <c r="Z2562" i="12"/>
  <c r="Z1789" i="12"/>
  <c r="Z1733" i="12"/>
  <c r="Z2063" i="12"/>
  <c r="Z2740" i="12"/>
  <c r="Z3122" i="12"/>
  <c r="Z3316" i="12"/>
  <c r="Z3476" i="12"/>
  <c r="Z1294" i="12"/>
  <c r="Z3334" i="12"/>
  <c r="Z2105" i="12"/>
  <c r="Z1794" i="12"/>
  <c r="Z1873" i="12"/>
  <c r="Z3210" i="12"/>
  <c r="Z1688" i="12"/>
  <c r="Z3451" i="12"/>
  <c r="Z417" i="12"/>
  <c r="Z2571" i="12"/>
  <c r="Z1400" i="12"/>
  <c r="Z1002" i="12"/>
  <c r="Z1881" i="12"/>
  <c r="Z2367" i="12"/>
  <c r="Z3227" i="12"/>
  <c r="Z2874" i="12"/>
  <c r="Z2612" i="12"/>
  <c r="Z2168" i="12"/>
  <c r="Z455" i="12"/>
  <c r="Z3165" i="12"/>
  <c r="Z1154" i="12"/>
  <c r="Z248" i="12"/>
  <c r="Z2851" i="12"/>
  <c r="Z441" i="12"/>
  <c r="Z1399" i="12"/>
  <c r="Z2797" i="12"/>
  <c r="Z787" i="12"/>
  <c r="Z1872" i="12"/>
  <c r="Z1545" i="12"/>
  <c r="Z3415" i="12"/>
  <c r="Z2613" i="12"/>
  <c r="Z115" i="12"/>
  <c r="Z867" i="12"/>
  <c r="Z2413" i="12"/>
  <c r="Z3534" i="12"/>
  <c r="Z153" i="12"/>
  <c r="Z2199" i="12"/>
  <c r="S29" i="12"/>
  <c r="D28" i="6"/>
  <c r="D27" i="6"/>
  <c r="J14" i="12"/>
  <c r="J10" i="12"/>
  <c r="K5" i="12"/>
  <c r="K15" i="12"/>
  <c r="J4" i="12"/>
  <c r="K11" i="12"/>
  <c r="J11" i="12"/>
  <c r="K12" i="12"/>
  <c r="K10" i="12"/>
  <c r="K8" i="12"/>
  <c r="K9" i="12"/>
  <c r="J8" i="12"/>
  <c r="J7" i="12"/>
  <c r="K3" i="12"/>
  <c r="J6" i="12"/>
  <c r="J9" i="12"/>
  <c r="J5" i="12"/>
  <c r="K16" i="12"/>
  <c r="K13" i="12"/>
  <c r="K6" i="12"/>
  <c r="J16" i="12"/>
  <c r="J3" i="12"/>
  <c r="K14" i="12"/>
  <c r="J13" i="12"/>
  <c r="J12" i="12"/>
  <c r="K7" i="12"/>
  <c r="J15" i="12"/>
  <c r="K4" i="12"/>
  <c r="G15" i="12" l="1"/>
  <c r="G12" i="12"/>
  <c r="G13" i="12"/>
  <c r="G3" i="12"/>
  <c r="G16" i="12"/>
  <c r="G5" i="12"/>
  <c r="G9" i="12"/>
  <c r="G6" i="12"/>
  <c r="G7" i="12"/>
  <c r="G8" i="12"/>
  <c r="G11" i="12"/>
  <c r="G4" i="12"/>
  <c r="G10" i="12"/>
  <c r="G14" i="12"/>
  <c r="T19" i="12"/>
  <c r="T32" i="12"/>
  <c r="H14" i="12"/>
  <c r="H11" i="12"/>
  <c r="H16" i="12"/>
  <c r="H5" i="12"/>
  <c r="H8" i="12"/>
  <c r="H6" i="12"/>
  <c r="H3" i="12"/>
  <c r="H9" i="12"/>
  <c r="H12" i="12"/>
  <c r="H4" i="12"/>
  <c r="H15" i="12"/>
  <c r="H7" i="12"/>
  <c r="H10" i="12"/>
  <c r="H13" i="12"/>
  <c r="I13" i="12" l="1"/>
  <c r="I15" i="12"/>
  <c r="I10" i="12"/>
  <c r="I14" i="12"/>
  <c r="I5" i="12"/>
  <c r="I16" i="12"/>
  <c r="I11" i="12"/>
  <c r="I12" i="12"/>
  <c r="I6" i="12"/>
  <c r="I8" i="12"/>
  <c r="I7" i="12"/>
  <c r="I9" i="12"/>
  <c r="I4"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<sst xmlns="http://schemas.openxmlformats.org/spreadsheetml/2006/main" count="432" uniqueCount="192">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</sst>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cellStyleXfs>
  <cellXfs count="260">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2" fillId="0" borderId="7" xfId="1" applyFont="1" applyBorder="1" applyAlignment="1">
      <alignment horizontal="left"/>
    </xf>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marker>
            <c:symbol val="none"/>
          </c:marker>
          <c:cat>
            <c:numRef>
              <c:f>Monitor!$X$19:$X$3552</c:f>
              <c:numCache>
                <c:formatCode>ddd\,\ dd\-mmm\-yyyy</c:formatCode>
                <c:ptCount val="3534"/>
                <c:pt idx="0">
                  <c:v>41890</c:v>
                </c:pt>
                <c:pt idx="1">
                  <c:v>41891</c:v>
                </c:pt>
                <c:pt idx="2">
                  <c:v>41892</c:v>
                </c:pt>
                <c:pt idx="3">
                  <c:v>41893</c:v>
                </c:pt>
                <c:pt idx="4">
                  <c:v>41894</c:v>
                </c:pt>
                <c:pt idx="5">
                  <c:v>41897</c:v>
                </c:pt>
                <c:pt idx="6">
                  <c:v>41898</c:v>
                </c:pt>
                <c:pt idx="7">
                  <c:v>41899</c:v>
                </c:pt>
                <c:pt idx="8">
                  <c:v>41900</c:v>
                </c:pt>
                <c:pt idx="9">
                  <c:v>41901</c:v>
                </c:pt>
                <c:pt idx="10">
                  <c:v>41904</c:v>
                </c:pt>
                <c:pt idx="11">
                  <c:v>41905</c:v>
                </c:pt>
                <c:pt idx="12">
                  <c:v>41906</c:v>
                </c:pt>
                <c:pt idx="13">
                  <c:v>41907</c:v>
                </c:pt>
                <c:pt idx="14">
                  <c:v>41908</c:v>
                </c:pt>
                <c:pt idx="15">
                  <c:v>41911</c:v>
                </c:pt>
                <c:pt idx="16">
                  <c:v>41912</c:v>
                </c:pt>
                <c:pt idx="17">
                  <c:v>41913</c:v>
                </c:pt>
                <c:pt idx="18">
                  <c:v>41914</c:v>
                </c:pt>
                <c:pt idx="19">
                  <c:v>41915</c:v>
                </c:pt>
                <c:pt idx="20">
                  <c:v>41918</c:v>
                </c:pt>
                <c:pt idx="21">
                  <c:v>41919</c:v>
                </c:pt>
                <c:pt idx="22">
                  <c:v>41920</c:v>
                </c:pt>
                <c:pt idx="23">
                  <c:v>41921</c:v>
                </c:pt>
                <c:pt idx="24">
                  <c:v>41922</c:v>
                </c:pt>
                <c:pt idx="25">
                  <c:v>41925</c:v>
                </c:pt>
                <c:pt idx="26">
                  <c:v>41926</c:v>
                </c:pt>
                <c:pt idx="27">
                  <c:v>41927</c:v>
                </c:pt>
                <c:pt idx="28">
                  <c:v>41928</c:v>
                </c:pt>
                <c:pt idx="29">
                  <c:v>41929</c:v>
                </c:pt>
                <c:pt idx="30">
                  <c:v>41932</c:v>
                </c:pt>
                <c:pt idx="31">
                  <c:v>41933</c:v>
                </c:pt>
                <c:pt idx="32">
                  <c:v>41934</c:v>
                </c:pt>
                <c:pt idx="33">
                  <c:v>41935</c:v>
                </c:pt>
                <c:pt idx="34">
                  <c:v>41936</c:v>
                </c:pt>
                <c:pt idx="35">
                  <c:v>41939</c:v>
                </c:pt>
                <c:pt idx="36">
                  <c:v>41940</c:v>
                </c:pt>
                <c:pt idx="37">
                  <c:v>41941</c:v>
                </c:pt>
                <c:pt idx="38">
                  <c:v>41942</c:v>
                </c:pt>
                <c:pt idx="39">
                  <c:v>41943</c:v>
                </c:pt>
                <c:pt idx="40">
                  <c:v>41946</c:v>
                </c:pt>
                <c:pt idx="41">
                  <c:v>41947</c:v>
                </c:pt>
                <c:pt idx="42">
                  <c:v>41948</c:v>
                </c:pt>
                <c:pt idx="43">
                  <c:v>41949</c:v>
                </c:pt>
                <c:pt idx="44">
                  <c:v>41950</c:v>
                </c:pt>
                <c:pt idx="45">
                  <c:v>41953</c:v>
                </c:pt>
                <c:pt idx="46">
                  <c:v>41954</c:v>
                </c:pt>
                <c:pt idx="47">
                  <c:v>41955</c:v>
                </c:pt>
                <c:pt idx="48">
                  <c:v>41956</c:v>
                </c:pt>
                <c:pt idx="49">
                  <c:v>41957</c:v>
                </c:pt>
                <c:pt idx="50">
                  <c:v>41960</c:v>
                </c:pt>
                <c:pt idx="51">
                  <c:v>41961</c:v>
                </c:pt>
                <c:pt idx="52">
                  <c:v>41962</c:v>
                </c:pt>
                <c:pt idx="53">
                  <c:v>41963</c:v>
                </c:pt>
                <c:pt idx="54">
                  <c:v>41964</c:v>
                </c:pt>
                <c:pt idx="55">
                  <c:v>41967</c:v>
                </c:pt>
                <c:pt idx="56">
                  <c:v>41968</c:v>
                </c:pt>
                <c:pt idx="57">
                  <c:v>41969</c:v>
                </c:pt>
                <c:pt idx="58">
                  <c:v>41970</c:v>
                </c:pt>
                <c:pt idx="59">
                  <c:v>41971</c:v>
                </c:pt>
                <c:pt idx="60">
                  <c:v>41974</c:v>
                </c:pt>
                <c:pt idx="61">
                  <c:v>41975</c:v>
                </c:pt>
                <c:pt idx="62">
                  <c:v>41976</c:v>
                </c:pt>
                <c:pt idx="63">
                  <c:v>41977</c:v>
                </c:pt>
                <c:pt idx="64">
                  <c:v>41978</c:v>
                </c:pt>
                <c:pt idx="65">
                  <c:v>41981</c:v>
                </c:pt>
                <c:pt idx="66">
                  <c:v>41982</c:v>
                </c:pt>
                <c:pt idx="67">
                  <c:v>41983</c:v>
                </c:pt>
                <c:pt idx="68">
                  <c:v>41984</c:v>
                </c:pt>
                <c:pt idx="69">
                  <c:v>41985</c:v>
                </c:pt>
                <c:pt idx="70">
                  <c:v>41988</c:v>
                </c:pt>
                <c:pt idx="71">
                  <c:v>41989</c:v>
                </c:pt>
                <c:pt idx="72">
                  <c:v>41990</c:v>
                </c:pt>
                <c:pt idx="73">
                  <c:v>41991</c:v>
                </c:pt>
                <c:pt idx="74">
                  <c:v>41992</c:v>
                </c:pt>
                <c:pt idx="75">
                  <c:v>41995</c:v>
                </c:pt>
                <c:pt idx="76">
                  <c:v>41996</c:v>
                </c:pt>
                <c:pt idx="77">
                  <c:v>41997</c:v>
                </c:pt>
                <c:pt idx="78">
                  <c:v>42002</c:v>
                </c:pt>
                <c:pt idx="79">
                  <c:v>42003</c:v>
                </c:pt>
                <c:pt idx="80">
                  <c:v>42004</c:v>
                </c:pt>
                <c:pt idx="81">
                  <c:v>42006</c:v>
                </c:pt>
                <c:pt idx="82">
                  <c:v>42009</c:v>
                </c:pt>
                <c:pt idx="83">
                  <c:v>42010</c:v>
                </c:pt>
                <c:pt idx="84">
                  <c:v>42011</c:v>
                </c:pt>
                <c:pt idx="85">
                  <c:v>42012</c:v>
                </c:pt>
                <c:pt idx="86">
                  <c:v>42013</c:v>
                </c:pt>
                <c:pt idx="87">
                  <c:v>42016</c:v>
                </c:pt>
                <c:pt idx="88">
                  <c:v>42017</c:v>
                </c:pt>
                <c:pt idx="89">
                  <c:v>42018</c:v>
                </c:pt>
                <c:pt idx="90">
                  <c:v>42019</c:v>
                </c:pt>
                <c:pt idx="91">
                  <c:v>42020</c:v>
                </c:pt>
                <c:pt idx="92">
                  <c:v>42023</c:v>
                </c:pt>
                <c:pt idx="93">
                  <c:v>42024</c:v>
                </c:pt>
                <c:pt idx="94">
                  <c:v>42025</c:v>
                </c:pt>
                <c:pt idx="95">
                  <c:v>42026</c:v>
                </c:pt>
                <c:pt idx="96">
                  <c:v>42027</c:v>
                </c:pt>
                <c:pt idx="97">
                  <c:v>42030</c:v>
                </c:pt>
                <c:pt idx="98">
                  <c:v>42031</c:v>
                </c:pt>
                <c:pt idx="99">
                  <c:v>42032</c:v>
                </c:pt>
                <c:pt idx="100">
                  <c:v>42033</c:v>
                </c:pt>
                <c:pt idx="101">
                  <c:v>42034</c:v>
                </c:pt>
                <c:pt idx="102">
                  <c:v>42037</c:v>
                </c:pt>
                <c:pt idx="103">
                  <c:v>42038</c:v>
                </c:pt>
                <c:pt idx="104">
                  <c:v>42039</c:v>
                </c:pt>
                <c:pt idx="105">
                  <c:v>42040</c:v>
                </c:pt>
                <c:pt idx="106">
                  <c:v>42041</c:v>
                </c:pt>
                <c:pt idx="107">
                  <c:v>42044</c:v>
                </c:pt>
                <c:pt idx="108">
                  <c:v>42045</c:v>
                </c:pt>
                <c:pt idx="109">
                  <c:v>42046</c:v>
                </c:pt>
                <c:pt idx="110">
                  <c:v>42047</c:v>
                </c:pt>
                <c:pt idx="111">
                  <c:v>42048</c:v>
                </c:pt>
                <c:pt idx="112">
                  <c:v>42051</c:v>
                </c:pt>
                <c:pt idx="113">
                  <c:v>42052</c:v>
                </c:pt>
                <c:pt idx="114">
                  <c:v>42053</c:v>
                </c:pt>
                <c:pt idx="115">
                  <c:v>42054</c:v>
                </c:pt>
                <c:pt idx="116">
                  <c:v>42055</c:v>
                </c:pt>
                <c:pt idx="117">
                  <c:v>42058</c:v>
                </c:pt>
                <c:pt idx="118">
                  <c:v>42059</c:v>
                </c:pt>
                <c:pt idx="119">
                  <c:v>42060</c:v>
                </c:pt>
                <c:pt idx="120">
                  <c:v>42061</c:v>
                </c:pt>
                <c:pt idx="121">
                  <c:v>42062</c:v>
                </c:pt>
                <c:pt idx="122">
                  <c:v>42065</c:v>
                </c:pt>
                <c:pt idx="123">
                  <c:v>42066</c:v>
                </c:pt>
                <c:pt idx="124">
                  <c:v>42067</c:v>
                </c:pt>
                <c:pt idx="125">
                  <c:v>42068</c:v>
                </c:pt>
                <c:pt idx="126">
                  <c:v>42069</c:v>
                </c:pt>
                <c:pt idx="127">
                  <c:v>42072</c:v>
                </c:pt>
                <c:pt idx="128">
                  <c:v>42073</c:v>
                </c:pt>
                <c:pt idx="129">
                  <c:v>42074</c:v>
                </c:pt>
                <c:pt idx="130">
                  <c:v>42075</c:v>
                </c:pt>
                <c:pt idx="131">
                  <c:v>42076</c:v>
                </c:pt>
                <c:pt idx="132">
                  <c:v>42079</c:v>
                </c:pt>
                <c:pt idx="133">
                  <c:v>42080</c:v>
                </c:pt>
                <c:pt idx="134">
                  <c:v>42081</c:v>
                </c:pt>
                <c:pt idx="135">
                  <c:v>42082</c:v>
                </c:pt>
                <c:pt idx="136">
                  <c:v>42083</c:v>
                </c:pt>
                <c:pt idx="137">
                  <c:v>42086</c:v>
                </c:pt>
                <c:pt idx="138">
                  <c:v>42087</c:v>
                </c:pt>
                <c:pt idx="139">
                  <c:v>42088</c:v>
                </c:pt>
                <c:pt idx="140">
                  <c:v>42089</c:v>
                </c:pt>
                <c:pt idx="141">
                  <c:v>42090</c:v>
                </c:pt>
                <c:pt idx="142">
                  <c:v>42093</c:v>
                </c:pt>
                <c:pt idx="143">
                  <c:v>42094</c:v>
                </c:pt>
                <c:pt idx="144">
                  <c:v>42095</c:v>
                </c:pt>
                <c:pt idx="145">
                  <c:v>42096</c:v>
                </c:pt>
                <c:pt idx="146">
                  <c:v>42101</c:v>
                </c:pt>
                <c:pt idx="147">
                  <c:v>42102</c:v>
                </c:pt>
                <c:pt idx="148">
                  <c:v>42103</c:v>
                </c:pt>
                <c:pt idx="149">
                  <c:v>42104</c:v>
                </c:pt>
                <c:pt idx="150">
                  <c:v>42107</c:v>
                </c:pt>
                <c:pt idx="151">
                  <c:v>42108</c:v>
                </c:pt>
                <c:pt idx="152">
                  <c:v>42109</c:v>
                </c:pt>
                <c:pt idx="153">
                  <c:v>42110</c:v>
                </c:pt>
                <c:pt idx="154">
                  <c:v>42111</c:v>
                </c:pt>
                <c:pt idx="155">
                  <c:v>42114</c:v>
                </c:pt>
                <c:pt idx="156">
                  <c:v>42115</c:v>
                </c:pt>
                <c:pt idx="157">
                  <c:v>42116</c:v>
                </c:pt>
                <c:pt idx="158">
                  <c:v>42117</c:v>
                </c:pt>
                <c:pt idx="159">
                  <c:v>42118</c:v>
                </c:pt>
                <c:pt idx="160">
                  <c:v>42121</c:v>
                </c:pt>
                <c:pt idx="161">
                  <c:v>42122</c:v>
                </c:pt>
                <c:pt idx="162">
                  <c:v>42123</c:v>
                </c:pt>
                <c:pt idx="163">
                  <c:v>42124</c:v>
                </c:pt>
                <c:pt idx="164">
                  <c:v>42128</c:v>
                </c:pt>
                <c:pt idx="165">
                  <c:v>42129</c:v>
                </c:pt>
                <c:pt idx="166">
                  <c:v>42130</c:v>
                </c:pt>
                <c:pt idx="167">
                  <c:v>42131</c:v>
                </c:pt>
                <c:pt idx="168">
                  <c:v>42132</c:v>
                </c:pt>
                <c:pt idx="169">
                  <c:v>42135</c:v>
                </c:pt>
                <c:pt idx="170">
                  <c:v>42136</c:v>
                </c:pt>
                <c:pt idx="171">
                  <c:v>42137</c:v>
                </c:pt>
                <c:pt idx="172">
                  <c:v>42138</c:v>
                </c:pt>
                <c:pt idx="173">
                  <c:v>42139</c:v>
                </c:pt>
                <c:pt idx="174">
                  <c:v>42142</c:v>
                </c:pt>
                <c:pt idx="175">
                  <c:v>42143</c:v>
                </c:pt>
                <c:pt idx="176">
                  <c:v>42144</c:v>
                </c:pt>
                <c:pt idx="177">
                  <c:v>42145</c:v>
                </c:pt>
                <c:pt idx="178">
                  <c:v>42146</c:v>
                </c:pt>
                <c:pt idx="179">
                  <c:v>42149</c:v>
                </c:pt>
                <c:pt idx="180">
                  <c:v>42150</c:v>
                </c:pt>
                <c:pt idx="181">
                  <c:v>42151</c:v>
                </c:pt>
                <c:pt idx="182">
                  <c:v>42152</c:v>
                </c:pt>
                <c:pt idx="183">
                  <c:v>42153</c:v>
                </c:pt>
                <c:pt idx="184">
                  <c:v>42156</c:v>
                </c:pt>
                <c:pt idx="185">
                  <c:v>42157</c:v>
                </c:pt>
                <c:pt idx="186">
                  <c:v>42158</c:v>
                </c:pt>
                <c:pt idx="187">
                  <c:v>42159</c:v>
                </c:pt>
                <c:pt idx="188">
                  <c:v>42160</c:v>
                </c:pt>
                <c:pt idx="189">
                  <c:v>42163</c:v>
                </c:pt>
                <c:pt idx="190">
                  <c:v>42164</c:v>
                </c:pt>
                <c:pt idx="191">
                  <c:v>42165</c:v>
                </c:pt>
                <c:pt idx="192">
                  <c:v>42166</c:v>
                </c:pt>
                <c:pt idx="193">
                  <c:v>42167</c:v>
                </c:pt>
                <c:pt idx="194">
                  <c:v>42170</c:v>
                </c:pt>
                <c:pt idx="195">
                  <c:v>42171</c:v>
                </c:pt>
                <c:pt idx="196">
                  <c:v>42172</c:v>
                </c:pt>
                <c:pt idx="197">
                  <c:v>42173</c:v>
                </c:pt>
                <c:pt idx="198">
                  <c:v>42174</c:v>
                </c:pt>
                <c:pt idx="199">
                  <c:v>42177</c:v>
                </c:pt>
                <c:pt idx="200">
                  <c:v>42178</c:v>
                </c:pt>
                <c:pt idx="201">
                  <c:v>42179</c:v>
                </c:pt>
                <c:pt idx="202">
                  <c:v>42180</c:v>
                </c:pt>
                <c:pt idx="203">
                  <c:v>42181</c:v>
                </c:pt>
                <c:pt idx="204">
                  <c:v>42184</c:v>
                </c:pt>
                <c:pt idx="205">
                  <c:v>42185</c:v>
                </c:pt>
                <c:pt idx="206">
                  <c:v>42186</c:v>
                </c:pt>
                <c:pt idx="207">
                  <c:v>42187</c:v>
                </c:pt>
                <c:pt idx="208">
                  <c:v>42188</c:v>
                </c:pt>
                <c:pt idx="209">
                  <c:v>42191</c:v>
                </c:pt>
                <c:pt idx="210">
                  <c:v>42192</c:v>
                </c:pt>
                <c:pt idx="211">
                  <c:v>42193</c:v>
                </c:pt>
                <c:pt idx="212">
                  <c:v>42194</c:v>
                </c:pt>
                <c:pt idx="213">
                  <c:v>42195</c:v>
                </c:pt>
                <c:pt idx="214">
                  <c:v>42198</c:v>
                </c:pt>
                <c:pt idx="215">
                  <c:v>42199</c:v>
                </c:pt>
                <c:pt idx="216">
                  <c:v>42200</c:v>
                </c:pt>
                <c:pt idx="217">
                  <c:v>42201</c:v>
                </c:pt>
                <c:pt idx="218">
                  <c:v>42202</c:v>
                </c:pt>
                <c:pt idx="219">
                  <c:v>42205</c:v>
                </c:pt>
                <c:pt idx="220">
                  <c:v>42206</c:v>
                </c:pt>
                <c:pt idx="221">
                  <c:v>42207</c:v>
                </c:pt>
                <c:pt idx="222">
                  <c:v>42208</c:v>
                </c:pt>
                <c:pt idx="223">
                  <c:v>42209</c:v>
                </c:pt>
                <c:pt idx="224">
                  <c:v>42212</c:v>
                </c:pt>
                <c:pt idx="225">
                  <c:v>42213</c:v>
                </c:pt>
                <c:pt idx="226">
                  <c:v>42214</c:v>
                </c:pt>
                <c:pt idx="227">
                  <c:v>42215</c:v>
                </c:pt>
                <c:pt idx="228">
                  <c:v>42216</c:v>
                </c:pt>
                <c:pt idx="229">
                  <c:v>42219</c:v>
                </c:pt>
                <c:pt idx="230">
                  <c:v>42220</c:v>
                </c:pt>
                <c:pt idx="231">
                  <c:v>42221</c:v>
                </c:pt>
                <c:pt idx="232">
                  <c:v>42222</c:v>
                </c:pt>
                <c:pt idx="233">
                  <c:v>42223</c:v>
                </c:pt>
                <c:pt idx="234">
                  <c:v>42226</c:v>
                </c:pt>
                <c:pt idx="235">
                  <c:v>42227</c:v>
                </c:pt>
                <c:pt idx="236">
                  <c:v>42228</c:v>
                </c:pt>
                <c:pt idx="237">
                  <c:v>42229</c:v>
                </c:pt>
                <c:pt idx="238">
                  <c:v>42230</c:v>
                </c:pt>
                <c:pt idx="239">
                  <c:v>42233</c:v>
                </c:pt>
                <c:pt idx="240">
                  <c:v>42234</c:v>
                </c:pt>
                <c:pt idx="241">
                  <c:v>42235</c:v>
                </c:pt>
                <c:pt idx="242">
                  <c:v>42236</c:v>
                </c:pt>
                <c:pt idx="243">
                  <c:v>42237</c:v>
                </c:pt>
                <c:pt idx="244">
                  <c:v>42240</c:v>
                </c:pt>
                <c:pt idx="245">
                  <c:v>42241</c:v>
                </c:pt>
                <c:pt idx="246">
                  <c:v>42242</c:v>
                </c:pt>
                <c:pt idx="247">
                  <c:v>42243</c:v>
                </c:pt>
                <c:pt idx="248">
                  <c:v>42244</c:v>
                </c:pt>
                <c:pt idx="249">
                  <c:v>42247</c:v>
                </c:pt>
                <c:pt idx="250">
                  <c:v>42248</c:v>
                </c:pt>
                <c:pt idx="251">
                  <c:v>42249</c:v>
                </c:pt>
                <c:pt idx="252">
                  <c:v>42250</c:v>
                </c:pt>
                <c:pt idx="253">
                  <c:v>42251</c:v>
                </c:pt>
                <c:pt idx="254">
                  <c:v>42254</c:v>
                </c:pt>
                <c:pt idx="255">
                  <c:v>42255</c:v>
                </c:pt>
                <c:pt idx="256">
                  <c:v>42256</c:v>
                </c:pt>
                <c:pt idx="257">
                  <c:v>42257</c:v>
                </c:pt>
                <c:pt idx="258">
                  <c:v>42258</c:v>
                </c:pt>
                <c:pt idx="259">
                  <c:v>42261</c:v>
                </c:pt>
                <c:pt idx="260">
                  <c:v>42262</c:v>
                </c:pt>
                <c:pt idx="261">
                  <c:v>42263</c:v>
                </c:pt>
                <c:pt idx="262">
                  <c:v>42264</c:v>
                </c:pt>
                <c:pt idx="263">
                  <c:v>42265</c:v>
                </c:pt>
                <c:pt idx="264">
                  <c:v>42268</c:v>
                </c:pt>
                <c:pt idx="265">
                  <c:v>42269</c:v>
                </c:pt>
                <c:pt idx="266">
                  <c:v>42270</c:v>
                </c:pt>
                <c:pt idx="267">
                  <c:v>42271</c:v>
                </c:pt>
                <c:pt idx="268">
                  <c:v>42272</c:v>
                </c:pt>
                <c:pt idx="269">
                  <c:v>42275</c:v>
                </c:pt>
                <c:pt idx="270">
                  <c:v>42276</c:v>
                </c:pt>
                <c:pt idx="271">
                  <c:v>42277</c:v>
                </c:pt>
                <c:pt idx="272">
                  <c:v>42278</c:v>
                </c:pt>
                <c:pt idx="273">
                  <c:v>42279</c:v>
                </c:pt>
                <c:pt idx="274">
                  <c:v>42282</c:v>
                </c:pt>
                <c:pt idx="275">
                  <c:v>42283</c:v>
                </c:pt>
                <c:pt idx="276">
                  <c:v>42284</c:v>
                </c:pt>
                <c:pt idx="277">
                  <c:v>42285</c:v>
                </c:pt>
                <c:pt idx="278">
                  <c:v>42286</c:v>
                </c:pt>
                <c:pt idx="279">
                  <c:v>42289</c:v>
                </c:pt>
                <c:pt idx="280">
                  <c:v>42290</c:v>
                </c:pt>
                <c:pt idx="281">
                  <c:v>42291</c:v>
                </c:pt>
                <c:pt idx="282">
                  <c:v>42292</c:v>
                </c:pt>
                <c:pt idx="283">
                  <c:v>42293</c:v>
                </c:pt>
                <c:pt idx="284">
                  <c:v>42296</c:v>
                </c:pt>
                <c:pt idx="285">
                  <c:v>42297</c:v>
                </c:pt>
                <c:pt idx="286">
                  <c:v>42298</c:v>
                </c:pt>
                <c:pt idx="287">
                  <c:v>42299</c:v>
                </c:pt>
                <c:pt idx="288">
                  <c:v>42300</c:v>
                </c:pt>
                <c:pt idx="289">
                  <c:v>42303</c:v>
                </c:pt>
                <c:pt idx="290">
                  <c:v>42304</c:v>
                </c:pt>
                <c:pt idx="291">
                  <c:v>42305</c:v>
                </c:pt>
                <c:pt idx="292">
                  <c:v>42306</c:v>
                </c:pt>
                <c:pt idx="293">
                  <c:v>42307</c:v>
                </c:pt>
                <c:pt idx="294">
                  <c:v>42310</c:v>
                </c:pt>
                <c:pt idx="295">
                  <c:v>42311</c:v>
                </c:pt>
                <c:pt idx="296">
                  <c:v>42312</c:v>
                </c:pt>
                <c:pt idx="297">
                  <c:v>42313</c:v>
                </c:pt>
                <c:pt idx="298">
                  <c:v>42314</c:v>
                </c:pt>
                <c:pt idx="299">
                  <c:v>42317</c:v>
                </c:pt>
                <c:pt idx="300">
                  <c:v>42318</c:v>
                </c:pt>
                <c:pt idx="301">
                  <c:v>42319</c:v>
                </c:pt>
                <c:pt idx="302">
                  <c:v>42320</c:v>
                </c:pt>
                <c:pt idx="303">
                  <c:v>42321</c:v>
                </c:pt>
                <c:pt idx="304">
                  <c:v>42324</c:v>
                </c:pt>
                <c:pt idx="305">
                  <c:v>42325</c:v>
                </c:pt>
                <c:pt idx="306">
                  <c:v>42326</c:v>
                </c:pt>
                <c:pt idx="307">
                  <c:v>42327</c:v>
                </c:pt>
                <c:pt idx="308">
                  <c:v>42328</c:v>
                </c:pt>
                <c:pt idx="309">
                  <c:v>42331</c:v>
                </c:pt>
                <c:pt idx="310">
                  <c:v>42332</c:v>
                </c:pt>
                <c:pt idx="311">
                  <c:v>42333</c:v>
                </c:pt>
                <c:pt idx="312">
                  <c:v>42334</c:v>
                </c:pt>
                <c:pt idx="313">
                  <c:v>42335</c:v>
                </c:pt>
                <c:pt idx="314">
                  <c:v>42338</c:v>
                </c:pt>
                <c:pt idx="315">
                  <c:v>42339</c:v>
                </c:pt>
                <c:pt idx="316">
                  <c:v>42340</c:v>
                </c:pt>
                <c:pt idx="317">
                  <c:v>42341</c:v>
                </c:pt>
                <c:pt idx="318">
                  <c:v>42342</c:v>
                </c:pt>
                <c:pt idx="319">
                  <c:v>42345</c:v>
                </c:pt>
                <c:pt idx="320">
                  <c:v>42346</c:v>
                </c:pt>
                <c:pt idx="321">
                  <c:v>42347</c:v>
                </c:pt>
                <c:pt idx="322">
                  <c:v>42348</c:v>
                </c:pt>
                <c:pt idx="323">
                  <c:v>42349</c:v>
                </c:pt>
                <c:pt idx="324">
                  <c:v>42352</c:v>
                </c:pt>
                <c:pt idx="325">
                  <c:v>42353</c:v>
                </c:pt>
                <c:pt idx="326">
                  <c:v>42354</c:v>
                </c:pt>
                <c:pt idx="327">
                  <c:v>42355</c:v>
                </c:pt>
                <c:pt idx="328">
                  <c:v>42356</c:v>
                </c:pt>
                <c:pt idx="329">
                  <c:v>42359</c:v>
                </c:pt>
                <c:pt idx="330">
                  <c:v>42360</c:v>
                </c:pt>
                <c:pt idx="331">
                  <c:v>42361</c:v>
                </c:pt>
                <c:pt idx="332">
                  <c:v>42362</c:v>
                </c:pt>
                <c:pt idx="333">
                  <c:v>42366</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42395</c:v>
                </c:pt>
                <c:pt idx="354">
                  <c:v>42396</c:v>
                </c:pt>
                <c:pt idx="355">
                  <c:v>42397</c:v>
                </c:pt>
                <c:pt idx="356">
                  <c:v>42398</c:v>
                </c:pt>
                <c:pt idx="357">
                  <c:v>42401</c:v>
                </c:pt>
                <c:pt idx="358">
                  <c:v>42402</c:v>
                </c:pt>
                <c:pt idx="359">
                  <c:v>42403</c:v>
                </c:pt>
                <c:pt idx="360">
                  <c:v>42404</c:v>
                </c:pt>
                <c:pt idx="361">
                  <c:v>42405</c:v>
                </c:pt>
                <c:pt idx="362">
                  <c:v>42408</c:v>
                </c:pt>
                <c:pt idx="363">
                  <c:v>42409</c:v>
                </c:pt>
                <c:pt idx="364">
                  <c:v>42410</c:v>
                </c:pt>
                <c:pt idx="365">
                  <c:v>42411</c:v>
                </c:pt>
                <c:pt idx="366">
                  <c:v>42412</c:v>
                </c:pt>
                <c:pt idx="367">
                  <c:v>42415</c:v>
                </c:pt>
                <c:pt idx="368">
                  <c:v>42416</c:v>
                </c:pt>
                <c:pt idx="369">
                  <c:v>42417</c:v>
                </c:pt>
                <c:pt idx="370">
                  <c:v>42418</c:v>
                </c:pt>
                <c:pt idx="371">
                  <c:v>42419</c:v>
                </c:pt>
                <c:pt idx="372">
                  <c:v>42422</c:v>
                </c:pt>
                <c:pt idx="373">
                  <c:v>42423</c:v>
                </c:pt>
                <c:pt idx="374">
                  <c:v>42424</c:v>
                </c:pt>
                <c:pt idx="375">
                  <c:v>42425</c:v>
                </c:pt>
                <c:pt idx="376">
                  <c:v>42426</c:v>
                </c:pt>
                <c:pt idx="377">
                  <c:v>42429</c:v>
                </c:pt>
                <c:pt idx="378">
                  <c:v>42430</c:v>
                </c:pt>
                <c:pt idx="379">
                  <c:v>42431</c:v>
                </c:pt>
                <c:pt idx="380">
                  <c:v>42432</c:v>
                </c:pt>
                <c:pt idx="381">
                  <c:v>42433</c:v>
                </c:pt>
                <c:pt idx="382">
                  <c:v>42436</c:v>
                </c:pt>
                <c:pt idx="383">
                  <c:v>42437</c:v>
                </c:pt>
                <c:pt idx="384">
                  <c:v>42438</c:v>
                </c:pt>
                <c:pt idx="385">
                  <c:v>42439</c:v>
                </c:pt>
                <c:pt idx="386">
                  <c:v>42440</c:v>
                </c:pt>
                <c:pt idx="387">
                  <c:v>42443</c:v>
                </c:pt>
                <c:pt idx="388">
                  <c:v>42444</c:v>
                </c:pt>
                <c:pt idx="389">
                  <c:v>42445</c:v>
                </c:pt>
                <c:pt idx="390">
                  <c:v>42446</c:v>
                </c:pt>
                <c:pt idx="391">
                  <c:v>42447</c:v>
                </c:pt>
                <c:pt idx="392">
                  <c:v>42450</c:v>
                </c:pt>
                <c:pt idx="393">
                  <c:v>42451</c:v>
                </c:pt>
                <c:pt idx="394">
                  <c:v>42452</c:v>
                </c:pt>
                <c:pt idx="395">
                  <c:v>42453</c:v>
                </c:pt>
                <c:pt idx="396">
                  <c:v>42458</c:v>
                </c:pt>
                <c:pt idx="397">
                  <c:v>42459</c:v>
                </c:pt>
                <c:pt idx="398">
                  <c:v>42460</c:v>
                </c:pt>
                <c:pt idx="399">
                  <c:v>42461</c:v>
                </c:pt>
                <c:pt idx="400">
                  <c:v>42464</c:v>
                </c:pt>
                <c:pt idx="401">
                  <c:v>42465</c:v>
                </c:pt>
                <c:pt idx="402">
                  <c:v>42466</c:v>
                </c:pt>
                <c:pt idx="403">
                  <c:v>42467</c:v>
                </c:pt>
                <c:pt idx="404">
                  <c:v>42468</c:v>
                </c:pt>
                <c:pt idx="405">
                  <c:v>42471</c:v>
                </c:pt>
                <c:pt idx="406">
                  <c:v>42472</c:v>
                </c:pt>
                <c:pt idx="407">
                  <c:v>42473</c:v>
                </c:pt>
                <c:pt idx="408">
                  <c:v>42474</c:v>
                </c:pt>
                <c:pt idx="409">
                  <c:v>42475</c:v>
                </c:pt>
                <c:pt idx="410">
                  <c:v>42478</c:v>
                </c:pt>
                <c:pt idx="411">
                  <c:v>42479</c:v>
                </c:pt>
                <c:pt idx="412">
                  <c:v>42480</c:v>
                </c:pt>
                <c:pt idx="413">
                  <c:v>42481</c:v>
                </c:pt>
                <c:pt idx="414">
                  <c:v>42482</c:v>
                </c:pt>
                <c:pt idx="415">
                  <c:v>42485</c:v>
                </c:pt>
                <c:pt idx="416">
                  <c:v>42486</c:v>
                </c:pt>
                <c:pt idx="417">
                  <c:v>42487</c:v>
                </c:pt>
                <c:pt idx="418">
                  <c:v>42488</c:v>
                </c:pt>
                <c:pt idx="419">
                  <c:v>42489</c:v>
                </c:pt>
                <c:pt idx="420">
                  <c:v>42492</c:v>
                </c:pt>
                <c:pt idx="421">
                  <c:v>42493</c:v>
                </c:pt>
                <c:pt idx="422">
                  <c:v>42494</c:v>
                </c:pt>
                <c:pt idx="423">
                  <c:v>42495</c:v>
                </c:pt>
                <c:pt idx="424">
                  <c:v>42496</c:v>
                </c:pt>
                <c:pt idx="425">
                  <c:v>42499</c:v>
                </c:pt>
                <c:pt idx="426">
                  <c:v>42500</c:v>
                </c:pt>
                <c:pt idx="427">
                  <c:v>42501</c:v>
                </c:pt>
                <c:pt idx="428">
                  <c:v>42502</c:v>
                </c:pt>
                <c:pt idx="429">
                  <c:v>42503</c:v>
                </c:pt>
                <c:pt idx="430">
                  <c:v>42506</c:v>
                </c:pt>
                <c:pt idx="431">
                  <c:v>42507</c:v>
                </c:pt>
                <c:pt idx="432">
                  <c:v>42508</c:v>
                </c:pt>
                <c:pt idx="433">
                  <c:v>42509</c:v>
                </c:pt>
                <c:pt idx="434">
                  <c:v>42510</c:v>
                </c:pt>
                <c:pt idx="435">
                  <c:v>42513</c:v>
                </c:pt>
                <c:pt idx="436">
                  <c:v>42514</c:v>
                </c:pt>
                <c:pt idx="437">
                  <c:v>42515</c:v>
                </c:pt>
                <c:pt idx="438">
                  <c:v>42516</c:v>
                </c:pt>
                <c:pt idx="439">
                  <c:v>42517</c:v>
                </c:pt>
                <c:pt idx="440">
                  <c:v>42520</c:v>
                </c:pt>
                <c:pt idx="441">
                  <c:v>42521</c:v>
                </c:pt>
                <c:pt idx="442">
                  <c:v>42522</c:v>
                </c:pt>
                <c:pt idx="443">
                  <c:v>42523</c:v>
                </c:pt>
                <c:pt idx="444">
                  <c:v>42524</c:v>
                </c:pt>
                <c:pt idx="445">
                  <c:v>42527</c:v>
                </c:pt>
                <c:pt idx="446">
                  <c:v>42528</c:v>
                </c:pt>
                <c:pt idx="447">
                  <c:v>42529</c:v>
                </c:pt>
                <c:pt idx="448">
                  <c:v>42530</c:v>
                </c:pt>
                <c:pt idx="449">
                  <c:v>42531</c:v>
                </c:pt>
                <c:pt idx="450">
                  <c:v>42534</c:v>
                </c:pt>
                <c:pt idx="451">
                  <c:v>42535</c:v>
                </c:pt>
                <c:pt idx="452">
                  <c:v>42536</c:v>
                </c:pt>
                <c:pt idx="453">
                  <c:v>42537</c:v>
                </c:pt>
                <c:pt idx="454">
                  <c:v>42538</c:v>
                </c:pt>
                <c:pt idx="455">
                  <c:v>42541</c:v>
                </c:pt>
                <c:pt idx="456">
                  <c:v>42542</c:v>
                </c:pt>
                <c:pt idx="457">
                  <c:v>42543</c:v>
                </c:pt>
                <c:pt idx="458">
                  <c:v>42544</c:v>
                </c:pt>
                <c:pt idx="459">
                  <c:v>42545</c:v>
                </c:pt>
                <c:pt idx="460">
                  <c:v>42548</c:v>
                </c:pt>
                <c:pt idx="461">
                  <c:v>42549</c:v>
                </c:pt>
                <c:pt idx="462">
                  <c:v>42550</c:v>
                </c:pt>
                <c:pt idx="463">
                  <c:v>42551</c:v>
                </c:pt>
                <c:pt idx="464">
                  <c:v>42552</c:v>
                </c:pt>
                <c:pt idx="465">
                  <c:v>42555</c:v>
                </c:pt>
                <c:pt idx="466">
                  <c:v>42556</c:v>
                </c:pt>
                <c:pt idx="467">
                  <c:v>42557</c:v>
                </c:pt>
                <c:pt idx="468">
                  <c:v>42558</c:v>
                </c:pt>
                <c:pt idx="469">
                  <c:v>42559</c:v>
                </c:pt>
                <c:pt idx="470">
                  <c:v>42562</c:v>
                </c:pt>
                <c:pt idx="471">
                  <c:v>42563</c:v>
                </c:pt>
                <c:pt idx="472">
                  <c:v>42564</c:v>
                </c:pt>
                <c:pt idx="473">
                  <c:v>42565</c:v>
                </c:pt>
                <c:pt idx="474">
                  <c:v>42566</c:v>
                </c:pt>
                <c:pt idx="475">
                  <c:v>42569</c:v>
                </c:pt>
                <c:pt idx="476">
                  <c:v>42570</c:v>
                </c:pt>
                <c:pt idx="477">
                  <c:v>42571</c:v>
                </c:pt>
                <c:pt idx="478">
                  <c:v>42572</c:v>
                </c:pt>
                <c:pt idx="479">
                  <c:v>42573</c:v>
                </c:pt>
                <c:pt idx="480">
                  <c:v>42576</c:v>
                </c:pt>
                <c:pt idx="481">
                  <c:v>42577</c:v>
                </c:pt>
                <c:pt idx="482">
                  <c:v>42578</c:v>
                </c:pt>
                <c:pt idx="483">
                  <c:v>42579</c:v>
                </c:pt>
                <c:pt idx="484">
                  <c:v>42580</c:v>
                </c:pt>
                <c:pt idx="485">
                  <c:v>42583</c:v>
                </c:pt>
                <c:pt idx="486">
                  <c:v>42584</c:v>
                </c:pt>
                <c:pt idx="487">
                  <c:v>42585</c:v>
                </c:pt>
                <c:pt idx="488">
                  <c:v>42586</c:v>
                </c:pt>
                <c:pt idx="489">
                  <c:v>42587</c:v>
                </c:pt>
                <c:pt idx="490">
                  <c:v>42590</c:v>
                </c:pt>
                <c:pt idx="491">
                  <c:v>42591</c:v>
                </c:pt>
                <c:pt idx="492">
                  <c:v>42592</c:v>
                </c:pt>
                <c:pt idx="493">
                  <c:v>42593</c:v>
                </c:pt>
                <c:pt idx="494">
                  <c:v>42594</c:v>
                </c:pt>
                <c:pt idx="495">
                  <c:v>42597</c:v>
                </c:pt>
                <c:pt idx="496">
                  <c:v>42598</c:v>
                </c:pt>
                <c:pt idx="497">
                  <c:v>42599</c:v>
                </c:pt>
                <c:pt idx="498">
                  <c:v>42600</c:v>
                </c:pt>
                <c:pt idx="499">
                  <c:v>42601</c:v>
                </c:pt>
                <c:pt idx="500">
                  <c:v>42604</c:v>
                </c:pt>
                <c:pt idx="501">
                  <c:v>42605</c:v>
                </c:pt>
                <c:pt idx="502">
                  <c:v>42606</c:v>
                </c:pt>
                <c:pt idx="503">
                  <c:v>42607</c:v>
                </c:pt>
                <c:pt idx="504">
                  <c:v>42608</c:v>
                </c:pt>
                <c:pt idx="505">
                  <c:v>42611</c:v>
                </c:pt>
                <c:pt idx="506">
                  <c:v>42612</c:v>
                </c:pt>
                <c:pt idx="507">
                  <c:v>42613</c:v>
                </c:pt>
                <c:pt idx="508">
                  <c:v>42614</c:v>
                </c:pt>
                <c:pt idx="509">
                  <c:v>42615</c:v>
                </c:pt>
                <c:pt idx="510">
                  <c:v>42618</c:v>
                </c:pt>
                <c:pt idx="511">
                  <c:v>42619</c:v>
                </c:pt>
                <c:pt idx="512">
                  <c:v>42620</c:v>
                </c:pt>
                <c:pt idx="513">
                  <c:v>42621</c:v>
                </c:pt>
                <c:pt idx="514">
                  <c:v>42622</c:v>
                </c:pt>
                <c:pt idx="515">
                  <c:v>42625</c:v>
                </c:pt>
                <c:pt idx="516">
                  <c:v>42626</c:v>
                </c:pt>
                <c:pt idx="517">
                  <c:v>42627</c:v>
                </c:pt>
                <c:pt idx="518">
                  <c:v>42634</c:v>
                </c:pt>
                <c:pt idx="519">
                  <c:v>42641</c:v>
                </c:pt>
                <c:pt idx="520">
                  <c:v>42648</c:v>
                </c:pt>
                <c:pt idx="521">
                  <c:v>42655</c:v>
                </c:pt>
                <c:pt idx="522">
                  <c:v>42662</c:v>
                </c:pt>
                <c:pt idx="523">
                  <c:v>42669</c:v>
                </c:pt>
                <c:pt idx="524">
                  <c:v>42676</c:v>
                </c:pt>
                <c:pt idx="525">
                  <c:v>42683</c:v>
                </c:pt>
                <c:pt idx="526">
                  <c:v>42690</c:v>
                </c:pt>
                <c:pt idx="527">
                  <c:v>42697</c:v>
                </c:pt>
                <c:pt idx="528">
                  <c:v>42704</c:v>
                </c:pt>
                <c:pt idx="529">
                  <c:v>42711</c:v>
                </c:pt>
                <c:pt idx="530">
                  <c:v>42718</c:v>
                </c:pt>
                <c:pt idx="531">
                  <c:v>42725</c:v>
                </c:pt>
                <c:pt idx="532">
                  <c:v>42733</c:v>
                </c:pt>
                <c:pt idx="533">
                  <c:v>42740</c:v>
                </c:pt>
                <c:pt idx="534">
                  <c:v>42747</c:v>
                </c:pt>
                <c:pt idx="535">
                  <c:v>42754</c:v>
                </c:pt>
                <c:pt idx="536">
                  <c:v>42761</c:v>
                </c:pt>
                <c:pt idx="537">
                  <c:v>42768</c:v>
                </c:pt>
                <c:pt idx="538">
                  <c:v>42775</c:v>
                </c:pt>
                <c:pt idx="539">
                  <c:v>42782</c:v>
                </c:pt>
                <c:pt idx="540">
                  <c:v>42789</c:v>
                </c:pt>
                <c:pt idx="541">
                  <c:v>42796</c:v>
                </c:pt>
                <c:pt idx="542">
                  <c:v>42803</c:v>
                </c:pt>
                <c:pt idx="543">
                  <c:v>42810</c:v>
                </c:pt>
                <c:pt idx="544">
                  <c:v>42817</c:v>
                </c:pt>
                <c:pt idx="545">
                  <c:v>42824</c:v>
                </c:pt>
                <c:pt idx="546">
                  <c:v>42831</c:v>
                </c:pt>
                <c:pt idx="547">
                  <c:v>42838</c:v>
                </c:pt>
                <c:pt idx="548">
                  <c:v>42845</c:v>
                </c:pt>
                <c:pt idx="549">
                  <c:v>42852</c:v>
                </c:pt>
                <c:pt idx="550">
                  <c:v>42859</c:v>
                </c:pt>
                <c:pt idx="551">
                  <c:v>42866</c:v>
                </c:pt>
                <c:pt idx="552">
                  <c:v>42873</c:v>
                </c:pt>
                <c:pt idx="553">
                  <c:v>42880</c:v>
                </c:pt>
                <c:pt idx="554">
                  <c:v>42887</c:v>
                </c:pt>
                <c:pt idx="555">
                  <c:v>42894</c:v>
                </c:pt>
                <c:pt idx="556">
                  <c:v>42901</c:v>
                </c:pt>
                <c:pt idx="557">
                  <c:v>42908</c:v>
                </c:pt>
                <c:pt idx="558">
                  <c:v>42915</c:v>
                </c:pt>
                <c:pt idx="559">
                  <c:v>42922</c:v>
                </c:pt>
                <c:pt idx="560">
                  <c:v>42929</c:v>
                </c:pt>
                <c:pt idx="561">
                  <c:v>42936</c:v>
                </c:pt>
                <c:pt idx="562">
                  <c:v>42943</c:v>
                </c:pt>
                <c:pt idx="563">
                  <c:v>42950</c:v>
                </c:pt>
                <c:pt idx="564">
                  <c:v>42957</c:v>
                </c:pt>
                <c:pt idx="565">
                  <c:v>42964</c:v>
                </c:pt>
                <c:pt idx="566">
                  <c:v>42971</c:v>
                </c:pt>
                <c:pt idx="567">
                  <c:v>42978</c:v>
                </c:pt>
                <c:pt idx="568">
                  <c:v>42985</c:v>
                </c:pt>
                <c:pt idx="569">
                  <c:v>42992</c:v>
                </c:pt>
                <c:pt idx="570">
                  <c:v>42999</c:v>
                </c:pt>
                <c:pt idx="571">
                  <c:v>43006</c:v>
                </c:pt>
                <c:pt idx="572">
                  <c:v>43013</c:v>
                </c:pt>
                <c:pt idx="573">
                  <c:v>43020</c:v>
                </c:pt>
                <c:pt idx="574">
                  <c:v>43027</c:v>
                </c:pt>
                <c:pt idx="575">
                  <c:v>43034</c:v>
                </c:pt>
                <c:pt idx="576">
                  <c:v>43041</c:v>
                </c:pt>
                <c:pt idx="577">
                  <c:v>43048</c:v>
                </c:pt>
                <c:pt idx="578">
                  <c:v>43055</c:v>
                </c:pt>
                <c:pt idx="579">
                  <c:v>43062</c:v>
                </c:pt>
                <c:pt idx="580">
                  <c:v>43069</c:v>
                </c:pt>
                <c:pt idx="581">
                  <c:v>43076</c:v>
                </c:pt>
                <c:pt idx="582">
                  <c:v>43083</c:v>
                </c:pt>
                <c:pt idx="583">
                  <c:v>43090</c:v>
                </c:pt>
                <c:pt idx="584">
                  <c:v>43098</c:v>
                </c:pt>
                <c:pt idx="585">
                  <c:v>43105</c:v>
                </c:pt>
                <c:pt idx="586">
                  <c:v>43112</c:v>
                </c:pt>
                <c:pt idx="587">
                  <c:v>43119</c:v>
                </c:pt>
                <c:pt idx="588">
                  <c:v>43126</c:v>
                </c:pt>
                <c:pt idx="589">
                  <c:v>43133</c:v>
                </c:pt>
                <c:pt idx="590">
                  <c:v>43140</c:v>
                </c:pt>
                <c:pt idx="591">
                  <c:v>43147</c:v>
                </c:pt>
                <c:pt idx="592">
                  <c:v>43154</c:v>
                </c:pt>
                <c:pt idx="593">
                  <c:v>43161</c:v>
                </c:pt>
                <c:pt idx="594">
                  <c:v>43168</c:v>
                </c:pt>
                <c:pt idx="595">
                  <c:v>43175</c:v>
                </c:pt>
                <c:pt idx="596">
                  <c:v>43182</c:v>
                </c:pt>
                <c:pt idx="597">
                  <c:v>43193</c:v>
                </c:pt>
                <c:pt idx="598">
                  <c:v>43196</c:v>
                </c:pt>
                <c:pt idx="599">
                  <c:v>43203</c:v>
                </c:pt>
                <c:pt idx="600">
                  <c:v>43210</c:v>
                </c:pt>
                <c:pt idx="601">
                  <c:v>43217</c:v>
                </c:pt>
                <c:pt idx="602">
                  <c:v>43224</c:v>
                </c:pt>
                <c:pt idx="603">
                  <c:v>43231</c:v>
                </c:pt>
                <c:pt idx="604">
                  <c:v>43238</c:v>
                </c:pt>
                <c:pt idx="605">
                  <c:v>43245</c:v>
                </c:pt>
                <c:pt idx="606">
                  <c:v>43252</c:v>
                </c:pt>
                <c:pt idx="607">
                  <c:v>43259</c:v>
                </c:pt>
                <c:pt idx="608">
                  <c:v>43266</c:v>
                </c:pt>
                <c:pt idx="609">
                  <c:v>43273</c:v>
                </c:pt>
                <c:pt idx="610">
                  <c:v>43280</c:v>
                </c:pt>
                <c:pt idx="611">
                  <c:v>43287</c:v>
                </c:pt>
                <c:pt idx="612">
                  <c:v>43294</c:v>
                </c:pt>
                <c:pt idx="613">
                  <c:v>43301</c:v>
                </c:pt>
                <c:pt idx="614">
                  <c:v>43308</c:v>
                </c:pt>
                <c:pt idx="615">
                  <c:v>43315</c:v>
                </c:pt>
                <c:pt idx="616">
                  <c:v>43322</c:v>
                </c:pt>
                <c:pt idx="617">
                  <c:v>43329</c:v>
                </c:pt>
                <c:pt idx="618">
                  <c:v>43336</c:v>
                </c:pt>
                <c:pt idx="619">
                  <c:v>43343</c:v>
                </c:pt>
                <c:pt idx="620">
                  <c:v>43350</c:v>
                </c:pt>
                <c:pt idx="621">
                  <c:v>43357</c:v>
                </c:pt>
                <c:pt idx="622">
                  <c:v>43364</c:v>
                </c:pt>
                <c:pt idx="623">
                  <c:v>43371</c:v>
                </c:pt>
                <c:pt idx="624">
                  <c:v>43378</c:v>
                </c:pt>
                <c:pt idx="625">
                  <c:v>43385</c:v>
                </c:pt>
                <c:pt idx="626">
                  <c:v>43392</c:v>
                </c:pt>
                <c:pt idx="627">
                  <c:v>43399</c:v>
                </c:pt>
                <c:pt idx="628">
                  <c:v>43406</c:v>
                </c:pt>
                <c:pt idx="629">
                  <c:v>43413</c:v>
                </c:pt>
                <c:pt idx="630">
                  <c:v>43420</c:v>
                </c:pt>
                <c:pt idx="631">
                  <c:v>43427</c:v>
                </c:pt>
                <c:pt idx="632">
                  <c:v>43434</c:v>
                </c:pt>
                <c:pt idx="633">
                  <c:v>43441</c:v>
                </c:pt>
                <c:pt idx="634">
                  <c:v>43448</c:v>
                </c:pt>
                <c:pt idx="635">
                  <c:v>43455</c:v>
                </c:pt>
                <c:pt idx="636">
                  <c:v>43465</c:v>
                </c:pt>
                <c:pt idx="637">
                  <c:v>43472</c:v>
                </c:pt>
                <c:pt idx="638">
                  <c:v>43479</c:v>
                </c:pt>
                <c:pt idx="639">
                  <c:v>43486</c:v>
                </c:pt>
                <c:pt idx="640">
                  <c:v>43493</c:v>
                </c:pt>
                <c:pt idx="641">
                  <c:v>43500</c:v>
                </c:pt>
                <c:pt idx="642">
                  <c:v>43507</c:v>
                </c:pt>
                <c:pt idx="643">
                  <c:v>43514</c:v>
                </c:pt>
                <c:pt idx="644">
                  <c:v>43521</c:v>
                </c:pt>
                <c:pt idx="645">
                  <c:v>43528</c:v>
                </c:pt>
                <c:pt idx="646">
                  <c:v>43535</c:v>
                </c:pt>
                <c:pt idx="647">
                  <c:v>43542</c:v>
                </c:pt>
                <c:pt idx="648">
                  <c:v>43549</c:v>
                </c:pt>
                <c:pt idx="649">
                  <c:v>43556</c:v>
                </c:pt>
                <c:pt idx="650">
                  <c:v>43563</c:v>
                </c:pt>
                <c:pt idx="651">
                  <c:v>43570</c:v>
                </c:pt>
                <c:pt idx="652">
                  <c:v>43579</c:v>
                </c:pt>
                <c:pt idx="653">
                  <c:v>43584</c:v>
                </c:pt>
                <c:pt idx="654">
                  <c:v>43591</c:v>
                </c:pt>
                <c:pt idx="655">
                  <c:v>43598</c:v>
                </c:pt>
                <c:pt idx="656">
                  <c:v>43605</c:v>
                </c:pt>
                <c:pt idx="657">
                  <c:v>43612</c:v>
                </c:pt>
                <c:pt idx="658">
                  <c:v>43619</c:v>
                </c:pt>
                <c:pt idx="659">
                  <c:v>43626</c:v>
                </c:pt>
                <c:pt idx="660">
                  <c:v>43633</c:v>
                </c:pt>
                <c:pt idx="661">
                  <c:v>43640</c:v>
                </c:pt>
                <c:pt idx="662">
                  <c:v>43647</c:v>
                </c:pt>
                <c:pt idx="663">
                  <c:v>43654</c:v>
                </c:pt>
                <c:pt idx="664">
                  <c:v>43661</c:v>
                </c:pt>
                <c:pt idx="665">
                  <c:v>43668</c:v>
                </c:pt>
                <c:pt idx="666">
                  <c:v>43675</c:v>
                </c:pt>
                <c:pt idx="667">
                  <c:v>43682</c:v>
                </c:pt>
                <c:pt idx="668">
                  <c:v>43689</c:v>
                </c:pt>
                <c:pt idx="669">
                  <c:v>43696</c:v>
                </c:pt>
                <c:pt idx="670">
                  <c:v>43703</c:v>
                </c:pt>
                <c:pt idx="671">
                  <c:v>43710</c:v>
                </c:pt>
                <c:pt idx="672">
                  <c:v>43717</c:v>
                </c:pt>
                <c:pt idx="673">
                  <c:v>43724</c:v>
                </c:pt>
                <c:pt idx="674">
                  <c:v>43731</c:v>
                </c:pt>
                <c:pt idx="675">
                  <c:v>43738</c:v>
                </c:pt>
                <c:pt idx="676">
                  <c:v>43745</c:v>
                </c:pt>
                <c:pt idx="677">
                  <c:v>43752</c:v>
                </c:pt>
                <c:pt idx="678">
                  <c:v>43759</c:v>
                </c:pt>
                <c:pt idx="679">
                  <c:v>43766</c:v>
                </c:pt>
                <c:pt idx="680">
                  <c:v>43773</c:v>
                </c:pt>
                <c:pt idx="681">
                  <c:v>43780</c:v>
                </c:pt>
                <c:pt idx="682">
                  <c:v>43787</c:v>
                </c:pt>
                <c:pt idx="683">
                  <c:v>43794</c:v>
                </c:pt>
                <c:pt idx="684">
                  <c:v>43801</c:v>
                </c:pt>
                <c:pt idx="685">
                  <c:v>43808</c:v>
                </c:pt>
                <c:pt idx="686">
                  <c:v>43815</c:v>
                </c:pt>
                <c:pt idx="687">
                  <c:v>43822</c:v>
                </c:pt>
                <c:pt idx="688">
                  <c:v>43830</c:v>
                </c:pt>
                <c:pt idx="689">
                  <c:v>43837</c:v>
                </c:pt>
                <c:pt idx="690">
                  <c:v>43844</c:v>
                </c:pt>
                <c:pt idx="691">
                  <c:v>43851</c:v>
                </c:pt>
                <c:pt idx="692">
                  <c:v>43858</c:v>
                </c:pt>
                <c:pt idx="693">
                  <c:v>43865</c:v>
                </c:pt>
                <c:pt idx="694">
                  <c:v>43872</c:v>
                </c:pt>
                <c:pt idx="695">
                  <c:v>43879</c:v>
                </c:pt>
                <c:pt idx="696">
                  <c:v>43886</c:v>
                </c:pt>
                <c:pt idx="697">
                  <c:v>43893</c:v>
                </c:pt>
                <c:pt idx="698">
                  <c:v>43900</c:v>
                </c:pt>
                <c:pt idx="699">
                  <c:v>43907</c:v>
                </c:pt>
                <c:pt idx="700">
                  <c:v>43914</c:v>
                </c:pt>
                <c:pt idx="701">
                  <c:v>43921</c:v>
                </c:pt>
                <c:pt idx="702">
                  <c:v>43928</c:v>
                </c:pt>
                <c:pt idx="703">
                  <c:v>43937</c:v>
                </c:pt>
                <c:pt idx="704">
                  <c:v>43944</c:v>
                </c:pt>
                <c:pt idx="705">
                  <c:v>43951</c:v>
                </c:pt>
                <c:pt idx="706">
                  <c:v>43958</c:v>
                </c:pt>
                <c:pt idx="707">
                  <c:v>43965</c:v>
                </c:pt>
                <c:pt idx="708">
                  <c:v>43972</c:v>
                </c:pt>
                <c:pt idx="709">
                  <c:v>43979</c:v>
                </c:pt>
                <c:pt idx="710">
                  <c:v>43986</c:v>
                </c:pt>
                <c:pt idx="711">
                  <c:v>43993</c:v>
                </c:pt>
                <c:pt idx="712">
                  <c:v>44000</c:v>
                </c:pt>
                <c:pt idx="713">
                  <c:v>44007</c:v>
                </c:pt>
                <c:pt idx="714">
                  <c:v>44014</c:v>
                </c:pt>
                <c:pt idx="715">
                  <c:v>44021</c:v>
                </c:pt>
                <c:pt idx="716">
                  <c:v>44028</c:v>
                </c:pt>
                <c:pt idx="717">
                  <c:v>44035</c:v>
                </c:pt>
                <c:pt idx="718">
                  <c:v>44042</c:v>
                </c:pt>
                <c:pt idx="719">
                  <c:v>44049</c:v>
                </c:pt>
                <c:pt idx="720">
                  <c:v>44056</c:v>
                </c:pt>
                <c:pt idx="721">
                  <c:v>44063</c:v>
                </c:pt>
                <c:pt idx="722">
                  <c:v>44070</c:v>
                </c:pt>
                <c:pt idx="723">
                  <c:v>44077</c:v>
                </c:pt>
                <c:pt idx="724">
                  <c:v>44084</c:v>
                </c:pt>
                <c:pt idx="725">
                  <c:v>44091</c:v>
                </c:pt>
                <c:pt idx="726">
                  <c:v>44098</c:v>
                </c:pt>
                <c:pt idx="727">
                  <c:v>44105</c:v>
                </c:pt>
                <c:pt idx="728">
                  <c:v>44112</c:v>
                </c:pt>
                <c:pt idx="729">
                  <c:v>44119</c:v>
                </c:pt>
                <c:pt idx="730">
                  <c:v>44126</c:v>
                </c:pt>
                <c:pt idx="731">
                  <c:v>44133</c:v>
                </c:pt>
                <c:pt idx="732">
                  <c:v>44140</c:v>
                </c:pt>
                <c:pt idx="733">
                  <c:v>44147</c:v>
                </c:pt>
                <c:pt idx="734">
                  <c:v>44154</c:v>
                </c:pt>
                <c:pt idx="735">
                  <c:v>44161</c:v>
                </c:pt>
                <c:pt idx="736">
                  <c:v>44168</c:v>
                </c:pt>
                <c:pt idx="737">
                  <c:v>44175</c:v>
                </c:pt>
                <c:pt idx="738">
                  <c:v>44182</c:v>
                </c:pt>
                <c:pt idx="739">
                  <c:v>44189</c:v>
                </c:pt>
                <c:pt idx="740">
                  <c:v>44196</c:v>
                </c:pt>
                <c:pt idx="741">
                  <c:v>44203</c:v>
                </c:pt>
                <c:pt idx="742">
                  <c:v>44210</c:v>
                </c:pt>
                <c:pt idx="743">
                  <c:v>44217</c:v>
                </c:pt>
                <c:pt idx="744">
                  <c:v>44224</c:v>
                </c:pt>
                <c:pt idx="745">
                  <c:v>44231</c:v>
                </c:pt>
                <c:pt idx="746">
                  <c:v>44238</c:v>
                </c:pt>
                <c:pt idx="747">
                  <c:v>44245</c:v>
                </c:pt>
                <c:pt idx="748">
                  <c:v>44252</c:v>
                </c:pt>
                <c:pt idx="749">
                  <c:v>44259</c:v>
                </c:pt>
                <c:pt idx="750">
                  <c:v>44266</c:v>
                </c:pt>
                <c:pt idx="751">
                  <c:v>44273</c:v>
                </c:pt>
                <c:pt idx="752">
                  <c:v>44280</c:v>
                </c:pt>
                <c:pt idx="753">
                  <c:v>44287</c:v>
                </c:pt>
                <c:pt idx="754">
                  <c:v>44294</c:v>
                </c:pt>
                <c:pt idx="755">
                  <c:v>44301</c:v>
                </c:pt>
                <c:pt idx="756">
                  <c:v>44308</c:v>
                </c:pt>
                <c:pt idx="757">
                  <c:v>44315</c:v>
                </c:pt>
                <c:pt idx="758">
                  <c:v>44322</c:v>
                </c:pt>
                <c:pt idx="759">
                  <c:v>44329</c:v>
                </c:pt>
                <c:pt idx="760">
                  <c:v>44336</c:v>
                </c:pt>
                <c:pt idx="761">
                  <c:v>44343</c:v>
                </c:pt>
                <c:pt idx="762">
                  <c:v>44350</c:v>
                </c:pt>
                <c:pt idx="763">
                  <c:v>44357</c:v>
                </c:pt>
                <c:pt idx="764">
                  <c:v>44364</c:v>
                </c:pt>
                <c:pt idx="765">
                  <c:v>44371</c:v>
                </c:pt>
                <c:pt idx="766">
                  <c:v>44378</c:v>
                </c:pt>
                <c:pt idx="767">
                  <c:v>44385</c:v>
                </c:pt>
                <c:pt idx="768">
                  <c:v>44392</c:v>
                </c:pt>
                <c:pt idx="769">
                  <c:v>44399</c:v>
                </c:pt>
                <c:pt idx="770">
                  <c:v>44406</c:v>
                </c:pt>
                <c:pt idx="771">
                  <c:v>44413</c:v>
                </c:pt>
                <c:pt idx="772">
                  <c:v>44420</c:v>
                </c:pt>
                <c:pt idx="773">
                  <c:v>44427</c:v>
                </c:pt>
                <c:pt idx="774">
                  <c:v>44434</c:v>
                </c:pt>
                <c:pt idx="775">
                  <c:v>44441</c:v>
                </c:pt>
                <c:pt idx="776">
                  <c:v>44448</c:v>
                </c:pt>
                <c:pt idx="777">
                  <c:v>44455</c:v>
                </c:pt>
                <c:pt idx="778">
                  <c:v>44462</c:v>
                </c:pt>
                <c:pt idx="779">
                  <c:v>44469</c:v>
                </c:pt>
                <c:pt idx="780">
                  <c:v>44476</c:v>
                </c:pt>
                <c:pt idx="781">
                  <c:v>44483</c:v>
                </c:pt>
                <c:pt idx="782">
                  <c:v>44490</c:v>
                </c:pt>
                <c:pt idx="783">
                  <c:v>44497</c:v>
                </c:pt>
                <c:pt idx="784">
                  <c:v>44504</c:v>
                </c:pt>
                <c:pt idx="785">
                  <c:v>44511</c:v>
                </c:pt>
                <c:pt idx="786">
                  <c:v>44518</c:v>
                </c:pt>
                <c:pt idx="787">
                  <c:v>44525</c:v>
                </c:pt>
                <c:pt idx="788">
                  <c:v>44532</c:v>
                </c:pt>
                <c:pt idx="789">
                  <c:v>44539</c:v>
                </c:pt>
                <c:pt idx="790">
                  <c:v>44546</c:v>
                </c:pt>
                <c:pt idx="791">
                  <c:v>44553</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44686</c:v>
                </c:pt>
                <c:pt idx="811">
                  <c:v>44693</c:v>
                </c:pt>
                <c:pt idx="812">
                  <c:v>44700</c:v>
                </c:pt>
                <c:pt idx="813">
                  <c:v>44707</c:v>
                </c:pt>
                <c:pt idx="814">
                  <c:v>44714</c:v>
                </c:pt>
                <c:pt idx="815">
                  <c:v>44721</c:v>
                </c:pt>
                <c:pt idx="816">
                  <c:v>44728</c:v>
                </c:pt>
                <c:pt idx="817">
                  <c:v>44735</c:v>
                </c:pt>
                <c:pt idx="818">
                  <c:v>44742</c:v>
                </c:pt>
                <c:pt idx="819">
                  <c:v>44749</c:v>
                </c:pt>
                <c:pt idx="820">
                  <c:v>44756</c:v>
                </c:pt>
                <c:pt idx="821">
                  <c:v>44763</c:v>
                </c:pt>
                <c:pt idx="822">
                  <c:v>44770</c:v>
                </c:pt>
                <c:pt idx="823">
                  <c:v>44777</c:v>
                </c:pt>
                <c:pt idx="824">
                  <c:v>44784</c:v>
                </c:pt>
                <c:pt idx="825">
                  <c:v>44791</c:v>
                </c:pt>
                <c:pt idx="826">
                  <c:v>44798</c:v>
                </c:pt>
                <c:pt idx="827">
                  <c:v>44805</c:v>
                </c:pt>
                <c:pt idx="828">
                  <c:v>44812</c:v>
                </c:pt>
                <c:pt idx="829">
                  <c:v>44819</c:v>
                </c:pt>
                <c:pt idx="830">
                  <c:v>44826</c:v>
                </c:pt>
                <c:pt idx="831">
                  <c:v>44833</c:v>
                </c:pt>
                <c:pt idx="832">
                  <c:v>44840</c:v>
                </c:pt>
                <c:pt idx="833">
                  <c:v>44847</c:v>
                </c:pt>
                <c:pt idx="834">
                  <c:v>44854</c:v>
                </c:pt>
                <c:pt idx="835">
                  <c:v>44861</c:v>
                </c:pt>
                <c:pt idx="836">
                  <c:v>44868</c:v>
                </c:pt>
                <c:pt idx="837">
                  <c:v>44875</c:v>
                </c:pt>
                <c:pt idx="838">
                  <c:v>44882</c:v>
                </c:pt>
                <c:pt idx="839">
                  <c:v>44889</c:v>
                </c:pt>
                <c:pt idx="840">
                  <c:v>44896</c:v>
                </c:pt>
                <c:pt idx="841">
                  <c:v>44903</c:v>
                </c:pt>
                <c:pt idx="842">
                  <c:v>44910</c:v>
                </c:pt>
                <c:pt idx="843">
                  <c:v>44917</c:v>
                </c:pt>
                <c:pt idx="844">
                  <c:v>44924</c:v>
                </c:pt>
                <c:pt idx="845">
                  <c:v>44931</c:v>
                </c:pt>
                <c:pt idx="846">
                  <c:v>44938</c:v>
                </c:pt>
                <c:pt idx="847">
                  <c:v>44945</c:v>
                </c:pt>
                <c:pt idx="848">
                  <c:v>44952</c:v>
                </c:pt>
                <c:pt idx="849">
                  <c:v>44959</c:v>
                </c:pt>
                <c:pt idx="850">
                  <c:v>44966</c:v>
                </c:pt>
                <c:pt idx="851">
                  <c:v>44973</c:v>
                </c:pt>
                <c:pt idx="852">
                  <c:v>44980</c:v>
                </c:pt>
                <c:pt idx="853">
                  <c:v>44987</c:v>
                </c:pt>
                <c:pt idx="854">
                  <c:v>44994</c:v>
                </c:pt>
                <c:pt idx="855">
                  <c:v>45001</c:v>
                </c:pt>
                <c:pt idx="856">
                  <c:v>45008</c:v>
                </c:pt>
                <c:pt idx="857">
                  <c:v>45015</c:v>
                </c:pt>
                <c:pt idx="858">
                  <c:v>45022</c:v>
                </c:pt>
                <c:pt idx="859">
                  <c:v>45029</c:v>
                </c:pt>
                <c:pt idx="860">
                  <c:v>45036</c:v>
                </c:pt>
                <c:pt idx="861">
                  <c:v>45043</c:v>
                </c:pt>
                <c:pt idx="862">
                  <c:v>45050</c:v>
                </c:pt>
                <c:pt idx="863">
                  <c:v>45057</c:v>
                </c:pt>
                <c:pt idx="864">
                  <c:v>45064</c:v>
                </c:pt>
                <c:pt idx="865">
                  <c:v>45071</c:v>
                </c:pt>
                <c:pt idx="866">
                  <c:v>45078</c:v>
                </c:pt>
                <c:pt idx="867">
                  <c:v>45085</c:v>
                </c:pt>
                <c:pt idx="868">
                  <c:v>45092</c:v>
                </c:pt>
                <c:pt idx="869">
                  <c:v>45099</c:v>
                </c:pt>
                <c:pt idx="870">
                  <c:v>45106</c:v>
                </c:pt>
                <c:pt idx="871">
                  <c:v>45113</c:v>
                </c:pt>
                <c:pt idx="872">
                  <c:v>45120</c:v>
                </c:pt>
                <c:pt idx="873">
                  <c:v>45127</c:v>
                </c:pt>
                <c:pt idx="874">
                  <c:v>45134</c:v>
                </c:pt>
                <c:pt idx="875">
                  <c:v>45141</c:v>
                </c:pt>
                <c:pt idx="876">
                  <c:v>45148</c:v>
                </c:pt>
                <c:pt idx="877">
                  <c:v>45155</c:v>
                </c:pt>
                <c:pt idx="878">
                  <c:v>45162</c:v>
                </c:pt>
                <c:pt idx="879">
                  <c:v>45169</c:v>
                </c:pt>
                <c:pt idx="880">
                  <c:v>45176</c:v>
                </c:pt>
                <c:pt idx="881">
                  <c:v>45183</c:v>
                </c:pt>
                <c:pt idx="882">
                  <c:v>45190</c:v>
                </c:pt>
                <c:pt idx="883">
                  <c:v>45197</c:v>
                </c:pt>
                <c:pt idx="884">
                  <c:v>45204</c:v>
                </c:pt>
                <c:pt idx="885">
                  <c:v>45211</c:v>
                </c:pt>
                <c:pt idx="886">
                  <c:v>45218</c:v>
                </c:pt>
                <c:pt idx="887">
                  <c:v>45225</c:v>
                </c:pt>
                <c:pt idx="888">
                  <c:v>45232</c:v>
                </c:pt>
                <c:pt idx="889">
                  <c:v>45239</c:v>
                </c:pt>
                <c:pt idx="890">
                  <c:v>45246</c:v>
                </c:pt>
                <c:pt idx="891">
                  <c:v>45253</c:v>
                </c:pt>
                <c:pt idx="892">
                  <c:v>45260</c:v>
                </c:pt>
                <c:pt idx="893">
                  <c:v>45267</c:v>
                </c:pt>
                <c:pt idx="894">
                  <c:v>45274</c:v>
                </c:pt>
                <c:pt idx="895">
                  <c:v>45281</c:v>
                </c:pt>
                <c:pt idx="896">
                  <c:v>45289</c:v>
                </c:pt>
                <c:pt idx="897">
                  <c:v>45296</c:v>
                </c:pt>
                <c:pt idx="898">
                  <c:v>45303</c:v>
                </c:pt>
                <c:pt idx="899">
                  <c:v>45310</c:v>
                </c:pt>
                <c:pt idx="900">
                  <c:v>45317</c:v>
                </c:pt>
                <c:pt idx="901">
                  <c:v>45324</c:v>
                </c:pt>
                <c:pt idx="902">
                  <c:v>45331</c:v>
                </c:pt>
                <c:pt idx="903">
                  <c:v>45338</c:v>
                </c:pt>
                <c:pt idx="904">
                  <c:v>45345</c:v>
                </c:pt>
                <c:pt idx="905">
                  <c:v>45352</c:v>
                </c:pt>
                <c:pt idx="906">
                  <c:v>45359</c:v>
                </c:pt>
                <c:pt idx="907">
                  <c:v>45366</c:v>
                </c:pt>
                <c:pt idx="908">
                  <c:v>45373</c:v>
                </c:pt>
                <c:pt idx="909">
                  <c:v>45384</c:v>
                </c:pt>
                <c:pt idx="910">
                  <c:v>45387</c:v>
                </c:pt>
                <c:pt idx="911">
                  <c:v>45394</c:v>
                </c:pt>
                <c:pt idx="912">
                  <c:v>45401</c:v>
                </c:pt>
                <c:pt idx="913">
                  <c:v>45408</c:v>
                </c:pt>
                <c:pt idx="914">
                  <c:v>45418</c:v>
                </c:pt>
                <c:pt idx="915">
                  <c:v>45425</c:v>
                </c:pt>
                <c:pt idx="916">
                  <c:v>45432</c:v>
                </c:pt>
                <c:pt idx="917">
                  <c:v>45439</c:v>
                </c:pt>
                <c:pt idx="918">
                  <c:v>45446</c:v>
                </c:pt>
                <c:pt idx="919">
                  <c:v>45453</c:v>
                </c:pt>
                <c:pt idx="920">
                  <c:v>45460</c:v>
                </c:pt>
                <c:pt idx="921">
                  <c:v>45467</c:v>
                </c:pt>
                <c:pt idx="922">
                  <c:v>45474</c:v>
                </c:pt>
                <c:pt idx="923">
                  <c:v>45481</c:v>
                </c:pt>
                <c:pt idx="924">
                  <c:v>45488</c:v>
                </c:pt>
                <c:pt idx="925">
                  <c:v>45495</c:v>
                </c:pt>
                <c:pt idx="926">
                  <c:v>45502</c:v>
                </c:pt>
                <c:pt idx="927">
                  <c:v>45509</c:v>
                </c:pt>
                <c:pt idx="928">
                  <c:v>45516</c:v>
                </c:pt>
                <c:pt idx="929">
                  <c:v>45523</c:v>
                </c:pt>
                <c:pt idx="930">
                  <c:v>45530</c:v>
                </c:pt>
                <c:pt idx="931">
                  <c:v>45537</c:v>
                </c:pt>
                <c:pt idx="932">
                  <c:v>45544</c:v>
                </c:pt>
                <c:pt idx="933">
                  <c:v>45551</c:v>
                </c:pt>
                <c:pt idx="934">
                  <c:v>45558</c:v>
                </c:pt>
                <c:pt idx="935">
                  <c:v>45565</c:v>
                </c:pt>
                <c:pt idx="936">
                  <c:v>45572</c:v>
                </c:pt>
                <c:pt idx="937">
                  <c:v>45579</c:v>
                </c:pt>
                <c:pt idx="938">
                  <c:v>45586</c:v>
                </c:pt>
                <c:pt idx="939">
                  <c:v>45593</c:v>
                </c:pt>
                <c:pt idx="940">
                  <c:v>45600</c:v>
                </c:pt>
                <c:pt idx="941">
                  <c:v>45607</c:v>
                </c:pt>
                <c:pt idx="942">
                  <c:v>45614</c:v>
                </c:pt>
                <c:pt idx="943">
                  <c:v>45621</c:v>
                </c:pt>
                <c:pt idx="944">
                  <c:v>45628</c:v>
                </c:pt>
                <c:pt idx="945">
                  <c:v>45635</c:v>
                </c:pt>
                <c:pt idx="946">
                  <c:v>45642</c:v>
                </c:pt>
                <c:pt idx="947">
                  <c:v>45649</c:v>
                </c:pt>
                <c:pt idx="948">
                  <c:v>45657</c:v>
                </c:pt>
                <c:pt idx="949">
                  <c:v>45664</c:v>
                </c:pt>
                <c:pt idx="950">
                  <c:v>45671</c:v>
                </c:pt>
                <c:pt idx="951">
                  <c:v>45678</c:v>
                </c:pt>
                <c:pt idx="952">
                  <c:v>45685</c:v>
                </c:pt>
                <c:pt idx="953">
                  <c:v>45692</c:v>
                </c:pt>
                <c:pt idx="954">
                  <c:v>45699</c:v>
                </c:pt>
                <c:pt idx="955">
                  <c:v>45706</c:v>
                </c:pt>
                <c:pt idx="956">
                  <c:v>45713</c:v>
                </c:pt>
                <c:pt idx="957">
                  <c:v>45720</c:v>
                </c:pt>
                <c:pt idx="958">
                  <c:v>45727</c:v>
                </c:pt>
                <c:pt idx="959">
                  <c:v>45734</c:v>
                </c:pt>
                <c:pt idx="960">
                  <c:v>45741</c:v>
                </c:pt>
                <c:pt idx="961">
                  <c:v>45748</c:v>
                </c:pt>
                <c:pt idx="962">
                  <c:v>45755</c:v>
                </c:pt>
                <c:pt idx="963">
                  <c:v>45762</c:v>
                </c:pt>
                <c:pt idx="964">
                  <c:v>45771</c:v>
                </c:pt>
                <c:pt idx="965">
                  <c:v>45779</c:v>
                </c:pt>
                <c:pt idx="966">
                  <c:v>45785</c:v>
                </c:pt>
                <c:pt idx="967">
                  <c:v>45792</c:v>
                </c:pt>
                <c:pt idx="968">
                  <c:v>45799</c:v>
                </c:pt>
                <c:pt idx="969">
                  <c:v>45806</c:v>
                </c:pt>
                <c:pt idx="970">
                  <c:v>45813</c:v>
                </c:pt>
                <c:pt idx="971">
                  <c:v>45820</c:v>
                </c:pt>
                <c:pt idx="972">
                  <c:v>45827</c:v>
                </c:pt>
                <c:pt idx="973">
                  <c:v>45834</c:v>
                </c:pt>
                <c:pt idx="974">
                  <c:v>45841</c:v>
                </c:pt>
                <c:pt idx="975">
                  <c:v>45848</c:v>
                </c:pt>
                <c:pt idx="976">
                  <c:v>45855</c:v>
                </c:pt>
                <c:pt idx="977">
                  <c:v>45862</c:v>
                </c:pt>
                <c:pt idx="978">
                  <c:v>45869</c:v>
                </c:pt>
                <c:pt idx="979">
                  <c:v>45876</c:v>
                </c:pt>
                <c:pt idx="980">
                  <c:v>45883</c:v>
                </c:pt>
                <c:pt idx="981">
                  <c:v>45890</c:v>
                </c:pt>
                <c:pt idx="982">
                  <c:v>45897</c:v>
                </c:pt>
                <c:pt idx="983">
                  <c:v>45904</c:v>
                </c:pt>
                <c:pt idx="984">
                  <c:v>45911</c:v>
                </c:pt>
                <c:pt idx="985">
                  <c:v>45918</c:v>
                </c:pt>
                <c:pt idx="986">
                  <c:v>45925</c:v>
                </c:pt>
                <c:pt idx="987">
                  <c:v>45932</c:v>
                </c:pt>
                <c:pt idx="988">
                  <c:v>45939</c:v>
                </c:pt>
                <c:pt idx="989">
                  <c:v>45946</c:v>
                </c:pt>
                <c:pt idx="990">
                  <c:v>45953</c:v>
                </c:pt>
                <c:pt idx="991">
                  <c:v>45960</c:v>
                </c:pt>
                <c:pt idx="992">
                  <c:v>45967</c:v>
                </c:pt>
                <c:pt idx="993">
                  <c:v>45974</c:v>
                </c:pt>
                <c:pt idx="994">
                  <c:v>45981</c:v>
                </c:pt>
                <c:pt idx="995">
                  <c:v>45988</c:v>
                </c:pt>
                <c:pt idx="996">
                  <c:v>45995</c:v>
                </c:pt>
                <c:pt idx="997">
                  <c:v>46002</c:v>
                </c:pt>
                <c:pt idx="998">
                  <c:v>46009</c:v>
                </c:pt>
                <c:pt idx="999">
                  <c:v>46020</c:v>
                </c:pt>
                <c:pt idx="1000">
                  <c:v>46024</c:v>
                </c:pt>
                <c:pt idx="1001">
                  <c:v>46030</c:v>
                </c:pt>
                <c:pt idx="1002">
                  <c:v>46037</c:v>
                </c:pt>
                <c:pt idx="1003">
                  <c:v>46044</c:v>
                </c:pt>
                <c:pt idx="1004">
                  <c:v>46051</c:v>
                </c:pt>
                <c:pt idx="1005">
                  <c:v>46058</c:v>
                </c:pt>
                <c:pt idx="1006">
                  <c:v>46065</c:v>
                </c:pt>
                <c:pt idx="1007">
                  <c:v>46072</c:v>
                </c:pt>
                <c:pt idx="1008">
                  <c:v>46079</c:v>
                </c:pt>
                <c:pt idx="1009">
                  <c:v>46086</c:v>
                </c:pt>
                <c:pt idx="1010">
                  <c:v>46093</c:v>
                </c:pt>
                <c:pt idx="1011">
                  <c:v>46100</c:v>
                </c:pt>
                <c:pt idx="1012">
                  <c:v>46107</c:v>
                </c:pt>
                <c:pt idx="1013">
                  <c:v>46114</c:v>
                </c:pt>
                <c:pt idx="1014">
                  <c:v>46121</c:v>
                </c:pt>
                <c:pt idx="1015">
                  <c:v>46128</c:v>
                </c:pt>
                <c:pt idx="1016">
                  <c:v>46135</c:v>
                </c:pt>
                <c:pt idx="1017">
                  <c:v>46142</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46387</c:v>
                </c:pt>
                <c:pt idx="1053">
                  <c:v>46394</c:v>
                </c:pt>
                <c:pt idx="1054">
                  <c:v>46401</c:v>
                </c:pt>
                <c:pt idx="1055">
                  <c:v>46408</c:v>
                </c:pt>
                <c:pt idx="1056">
                  <c:v>46415</c:v>
                </c:pt>
                <c:pt idx="1057">
                  <c:v>46422</c:v>
                </c:pt>
                <c:pt idx="1058">
                  <c:v>46429</c:v>
                </c:pt>
                <c:pt idx="1059">
                  <c:v>46436</c:v>
                </c:pt>
                <c:pt idx="1060">
                  <c:v>46443</c:v>
                </c:pt>
                <c:pt idx="1061">
                  <c:v>46450</c:v>
                </c:pt>
                <c:pt idx="1062">
                  <c:v>46457</c:v>
                </c:pt>
                <c:pt idx="1063">
                  <c:v>46464</c:v>
                </c:pt>
                <c:pt idx="1064">
                  <c:v>46471</c:v>
                </c:pt>
                <c:pt idx="1065">
                  <c:v>46478</c:v>
                </c:pt>
                <c:pt idx="1066">
                  <c:v>46485</c:v>
                </c:pt>
                <c:pt idx="1067">
                  <c:v>46492</c:v>
                </c:pt>
                <c:pt idx="1068">
                  <c:v>46499</c:v>
                </c:pt>
                <c:pt idx="1069">
                  <c:v>46506</c:v>
                </c:pt>
                <c:pt idx="1070">
                  <c:v>46513</c:v>
                </c:pt>
                <c:pt idx="1071">
                  <c:v>46520</c:v>
                </c:pt>
                <c:pt idx="1072">
                  <c:v>46527</c:v>
                </c:pt>
                <c:pt idx="1073">
                  <c:v>46534</c:v>
                </c:pt>
                <c:pt idx="1074">
                  <c:v>46541</c:v>
                </c:pt>
                <c:pt idx="1075">
                  <c:v>46548</c:v>
                </c:pt>
                <c:pt idx="1076">
                  <c:v>46555</c:v>
                </c:pt>
                <c:pt idx="1077">
                  <c:v>46562</c:v>
                </c:pt>
                <c:pt idx="1078">
                  <c:v>46569</c:v>
                </c:pt>
                <c:pt idx="1079">
                  <c:v>46576</c:v>
                </c:pt>
                <c:pt idx="1080">
                  <c:v>46583</c:v>
                </c:pt>
                <c:pt idx="1081">
                  <c:v>46590</c:v>
                </c:pt>
                <c:pt idx="1082">
                  <c:v>46597</c:v>
                </c:pt>
                <c:pt idx="1083">
                  <c:v>46604</c:v>
                </c:pt>
                <c:pt idx="1084">
                  <c:v>46611</c:v>
                </c:pt>
                <c:pt idx="1085">
                  <c:v>46618</c:v>
                </c:pt>
                <c:pt idx="1086">
                  <c:v>46625</c:v>
                </c:pt>
                <c:pt idx="1087">
                  <c:v>46632</c:v>
                </c:pt>
                <c:pt idx="1088">
                  <c:v>46639</c:v>
                </c:pt>
                <c:pt idx="1089">
                  <c:v>46646</c:v>
                </c:pt>
                <c:pt idx="1090">
                  <c:v>46653</c:v>
                </c:pt>
                <c:pt idx="1091">
                  <c:v>46660</c:v>
                </c:pt>
                <c:pt idx="1092">
                  <c:v>46667</c:v>
                </c:pt>
                <c:pt idx="1093">
                  <c:v>46674</c:v>
                </c:pt>
                <c:pt idx="1094">
                  <c:v>46681</c:v>
                </c:pt>
                <c:pt idx="1095">
                  <c:v>46688</c:v>
                </c:pt>
                <c:pt idx="1096">
                  <c:v>46695</c:v>
                </c:pt>
                <c:pt idx="1097">
                  <c:v>46702</c:v>
                </c:pt>
                <c:pt idx="1098">
                  <c:v>46709</c:v>
                </c:pt>
                <c:pt idx="1099">
                  <c:v>46716</c:v>
                </c:pt>
                <c:pt idx="1100">
                  <c:v>46723</c:v>
                </c:pt>
                <c:pt idx="1101">
                  <c:v>46730</c:v>
                </c:pt>
                <c:pt idx="1102">
                  <c:v>46737</c:v>
                </c:pt>
                <c:pt idx="1103">
                  <c:v>46744</c:v>
                </c:pt>
                <c:pt idx="1104">
                  <c:v>46751</c:v>
                </c:pt>
                <c:pt idx="1105">
                  <c:v>46758</c:v>
                </c:pt>
                <c:pt idx="1106">
                  <c:v>46765</c:v>
                </c:pt>
                <c:pt idx="1107">
                  <c:v>46772</c:v>
                </c:pt>
                <c:pt idx="1108">
                  <c:v>46779</c:v>
                </c:pt>
                <c:pt idx="1109">
                  <c:v>46786</c:v>
                </c:pt>
                <c:pt idx="1110">
                  <c:v>46793</c:v>
                </c:pt>
                <c:pt idx="1111">
                  <c:v>46800</c:v>
                </c:pt>
                <c:pt idx="1112">
                  <c:v>46807</c:v>
                </c:pt>
                <c:pt idx="1113">
                  <c:v>46814</c:v>
                </c:pt>
                <c:pt idx="1114">
                  <c:v>46821</c:v>
                </c:pt>
                <c:pt idx="1115">
                  <c:v>46828</c:v>
                </c:pt>
                <c:pt idx="1116">
                  <c:v>46835</c:v>
                </c:pt>
                <c:pt idx="1117">
                  <c:v>46842</c:v>
                </c:pt>
                <c:pt idx="1118">
                  <c:v>46849</c:v>
                </c:pt>
                <c:pt idx="1119">
                  <c:v>46856</c:v>
                </c:pt>
                <c:pt idx="1120">
                  <c:v>46863</c:v>
                </c:pt>
                <c:pt idx="1121">
                  <c:v>46870</c:v>
                </c:pt>
                <c:pt idx="1122">
                  <c:v>46877</c:v>
                </c:pt>
                <c:pt idx="1123">
                  <c:v>46884</c:v>
                </c:pt>
                <c:pt idx="1124">
                  <c:v>46891</c:v>
                </c:pt>
                <c:pt idx="1125">
                  <c:v>46898</c:v>
                </c:pt>
                <c:pt idx="1126">
                  <c:v>46905</c:v>
                </c:pt>
                <c:pt idx="1127">
                  <c:v>46912</c:v>
                </c:pt>
                <c:pt idx="1128">
                  <c:v>46919</c:v>
                </c:pt>
                <c:pt idx="1129">
                  <c:v>46926</c:v>
                </c:pt>
                <c:pt idx="1130">
                  <c:v>46933</c:v>
                </c:pt>
                <c:pt idx="1131">
                  <c:v>46940</c:v>
                </c:pt>
                <c:pt idx="1132">
                  <c:v>46947</c:v>
                </c:pt>
                <c:pt idx="1133">
                  <c:v>46954</c:v>
                </c:pt>
                <c:pt idx="1134">
                  <c:v>46961</c:v>
                </c:pt>
                <c:pt idx="1135">
                  <c:v>46968</c:v>
                </c:pt>
                <c:pt idx="1136">
                  <c:v>46975</c:v>
                </c:pt>
                <c:pt idx="1137">
                  <c:v>46982</c:v>
                </c:pt>
                <c:pt idx="1138">
                  <c:v>46989</c:v>
                </c:pt>
                <c:pt idx="1139">
                  <c:v>46996</c:v>
                </c:pt>
                <c:pt idx="1140">
                  <c:v>47003</c:v>
                </c:pt>
                <c:pt idx="1141">
                  <c:v>47010</c:v>
                </c:pt>
                <c:pt idx="1142">
                  <c:v>47017</c:v>
                </c:pt>
                <c:pt idx="1143">
                  <c:v>47024</c:v>
                </c:pt>
                <c:pt idx="1144">
                  <c:v>47031</c:v>
                </c:pt>
                <c:pt idx="1145">
                  <c:v>47038</c:v>
                </c:pt>
                <c:pt idx="1146">
                  <c:v>47045</c:v>
                </c:pt>
                <c:pt idx="1147">
                  <c:v>47052</c:v>
                </c:pt>
                <c:pt idx="1148">
                  <c:v>47059</c:v>
                </c:pt>
                <c:pt idx="1149">
                  <c:v>47066</c:v>
                </c:pt>
                <c:pt idx="1150">
                  <c:v>47073</c:v>
                </c:pt>
                <c:pt idx="1151">
                  <c:v>47080</c:v>
                </c:pt>
                <c:pt idx="1152">
                  <c:v>47087</c:v>
                </c:pt>
                <c:pt idx="1153">
                  <c:v>47094</c:v>
                </c:pt>
                <c:pt idx="1154">
                  <c:v>47101</c:v>
                </c:pt>
                <c:pt idx="1155">
                  <c:v>47108</c:v>
                </c:pt>
                <c:pt idx="1156">
                  <c:v>47116</c:v>
                </c:pt>
                <c:pt idx="1157">
                  <c:v>47123</c:v>
                </c:pt>
                <c:pt idx="1158">
                  <c:v>47130</c:v>
                </c:pt>
                <c:pt idx="1159">
                  <c:v>47137</c:v>
                </c:pt>
                <c:pt idx="1160">
                  <c:v>47144</c:v>
                </c:pt>
                <c:pt idx="1161">
                  <c:v>47151</c:v>
                </c:pt>
                <c:pt idx="1162">
                  <c:v>47158</c:v>
                </c:pt>
                <c:pt idx="1163">
                  <c:v>47165</c:v>
                </c:pt>
                <c:pt idx="1164">
                  <c:v>47172</c:v>
                </c:pt>
                <c:pt idx="1165">
                  <c:v>47179</c:v>
                </c:pt>
                <c:pt idx="1166">
                  <c:v>47186</c:v>
                </c:pt>
                <c:pt idx="1167">
                  <c:v>47193</c:v>
                </c:pt>
                <c:pt idx="1168">
                  <c:v>47200</c:v>
                </c:pt>
                <c:pt idx="1169">
                  <c:v>47211</c:v>
                </c:pt>
                <c:pt idx="1170">
                  <c:v>47214</c:v>
                </c:pt>
                <c:pt idx="1171">
                  <c:v>47221</c:v>
                </c:pt>
                <c:pt idx="1172">
                  <c:v>47228</c:v>
                </c:pt>
                <c:pt idx="1173">
                  <c:v>47235</c:v>
                </c:pt>
                <c:pt idx="1174">
                  <c:v>47242</c:v>
                </c:pt>
                <c:pt idx="1175">
                  <c:v>47249</c:v>
                </c:pt>
                <c:pt idx="1176">
                  <c:v>47256</c:v>
                </c:pt>
                <c:pt idx="1177">
                  <c:v>47263</c:v>
                </c:pt>
                <c:pt idx="1178">
                  <c:v>47270</c:v>
                </c:pt>
                <c:pt idx="1179">
                  <c:v>47277</c:v>
                </c:pt>
                <c:pt idx="1180">
                  <c:v>47284</c:v>
                </c:pt>
                <c:pt idx="1181">
                  <c:v>47291</c:v>
                </c:pt>
                <c:pt idx="1182">
                  <c:v>47298</c:v>
                </c:pt>
                <c:pt idx="1183">
                  <c:v>47305</c:v>
                </c:pt>
                <c:pt idx="1184">
                  <c:v>47312</c:v>
                </c:pt>
                <c:pt idx="1185">
                  <c:v>47319</c:v>
                </c:pt>
                <c:pt idx="1186">
                  <c:v>47326</c:v>
                </c:pt>
                <c:pt idx="1187">
                  <c:v>47333</c:v>
                </c:pt>
                <c:pt idx="1188">
                  <c:v>47340</c:v>
                </c:pt>
                <c:pt idx="1189">
                  <c:v>47347</c:v>
                </c:pt>
                <c:pt idx="1190">
                  <c:v>47354</c:v>
                </c:pt>
                <c:pt idx="1191">
                  <c:v>47361</c:v>
                </c:pt>
                <c:pt idx="1192">
                  <c:v>47368</c:v>
                </c:pt>
                <c:pt idx="1193">
                  <c:v>47375</c:v>
                </c:pt>
                <c:pt idx="1194">
                  <c:v>47382</c:v>
                </c:pt>
                <c:pt idx="1195">
                  <c:v>47389</c:v>
                </c:pt>
                <c:pt idx="1196">
                  <c:v>47396</c:v>
                </c:pt>
                <c:pt idx="1197">
                  <c:v>47403</c:v>
                </c:pt>
                <c:pt idx="1198">
                  <c:v>47410</c:v>
                </c:pt>
                <c:pt idx="1199">
                  <c:v>47417</c:v>
                </c:pt>
                <c:pt idx="1200">
                  <c:v>47424</c:v>
                </c:pt>
                <c:pt idx="1201">
                  <c:v>47431</c:v>
                </c:pt>
                <c:pt idx="1202">
                  <c:v>47438</c:v>
                </c:pt>
                <c:pt idx="1203">
                  <c:v>47445</c:v>
                </c:pt>
                <c:pt idx="1204">
                  <c:v>47452</c:v>
                </c:pt>
                <c:pt idx="1205">
                  <c:v>47459</c:v>
                </c:pt>
                <c:pt idx="1206">
                  <c:v>47466</c:v>
                </c:pt>
                <c:pt idx="1207">
                  <c:v>47473</c:v>
                </c:pt>
                <c:pt idx="1208">
                  <c:v>47483</c:v>
                </c:pt>
                <c:pt idx="1209">
                  <c:v>47490</c:v>
                </c:pt>
                <c:pt idx="1210">
                  <c:v>47497</c:v>
                </c:pt>
                <c:pt idx="1211">
                  <c:v>47504</c:v>
                </c:pt>
                <c:pt idx="1212">
                  <c:v>47511</c:v>
                </c:pt>
                <c:pt idx="1213">
                  <c:v>47518</c:v>
                </c:pt>
                <c:pt idx="1214">
                  <c:v>47525</c:v>
                </c:pt>
                <c:pt idx="1215">
                  <c:v>47532</c:v>
                </c:pt>
                <c:pt idx="1216">
                  <c:v>47539</c:v>
                </c:pt>
                <c:pt idx="1217">
                  <c:v>47546</c:v>
                </c:pt>
                <c:pt idx="1218">
                  <c:v>47553</c:v>
                </c:pt>
                <c:pt idx="1219">
                  <c:v>47560</c:v>
                </c:pt>
                <c:pt idx="1220">
                  <c:v>47567</c:v>
                </c:pt>
                <c:pt idx="1221">
                  <c:v>47574</c:v>
                </c:pt>
                <c:pt idx="1222">
                  <c:v>47581</c:v>
                </c:pt>
                <c:pt idx="1223">
                  <c:v>47588</c:v>
                </c:pt>
                <c:pt idx="1224">
                  <c:v>47597</c:v>
                </c:pt>
                <c:pt idx="1225">
                  <c:v>47602</c:v>
                </c:pt>
                <c:pt idx="1226">
                  <c:v>47609</c:v>
                </c:pt>
                <c:pt idx="1227">
                  <c:v>47616</c:v>
                </c:pt>
                <c:pt idx="1228">
                  <c:v>47623</c:v>
                </c:pt>
                <c:pt idx="1229">
                  <c:v>47630</c:v>
                </c:pt>
                <c:pt idx="1230">
                  <c:v>47637</c:v>
                </c:pt>
                <c:pt idx="1231">
                  <c:v>47644</c:v>
                </c:pt>
                <c:pt idx="1232">
                  <c:v>47651</c:v>
                </c:pt>
                <c:pt idx="1233">
                  <c:v>47658</c:v>
                </c:pt>
                <c:pt idx="1234">
                  <c:v>47665</c:v>
                </c:pt>
                <c:pt idx="1235">
                  <c:v>47672</c:v>
                </c:pt>
                <c:pt idx="1236">
                  <c:v>47679</c:v>
                </c:pt>
                <c:pt idx="1237">
                  <c:v>47686</c:v>
                </c:pt>
                <c:pt idx="1238">
                  <c:v>47693</c:v>
                </c:pt>
                <c:pt idx="1239">
                  <c:v>47700</c:v>
                </c:pt>
                <c:pt idx="1240">
                  <c:v>47707</c:v>
                </c:pt>
                <c:pt idx="1241">
                  <c:v>47714</c:v>
                </c:pt>
                <c:pt idx="1242">
                  <c:v>47721</c:v>
                </c:pt>
                <c:pt idx="1243">
                  <c:v>47728</c:v>
                </c:pt>
                <c:pt idx="1244">
                  <c:v>47735</c:v>
                </c:pt>
                <c:pt idx="1245">
                  <c:v>47742</c:v>
                </c:pt>
                <c:pt idx="1246">
                  <c:v>47749</c:v>
                </c:pt>
                <c:pt idx="1247">
                  <c:v>47756</c:v>
                </c:pt>
                <c:pt idx="1248">
                  <c:v>47763</c:v>
                </c:pt>
                <c:pt idx="1249">
                  <c:v>47770</c:v>
                </c:pt>
                <c:pt idx="1250">
                  <c:v>47777</c:v>
                </c:pt>
                <c:pt idx="1251">
                  <c:v>47784</c:v>
                </c:pt>
                <c:pt idx="1252">
                  <c:v>47791</c:v>
                </c:pt>
                <c:pt idx="1253">
                  <c:v>47798</c:v>
                </c:pt>
                <c:pt idx="1254">
                  <c:v>47805</c:v>
                </c:pt>
                <c:pt idx="1255">
                  <c:v>47812</c:v>
                </c:pt>
                <c:pt idx="1256">
                  <c:v>47819</c:v>
                </c:pt>
                <c:pt idx="1257">
                  <c:v>47826</c:v>
                </c:pt>
                <c:pt idx="1258">
                  <c:v>47833</c:v>
                </c:pt>
                <c:pt idx="1259">
                  <c:v>47840</c:v>
                </c:pt>
                <c:pt idx="1260">
                  <c:v>47848</c:v>
                </c:pt>
                <c:pt idx="1261">
                  <c:v>47855</c:v>
                </c:pt>
                <c:pt idx="1262">
                  <c:v>47862</c:v>
                </c:pt>
                <c:pt idx="1263">
                  <c:v>47869</c:v>
                </c:pt>
                <c:pt idx="1264">
                  <c:v>47876</c:v>
                </c:pt>
                <c:pt idx="1265">
                  <c:v>47883</c:v>
                </c:pt>
                <c:pt idx="1266">
                  <c:v>47890</c:v>
                </c:pt>
                <c:pt idx="1267">
                  <c:v>47897</c:v>
                </c:pt>
                <c:pt idx="1268">
                  <c:v>47904</c:v>
                </c:pt>
                <c:pt idx="1269">
                  <c:v>47911</c:v>
                </c:pt>
                <c:pt idx="1270">
                  <c:v>47918</c:v>
                </c:pt>
                <c:pt idx="1271">
                  <c:v>47925</c:v>
                </c:pt>
                <c:pt idx="1272">
                  <c:v>47932</c:v>
                </c:pt>
                <c:pt idx="1273">
                  <c:v>47939</c:v>
                </c:pt>
                <c:pt idx="1274">
                  <c:v>47946</c:v>
                </c:pt>
                <c:pt idx="1275">
                  <c:v>47955</c:v>
                </c:pt>
                <c:pt idx="1276">
                  <c:v>47962</c:v>
                </c:pt>
                <c:pt idx="1277">
                  <c:v>47970</c:v>
                </c:pt>
                <c:pt idx="1278">
                  <c:v>47976</c:v>
                </c:pt>
                <c:pt idx="1279">
                  <c:v>47983</c:v>
                </c:pt>
                <c:pt idx="1280">
                  <c:v>47990</c:v>
                </c:pt>
                <c:pt idx="1281">
                  <c:v>47997</c:v>
                </c:pt>
                <c:pt idx="1282">
                  <c:v>48004</c:v>
                </c:pt>
                <c:pt idx="1283">
                  <c:v>48011</c:v>
                </c:pt>
                <c:pt idx="1284">
                  <c:v>48018</c:v>
                </c:pt>
                <c:pt idx="1285">
                  <c:v>48025</c:v>
                </c:pt>
                <c:pt idx="1286">
                  <c:v>48032</c:v>
                </c:pt>
                <c:pt idx="1287">
                  <c:v>48039</c:v>
                </c:pt>
                <c:pt idx="1288">
                  <c:v>48046</c:v>
                </c:pt>
                <c:pt idx="1289">
                  <c:v>48053</c:v>
                </c:pt>
                <c:pt idx="1290">
                  <c:v>48060</c:v>
                </c:pt>
                <c:pt idx="1291">
                  <c:v>48067</c:v>
                </c:pt>
                <c:pt idx="1292">
                  <c:v>48074</c:v>
                </c:pt>
                <c:pt idx="1293">
                  <c:v>48081</c:v>
                </c:pt>
                <c:pt idx="1294">
                  <c:v>48088</c:v>
                </c:pt>
                <c:pt idx="1295">
                  <c:v>48095</c:v>
                </c:pt>
                <c:pt idx="1296">
                  <c:v>48102</c:v>
                </c:pt>
                <c:pt idx="1297">
                  <c:v>48109</c:v>
                </c:pt>
                <c:pt idx="1298">
                  <c:v>48116</c:v>
                </c:pt>
                <c:pt idx="1299">
                  <c:v>48123</c:v>
                </c:pt>
                <c:pt idx="1300">
                  <c:v>48130</c:v>
                </c:pt>
                <c:pt idx="1301">
                  <c:v>48137</c:v>
                </c:pt>
                <c:pt idx="1302">
                  <c:v>48144</c:v>
                </c:pt>
                <c:pt idx="1303">
                  <c:v>48151</c:v>
                </c:pt>
                <c:pt idx="1304">
                  <c:v>48158</c:v>
                </c:pt>
                <c:pt idx="1305">
                  <c:v>48165</c:v>
                </c:pt>
                <c:pt idx="1306">
                  <c:v>48172</c:v>
                </c:pt>
                <c:pt idx="1307">
                  <c:v>48179</c:v>
                </c:pt>
                <c:pt idx="1308">
                  <c:v>48186</c:v>
                </c:pt>
                <c:pt idx="1309">
                  <c:v>48193</c:v>
                </c:pt>
                <c:pt idx="1310">
                  <c:v>48200</c:v>
                </c:pt>
                <c:pt idx="1311">
                  <c:v>48211</c:v>
                </c:pt>
                <c:pt idx="1312">
                  <c:v>48215</c:v>
                </c:pt>
                <c:pt idx="1313">
                  <c:v>48221</c:v>
                </c:pt>
                <c:pt idx="1314">
                  <c:v>48228</c:v>
                </c:pt>
                <c:pt idx="1315">
                  <c:v>48235</c:v>
                </c:pt>
                <c:pt idx="1316">
                  <c:v>48242</c:v>
                </c:pt>
                <c:pt idx="1317">
                  <c:v>48249</c:v>
                </c:pt>
                <c:pt idx="1318">
                  <c:v>48256</c:v>
                </c:pt>
                <c:pt idx="1319">
                  <c:v>48263</c:v>
                </c:pt>
                <c:pt idx="1320">
                  <c:v>48270</c:v>
                </c:pt>
                <c:pt idx="1321">
                  <c:v>48277</c:v>
                </c:pt>
                <c:pt idx="1322">
                  <c:v>48284</c:v>
                </c:pt>
                <c:pt idx="1323">
                  <c:v>48291</c:v>
                </c:pt>
                <c:pt idx="1324">
                  <c:v>48298</c:v>
                </c:pt>
                <c:pt idx="1325">
                  <c:v>48305</c:v>
                </c:pt>
                <c:pt idx="1326">
                  <c:v>48312</c:v>
                </c:pt>
                <c:pt idx="1327">
                  <c:v>48319</c:v>
                </c:pt>
                <c:pt idx="1328">
                  <c:v>48326</c:v>
                </c:pt>
                <c:pt idx="1329">
                  <c:v>48333</c:v>
                </c:pt>
                <c:pt idx="1330">
                  <c:v>48340</c:v>
                </c:pt>
                <c:pt idx="1331">
                  <c:v>48347</c:v>
                </c:pt>
                <c:pt idx="1332">
                  <c:v>48354</c:v>
                </c:pt>
                <c:pt idx="1333">
                  <c:v>48361</c:v>
                </c:pt>
                <c:pt idx="1334">
                  <c:v>48368</c:v>
                </c:pt>
                <c:pt idx="1335">
                  <c:v>48375</c:v>
                </c:pt>
                <c:pt idx="1336">
                  <c:v>48382</c:v>
                </c:pt>
                <c:pt idx="1337">
                  <c:v>48389</c:v>
                </c:pt>
                <c:pt idx="1338">
                  <c:v>48396</c:v>
                </c:pt>
                <c:pt idx="1339">
                  <c:v>48403</c:v>
                </c:pt>
                <c:pt idx="1340">
                  <c:v>48410</c:v>
                </c:pt>
                <c:pt idx="1341">
                  <c:v>48417</c:v>
                </c:pt>
                <c:pt idx="1342">
                  <c:v>48424</c:v>
                </c:pt>
                <c:pt idx="1343">
                  <c:v>48431</c:v>
                </c:pt>
                <c:pt idx="1344">
                  <c:v>48438</c:v>
                </c:pt>
                <c:pt idx="1345">
                  <c:v>48445</c:v>
                </c:pt>
                <c:pt idx="1346">
                  <c:v>48452</c:v>
                </c:pt>
                <c:pt idx="1347">
                  <c:v>48459</c:v>
                </c:pt>
                <c:pt idx="1348">
                  <c:v>48466</c:v>
                </c:pt>
                <c:pt idx="1349">
                  <c:v>48473</c:v>
                </c:pt>
                <c:pt idx="1350">
                  <c:v>48480</c:v>
                </c:pt>
                <c:pt idx="1351">
                  <c:v>48487</c:v>
                </c:pt>
                <c:pt idx="1352">
                  <c:v>48494</c:v>
                </c:pt>
                <c:pt idx="1353">
                  <c:v>48501</c:v>
                </c:pt>
                <c:pt idx="1354">
                  <c:v>48508</c:v>
                </c:pt>
                <c:pt idx="1355">
                  <c:v>48515</c:v>
                </c:pt>
                <c:pt idx="1356">
                  <c:v>48522</c:v>
                </c:pt>
                <c:pt idx="1357">
                  <c:v>48529</c:v>
                </c:pt>
                <c:pt idx="1358">
                  <c:v>48536</c:v>
                </c:pt>
                <c:pt idx="1359">
                  <c:v>48543</c:v>
                </c:pt>
                <c:pt idx="1360">
                  <c:v>48550</c:v>
                </c:pt>
                <c:pt idx="1361">
                  <c:v>48557</c:v>
                </c:pt>
                <c:pt idx="1362">
                  <c:v>48564</c:v>
                </c:pt>
                <c:pt idx="1363">
                  <c:v>48571</c:v>
                </c:pt>
                <c:pt idx="1364">
                  <c:v>48578</c:v>
                </c:pt>
                <c:pt idx="1365">
                  <c:v>48585</c:v>
                </c:pt>
                <c:pt idx="1366">
                  <c:v>48592</c:v>
                </c:pt>
                <c:pt idx="1367">
                  <c:v>48599</c:v>
                </c:pt>
                <c:pt idx="1368">
                  <c:v>48606</c:v>
                </c:pt>
                <c:pt idx="1369">
                  <c:v>48613</c:v>
                </c:pt>
                <c:pt idx="1370">
                  <c:v>48620</c:v>
                </c:pt>
                <c:pt idx="1371">
                  <c:v>48627</c:v>
                </c:pt>
                <c:pt idx="1372">
                  <c:v>48634</c:v>
                </c:pt>
                <c:pt idx="1373">
                  <c:v>48641</c:v>
                </c:pt>
                <c:pt idx="1374">
                  <c:v>48648</c:v>
                </c:pt>
                <c:pt idx="1375">
                  <c:v>48655</c:v>
                </c:pt>
                <c:pt idx="1376">
                  <c:v>48662</c:v>
                </c:pt>
                <c:pt idx="1377">
                  <c:v>48669</c:v>
                </c:pt>
                <c:pt idx="1378">
                  <c:v>48676</c:v>
                </c:pt>
                <c:pt idx="1379">
                  <c:v>48683</c:v>
                </c:pt>
                <c:pt idx="1380">
                  <c:v>48690</c:v>
                </c:pt>
                <c:pt idx="1381">
                  <c:v>48697</c:v>
                </c:pt>
                <c:pt idx="1382">
                  <c:v>48704</c:v>
                </c:pt>
                <c:pt idx="1383">
                  <c:v>48711</c:v>
                </c:pt>
                <c:pt idx="1384">
                  <c:v>48718</c:v>
                </c:pt>
                <c:pt idx="1385">
                  <c:v>48725</c:v>
                </c:pt>
                <c:pt idx="1386">
                  <c:v>48732</c:v>
                </c:pt>
                <c:pt idx="1387">
                  <c:v>48739</c:v>
                </c:pt>
                <c:pt idx="1388">
                  <c:v>48746</c:v>
                </c:pt>
                <c:pt idx="1389">
                  <c:v>48753</c:v>
                </c:pt>
                <c:pt idx="1390">
                  <c:v>48760</c:v>
                </c:pt>
                <c:pt idx="1391">
                  <c:v>48767</c:v>
                </c:pt>
                <c:pt idx="1392">
                  <c:v>48774</c:v>
                </c:pt>
                <c:pt idx="1393">
                  <c:v>48781</c:v>
                </c:pt>
                <c:pt idx="1394">
                  <c:v>48788</c:v>
                </c:pt>
                <c:pt idx="1395">
                  <c:v>48795</c:v>
                </c:pt>
                <c:pt idx="1396">
                  <c:v>48802</c:v>
                </c:pt>
                <c:pt idx="1397">
                  <c:v>48809</c:v>
                </c:pt>
                <c:pt idx="1398">
                  <c:v>48816</c:v>
                </c:pt>
                <c:pt idx="1399">
                  <c:v>48823</c:v>
                </c:pt>
                <c:pt idx="1400">
                  <c:v>48830</c:v>
                </c:pt>
                <c:pt idx="1401">
                  <c:v>48837</c:v>
                </c:pt>
                <c:pt idx="1402">
                  <c:v>48844</c:v>
                </c:pt>
                <c:pt idx="1403">
                  <c:v>48851</c:v>
                </c:pt>
                <c:pt idx="1404">
                  <c:v>48858</c:v>
                </c:pt>
                <c:pt idx="1405">
                  <c:v>48865</c:v>
                </c:pt>
                <c:pt idx="1406">
                  <c:v>48872</c:v>
                </c:pt>
                <c:pt idx="1407">
                  <c:v>48879</c:v>
                </c:pt>
                <c:pt idx="1408">
                  <c:v>48886</c:v>
                </c:pt>
                <c:pt idx="1409">
                  <c:v>48893</c:v>
                </c:pt>
                <c:pt idx="1410">
                  <c:v>48900</c:v>
                </c:pt>
                <c:pt idx="1411">
                  <c:v>48907</c:v>
                </c:pt>
                <c:pt idx="1412">
                  <c:v>48914</c:v>
                </c:pt>
                <c:pt idx="1413">
                  <c:v>48921</c:v>
                </c:pt>
                <c:pt idx="1414">
                  <c:v>48928</c:v>
                </c:pt>
                <c:pt idx="1415">
                  <c:v>48935</c:v>
                </c:pt>
                <c:pt idx="1416">
                  <c:v>48942</c:v>
                </c:pt>
                <c:pt idx="1417">
                  <c:v>48949</c:v>
                </c:pt>
                <c:pt idx="1418">
                  <c:v>48956</c:v>
                </c:pt>
                <c:pt idx="1419">
                  <c:v>48963</c:v>
                </c:pt>
                <c:pt idx="1420">
                  <c:v>48970</c:v>
                </c:pt>
                <c:pt idx="1421">
                  <c:v>48977</c:v>
                </c:pt>
                <c:pt idx="1422">
                  <c:v>48984</c:v>
                </c:pt>
                <c:pt idx="1423">
                  <c:v>48991</c:v>
                </c:pt>
                <c:pt idx="1424">
                  <c:v>48998</c:v>
                </c:pt>
                <c:pt idx="1425">
                  <c:v>49005</c:v>
                </c:pt>
                <c:pt idx="1426">
                  <c:v>49012</c:v>
                </c:pt>
                <c:pt idx="1427">
                  <c:v>49019</c:v>
                </c:pt>
                <c:pt idx="1428">
                  <c:v>49026</c:v>
                </c:pt>
                <c:pt idx="1429">
                  <c:v>49033</c:v>
                </c:pt>
                <c:pt idx="1430">
                  <c:v>49040</c:v>
                </c:pt>
                <c:pt idx="1431">
                  <c:v>49047</c:v>
                </c:pt>
                <c:pt idx="1432">
                  <c:v>49054</c:v>
                </c:pt>
                <c:pt idx="1433">
                  <c:v>49061</c:v>
                </c:pt>
                <c:pt idx="1434">
                  <c:v>49068</c:v>
                </c:pt>
                <c:pt idx="1435">
                  <c:v>49075</c:v>
                </c:pt>
                <c:pt idx="1436">
                  <c:v>49082</c:v>
                </c:pt>
                <c:pt idx="1437">
                  <c:v>49089</c:v>
                </c:pt>
                <c:pt idx="1438">
                  <c:v>49096</c:v>
                </c:pt>
                <c:pt idx="1439">
                  <c:v>49103</c:v>
                </c:pt>
                <c:pt idx="1440">
                  <c:v>49110</c:v>
                </c:pt>
                <c:pt idx="1441">
                  <c:v>49117</c:v>
                </c:pt>
                <c:pt idx="1442">
                  <c:v>49124</c:v>
                </c:pt>
                <c:pt idx="1443">
                  <c:v>49131</c:v>
                </c:pt>
                <c:pt idx="1444">
                  <c:v>49138</c:v>
                </c:pt>
                <c:pt idx="1445">
                  <c:v>49145</c:v>
                </c:pt>
                <c:pt idx="1446">
                  <c:v>49152</c:v>
                </c:pt>
                <c:pt idx="1447">
                  <c:v>49159</c:v>
                </c:pt>
                <c:pt idx="1448">
                  <c:v>49166</c:v>
                </c:pt>
                <c:pt idx="1449">
                  <c:v>49173</c:v>
                </c:pt>
                <c:pt idx="1450">
                  <c:v>49180</c:v>
                </c:pt>
                <c:pt idx="1451">
                  <c:v>49187</c:v>
                </c:pt>
                <c:pt idx="1452">
                  <c:v>49194</c:v>
                </c:pt>
                <c:pt idx="1453">
                  <c:v>49201</c:v>
                </c:pt>
                <c:pt idx="1454">
                  <c:v>49208</c:v>
                </c:pt>
                <c:pt idx="1455">
                  <c:v>49215</c:v>
                </c:pt>
                <c:pt idx="1456">
                  <c:v>49222</c:v>
                </c:pt>
                <c:pt idx="1457">
                  <c:v>49229</c:v>
                </c:pt>
                <c:pt idx="1458">
                  <c:v>49236</c:v>
                </c:pt>
                <c:pt idx="1459">
                  <c:v>49243</c:v>
                </c:pt>
                <c:pt idx="1460">
                  <c:v>49250</c:v>
                </c:pt>
                <c:pt idx="1461">
                  <c:v>49257</c:v>
                </c:pt>
                <c:pt idx="1462">
                  <c:v>49264</c:v>
                </c:pt>
                <c:pt idx="1463">
                  <c:v>49271</c:v>
                </c:pt>
                <c:pt idx="1464">
                  <c:v>49278</c:v>
                </c:pt>
                <c:pt idx="1465">
                  <c:v>49285</c:v>
                </c:pt>
                <c:pt idx="1466">
                  <c:v>49292</c:v>
                </c:pt>
                <c:pt idx="1467">
                  <c:v>49299</c:v>
                </c:pt>
                <c:pt idx="1468">
                  <c:v>49307</c:v>
                </c:pt>
                <c:pt idx="1469">
                  <c:v>49314</c:v>
                </c:pt>
                <c:pt idx="1470">
                  <c:v>49321</c:v>
                </c:pt>
                <c:pt idx="1471">
                  <c:v>49328</c:v>
                </c:pt>
                <c:pt idx="1472">
                  <c:v>49335</c:v>
                </c:pt>
                <c:pt idx="1473">
                  <c:v>49342</c:v>
                </c:pt>
                <c:pt idx="1474">
                  <c:v>49349</c:v>
                </c:pt>
                <c:pt idx="1475">
                  <c:v>49356</c:v>
                </c:pt>
                <c:pt idx="1476">
                  <c:v>49363</c:v>
                </c:pt>
                <c:pt idx="1477">
                  <c:v>49370</c:v>
                </c:pt>
                <c:pt idx="1478">
                  <c:v>49377</c:v>
                </c:pt>
                <c:pt idx="1479">
                  <c:v>49384</c:v>
                </c:pt>
                <c:pt idx="1480">
                  <c:v>49395</c:v>
                </c:pt>
                <c:pt idx="1481">
                  <c:v>49398</c:v>
                </c:pt>
                <c:pt idx="1482">
                  <c:v>49405</c:v>
                </c:pt>
                <c:pt idx="1483">
                  <c:v>49412</c:v>
                </c:pt>
                <c:pt idx="1484">
                  <c:v>49419</c:v>
                </c:pt>
                <c:pt idx="1485">
                  <c:v>49426</c:v>
                </c:pt>
                <c:pt idx="1486">
                  <c:v>49433</c:v>
                </c:pt>
                <c:pt idx="1487">
                  <c:v>49440</c:v>
                </c:pt>
                <c:pt idx="1488">
                  <c:v>49447</c:v>
                </c:pt>
                <c:pt idx="1489">
                  <c:v>49454</c:v>
                </c:pt>
                <c:pt idx="1490">
                  <c:v>49461</c:v>
                </c:pt>
                <c:pt idx="1491">
                  <c:v>49468</c:v>
                </c:pt>
                <c:pt idx="1492">
                  <c:v>49475</c:v>
                </c:pt>
                <c:pt idx="1493">
                  <c:v>49482</c:v>
                </c:pt>
                <c:pt idx="1494">
                  <c:v>49489</c:v>
                </c:pt>
                <c:pt idx="1495">
                  <c:v>49496</c:v>
                </c:pt>
                <c:pt idx="1496">
                  <c:v>49503</c:v>
                </c:pt>
                <c:pt idx="1497">
                  <c:v>49510</c:v>
                </c:pt>
                <c:pt idx="1498">
                  <c:v>49517</c:v>
                </c:pt>
                <c:pt idx="1499">
                  <c:v>49524</c:v>
                </c:pt>
                <c:pt idx="1500">
                  <c:v>49531</c:v>
                </c:pt>
                <c:pt idx="1501">
                  <c:v>49538</c:v>
                </c:pt>
                <c:pt idx="1502">
                  <c:v>49545</c:v>
                </c:pt>
                <c:pt idx="1503">
                  <c:v>49552</c:v>
                </c:pt>
                <c:pt idx="1504">
                  <c:v>49559</c:v>
                </c:pt>
                <c:pt idx="1505">
                  <c:v>49566</c:v>
                </c:pt>
                <c:pt idx="1506">
                  <c:v>49573</c:v>
                </c:pt>
                <c:pt idx="1507">
                  <c:v>49580</c:v>
                </c:pt>
                <c:pt idx="1508">
                  <c:v>49587</c:v>
                </c:pt>
                <c:pt idx="1509">
                  <c:v>49594</c:v>
                </c:pt>
                <c:pt idx="1510">
                  <c:v>49601</c:v>
                </c:pt>
                <c:pt idx="1511">
                  <c:v>49608</c:v>
                </c:pt>
                <c:pt idx="1512">
                  <c:v>49615</c:v>
                </c:pt>
                <c:pt idx="1513">
                  <c:v>49622</c:v>
                </c:pt>
                <c:pt idx="1514">
                  <c:v>49629</c:v>
                </c:pt>
                <c:pt idx="1515">
                  <c:v>49636</c:v>
                </c:pt>
                <c:pt idx="1516">
                  <c:v>49643</c:v>
                </c:pt>
                <c:pt idx="1517">
                  <c:v>49650</c:v>
                </c:pt>
                <c:pt idx="1518">
                  <c:v>49657</c:v>
                </c:pt>
                <c:pt idx="1519">
                  <c:v>49664</c:v>
                </c:pt>
                <c:pt idx="1520">
                  <c:v>49674</c:v>
                </c:pt>
                <c:pt idx="1521">
                  <c:v>49681</c:v>
                </c:pt>
                <c:pt idx="1522">
                  <c:v>49688</c:v>
                </c:pt>
                <c:pt idx="1523">
                  <c:v>49695</c:v>
                </c:pt>
                <c:pt idx="1524">
                  <c:v>49702</c:v>
                </c:pt>
                <c:pt idx="1525">
                  <c:v>49709</c:v>
                </c:pt>
                <c:pt idx="1526">
                  <c:v>49716</c:v>
                </c:pt>
                <c:pt idx="1527">
                  <c:v>49723</c:v>
                </c:pt>
                <c:pt idx="1528">
                  <c:v>49730</c:v>
                </c:pt>
                <c:pt idx="1529">
                  <c:v>49737</c:v>
                </c:pt>
                <c:pt idx="1530">
                  <c:v>49744</c:v>
                </c:pt>
                <c:pt idx="1531">
                  <c:v>49751</c:v>
                </c:pt>
                <c:pt idx="1532">
                  <c:v>49758</c:v>
                </c:pt>
                <c:pt idx="1533">
                  <c:v>49765</c:v>
                </c:pt>
                <c:pt idx="1534">
                  <c:v>49772</c:v>
                </c:pt>
                <c:pt idx="1535">
                  <c:v>49781</c:v>
                </c:pt>
                <c:pt idx="1536">
                  <c:v>49786</c:v>
                </c:pt>
                <c:pt idx="1537">
                  <c:v>49793</c:v>
                </c:pt>
                <c:pt idx="1538">
                  <c:v>49801</c:v>
                </c:pt>
                <c:pt idx="1539">
                  <c:v>49808</c:v>
                </c:pt>
                <c:pt idx="1540">
                  <c:v>49815</c:v>
                </c:pt>
                <c:pt idx="1541">
                  <c:v>49822</c:v>
                </c:pt>
                <c:pt idx="1542">
                  <c:v>49829</c:v>
                </c:pt>
                <c:pt idx="1543">
                  <c:v>49836</c:v>
                </c:pt>
                <c:pt idx="1544">
                  <c:v>49843</c:v>
                </c:pt>
                <c:pt idx="1545">
                  <c:v>49850</c:v>
                </c:pt>
                <c:pt idx="1546">
                  <c:v>49857</c:v>
                </c:pt>
                <c:pt idx="1547">
                  <c:v>49864</c:v>
                </c:pt>
                <c:pt idx="1548">
                  <c:v>49871</c:v>
                </c:pt>
                <c:pt idx="1549">
                  <c:v>49878</c:v>
                </c:pt>
                <c:pt idx="1550">
                  <c:v>49885</c:v>
                </c:pt>
                <c:pt idx="1551">
                  <c:v>49892</c:v>
                </c:pt>
                <c:pt idx="1552">
                  <c:v>49899</c:v>
                </c:pt>
                <c:pt idx="1553">
                  <c:v>49906</c:v>
                </c:pt>
                <c:pt idx="1554">
                  <c:v>49913</c:v>
                </c:pt>
                <c:pt idx="1555">
                  <c:v>49920</c:v>
                </c:pt>
                <c:pt idx="1556">
                  <c:v>49927</c:v>
                </c:pt>
                <c:pt idx="1557">
                  <c:v>49934</c:v>
                </c:pt>
                <c:pt idx="1558">
                  <c:v>49941</c:v>
                </c:pt>
                <c:pt idx="1559">
                  <c:v>49948</c:v>
                </c:pt>
                <c:pt idx="1560">
                  <c:v>49955</c:v>
                </c:pt>
                <c:pt idx="1561">
                  <c:v>49962</c:v>
                </c:pt>
                <c:pt idx="1562">
                  <c:v>49969</c:v>
                </c:pt>
                <c:pt idx="1563">
                  <c:v>49976</c:v>
                </c:pt>
                <c:pt idx="1564">
                  <c:v>49983</c:v>
                </c:pt>
                <c:pt idx="1565">
                  <c:v>49990</c:v>
                </c:pt>
                <c:pt idx="1566">
                  <c:v>49997</c:v>
                </c:pt>
                <c:pt idx="1567">
                  <c:v>50004</c:v>
                </c:pt>
                <c:pt idx="1568">
                  <c:v>50011</c:v>
                </c:pt>
                <c:pt idx="1569">
                  <c:v>50018</c:v>
                </c:pt>
                <c:pt idx="1570">
                  <c:v>50025</c:v>
                </c:pt>
                <c:pt idx="1571">
                  <c:v>50032</c:v>
                </c:pt>
                <c:pt idx="1572">
                  <c:v>50040</c:v>
                </c:pt>
                <c:pt idx="1573">
                  <c:v>50047</c:v>
                </c:pt>
                <c:pt idx="1574">
                  <c:v>50054</c:v>
                </c:pt>
                <c:pt idx="1575">
                  <c:v>50061</c:v>
                </c:pt>
                <c:pt idx="1576">
                  <c:v>50068</c:v>
                </c:pt>
                <c:pt idx="1577">
                  <c:v>50075</c:v>
                </c:pt>
                <c:pt idx="1578">
                  <c:v>50082</c:v>
                </c:pt>
                <c:pt idx="1579">
                  <c:v>50089</c:v>
                </c:pt>
                <c:pt idx="1580">
                  <c:v>50096</c:v>
                </c:pt>
                <c:pt idx="1581">
                  <c:v>50103</c:v>
                </c:pt>
                <c:pt idx="1582">
                  <c:v>50110</c:v>
                </c:pt>
                <c:pt idx="1583">
                  <c:v>50117</c:v>
                </c:pt>
                <c:pt idx="1584">
                  <c:v>50124</c:v>
                </c:pt>
                <c:pt idx="1585">
                  <c:v>50131</c:v>
                </c:pt>
                <c:pt idx="1586">
                  <c:v>50139</c:v>
                </c:pt>
                <c:pt idx="1587">
                  <c:v>50146</c:v>
                </c:pt>
                <c:pt idx="1588">
                  <c:v>50153</c:v>
                </c:pt>
                <c:pt idx="1589">
                  <c:v>50160</c:v>
                </c:pt>
                <c:pt idx="1590">
                  <c:v>50167</c:v>
                </c:pt>
                <c:pt idx="1591">
                  <c:v>50174</c:v>
                </c:pt>
                <c:pt idx="1592">
                  <c:v>50181</c:v>
                </c:pt>
                <c:pt idx="1593">
                  <c:v>50188</c:v>
                </c:pt>
                <c:pt idx="1594">
                  <c:v>50195</c:v>
                </c:pt>
                <c:pt idx="1595">
                  <c:v>50202</c:v>
                </c:pt>
                <c:pt idx="1596">
                  <c:v>50209</c:v>
                </c:pt>
                <c:pt idx="1597">
                  <c:v>50216</c:v>
                </c:pt>
                <c:pt idx="1598">
                  <c:v>50223</c:v>
                </c:pt>
                <c:pt idx="1599">
                  <c:v>50230</c:v>
                </c:pt>
                <c:pt idx="1600">
                  <c:v>50237</c:v>
                </c:pt>
                <c:pt idx="1601">
                  <c:v>50244</c:v>
                </c:pt>
                <c:pt idx="1602">
                  <c:v>50251</c:v>
                </c:pt>
                <c:pt idx="1603">
                  <c:v>50258</c:v>
                </c:pt>
                <c:pt idx="1604">
                  <c:v>50265</c:v>
                </c:pt>
                <c:pt idx="1605">
                  <c:v>50272</c:v>
                </c:pt>
                <c:pt idx="1606">
                  <c:v>50279</c:v>
                </c:pt>
                <c:pt idx="1607">
                  <c:v>50286</c:v>
                </c:pt>
                <c:pt idx="1608">
                  <c:v>50293</c:v>
                </c:pt>
                <c:pt idx="1609">
                  <c:v>50300</c:v>
                </c:pt>
                <c:pt idx="1610">
                  <c:v>50307</c:v>
                </c:pt>
                <c:pt idx="1611">
                  <c:v>50314</c:v>
                </c:pt>
                <c:pt idx="1612">
                  <c:v>50321</c:v>
                </c:pt>
                <c:pt idx="1613">
                  <c:v>50328</c:v>
                </c:pt>
                <c:pt idx="1614">
                  <c:v>50335</c:v>
                </c:pt>
                <c:pt idx="1615">
                  <c:v>50342</c:v>
                </c:pt>
                <c:pt idx="1616">
                  <c:v>50349</c:v>
                </c:pt>
                <c:pt idx="1617">
                  <c:v>50356</c:v>
                </c:pt>
                <c:pt idx="1618">
                  <c:v>50363</c:v>
                </c:pt>
                <c:pt idx="1619">
                  <c:v>50370</c:v>
                </c:pt>
                <c:pt idx="1620">
                  <c:v>50377</c:v>
                </c:pt>
                <c:pt idx="1621">
                  <c:v>50384</c:v>
                </c:pt>
                <c:pt idx="1622">
                  <c:v>50391</c:v>
                </c:pt>
                <c:pt idx="1623">
                  <c:v>50398</c:v>
                </c:pt>
                <c:pt idx="1624">
                  <c:v>50405</c:v>
                </c:pt>
                <c:pt idx="1625">
                  <c:v>50412</c:v>
                </c:pt>
                <c:pt idx="1626">
                  <c:v>50419</c:v>
                </c:pt>
                <c:pt idx="1627">
                  <c:v>50426</c:v>
                </c:pt>
                <c:pt idx="1628">
                  <c:v>50433</c:v>
                </c:pt>
                <c:pt idx="1629">
                  <c:v>50440</c:v>
                </c:pt>
                <c:pt idx="1630">
                  <c:v>50447</c:v>
                </c:pt>
                <c:pt idx="1631">
                  <c:v>50454</c:v>
                </c:pt>
                <c:pt idx="1632">
                  <c:v>50461</c:v>
                </c:pt>
                <c:pt idx="1633">
                  <c:v>50468</c:v>
                </c:pt>
                <c:pt idx="1634">
                  <c:v>50475</c:v>
                </c:pt>
                <c:pt idx="1635">
                  <c:v>50482</c:v>
                </c:pt>
                <c:pt idx="1636">
                  <c:v>50489</c:v>
                </c:pt>
                <c:pt idx="1637">
                  <c:v>50496</c:v>
                </c:pt>
                <c:pt idx="1638">
                  <c:v>50503</c:v>
                </c:pt>
                <c:pt idx="1639">
                  <c:v>50510</c:v>
                </c:pt>
                <c:pt idx="1640">
                  <c:v>50517</c:v>
                </c:pt>
                <c:pt idx="1641">
                  <c:v>50524</c:v>
                </c:pt>
                <c:pt idx="1642">
                  <c:v>50531</c:v>
                </c:pt>
                <c:pt idx="1643">
                  <c:v>50538</c:v>
                </c:pt>
                <c:pt idx="1644">
                  <c:v>50545</c:v>
                </c:pt>
                <c:pt idx="1645">
                  <c:v>50552</c:v>
                </c:pt>
                <c:pt idx="1646">
                  <c:v>50559</c:v>
                </c:pt>
                <c:pt idx="1647">
                  <c:v>50566</c:v>
                </c:pt>
                <c:pt idx="1648">
                  <c:v>50573</c:v>
                </c:pt>
                <c:pt idx="1649">
                  <c:v>50580</c:v>
                </c:pt>
                <c:pt idx="1650">
                  <c:v>50587</c:v>
                </c:pt>
                <c:pt idx="1651">
                  <c:v>50594</c:v>
                </c:pt>
                <c:pt idx="1652">
                  <c:v>50601</c:v>
                </c:pt>
                <c:pt idx="1653">
                  <c:v>50608</c:v>
                </c:pt>
                <c:pt idx="1654">
                  <c:v>50615</c:v>
                </c:pt>
                <c:pt idx="1655">
                  <c:v>50622</c:v>
                </c:pt>
                <c:pt idx="1656">
                  <c:v>50629</c:v>
                </c:pt>
                <c:pt idx="1657">
                  <c:v>50636</c:v>
                </c:pt>
                <c:pt idx="1658">
                  <c:v>50643</c:v>
                </c:pt>
                <c:pt idx="1659">
                  <c:v>50650</c:v>
                </c:pt>
                <c:pt idx="1660">
                  <c:v>50657</c:v>
                </c:pt>
                <c:pt idx="1661">
                  <c:v>50664</c:v>
                </c:pt>
                <c:pt idx="1662">
                  <c:v>50671</c:v>
                </c:pt>
                <c:pt idx="1663">
                  <c:v>50678</c:v>
                </c:pt>
                <c:pt idx="1664">
                  <c:v>50685</c:v>
                </c:pt>
                <c:pt idx="1665">
                  <c:v>50692</c:v>
                </c:pt>
                <c:pt idx="1666">
                  <c:v>50699</c:v>
                </c:pt>
                <c:pt idx="1667">
                  <c:v>50706</c:v>
                </c:pt>
                <c:pt idx="1668">
                  <c:v>50713</c:v>
                </c:pt>
                <c:pt idx="1669">
                  <c:v>50720</c:v>
                </c:pt>
                <c:pt idx="1670">
                  <c:v>50727</c:v>
                </c:pt>
                <c:pt idx="1671">
                  <c:v>50734</c:v>
                </c:pt>
                <c:pt idx="1672">
                  <c:v>50741</c:v>
                </c:pt>
                <c:pt idx="1673">
                  <c:v>50748</c:v>
                </c:pt>
                <c:pt idx="1674">
                  <c:v>50755</c:v>
                </c:pt>
                <c:pt idx="1675">
                  <c:v>50762</c:v>
                </c:pt>
                <c:pt idx="1676">
                  <c:v>50769</c:v>
                </c:pt>
                <c:pt idx="1677">
                  <c:v>50776</c:v>
                </c:pt>
                <c:pt idx="1678">
                  <c:v>50783</c:v>
                </c:pt>
                <c:pt idx="1679">
                  <c:v>50790</c:v>
                </c:pt>
                <c:pt idx="1680">
                  <c:v>50797</c:v>
                </c:pt>
                <c:pt idx="1681">
                  <c:v>50804</c:v>
                </c:pt>
                <c:pt idx="1682">
                  <c:v>50811</c:v>
                </c:pt>
                <c:pt idx="1683">
                  <c:v>50818</c:v>
                </c:pt>
                <c:pt idx="1684">
                  <c:v>50825</c:v>
                </c:pt>
                <c:pt idx="1685">
                  <c:v>50832</c:v>
                </c:pt>
                <c:pt idx="1686">
                  <c:v>50839</c:v>
                </c:pt>
                <c:pt idx="1687">
                  <c:v>50846</c:v>
                </c:pt>
                <c:pt idx="1688">
                  <c:v>50853</c:v>
                </c:pt>
                <c:pt idx="1689">
                  <c:v>50860</c:v>
                </c:pt>
                <c:pt idx="1690">
                  <c:v>50867</c:v>
                </c:pt>
                <c:pt idx="1691">
                  <c:v>50874</c:v>
                </c:pt>
                <c:pt idx="1692">
                  <c:v>50881</c:v>
                </c:pt>
                <c:pt idx="1693">
                  <c:v>50888</c:v>
                </c:pt>
                <c:pt idx="1694">
                  <c:v>50895</c:v>
                </c:pt>
                <c:pt idx="1695">
                  <c:v>50902</c:v>
                </c:pt>
                <c:pt idx="1696">
                  <c:v>50909</c:v>
                </c:pt>
                <c:pt idx="1697">
                  <c:v>50916</c:v>
                </c:pt>
                <c:pt idx="1698">
                  <c:v>50923</c:v>
                </c:pt>
                <c:pt idx="1699">
                  <c:v>50930</c:v>
                </c:pt>
                <c:pt idx="1700">
                  <c:v>50937</c:v>
                </c:pt>
                <c:pt idx="1701">
                  <c:v>50944</c:v>
                </c:pt>
                <c:pt idx="1702">
                  <c:v>50951</c:v>
                </c:pt>
                <c:pt idx="1703">
                  <c:v>50958</c:v>
                </c:pt>
                <c:pt idx="1704">
                  <c:v>50965</c:v>
                </c:pt>
                <c:pt idx="1705">
                  <c:v>50972</c:v>
                </c:pt>
                <c:pt idx="1706">
                  <c:v>50979</c:v>
                </c:pt>
                <c:pt idx="1707">
                  <c:v>50986</c:v>
                </c:pt>
                <c:pt idx="1708">
                  <c:v>50993</c:v>
                </c:pt>
                <c:pt idx="1709">
                  <c:v>51000</c:v>
                </c:pt>
                <c:pt idx="1710">
                  <c:v>51007</c:v>
                </c:pt>
                <c:pt idx="1711">
                  <c:v>51014</c:v>
                </c:pt>
                <c:pt idx="1712">
                  <c:v>51021</c:v>
                </c:pt>
                <c:pt idx="1713">
                  <c:v>51028</c:v>
                </c:pt>
                <c:pt idx="1714">
                  <c:v>51035</c:v>
                </c:pt>
                <c:pt idx="1715">
                  <c:v>51042</c:v>
                </c:pt>
                <c:pt idx="1716">
                  <c:v>51049</c:v>
                </c:pt>
                <c:pt idx="1717">
                  <c:v>51056</c:v>
                </c:pt>
                <c:pt idx="1718">
                  <c:v>51063</c:v>
                </c:pt>
                <c:pt idx="1719">
                  <c:v>51070</c:v>
                </c:pt>
                <c:pt idx="1720">
                  <c:v>51077</c:v>
                </c:pt>
                <c:pt idx="1721">
                  <c:v>51084</c:v>
                </c:pt>
                <c:pt idx="1722">
                  <c:v>51091</c:v>
                </c:pt>
                <c:pt idx="1723">
                  <c:v>51098</c:v>
                </c:pt>
                <c:pt idx="1724">
                  <c:v>51105</c:v>
                </c:pt>
                <c:pt idx="1725">
                  <c:v>51112</c:v>
                </c:pt>
                <c:pt idx="1726">
                  <c:v>51119</c:v>
                </c:pt>
                <c:pt idx="1727">
                  <c:v>51126</c:v>
                </c:pt>
                <c:pt idx="1728">
                  <c:v>51133</c:v>
                </c:pt>
                <c:pt idx="1729">
                  <c:v>51140</c:v>
                </c:pt>
                <c:pt idx="1730">
                  <c:v>51147</c:v>
                </c:pt>
                <c:pt idx="1731">
                  <c:v>51154</c:v>
                </c:pt>
                <c:pt idx="1732">
                  <c:v>51161</c:v>
                </c:pt>
                <c:pt idx="1733">
                  <c:v>51168</c:v>
                </c:pt>
                <c:pt idx="1734">
                  <c:v>51175</c:v>
                </c:pt>
                <c:pt idx="1735">
                  <c:v>51182</c:v>
                </c:pt>
                <c:pt idx="1736">
                  <c:v>51189</c:v>
                </c:pt>
                <c:pt idx="1737">
                  <c:v>51196</c:v>
                </c:pt>
                <c:pt idx="1738">
                  <c:v>51203</c:v>
                </c:pt>
                <c:pt idx="1739">
                  <c:v>51210</c:v>
                </c:pt>
                <c:pt idx="1740">
                  <c:v>51217</c:v>
                </c:pt>
                <c:pt idx="1741">
                  <c:v>51224</c:v>
                </c:pt>
                <c:pt idx="1742">
                  <c:v>51231</c:v>
                </c:pt>
                <c:pt idx="1743">
                  <c:v>51238</c:v>
                </c:pt>
                <c:pt idx="1744">
                  <c:v>51245</c:v>
                </c:pt>
                <c:pt idx="1745">
                  <c:v>51252</c:v>
                </c:pt>
                <c:pt idx="1746">
                  <c:v>51260</c:v>
                </c:pt>
                <c:pt idx="1747">
                  <c:v>51267</c:v>
                </c:pt>
                <c:pt idx="1748">
                  <c:v>51274</c:v>
                </c:pt>
                <c:pt idx="1749">
                  <c:v>51281</c:v>
                </c:pt>
                <c:pt idx="1750">
                  <c:v>51288</c:v>
                </c:pt>
                <c:pt idx="1751">
                  <c:v>51295</c:v>
                </c:pt>
                <c:pt idx="1752">
                  <c:v>51302</c:v>
                </c:pt>
                <c:pt idx="1753">
                  <c:v>51309</c:v>
                </c:pt>
                <c:pt idx="1754">
                  <c:v>51316</c:v>
                </c:pt>
                <c:pt idx="1755">
                  <c:v>51323</c:v>
                </c:pt>
                <c:pt idx="1756">
                  <c:v>51330</c:v>
                </c:pt>
                <c:pt idx="1757">
                  <c:v>51337</c:v>
                </c:pt>
                <c:pt idx="1758">
                  <c:v>51344</c:v>
                </c:pt>
                <c:pt idx="1759">
                  <c:v>51351</c:v>
                </c:pt>
                <c:pt idx="1760">
                  <c:v>51358</c:v>
                </c:pt>
                <c:pt idx="1761">
                  <c:v>51365</c:v>
                </c:pt>
                <c:pt idx="1762">
                  <c:v>51372</c:v>
                </c:pt>
                <c:pt idx="1763">
                  <c:v>51379</c:v>
                </c:pt>
                <c:pt idx="1764">
                  <c:v>51386</c:v>
                </c:pt>
                <c:pt idx="1765">
                  <c:v>51393</c:v>
                </c:pt>
                <c:pt idx="1766">
                  <c:v>51400</c:v>
                </c:pt>
                <c:pt idx="1767">
                  <c:v>51407</c:v>
                </c:pt>
                <c:pt idx="1768">
                  <c:v>51414</c:v>
                </c:pt>
                <c:pt idx="1769">
                  <c:v>51421</c:v>
                </c:pt>
                <c:pt idx="1770">
                  <c:v>51428</c:v>
                </c:pt>
                <c:pt idx="1771">
                  <c:v>51435</c:v>
                </c:pt>
                <c:pt idx="1772">
                  <c:v>51442</c:v>
                </c:pt>
                <c:pt idx="1773">
                  <c:v>51449</c:v>
                </c:pt>
                <c:pt idx="1774">
                  <c:v>51456</c:v>
                </c:pt>
                <c:pt idx="1775">
                  <c:v>51463</c:v>
                </c:pt>
                <c:pt idx="1776">
                  <c:v>51470</c:v>
                </c:pt>
                <c:pt idx="1777">
                  <c:v>51477</c:v>
                </c:pt>
                <c:pt idx="1778">
                  <c:v>51484</c:v>
                </c:pt>
                <c:pt idx="1779">
                  <c:v>51491</c:v>
                </c:pt>
                <c:pt idx="1780">
                  <c:v>51501</c:v>
                </c:pt>
                <c:pt idx="1781">
                  <c:v>51508</c:v>
                </c:pt>
                <c:pt idx="1782">
                  <c:v>51515</c:v>
                </c:pt>
                <c:pt idx="1783">
                  <c:v>51522</c:v>
                </c:pt>
                <c:pt idx="1784">
                  <c:v>51529</c:v>
                </c:pt>
                <c:pt idx="1785">
                  <c:v>51536</c:v>
                </c:pt>
                <c:pt idx="1786">
                  <c:v>51543</c:v>
                </c:pt>
                <c:pt idx="1787">
                  <c:v>51550</c:v>
                </c:pt>
                <c:pt idx="1788">
                  <c:v>51557</c:v>
                </c:pt>
                <c:pt idx="1789">
                  <c:v>51564</c:v>
                </c:pt>
                <c:pt idx="1790">
                  <c:v>51571</c:v>
                </c:pt>
                <c:pt idx="1791">
                  <c:v>51578</c:v>
                </c:pt>
                <c:pt idx="1792">
                  <c:v>51585</c:v>
                </c:pt>
                <c:pt idx="1793">
                  <c:v>51592</c:v>
                </c:pt>
                <c:pt idx="1794">
                  <c:v>51599</c:v>
                </c:pt>
                <c:pt idx="1795">
                  <c:v>51606</c:v>
                </c:pt>
                <c:pt idx="1796">
                  <c:v>51615</c:v>
                </c:pt>
                <c:pt idx="1797">
                  <c:v>51620</c:v>
                </c:pt>
                <c:pt idx="1798">
                  <c:v>51627</c:v>
                </c:pt>
                <c:pt idx="1799">
                  <c:v>51634</c:v>
                </c:pt>
                <c:pt idx="1800">
                  <c:v>51641</c:v>
                </c:pt>
                <c:pt idx="1801">
                  <c:v>51648</c:v>
                </c:pt>
                <c:pt idx="1802">
                  <c:v>51655</c:v>
                </c:pt>
                <c:pt idx="1803">
                  <c:v>51662</c:v>
                </c:pt>
                <c:pt idx="1804">
                  <c:v>51669</c:v>
                </c:pt>
                <c:pt idx="1805">
                  <c:v>51676</c:v>
                </c:pt>
                <c:pt idx="1806">
                  <c:v>51683</c:v>
                </c:pt>
                <c:pt idx="1807">
                  <c:v>51690</c:v>
                </c:pt>
                <c:pt idx="1808">
                  <c:v>51697</c:v>
                </c:pt>
                <c:pt idx="1809">
                  <c:v>51704</c:v>
                </c:pt>
                <c:pt idx="1810">
                  <c:v>51711</c:v>
                </c:pt>
                <c:pt idx="1811">
                  <c:v>51718</c:v>
                </c:pt>
                <c:pt idx="1812">
                  <c:v>51725</c:v>
                </c:pt>
                <c:pt idx="1813">
                  <c:v>51732</c:v>
                </c:pt>
                <c:pt idx="1814">
                  <c:v>51739</c:v>
                </c:pt>
                <c:pt idx="1815">
                  <c:v>51746</c:v>
                </c:pt>
                <c:pt idx="1816">
                  <c:v>51753</c:v>
                </c:pt>
                <c:pt idx="1817">
                  <c:v>51760</c:v>
                </c:pt>
                <c:pt idx="1818">
                  <c:v>51767</c:v>
                </c:pt>
                <c:pt idx="1819">
                  <c:v>51774</c:v>
                </c:pt>
                <c:pt idx="1820">
                  <c:v>51781</c:v>
                </c:pt>
                <c:pt idx="1821">
                  <c:v>51788</c:v>
                </c:pt>
                <c:pt idx="1822">
                  <c:v>51795</c:v>
                </c:pt>
                <c:pt idx="1823">
                  <c:v>51802</c:v>
                </c:pt>
                <c:pt idx="1824">
                  <c:v>51809</c:v>
                </c:pt>
                <c:pt idx="1825">
                  <c:v>51816</c:v>
                </c:pt>
                <c:pt idx="1826">
                  <c:v>51823</c:v>
                </c:pt>
                <c:pt idx="1827">
                  <c:v>51830</c:v>
                </c:pt>
                <c:pt idx="1828">
                  <c:v>51837</c:v>
                </c:pt>
                <c:pt idx="1829">
                  <c:v>51844</c:v>
                </c:pt>
                <c:pt idx="1830">
                  <c:v>51851</c:v>
                </c:pt>
                <c:pt idx="1831">
                  <c:v>51858</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51966</c:v>
                </c:pt>
                <c:pt idx="1847">
                  <c:v>51973</c:v>
                </c:pt>
                <c:pt idx="1848">
                  <c:v>51980</c:v>
                </c:pt>
                <c:pt idx="1849">
                  <c:v>51988</c:v>
                </c:pt>
                <c:pt idx="1850">
                  <c:v>51994</c:v>
                </c:pt>
                <c:pt idx="1851">
                  <c:v>52001</c:v>
                </c:pt>
                <c:pt idx="1852">
                  <c:v>52008</c:v>
                </c:pt>
                <c:pt idx="1853">
                  <c:v>52015</c:v>
                </c:pt>
                <c:pt idx="1854">
                  <c:v>52022</c:v>
                </c:pt>
                <c:pt idx="1855">
                  <c:v>52029</c:v>
                </c:pt>
                <c:pt idx="1856">
                  <c:v>52036</c:v>
                </c:pt>
                <c:pt idx="1857">
                  <c:v>52043</c:v>
                </c:pt>
                <c:pt idx="1858">
                  <c:v>52050</c:v>
                </c:pt>
                <c:pt idx="1859">
                  <c:v>52057</c:v>
                </c:pt>
                <c:pt idx="1860">
                  <c:v>52064</c:v>
                </c:pt>
                <c:pt idx="1861">
                  <c:v>52071</c:v>
                </c:pt>
                <c:pt idx="1862">
                  <c:v>52078</c:v>
                </c:pt>
                <c:pt idx="1863">
                  <c:v>52085</c:v>
                </c:pt>
                <c:pt idx="1864">
                  <c:v>52092</c:v>
                </c:pt>
                <c:pt idx="1865">
                  <c:v>52099</c:v>
                </c:pt>
                <c:pt idx="1866">
                  <c:v>52106</c:v>
                </c:pt>
                <c:pt idx="1867">
                  <c:v>52113</c:v>
                </c:pt>
                <c:pt idx="1868">
                  <c:v>52120</c:v>
                </c:pt>
                <c:pt idx="1869">
                  <c:v>52127</c:v>
                </c:pt>
                <c:pt idx="1870">
                  <c:v>52134</c:v>
                </c:pt>
                <c:pt idx="1871">
                  <c:v>52141</c:v>
                </c:pt>
                <c:pt idx="1872">
                  <c:v>52148</c:v>
                </c:pt>
                <c:pt idx="1873">
                  <c:v>52155</c:v>
                </c:pt>
                <c:pt idx="1874">
                  <c:v>52162</c:v>
                </c:pt>
                <c:pt idx="1875">
                  <c:v>52169</c:v>
                </c:pt>
                <c:pt idx="1876">
                  <c:v>52176</c:v>
                </c:pt>
                <c:pt idx="1877">
                  <c:v>52183</c:v>
                </c:pt>
                <c:pt idx="1878">
                  <c:v>52190</c:v>
                </c:pt>
                <c:pt idx="1879">
                  <c:v>52197</c:v>
                </c:pt>
                <c:pt idx="1880">
                  <c:v>52204</c:v>
                </c:pt>
                <c:pt idx="1881">
                  <c:v>52211</c:v>
                </c:pt>
                <c:pt idx="1882">
                  <c:v>52218</c:v>
                </c:pt>
                <c:pt idx="1883">
                  <c:v>52229</c:v>
                </c:pt>
                <c:pt idx="1884">
                  <c:v>52233</c:v>
                </c:pt>
                <c:pt idx="1885">
                  <c:v>52239</c:v>
                </c:pt>
                <c:pt idx="1886">
                  <c:v>52246</c:v>
                </c:pt>
                <c:pt idx="1887">
                  <c:v>52253</c:v>
                </c:pt>
                <c:pt idx="1888">
                  <c:v>52260</c:v>
                </c:pt>
                <c:pt idx="1889">
                  <c:v>52267</c:v>
                </c:pt>
                <c:pt idx="1890">
                  <c:v>52274</c:v>
                </c:pt>
                <c:pt idx="1891">
                  <c:v>52281</c:v>
                </c:pt>
                <c:pt idx="1892">
                  <c:v>52288</c:v>
                </c:pt>
                <c:pt idx="1893">
                  <c:v>52295</c:v>
                </c:pt>
                <c:pt idx="1894">
                  <c:v>52302</c:v>
                </c:pt>
                <c:pt idx="1895">
                  <c:v>52309</c:v>
                </c:pt>
                <c:pt idx="1896">
                  <c:v>52316</c:v>
                </c:pt>
                <c:pt idx="1897">
                  <c:v>52323</c:v>
                </c:pt>
                <c:pt idx="1898">
                  <c:v>52330</c:v>
                </c:pt>
                <c:pt idx="1899">
                  <c:v>52337</c:v>
                </c:pt>
                <c:pt idx="1900">
                  <c:v>52344</c:v>
                </c:pt>
                <c:pt idx="1901">
                  <c:v>52351</c:v>
                </c:pt>
                <c:pt idx="1902">
                  <c:v>52358</c:v>
                </c:pt>
                <c:pt idx="1903">
                  <c:v>52365</c:v>
                </c:pt>
                <c:pt idx="1904">
                  <c:v>52372</c:v>
                </c:pt>
                <c:pt idx="1905">
                  <c:v>52379</c:v>
                </c:pt>
                <c:pt idx="1906">
                  <c:v>52386</c:v>
                </c:pt>
                <c:pt idx="1907">
                  <c:v>52393</c:v>
                </c:pt>
                <c:pt idx="1908">
                  <c:v>52400</c:v>
                </c:pt>
                <c:pt idx="1909">
                  <c:v>52407</c:v>
                </c:pt>
                <c:pt idx="1910">
                  <c:v>52414</c:v>
                </c:pt>
                <c:pt idx="1911">
                  <c:v>52421</c:v>
                </c:pt>
                <c:pt idx="1912">
                  <c:v>52428</c:v>
                </c:pt>
                <c:pt idx="1913">
                  <c:v>52435</c:v>
                </c:pt>
                <c:pt idx="1914">
                  <c:v>52442</c:v>
                </c:pt>
                <c:pt idx="1915">
                  <c:v>52449</c:v>
                </c:pt>
                <c:pt idx="1916">
                  <c:v>52456</c:v>
                </c:pt>
                <c:pt idx="1917">
                  <c:v>52463</c:v>
                </c:pt>
                <c:pt idx="1918">
                  <c:v>52470</c:v>
                </c:pt>
                <c:pt idx="1919">
                  <c:v>52477</c:v>
                </c:pt>
                <c:pt idx="1920">
                  <c:v>52484</c:v>
                </c:pt>
                <c:pt idx="1921">
                  <c:v>52491</c:v>
                </c:pt>
                <c:pt idx="1922">
                  <c:v>52498</c:v>
                </c:pt>
                <c:pt idx="1923">
                  <c:v>52505</c:v>
                </c:pt>
                <c:pt idx="1924">
                  <c:v>52512</c:v>
                </c:pt>
                <c:pt idx="1925">
                  <c:v>52519</c:v>
                </c:pt>
                <c:pt idx="1926">
                  <c:v>52526</c:v>
                </c:pt>
                <c:pt idx="1927">
                  <c:v>52533</c:v>
                </c:pt>
                <c:pt idx="1928">
                  <c:v>52540</c:v>
                </c:pt>
                <c:pt idx="1929">
                  <c:v>52547</c:v>
                </c:pt>
                <c:pt idx="1930">
                  <c:v>52554</c:v>
                </c:pt>
                <c:pt idx="1931">
                  <c:v>52561</c:v>
                </c:pt>
                <c:pt idx="1932">
                  <c:v>52568</c:v>
                </c:pt>
                <c:pt idx="1933">
                  <c:v>52575</c:v>
                </c:pt>
                <c:pt idx="1934">
                  <c:v>52582</c:v>
                </c:pt>
                <c:pt idx="1935">
                  <c:v>52589</c:v>
                </c:pt>
                <c:pt idx="1936">
                  <c:v>52596</c:v>
                </c:pt>
                <c:pt idx="1937">
                  <c:v>52603</c:v>
                </c:pt>
                <c:pt idx="1938">
                  <c:v>52610</c:v>
                </c:pt>
                <c:pt idx="1939">
                  <c:v>52617</c:v>
                </c:pt>
                <c:pt idx="1940">
                  <c:v>52624</c:v>
                </c:pt>
                <c:pt idx="1941">
                  <c:v>52631</c:v>
                </c:pt>
                <c:pt idx="1942">
                  <c:v>52638</c:v>
                </c:pt>
                <c:pt idx="1943">
                  <c:v>52645</c:v>
                </c:pt>
                <c:pt idx="1944">
                  <c:v>52652</c:v>
                </c:pt>
                <c:pt idx="1945">
                  <c:v>52659</c:v>
                </c:pt>
                <c:pt idx="1946">
                  <c:v>52666</c:v>
                </c:pt>
                <c:pt idx="1947">
                  <c:v>52673</c:v>
                </c:pt>
                <c:pt idx="1948">
                  <c:v>52680</c:v>
                </c:pt>
                <c:pt idx="1949">
                  <c:v>52687</c:v>
                </c:pt>
                <c:pt idx="1950">
                  <c:v>52694</c:v>
                </c:pt>
                <c:pt idx="1951">
                  <c:v>52701</c:v>
                </c:pt>
                <c:pt idx="1952">
                  <c:v>52708</c:v>
                </c:pt>
                <c:pt idx="1953">
                  <c:v>52715</c:v>
                </c:pt>
                <c:pt idx="1954">
                  <c:v>52722</c:v>
                </c:pt>
                <c:pt idx="1955">
                  <c:v>52729</c:v>
                </c:pt>
                <c:pt idx="1956">
                  <c:v>52736</c:v>
                </c:pt>
                <c:pt idx="1957">
                  <c:v>52743</c:v>
                </c:pt>
                <c:pt idx="1958">
                  <c:v>52750</c:v>
                </c:pt>
                <c:pt idx="1959">
                  <c:v>52757</c:v>
                </c:pt>
                <c:pt idx="1960">
                  <c:v>52764</c:v>
                </c:pt>
                <c:pt idx="1961">
                  <c:v>52771</c:v>
                </c:pt>
                <c:pt idx="1962">
                  <c:v>52778</c:v>
                </c:pt>
                <c:pt idx="1963">
                  <c:v>52785</c:v>
                </c:pt>
                <c:pt idx="1964">
                  <c:v>52792</c:v>
                </c:pt>
                <c:pt idx="1965">
                  <c:v>52799</c:v>
                </c:pt>
                <c:pt idx="1966">
                  <c:v>52806</c:v>
                </c:pt>
                <c:pt idx="1967">
                  <c:v>52813</c:v>
                </c:pt>
                <c:pt idx="1968">
                  <c:v>52820</c:v>
                </c:pt>
                <c:pt idx="1969">
                  <c:v>52827</c:v>
                </c:pt>
                <c:pt idx="1970">
                  <c:v>52834</c:v>
                </c:pt>
                <c:pt idx="1971">
                  <c:v>52841</c:v>
                </c:pt>
                <c:pt idx="1972">
                  <c:v>52848</c:v>
                </c:pt>
                <c:pt idx="1973">
                  <c:v>52855</c:v>
                </c:pt>
                <c:pt idx="1974">
                  <c:v>52862</c:v>
                </c:pt>
                <c:pt idx="1975">
                  <c:v>52869</c:v>
                </c:pt>
                <c:pt idx="1976">
                  <c:v>52876</c:v>
                </c:pt>
                <c:pt idx="1977">
                  <c:v>52883</c:v>
                </c:pt>
                <c:pt idx="1978">
                  <c:v>52890</c:v>
                </c:pt>
                <c:pt idx="1979">
                  <c:v>52897</c:v>
                </c:pt>
                <c:pt idx="1980">
                  <c:v>52904</c:v>
                </c:pt>
                <c:pt idx="1981">
                  <c:v>52911</c:v>
                </c:pt>
                <c:pt idx="1982">
                  <c:v>52918</c:v>
                </c:pt>
                <c:pt idx="1983">
                  <c:v>52925</c:v>
                </c:pt>
                <c:pt idx="1984">
                  <c:v>52932</c:v>
                </c:pt>
                <c:pt idx="1985">
                  <c:v>52939</c:v>
                </c:pt>
                <c:pt idx="1986">
                  <c:v>52946</c:v>
                </c:pt>
                <c:pt idx="1987">
                  <c:v>52953</c:v>
                </c:pt>
                <c:pt idx="1988">
                  <c:v>52960</c:v>
                </c:pt>
                <c:pt idx="1989">
                  <c:v>52967</c:v>
                </c:pt>
                <c:pt idx="1990">
                  <c:v>52974</c:v>
                </c:pt>
                <c:pt idx="1991">
                  <c:v>52981</c:v>
                </c:pt>
                <c:pt idx="1992">
                  <c:v>52988</c:v>
                </c:pt>
                <c:pt idx="1993">
                  <c:v>52995</c:v>
                </c:pt>
                <c:pt idx="1994">
                  <c:v>53002</c:v>
                </c:pt>
                <c:pt idx="1995">
                  <c:v>53009</c:v>
                </c:pt>
                <c:pt idx="1996">
                  <c:v>53016</c:v>
                </c:pt>
                <c:pt idx="1997">
                  <c:v>53023</c:v>
                </c:pt>
                <c:pt idx="1998">
                  <c:v>53030</c:v>
                </c:pt>
                <c:pt idx="1999">
                  <c:v>53037</c:v>
                </c:pt>
                <c:pt idx="2000">
                  <c:v>53044</c:v>
                </c:pt>
                <c:pt idx="2001">
                  <c:v>53051</c:v>
                </c:pt>
                <c:pt idx="2002">
                  <c:v>53058</c:v>
                </c:pt>
                <c:pt idx="2003">
                  <c:v>53065</c:v>
                </c:pt>
                <c:pt idx="2004">
                  <c:v>53072</c:v>
                </c:pt>
                <c:pt idx="2005">
                  <c:v>53079</c:v>
                </c:pt>
                <c:pt idx="2006">
                  <c:v>53086</c:v>
                </c:pt>
                <c:pt idx="2007">
                  <c:v>53093</c:v>
                </c:pt>
                <c:pt idx="2008">
                  <c:v>53100</c:v>
                </c:pt>
                <c:pt idx="2009">
                  <c:v>53107</c:v>
                </c:pt>
                <c:pt idx="2010">
                  <c:v>53114</c:v>
                </c:pt>
                <c:pt idx="2011">
                  <c:v>53121</c:v>
                </c:pt>
                <c:pt idx="2012">
                  <c:v>53128</c:v>
                </c:pt>
                <c:pt idx="2013">
                  <c:v>53135</c:v>
                </c:pt>
                <c:pt idx="2014">
                  <c:v>53142</c:v>
                </c:pt>
                <c:pt idx="2015">
                  <c:v>53149</c:v>
                </c:pt>
                <c:pt idx="2016">
                  <c:v>53156</c:v>
                </c:pt>
                <c:pt idx="2017">
                  <c:v>53163</c:v>
                </c:pt>
                <c:pt idx="2018">
                  <c:v>53170</c:v>
                </c:pt>
                <c:pt idx="2019">
                  <c:v>53177</c:v>
                </c:pt>
                <c:pt idx="2020">
                  <c:v>53184</c:v>
                </c:pt>
                <c:pt idx="2021">
                  <c:v>53191</c:v>
                </c:pt>
                <c:pt idx="2022">
                  <c:v>53198</c:v>
                </c:pt>
                <c:pt idx="2023">
                  <c:v>53205</c:v>
                </c:pt>
                <c:pt idx="2024">
                  <c:v>53212</c:v>
                </c:pt>
                <c:pt idx="2025">
                  <c:v>53219</c:v>
                </c:pt>
                <c:pt idx="2026">
                  <c:v>53226</c:v>
                </c:pt>
                <c:pt idx="2027">
                  <c:v>53233</c:v>
                </c:pt>
                <c:pt idx="2028">
                  <c:v>53240</c:v>
                </c:pt>
                <c:pt idx="2029">
                  <c:v>53247</c:v>
                </c:pt>
                <c:pt idx="2030">
                  <c:v>53254</c:v>
                </c:pt>
                <c:pt idx="2031">
                  <c:v>53261</c:v>
                </c:pt>
                <c:pt idx="2032">
                  <c:v>53268</c:v>
                </c:pt>
                <c:pt idx="2033">
                  <c:v>53275</c:v>
                </c:pt>
                <c:pt idx="2034">
                  <c:v>53282</c:v>
                </c:pt>
                <c:pt idx="2035">
                  <c:v>53289</c:v>
                </c:pt>
                <c:pt idx="2036">
                  <c:v>53296</c:v>
                </c:pt>
                <c:pt idx="2037">
                  <c:v>53303</c:v>
                </c:pt>
                <c:pt idx="2038">
                  <c:v>53310</c:v>
                </c:pt>
                <c:pt idx="2039">
                  <c:v>53317</c:v>
                </c:pt>
                <c:pt idx="2040">
                  <c:v>53325</c:v>
                </c:pt>
                <c:pt idx="2041">
                  <c:v>53332</c:v>
                </c:pt>
                <c:pt idx="2042">
                  <c:v>53339</c:v>
                </c:pt>
                <c:pt idx="2043">
                  <c:v>53346</c:v>
                </c:pt>
                <c:pt idx="2044">
                  <c:v>53353</c:v>
                </c:pt>
                <c:pt idx="2045">
                  <c:v>53360</c:v>
                </c:pt>
                <c:pt idx="2046">
                  <c:v>53367</c:v>
                </c:pt>
                <c:pt idx="2047">
                  <c:v>53374</c:v>
                </c:pt>
                <c:pt idx="2048">
                  <c:v>53381</c:v>
                </c:pt>
                <c:pt idx="2049">
                  <c:v>53388</c:v>
                </c:pt>
                <c:pt idx="2050">
                  <c:v>53395</c:v>
                </c:pt>
                <c:pt idx="2051">
                  <c:v>53402</c:v>
                </c:pt>
                <c:pt idx="2052">
                  <c:v>53413</c:v>
                </c:pt>
                <c:pt idx="2053">
                  <c:v>53416</c:v>
                </c:pt>
                <c:pt idx="2054">
                  <c:v>53423</c:v>
                </c:pt>
                <c:pt idx="2055">
                  <c:v>53430</c:v>
                </c:pt>
                <c:pt idx="2056">
                  <c:v>53437</c:v>
                </c:pt>
                <c:pt idx="2057">
                  <c:v>53444</c:v>
                </c:pt>
                <c:pt idx="2058">
                  <c:v>53451</c:v>
                </c:pt>
                <c:pt idx="2059">
                  <c:v>53458</c:v>
                </c:pt>
                <c:pt idx="2060">
                  <c:v>53465</c:v>
                </c:pt>
                <c:pt idx="2061">
                  <c:v>53472</c:v>
                </c:pt>
                <c:pt idx="2062">
                  <c:v>53479</c:v>
                </c:pt>
                <c:pt idx="2063">
                  <c:v>53486</c:v>
                </c:pt>
                <c:pt idx="2064">
                  <c:v>53493</c:v>
                </c:pt>
                <c:pt idx="2065">
                  <c:v>53500</c:v>
                </c:pt>
                <c:pt idx="2066">
                  <c:v>53507</c:v>
                </c:pt>
                <c:pt idx="2067">
                  <c:v>53514</c:v>
                </c:pt>
                <c:pt idx="2068">
                  <c:v>53521</c:v>
                </c:pt>
                <c:pt idx="2069">
                  <c:v>53528</c:v>
                </c:pt>
                <c:pt idx="2070">
                  <c:v>53535</c:v>
                </c:pt>
                <c:pt idx="2071">
                  <c:v>53542</c:v>
                </c:pt>
                <c:pt idx="2072">
                  <c:v>53549</c:v>
                </c:pt>
                <c:pt idx="2073">
                  <c:v>53556</c:v>
                </c:pt>
                <c:pt idx="2074">
                  <c:v>53563</c:v>
                </c:pt>
                <c:pt idx="2075">
                  <c:v>53570</c:v>
                </c:pt>
                <c:pt idx="2076">
                  <c:v>53577</c:v>
                </c:pt>
                <c:pt idx="2077">
                  <c:v>53584</c:v>
                </c:pt>
                <c:pt idx="2078">
                  <c:v>53591</c:v>
                </c:pt>
                <c:pt idx="2079">
                  <c:v>53598</c:v>
                </c:pt>
                <c:pt idx="2080">
                  <c:v>53605</c:v>
                </c:pt>
                <c:pt idx="2081">
                  <c:v>53612</c:v>
                </c:pt>
                <c:pt idx="2082">
                  <c:v>53619</c:v>
                </c:pt>
                <c:pt idx="2083">
                  <c:v>53626</c:v>
                </c:pt>
                <c:pt idx="2084">
                  <c:v>53633</c:v>
                </c:pt>
                <c:pt idx="2085">
                  <c:v>53640</c:v>
                </c:pt>
                <c:pt idx="2086">
                  <c:v>53647</c:v>
                </c:pt>
                <c:pt idx="2087">
                  <c:v>53654</c:v>
                </c:pt>
                <c:pt idx="2088">
                  <c:v>53661</c:v>
                </c:pt>
                <c:pt idx="2089">
                  <c:v>53668</c:v>
                </c:pt>
                <c:pt idx="2090">
                  <c:v>53675</c:v>
                </c:pt>
                <c:pt idx="2091">
                  <c:v>53682</c:v>
                </c:pt>
                <c:pt idx="2092">
                  <c:v>53692</c:v>
                </c:pt>
                <c:pt idx="2093">
                  <c:v>53699</c:v>
                </c:pt>
                <c:pt idx="2094">
                  <c:v>53706</c:v>
                </c:pt>
                <c:pt idx="2095">
                  <c:v>53713</c:v>
                </c:pt>
                <c:pt idx="2096">
                  <c:v>53720</c:v>
                </c:pt>
                <c:pt idx="2097">
                  <c:v>53727</c:v>
                </c:pt>
                <c:pt idx="2098">
                  <c:v>53734</c:v>
                </c:pt>
                <c:pt idx="2099">
                  <c:v>53741</c:v>
                </c:pt>
                <c:pt idx="2100">
                  <c:v>53748</c:v>
                </c:pt>
                <c:pt idx="2101">
                  <c:v>53755</c:v>
                </c:pt>
                <c:pt idx="2102">
                  <c:v>53762</c:v>
                </c:pt>
                <c:pt idx="2103">
                  <c:v>53769</c:v>
                </c:pt>
                <c:pt idx="2104">
                  <c:v>53776</c:v>
                </c:pt>
                <c:pt idx="2105">
                  <c:v>53783</c:v>
                </c:pt>
                <c:pt idx="2106">
                  <c:v>53790</c:v>
                </c:pt>
                <c:pt idx="2107">
                  <c:v>53799</c:v>
                </c:pt>
                <c:pt idx="2108">
                  <c:v>53804</c:v>
                </c:pt>
                <c:pt idx="2109">
                  <c:v>53811</c:v>
                </c:pt>
                <c:pt idx="2110">
                  <c:v>53818</c:v>
                </c:pt>
                <c:pt idx="2111">
                  <c:v>53825</c:v>
                </c:pt>
                <c:pt idx="2112">
                  <c:v>53832</c:v>
                </c:pt>
                <c:pt idx="2113">
                  <c:v>53839</c:v>
                </c:pt>
                <c:pt idx="2114">
                  <c:v>53846</c:v>
                </c:pt>
                <c:pt idx="2115">
                  <c:v>53853</c:v>
                </c:pt>
                <c:pt idx="2116">
                  <c:v>53860</c:v>
                </c:pt>
                <c:pt idx="2117">
                  <c:v>53867</c:v>
                </c:pt>
                <c:pt idx="2118">
                  <c:v>53874</c:v>
                </c:pt>
                <c:pt idx="2119">
                  <c:v>53881</c:v>
                </c:pt>
                <c:pt idx="2120">
                  <c:v>53888</c:v>
                </c:pt>
                <c:pt idx="2121">
                  <c:v>53895</c:v>
                </c:pt>
                <c:pt idx="2122">
                  <c:v>53902</c:v>
                </c:pt>
                <c:pt idx="2123">
                  <c:v>53909</c:v>
                </c:pt>
                <c:pt idx="2124">
                  <c:v>53916</c:v>
                </c:pt>
                <c:pt idx="2125">
                  <c:v>53923</c:v>
                </c:pt>
                <c:pt idx="2126">
                  <c:v>53930</c:v>
                </c:pt>
                <c:pt idx="2127">
                  <c:v>53937</c:v>
                </c:pt>
                <c:pt idx="2128">
                  <c:v>53944</c:v>
                </c:pt>
                <c:pt idx="2129">
                  <c:v>53951</c:v>
                </c:pt>
                <c:pt idx="2130">
                  <c:v>53958</c:v>
                </c:pt>
                <c:pt idx="2131">
                  <c:v>53965</c:v>
                </c:pt>
                <c:pt idx="2132">
                  <c:v>53972</c:v>
                </c:pt>
                <c:pt idx="2133">
                  <c:v>53979</c:v>
                </c:pt>
                <c:pt idx="2134">
                  <c:v>53986</c:v>
                </c:pt>
                <c:pt idx="2135">
                  <c:v>53993</c:v>
                </c:pt>
                <c:pt idx="2136">
                  <c:v>54000</c:v>
                </c:pt>
                <c:pt idx="2137">
                  <c:v>54007</c:v>
                </c:pt>
                <c:pt idx="2138">
                  <c:v>54014</c:v>
                </c:pt>
                <c:pt idx="2139">
                  <c:v>54021</c:v>
                </c:pt>
                <c:pt idx="2140">
                  <c:v>54028</c:v>
                </c:pt>
                <c:pt idx="2141">
                  <c:v>54035</c:v>
                </c:pt>
                <c:pt idx="2142">
                  <c:v>54042</c:v>
                </c:pt>
                <c:pt idx="2143">
                  <c:v>54049</c:v>
                </c:pt>
                <c:pt idx="2144">
                  <c:v>54057</c:v>
                </c:pt>
                <c:pt idx="2145">
                  <c:v>54064</c:v>
                </c:pt>
                <c:pt idx="2146">
                  <c:v>54071</c:v>
                </c:pt>
                <c:pt idx="2147">
                  <c:v>54078</c:v>
                </c:pt>
                <c:pt idx="2148">
                  <c:v>54085</c:v>
                </c:pt>
                <c:pt idx="2149">
                  <c:v>54092</c:v>
                </c:pt>
                <c:pt idx="2150">
                  <c:v>54099</c:v>
                </c:pt>
                <c:pt idx="2151">
                  <c:v>54106</c:v>
                </c:pt>
                <c:pt idx="2152">
                  <c:v>54113</c:v>
                </c:pt>
                <c:pt idx="2153">
                  <c:v>54120</c:v>
                </c:pt>
                <c:pt idx="2154">
                  <c:v>54127</c:v>
                </c:pt>
                <c:pt idx="2155">
                  <c:v>54134</c:v>
                </c:pt>
                <c:pt idx="2156">
                  <c:v>54141</c:v>
                </c:pt>
                <c:pt idx="2157">
                  <c:v>54148</c:v>
                </c:pt>
                <c:pt idx="2158">
                  <c:v>54157</c:v>
                </c:pt>
                <c:pt idx="2159">
                  <c:v>54164</c:v>
                </c:pt>
                <c:pt idx="2160">
                  <c:v>54171</c:v>
                </c:pt>
                <c:pt idx="2161">
                  <c:v>54178</c:v>
                </c:pt>
                <c:pt idx="2162">
                  <c:v>54185</c:v>
                </c:pt>
                <c:pt idx="2163">
                  <c:v>54192</c:v>
                </c:pt>
                <c:pt idx="2164">
                  <c:v>54199</c:v>
                </c:pt>
                <c:pt idx="2165">
                  <c:v>54206</c:v>
                </c:pt>
                <c:pt idx="2166">
                  <c:v>54213</c:v>
                </c:pt>
                <c:pt idx="2167">
                  <c:v>54220</c:v>
                </c:pt>
                <c:pt idx="2168">
                  <c:v>54227</c:v>
                </c:pt>
                <c:pt idx="2169">
                  <c:v>54234</c:v>
                </c:pt>
                <c:pt idx="2170">
                  <c:v>54241</c:v>
                </c:pt>
                <c:pt idx="2171">
                  <c:v>54248</c:v>
                </c:pt>
                <c:pt idx="2172">
                  <c:v>54255</c:v>
                </c:pt>
                <c:pt idx="2173">
                  <c:v>54262</c:v>
                </c:pt>
                <c:pt idx="2174">
                  <c:v>54269</c:v>
                </c:pt>
                <c:pt idx="2175">
                  <c:v>54276</c:v>
                </c:pt>
                <c:pt idx="2176">
                  <c:v>54283</c:v>
                </c:pt>
                <c:pt idx="2177">
                  <c:v>54290</c:v>
                </c:pt>
                <c:pt idx="2178">
                  <c:v>54297</c:v>
                </c:pt>
                <c:pt idx="2179">
                  <c:v>54304</c:v>
                </c:pt>
                <c:pt idx="2180">
                  <c:v>54311</c:v>
                </c:pt>
                <c:pt idx="2181">
                  <c:v>54318</c:v>
                </c:pt>
                <c:pt idx="2182">
                  <c:v>54325</c:v>
                </c:pt>
                <c:pt idx="2183">
                  <c:v>54332</c:v>
                </c:pt>
                <c:pt idx="2184">
                  <c:v>54339</c:v>
                </c:pt>
                <c:pt idx="2185">
                  <c:v>54346</c:v>
                </c:pt>
                <c:pt idx="2186">
                  <c:v>54353</c:v>
                </c:pt>
                <c:pt idx="2187">
                  <c:v>54360</c:v>
                </c:pt>
                <c:pt idx="2188">
                  <c:v>54367</c:v>
                </c:pt>
                <c:pt idx="2189">
                  <c:v>54374</c:v>
                </c:pt>
                <c:pt idx="2190">
                  <c:v>54381</c:v>
                </c:pt>
                <c:pt idx="2191">
                  <c:v>54388</c:v>
                </c:pt>
                <c:pt idx="2192">
                  <c:v>54395</c:v>
                </c:pt>
                <c:pt idx="2193">
                  <c:v>54402</c:v>
                </c:pt>
                <c:pt idx="2194">
                  <c:v>54409</c:v>
                </c:pt>
                <c:pt idx="2195">
                  <c:v>54416</c:v>
                </c:pt>
                <c:pt idx="2196">
                  <c:v>54423</c:v>
                </c:pt>
                <c:pt idx="2197">
                  <c:v>54430</c:v>
                </c:pt>
                <c:pt idx="2198">
                  <c:v>54437</c:v>
                </c:pt>
                <c:pt idx="2199">
                  <c:v>54444</c:v>
                </c:pt>
                <c:pt idx="2200">
                  <c:v>54451</c:v>
                </c:pt>
                <c:pt idx="2201">
                  <c:v>54458</c:v>
                </c:pt>
                <c:pt idx="2202">
                  <c:v>54465</c:v>
                </c:pt>
                <c:pt idx="2203">
                  <c:v>54472</c:v>
                </c:pt>
                <c:pt idx="2204">
                  <c:v>54479</c:v>
                </c:pt>
                <c:pt idx="2205">
                  <c:v>54486</c:v>
                </c:pt>
                <c:pt idx="2206">
                  <c:v>54493</c:v>
                </c:pt>
                <c:pt idx="2207">
                  <c:v>54500</c:v>
                </c:pt>
                <c:pt idx="2208">
                  <c:v>54507</c:v>
                </c:pt>
                <c:pt idx="2209">
                  <c:v>54514</c:v>
                </c:pt>
                <c:pt idx="2210">
                  <c:v>54521</c:v>
                </c:pt>
                <c:pt idx="2211">
                  <c:v>54528</c:v>
                </c:pt>
                <c:pt idx="2212">
                  <c:v>54535</c:v>
                </c:pt>
                <c:pt idx="2213">
                  <c:v>54542</c:v>
                </c:pt>
                <c:pt idx="2214">
                  <c:v>54549</c:v>
                </c:pt>
                <c:pt idx="2215">
                  <c:v>54556</c:v>
                </c:pt>
                <c:pt idx="2216">
                  <c:v>54563</c:v>
                </c:pt>
                <c:pt idx="2217">
                  <c:v>54570</c:v>
                </c:pt>
                <c:pt idx="2218">
                  <c:v>54577</c:v>
                </c:pt>
                <c:pt idx="2219">
                  <c:v>54584</c:v>
                </c:pt>
                <c:pt idx="2220">
                  <c:v>54591</c:v>
                </c:pt>
                <c:pt idx="2221">
                  <c:v>54598</c:v>
                </c:pt>
                <c:pt idx="2222">
                  <c:v>54605</c:v>
                </c:pt>
                <c:pt idx="2223">
                  <c:v>54612</c:v>
                </c:pt>
                <c:pt idx="2224">
                  <c:v>54619</c:v>
                </c:pt>
                <c:pt idx="2225">
                  <c:v>54626</c:v>
                </c:pt>
                <c:pt idx="2226">
                  <c:v>54633</c:v>
                </c:pt>
                <c:pt idx="2227">
                  <c:v>54640</c:v>
                </c:pt>
                <c:pt idx="2228">
                  <c:v>54647</c:v>
                </c:pt>
                <c:pt idx="2229">
                  <c:v>54654</c:v>
                </c:pt>
                <c:pt idx="2230">
                  <c:v>54661</c:v>
                </c:pt>
                <c:pt idx="2231">
                  <c:v>54668</c:v>
                </c:pt>
                <c:pt idx="2232">
                  <c:v>54675</c:v>
                </c:pt>
                <c:pt idx="2233">
                  <c:v>54682</c:v>
                </c:pt>
                <c:pt idx="2234">
                  <c:v>54689</c:v>
                </c:pt>
                <c:pt idx="2235">
                  <c:v>54696</c:v>
                </c:pt>
                <c:pt idx="2236">
                  <c:v>54703</c:v>
                </c:pt>
                <c:pt idx="2237">
                  <c:v>54710</c:v>
                </c:pt>
                <c:pt idx="2238">
                  <c:v>54717</c:v>
                </c:pt>
                <c:pt idx="2239">
                  <c:v>54724</c:v>
                </c:pt>
                <c:pt idx="2240">
                  <c:v>54731</c:v>
                </c:pt>
                <c:pt idx="2241">
                  <c:v>54738</c:v>
                </c:pt>
                <c:pt idx="2242">
                  <c:v>54745</c:v>
                </c:pt>
                <c:pt idx="2243">
                  <c:v>54752</c:v>
                </c:pt>
                <c:pt idx="2244">
                  <c:v>54759</c:v>
                </c:pt>
                <c:pt idx="2245">
                  <c:v>54766</c:v>
                </c:pt>
                <c:pt idx="2246">
                  <c:v>54773</c:v>
                </c:pt>
                <c:pt idx="2247">
                  <c:v>54780</c:v>
                </c:pt>
                <c:pt idx="2248">
                  <c:v>54787</c:v>
                </c:pt>
                <c:pt idx="2249">
                  <c:v>54794</c:v>
                </c:pt>
                <c:pt idx="2250">
                  <c:v>54801</c:v>
                </c:pt>
                <c:pt idx="2251">
                  <c:v>54808</c:v>
                </c:pt>
                <c:pt idx="2252">
                  <c:v>54815</c:v>
                </c:pt>
                <c:pt idx="2253">
                  <c:v>54822</c:v>
                </c:pt>
                <c:pt idx="2254">
                  <c:v>54829</c:v>
                </c:pt>
                <c:pt idx="2255">
                  <c:v>54836</c:v>
                </c:pt>
                <c:pt idx="2256">
                  <c:v>54843</c:v>
                </c:pt>
                <c:pt idx="2257">
                  <c:v>54850</c:v>
                </c:pt>
                <c:pt idx="2258">
                  <c:v>54857</c:v>
                </c:pt>
                <c:pt idx="2259">
                  <c:v>54864</c:v>
                </c:pt>
                <c:pt idx="2260">
                  <c:v>54871</c:v>
                </c:pt>
                <c:pt idx="2261">
                  <c:v>54878</c:v>
                </c:pt>
                <c:pt idx="2262">
                  <c:v>54885</c:v>
                </c:pt>
                <c:pt idx="2263">
                  <c:v>54892</c:v>
                </c:pt>
                <c:pt idx="2264">
                  <c:v>54899</c:v>
                </c:pt>
                <c:pt idx="2265">
                  <c:v>54906</c:v>
                </c:pt>
                <c:pt idx="2266">
                  <c:v>54913</c:v>
                </c:pt>
                <c:pt idx="2267">
                  <c:v>54920</c:v>
                </c:pt>
                <c:pt idx="2268">
                  <c:v>54927</c:v>
                </c:pt>
                <c:pt idx="2269">
                  <c:v>54934</c:v>
                </c:pt>
                <c:pt idx="2270">
                  <c:v>54941</c:v>
                </c:pt>
                <c:pt idx="2271">
                  <c:v>54948</c:v>
                </c:pt>
                <c:pt idx="2272">
                  <c:v>54955</c:v>
                </c:pt>
                <c:pt idx="2273">
                  <c:v>54962</c:v>
                </c:pt>
                <c:pt idx="2274">
                  <c:v>54969</c:v>
                </c:pt>
                <c:pt idx="2275">
                  <c:v>54976</c:v>
                </c:pt>
                <c:pt idx="2276">
                  <c:v>54983</c:v>
                </c:pt>
                <c:pt idx="2277">
                  <c:v>54990</c:v>
                </c:pt>
                <c:pt idx="2278">
                  <c:v>54997</c:v>
                </c:pt>
                <c:pt idx="2279">
                  <c:v>55004</c:v>
                </c:pt>
                <c:pt idx="2280">
                  <c:v>55011</c:v>
                </c:pt>
                <c:pt idx="2281">
                  <c:v>55018</c:v>
                </c:pt>
                <c:pt idx="2282">
                  <c:v>55025</c:v>
                </c:pt>
                <c:pt idx="2283">
                  <c:v>55032</c:v>
                </c:pt>
                <c:pt idx="2284">
                  <c:v>55039</c:v>
                </c:pt>
                <c:pt idx="2285">
                  <c:v>55046</c:v>
                </c:pt>
                <c:pt idx="2286">
                  <c:v>55053</c:v>
                </c:pt>
                <c:pt idx="2287">
                  <c:v>55060</c:v>
                </c:pt>
                <c:pt idx="2288">
                  <c:v>55067</c:v>
                </c:pt>
                <c:pt idx="2289">
                  <c:v>55074</c:v>
                </c:pt>
                <c:pt idx="2290">
                  <c:v>55081</c:v>
                </c:pt>
                <c:pt idx="2291">
                  <c:v>55088</c:v>
                </c:pt>
                <c:pt idx="2292">
                  <c:v>55095</c:v>
                </c:pt>
                <c:pt idx="2293">
                  <c:v>55102</c:v>
                </c:pt>
                <c:pt idx="2294">
                  <c:v>55109</c:v>
                </c:pt>
                <c:pt idx="2295">
                  <c:v>55116</c:v>
                </c:pt>
                <c:pt idx="2296">
                  <c:v>55123</c:v>
                </c:pt>
                <c:pt idx="2297">
                  <c:v>55130</c:v>
                </c:pt>
                <c:pt idx="2298">
                  <c:v>55137</c:v>
                </c:pt>
                <c:pt idx="2299">
                  <c:v>55144</c:v>
                </c:pt>
                <c:pt idx="2300">
                  <c:v>55151</c:v>
                </c:pt>
                <c:pt idx="2301">
                  <c:v>55158</c:v>
                </c:pt>
                <c:pt idx="2302">
                  <c:v>55165</c:v>
                </c:pt>
                <c:pt idx="2303">
                  <c:v>55172</c:v>
                </c:pt>
                <c:pt idx="2304">
                  <c:v>55179</c:v>
                </c:pt>
                <c:pt idx="2305">
                  <c:v>55186</c:v>
                </c:pt>
                <c:pt idx="2306">
                  <c:v>55193</c:v>
                </c:pt>
                <c:pt idx="2307">
                  <c:v>55200</c:v>
                </c:pt>
                <c:pt idx="2308">
                  <c:v>55207</c:v>
                </c:pt>
                <c:pt idx="2309">
                  <c:v>55214</c:v>
                </c:pt>
                <c:pt idx="2310">
                  <c:v>55221</c:v>
                </c:pt>
                <c:pt idx="2311">
                  <c:v>55228</c:v>
                </c:pt>
                <c:pt idx="2312">
                  <c:v>55235</c:v>
                </c:pt>
                <c:pt idx="2313">
                  <c:v>55242</c:v>
                </c:pt>
                <c:pt idx="2314">
                  <c:v>55249</c:v>
                </c:pt>
                <c:pt idx="2315">
                  <c:v>55256</c:v>
                </c:pt>
                <c:pt idx="2316">
                  <c:v>55263</c:v>
                </c:pt>
                <c:pt idx="2317">
                  <c:v>55270</c:v>
                </c:pt>
                <c:pt idx="2318">
                  <c:v>55277</c:v>
                </c:pt>
                <c:pt idx="2319">
                  <c:v>55284</c:v>
                </c:pt>
                <c:pt idx="2320">
                  <c:v>55291</c:v>
                </c:pt>
                <c:pt idx="2321">
                  <c:v>55298</c:v>
                </c:pt>
                <c:pt idx="2322">
                  <c:v>55305</c:v>
                </c:pt>
                <c:pt idx="2323">
                  <c:v>55312</c:v>
                </c:pt>
                <c:pt idx="2324">
                  <c:v>55319</c:v>
                </c:pt>
                <c:pt idx="2325">
                  <c:v>55326</c:v>
                </c:pt>
                <c:pt idx="2326">
                  <c:v>55333</c:v>
                </c:pt>
                <c:pt idx="2327">
                  <c:v>55340</c:v>
                </c:pt>
                <c:pt idx="2328">
                  <c:v>55347</c:v>
                </c:pt>
                <c:pt idx="2329">
                  <c:v>55354</c:v>
                </c:pt>
                <c:pt idx="2330">
                  <c:v>55361</c:v>
                </c:pt>
                <c:pt idx="2331">
                  <c:v>55368</c:v>
                </c:pt>
                <c:pt idx="2332">
                  <c:v>55375</c:v>
                </c:pt>
                <c:pt idx="2333">
                  <c:v>55382</c:v>
                </c:pt>
                <c:pt idx="2334">
                  <c:v>55389</c:v>
                </c:pt>
                <c:pt idx="2335">
                  <c:v>55396</c:v>
                </c:pt>
                <c:pt idx="2336">
                  <c:v>55403</c:v>
                </c:pt>
                <c:pt idx="2337">
                  <c:v>55410</c:v>
                </c:pt>
                <c:pt idx="2338">
                  <c:v>55417</c:v>
                </c:pt>
                <c:pt idx="2339">
                  <c:v>55424</c:v>
                </c:pt>
                <c:pt idx="2340">
                  <c:v>55431</c:v>
                </c:pt>
                <c:pt idx="2341">
                  <c:v>55438</c:v>
                </c:pt>
                <c:pt idx="2342">
                  <c:v>55445</c:v>
                </c:pt>
                <c:pt idx="2343">
                  <c:v>55452</c:v>
                </c:pt>
                <c:pt idx="2344">
                  <c:v>55459</c:v>
                </c:pt>
                <c:pt idx="2345">
                  <c:v>55466</c:v>
                </c:pt>
                <c:pt idx="2346">
                  <c:v>55473</c:v>
                </c:pt>
                <c:pt idx="2347">
                  <c:v>55480</c:v>
                </c:pt>
                <c:pt idx="2348">
                  <c:v>55487</c:v>
                </c:pt>
                <c:pt idx="2349">
                  <c:v>55494</c:v>
                </c:pt>
                <c:pt idx="2350">
                  <c:v>55501</c:v>
                </c:pt>
                <c:pt idx="2351">
                  <c:v>55508</c:v>
                </c:pt>
                <c:pt idx="2352">
                  <c:v>55516</c:v>
                </c:pt>
                <c:pt idx="2353">
                  <c:v>55523</c:v>
                </c:pt>
                <c:pt idx="2354">
                  <c:v>55530</c:v>
                </c:pt>
                <c:pt idx="2355">
                  <c:v>55537</c:v>
                </c:pt>
                <c:pt idx="2356">
                  <c:v>55544</c:v>
                </c:pt>
                <c:pt idx="2357">
                  <c:v>55551</c:v>
                </c:pt>
                <c:pt idx="2358">
                  <c:v>55558</c:v>
                </c:pt>
                <c:pt idx="2359">
                  <c:v>55565</c:v>
                </c:pt>
                <c:pt idx="2360">
                  <c:v>55572</c:v>
                </c:pt>
                <c:pt idx="2361">
                  <c:v>55579</c:v>
                </c:pt>
                <c:pt idx="2362">
                  <c:v>55586</c:v>
                </c:pt>
                <c:pt idx="2363">
                  <c:v>55593</c:v>
                </c:pt>
                <c:pt idx="2364">
                  <c:v>55600</c:v>
                </c:pt>
                <c:pt idx="2365">
                  <c:v>55607</c:v>
                </c:pt>
                <c:pt idx="2366">
                  <c:v>55614</c:v>
                </c:pt>
                <c:pt idx="2367">
                  <c:v>55621</c:v>
                </c:pt>
                <c:pt idx="2368">
                  <c:v>55632</c:v>
                </c:pt>
                <c:pt idx="2369">
                  <c:v>55635</c:v>
                </c:pt>
                <c:pt idx="2370">
                  <c:v>55645</c:v>
                </c:pt>
                <c:pt idx="2371">
                  <c:v>55652</c:v>
                </c:pt>
                <c:pt idx="2372">
                  <c:v>55659</c:v>
                </c:pt>
                <c:pt idx="2373">
                  <c:v>55666</c:v>
                </c:pt>
                <c:pt idx="2374">
                  <c:v>55673</c:v>
                </c:pt>
                <c:pt idx="2375">
                  <c:v>55680</c:v>
                </c:pt>
                <c:pt idx="2376">
                  <c:v>55687</c:v>
                </c:pt>
                <c:pt idx="2377">
                  <c:v>55694</c:v>
                </c:pt>
                <c:pt idx="2378">
                  <c:v>55701</c:v>
                </c:pt>
                <c:pt idx="2379">
                  <c:v>55708</c:v>
                </c:pt>
                <c:pt idx="2380">
                  <c:v>55715</c:v>
                </c:pt>
                <c:pt idx="2381">
                  <c:v>55722</c:v>
                </c:pt>
                <c:pt idx="2382">
                  <c:v>55729</c:v>
                </c:pt>
                <c:pt idx="2383">
                  <c:v>55736</c:v>
                </c:pt>
                <c:pt idx="2384">
                  <c:v>55743</c:v>
                </c:pt>
                <c:pt idx="2385">
                  <c:v>55750</c:v>
                </c:pt>
                <c:pt idx="2386">
                  <c:v>55757</c:v>
                </c:pt>
                <c:pt idx="2387">
                  <c:v>55764</c:v>
                </c:pt>
                <c:pt idx="2388">
                  <c:v>55771</c:v>
                </c:pt>
                <c:pt idx="2389">
                  <c:v>55778</c:v>
                </c:pt>
                <c:pt idx="2390">
                  <c:v>55785</c:v>
                </c:pt>
                <c:pt idx="2391">
                  <c:v>55792</c:v>
                </c:pt>
                <c:pt idx="2392">
                  <c:v>55799</c:v>
                </c:pt>
                <c:pt idx="2393">
                  <c:v>55806</c:v>
                </c:pt>
                <c:pt idx="2394">
                  <c:v>55813</c:v>
                </c:pt>
                <c:pt idx="2395">
                  <c:v>55820</c:v>
                </c:pt>
                <c:pt idx="2396">
                  <c:v>55827</c:v>
                </c:pt>
                <c:pt idx="2397">
                  <c:v>55834</c:v>
                </c:pt>
                <c:pt idx="2398">
                  <c:v>55841</c:v>
                </c:pt>
                <c:pt idx="2399">
                  <c:v>55848</c:v>
                </c:pt>
                <c:pt idx="2400">
                  <c:v>55855</c:v>
                </c:pt>
                <c:pt idx="2401">
                  <c:v>55862</c:v>
                </c:pt>
                <c:pt idx="2402">
                  <c:v>55869</c:v>
                </c:pt>
                <c:pt idx="2403">
                  <c:v>55876</c:v>
                </c:pt>
                <c:pt idx="2404">
                  <c:v>55884</c:v>
                </c:pt>
                <c:pt idx="2405">
                  <c:v>55891</c:v>
                </c:pt>
                <c:pt idx="2406">
                  <c:v>55898</c:v>
                </c:pt>
                <c:pt idx="2407">
                  <c:v>55905</c:v>
                </c:pt>
                <c:pt idx="2408">
                  <c:v>55912</c:v>
                </c:pt>
                <c:pt idx="2409">
                  <c:v>55919</c:v>
                </c:pt>
                <c:pt idx="2410">
                  <c:v>55926</c:v>
                </c:pt>
                <c:pt idx="2411">
                  <c:v>55933</c:v>
                </c:pt>
                <c:pt idx="2412">
                  <c:v>55940</c:v>
                </c:pt>
                <c:pt idx="2413">
                  <c:v>55947</c:v>
                </c:pt>
                <c:pt idx="2414">
                  <c:v>55954</c:v>
                </c:pt>
                <c:pt idx="2415">
                  <c:v>55961</c:v>
                </c:pt>
                <c:pt idx="2416">
                  <c:v>55968</c:v>
                </c:pt>
                <c:pt idx="2417">
                  <c:v>55975</c:v>
                </c:pt>
                <c:pt idx="2418">
                  <c:v>55984</c:v>
                </c:pt>
                <c:pt idx="2419">
                  <c:v>55991</c:v>
                </c:pt>
                <c:pt idx="2420">
                  <c:v>55998</c:v>
                </c:pt>
                <c:pt idx="2421">
                  <c:v>56006</c:v>
                </c:pt>
                <c:pt idx="2422">
                  <c:v>56012</c:v>
                </c:pt>
                <c:pt idx="2423">
                  <c:v>56019</c:v>
                </c:pt>
                <c:pt idx="2424">
                  <c:v>56026</c:v>
                </c:pt>
                <c:pt idx="2425">
                  <c:v>56033</c:v>
                </c:pt>
                <c:pt idx="2426">
                  <c:v>56040</c:v>
                </c:pt>
                <c:pt idx="2427">
                  <c:v>56047</c:v>
                </c:pt>
                <c:pt idx="2428">
                  <c:v>56054</c:v>
                </c:pt>
                <c:pt idx="2429">
                  <c:v>56061</c:v>
                </c:pt>
                <c:pt idx="2430">
                  <c:v>56068</c:v>
                </c:pt>
                <c:pt idx="2431">
                  <c:v>56075</c:v>
                </c:pt>
                <c:pt idx="2432">
                  <c:v>56082</c:v>
                </c:pt>
                <c:pt idx="2433">
                  <c:v>56089</c:v>
                </c:pt>
                <c:pt idx="2434">
                  <c:v>56096</c:v>
                </c:pt>
                <c:pt idx="2435">
                  <c:v>56103</c:v>
                </c:pt>
                <c:pt idx="2436">
                  <c:v>56110</c:v>
                </c:pt>
                <c:pt idx="2437">
                  <c:v>56117</c:v>
                </c:pt>
                <c:pt idx="2438">
                  <c:v>56124</c:v>
                </c:pt>
                <c:pt idx="2439">
                  <c:v>56131</c:v>
                </c:pt>
                <c:pt idx="2440">
                  <c:v>56138</c:v>
                </c:pt>
                <c:pt idx="2441">
                  <c:v>56145</c:v>
                </c:pt>
                <c:pt idx="2442">
                  <c:v>56152</c:v>
                </c:pt>
                <c:pt idx="2443">
                  <c:v>56159</c:v>
                </c:pt>
                <c:pt idx="2444">
                  <c:v>56166</c:v>
                </c:pt>
                <c:pt idx="2445">
                  <c:v>56173</c:v>
                </c:pt>
                <c:pt idx="2446">
                  <c:v>56180</c:v>
                </c:pt>
                <c:pt idx="2447">
                  <c:v>56187</c:v>
                </c:pt>
                <c:pt idx="2448">
                  <c:v>56194</c:v>
                </c:pt>
                <c:pt idx="2449">
                  <c:v>56201</c:v>
                </c:pt>
                <c:pt idx="2450">
                  <c:v>56208</c:v>
                </c:pt>
                <c:pt idx="2451">
                  <c:v>56215</c:v>
                </c:pt>
                <c:pt idx="2452">
                  <c:v>56222</c:v>
                </c:pt>
                <c:pt idx="2453">
                  <c:v>56229</c:v>
                </c:pt>
                <c:pt idx="2454">
                  <c:v>56236</c:v>
                </c:pt>
                <c:pt idx="2455">
                  <c:v>56247</c:v>
                </c:pt>
                <c:pt idx="2456">
                  <c:v>56251</c:v>
                </c:pt>
                <c:pt idx="2457">
                  <c:v>56257</c:v>
                </c:pt>
                <c:pt idx="2458">
                  <c:v>56264</c:v>
                </c:pt>
                <c:pt idx="2459">
                  <c:v>56271</c:v>
                </c:pt>
                <c:pt idx="2460">
                  <c:v>56278</c:v>
                </c:pt>
                <c:pt idx="2461">
                  <c:v>56285</c:v>
                </c:pt>
                <c:pt idx="2462">
                  <c:v>56292</c:v>
                </c:pt>
                <c:pt idx="2463">
                  <c:v>56299</c:v>
                </c:pt>
                <c:pt idx="2464">
                  <c:v>56306</c:v>
                </c:pt>
                <c:pt idx="2465">
                  <c:v>56313</c:v>
                </c:pt>
                <c:pt idx="2466">
                  <c:v>56320</c:v>
                </c:pt>
                <c:pt idx="2467">
                  <c:v>56327</c:v>
                </c:pt>
                <c:pt idx="2468">
                  <c:v>56334</c:v>
                </c:pt>
                <c:pt idx="2469">
                  <c:v>56341</c:v>
                </c:pt>
                <c:pt idx="2470">
                  <c:v>56348</c:v>
                </c:pt>
                <c:pt idx="2471">
                  <c:v>56355</c:v>
                </c:pt>
                <c:pt idx="2472">
                  <c:v>56362</c:v>
                </c:pt>
                <c:pt idx="2473">
                  <c:v>56369</c:v>
                </c:pt>
                <c:pt idx="2474">
                  <c:v>56376</c:v>
                </c:pt>
                <c:pt idx="2475">
                  <c:v>56383</c:v>
                </c:pt>
                <c:pt idx="2476">
                  <c:v>56390</c:v>
                </c:pt>
                <c:pt idx="2477">
                  <c:v>56397</c:v>
                </c:pt>
                <c:pt idx="2478">
                  <c:v>56404</c:v>
                </c:pt>
                <c:pt idx="2479">
                  <c:v>56411</c:v>
                </c:pt>
                <c:pt idx="2480">
                  <c:v>56418</c:v>
                </c:pt>
                <c:pt idx="2481">
                  <c:v>56425</c:v>
                </c:pt>
                <c:pt idx="2482">
                  <c:v>56432</c:v>
                </c:pt>
                <c:pt idx="2483">
                  <c:v>56439</c:v>
                </c:pt>
                <c:pt idx="2484">
                  <c:v>56446</c:v>
                </c:pt>
                <c:pt idx="2485">
                  <c:v>56453</c:v>
                </c:pt>
                <c:pt idx="2486">
                  <c:v>56460</c:v>
                </c:pt>
                <c:pt idx="2487">
                  <c:v>56467</c:v>
                </c:pt>
                <c:pt idx="2488">
                  <c:v>56474</c:v>
                </c:pt>
                <c:pt idx="2489">
                  <c:v>56481</c:v>
                </c:pt>
                <c:pt idx="2490">
                  <c:v>56488</c:v>
                </c:pt>
                <c:pt idx="2491">
                  <c:v>56495</c:v>
                </c:pt>
                <c:pt idx="2492">
                  <c:v>56502</c:v>
                </c:pt>
                <c:pt idx="2493">
                  <c:v>56509</c:v>
                </c:pt>
                <c:pt idx="2494">
                  <c:v>56516</c:v>
                </c:pt>
                <c:pt idx="2495">
                  <c:v>56523</c:v>
                </c:pt>
                <c:pt idx="2496">
                  <c:v>56530</c:v>
                </c:pt>
                <c:pt idx="2497">
                  <c:v>56537</c:v>
                </c:pt>
                <c:pt idx="2498">
                  <c:v>56544</c:v>
                </c:pt>
                <c:pt idx="2499">
                  <c:v>56551</c:v>
                </c:pt>
                <c:pt idx="2500">
                  <c:v>56558</c:v>
                </c:pt>
                <c:pt idx="2501">
                  <c:v>56565</c:v>
                </c:pt>
                <c:pt idx="2502">
                  <c:v>56572</c:v>
                </c:pt>
                <c:pt idx="2503">
                  <c:v>56579</c:v>
                </c:pt>
                <c:pt idx="2504">
                  <c:v>56586</c:v>
                </c:pt>
                <c:pt idx="2505">
                  <c:v>56593</c:v>
                </c:pt>
                <c:pt idx="2506">
                  <c:v>56600</c:v>
                </c:pt>
                <c:pt idx="2507">
                  <c:v>56607</c:v>
                </c:pt>
                <c:pt idx="2508">
                  <c:v>56614</c:v>
                </c:pt>
                <c:pt idx="2509">
                  <c:v>56621</c:v>
                </c:pt>
                <c:pt idx="2510">
                  <c:v>56628</c:v>
                </c:pt>
                <c:pt idx="2511">
                  <c:v>56635</c:v>
                </c:pt>
                <c:pt idx="2512">
                  <c:v>56642</c:v>
                </c:pt>
                <c:pt idx="2513">
                  <c:v>56649</c:v>
                </c:pt>
                <c:pt idx="2514">
                  <c:v>56656</c:v>
                </c:pt>
                <c:pt idx="2515">
                  <c:v>56663</c:v>
                </c:pt>
                <c:pt idx="2516">
                  <c:v>56670</c:v>
                </c:pt>
                <c:pt idx="2517">
                  <c:v>56677</c:v>
                </c:pt>
                <c:pt idx="2518">
                  <c:v>56684</c:v>
                </c:pt>
                <c:pt idx="2519">
                  <c:v>56691</c:v>
                </c:pt>
                <c:pt idx="2520">
                  <c:v>56698</c:v>
                </c:pt>
                <c:pt idx="2521">
                  <c:v>56705</c:v>
                </c:pt>
                <c:pt idx="2522">
                  <c:v>56712</c:v>
                </c:pt>
                <c:pt idx="2523">
                  <c:v>56719</c:v>
                </c:pt>
                <c:pt idx="2524">
                  <c:v>56726</c:v>
                </c:pt>
                <c:pt idx="2525">
                  <c:v>56733</c:v>
                </c:pt>
                <c:pt idx="2526">
                  <c:v>56740</c:v>
                </c:pt>
                <c:pt idx="2527">
                  <c:v>56747</c:v>
                </c:pt>
                <c:pt idx="2528">
                  <c:v>56754</c:v>
                </c:pt>
                <c:pt idx="2529">
                  <c:v>56761</c:v>
                </c:pt>
                <c:pt idx="2530">
                  <c:v>56768</c:v>
                </c:pt>
                <c:pt idx="2531">
                  <c:v>56775</c:v>
                </c:pt>
                <c:pt idx="2532">
                  <c:v>56782</c:v>
                </c:pt>
                <c:pt idx="2533">
                  <c:v>56789</c:v>
                </c:pt>
                <c:pt idx="2534">
                  <c:v>56796</c:v>
                </c:pt>
                <c:pt idx="2535">
                  <c:v>56803</c:v>
                </c:pt>
                <c:pt idx="2536">
                  <c:v>56810</c:v>
                </c:pt>
                <c:pt idx="2537">
                  <c:v>56817</c:v>
                </c:pt>
                <c:pt idx="2538">
                  <c:v>56824</c:v>
                </c:pt>
                <c:pt idx="2539">
                  <c:v>56831</c:v>
                </c:pt>
                <c:pt idx="2540">
                  <c:v>56838</c:v>
                </c:pt>
                <c:pt idx="2541">
                  <c:v>56845</c:v>
                </c:pt>
                <c:pt idx="2542">
                  <c:v>56852</c:v>
                </c:pt>
                <c:pt idx="2543">
                  <c:v>56859</c:v>
                </c:pt>
                <c:pt idx="2544">
                  <c:v>56866</c:v>
                </c:pt>
                <c:pt idx="2545">
                  <c:v>56873</c:v>
                </c:pt>
                <c:pt idx="2546">
                  <c:v>56880</c:v>
                </c:pt>
                <c:pt idx="2547">
                  <c:v>56887</c:v>
                </c:pt>
                <c:pt idx="2548">
                  <c:v>56894</c:v>
                </c:pt>
                <c:pt idx="2549">
                  <c:v>56901</c:v>
                </c:pt>
                <c:pt idx="2550">
                  <c:v>56908</c:v>
                </c:pt>
                <c:pt idx="2551">
                  <c:v>56915</c:v>
                </c:pt>
                <c:pt idx="2552">
                  <c:v>56922</c:v>
                </c:pt>
                <c:pt idx="2553">
                  <c:v>56929</c:v>
                </c:pt>
                <c:pt idx="2554">
                  <c:v>56936</c:v>
                </c:pt>
                <c:pt idx="2555">
                  <c:v>56943</c:v>
                </c:pt>
                <c:pt idx="2556">
                  <c:v>56950</c:v>
                </c:pt>
                <c:pt idx="2557">
                  <c:v>56957</c:v>
                </c:pt>
                <c:pt idx="2558">
                  <c:v>56964</c:v>
                </c:pt>
                <c:pt idx="2559">
                  <c:v>56971</c:v>
                </c:pt>
                <c:pt idx="2560">
                  <c:v>56978</c:v>
                </c:pt>
                <c:pt idx="2561">
                  <c:v>56985</c:v>
                </c:pt>
                <c:pt idx="2562">
                  <c:v>56992</c:v>
                </c:pt>
                <c:pt idx="2563">
                  <c:v>56999</c:v>
                </c:pt>
                <c:pt idx="2564">
                  <c:v>57006</c:v>
                </c:pt>
                <c:pt idx="2565">
                  <c:v>57013</c:v>
                </c:pt>
                <c:pt idx="2566">
                  <c:v>57020</c:v>
                </c:pt>
                <c:pt idx="2567">
                  <c:v>57027</c:v>
                </c:pt>
                <c:pt idx="2568">
                  <c:v>57034</c:v>
                </c:pt>
                <c:pt idx="2569">
                  <c:v>57041</c:v>
                </c:pt>
                <c:pt idx="2570">
                  <c:v>57048</c:v>
                </c:pt>
                <c:pt idx="2571">
                  <c:v>57055</c:v>
                </c:pt>
                <c:pt idx="2572">
                  <c:v>57062</c:v>
                </c:pt>
                <c:pt idx="2573">
                  <c:v>57069</c:v>
                </c:pt>
                <c:pt idx="2574">
                  <c:v>57076</c:v>
                </c:pt>
                <c:pt idx="2575">
                  <c:v>57083</c:v>
                </c:pt>
                <c:pt idx="2576">
                  <c:v>57090</c:v>
                </c:pt>
                <c:pt idx="2577">
                  <c:v>57097</c:v>
                </c:pt>
                <c:pt idx="2578">
                  <c:v>57104</c:v>
                </c:pt>
                <c:pt idx="2579">
                  <c:v>57111</c:v>
                </c:pt>
                <c:pt idx="2580">
                  <c:v>57118</c:v>
                </c:pt>
                <c:pt idx="2581">
                  <c:v>57125</c:v>
                </c:pt>
                <c:pt idx="2582">
                  <c:v>57132</c:v>
                </c:pt>
                <c:pt idx="2583">
                  <c:v>57139</c:v>
                </c:pt>
                <c:pt idx="2584">
                  <c:v>57146</c:v>
                </c:pt>
                <c:pt idx="2585">
                  <c:v>57153</c:v>
                </c:pt>
                <c:pt idx="2586">
                  <c:v>57160</c:v>
                </c:pt>
                <c:pt idx="2587">
                  <c:v>57167</c:v>
                </c:pt>
                <c:pt idx="2588">
                  <c:v>57174</c:v>
                </c:pt>
                <c:pt idx="2589">
                  <c:v>57181</c:v>
                </c:pt>
                <c:pt idx="2590">
                  <c:v>57188</c:v>
                </c:pt>
                <c:pt idx="2591">
                  <c:v>57195</c:v>
                </c:pt>
                <c:pt idx="2592">
                  <c:v>57202</c:v>
                </c:pt>
                <c:pt idx="2593">
                  <c:v>57209</c:v>
                </c:pt>
                <c:pt idx="2594">
                  <c:v>57216</c:v>
                </c:pt>
                <c:pt idx="2595">
                  <c:v>57223</c:v>
                </c:pt>
                <c:pt idx="2596">
                  <c:v>57230</c:v>
                </c:pt>
                <c:pt idx="2597">
                  <c:v>57237</c:v>
                </c:pt>
                <c:pt idx="2598">
                  <c:v>57244</c:v>
                </c:pt>
                <c:pt idx="2599">
                  <c:v>57251</c:v>
                </c:pt>
                <c:pt idx="2600">
                  <c:v>57258</c:v>
                </c:pt>
                <c:pt idx="2601">
                  <c:v>57265</c:v>
                </c:pt>
                <c:pt idx="2602">
                  <c:v>57272</c:v>
                </c:pt>
                <c:pt idx="2603">
                  <c:v>57279</c:v>
                </c:pt>
                <c:pt idx="2604">
                  <c:v>57286</c:v>
                </c:pt>
                <c:pt idx="2605">
                  <c:v>57293</c:v>
                </c:pt>
                <c:pt idx="2606">
                  <c:v>57300</c:v>
                </c:pt>
                <c:pt idx="2607">
                  <c:v>57307</c:v>
                </c:pt>
                <c:pt idx="2608">
                  <c:v>57314</c:v>
                </c:pt>
                <c:pt idx="2609">
                  <c:v>57321</c:v>
                </c:pt>
                <c:pt idx="2610">
                  <c:v>57328</c:v>
                </c:pt>
                <c:pt idx="2611">
                  <c:v>57335</c:v>
                </c:pt>
                <c:pt idx="2612">
                  <c:v>57343</c:v>
                </c:pt>
                <c:pt idx="2613">
                  <c:v>57350</c:v>
                </c:pt>
                <c:pt idx="2614">
                  <c:v>57357</c:v>
                </c:pt>
                <c:pt idx="2615">
                  <c:v>57364</c:v>
                </c:pt>
                <c:pt idx="2616">
                  <c:v>57371</c:v>
                </c:pt>
                <c:pt idx="2617">
                  <c:v>57378</c:v>
                </c:pt>
                <c:pt idx="2618">
                  <c:v>57385</c:v>
                </c:pt>
                <c:pt idx="2619">
                  <c:v>57392</c:v>
                </c:pt>
                <c:pt idx="2620">
                  <c:v>57399</c:v>
                </c:pt>
                <c:pt idx="2621">
                  <c:v>57406</c:v>
                </c:pt>
                <c:pt idx="2622">
                  <c:v>57413</c:v>
                </c:pt>
                <c:pt idx="2623">
                  <c:v>57420</c:v>
                </c:pt>
                <c:pt idx="2624">
                  <c:v>57427</c:v>
                </c:pt>
                <c:pt idx="2625">
                  <c:v>57434</c:v>
                </c:pt>
                <c:pt idx="2626">
                  <c:v>57441</c:v>
                </c:pt>
                <c:pt idx="2627">
                  <c:v>57448</c:v>
                </c:pt>
                <c:pt idx="2628">
                  <c:v>57459</c:v>
                </c:pt>
                <c:pt idx="2629">
                  <c:v>57462</c:v>
                </c:pt>
                <c:pt idx="2630">
                  <c:v>57469</c:v>
                </c:pt>
                <c:pt idx="2631">
                  <c:v>57476</c:v>
                </c:pt>
                <c:pt idx="2632">
                  <c:v>57483</c:v>
                </c:pt>
                <c:pt idx="2633">
                  <c:v>57490</c:v>
                </c:pt>
                <c:pt idx="2634">
                  <c:v>57497</c:v>
                </c:pt>
                <c:pt idx="2635">
                  <c:v>57504</c:v>
                </c:pt>
                <c:pt idx="2636">
                  <c:v>57511</c:v>
                </c:pt>
                <c:pt idx="2637">
                  <c:v>57518</c:v>
                </c:pt>
                <c:pt idx="2638">
                  <c:v>57525</c:v>
                </c:pt>
                <c:pt idx="2639">
                  <c:v>57532</c:v>
                </c:pt>
                <c:pt idx="2640">
                  <c:v>57539</c:v>
                </c:pt>
                <c:pt idx="2641">
                  <c:v>57546</c:v>
                </c:pt>
                <c:pt idx="2642">
                  <c:v>57553</c:v>
                </c:pt>
                <c:pt idx="2643">
                  <c:v>57560</c:v>
                </c:pt>
                <c:pt idx="2644">
                  <c:v>57567</c:v>
                </c:pt>
                <c:pt idx="2645">
                  <c:v>57574</c:v>
                </c:pt>
                <c:pt idx="2646">
                  <c:v>57581</c:v>
                </c:pt>
                <c:pt idx="2647">
                  <c:v>57588</c:v>
                </c:pt>
                <c:pt idx="2648">
                  <c:v>57595</c:v>
                </c:pt>
                <c:pt idx="2649">
                  <c:v>57602</c:v>
                </c:pt>
                <c:pt idx="2650">
                  <c:v>57609</c:v>
                </c:pt>
                <c:pt idx="2651">
                  <c:v>57616</c:v>
                </c:pt>
                <c:pt idx="2652">
                  <c:v>57623</c:v>
                </c:pt>
                <c:pt idx="2653">
                  <c:v>57630</c:v>
                </c:pt>
                <c:pt idx="2654">
                  <c:v>57637</c:v>
                </c:pt>
                <c:pt idx="2655">
                  <c:v>57644</c:v>
                </c:pt>
                <c:pt idx="2656">
                  <c:v>57651</c:v>
                </c:pt>
                <c:pt idx="2657">
                  <c:v>57658</c:v>
                </c:pt>
                <c:pt idx="2658">
                  <c:v>57665</c:v>
                </c:pt>
                <c:pt idx="2659">
                  <c:v>57672</c:v>
                </c:pt>
                <c:pt idx="2660">
                  <c:v>57679</c:v>
                </c:pt>
                <c:pt idx="2661">
                  <c:v>57686</c:v>
                </c:pt>
                <c:pt idx="2662">
                  <c:v>57693</c:v>
                </c:pt>
                <c:pt idx="2663">
                  <c:v>57700</c:v>
                </c:pt>
                <c:pt idx="2664">
                  <c:v>57710</c:v>
                </c:pt>
                <c:pt idx="2665">
                  <c:v>57717</c:v>
                </c:pt>
                <c:pt idx="2666">
                  <c:v>57724</c:v>
                </c:pt>
                <c:pt idx="2667">
                  <c:v>57731</c:v>
                </c:pt>
                <c:pt idx="2668">
                  <c:v>57738</c:v>
                </c:pt>
                <c:pt idx="2669">
                  <c:v>57745</c:v>
                </c:pt>
                <c:pt idx="2670">
                  <c:v>57752</c:v>
                </c:pt>
                <c:pt idx="2671">
                  <c:v>57759</c:v>
                </c:pt>
                <c:pt idx="2672">
                  <c:v>57766</c:v>
                </c:pt>
                <c:pt idx="2673">
                  <c:v>57773</c:v>
                </c:pt>
                <c:pt idx="2674">
                  <c:v>57780</c:v>
                </c:pt>
                <c:pt idx="2675">
                  <c:v>57787</c:v>
                </c:pt>
                <c:pt idx="2676">
                  <c:v>57794</c:v>
                </c:pt>
                <c:pt idx="2677">
                  <c:v>57801</c:v>
                </c:pt>
                <c:pt idx="2678">
                  <c:v>57808</c:v>
                </c:pt>
                <c:pt idx="2679">
                  <c:v>57817</c:v>
                </c:pt>
                <c:pt idx="2680">
                  <c:v>57822</c:v>
                </c:pt>
                <c:pt idx="2681">
                  <c:v>57829</c:v>
                </c:pt>
                <c:pt idx="2682">
                  <c:v>57836</c:v>
                </c:pt>
                <c:pt idx="2683">
                  <c:v>57843</c:v>
                </c:pt>
                <c:pt idx="2684">
                  <c:v>57850</c:v>
                </c:pt>
                <c:pt idx="2685">
                  <c:v>57857</c:v>
                </c:pt>
                <c:pt idx="2686">
                  <c:v>57864</c:v>
                </c:pt>
                <c:pt idx="2687">
                  <c:v>57871</c:v>
                </c:pt>
                <c:pt idx="2688">
                  <c:v>57878</c:v>
                </c:pt>
                <c:pt idx="2689">
                  <c:v>57885</c:v>
                </c:pt>
                <c:pt idx="2690">
                  <c:v>57892</c:v>
                </c:pt>
                <c:pt idx="2691">
                  <c:v>57899</c:v>
                </c:pt>
                <c:pt idx="2692">
                  <c:v>57906</c:v>
                </c:pt>
                <c:pt idx="2693">
                  <c:v>57913</c:v>
                </c:pt>
                <c:pt idx="2694">
                  <c:v>57920</c:v>
                </c:pt>
                <c:pt idx="2695">
                  <c:v>57927</c:v>
                </c:pt>
                <c:pt idx="2696">
                  <c:v>57934</c:v>
                </c:pt>
                <c:pt idx="2697">
                  <c:v>57941</c:v>
                </c:pt>
                <c:pt idx="2698">
                  <c:v>57948</c:v>
                </c:pt>
                <c:pt idx="2699">
                  <c:v>57955</c:v>
                </c:pt>
                <c:pt idx="2700">
                  <c:v>57962</c:v>
                </c:pt>
                <c:pt idx="2701">
                  <c:v>57969</c:v>
                </c:pt>
                <c:pt idx="2702">
                  <c:v>57976</c:v>
                </c:pt>
                <c:pt idx="2703">
                  <c:v>57983</c:v>
                </c:pt>
                <c:pt idx="2704">
                  <c:v>57990</c:v>
                </c:pt>
                <c:pt idx="2705">
                  <c:v>57997</c:v>
                </c:pt>
                <c:pt idx="2706">
                  <c:v>58004</c:v>
                </c:pt>
                <c:pt idx="2707">
                  <c:v>58011</c:v>
                </c:pt>
                <c:pt idx="2708">
                  <c:v>58018</c:v>
                </c:pt>
                <c:pt idx="2709">
                  <c:v>58025</c:v>
                </c:pt>
                <c:pt idx="2710">
                  <c:v>58032</c:v>
                </c:pt>
                <c:pt idx="2711">
                  <c:v>58039</c:v>
                </c:pt>
                <c:pt idx="2712">
                  <c:v>58046</c:v>
                </c:pt>
                <c:pt idx="2713">
                  <c:v>58053</c:v>
                </c:pt>
                <c:pt idx="2714">
                  <c:v>58060</c:v>
                </c:pt>
                <c:pt idx="2715">
                  <c:v>58067</c:v>
                </c:pt>
                <c:pt idx="2716">
                  <c:v>58075</c:v>
                </c:pt>
                <c:pt idx="2717">
                  <c:v>58082</c:v>
                </c:pt>
                <c:pt idx="2718">
                  <c:v>58089</c:v>
                </c:pt>
                <c:pt idx="2719">
                  <c:v>58096</c:v>
                </c:pt>
                <c:pt idx="2720">
                  <c:v>58103</c:v>
                </c:pt>
                <c:pt idx="2721">
                  <c:v>58110</c:v>
                </c:pt>
                <c:pt idx="2722">
                  <c:v>58117</c:v>
                </c:pt>
                <c:pt idx="2723">
                  <c:v>58124</c:v>
                </c:pt>
                <c:pt idx="2724">
                  <c:v>58131</c:v>
                </c:pt>
                <c:pt idx="2725">
                  <c:v>58138</c:v>
                </c:pt>
                <c:pt idx="2726">
                  <c:v>58145</c:v>
                </c:pt>
                <c:pt idx="2727">
                  <c:v>58152</c:v>
                </c:pt>
                <c:pt idx="2728">
                  <c:v>58159</c:v>
                </c:pt>
                <c:pt idx="2729">
                  <c:v>58168</c:v>
                </c:pt>
                <c:pt idx="2730">
                  <c:v>58175</c:v>
                </c:pt>
                <c:pt idx="2731">
                  <c:v>58182</c:v>
                </c:pt>
                <c:pt idx="2732">
                  <c:v>58189</c:v>
                </c:pt>
                <c:pt idx="2733">
                  <c:v>58197</c:v>
                </c:pt>
                <c:pt idx="2734">
                  <c:v>58203</c:v>
                </c:pt>
                <c:pt idx="2735">
                  <c:v>58210</c:v>
                </c:pt>
                <c:pt idx="2736">
                  <c:v>58217</c:v>
                </c:pt>
                <c:pt idx="2737">
                  <c:v>58224</c:v>
                </c:pt>
                <c:pt idx="2738">
                  <c:v>58231</c:v>
                </c:pt>
                <c:pt idx="2739">
                  <c:v>58238</c:v>
                </c:pt>
                <c:pt idx="2740">
                  <c:v>58245</c:v>
                </c:pt>
                <c:pt idx="2741">
                  <c:v>58252</c:v>
                </c:pt>
                <c:pt idx="2742">
                  <c:v>58259</c:v>
                </c:pt>
                <c:pt idx="2743">
                  <c:v>58266</c:v>
                </c:pt>
                <c:pt idx="2744">
                  <c:v>58273</c:v>
                </c:pt>
                <c:pt idx="2745">
                  <c:v>58280</c:v>
                </c:pt>
                <c:pt idx="2746">
                  <c:v>58287</c:v>
                </c:pt>
                <c:pt idx="2747">
                  <c:v>58294</c:v>
                </c:pt>
                <c:pt idx="2748">
                  <c:v>58301</c:v>
                </c:pt>
                <c:pt idx="2749">
                  <c:v>58308</c:v>
                </c:pt>
                <c:pt idx="2750">
                  <c:v>58315</c:v>
                </c:pt>
                <c:pt idx="2751">
                  <c:v>58322</c:v>
                </c:pt>
                <c:pt idx="2752">
                  <c:v>58329</c:v>
                </c:pt>
                <c:pt idx="2753">
                  <c:v>58336</c:v>
                </c:pt>
                <c:pt idx="2754">
                  <c:v>58343</c:v>
                </c:pt>
                <c:pt idx="2755">
                  <c:v>58350</c:v>
                </c:pt>
                <c:pt idx="2756">
                  <c:v>58357</c:v>
                </c:pt>
                <c:pt idx="2757">
                  <c:v>58364</c:v>
                </c:pt>
                <c:pt idx="2758">
                  <c:v>58371</c:v>
                </c:pt>
                <c:pt idx="2759">
                  <c:v>58378</c:v>
                </c:pt>
                <c:pt idx="2760">
                  <c:v>58385</c:v>
                </c:pt>
                <c:pt idx="2761">
                  <c:v>58392</c:v>
                </c:pt>
                <c:pt idx="2762">
                  <c:v>58399</c:v>
                </c:pt>
                <c:pt idx="2763">
                  <c:v>58406</c:v>
                </c:pt>
                <c:pt idx="2764">
                  <c:v>58413</c:v>
                </c:pt>
                <c:pt idx="2765">
                  <c:v>58420</c:v>
                </c:pt>
                <c:pt idx="2766">
                  <c:v>58427</c:v>
                </c:pt>
                <c:pt idx="2767">
                  <c:v>58438</c:v>
                </c:pt>
                <c:pt idx="2768">
                  <c:v>58442</c:v>
                </c:pt>
                <c:pt idx="2769">
                  <c:v>58448</c:v>
                </c:pt>
                <c:pt idx="2770">
                  <c:v>58455</c:v>
                </c:pt>
                <c:pt idx="2771">
                  <c:v>58462</c:v>
                </c:pt>
                <c:pt idx="2772">
                  <c:v>58469</c:v>
                </c:pt>
                <c:pt idx="2773">
                  <c:v>58476</c:v>
                </c:pt>
                <c:pt idx="2774">
                  <c:v>58483</c:v>
                </c:pt>
                <c:pt idx="2775">
                  <c:v>58490</c:v>
                </c:pt>
                <c:pt idx="2776">
                  <c:v>58497</c:v>
                </c:pt>
                <c:pt idx="2777">
                  <c:v>58504</c:v>
                </c:pt>
                <c:pt idx="2778">
                  <c:v>58511</c:v>
                </c:pt>
                <c:pt idx="2779">
                  <c:v>58518</c:v>
                </c:pt>
                <c:pt idx="2780">
                  <c:v>58525</c:v>
                </c:pt>
                <c:pt idx="2781">
                  <c:v>58532</c:v>
                </c:pt>
                <c:pt idx="2782">
                  <c:v>58539</c:v>
                </c:pt>
                <c:pt idx="2783">
                  <c:v>58546</c:v>
                </c:pt>
                <c:pt idx="2784">
                  <c:v>58553</c:v>
                </c:pt>
                <c:pt idx="2785">
                  <c:v>58560</c:v>
                </c:pt>
                <c:pt idx="2786">
                  <c:v>58567</c:v>
                </c:pt>
                <c:pt idx="2787">
                  <c:v>58574</c:v>
                </c:pt>
                <c:pt idx="2788">
                  <c:v>58581</c:v>
                </c:pt>
                <c:pt idx="2789">
                  <c:v>58588</c:v>
                </c:pt>
                <c:pt idx="2790">
                  <c:v>58595</c:v>
                </c:pt>
                <c:pt idx="2791">
                  <c:v>58602</c:v>
                </c:pt>
                <c:pt idx="2792">
                  <c:v>58609</c:v>
                </c:pt>
                <c:pt idx="2793">
                  <c:v>58616</c:v>
                </c:pt>
                <c:pt idx="2794">
                  <c:v>58623</c:v>
                </c:pt>
                <c:pt idx="2795">
                  <c:v>58630</c:v>
                </c:pt>
                <c:pt idx="2796">
                  <c:v>58637</c:v>
                </c:pt>
                <c:pt idx="2797">
                  <c:v>58644</c:v>
                </c:pt>
                <c:pt idx="2798">
                  <c:v>58651</c:v>
                </c:pt>
                <c:pt idx="2799">
                  <c:v>58658</c:v>
                </c:pt>
                <c:pt idx="2800">
                  <c:v>58665</c:v>
                </c:pt>
                <c:pt idx="2801">
                  <c:v>58672</c:v>
                </c:pt>
                <c:pt idx="2802">
                  <c:v>58679</c:v>
                </c:pt>
                <c:pt idx="2803">
                  <c:v>58686</c:v>
                </c:pt>
                <c:pt idx="2804">
                  <c:v>58693</c:v>
                </c:pt>
                <c:pt idx="2805">
                  <c:v>58700</c:v>
                </c:pt>
                <c:pt idx="2806">
                  <c:v>58707</c:v>
                </c:pt>
                <c:pt idx="2807">
                  <c:v>58714</c:v>
                </c:pt>
                <c:pt idx="2808">
                  <c:v>58721</c:v>
                </c:pt>
                <c:pt idx="2809">
                  <c:v>58728</c:v>
                </c:pt>
                <c:pt idx="2810">
                  <c:v>58735</c:v>
                </c:pt>
                <c:pt idx="2811">
                  <c:v>58742</c:v>
                </c:pt>
                <c:pt idx="2812">
                  <c:v>58749</c:v>
                </c:pt>
                <c:pt idx="2813">
                  <c:v>58756</c:v>
                </c:pt>
                <c:pt idx="2814">
                  <c:v>58763</c:v>
                </c:pt>
                <c:pt idx="2815">
                  <c:v>58770</c:v>
                </c:pt>
                <c:pt idx="2816">
                  <c:v>58777</c:v>
                </c:pt>
                <c:pt idx="2817">
                  <c:v>58784</c:v>
                </c:pt>
                <c:pt idx="2818">
                  <c:v>58791</c:v>
                </c:pt>
                <c:pt idx="2819">
                  <c:v>58798</c:v>
                </c:pt>
                <c:pt idx="2820">
                  <c:v>58805</c:v>
                </c:pt>
                <c:pt idx="2821">
                  <c:v>58812</c:v>
                </c:pt>
                <c:pt idx="2822">
                  <c:v>58819</c:v>
                </c:pt>
                <c:pt idx="2823">
                  <c:v>58826</c:v>
                </c:pt>
                <c:pt idx="2824">
                  <c:v>58833</c:v>
                </c:pt>
                <c:pt idx="2825">
                  <c:v>58840</c:v>
                </c:pt>
                <c:pt idx="2826">
                  <c:v>58847</c:v>
                </c:pt>
                <c:pt idx="2827">
                  <c:v>58854</c:v>
                </c:pt>
                <c:pt idx="2828">
                  <c:v>58861</c:v>
                </c:pt>
                <c:pt idx="2829">
                  <c:v>58868</c:v>
                </c:pt>
                <c:pt idx="2830">
                  <c:v>58875</c:v>
                </c:pt>
                <c:pt idx="2831">
                  <c:v>58882</c:v>
                </c:pt>
                <c:pt idx="2832">
                  <c:v>58889</c:v>
                </c:pt>
                <c:pt idx="2833">
                  <c:v>58896</c:v>
                </c:pt>
                <c:pt idx="2834">
                  <c:v>58903</c:v>
                </c:pt>
                <c:pt idx="2835">
                  <c:v>58910</c:v>
                </c:pt>
                <c:pt idx="2836">
                  <c:v>58917</c:v>
                </c:pt>
                <c:pt idx="2837">
                  <c:v>58924</c:v>
                </c:pt>
                <c:pt idx="2838">
                  <c:v>58931</c:v>
                </c:pt>
                <c:pt idx="2839">
                  <c:v>58938</c:v>
                </c:pt>
                <c:pt idx="2840">
                  <c:v>58945</c:v>
                </c:pt>
                <c:pt idx="2841">
                  <c:v>58952</c:v>
                </c:pt>
                <c:pt idx="2842">
                  <c:v>58959</c:v>
                </c:pt>
                <c:pt idx="2843">
                  <c:v>58966</c:v>
                </c:pt>
                <c:pt idx="2844">
                  <c:v>58973</c:v>
                </c:pt>
                <c:pt idx="2845">
                  <c:v>58980</c:v>
                </c:pt>
                <c:pt idx="2846">
                  <c:v>58987</c:v>
                </c:pt>
                <c:pt idx="2847">
                  <c:v>58994</c:v>
                </c:pt>
                <c:pt idx="2848">
                  <c:v>59001</c:v>
                </c:pt>
                <c:pt idx="2849">
                  <c:v>59008</c:v>
                </c:pt>
                <c:pt idx="2850">
                  <c:v>59015</c:v>
                </c:pt>
                <c:pt idx="2851">
                  <c:v>59022</c:v>
                </c:pt>
                <c:pt idx="2852">
                  <c:v>59029</c:v>
                </c:pt>
                <c:pt idx="2853">
                  <c:v>59036</c:v>
                </c:pt>
                <c:pt idx="2854">
                  <c:v>59043</c:v>
                </c:pt>
                <c:pt idx="2855">
                  <c:v>59050</c:v>
                </c:pt>
                <c:pt idx="2856">
                  <c:v>59057</c:v>
                </c:pt>
                <c:pt idx="2857">
                  <c:v>59064</c:v>
                </c:pt>
                <c:pt idx="2858">
                  <c:v>59071</c:v>
                </c:pt>
                <c:pt idx="2859">
                  <c:v>59078</c:v>
                </c:pt>
                <c:pt idx="2860">
                  <c:v>59085</c:v>
                </c:pt>
                <c:pt idx="2861">
                  <c:v>59092</c:v>
                </c:pt>
                <c:pt idx="2862">
                  <c:v>59099</c:v>
                </c:pt>
                <c:pt idx="2863">
                  <c:v>59106</c:v>
                </c:pt>
                <c:pt idx="2864">
                  <c:v>59113</c:v>
                </c:pt>
                <c:pt idx="2865">
                  <c:v>59120</c:v>
                </c:pt>
                <c:pt idx="2866">
                  <c:v>59127</c:v>
                </c:pt>
                <c:pt idx="2867">
                  <c:v>59134</c:v>
                </c:pt>
                <c:pt idx="2868">
                  <c:v>59141</c:v>
                </c:pt>
                <c:pt idx="2869">
                  <c:v>59148</c:v>
                </c:pt>
                <c:pt idx="2870">
                  <c:v>59155</c:v>
                </c:pt>
                <c:pt idx="2871">
                  <c:v>59162</c:v>
                </c:pt>
                <c:pt idx="2872">
                  <c:v>59169</c:v>
                </c:pt>
                <c:pt idx="2873">
                  <c:v>59176</c:v>
                </c:pt>
                <c:pt idx="2874">
                  <c:v>59183</c:v>
                </c:pt>
                <c:pt idx="2875">
                  <c:v>59190</c:v>
                </c:pt>
                <c:pt idx="2876">
                  <c:v>59197</c:v>
                </c:pt>
                <c:pt idx="2877">
                  <c:v>59204</c:v>
                </c:pt>
                <c:pt idx="2878">
                  <c:v>59211</c:v>
                </c:pt>
                <c:pt idx="2879">
                  <c:v>59218</c:v>
                </c:pt>
                <c:pt idx="2880">
                  <c:v>59225</c:v>
                </c:pt>
                <c:pt idx="2881">
                  <c:v>59232</c:v>
                </c:pt>
                <c:pt idx="2882">
                  <c:v>59239</c:v>
                </c:pt>
                <c:pt idx="2883">
                  <c:v>59246</c:v>
                </c:pt>
                <c:pt idx="2884">
                  <c:v>59253</c:v>
                </c:pt>
                <c:pt idx="2885">
                  <c:v>59260</c:v>
                </c:pt>
                <c:pt idx="2886">
                  <c:v>59267</c:v>
                </c:pt>
                <c:pt idx="2887">
                  <c:v>59274</c:v>
                </c:pt>
                <c:pt idx="2888">
                  <c:v>59281</c:v>
                </c:pt>
                <c:pt idx="2889">
                  <c:v>59288</c:v>
                </c:pt>
                <c:pt idx="2890">
                  <c:v>59295</c:v>
                </c:pt>
                <c:pt idx="2891">
                  <c:v>59302</c:v>
                </c:pt>
                <c:pt idx="2892">
                  <c:v>59309</c:v>
                </c:pt>
                <c:pt idx="2893">
                  <c:v>59316</c:v>
                </c:pt>
                <c:pt idx="2894">
                  <c:v>59323</c:v>
                </c:pt>
                <c:pt idx="2895">
                  <c:v>59330</c:v>
                </c:pt>
                <c:pt idx="2896">
                  <c:v>59337</c:v>
                </c:pt>
                <c:pt idx="2897">
                  <c:v>59344</c:v>
                </c:pt>
                <c:pt idx="2898">
                  <c:v>59351</c:v>
                </c:pt>
                <c:pt idx="2899">
                  <c:v>59358</c:v>
                </c:pt>
                <c:pt idx="2900">
                  <c:v>59365</c:v>
                </c:pt>
                <c:pt idx="2901">
                  <c:v>59372</c:v>
                </c:pt>
                <c:pt idx="2902">
                  <c:v>59379</c:v>
                </c:pt>
                <c:pt idx="2903">
                  <c:v>59386</c:v>
                </c:pt>
                <c:pt idx="2904">
                  <c:v>59393</c:v>
                </c:pt>
                <c:pt idx="2905">
                  <c:v>59400</c:v>
                </c:pt>
                <c:pt idx="2906">
                  <c:v>59407</c:v>
                </c:pt>
                <c:pt idx="2907">
                  <c:v>59414</c:v>
                </c:pt>
                <c:pt idx="2908">
                  <c:v>59421</c:v>
                </c:pt>
                <c:pt idx="2909">
                  <c:v>59428</c:v>
                </c:pt>
                <c:pt idx="2910">
                  <c:v>59435</c:v>
                </c:pt>
                <c:pt idx="2911">
                  <c:v>59442</c:v>
                </c:pt>
                <c:pt idx="2912">
                  <c:v>59449</c:v>
                </c:pt>
                <c:pt idx="2913">
                  <c:v>59456</c:v>
                </c:pt>
                <c:pt idx="2914">
                  <c:v>59463</c:v>
                </c:pt>
                <c:pt idx="2915">
                  <c:v>59470</c:v>
                </c:pt>
                <c:pt idx="2916">
                  <c:v>59477</c:v>
                </c:pt>
                <c:pt idx="2917">
                  <c:v>59484</c:v>
                </c:pt>
                <c:pt idx="2918">
                  <c:v>59491</c:v>
                </c:pt>
                <c:pt idx="2919">
                  <c:v>59498</c:v>
                </c:pt>
                <c:pt idx="2920">
                  <c:v>59505</c:v>
                </c:pt>
                <c:pt idx="2921">
                  <c:v>59512</c:v>
                </c:pt>
                <c:pt idx="2922">
                  <c:v>59519</c:v>
                </c:pt>
                <c:pt idx="2923">
                  <c:v>59526</c:v>
                </c:pt>
                <c:pt idx="2924">
                  <c:v>59534</c:v>
                </c:pt>
                <c:pt idx="2925">
                  <c:v>59541</c:v>
                </c:pt>
                <c:pt idx="2926">
                  <c:v>59548</c:v>
                </c:pt>
                <c:pt idx="2927">
                  <c:v>59555</c:v>
                </c:pt>
                <c:pt idx="2928">
                  <c:v>59562</c:v>
                </c:pt>
                <c:pt idx="2929">
                  <c:v>59569</c:v>
                </c:pt>
                <c:pt idx="2930">
                  <c:v>59576</c:v>
                </c:pt>
                <c:pt idx="2931">
                  <c:v>59583</c:v>
                </c:pt>
                <c:pt idx="2932">
                  <c:v>59590</c:v>
                </c:pt>
                <c:pt idx="2933">
                  <c:v>59597</c:v>
                </c:pt>
                <c:pt idx="2934">
                  <c:v>59604</c:v>
                </c:pt>
                <c:pt idx="2935">
                  <c:v>59611</c:v>
                </c:pt>
                <c:pt idx="2936">
                  <c:v>59618</c:v>
                </c:pt>
                <c:pt idx="2937">
                  <c:v>59625</c:v>
                </c:pt>
                <c:pt idx="2938">
                  <c:v>59632</c:v>
                </c:pt>
                <c:pt idx="2939">
                  <c:v>59643</c:v>
                </c:pt>
                <c:pt idx="2940">
                  <c:v>59646</c:v>
                </c:pt>
                <c:pt idx="2941">
                  <c:v>59653</c:v>
                </c:pt>
                <c:pt idx="2942">
                  <c:v>59660</c:v>
                </c:pt>
                <c:pt idx="2943">
                  <c:v>59667</c:v>
                </c:pt>
                <c:pt idx="2944">
                  <c:v>59674</c:v>
                </c:pt>
                <c:pt idx="2945">
                  <c:v>59681</c:v>
                </c:pt>
                <c:pt idx="2946">
                  <c:v>59688</c:v>
                </c:pt>
                <c:pt idx="2947">
                  <c:v>59695</c:v>
                </c:pt>
                <c:pt idx="2948">
                  <c:v>59702</c:v>
                </c:pt>
                <c:pt idx="2949">
                  <c:v>59709</c:v>
                </c:pt>
                <c:pt idx="2950">
                  <c:v>59716</c:v>
                </c:pt>
                <c:pt idx="2951">
                  <c:v>59723</c:v>
                </c:pt>
                <c:pt idx="2952">
                  <c:v>59730</c:v>
                </c:pt>
                <c:pt idx="2953">
                  <c:v>59737</c:v>
                </c:pt>
                <c:pt idx="2954">
                  <c:v>59744</c:v>
                </c:pt>
                <c:pt idx="2955">
                  <c:v>59751</c:v>
                </c:pt>
                <c:pt idx="2956">
                  <c:v>59758</c:v>
                </c:pt>
                <c:pt idx="2957">
                  <c:v>59765</c:v>
                </c:pt>
                <c:pt idx="2958">
                  <c:v>59772</c:v>
                </c:pt>
                <c:pt idx="2959">
                  <c:v>59779</c:v>
                </c:pt>
                <c:pt idx="2960">
                  <c:v>59786</c:v>
                </c:pt>
                <c:pt idx="2961">
                  <c:v>59793</c:v>
                </c:pt>
                <c:pt idx="2962">
                  <c:v>59800</c:v>
                </c:pt>
                <c:pt idx="2963">
                  <c:v>59807</c:v>
                </c:pt>
                <c:pt idx="2964">
                  <c:v>59814</c:v>
                </c:pt>
                <c:pt idx="2965">
                  <c:v>59821</c:v>
                </c:pt>
                <c:pt idx="2966">
                  <c:v>59828</c:v>
                </c:pt>
                <c:pt idx="2967">
                  <c:v>59835</c:v>
                </c:pt>
                <c:pt idx="2968">
                  <c:v>59842</c:v>
                </c:pt>
                <c:pt idx="2969">
                  <c:v>59849</c:v>
                </c:pt>
                <c:pt idx="2970">
                  <c:v>59856</c:v>
                </c:pt>
                <c:pt idx="2971">
                  <c:v>59863</c:v>
                </c:pt>
                <c:pt idx="2972">
                  <c:v>59870</c:v>
                </c:pt>
                <c:pt idx="2973">
                  <c:v>59877</c:v>
                </c:pt>
                <c:pt idx="2974">
                  <c:v>59884</c:v>
                </c:pt>
                <c:pt idx="2975">
                  <c:v>59891</c:v>
                </c:pt>
                <c:pt idx="2976">
                  <c:v>59901</c:v>
                </c:pt>
                <c:pt idx="2977">
                  <c:v>59908</c:v>
                </c:pt>
                <c:pt idx="2978">
                  <c:v>59915</c:v>
                </c:pt>
                <c:pt idx="2979">
                  <c:v>59922</c:v>
                </c:pt>
                <c:pt idx="2980">
                  <c:v>59929</c:v>
                </c:pt>
                <c:pt idx="2981">
                  <c:v>59936</c:v>
                </c:pt>
                <c:pt idx="2982">
                  <c:v>59943</c:v>
                </c:pt>
                <c:pt idx="2983">
                  <c:v>59950</c:v>
                </c:pt>
                <c:pt idx="2984">
                  <c:v>59957</c:v>
                </c:pt>
                <c:pt idx="2985">
                  <c:v>59964</c:v>
                </c:pt>
                <c:pt idx="2986">
                  <c:v>59971</c:v>
                </c:pt>
                <c:pt idx="2987">
                  <c:v>59978</c:v>
                </c:pt>
                <c:pt idx="2988">
                  <c:v>59985</c:v>
                </c:pt>
                <c:pt idx="2989">
                  <c:v>59992</c:v>
                </c:pt>
                <c:pt idx="2990">
                  <c:v>60001</c:v>
                </c:pt>
                <c:pt idx="2991">
                  <c:v>60006</c:v>
                </c:pt>
                <c:pt idx="2992">
                  <c:v>60013</c:v>
                </c:pt>
                <c:pt idx="2993">
                  <c:v>60020</c:v>
                </c:pt>
                <c:pt idx="2994">
                  <c:v>60028</c:v>
                </c:pt>
                <c:pt idx="2995">
                  <c:v>60035</c:v>
                </c:pt>
                <c:pt idx="2996">
                  <c:v>60042</c:v>
                </c:pt>
                <c:pt idx="2997">
                  <c:v>60049</c:v>
                </c:pt>
                <c:pt idx="2998">
                  <c:v>60056</c:v>
                </c:pt>
                <c:pt idx="2999">
                  <c:v>60063</c:v>
                </c:pt>
                <c:pt idx="3000">
                  <c:v>60070</c:v>
                </c:pt>
                <c:pt idx="3001">
                  <c:v>60077</c:v>
                </c:pt>
                <c:pt idx="3002">
                  <c:v>60084</c:v>
                </c:pt>
                <c:pt idx="3003">
                  <c:v>60091</c:v>
                </c:pt>
                <c:pt idx="3004">
                  <c:v>60098</c:v>
                </c:pt>
                <c:pt idx="3005">
                  <c:v>60105</c:v>
                </c:pt>
                <c:pt idx="3006">
                  <c:v>60112</c:v>
                </c:pt>
                <c:pt idx="3007">
                  <c:v>60119</c:v>
                </c:pt>
                <c:pt idx="3008">
                  <c:v>60126</c:v>
                </c:pt>
                <c:pt idx="3009">
                  <c:v>60133</c:v>
                </c:pt>
                <c:pt idx="3010">
                  <c:v>60140</c:v>
                </c:pt>
                <c:pt idx="3011">
                  <c:v>60147</c:v>
                </c:pt>
                <c:pt idx="3012">
                  <c:v>60154</c:v>
                </c:pt>
                <c:pt idx="3013">
                  <c:v>60161</c:v>
                </c:pt>
                <c:pt idx="3014">
                  <c:v>60168</c:v>
                </c:pt>
                <c:pt idx="3015">
                  <c:v>60175</c:v>
                </c:pt>
                <c:pt idx="3016">
                  <c:v>60182</c:v>
                </c:pt>
                <c:pt idx="3017">
                  <c:v>60189</c:v>
                </c:pt>
                <c:pt idx="3018">
                  <c:v>60196</c:v>
                </c:pt>
                <c:pt idx="3019">
                  <c:v>60203</c:v>
                </c:pt>
                <c:pt idx="3020">
                  <c:v>60210</c:v>
                </c:pt>
                <c:pt idx="3021">
                  <c:v>60217</c:v>
                </c:pt>
                <c:pt idx="3022">
                  <c:v>60224</c:v>
                </c:pt>
                <c:pt idx="3023">
                  <c:v>60231</c:v>
                </c:pt>
                <c:pt idx="3024">
                  <c:v>60238</c:v>
                </c:pt>
                <c:pt idx="3025">
                  <c:v>60245</c:v>
                </c:pt>
                <c:pt idx="3026">
                  <c:v>60252</c:v>
                </c:pt>
                <c:pt idx="3027">
                  <c:v>60259</c:v>
                </c:pt>
                <c:pt idx="3028">
                  <c:v>60267</c:v>
                </c:pt>
                <c:pt idx="3029">
                  <c:v>60274</c:v>
                </c:pt>
                <c:pt idx="3030">
                  <c:v>60281</c:v>
                </c:pt>
                <c:pt idx="3031">
                  <c:v>60288</c:v>
                </c:pt>
                <c:pt idx="3032">
                  <c:v>60295</c:v>
                </c:pt>
                <c:pt idx="3033">
                  <c:v>60302</c:v>
                </c:pt>
                <c:pt idx="3034">
                  <c:v>60309</c:v>
                </c:pt>
                <c:pt idx="3035">
                  <c:v>60316</c:v>
                </c:pt>
                <c:pt idx="3036">
                  <c:v>60323</c:v>
                </c:pt>
                <c:pt idx="3037">
                  <c:v>60330</c:v>
                </c:pt>
                <c:pt idx="3038">
                  <c:v>60337</c:v>
                </c:pt>
                <c:pt idx="3039">
                  <c:v>60344</c:v>
                </c:pt>
                <c:pt idx="3040">
                  <c:v>60351</c:v>
                </c:pt>
                <c:pt idx="3041">
                  <c:v>60359</c:v>
                </c:pt>
                <c:pt idx="3042">
                  <c:v>60366</c:v>
                </c:pt>
                <c:pt idx="3043">
                  <c:v>60373</c:v>
                </c:pt>
                <c:pt idx="3044">
                  <c:v>60380</c:v>
                </c:pt>
                <c:pt idx="3045">
                  <c:v>60387</c:v>
                </c:pt>
                <c:pt idx="3046">
                  <c:v>60394</c:v>
                </c:pt>
                <c:pt idx="3047">
                  <c:v>60401</c:v>
                </c:pt>
                <c:pt idx="3048">
                  <c:v>60408</c:v>
                </c:pt>
                <c:pt idx="3049">
                  <c:v>60415</c:v>
                </c:pt>
                <c:pt idx="3050">
                  <c:v>60422</c:v>
                </c:pt>
                <c:pt idx="3051">
                  <c:v>60429</c:v>
                </c:pt>
                <c:pt idx="3052">
                  <c:v>60436</c:v>
                </c:pt>
                <c:pt idx="3053">
                  <c:v>60443</c:v>
                </c:pt>
                <c:pt idx="3054">
                  <c:v>60450</c:v>
                </c:pt>
                <c:pt idx="3055">
                  <c:v>60457</c:v>
                </c:pt>
                <c:pt idx="3056">
                  <c:v>60464</c:v>
                </c:pt>
                <c:pt idx="3057">
                  <c:v>60471</c:v>
                </c:pt>
                <c:pt idx="3058">
                  <c:v>60478</c:v>
                </c:pt>
                <c:pt idx="3059">
                  <c:v>60485</c:v>
                </c:pt>
                <c:pt idx="3060">
                  <c:v>60492</c:v>
                </c:pt>
                <c:pt idx="3061">
                  <c:v>60499</c:v>
                </c:pt>
                <c:pt idx="3062">
                  <c:v>60506</c:v>
                </c:pt>
                <c:pt idx="3063">
                  <c:v>60513</c:v>
                </c:pt>
                <c:pt idx="3064">
                  <c:v>60520</c:v>
                </c:pt>
                <c:pt idx="3065">
                  <c:v>60527</c:v>
                </c:pt>
                <c:pt idx="3066">
                  <c:v>60534</c:v>
                </c:pt>
                <c:pt idx="3067">
                  <c:v>60541</c:v>
                </c:pt>
                <c:pt idx="3068">
                  <c:v>60548</c:v>
                </c:pt>
                <c:pt idx="3069">
                  <c:v>60555</c:v>
                </c:pt>
                <c:pt idx="3070">
                  <c:v>60562</c:v>
                </c:pt>
                <c:pt idx="3071">
                  <c:v>60569</c:v>
                </c:pt>
                <c:pt idx="3072">
                  <c:v>60576</c:v>
                </c:pt>
                <c:pt idx="3073">
                  <c:v>60583</c:v>
                </c:pt>
                <c:pt idx="3074">
                  <c:v>60590</c:v>
                </c:pt>
                <c:pt idx="3075">
                  <c:v>60597</c:v>
                </c:pt>
                <c:pt idx="3076">
                  <c:v>60604</c:v>
                </c:pt>
                <c:pt idx="3077">
                  <c:v>60611</c:v>
                </c:pt>
                <c:pt idx="3078">
                  <c:v>60618</c:v>
                </c:pt>
                <c:pt idx="3079">
                  <c:v>60625</c:v>
                </c:pt>
                <c:pt idx="3080">
                  <c:v>60632</c:v>
                </c:pt>
                <c:pt idx="3081">
                  <c:v>60639</c:v>
                </c:pt>
                <c:pt idx="3082">
                  <c:v>60646</c:v>
                </c:pt>
                <c:pt idx="3083">
                  <c:v>60653</c:v>
                </c:pt>
                <c:pt idx="3084">
                  <c:v>60660</c:v>
                </c:pt>
                <c:pt idx="3085">
                  <c:v>60667</c:v>
                </c:pt>
                <c:pt idx="3086">
                  <c:v>60674</c:v>
                </c:pt>
                <c:pt idx="3087">
                  <c:v>60681</c:v>
                </c:pt>
                <c:pt idx="3088">
                  <c:v>60688</c:v>
                </c:pt>
                <c:pt idx="3089">
                  <c:v>60695</c:v>
                </c:pt>
                <c:pt idx="3090">
                  <c:v>60702</c:v>
                </c:pt>
                <c:pt idx="3091">
                  <c:v>60709</c:v>
                </c:pt>
                <c:pt idx="3092">
                  <c:v>60716</c:v>
                </c:pt>
                <c:pt idx="3093">
                  <c:v>60723</c:v>
                </c:pt>
                <c:pt idx="3094">
                  <c:v>60730</c:v>
                </c:pt>
                <c:pt idx="3095">
                  <c:v>60737</c:v>
                </c:pt>
                <c:pt idx="3096">
                  <c:v>60744</c:v>
                </c:pt>
                <c:pt idx="3097">
                  <c:v>60751</c:v>
                </c:pt>
                <c:pt idx="3098">
                  <c:v>60758</c:v>
                </c:pt>
                <c:pt idx="3099">
                  <c:v>60765</c:v>
                </c:pt>
                <c:pt idx="3100">
                  <c:v>60772</c:v>
                </c:pt>
                <c:pt idx="3101">
                  <c:v>60779</c:v>
                </c:pt>
                <c:pt idx="3102">
                  <c:v>60786</c:v>
                </c:pt>
                <c:pt idx="3103">
                  <c:v>60793</c:v>
                </c:pt>
                <c:pt idx="3104">
                  <c:v>60800</c:v>
                </c:pt>
                <c:pt idx="3105">
                  <c:v>60807</c:v>
                </c:pt>
                <c:pt idx="3106">
                  <c:v>60814</c:v>
                </c:pt>
                <c:pt idx="3107">
                  <c:v>60821</c:v>
                </c:pt>
                <c:pt idx="3108">
                  <c:v>60828</c:v>
                </c:pt>
                <c:pt idx="3109">
                  <c:v>60835</c:v>
                </c:pt>
                <c:pt idx="3110">
                  <c:v>60842</c:v>
                </c:pt>
                <c:pt idx="3111">
                  <c:v>60849</c:v>
                </c:pt>
                <c:pt idx="3112">
                  <c:v>60856</c:v>
                </c:pt>
                <c:pt idx="3113">
                  <c:v>60863</c:v>
                </c:pt>
                <c:pt idx="3114">
                  <c:v>60870</c:v>
                </c:pt>
                <c:pt idx="3115">
                  <c:v>60877</c:v>
                </c:pt>
                <c:pt idx="3116">
                  <c:v>60884</c:v>
                </c:pt>
                <c:pt idx="3117">
                  <c:v>60891</c:v>
                </c:pt>
                <c:pt idx="3118">
                  <c:v>60898</c:v>
                </c:pt>
                <c:pt idx="3119">
                  <c:v>60905</c:v>
                </c:pt>
                <c:pt idx="3120">
                  <c:v>60912</c:v>
                </c:pt>
                <c:pt idx="3121">
                  <c:v>60919</c:v>
                </c:pt>
                <c:pt idx="3122">
                  <c:v>60926</c:v>
                </c:pt>
                <c:pt idx="3123">
                  <c:v>60933</c:v>
                </c:pt>
                <c:pt idx="3124">
                  <c:v>60940</c:v>
                </c:pt>
                <c:pt idx="3125">
                  <c:v>60947</c:v>
                </c:pt>
                <c:pt idx="3126">
                  <c:v>60954</c:v>
                </c:pt>
                <c:pt idx="3127">
                  <c:v>60961</c:v>
                </c:pt>
                <c:pt idx="3128">
                  <c:v>60968</c:v>
                </c:pt>
                <c:pt idx="3129">
                  <c:v>60975</c:v>
                </c:pt>
                <c:pt idx="3130">
                  <c:v>60982</c:v>
                </c:pt>
                <c:pt idx="3131">
                  <c:v>60989</c:v>
                </c:pt>
                <c:pt idx="3132">
                  <c:v>60996</c:v>
                </c:pt>
                <c:pt idx="3133">
                  <c:v>61003</c:v>
                </c:pt>
                <c:pt idx="3134">
                  <c:v>61010</c:v>
                </c:pt>
                <c:pt idx="3135">
                  <c:v>61017</c:v>
                </c:pt>
                <c:pt idx="3136">
                  <c:v>61024</c:v>
                </c:pt>
                <c:pt idx="3137">
                  <c:v>61031</c:v>
                </c:pt>
                <c:pt idx="3138">
                  <c:v>61038</c:v>
                </c:pt>
                <c:pt idx="3139">
                  <c:v>61045</c:v>
                </c:pt>
                <c:pt idx="3140">
                  <c:v>61052</c:v>
                </c:pt>
                <c:pt idx="3141">
                  <c:v>61059</c:v>
                </c:pt>
                <c:pt idx="3142">
                  <c:v>61066</c:v>
                </c:pt>
                <c:pt idx="3143">
                  <c:v>61073</c:v>
                </c:pt>
                <c:pt idx="3144">
                  <c:v>61080</c:v>
                </c:pt>
                <c:pt idx="3145">
                  <c:v>61087</c:v>
                </c:pt>
                <c:pt idx="3146">
                  <c:v>61094</c:v>
                </c:pt>
                <c:pt idx="3147">
                  <c:v>61101</c:v>
                </c:pt>
                <c:pt idx="3148">
                  <c:v>61108</c:v>
                </c:pt>
                <c:pt idx="3149">
                  <c:v>61115</c:v>
                </c:pt>
                <c:pt idx="3150">
                  <c:v>61122</c:v>
                </c:pt>
                <c:pt idx="3151">
                  <c:v>61129</c:v>
                </c:pt>
                <c:pt idx="3152">
                  <c:v>61136</c:v>
                </c:pt>
                <c:pt idx="3153">
                  <c:v>61143</c:v>
                </c:pt>
                <c:pt idx="3154">
                  <c:v>61150</c:v>
                </c:pt>
                <c:pt idx="3155">
                  <c:v>61157</c:v>
                </c:pt>
                <c:pt idx="3156">
                  <c:v>61164</c:v>
                </c:pt>
                <c:pt idx="3157">
                  <c:v>61171</c:v>
                </c:pt>
                <c:pt idx="3158">
                  <c:v>61178</c:v>
                </c:pt>
                <c:pt idx="3159">
                  <c:v>61185</c:v>
                </c:pt>
                <c:pt idx="3160">
                  <c:v>61192</c:v>
                </c:pt>
                <c:pt idx="3161">
                  <c:v>61199</c:v>
                </c:pt>
                <c:pt idx="3162">
                  <c:v>61206</c:v>
                </c:pt>
                <c:pt idx="3163">
                  <c:v>61213</c:v>
                </c:pt>
                <c:pt idx="3164">
                  <c:v>61220</c:v>
                </c:pt>
                <c:pt idx="3165">
                  <c:v>61227</c:v>
                </c:pt>
                <c:pt idx="3166">
                  <c:v>61234</c:v>
                </c:pt>
                <c:pt idx="3167">
                  <c:v>61241</c:v>
                </c:pt>
                <c:pt idx="3168">
                  <c:v>61248</c:v>
                </c:pt>
                <c:pt idx="3169">
                  <c:v>61255</c:v>
                </c:pt>
                <c:pt idx="3170">
                  <c:v>61262</c:v>
                </c:pt>
                <c:pt idx="3171">
                  <c:v>61269</c:v>
                </c:pt>
                <c:pt idx="3172">
                  <c:v>61276</c:v>
                </c:pt>
                <c:pt idx="3173">
                  <c:v>61283</c:v>
                </c:pt>
                <c:pt idx="3174">
                  <c:v>61290</c:v>
                </c:pt>
                <c:pt idx="3175">
                  <c:v>61297</c:v>
                </c:pt>
                <c:pt idx="3176">
                  <c:v>61304</c:v>
                </c:pt>
                <c:pt idx="3177">
                  <c:v>61311</c:v>
                </c:pt>
                <c:pt idx="3178">
                  <c:v>61318</c:v>
                </c:pt>
                <c:pt idx="3179">
                  <c:v>61325</c:v>
                </c:pt>
                <c:pt idx="3180">
                  <c:v>61332</c:v>
                </c:pt>
                <c:pt idx="3181">
                  <c:v>61339</c:v>
                </c:pt>
                <c:pt idx="3182">
                  <c:v>61346</c:v>
                </c:pt>
                <c:pt idx="3183">
                  <c:v>61353</c:v>
                </c:pt>
                <c:pt idx="3184">
                  <c:v>61360</c:v>
                </c:pt>
                <c:pt idx="3185">
                  <c:v>61367</c:v>
                </c:pt>
                <c:pt idx="3186">
                  <c:v>61374</c:v>
                </c:pt>
                <c:pt idx="3187">
                  <c:v>61381</c:v>
                </c:pt>
                <c:pt idx="3188">
                  <c:v>61388</c:v>
                </c:pt>
                <c:pt idx="3189">
                  <c:v>61395</c:v>
                </c:pt>
                <c:pt idx="3190">
                  <c:v>61402</c:v>
                </c:pt>
                <c:pt idx="3191">
                  <c:v>61409</c:v>
                </c:pt>
                <c:pt idx="3192">
                  <c:v>61416</c:v>
                </c:pt>
                <c:pt idx="3193">
                  <c:v>61423</c:v>
                </c:pt>
                <c:pt idx="3194">
                  <c:v>61430</c:v>
                </c:pt>
                <c:pt idx="3195">
                  <c:v>61437</c:v>
                </c:pt>
                <c:pt idx="3196">
                  <c:v>61444</c:v>
                </c:pt>
                <c:pt idx="3197">
                  <c:v>61451</c:v>
                </c:pt>
                <c:pt idx="3198">
                  <c:v>61458</c:v>
                </c:pt>
                <c:pt idx="3199">
                  <c:v>61465</c:v>
                </c:pt>
                <c:pt idx="3200">
                  <c:v>61472</c:v>
                </c:pt>
                <c:pt idx="3201">
                  <c:v>61479</c:v>
                </c:pt>
                <c:pt idx="3202">
                  <c:v>61487</c:v>
                </c:pt>
                <c:pt idx="3203">
                  <c:v>61494</c:v>
                </c:pt>
                <c:pt idx="3204">
                  <c:v>61501</c:v>
                </c:pt>
                <c:pt idx="3205">
                  <c:v>61508</c:v>
                </c:pt>
                <c:pt idx="3206">
                  <c:v>61515</c:v>
                </c:pt>
                <c:pt idx="3207">
                  <c:v>61522</c:v>
                </c:pt>
                <c:pt idx="3208">
                  <c:v>61529</c:v>
                </c:pt>
                <c:pt idx="3209">
                  <c:v>61536</c:v>
                </c:pt>
                <c:pt idx="3210">
                  <c:v>61543</c:v>
                </c:pt>
                <c:pt idx="3211">
                  <c:v>61550</c:v>
                </c:pt>
                <c:pt idx="3212">
                  <c:v>61557</c:v>
                </c:pt>
                <c:pt idx="3213">
                  <c:v>61564</c:v>
                </c:pt>
                <c:pt idx="3214">
                  <c:v>61571</c:v>
                </c:pt>
                <c:pt idx="3215">
                  <c:v>61578</c:v>
                </c:pt>
                <c:pt idx="3216">
                  <c:v>61585</c:v>
                </c:pt>
                <c:pt idx="3217">
                  <c:v>61592</c:v>
                </c:pt>
                <c:pt idx="3218">
                  <c:v>61599</c:v>
                </c:pt>
                <c:pt idx="3219">
                  <c:v>61606</c:v>
                </c:pt>
                <c:pt idx="3220">
                  <c:v>61613</c:v>
                </c:pt>
                <c:pt idx="3221">
                  <c:v>61620</c:v>
                </c:pt>
                <c:pt idx="3222">
                  <c:v>61627</c:v>
                </c:pt>
                <c:pt idx="3223">
                  <c:v>61634</c:v>
                </c:pt>
                <c:pt idx="3224">
                  <c:v>61641</c:v>
                </c:pt>
                <c:pt idx="3225">
                  <c:v>61648</c:v>
                </c:pt>
                <c:pt idx="3226">
                  <c:v>61655</c:v>
                </c:pt>
                <c:pt idx="3227">
                  <c:v>61662</c:v>
                </c:pt>
                <c:pt idx="3228">
                  <c:v>61669</c:v>
                </c:pt>
                <c:pt idx="3229">
                  <c:v>61676</c:v>
                </c:pt>
                <c:pt idx="3230">
                  <c:v>61683</c:v>
                </c:pt>
                <c:pt idx="3231">
                  <c:v>61690</c:v>
                </c:pt>
                <c:pt idx="3232">
                  <c:v>61697</c:v>
                </c:pt>
                <c:pt idx="3233">
                  <c:v>61704</c:v>
                </c:pt>
                <c:pt idx="3234">
                  <c:v>61711</c:v>
                </c:pt>
                <c:pt idx="3235">
                  <c:v>61718</c:v>
                </c:pt>
                <c:pt idx="3236">
                  <c:v>61728</c:v>
                </c:pt>
                <c:pt idx="3237">
                  <c:v>61735</c:v>
                </c:pt>
                <c:pt idx="3238">
                  <c:v>61742</c:v>
                </c:pt>
                <c:pt idx="3239">
                  <c:v>61749</c:v>
                </c:pt>
                <c:pt idx="3240">
                  <c:v>61756</c:v>
                </c:pt>
                <c:pt idx="3241">
                  <c:v>61763</c:v>
                </c:pt>
                <c:pt idx="3242">
                  <c:v>61770</c:v>
                </c:pt>
                <c:pt idx="3243">
                  <c:v>61777</c:v>
                </c:pt>
                <c:pt idx="3244">
                  <c:v>61784</c:v>
                </c:pt>
                <c:pt idx="3245">
                  <c:v>61791</c:v>
                </c:pt>
                <c:pt idx="3246">
                  <c:v>61798</c:v>
                </c:pt>
                <c:pt idx="3247">
                  <c:v>61805</c:v>
                </c:pt>
                <c:pt idx="3248">
                  <c:v>61812</c:v>
                </c:pt>
                <c:pt idx="3249">
                  <c:v>61819</c:v>
                </c:pt>
                <c:pt idx="3250">
                  <c:v>61826</c:v>
                </c:pt>
                <c:pt idx="3251">
                  <c:v>61835</c:v>
                </c:pt>
                <c:pt idx="3252">
                  <c:v>61840</c:v>
                </c:pt>
                <c:pt idx="3253">
                  <c:v>61847</c:v>
                </c:pt>
                <c:pt idx="3254">
                  <c:v>61854</c:v>
                </c:pt>
                <c:pt idx="3255">
                  <c:v>61861</c:v>
                </c:pt>
                <c:pt idx="3256">
                  <c:v>61868</c:v>
                </c:pt>
                <c:pt idx="3257">
                  <c:v>61875</c:v>
                </c:pt>
                <c:pt idx="3258">
                  <c:v>61882</c:v>
                </c:pt>
                <c:pt idx="3259">
                  <c:v>61889</c:v>
                </c:pt>
                <c:pt idx="3260">
                  <c:v>61896</c:v>
                </c:pt>
                <c:pt idx="3261">
                  <c:v>61903</c:v>
                </c:pt>
                <c:pt idx="3262">
                  <c:v>61910</c:v>
                </c:pt>
                <c:pt idx="3263">
                  <c:v>61917</c:v>
                </c:pt>
                <c:pt idx="3264">
                  <c:v>61924</c:v>
                </c:pt>
                <c:pt idx="3265">
                  <c:v>61931</c:v>
                </c:pt>
                <c:pt idx="3266">
                  <c:v>61938</c:v>
                </c:pt>
                <c:pt idx="3267">
                  <c:v>61945</c:v>
                </c:pt>
                <c:pt idx="3268">
                  <c:v>61952</c:v>
                </c:pt>
                <c:pt idx="3269">
                  <c:v>61959</c:v>
                </c:pt>
                <c:pt idx="3270">
                  <c:v>61966</c:v>
                </c:pt>
                <c:pt idx="3271">
                  <c:v>61973</c:v>
                </c:pt>
                <c:pt idx="3272">
                  <c:v>61980</c:v>
                </c:pt>
                <c:pt idx="3273">
                  <c:v>61987</c:v>
                </c:pt>
                <c:pt idx="3274">
                  <c:v>61994</c:v>
                </c:pt>
                <c:pt idx="3275">
                  <c:v>62001</c:v>
                </c:pt>
                <c:pt idx="3276">
                  <c:v>62008</c:v>
                </c:pt>
                <c:pt idx="3277">
                  <c:v>62015</c:v>
                </c:pt>
                <c:pt idx="3278">
                  <c:v>62022</c:v>
                </c:pt>
                <c:pt idx="3279">
                  <c:v>62029</c:v>
                </c:pt>
                <c:pt idx="3280">
                  <c:v>62036</c:v>
                </c:pt>
                <c:pt idx="3281">
                  <c:v>62043</c:v>
                </c:pt>
                <c:pt idx="3282">
                  <c:v>62050</c:v>
                </c:pt>
                <c:pt idx="3283">
                  <c:v>62057</c:v>
                </c:pt>
                <c:pt idx="3284">
                  <c:v>62064</c:v>
                </c:pt>
                <c:pt idx="3285">
                  <c:v>62071</c:v>
                </c:pt>
                <c:pt idx="3286">
                  <c:v>62078</c:v>
                </c:pt>
                <c:pt idx="3287">
                  <c:v>62085</c:v>
                </c:pt>
                <c:pt idx="3288">
                  <c:v>62093</c:v>
                </c:pt>
                <c:pt idx="3289">
                  <c:v>62100</c:v>
                </c:pt>
                <c:pt idx="3290">
                  <c:v>62107</c:v>
                </c:pt>
                <c:pt idx="3291">
                  <c:v>62114</c:v>
                </c:pt>
                <c:pt idx="3292">
                  <c:v>62121</c:v>
                </c:pt>
                <c:pt idx="3293">
                  <c:v>62128</c:v>
                </c:pt>
                <c:pt idx="3294">
                  <c:v>62135</c:v>
                </c:pt>
                <c:pt idx="3295">
                  <c:v>62142</c:v>
                </c:pt>
                <c:pt idx="3296">
                  <c:v>62149</c:v>
                </c:pt>
                <c:pt idx="3297">
                  <c:v>62156</c:v>
                </c:pt>
                <c:pt idx="3298">
                  <c:v>62163</c:v>
                </c:pt>
                <c:pt idx="3299">
                  <c:v>62170</c:v>
                </c:pt>
                <c:pt idx="3300">
                  <c:v>62177</c:v>
                </c:pt>
                <c:pt idx="3301">
                  <c:v>62186</c:v>
                </c:pt>
                <c:pt idx="3302">
                  <c:v>62193</c:v>
                </c:pt>
                <c:pt idx="3303">
                  <c:v>62200</c:v>
                </c:pt>
                <c:pt idx="3304">
                  <c:v>62207</c:v>
                </c:pt>
                <c:pt idx="3305">
                  <c:v>62215</c:v>
                </c:pt>
                <c:pt idx="3306">
                  <c:v>62221</c:v>
                </c:pt>
                <c:pt idx="3307">
                  <c:v>62228</c:v>
                </c:pt>
                <c:pt idx="3308">
                  <c:v>62235</c:v>
                </c:pt>
                <c:pt idx="3309">
                  <c:v>62242</c:v>
                </c:pt>
                <c:pt idx="3310">
                  <c:v>62249</c:v>
                </c:pt>
                <c:pt idx="3311">
                  <c:v>62256</c:v>
                </c:pt>
                <c:pt idx="3312">
                  <c:v>62263</c:v>
                </c:pt>
                <c:pt idx="3313">
                  <c:v>62270</c:v>
                </c:pt>
                <c:pt idx="3314">
                  <c:v>62277</c:v>
                </c:pt>
                <c:pt idx="3315">
                  <c:v>62284</c:v>
                </c:pt>
                <c:pt idx="3316">
                  <c:v>62291</c:v>
                </c:pt>
                <c:pt idx="3317">
                  <c:v>62298</c:v>
                </c:pt>
                <c:pt idx="3318">
                  <c:v>62305</c:v>
                </c:pt>
                <c:pt idx="3319">
                  <c:v>62312</c:v>
                </c:pt>
                <c:pt idx="3320">
                  <c:v>62319</c:v>
                </c:pt>
                <c:pt idx="3321">
                  <c:v>62326</c:v>
                </c:pt>
                <c:pt idx="3322">
                  <c:v>62333</c:v>
                </c:pt>
                <c:pt idx="3323">
                  <c:v>62340</c:v>
                </c:pt>
                <c:pt idx="3324">
                  <c:v>62347</c:v>
                </c:pt>
                <c:pt idx="3325">
                  <c:v>62354</c:v>
                </c:pt>
                <c:pt idx="3326">
                  <c:v>62361</c:v>
                </c:pt>
                <c:pt idx="3327">
                  <c:v>62368</c:v>
                </c:pt>
                <c:pt idx="3328">
                  <c:v>62375</c:v>
                </c:pt>
                <c:pt idx="3329">
                  <c:v>62382</c:v>
                </c:pt>
                <c:pt idx="3330">
                  <c:v>62389</c:v>
                </c:pt>
                <c:pt idx="3331">
                  <c:v>62396</c:v>
                </c:pt>
                <c:pt idx="3332">
                  <c:v>62403</c:v>
                </c:pt>
                <c:pt idx="3333">
                  <c:v>62410</c:v>
                </c:pt>
                <c:pt idx="3334">
                  <c:v>62417</c:v>
                </c:pt>
                <c:pt idx="3335">
                  <c:v>62424</c:v>
                </c:pt>
                <c:pt idx="3336">
                  <c:v>62431</c:v>
                </c:pt>
                <c:pt idx="3337">
                  <c:v>62438</c:v>
                </c:pt>
                <c:pt idx="3338">
                  <c:v>62445</c:v>
                </c:pt>
                <c:pt idx="3339">
                  <c:v>62456</c:v>
                </c:pt>
                <c:pt idx="3340">
                  <c:v>62460</c:v>
                </c:pt>
                <c:pt idx="3341">
                  <c:v>62466</c:v>
                </c:pt>
                <c:pt idx="3342">
                  <c:v>62473</c:v>
                </c:pt>
                <c:pt idx="3343">
                  <c:v>62480</c:v>
                </c:pt>
                <c:pt idx="3344">
                  <c:v>62487</c:v>
                </c:pt>
                <c:pt idx="3345">
                  <c:v>62494</c:v>
                </c:pt>
                <c:pt idx="3346">
                  <c:v>62501</c:v>
                </c:pt>
                <c:pt idx="3347">
                  <c:v>62508</c:v>
                </c:pt>
                <c:pt idx="3348">
                  <c:v>62515</c:v>
                </c:pt>
                <c:pt idx="3349">
                  <c:v>62522</c:v>
                </c:pt>
                <c:pt idx="3350">
                  <c:v>62529</c:v>
                </c:pt>
                <c:pt idx="3351">
                  <c:v>62536</c:v>
                </c:pt>
                <c:pt idx="3352">
                  <c:v>62543</c:v>
                </c:pt>
                <c:pt idx="3353">
                  <c:v>62550</c:v>
                </c:pt>
                <c:pt idx="3354">
                  <c:v>62557</c:v>
                </c:pt>
                <c:pt idx="3355">
                  <c:v>62564</c:v>
                </c:pt>
                <c:pt idx="3356">
                  <c:v>62571</c:v>
                </c:pt>
                <c:pt idx="3357">
                  <c:v>62578</c:v>
                </c:pt>
                <c:pt idx="3358">
                  <c:v>62585</c:v>
                </c:pt>
                <c:pt idx="3359">
                  <c:v>62592</c:v>
                </c:pt>
                <c:pt idx="3360">
                  <c:v>62599</c:v>
                </c:pt>
                <c:pt idx="3361">
                  <c:v>62606</c:v>
                </c:pt>
                <c:pt idx="3362">
                  <c:v>62613</c:v>
                </c:pt>
                <c:pt idx="3363">
                  <c:v>62620</c:v>
                </c:pt>
                <c:pt idx="3364">
                  <c:v>62627</c:v>
                </c:pt>
                <c:pt idx="3365">
                  <c:v>62634</c:v>
                </c:pt>
                <c:pt idx="3366">
                  <c:v>62641</c:v>
                </c:pt>
                <c:pt idx="3367">
                  <c:v>62648</c:v>
                </c:pt>
                <c:pt idx="3368">
                  <c:v>62655</c:v>
                </c:pt>
                <c:pt idx="3369">
                  <c:v>62662</c:v>
                </c:pt>
                <c:pt idx="3370">
                  <c:v>62669</c:v>
                </c:pt>
                <c:pt idx="3371">
                  <c:v>62676</c:v>
                </c:pt>
                <c:pt idx="3372">
                  <c:v>62683</c:v>
                </c:pt>
                <c:pt idx="3373">
                  <c:v>62690</c:v>
                </c:pt>
                <c:pt idx="3374">
                  <c:v>62697</c:v>
                </c:pt>
                <c:pt idx="3375">
                  <c:v>62704</c:v>
                </c:pt>
                <c:pt idx="3376">
                  <c:v>62711</c:v>
                </c:pt>
                <c:pt idx="3377">
                  <c:v>62718</c:v>
                </c:pt>
                <c:pt idx="3378">
                  <c:v>62725</c:v>
                </c:pt>
                <c:pt idx="3379">
                  <c:v>62732</c:v>
                </c:pt>
                <c:pt idx="3380">
                  <c:v>62739</c:v>
                </c:pt>
                <c:pt idx="3381">
                  <c:v>62746</c:v>
                </c:pt>
                <c:pt idx="3382">
                  <c:v>62753</c:v>
                </c:pt>
                <c:pt idx="3383">
                  <c:v>62760</c:v>
                </c:pt>
                <c:pt idx="3384">
                  <c:v>62767</c:v>
                </c:pt>
                <c:pt idx="3385">
                  <c:v>62774</c:v>
                </c:pt>
                <c:pt idx="3386">
                  <c:v>62781</c:v>
                </c:pt>
                <c:pt idx="3387">
                  <c:v>62788</c:v>
                </c:pt>
                <c:pt idx="3388">
                  <c:v>62795</c:v>
                </c:pt>
                <c:pt idx="3389">
                  <c:v>62802</c:v>
                </c:pt>
                <c:pt idx="3390">
                  <c:v>62809</c:v>
                </c:pt>
                <c:pt idx="3391">
                  <c:v>62816</c:v>
                </c:pt>
                <c:pt idx="3392">
                  <c:v>62823</c:v>
                </c:pt>
                <c:pt idx="3393">
                  <c:v>62830</c:v>
                </c:pt>
                <c:pt idx="3394">
                  <c:v>62837</c:v>
                </c:pt>
                <c:pt idx="3395">
                  <c:v>62844</c:v>
                </c:pt>
                <c:pt idx="3396">
                  <c:v>62851</c:v>
                </c:pt>
                <c:pt idx="3397">
                  <c:v>62858</c:v>
                </c:pt>
                <c:pt idx="3398">
                  <c:v>62865</c:v>
                </c:pt>
                <c:pt idx="3399">
                  <c:v>62872</c:v>
                </c:pt>
                <c:pt idx="3400">
                  <c:v>62879</c:v>
                </c:pt>
                <c:pt idx="3401">
                  <c:v>62886</c:v>
                </c:pt>
                <c:pt idx="3402">
                  <c:v>62893</c:v>
                </c:pt>
                <c:pt idx="3403">
                  <c:v>62900</c:v>
                </c:pt>
                <c:pt idx="3404">
                  <c:v>62907</c:v>
                </c:pt>
                <c:pt idx="3405">
                  <c:v>62914</c:v>
                </c:pt>
                <c:pt idx="3406">
                  <c:v>62921</c:v>
                </c:pt>
                <c:pt idx="3407">
                  <c:v>62928</c:v>
                </c:pt>
                <c:pt idx="3408">
                  <c:v>62935</c:v>
                </c:pt>
                <c:pt idx="3409">
                  <c:v>62942</c:v>
                </c:pt>
                <c:pt idx="3410">
                  <c:v>62949</c:v>
                </c:pt>
                <c:pt idx="3411">
                  <c:v>62956</c:v>
                </c:pt>
                <c:pt idx="3412">
                  <c:v>62963</c:v>
                </c:pt>
                <c:pt idx="3413">
                  <c:v>62970</c:v>
                </c:pt>
                <c:pt idx="3414">
                  <c:v>62977</c:v>
                </c:pt>
                <c:pt idx="3415">
                  <c:v>62984</c:v>
                </c:pt>
                <c:pt idx="3416">
                  <c:v>62991</c:v>
                </c:pt>
                <c:pt idx="3417">
                  <c:v>62998</c:v>
                </c:pt>
                <c:pt idx="3418">
                  <c:v>63005</c:v>
                </c:pt>
                <c:pt idx="3419">
                  <c:v>63012</c:v>
                </c:pt>
                <c:pt idx="3420">
                  <c:v>63019</c:v>
                </c:pt>
                <c:pt idx="3421">
                  <c:v>63026</c:v>
                </c:pt>
                <c:pt idx="3422">
                  <c:v>63033</c:v>
                </c:pt>
                <c:pt idx="3423">
                  <c:v>63040</c:v>
                </c:pt>
                <c:pt idx="3424">
                  <c:v>63047</c:v>
                </c:pt>
                <c:pt idx="3425">
                  <c:v>63054</c:v>
                </c:pt>
                <c:pt idx="3426">
                  <c:v>63061</c:v>
                </c:pt>
                <c:pt idx="3427">
                  <c:v>63068</c:v>
                </c:pt>
                <c:pt idx="3428">
                  <c:v>63075</c:v>
                </c:pt>
                <c:pt idx="3429">
                  <c:v>63082</c:v>
                </c:pt>
                <c:pt idx="3430">
                  <c:v>63089</c:v>
                </c:pt>
                <c:pt idx="3431">
                  <c:v>63096</c:v>
                </c:pt>
                <c:pt idx="3432">
                  <c:v>63103</c:v>
                </c:pt>
                <c:pt idx="3433">
                  <c:v>63110</c:v>
                </c:pt>
                <c:pt idx="3434">
                  <c:v>63117</c:v>
                </c:pt>
                <c:pt idx="3435">
                  <c:v>63124</c:v>
                </c:pt>
                <c:pt idx="3436">
                  <c:v>63131</c:v>
                </c:pt>
                <c:pt idx="3437">
                  <c:v>63138</c:v>
                </c:pt>
                <c:pt idx="3438">
                  <c:v>63145</c:v>
                </c:pt>
                <c:pt idx="3439">
                  <c:v>63152</c:v>
                </c:pt>
                <c:pt idx="3440">
                  <c:v>63159</c:v>
                </c:pt>
                <c:pt idx="3441">
                  <c:v>63166</c:v>
                </c:pt>
                <c:pt idx="3442">
                  <c:v>63173</c:v>
                </c:pt>
                <c:pt idx="3443">
                  <c:v>63180</c:v>
                </c:pt>
                <c:pt idx="3444">
                  <c:v>63187</c:v>
                </c:pt>
                <c:pt idx="3445">
                  <c:v>63194</c:v>
                </c:pt>
                <c:pt idx="3446">
                  <c:v>63201</c:v>
                </c:pt>
                <c:pt idx="3447">
                  <c:v>63208</c:v>
                </c:pt>
                <c:pt idx="3448">
                  <c:v>63215</c:v>
                </c:pt>
                <c:pt idx="3449">
                  <c:v>63222</c:v>
                </c:pt>
                <c:pt idx="3450">
                  <c:v>63229</c:v>
                </c:pt>
                <c:pt idx="3451">
                  <c:v>63236</c:v>
                </c:pt>
                <c:pt idx="3452">
                  <c:v>63243</c:v>
                </c:pt>
                <c:pt idx="3453">
                  <c:v>63250</c:v>
                </c:pt>
                <c:pt idx="3454">
                  <c:v>63257</c:v>
                </c:pt>
                <c:pt idx="3455">
                  <c:v>63264</c:v>
                </c:pt>
                <c:pt idx="3456">
                  <c:v>63271</c:v>
                </c:pt>
                <c:pt idx="3457">
                  <c:v>63278</c:v>
                </c:pt>
                <c:pt idx="3458">
                  <c:v>63285</c:v>
                </c:pt>
                <c:pt idx="3459">
                  <c:v>63292</c:v>
                </c:pt>
                <c:pt idx="3460">
                  <c:v>63299</c:v>
                </c:pt>
                <c:pt idx="3461">
                  <c:v>63306</c:v>
                </c:pt>
                <c:pt idx="3462">
                  <c:v>63313</c:v>
                </c:pt>
                <c:pt idx="3463">
                  <c:v>63320</c:v>
                </c:pt>
                <c:pt idx="3464">
                  <c:v>63327</c:v>
                </c:pt>
                <c:pt idx="3465">
                  <c:v>63334</c:v>
                </c:pt>
                <c:pt idx="3466">
                  <c:v>63341</c:v>
                </c:pt>
                <c:pt idx="3467">
                  <c:v>63348</c:v>
                </c:pt>
                <c:pt idx="3468">
                  <c:v>63355</c:v>
                </c:pt>
                <c:pt idx="3469">
                  <c:v>63362</c:v>
                </c:pt>
                <c:pt idx="3470">
                  <c:v>63369</c:v>
                </c:pt>
                <c:pt idx="3471">
                  <c:v>63376</c:v>
                </c:pt>
                <c:pt idx="3472">
                  <c:v>63383</c:v>
                </c:pt>
                <c:pt idx="3473">
                  <c:v>63390</c:v>
                </c:pt>
                <c:pt idx="3474">
                  <c:v>63397</c:v>
                </c:pt>
                <c:pt idx="3475">
                  <c:v>63404</c:v>
                </c:pt>
                <c:pt idx="3476">
                  <c:v>63411</c:v>
                </c:pt>
                <c:pt idx="3477">
                  <c:v>63418</c:v>
                </c:pt>
                <c:pt idx="3478">
                  <c:v>63425</c:v>
                </c:pt>
                <c:pt idx="3479">
                  <c:v>63432</c:v>
                </c:pt>
                <c:pt idx="3480">
                  <c:v>63439</c:v>
                </c:pt>
                <c:pt idx="3481">
                  <c:v>63446</c:v>
                </c:pt>
                <c:pt idx="3482">
                  <c:v>63453</c:v>
                </c:pt>
                <c:pt idx="3483">
                  <c:v>63460</c:v>
                </c:pt>
                <c:pt idx="3484">
                  <c:v>63467</c:v>
                </c:pt>
                <c:pt idx="3485">
                  <c:v>63474</c:v>
                </c:pt>
                <c:pt idx="3486">
                  <c:v>63481</c:v>
                </c:pt>
                <c:pt idx="3487">
                  <c:v>63488</c:v>
                </c:pt>
                <c:pt idx="3488">
                  <c:v>63495</c:v>
                </c:pt>
                <c:pt idx="3489">
                  <c:v>63502</c:v>
                </c:pt>
                <c:pt idx="3490">
                  <c:v>63509</c:v>
                </c:pt>
                <c:pt idx="3491">
                  <c:v>63516</c:v>
                </c:pt>
                <c:pt idx="3492">
                  <c:v>63523</c:v>
                </c:pt>
                <c:pt idx="3493">
                  <c:v>63530</c:v>
                </c:pt>
                <c:pt idx="3494">
                  <c:v>63537</c:v>
                </c:pt>
                <c:pt idx="3495">
                  <c:v>63544</c:v>
                </c:pt>
                <c:pt idx="3496">
                  <c:v>63552</c:v>
                </c:pt>
                <c:pt idx="3497">
                  <c:v>63559</c:v>
                </c:pt>
                <c:pt idx="3498">
                  <c:v>63566</c:v>
                </c:pt>
                <c:pt idx="3499">
                  <c:v>63573</c:v>
                </c:pt>
                <c:pt idx="3500">
                  <c:v>63580</c:v>
                </c:pt>
                <c:pt idx="3501">
                  <c:v>63587</c:v>
                </c:pt>
                <c:pt idx="3502">
                  <c:v>63594</c:v>
                </c:pt>
                <c:pt idx="3503">
                  <c:v>63601</c:v>
                </c:pt>
                <c:pt idx="3504">
                  <c:v>63608</c:v>
                </c:pt>
                <c:pt idx="3505">
                  <c:v>63615</c:v>
                </c:pt>
                <c:pt idx="3506">
                  <c:v>63622</c:v>
                </c:pt>
                <c:pt idx="3507">
                  <c:v>63629</c:v>
                </c:pt>
                <c:pt idx="3508">
                  <c:v>63636</c:v>
                </c:pt>
                <c:pt idx="3509">
                  <c:v>63643</c:v>
                </c:pt>
                <c:pt idx="3510">
                  <c:v>63650</c:v>
                </c:pt>
                <c:pt idx="3511">
                  <c:v>63661</c:v>
                </c:pt>
                <c:pt idx="3512">
                  <c:v>63664</c:v>
                </c:pt>
                <c:pt idx="3513">
                  <c:v>63671</c:v>
                </c:pt>
                <c:pt idx="3514">
                  <c:v>63678</c:v>
                </c:pt>
                <c:pt idx="3515">
                  <c:v>63685</c:v>
                </c:pt>
                <c:pt idx="3516">
                  <c:v>63692</c:v>
                </c:pt>
                <c:pt idx="3517">
                  <c:v>63699</c:v>
                </c:pt>
                <c:pt idx="3518">
                  <c:v>63706</c:v>
                </c:pt>
                <c:pt idx="3519">
                  <c:v>63713</c:v>
                </c:pt>
                <c:pt idx="3520">
                  <c:v>63720</c:v>
                </c:pt>
                <c:pt idx="3521">
                  <c:v>63727</c:v>
                </c:pt>
                <c:pt idx="3522">
                  <c:v>63734</c:v>
                </c:pt>
                <c:pt idx="3523">
                  <c:v>63741</c:v>
                </c:pt>
                <c:pt idx="3524">
                  <c:v>63748</c:v>
                </c:pt>
                <c:pt idx="3525">
                  <c:v>63755</c:v>
                </c:pt>
                <c:pt idx="3526">
                  <c:v>63762</c:v>
                </c:pt>
                <c:pt idx="3527">
                  <c:v>63769</c:v>
                </c:pt>
                <c:pt idx="3528">
                  <c:v>63776</c:v>
                </c:pt>
                <c:pt idx="3529">
                  <c:v>63783</c:v>
                </c:pt>
                <c:pt idx="3530">
                  <c:v>63790</c:v>
                </c:pt>
                <c:pt idx="3531">
                  <c:v>63797</c:v>
                </c:pt>
                <c:pt idx="3532">
                  <c:v>63804</c:v>
                </c:pt>
                <c:pt idx="3533">
                  <c:v>63811</c:v>
                </c:pt>
              </c:numCache>
            </c:numRef>
          </c:cat>
          <c:val>
            <c:numRef>
              <c:f>Monitor!$Y$19:$Y$3552</c:f>
              <c:numCache>
                <c:formatCode>0.0000%</c:formatCode>
                <c:ptCount val="3534"/>
                <c:pt idx="0">
                  <c:v>5.8999999999720387E-4</c:v>
                </c:pt>
                <c:pt idx="1">
                  <c:v>5.4514186581400281E-4</c:v>
                </c:pt>
                <c:pt idx="2">
                  <c:v>5.0971658894205518E-4</c:v>
                </c:pt>
                <c:pt idx="3">
                  <c:v>4.6255652738830255E-4</c:v>
                </c:pt>
                <c:pt idx="4">
                  <c:v>4.5329915355523325E-4</c:v>
                </c:pt>
                <c:pt idx="5">
                  <c:v>4.175883762460586E-4</c:v>
                </c:pt>
                <c:pt idx="6">
                  <c:v>3.9703628409792913E-4</c:v>
                </c:pt>
                <c:pt idx="7">
                  <c:v>3.7287216372927645E-4</c:v>
                </c:pt>
                <c:pt idx="8">
                  <c:v>3.1737142728860412E-4</c:v>
                </c:pt>
                <c:pt idx="9">
                  <c:v>3.0361689192728229E-4</c:v>
                </c:pt>
                <c:pt idx="10">
                  <c:v>2.3569970677073115E-4</c:v>
                </c:pt>
                <c:pt idx="11">
                  <c:v>2.1226841813071218E-4</c:v>
                </c:pt>
                <c:pt idx="12">
                  <c:v>1.910386223480387E-4</c:v>
                </c:pt>
                <c:pt idx="13">
                  <c:v>1.4501852858811448E-4</c:v>
                </c:pt>
                <c:pt idx="14">
                  <c:v>1.3935372318794837E-4</c:v>
                </c:pt>
                <c:pt idx="15">
                  <c:v>9.4417121478507227E-5</c:v>
                </c:pt>
                <c:pt idx="16">
                  <c:v>6.1363618449775917E-5</c:v>
                </c:pt>
                <c:pt idx="17">
                  <c:v>2.0679759451525115E-5</c:v>
                </c:pt>
                <c:pt idx="18">
                  <c:v>6.9364833577001406E-6</c:v>
                </c:pt>
                <c:pt idx="19">
                  <c:v>-8.251225193423387E-6</c:v>
                </c:pt>
                <c:pt idx="20">
                  <c:v>-7.6350120384692475E-5</c:v>
                </c:pt>
                <c:pt idx="21">
                  <c:v>-9.6440135695383754E-5</c:v>
                </c:pt>
                <c:pt idx="22">
                  <c:v>-1.1632725295635477E-4</c:v>
                </c:pt>
                <c:pt idx="23">
                  <c:v>-1.3000348563288466E-4</c:v>
                </c:pt>
                <c:pt idx="24">
                  <c:v>-1.4283175271555574E-4</c:v>
                </c:pt>
                <c:pt idx="25">
                  <c:v>-1.6980523095622146E-4</c:v>
                </c:pt>
                <c:pt idx="26">
                  <c:v>-1.7546023333355861E-4</c:v>
                </c:pt>
                <c:pt idx="27">
                  <c:v>-1.7362208941218427E-4</c:v>
                </c:pt>
                <c:pt idx="28">
                  <c:v>-1.7902463628413634E-4</c:v>
                </c:pt>
                <c:pt idx="29">
                  <c:v>-1.8361986837732392E-4</c:v>
                </c:pt>
                <c:pt idx="30">
                  <c:v>-1.8037605899364154E-4</c:v>
                </c:pt>
                <c:pt idx="31">
                  <c:v>-1.7716171159506877E-4</c:v>
                </c:pt>
                <c:pt idx="32">
                  <c:v>-1.6503961270831658E-4</c:v>
                </c:pt>
                <c:pt idx="33">
                  <c:v>-1.6400514642231356E-4</c:v>
                </c:pt>
                <c:pt idx="34">
                  <c:v>-1.6232249129607162E-4</c:v>
                </c:pt>
                <c:pt idx="35">
                  <c:v>-1.4149358250478605E-4</c:v>
                </c:pt>
                <c:pt idx="36">
                  <c:v>-1.3362058906308779E-4</c:v>
                </c:pt>
                <c:pt idx="37">
                  <c:v>-1.2913679996806593E-4</c:v>
                </c:pt>
                <c:pt idx="38">
                  <c:v>-1.2424854991762598E-4</c:v>
                </c:pt>
                <c:pt idx="39">
                  <c:v>-1.1900335660611612E-4</c:v>
                </c:pt>
                <c:pt idx="40">
                  <c:v>-8.5635527810268286E-5</c:v>
                </c:pt>
                <c:pt idx="41">
                  <c:v>-7.7168887758549687E-5</c:v>
                </c:pt>
                <c:pt idx="42">
                  <c:v>-6.8987316141022603E-5</c:v>
                </c:pt>
                <c:pt idx="43">
                  <c:v>-5.6059909961658771E-5</c:v>
                </c:pt>
                <c:pt idx="44">
                  <c:v>-5.1371191856515321E-5</c:v>
                </c:pt>
                <c:pt idx="45">
                  <c:v>-3.5134462812447254E-5</c:v>
                </c:pt>
                <c:pt idx="46">
                  <c:v>-2.9777835257593921E-5</c:v>
                </c:pt>
                <c:pt idx="47">
                  <c:v>-2.4415185847725951E-5</c:v>
                </c:pt>
                <c:pt idx="48">
                  <c:v>-1.3775780448865849E-5</c:v>
                </c:pt>
                <c:pt idx="49">
                  <c:v>-1.10991407445505E-5</c:v>
                </c:pt>
                <c:pt idx="50">
                  <c:v>1.9121315677494977E-6</c:v>
                </c:pt>
                <c:pt idx="51">
                  <c:v>6.9651572323081723E-6</c:v>
                </c:pt>
                <c:pt idx="52">
                  <c:v>1.1908952866512834E-5</c:v>
                </c:pt>
                <c:pt idx="53">
                  <c:v>2.1046403420044157E-5</c:v>
                </c:pt>
                <c:pt idx="54">
                  <c:v>2.349362375352004E-5</c:v>
                </c:pt>
                <c:pt idx="55">
                  <c:v>3.4413216652318113E-5</c:v>
                </c:pt>
                <c:pt idx="56">
                  <c:v>4.31360606551892E-5</c:v>
                </c:pt>
                <c:pt idx="57">
                  <c:v>4.5305826174316365E-5</c:v>
                </c:pt>
                <c:pt idx="58">
                  <c:v>4.745776218506581E-5</c:v>
                </c:pt>
                <c:pt idx="59">
                  <c:v>5.0693429347603576E-5</c:v>
                </c:pt>
                <c:pt idx="60">
                  <c:v>5.6736162008519386E-5</c:v>
                </c:pt>
                <c:pt idx="61">
                  <c:v>5.859238337610036E-5</c:v>
                </c:pt>
                <c:pt idx="62">
                  <c:v>5.8566530749941272E-5</c:v>
                </c:pt>
                <c:pt idx="63">
                  <c:v>6.0163840092386511E-5</c:v>
                </c:pt>
                <c:pt idx="64">
                  <c:v>6.173679617591592E-5</c:v>
                </c:pt>
                <c:pt idx="65">
                  <c:v>6.1313748099346021E-5</c:v>
                </c:pt>
                <c:pt idx="66">
                  <c:v>6.0366018189311932E-5</c:v>
                </c:pt>
                <c:pt idx="67">
                  <c:v>5.5151705755046073E-5</c:v>
                </c:pt>
                <c:pt idx="68">
                  <c:v>5.5494730036298456E-5</c:v>
                </c:pt>
                <c:pt idx="69">
                  <c:v>5.5637574568146604E-5</c:v>
                </c:pt>
                <c:pt idx="70">
                  <c:v>4.8309062206026139E-5</c:v>
                </c:pt>
                <c:pt idx="71">
                  <c:v>4.5339056746393399E-5</c:v>
                </c:pt>
                <c:pt idx="72">
                  <c:v>3.7776353679125861E-5</c:v>
                </c:pt>
                <c:pt idx="73">
                  <c:v>3.647179732724215E-5</c:v>
                </c:pt>
                <c:pt idx="74">
                  <c:v>3.4999411748137093E-5</c:v>
                </c:pt>
                <c:pt idx="75">
                  <c:v>2.2743137097473855E-5</c:v>
                </c:pt>
                <c:pt idx="76">
                  <c:v>1.8282419658177673E-5</c:v>
                </c:pt>
                <c:pt idx="77">
                  <c:v>8.7750364695761043E-6</c:v>
                </c:pt>
                <c:pt idx="78">
                  <c:v>-1.1663081296871135E-5</c:v>
                </c:pt>
                <c:pt idx="79">
                  <c:v>-1.7082947746705294E-5</c:v>
                </c:pt>
                <c:pt idx="80">
                  <c:v>-1.9830603944281933E-5</c:v>
                </c:pt>
                <c:pt idx="81">
                  <c:v>-3.3860926377643308E-5</c:v>
                </c:pt>
                <c:pt idx="82">
                  <c:v>-5.118866409199953E-5</c:v>
                </c:pt>
                <c:pt idx="83">
                  <c:v>-5.7036121129287164E-5</c:v>
                </c:pt>
                <c:pt idx="84">
                  <c:v>-7.0123743346573917E-5</c:v>
                </c:pt>
                <c:pt idx="85">
                  <c:v>-7.2472854641264517E-5</c:v>
                </c:pt>
                <c:pt idx="86">
                  <c:v>-7.4783916334369798E-5</c:v>
                </c:pt>
                <c:pt idx="87">
                  <c:v>-9.4136940977857504E-5</c:v>
                </c:pt>
                <c:pt idx="88">
                  <c:v>-1.0091864023163654E-4</c:v>
                </c:pt>
                <c:pt idx="89">
                  <c:v>-1.1557474330539917E-4</c:v>
                </c:pt>
                <c:pt idx="90">
                  <c:v>-1.1868440268944513E-4</c:v>
                </c:pt>
                <c:pt idx="91">
                  <c:v>-1.2188141878593893E-4</c:v>
                </c:pt>
                <c:pt idx="92">
                  <c:v>-1.432091332333588E-4</c:v>
                </c:pt>
                <c:pt idx="93">
                  <c:v>-1.5027467211506832E-4</c:v>
                </c:pt>
                <c:pt idx="94">
                  <c:v>-1.6358628398912859E-4</c:v>
                </c:pt>
                <c:pt idx="95">
                  <c:v>-1.6724597681511133E-4</c:v>
                </c:pt>
                <c:pt idx="96">
                  <c:v>-1.7096580483580157E-4</c:v>
                </c:pt>
                <c:pt idx="97">
                  <c:v>-1.9033713571194806E-4</c:v>
                </c:pt>
                <c:pt idx="98">
                  <c:v>-1.9637616256988757E-4</c:v>
                </c:pt>
                <c:pt idx="99">
                  <c:v>-2.0014294546877309E-4</c:v>
                </c:pt>
                <c:pt idx="100">
                  <c:v>-2.0392393984333007E-4</c:v>
                </c:pt>
                <c:pt idx="101">
                  <c:v>-2.0771075009402243E-4</c:v>
                </c:pt>
                <c:pt idx="102">
                  <c:v>-2.2349828459230662E-4</c:v>
                </c:pt>
                <c:pt idx="103">
                  <c:v>-2.2800155757396467E-4</c:v>
                </c:pt>
                <c:pt idx="104">
                  <c:v>-2.3207586696811458E-4</c:v>
                </c:pt>
                <c:pt idx="105">
                  <c:v>-2.3569160618471967E-4</c:v>
                </c:pt>
                <c:pt idx="106">
                  <c:v>-2.3881916860662194E-4</c:v>
                </c:pt>
                <c:pt idx="107">
                  <c:v>-2.4497672858138559E-4</c:v>
                </c:pt>
                <c:pt idx="108">
                  <c:v>-2.4589354730518231E-4</c:v>
                </c:pt>
                <c:pt idx="109">
                  <c:v>-2.4629171106999817E-4</c:v>
                </c:pt>
                <c:pt idx="110">
                  <c:v>-2.4620385547006026E-4</c:v>
                </c:pt>
                <c:pt idx="111">
                  <c:v>-2.4566261604392584E-4</c:v>
                </c:pt>
                <c:pt idx="112">
                  <c:v>-2.4164494957869463E-4</c:v>
                </c:pt>
                <c:pt idx="113">
                  <c:v>-2.3961652948965652E-4</c:v>
                </c:pt>
                <c:pt idx="114">
                  <c:v>-2.3729790280472126E-4</c:v>
                </c:pt>
                <c:pt idx="115">
                  <c:v>-2.3472170493683234E-4</c:v>
                </c:pt>
                <c:pt idx="116">
                  <c:v>-2.3192057131891732E-4</c:v>
                </c:pt>
                <c:pt idx="117">
                  <c:v>-2.2249391048984838E-4</c:v>
                </c:pt>
                <c:pt idx="118">
                  <c:v>-2.1911938852513048E-4</c:v>
                </c:pt>
                <c:pt idx="119">
                  <c:v>-2.1568310827335679E-4</c:v>
                </c:pt>
                <c:pt idx="120">
                  <c:v>-2.1221770532161725E-4</c:v>
                </c:pt>
                <c:pt idx="121">
                  <c:v>-2.0362348976704636E-4</c:v>
                </c:pt>
                <c:pt idx="122">
                  <c:v>-1.9598898680360118E-4</c:v>
                </c:pt>
                <c:pt idx="123">
                  <c:v>-1.9200355941619205E-4</c:v>
                </c:pt>
                <c:pt idx="124">
                  <c:v>-1.9020558248075529E-4</c:v>
                </c:pt>
                <c:pt idx="125">
                  <c:v>-1.8841301356673705E-4</c:v>
                </c:pt>
                <c:pt idx="126">
                  <c:v>-1.8664358779132972E-4</c:v>
                </c:pt>
                <c:pt idx="127">
                  <c:v>-1.8240466053200526E-4</c:v>
                </c:pt>
                <c:pt idx="128">
                  <c:v>-1.816560532152239E-4</c:v>
                </c:pt>
                <c:pt idx="129">
                  <c:v>-1.8293915142741923E-4</c:v>
                </c:pt>
                <c:pt idx="130">
                  <c:v>-1.8208112606291071E-4</c:v>
                </c:pt>
                <c:pt idx="131">
                  <c:v>-1.8134333852753087E-4</c:v>
                </c:pt>
                <c:pt idx="132">
                  <c:v>-1.8361275236889623E-4</c:v>
                </c:pt>
                <c:pt idx="133">
                  <c:v>-1.8487246705887624E-4</c:v>
                </c:pt>
                <c:pt idx="134">
                  <c:v>-1.8925274750245728E-4</c:v>
                </c:pt>
                <c:pt idx="135">
                  <c:v>-1.8954490581341021E-4</c:v>
                </c:pt>
                <c:pt idx="136">
                  <c:v>-1.8994965212479611E-4</c:v>
                </c:pt>
                <c:pt idx="137">
                  <c:v>-1.966563646726982E-4</c:v>
                </c:pt>
                <c:pt idx="138">
                  <c:v>-1.9918348963618348E-4</c:v>
                </c:pt>
                <c:pt idx="139">
                  <c:v>-2.0497705185801803E-4</c:v>
                </c:pt>
                <c:pt idx="140">
                  <c:v>-2.0615839532250879E-4</c:v>
                </c:pt>
                <c:pt idx="141">
                  <c:v>-2.0742783778873462E-4</c:v>
                </c:pt>
                <c:pt idx="142">
                  <c:v>-2.1634911277587207E-4</c:v>
                </c:pt>
                <c:pt idx="143">
                  <c:v>-2.1792885514448912E-4</c:v>
                </c:pt>
                <c:pt idx="144">
                  <c:v>-2.2524001277083016E-4</c:v>
                </c:pt>
                <c:pt idx="145">
                  <c:v>-2.2689729027886019E-4</c:v>
                </c:pt>
                <c:pt idx="146">
                  <c:v>-2.3919886255718836E-4</c:v>
                </c:pt>
                <c:pt idx="147">
                  <c:v>-2.4199999999785504E-4</c:v>
                </c:pt>
                <c:pt idx="148">
                  <c:v>-2.4675555487782552E-4</c:v>
                </c:pt>
                <c:pt idx="149">
                  <c:v>-2.4829080748315252E-4</c:v>
                </c:pt>
                <c:pt idx="150">
                  <c:v>-2.5450325326392687E-4</c:v>
                </c:pt>
                <c:pt idx="151">
                  <c:v>-2.5672640656138057E-4</c:v>
                </c:pt>
                <c:pt idx="152">
                  <c:v>-2.5886579995848535E-4</c:v>
                </c:pt>
                <c:pt idx="153">
                  <c:v>-2.6248938494163876E-4</c:v>
                </c:pt>
                <c:pt idx="154">
                  <c:v>-2.6367120488399089E-4</c:v>
                </c:pt>
                <c:pt idx="155">
                  <c:v>-2.6843745639926198E-4</c:v>
                </c:pt>
                <c:pt idx="156">
                  <c:v>-2.7015294309329363E-4</c:v>
                </c:pt>
                <c:pt idx="157">
                  <c:v>-2.7181088741912163E-4</c:v>
                </c:pt>
                <c:pt idx="158">
                  <c:v>-2.7473837233102372E-4</c:v>
                </c:pt>
                <c:pt idx="159">
                  <c:v>-2.7562225902127443E-4</c:v>
                </c:pt>
                <c:pt idx="160">
                  <c:v>-2.7936856052113157E-4</c:v>
                </c:pt>
                <c:pt idx="161">
                  <c:v>-2.8075990281450913E-4</c:v>
                </c:pt>
                <c:pt idx="162">
                  <c:v>-2.8211992011195619E-4</c:v>
                </c:pt>
                <c:pt idx="163">
                  <c:v>-2.8282712558154406E-4</c:v>
                </c:pt>
                <c:pt idx="164">
                  <c:v>-2.8921101252822286E-4</c:v>
                </c:pt>
                <c:pt idx="165">
                  <c:v>-2.9046404981505631E-4</c:v>
                </c:pt>
                <c:pt idx="166">
                  <c:v>-2.9298802355279014E-4</c:v>
                </c:pt>
                <c:pt idx="167">
                  <c:v>-2.9359926862579377E-4</c:v>
                </c:pt>
                <c:pt idx="168">
                  <c:v>-2.9420918808552971E-4</c:v>
                </c:pt>
                <c:pt idx="169">
                  <c:v>-2.9792233450683326E-4</c:v>
                </c:pt>
                <c:pt idx="170">
                  <c:v>-2.9909884725341383E-4</c:v>
                </c:pt>
                <c:pt idx="171">
                  <c:v>-3.0101940214526996E-4</c:v>
                </c:pt>
                <c:pt idx="172">
                  <c:v>-3.0162173132119996E-4</c:v>
                </c:pt>
                <c:pt idx="173">
                  <c:v>-3.022243999539406E-4</c:v>
                </c:pt>
                <c:pt idx="174">
                  <c:v>-3.0441340854897402E-4</c:v>
                </c:pt>
                <c:pt idx="175">
                  <c:v>-3.048614981182943E-4</c:v>
                </c:pt>
                <c:pt idx="176">
                  <c:v>-3.0427451325804549E-4</c:v>
                </c:pt>
                <c:pt idx="177">
                  <c:v>-3.0471337698317891E-4</c:v>
                </c:pt>
                <c:pt idx="178">
                  <c:v>-3.0514064975558389E-4</c:v>
                </c:pt>
                <c:pt idx="179">
                  <c:v>-3.0349155957504382E-4</c:v>
                </c:pt>
                <c:pt idx="180">
                  <c:v>-3.0243990538937301E-4</c:v>
                </c:pt>
                <c:pt idx="181">
                  <c:v>-2.9768588723388945E-4</c:v>
                </c:pt>
                <c:pt idx="182">
                  <c:v>-2.9764427640202595E-4</c:v>
                </c:pt>
                <c:pt idx="183">
                  <c:v>-2.9549996881927942E-4</c:v>
                </c:pt>
                <c:pt idx="184">
                  <c:v>-2.9232642372223339E-4</c:v>
                </c:pt>
                <c:pt idx="185">
                  <c:v>-2.8923351766030336E-4</c:v>
                </c:pt>
                <c:pt idx="186">
                  <c:v>-2.8575635533689692E-4</c:v>
                </c:pt>
                <c:pt idx="187">
                  <c:v>-2.7518388150932216E-4</c:v>
                </c:pt>
                <c:pt idx="188">
                  <c:v>-2.7407924567579209E-4</c:v>
                </c:pt>
                <c:pt idx="189">
                  <c:v>-2.6203737590568821E-4</c:v>
                </c:pt>
                <c:pt idx="190">
                  <c:v>-2.5592332486157332E-4</c:v>
                </c:pt>
                <c:pt idx="191">
                  <c:v>-2.4937261666702071E-4</c:v>
                </c:pt>
                <c:pt idx="192">
                  <c:v>-2.3305296374231954E-4</c:v>
                </c:pt>
                <c:pt idx="193">
                  <c:v>-2.3038210919366515E-4</c:v>
                </c:pt>
                <c:pt idx="194">
                  <c:v>-2.1165115671406554E-4</c:v>
                </c:pt>
                <c:pt idx="195">
                  <c:v>-2.0342966973618815E-4</c:v>
                </c:pt>
                <c:pt idx="196">
                  <c:v>-1.9508791451627872E-4</c:v>
                </c:pt>
                <c:pt idx="197">
                  <c:v>-1.7791180981815979E-4</c:v>
                </c:pt>
                <c:pt idx="198">
                  <c:v>-1.7391960872502647E-4</c:v>
                </c:pt>
                <c:pt idx="199">
                  <c:v>-1.5315707842500359E-4</c:v>
                </c:pt>
                <c:pt idx="200">
                  <c:v>-1.4504289372219148E-4</c:v>
                </c:pt>
                <c:pt idx="201">
                  <c:v>-1.3712483526262531E-4</c:v>
                </c:pt>
                <c:pt idx="202">
                  <c:v>-1.2407547426235288E-4</c:v>
                </c:pt>
                <c:pt idx="203">
                  <c:v>-1.1956566953035837E-4</c:v>
                </c:pt>
                <c:pt idx="204">
                  <c:v>-1.0205842932631271E-4</c:v>
                </c:pt>
                <c:pt idx="205">
                  <c:v>-9.5226851145136684E-5</c:v>
                </c:pt>
                <c:pt idx="206">
                  <c:v>-8.9915278416780552E-5</c:v>
                </c:pt>
                <c:pt idx="207">
                  <c:v>-8.607843213714883E-5</c:v>
                </c:pt>
                <c:pt idx="208">
                  <c:v>-8.23236394215289E-5</c:v>
                </c:pt>
                <c:pt idx="209">
                  <c:v>-7.5319176262363349E-5</c:v>
                </c:pt>
                <c:pt idx="210">
                  <c:v>-7.4499317114050344E-5</c:v>
                </c:pt>
                <c:pt idx="211">
                  <c:v>-8.0049183554480933E-5</c:v>
                </c:pt>
                <c:pt idx="212">
                  <c:v>-7.8448247692874951E-5</c:v>
                </c:pt>
                <c:pt idx="213">
                  <c:v>-7.7138685927878901E-5</c:v>
                </c:pt>
                <c:pt idx="214">
                  <c:v>-8.7430778312675412E-5</c:v>
                </c:pt>
                <c:pt idx="215">
                  <c:v>-9.2394944539146844E-5</c:v>
                </c:pt>
                <c:pt idx="216">
                  <c:v>-1.0819457789569175E-4</c:v>
                </c:pt>
                <c:pt idx="217">
                  <c:v>-1.0957584575824186E-4</c:v>
                </c:pt>
                <c:pt idx="218">
                  <c:v>-1.1124350547054098E-4</c:v>
                </c:pt>
                <c:pt idx="219">
                  <c:v>-1.3505964271223479E-4</c:v>
                </c:pt>
                <c:pt idx="220">
                  <c:v>-1.4388747971428109E-4</c:v>
                </c:pt>
                <c:pt idx="221">
                  <c:v>-1.6434242429222678E-4</c:v>
                </c:pt>
                <c:pt idx="222">
                  <c:v>-1.6824246821825484E-4</c:v>
                </c:pt>
                <c:pt idx="223">
                  <c:v>-1.7239402341146496E-4</c:v>
                </c:pt>
                <c:pt idx="224">
                  <c:v>-2.0296861068761388E-4</c:v>
                </c:pt>
                <c:pt idx="225">
                  <c:v>-2.1340492735524941E-4</c:v>
                </c:pt>
                <c:pt idx="226">
                  <c:v>-2.336631167003263E-4</c:v>
                </c:pt>
                <c:pt idx="227">
                  <c:v>-2.3915509644270583E-4</c:v>
                </c:pt>
                <c:pt idx="228">
                  <c:v>-2.4480391260322192E-4</c:v>
                </c:pt>
                <c:pt idx="229">
                  <c:v>-2.7537146812225879E-4</c:v>
                </c:pt>
                <c:pt idx="230">
                  <c:v>-2.8516111872855002E-4</c:v>
                </c:pt>
                <c:pt idx="231">
                  <c:v>-3.013273223218992E-4</c:v>
                </c:pt>
                <c:pt idx="232">
                  <c:v>-3.0702100331320148E-4</c:v>
                </c:pt>
                <c:pt idx="233">
                  <c:v>-3.1268715481772464E-4</c:v>
                </c:pt>
                <c:pt idx="234">
                  <c:v>-3.3650589683001115E-4</c:v>
                </c:pt>
                <c:pt idx="235">
                  <c:v>-3.4345736816276593E-4</c:v>
                </c:pt>
                <c:pt idx="236">
                  <c:v>-3.531607911165903E-4</c:v>
                </c:pt>
                <c:pt idx="237">
                  <c:v>-3.5736419158882704E-4</c:v>
                </c:pt>
                <c:pt idx="238">
                  <c:v>-3.6138460364854735E-4</c:v>
                </c:pt>
                <c:pt idx="239">
                  <c:v>-3.7529185822230668E-4</c:v>
                </c:pt>
                <c:pt idx="240">
                  <c:v>-3.7911667695500831E-4</c:v>
                </c:pt>
                <c:pt idx="241">
                  <c:v>-3.8369654328947308E-4</c:v>
                </c:pt>
                <c:pt idx="242">
                  <c:v>-3.8613700706777165E-4</c:v>
                </c:pt>
                <c:pt idx="243">
                  <c:v>-3.8840552122683256E-4</c:v>
                </c:pt>
                <c:pt idx="244">
                  <c:v>-3.9478672444040913E-4</c:v>
                </c:pt>
                <c:pt idx="245">
                  <c:v>-3.9635004417343066E-4</c:v>
                </c:pt>
                <c:pt idx="246">
                  <c:v>-3.977201918773074E-4</c:v>
                </c:pt>
                <c:pt idx="247">
                  <c:v>-3.9872787221076345E-4</c:v>
                </c:pt>
                <c:pt idx="248">
                  <c:v>-3.9959594154624948E-4</c:v>
                </c:pt>
                <c:pt idx="249">
                  <c:v>-4.0117310448684051E-4</c:v>
                </c:pt>
                <c:pt idx="250">
                  <c:v>-4.0135927394135962E-4</c:v>
                </c:pt>
                <c:pt idx="251">
                  <c:v>-4.0141246661429264E-4</c:v>
                </c:pt>
                <c:pt idx="252">
                  <c:v>-4.0100351284294566E-4</c:v>
                </c:pt>
                <c:pt idx="253">
                  <c:v>-4.0101183607561326E-4</c:v>
                </c:pt>
                <c:pt idx="254">
                  <c:v>-4.0032232873832285E-4</c:v>
                </c:pt>
                <c:pt idx="255">
                  <c:v>-3.9996079100124149E-4</c:v>
                </c:pt>
                <c:pt idx="256">
                  <c:v>-3.9959094585473309E-4</c:v>
                </c:pt>
                <c:pt idx="257">
                  <c:v>-3.988078025118913E-4</c:v>
                </c:pt>
                <c:pt idx="258">
                  <c:v>-3.986296843713318E-4</c:v>
                </c:pt>
                <c:pt idx="259">
                  <c:v>-3.976627197626037E-4</c:v>
                </c:pt>
                <c:pt idx="260">
                  <c:v>-3.9726127446826354E-4</c:v>
                </c:pt>
                <c:pt idx="261">
                  <c:v>-3.9685456248150786E-4</c:v>
                </c:pt>
                <c:pt idx="262">
                  <c:v>-3.9599769164289089E-4</c:v>
                </c:pt>
                <c:pt idx="263">
                  <c:v>-3.9580113699565526E-4</c:v>
                </c:pt>
                <c:pt idx="264">
                  <c:v>-3.9474200212552546E-4</c:v>
                </c:pt>
                <c:pt idx="265">
                  <c:v>-3.9430368996429266E-4</c:v>
                </c:pt>
                <c:pt idx="266">
                  <c:v>-3.9386011111064434E-4</c:v>
                </c:pt>
                <c:pt idx="267">
                  <c:v>-3.9292951324029768E-4</c:v>
                </c:pt>
                <c:pt idx="268">
                  <c:v>-3.9271452181285465E-4</c:v>
                </c:pt>
                <c:pt idx="269">
                  <c:v>-3.9156321635624991E-4</c:v>
                </c:pt>
                <c:pt idx="270">
                  <c:v>-3.9108803730414365E-4</c:v>
                </c:pt>
                <c:pt idx="271">
                  <c:v>-3.9060759155029601E-4</c:v>
                </c:pt>
                <c:pt idx="272">
                  <c:v>-3.8960326709802651E-4</c:v>
                </c:pt>
                <c:pt idx="273">
                  <c:v>-3.8936983862437923E-4</c:v>
                </c:pt>
                <c:pt idx="274">
                  <c:v>-3.8785740250352018E-4</c:v>
                </c:pt>
                <c:pt idx="275">
                  <c:v>-3.8734272372908224E-4</c:v>
                </c:pt>
                <c:pt idx="276">
                  <c:v>-3.8626906266396463E-4</c:v>
                </c:pt>
                <c:pt idx="277">
                  <c:v>-3.8601895298126521E-4</c:v>
                </c:pt>
                <c:pt idx="278">
                  <c:v>-3.8576708719686726E-4</c:v>
                </c:pt>
                <c:pt idx="279">
                  <c:v>-3.8414405033453965E-4</c:v>
                </c:pt>
                <c:pt idx="280">
                  <c:v>-3.8359250463639429E-4</c:v>
                </c:pt>
                <c:pt idx="281">
                  <c:v>-3.8244511786194641E-4</c:v>
                </c:pt>
                <c:pt idx="282">
                  <c:v>-3.821765706502056E-4</c:v>
                </c:pt>
                <c:pt idx="283">
                  <c:v>-3.8190626730082481E-4</c:v>
                </c:pt>
                <c:pt idx="284">
                  <c:v>-3.8017262958486034E-4</c:v>
                </c:pt>
                <c:pt idx="285">
                  <c:v>-3.795842169243289E-4</c:v>
                </c:pt>
                <c:pt idx="286">
                  <c:v>-3.7836310482768971E-4</c:v>
                </c:pt>
                <c:pt idx="287">
                  <c:v>-3.7807611983631251E-4</c:v>
                </c:pt>
                <c:pt idx="288">
                  <c:v>-3.7778737867065796E-4</c:v>
                </c:pt>
                <c:pt idx="289">
                  <c:v>-3.7594313998888832E-4</c:v>
                </c:pt>
                <c:pt idx="290">
                  <c:v>-3.7531786032600267E-4</c:v>
                </c:pt>
                <c:pt idx="291">
                  <c:v>-3.7402302327172913E-4</c:v>
                </c:pt>
                <c:pt idx="292">
                  <c:v>-3.7371760025481371E-4</c:v>
                </c:pt>
                <c:pt idx="293">
                  <c:v>-3.7341042103561552E-4</c:v>
                </c:pt>
                <c:pt idx="294">
                  <c:v>-3.7179825774247277E-4</c:v>
                </c:pt>
                <c:pt idx="295">
                  <c:v>-3.7113874372440847E-4</c:v>
                </c:pt>
                <c:pt idx="296">
                  <c:v>-3.7047396297529289E-4</c:v>
                </c:pt>
                <c:pt idx="297">
                  <c:v>-3.69101011612194E-4</c:v>
                </c:pt>
                <c:pt idx="298">
                  <c:v>-3.6877539410431771E-4</c:v>
                </c:pt>
                <c:pt idx="299">
                  <c:v>-3.670710582852621E-4</c:v>
                </c:pt>
                <c:pt idx="300">
                  <c:v>-3.6637467715250338E-4</c:v>
                </c:pt>
                <c:pt idx="301">
                  <c:v>-3.6567302928469658E-4</c:v>
                </c:pt>
                <c:pt idx="302">
                  <c:v>-3.6422635358746014E-4</c:v>
                </c:pt>
                <c:pt idx="303">
                  <c:v>-3.6388229756604526E-4</c:v>
                </c:pt>
                <c:pt idx="304">
                  <c:v>-3.6208578891061549E-4</c:v>
                </c:pt>
                <c:pt idx="305">
                  <c:v>-3.6135254061919753E-4</c:v>
                </c:pt>
                <c:pt idx="306">
                  <c:v>-3.6061402559006694E-4</c:v>
                </c:pt>
                <c:pt idx="307">
                  <c:v>-3.5909362584338189E-4</c:v>
                </c:pt>
                <c:pt idx="308">
                  <c:v>-3.5873113109331821E-4</c:v>
                </c:pt>
                <c:pt idx="309">
                  <c:v>-3.5684244929345965E-4</c:v>
                </c:pt>
                <c:pt idx="310">
                  <c:v>-3.5607233379941761E-4</c:v>
                </c:pt>
                <c:pt idx="311">
                  <c:v>-3.5408200538993901E-4</c:v>
                </c:pt>
                <c:pt idx="312">
                  <c:v>-3.5370282802899E-4</c:v>
                </c:pt>
                <c:pt idx="313">
                  <c:v>-3.5332189434705304E-4</c:v>
                </c:pt>
                <c:pt idx="314">
                  <c:v>-3.5092464883398813E-4</c:v>
                </c:pt>
                <c:pt idx="315">
                  <c:v>-3.4884743635776871E-4</c:v>
                </c:pt>
                <c:pt idx="316">
                  <c:v>-3.4845157623793329E-4</c:v>
                </c:pt>
                <c:pt idx="317">
                  <c:v>-3.480539597733312E-4</c:v>
                </c:pt>
                <c:pt idx="318">
                  <c:v>-3.4765458696238026E-4</c:v>
                </c:pt>
                <c:pt idx="319">
                  <c:v>-3.4514673963515646E-4</c:v>
                </c:pt>
                <c:pt idx="320">
                  <c:v>-3.4430025700793812E-4</c:v>
                </c:pt>
                <c:pt idx="321">
                  <c:v>-3.4256307644228462E-4</c:v>
                </c:pt>
                <c:pt idx="322">
                  <c:v>-3.4214702069046421E-4</c:v>
                </c:pt>
                <c:pt idx="323">
                  <c:v>-3.4172920856798399E-4</c:v>
                </c:pt>
                <c:pt idx="324">
                  <c:v>-3.3911075925254701E-4</c:v>
                </c:pt>
                <c:pt idx="325">
                  <c:v>-3.382274092826016E-4</c:v>
                </c:pt>
                <c:pt idx="326">
                  <c:v>-3.3641650558030085E-4</c:v>
                </c:pt>
                <c:pt idx="327">
                  <c:v>-3.3598201036821873E-4</c:v>
                </c:pt>
                <c:pt idx="328">
                  <c:v>-3.3554575875902677E-4</c:v>
                </c:pt>
                <c:pt idx="329">
                  <c:v>-3.3281670728647949E-4</c:v>
                </c:pt>
                <c:pt idx="330">
                  <c:v>-3.3189648991321035E-4</c:v>
                </c:pt>
                <c:pt idx="331">
                  <c:v>-3.3001186322081179E-4</c:v>
                </c:pt>
                <c:pt idx="332">
                  <c:v>-3.2955892838193446E-4</c:v>
                </c:pt>
                <c:pt idx="333">
                  <c:v>-3.2626458331922354E-4</c:v>
                </c:pt>
                <c:pt idx="334">
                  <c:v>-3.2530749848203391E-4</c:v>
                </c:pt>
                <c:pt idx="335">
                  <c:v>-3.2484051379055856E-4</c:v>
                </c:pt>
                <c:pt idx="336">
                  <c:v>-3.2437177266266898E-4</c:v>
                </c:pt>
                <c:pt idx="337">
                  <c:v>-3.1945438691113073E-4</c:v>
                </c:pt>
                <c:pt idx="338">
                  <c:v>-3.1846043454168829E-4</c:v>
                </c:pt>
                <c:pt idx="339">
                  <c:v>-3.164283621695771E-4</c:v>
                </c:pt>
                <c:pt idx="340">
                  <c:v>-3.1593854764616625E-4</c:v>
                </c:pt>
                <c:pt idx="341">
                  <c:v>-3.154469766713537E-4</c:v>
                </c:pt>
                <c:pt idx="342">
                  <c:v>-3.1238611760579213E-4</c:v>
                </c:pt>
                <c:pt idx="343">
                  <c:v>-3.1135529764607866E-4</c:v>
                </c:pt>
                <c:pt idx="344">
                  <c:v>-3.0924950251254302E-4</c:v>
                </c:pt>
                <c:pt idx="345">
                  <c:v>-3.0874124795493563E-4</c:v>
                </c:pt>
                <c:pt idx="346">
                  <c:v>-3.0823123692886293E-4</c:v>
                </c:pt>
                <c:pt idx="347">
                  <c:v>-3.0505977493390556E-4</c:v>
                </c:pt>
                <c:pt idx="348">
                  <c:v>-3.0399208731172084E-4</c:v>
                </c:pt>
                <c:pt idx="349">
                  <c:v>-3.0181256942863791E-4</c:v>
                </c:pt>
                <c:pt idx="350">
                  <c:v>-3.0128587472866286E-4</c:v>
                </c:pt>
                <c:pt idx="351">
                  <c:v>-3.0075742354907311E-4</c:v>
                </c:pt>
                <c:pt idx="352">
                  <c:v>-2.9747535841198695E-4</c:v>
                </c:pt>
                <c:pt idx="353">
                  <c:v>-2.963708030512627E-4</c:v>
                </c:pt>
                <c:pt idx="354">
                  <c:v>-2.9411756239101032E-4</c:v>
                </c:pt>
                <c:pt idx="355">
                  <c:v>-2.9357242745151058E-4</c:v>
                </c:pt>
                <c:pt idx="356">
                  <c:v>-2.9302553602400348E-4</c:v>
                </c:pt>
                <c:pt idx="357">
                  <c:v>-2.9079559236451068E-4</c:v>
                </c:pt>
                <c:pt idx="358">
                  <c:v>-2.8965943420523264E-4</c:v>
                </c:pt>
                <c:pt idx="359">
                  <c:v>-2.8851800920933255E-4</c:v>
                </c:pt>
                <c:pt idx="360">
                  <c:v>-2.8737131737405409E-4</c:v>
                </c:pt>
                <c:pt idx="361">
                  <c:v>-2.8503557384567329E-4</c:v>
                </c:pt>
                <c:pt idx="362">
                  <c:v>-2.827318816419124E-4</c:v>
                </c:pt>
                <c:pt idx="363">
                  <c:v>-2.8155885560285078E-4</c:v>
                </c:pt>
                <c:pt idx="364">
                  <c:v>-2.8038056271751971E-4</c:v>
                </c:pt>
                <c:pt idx="365">
                  <c:v>-2.7919700298316272E-4</c:v>
                </c:pt>
                <c:pt idx="366">
                  <c:v>-2.7678753647129091E-4</c:v>
                </c:pt>
                <c:pt idx="367">
                  <c:v>-2.7441009554445049E-4</c:v>
                </c:pt>
                <c:pt idx="368">
                  <c:v>-2.7320020154980389E-4</c:v>
                </c:pt>
                <c:pt idx="369">
                  <c:v>-2.71985040703375E-4</c:v>
                </c:pt>
                <c:pt idx="370">
                  <c:v>-2.7076461299413814E-4</c:v>
                </c:pt>
                <c:pt idx="371">
                  <c:v>-2.6828142336580047E-4</c:v>
                </c:pt>
                <c:pt idx="372">
                  <c:v>-2.6583023354978432E-4</c:v>
                </c:pt>
                <c:pt idx="373">
                  <c:v>-2.6458347152650771E-4</c:v>
                </c:pt>
                <c:pt idx="374">
                  <c:v>-2.6333144263904494E-4</c:v>
                </c:pt>
                <c:pt idx="375">
                  <c:v>-2.5948895764732976E-4</c:v>
                </c:pt>
                <c:pt idx="376">
                  <c:v>-2.5886742678074559E-4</c:v>
                </c:pt>
                <c:pt idx="377">
                  <c:v>-2.5568214967822226E-4</c:v>
                </c:pt>
                <c:pt idx="378">
                  <c:v>-2.5439325449280286E-4</c:v>
                </c:pt>
                <c:pt idx="379">
                  <c:v>-2.5177139811770712E-4</c:v>
                </c:pt>
                <c:pt idx="380">
                  <c:v>-2.511340611341395E-4</c:v>
                </c:pt>
                <c:pt idx="381">
                  <c:v>-2.5049496764463898E-4</c:v>
                </c:pt>
                <c:pt idx="382">
                  <c:v>-2.4654927880575538E-4</c:v>
                </c:pt>
                <c:pt idx="383">
                  <c:v>-2.4522351540991595E-4</c:v>
                </c:pt>
                <c:pt idx="384">
                  <c:v>-2.4252793524137675E-4</c:v>
                </c:pt>
                <c:pt idx="385">
                  <c:v>-2.4187215779361559E-4</c:v>
                </c:pt>
                <c:pt idx="386">
                  <c:v>-2.4121462384539864E-4</c:v>
                </c:pt>
                <c:pt idx="387">
                  <c:v>-2.371583301805718E-4</c:v>
                </c:pt>
                <c:pt idx="388">
                  <c:v>-2.3579569848148333E-4</c:v>
                </c:pt>
                <c:pt idx="389">
                  <c:v>-2.3302639420135824E-4</c:v>
                </c:pt>
                <c:pt idx="390">
                  <c:v>-2.3235217631673022E-4</c:v>
                </c:pt>
                <c:pt idx="391">
                  <c:v>-2.3167620193888643E-4</c:v>
                </c:pt>
                <c:pt idx="392">
                  <c:v>-2.2750930317220805E-4</c:v>
                </c:pt>
                <c:pt idx="393">
                  <c:v>-2.2610980308219875E-4</c:v>
                </c:pt>
                <c:pt idx="394">
                  <c:v>-2.2326677432425094E-4</c:v>
                </c:pt>
                <c:pt idx="395">
                  <c:v>-2.2257411604401089E-4</c:v>
                </c:pt>
                <c:pt idx="396">
                  <c:v>-2.1616582856741654E-4</c:v>
                </c:pt>
                <c:pt idx="397">
                  <c:v>-2.154591199947653E-4</c:v>
                </c:pt>
                <c:pt idx="398">
                  <c:v>-2.1475065494570221E-4</c:v>
                </c:pt>
                <c:pt idx="399">
                  <c:v>-2.1182512122675326E-4</c:v>
                </c:pt>
                <c:pt idx="400">
                  <c:v>-2.0818510144327007E-4</c:v>
                </c:pt>
                <c:pt idx="401">
                  <c:v>-2.0671449691445076E-4</c:v>
                </c:pt>
                <c:pt idx="402">
                  <c:v>-2.0523862544008509E-4</c:v>
                </c:pt>
                <c:pt idx="403">
                  <c:v>-2.0224375641447745E-4</c:v>
                </c:pt>
                <c:pt idx="404">
                  <c:v>-2.0151246110347665E-4</c:v>
                </c:pt>
                <c:pt idx="405">
                  <c:v>-1.9778026384109637E-4</c:v>
                </c:pt>
                <c:pt idx="406">
                  <c:v>-1.9627279066281034E-4</c:v>
                </c:pt>
                <c:pt idx="407">
                  <c:v>-1.9476005052565526E-4</c:v>
                </c:pt>
                <c:pt idx="408">
                  <c:v>-1.9169145565503531E-4</c:v>
                </c:pt>
                <c:pt idx="409">
                  <c:v>-1.9094172021956682E-4</c:v>
                </c:pt>
                <c:pt idx="410">
                  <c:v>-1.8711734540222125E-4</c:v>
                </c:pt>
                <c:pt idx="411">
                  <c:v>-1.8557300347854522E-4</c:v>
                </c:pt>
                <c:pt idx="412">
                  <c:v>-1.8402339457868067E-4</c:v>
                </c:pt>
                <c:pt idx="413">
                  <c:v>-1.8088107330324621E-4</c:v>
                </c:pt>
                <c:pt idx="414">
                  <c:v>-1.8011289787236E-4</c:v>
                </c:pt>
                <c:pt idx="415">
                  <c:v>-1.7619634543386553E-4</c:v>
                </c:pt>
                <c:pt idx="416">
                  <c:v>-1.7461513465955036E-4</c:v>
                </c:pt>
                <c:pt idx="417">
                  <c:v>-1.730286568997208E-4</c:v>
                </c:pt>
                <c:pt idx="418">
                  <c:v>-1.698126086184526E-4</c:v>
                </c:pt>
                <c:pt idx="419">
                  <c:v>-1.6821033138630925E-4</c:v>
                </c:pt>
                <c:pt idx="420">
                  <c:v>-1.6419545789852873E-4</c:v>
                </c:pt>
                <c:pt idx="421">
                  <c:v>-1.6257474540786403E-4</c:v>
                </c:pt>
                <c:pt idx="422">
                  <c:v>-1.5928935942145406E-4</c:v>
                </c:pt>
                <c:pt idx="423">
                  <c:v>-1.5848606083501693E-4</c:v>
                </c:pt>
                <c:pt idx="424">
                  <c:v>-1.5768100588972868E-4</c:v>
                </c:pt>
                <c:pt idx="425">
                  <c:v>-1.5273986324242946E-4</c:v>
                </c:pt>
                <c:pt idx="426">
                  <c:v>-1.5108228165946946E-4</c:v>
                </c:pt>
                <c:pt idx="427">
                  <c:v>-1.4772316726832909E-4</c:v>
                </c:pt>
                <c:pt idx="428">
                  <c:v>-1.4690142917481164E-4</c:v>
                </c:pt>
                <c:pt idx="429">
                  <c:v>-1.4607793475485847E-4</c:v>
                </c:pt>
                <c:pt idx="430">
                  <c:v>-1.4102618458312945E-4</c:v>
                </c:pt>
                <c:pt idx="431">
                  <c:v>-1.3933173379054864E-4</c:v>
                </c:pt>
                <c:pt idx="432">
                  <c:v>-1.3589889022235337E-4</c:v>
                </c:pt>
                <c:pt idx="433">
                  <c:v>-1.3505871283972515E-4</c:v>
                </c:pt>
                <c:pt idx="434">
                  <c:v>-1.3421677916553558E-4</c:v>
                </c:pt>
                <c:pt idx="435">
                  <c:v>-1.2905442113287171E-4</c:v>
                </c:pt>
                <c:pt idx="436">
                  <c:v>-1.2732310101721249E-4</c:v>
                </c:pt>
                <c:pt idx="437">
                  <c:v>-1.238165274478317E-4</c:v>
                </c:pt>
                <c:pt idx="438">
                  <c:v>-1.2295791101790687E-4</c:v>
                </c:pt>
                <c:pt idx="439">
                  <c:v>-1.2209753833529233E-4</c:v>
                </c:pt>
                <c:pt idx="440">
                  <c:v>-1.1682457209229571E-4</c:v>
                </c:pt>
                <c:pt idx="441">
                  <c:v>-1.1595454082913292E-4</c:v>
                </c:pt>
                <c:pt idx="442">
                  <c:v>-1.1418371718008302E-4</c:v>
                </c:pt>
                <c:pt idx="443">
                  <c:v>-1.1059902287127721E-4</c:v>
                </c:pt>
                <c:pt idx="444">
                  <c:v>-1.0972021145058596E-4</c:v>
                </c:pt>
                <c:pt idx="445">
                  <c:v>-1.0525059289179239E-4</c:v>
                </c:pt>
                <c:pt idx="446">
                  <c:v>-1.0344816681406854E-4</c:v>
                </c:pt>
                <c:pt idx="447">
                  <c:v>-1.0164047365490703E-4</c:v>
                </c:pt>
                <c:pt idx="448">
                  <c:v>-9.7982047556760543E-5</c:v>
                </c:pt>
                <c:pt idx="449">
                  <c:v>-9.7084797688848631E-5</c:v>
                </c:pt>
                <c:pt idx="450">
                  <c:v>-9.2523001562927476E-5</c:v>
                </c:pt>
                <c:pt idx="451">
                  <c:v>-9.0683705871175135E-5</c:v>
                </c:pt>
                <c:pt idx="452">
                  <c:v>-8.883914308066565E-5</c:v>
                </c:pt>
                <c:pt idx="453">
                  <c:v>-8.5106984198807245E-5</c:v>
                </c:pt>
                <c:pt idx="454">
                  <c:v>-8.4191296206883885E-5</c:v>
                </c:pt>
                <c:pt idx="455">
                  <c:v>-7.953732259879942E-5</c:v>
                </c:pt>
                <c:pt idx="456">
                  <c:v>-7.7661157178443574E-5</c:v>
                </c:pt>
                <c:pt idx="457">
                  <c:v>-7.5779724640678836E-5</c:v>
                </c:pt>
                <c:pt idx="458">
                  <c:v>-7.1973831913124675E-5</c:v>
                </c:pt>
                <c:pt idx="459">
                  <c:v>-7.1039706144734424E-5</c:v>
                </c:pt>
                <c:pt idx="460">
                  <c:v>-6.6293555165408691E-5</c:v>
                </c:pt>
                <c:pt idx="461">
                  <c:v>-6.4380519893880717E-5</c:v>
                </c:pt>
                <c:pt idx="462">
                  <c:v>-6.2462217490288907E-5</c:v>
                </c:pt>
                <c:pt idx="463">
                  <c:v>-6.1514043984096117E-5</c:v>
                </c:pt>
                <c:pt idx="464">
                  <c:v>-5.7630026628260796E-5</c:v>
                </c:pt>
                <c:pt idx="465">
                  <c:v>-5.1804013921155726E-5</c:v>
                </c:pt>
                <c:pt idx="466">
                  <c:v>-4.9851475373536631E-5</c:v>
                </c:pt>
                <c:pt idx="467">
                  <c:v>-4.5902501166155737E-5</c:v>
                </c:pt>
                <c:pt idx="468">
                  <c:v>-4.4933256928975096E-5</c:v>
                </c:pt>
                <c:pt idx="469">
                  <c:v>-4.3962256757537713E-5</c:v>
                </c:pt>
                <c:pt idx="470">
                  <c:v>-3.8025633623808216E-5</c:v>
                </c:pt>
                <c:pt idx="471">
                  <c:v>-3.6036224895732007E-5</c:v>
                </c:pt>
                <c:pt idx="472">
                  <c:v>-3.2013513243969982E-5</c:v>
                </c:pt>
                <c:pt idx="473">
                  <c:v>-3.1025832373243745E-5</c:v>
                </c:pt>
                <c:pt idx="474">
                  <c:v>-3.003639562877199E-5</c:v>
                </c:pt>
                <c:pt idx="475">
                  <c:v>-2.3989161668737784E-5</c:v>
                </c:pt>
                <c:pt idx="476">
                  <c:v>-2.1962882632564629E-5</c:v>
                </c:pt>
                <c:pt idx="477">
                  <c:v>-1.7866432222164846E-5</c:v>
                </c:pt>
                <c:pt idx="478">
                  <c:v>-1.6860315164013429E-5</c:v>
                </c:pt>
                <c:pt idx="479">
                  <c:v>-1.5852442309806057E-5</c:v>
                </c:pt>
                <c:pt idx="480">
                  <c:v>-9.6945971237868523E-6</c:v>
                </c:pt>
                <c:pt idx="481">
                  <c:v>-7.6314476351161286E-6</c:v>
                </c:pt>
                <c:pt idx="482">
                  <c:v>-3.461257090639239E-6</c:v>
                </c:pt>
                <c:pt idx="483">
                  <c:v>-2.4367043333084482E-6</c:v>
                </c:pt>
                <c:pt idx="484">
                  <c:v>7.0191241909676394E-7</c:v>
                </c:pt>
                <c:pt idx="485">
                  <c:v>4.8580609702772718E-6</c:v>
                </c:pt>
                <c:pt idx="486">
                  <c:v>6.9580810429532712E-6</c:v>
                </c:pt>
                <c:pt idx="487">
                  <c:v>1.1202013171608305E-5</c:v>
                </c:pt>
                <c:pt idx="488">
                  <c:v>1.2245001113075915E-5</c:v>
                </c:pt>
                <c:pt idx="489">
                  <c:v>1.3289744703424933E-5</c:v>
                </c:pt>
                <c:pt idx="490">
                  <c:v>1.966881358171232E-5</c:v>
                </c:pt>
                <c:pt idx="491">
                  <c:v>2.1805739562395386E-5</c:v>
                </c:pt>
                <c:pt idx="492">
                  <c:v>2.6125494780870898E-5</c:v>
                </c:pt>
                <c:pt idx="493">
                  <c:v>2.7186983466986892E-5</c:v>
                </c:pt>
                <c:pt idx="494">
                  <c:v>2.8250231978237969E-5</c:v>
                </c:pt>
                <c:pt idx="495">
                  <c:v>3.4749729096808605E-5</c:v>
                </c:pt>
                <c:pt idx="496">
                  <c:v>3.6929436512660306E-5</c:v>
                </c:pt>
                <c:pt idx="497">
                  <c:v>4.1346832430571631E-5</c:v>
                </c:pt>
                <c:pt idx="498">
                  <c:v>4.2428063747323996E-5</c:v>
                </c:pt>
                <c:pt idx="499">
                  <c:v>4.3511139225820499E-5</c:v>
                </c:pt>
                <c:pt idx="500">
                  <c:v>5.016114565005492E-5</c:v>
                </c:pt>
                <c:pt idx="501">
                  <c:v>5.2393978172800867E-5</c:v>
                </c:pt>
                <c:pt idx="502">
                  <c:v>5.6933151427235827E-5</c:v>
                </c:pt>
                <c:pt idx="503">
                  <c:v>5.8037464851501408E-5</c:v>
                </c:pt>
                <c:pt idx="504">
                  <c:v>5.9143922260341426E-5</c:v>
                </c:pt>
                <c:pt idx="505">
                  <c:v>6.5975469147238464E-5</c:v>
                </c:pt>
                <c:pt idx="506">
                  <c:v>6.8271770520804547E-5</c:v>
                </c:pt>
                <c:pt idx="507">
                  <c:v>6.9396591638515304E-5</c:v>
                </c:pt>
                <c:pt idx="508">
                  <c:v>7.4085330337980704E-5</c:v>
                </c:pt>
                <c:pt idx="509">
                  <c:v>7.5220987240289018E-5</c:v>
                </c:pt>
                <c:pt idx="510">
                  <c:v>8.105475257913497E-5</c:v>
                </c:pt>
                <c:pt idx="511">
                  <c:v>8.3418982713467926E-5</c:v>
                </c:pt>
                <c:pt idx="512">
                  <c:v>8.5794587815435364E-5</c:v>
                </c:pt>
                <c:pt idx="513">
                  <c:v>9.0641804187385766E-5</c:v>
                </c:pt>
                <c:pt idx="514">
                  <c:v>9.18147055829094E-5</c:v>
                </c:pt>
                <c:pt idx="515">
                  <c:v>9.7848545836498602E-5</c:v>
                </c:pt>
                <c:pt idx="516">
                  <c:v>1.002947639339169E-4</c:v>
                </c:pt>
                <c:pt idx="517">
                  <c:v>1.0275279330596021E-4</c:v>
                </c:pt>
                <c:pt idx="518">
                  <c:v>1.2028971513533548E-4</c:v>
                </c:pt>
                <c:pt idx="519">
                  <c:v>1.384053922004469E-4</c:v>
                </c:pt>
                <c:pt idx="520">
                  <c:v>1.6127419396060429E-4</c:v>
                </c:pt>
                <c:pt idx="521">
                  <c:v>1.806714377063721E-4</c:v>
                </c:pt>
                <c:pt idx="522">
                  <c:v>2.0064744951349539E-4</c:v>
                </c:pt>
                <c:pt idx="523">
                  <c:v>2.2120223256003805E-4</c:v>
                </c:pt>
                <c:pt idx="524">
                  <c:v>2.3766520069035124E-4</c:v>
                </c:pt>
                <c:pt idx="525">
                  <c:v>2.5925346712618591E-4</c:v>
                </c:pt>
                <c:pt idx="526">
                  <c:v>2.8142050890167525E-4</c:v>
                </c:pt>
                <c:pt idx="527">
                  <c:v>3.0416632922225517E-4</c:v>
                </c:pt>
                <c:pt idx="528">
                  <c:v>3.2749093138129126E-4</c:v>
                </c:pt>
                <c:pt idx="529">
                  <c:v>3.5668531656021042E-4</c:v>
                </c:pt>
                <c:pt idx="530">
                  <c:v>3.8129159505134231E-4</c:v>
                </c:pt>
                <c:pt idx="531">
                  <c:v>4.0647667353707368E-4</c:v>
                </c:pt>
                <c:pt idx="532">
                  <c:v>4.3407073136630947E-4</c:v>
                </c:pt>
                <c:pt idx="533">
                  <c:v>4.604547326875208E-4</c:v>
                </c:pt>
                <c:pt idx="534">
                  <c:v>4.8741754389125536E-4</c:v>
                </c:pt>
                <c:pt idx="535">
                  <c:v>5.1495916912919215E-4</c:v>
                </c:pt>
                <c:pt idx="536">
                  <c:v>5.4307961265542826E-4</c:v>
                </c:pt>
                <c:pt idx="537">
                  <c:v>5.6340014863431875E-4</c:v>
                </c:pt>
                <c:pt idx="538">
                  <c:v>5.9251267497823737E-4</c:v>
                </c:pt>
                <c:pt idx="539">
                  <c:v>6.2220401817660227E-4</c:v>
                </c:pt>
                <c:pt idx="540">
                  <c:v>6.5247418223478098E-4</c:v>
                </c:pt>
                <c:pt idx="541">
                  <c:v>6.9236425965707449E-4</c:v>
                </c:pt>
                <c:pt idx="542">
                  <c:v>7.2395770718519659E-4</c:v>
                </c:pt>
                <c:pt idx="543">
                  <c:v>7.5848296496629859E-4</c:v>
                </c:pt>
                <c:pt idx="544">
                  <c:v>7.8888115883746224E-4</c:v>
                </c:pt>
                <c:pt idx="545">
                  <c:v>8.1492746627245718E-4</c:v>
                </c:pt>
                <c:pt idx="546">
                  <c:v>8.5612005283508541E-4</c:v>
                </c:pt>
                <c:pt idx="547">
                  <c:v>8.9060780363026115E-4</c:v>
                </c:pt>
                <c:pt idx="548">
                  <c:v>9.2567443068986011E-4</c:v>
                </c:pt>
                <c:pt idx="549">
                  <c:v>9.6131993942455418E-4</c:v>
                </c:pt>
                <c:pt idx="550">
                  <c:v>9.9754433533993936E-4</c:v>
                </c:pt>
                <c:pt idx="551">
                  <c:v>1.0343476240240457E-3</c:v>
                </c:pt>
                <c:pt idx="552">
                  <c:v>1.0717298111548312E-3</c:v>
                </c:pt>
                <c:pt idx="553">
                  <c:v>1.1096909025026802E-3</c:v>
                </c:pt>
                <c:pt idx="554">
                  <c:v>1.1482309039279048E-3</c:v>
                </c:pt>
                <c:pt idx="555">
                  <c:v>1.1873498213807454E-3</c:v>
                </c:pt>
                <c:pt idx="556">
                  <c:v>1.2270476608938763E-3</c:v>
                </c:pt>
                <c:pt idx="557">
                  <c:v>1.2673244285973939E-3</c:v>
                </c:pt>
                <c:pt idx="558">
                  <c:v>1.3081801307038288E-3</c:v>
                </c:pt>
                <c:pt idx="559">
                  <c:v>1.3496147735256314E-3</c:v>
                </c:pt>
                <c:pt idx="560">
                  <c:v>1.3916283634526905E-3</c:v>
                </c:pt>
                <c:pt idx="561">
                  <c:v>1.4342209069698186E-3</c:v>
                </c:pt>
                <c:pt idx="562">
                  <c:v>1.4773924106542546E-3</c:v>
                </c:pt>
                <c:pt idx="563">
                  <c:v>1.5211428811631733E-3</c:v>
                </c:pt>
                <c:pt idx="564">
                  <c:v>1.5654706290105236E-3</c:v>
                </c:pt>
                <c:pt idx="565">
                  <c:v>1.6103179256468647E-3</c:v>
                </c:pt>
                <c:pt idx="566">
                  <c:v>1.6555595054892902E-3</c:v>
                </c:pt>
                <c:pt idx="567">
                  <c:v>1.6912704586496388E-3</c:v>
                </c:pt>
                <c:pt idx="568">
                  <c:v>1.7467083594163713E-3</c:v>
                </c:pt>
                <c:pt idx="569">
                  <c:v>1.7923706208608503E-3</c:v>
                </c:pt>
                <c:pt idx="570">
                  <c:v>1.8380208866583536E-3</c:v>
                </c:pt>
                <c:pt idx="571">
                  <c:v>1.8836590938367537E-3</c:v>
                </c:pt>
                <c:pt idx="572">
                  <c:v>1.9292852422486684E-3</c:v>
                </c:pt>
                <c:pt idx="573">
                  <c:v>1.9748993317442176E-3</c:v>
                </c:pt>
                <c:pt idx="574">
                  <c:v>2.0205013621785173E-3</c:v>
                </c:pt>
                <c:pt idx="575">
                  <c:v>2.0660913333991893E-3</c:v>
                </c:pt>
                <c:pt idx="576">
                  <c:v>2.1116692452588515E-3</c:v>
                </c:pt>
                <c:pt idx="577">
                  <c:v>2.1572350976126198E-3</c:v>
                </c:pt>
                <c:pt idx="578">
                  <c:v>2.2027888903106141E-3</c:v>
                </c:pt>
                <c:pt idx="579">
                  <c:v>2.254848348317573E-3</c:v>
                </c:pt>
                <c:pt idx="580">
                  <c:v>2.2840851217818671E-3</c:v>
                </c:pt>
                <c:pt idx="581">
                  <c:v>2.33937790898614E-3</c:v>
                </c:pt>
                <c:pt idx="582">
                  <c:v>2.3848834615822212E-3</c:v>
                </c:pt>
                <c:pt idx="583">
                  <c:v>2.4303769537806219E-3</c:v>
                </c:pt>
                <c:pt idx="584">
                  <c:v>2.4856107408588457E-3</c:v>
                </c:pt>
                <c:pt idx="585">
                  <c:v>2.5245669116839261E-3</c:v>
                </c:pt>
                <c:pt idx="586">
                  <c:v>2.5700230387166877E-3</c:v>
                </c:pt>
                <c:pt idx="587">
                  <c:v>2.6154670990998345E-3</c:v>
                </c:pt>
                <c:pt idx="588">
                  <c:v>2.6608990926915441E-3</c:v>
                </c:pt>
                <c:pt idx="589">
                  <c:v>2.6965587409799596E-3</c:v>
                </c:pt>
                <c:pt idx="590">
                  <c:v>2.7419681574812416E-3</c:v>
                </c:pt>
                <c:pt idx="591">
                  <c:v>2.7873654898916528E-3</c:v>
                </c:pt>
                <c:pt idx="592">
                  <c:v>2.8327507380855798E-3</c:v>
                </c:pt>
                <c:pt idx="593">
                  <c:v>2.8911293769129376E-3</c:v>
                </c:pt>
                <c:pt idx="594">
                  <c:v>2.9332376436460692E-3</c:v>
                </c:pt>
                <c:pt idx="595">
                  <c:v>2.9785851657034954E-3</c:v>
                </c:pt>
                <c:pt idx="596">
                  <c:v>3.0239206198271725E-3</c:v>
                </c:pt>
                <c:pt idx="597">
                  <c:v>3.091888532128273E-3</c:v>
                </c:pt>
                <c:pt idx="598">
                  <c:v>3.1145553237111484E-3</c:v>
                </c:pt>
                <c:pt idx="599">
                  <c:v>3.1598545731800673E-3</c:v>
                </c:pt>
                <c:pt idx="600">
                  <c:v>3.2051417541453706E-3</c:v>
                </c:pt>
                <c:pt idx="601">
                  <c:v>3.2504168664652363E-3</c:v>
                </c:pt>
                <c:pt idx="602">
                  <c:v>3.2956799099952633E-3</c:v>
                </c:pt>
                <c:pt idx="603">
                  <c:v>3.3409308845962081E-3</c:v>
                </c:pt>
                <c:pt idx="604">
                  <c:v>3.3861697901236706E-3</c:v>
                </c:pt>
                <c:pt idx="605">
                  <c:v>3.4313966264332501E-3</c:v>
                </c:pt>
                <c:pt idx="606">
                  <c:v>3.4766113933857026E-3</c:v>
                </c:pt>
                <c:pt idx="607">
                  <c:v>3.521814090836628E-3</c:v>
                </c:pt>
                <c:pt idx="608">
                  <c:v>3.567004718644204E-3</c:v>
                </c:pt>
                <c:pt idx="609">
                  <c:v>3.6121832766691877E-3</c:v>
                </c:pt>
                <c:pt idx="610">
                  <c:v>3.6605934335592893E-3</c:v>
                </c:pt>
                <c:pt idx="611">
                  <c:v>3.7025041827911951E-3</c:v>
                </c:pt>
                <c:pt idx="612">
                  <c:v>3.7476465306071536E-3</c:v>
                </c:pt>
                <c:pt idx="613">
                  <c:v>3.7927768080680741E-3</c:v>
                </c:pt>
                <c:pt idx="614">
                  <c:v>3.8378950150347135E-3</c:v>
                </c:pt>
                <c:pt idx="615">
                  <c:v>3.8830011513626703E-3</c:v>
                </c:pt>
                <c:pt idx="616">
                  <c:v>3.928095216910123E-3</c:v>
                </c:pt>
                <c:pt idx="617">
                  <c:v>3.9731963294218787E-3</c:v>
                </c:pt>
                <c:pt idx="618">
                  <c:v>4.0184000787771741E-3</c:v>
                </c:pt>
                <c:pt idx="619">
                  <c:v>4.0539440123632531E-3</c:v>
                </c:pt>
                <c:pt idx="620">
                  <c:v>4.1095743274313021E-3</c:v>
                </c:pt>
                <c:pt idx="621">
                  <c:v>4.1557706837329119E-3</c:v>
                </c:pt>
                <c:pt idx="622">
                  <c:v>4.2024614721349451E-3</c:v>
                </c:pt>
                <c:pt idx="623">
                  <c:v>4.2565339315200649E-3</c:v>
                </c:pt>
                <c:pt idx="624">
                  <c:v>4.297330883983856E-3</c:v>
                </c:pt>
                <c:pt idx="625">
                  <c:v>4.3455095195810145E-3</c:v>
                </c:pt>
                <c:pt idx="626">
                  <c:v>4.3941841164940598E-3</c:v>
                </c:pt>
                <c:pt idx="627">
                  <c:v>4.4433546809605831E-3</c:v>
                </c:pt>
                <c:pt idx="628">
                  <c:v>4.493021219269748E-3</c:v>
                </c:pt>
                <c:pt idx="629">
                  <c:v>4.5431837377854951E-3</c:v>
                </c:pt>
                <c:pt idx="630">
                  <c:v>4.5938422429310736E-3</c:v>
                </c:pt>
                <c:pt idx="631">
                  <c:v>4.6449967411916187E-3</c:v>
                </c:pt>
                <c:pt idx="632">
                  <c:v>4.6966472391167299E-3</c:v>
                </c:pt>
                <c:pt idx="633">
                  <c:v>4.7487937433204714E-3</c:v>
                </c:pt>
                <c:pt idx="634">
                  <c:v>4.801436260478794E-3</c:v>
                </c:pt>
                <c:pt idx="635">
                  <c:v>4.85457479733469E-3</c:v>
                </c:pt>
                <c:pt idx="636">
                  <c:v>4.9313474486754119E-3</c:v>
                </c:pt>
                <c:pt idx="637">
                  <c:v>4.9856906332445029E-3</c:v>
                </c:pt>
                <c:pt idx="638">
                  <c:v>5.0405298611026191E-3</c:v>
                </c:pt>
                <c:pt idx="639">
                  <c:v>5.0958651392712401E-3</c:v>
                </c:pt>
                <c:pt idx="640">
                  <c:v>5.1516964748388903E-3</c:v>
                </c:pt>
                <c:pt idx="641">
                  <c:v>5.195724866606799E-3</c:v>
                </c:pt>
                <c:pt idx="642">
                  <c:v>5.25243956783645E-3</c:v>
                </c:pt>
                <c:pt idx="643">
                  <c:v>5.3096502977984751E-3</c:v>
                </c:pt>
                <c:pt idx="644">
                  <c:v>5.3673570631047286E-3</c:v>
                </c:pt>
                <c:pt idx="645">
                  <c:v>5.4382942660464876E-3</c:v>
                </c:pt>
                <c:pt idx="646">
                  <c:v>5.497102098343227E-3</c:v>
                </c:pt>
                <c:pt idx="647">
                  <c:v>5.556406039412095E-3</c:v>
                </c:pt>
                <c:pt idx="648">
                  <c:v>5.616206096847016E-3</c:v>
                </c:pt>
                <c:pt idx="649">
                  <c:v>5.6765022783089591E-3</c:v>
                </c:pt>
                <c:pt idx="650">
                  <c:v>5.7328644716028165E-3</c:v>
                </c:pt>
                <c:pt idx="651">
                  <c:v>5.7941165050081622E-3</c:v>
                </c:pt>
                <c:pt idx="652">
                  <c:v>5.8735981253494884E-3</c:v>
                </c:pt>
                <c:pt idx="653">
                  <c:v>5.9181089644626539E-3</c:v>
                </c:pt>
                <c:pt idx="654">
                  <c:v>5.9854253184486684E-3</c:v>
                </c:pt>
                <c:pt idx="655">
                  <c:v>6.0486984084212785E-3</c:v>
                </c:pt>
                <c:pt idx="656">
                  <c:v>6.1124676778062841E-3</c:v>
                </c:pt>
                <c:pt idx="657">
                  <c:v>6.1767331347571631E-3</c:v>
                </c:pt>
                <c:pt idx="658">
                  <c:v>6.2367727648897642E-3</c:v>
                </c:pt>
                <c:pt idx="659">
                  <c:v>6.3019940426309873E-3</c:v>
                </c:pt>
                <c:pt idx="660">
                  <c:v>6.3677115116389515E-3</c:v>
                </c:pt>
                <c:pt idx="661">
                  <c:v>6.4339251800538122E-3</c:v>
                </c:pt>
                <c:pt idx="662">
                  <c:v>6.5055035233583681E-3</c:v>
                </c:pt>
                <c:pt idx="663">
                  <c:v>6.5727462807876622E-3</c:v>
                </c:pt>
                <c:pt idx="664">
                  <c:v>6.640485284729227E-3</c:v>
                </c:pt>
                <c:pt idx="665">
                  <c:v>6.7087205438574118E-3</c:v>
                </c:pt>
                <c:pt idx="666">
                  <c:v>6.7774520669136133E-3</c:v>
                </c:pt>
                <c:pt idx="667">
                  <c:v>6.8466798626959551E-3</c:v>
                </c:pt>
                <c:pt idx="668">
                  <c:v>6.916402747671164E-3</c:v>
                </c:pt>
                <c:pt idx="669">
                  <c:v>6.9865801446975951E-3</c:v>
                </c:pt>
                <c:pt idx="670">
                  <c:v>7.0571239999142697E-3</c:v>
                </c:pt>
                <c:pt idx="671">
                  <c:v>7.1227994262708094E-3</c:v>
                </c:pt>
                <c:pt idx="672">
                  <c:v>7.1937949318385819E-3</c:v>
                </c:pt>
                <c:pt idx="673">
                  <c:v>7.2648998786437602E-3</c:v>
                </c:pt>
                <c:pt idx="674">
                  <c:v>7.3360986155366348E-3</c:v>
                </c:pt>
                <c:pt idx="675">
                  <c:v>7.4125681971895594E-3</c:v>
                </c:pt>
                <c:pt idx="676">
                  <c:v>7.483962695513156E-3</c:v>
                </c:pt>
                <c:pt idx="677">
                  <c:v>7.5554510051593334E-3</c:v>
                </c:pt>
                <c:pt idx="678">
                  <c:v>7.6270331278557417E-3</c:v>
                </c:pt>
                <c:pt idx="679">
                  <c:v>7.6987090653300328E-3</c:v>
                </c:pt>
                <c:pt idx="680">
                  <c:v>7.7652607220821679E-3</c:v>
                </c:pt>
                <c:pt idx="681">
                  <c:v>7.8371160362982195E-3</c:v>
                </c:pt>
                <c:pt idx="682">
                  <c:v>7.9090651539752699E-3</c:v>
                </c:pt>
                <c:pt idx="683">
                  <c:v>7.9915947859302006E-3</c:v>
                </c:pt>
                <c:pt idx="684">
                  <c:v>8.058496035005077E-3</c:v>
                </c:pt>
                <c:pt idx="685">
                  <c:v>8.130734897561399E-3</c:v>
                </c:pt>
                <c:pt idx="686">
                  <c:v>8.203067587058778E-3</c:v>
                </c:pt>
                <c:pt idx="687">
                  <c:v>8.2754941052403316E-3</c:v>
                </c:pt>
                <c:pt idx="688">
                  <c:v>8.3583821633865223E-3</c:v>
                </c:pt>
                <c:pt idx="689">
                  <c:v>8.4310097489269688E-3</c:v>
                </c:pt>
                <c:pt idx="690">
                  <c:v>8.5037311686568667E-3</c:v>
                </c:pt>
                <c:pt idx="691">
                  <c:v>8.5765464243296504E-3</c:v>
                </c:pt>
                <c:pt idx="692">
                  <c:v>8.6494555177039148E-3</c:v>
                </c:pt>
                <c:pt idx="693">
                  <c:v>8.7118034110407801E-3</c:v>
                </c:pt>
                <c:pt idx="694">
                  <c:v>8.7848832283942482E-3</c:v>
                </c:pt>
                <c:pt idx="695">
                  <c:v>8.8580568542204283E-3</c:v>
                </c:pt>
                <c:pt idx="696">
                  <c:v>8.9313242901731729E-3</c:v>
                </c:pt>
                <c:pt idx="697">
                  <c:v>9.0154086118183901E-3</c:v>
                </c:pt>
                <c:pt idx="698">
                  <c:v>9.1103719681702791E-3</c:v>
                </c:pt>
                <c:pt idx="699">
                  <c:v>9.1624467751692407E-3</c:v>
                </c:pt>
                <c:pt idx="700">
                  <c:v>9.2361066337302983E-3</c:v>
                </c:pt>
                <c:pt idx="701">
                  <c:v>9.3044640567319092E-3</c:v>
                </c:pt>
                <c:pt idx="702">
                  <c:v>9.3783030050103022E-3</c:v>
                </c:pt>
                <c:pt idx="703">
                  <c:v>9.4842096339900483E-3</c:v>
                </c:pt>
                <c:pt idx="704">
                  <c:v>9.558280397447827E-3</c:v>
                </c:pt>
                <c:pt idx="705">
                  <c:v>9.6161449770320179E-3</c:v>
                </c:pt>
                <c:pt idx="706">
                  <c:v>9.7067035636377863E-3</c:v>
                </c:pt>
                <c:pt idx="707">
                  <c:v>9.7810559700670097E-3</c:v>
                </c:pt>
                <c:pt idx="708">
                  <c:v>9.8555022611937493E-3</c:v>
                </c:pt>
                <c:pt idx="709">
                  <c:v>9.9300424388690245E-3</c:v>
                </c:pt>
                <c:pt idx="710">
                  <c:v>1.0004676504953847E-2</c:v>
                </c:pt>
                <c:pt idx="711">
                  <c:v>1.0079404461306729E-2</c:v>
                </c:pt>
                <c:pt idx="712">
                  <c:v>1.0154226309791181E-2</c:v>
                </c:pt>
                <c:pt idx="713">
                  <c:v>1.022914205227321E-2</c:v>
                </c:pt>
                <c:pt idx="714">
                  <c:v>1.0304151690618824E-2</c:v>
                </c:pt>
                <c:pt idx="715">
                  <c:v>1.0379255226699025E-2</c:v>
                </c:pt>
                <c:pt idx="716">
                  <c:v>1.0454452662384817E-2</c:v>
                </c:pt>
                <c:pt idx="717">
                  <c:v>1.0529743999552199E-2</c:v>
                </c:pt>
                <c:pt idx="718">
                  <c:v>1.0605129240074673E-2</c:v>
                </c:pt>
                <c:pt idx="719">
                  <c:v>1.0680608385835733E-2</c:v>
                </c:pt>
                <c:pt idx="720">
                  <c:v>1.0756173055504747E-2</c:v>
                </c:pt>
                <c:pt idx="721">
                  <c:v>1.0831763131910477E-2</c:v>
                </c:pt>
                <c:pt idx="722">
                  <c:v>1.0907298779931907E-2</c:v>
                </c:pt>
                <c:pt idx="723">
                  <c:v>1.0982700123498279E-2</c:v>
                </c:pt>
                <c:pt idx="724">
                  <c:v>1.1057887594894678E-2</c:v>
                </c:pt>
                <c:pt idx="725">
                  <c:v>1.1132808676583283E-2</c:v>
                </c:pt>
                <c:pt idx="726">
                  <c:v>1.1207458511649226E-2</c:v>
                </c:pt>
                <c:pt idx="727">
                  <c:v>1.1281837094691827E-2</c:v>
                </c:pt>
                <c:pt idx="728">
                  <c:v>1.135594442032789E-2</c:v>
                </c:pt>
                <c:pt idx="729">
                  <c:v>1.1429780483196705E-2</c:v>
                </c:pt>
                <c:pt idx="730">
                  <c:v>1.1503345277957544E-2</c:v>
                </c:pt>
                <c:pt idx="731">
                  <c:v>1.1576638799287164E-2</c:v>
                </c:pt>
                <c:pt idx="732">
                  <c:v>1.1649661041882309E-2</c:v>
                </c:pt>
                <c:pt idx="733">
                  <c:v>1.1722412000459703E-2</c:v>
                </c:pt>
                <c:pt idx="734">
                  <c:v>1.1794891669756058E-2</c:v>
                </c:pt>
                <c:pt idx="735">
                  <c:v>1.1867100044525569E-2</c:v>
                </c:pt>
                <c:pt idx="736">
                  <c:v>1.1939037119549911E-2</c:v>
                </c:pt>
                <c:pt idx="737">
                  <c:v>1.2010702889615754E-2</c:v>
                </c:pt>
                <c:pt idx="738">
                  <c:v>1.2082097349542242E-2</c:v>
                </c:pt>
                <c:pt idx="739">
                  <c:v>1.2153220494163508E-2</c:v>
                </c:pt>
                <c:pt idx="740">
                  <c:v>1.220833408439638E-2</c:v>
                </c:pt>
                <c:pt idx="741">
                  <c:v>1.2294652816929319E-2</c:v>
                </c:pt>
                <c:pt idx="742">
                  <c:v>1.2364961984837053E-2</c:v>
                </c:pt>
                <c:pt idx="743">
                  <c:v>1.2434999816973435E-2</c:v>
                </c:pt>
                <c:pt idx="744">
                  <c:v>1.2489231755108944E-2</c:v>
                </c:pt>
                <c:pt idx="745">
                  <c:v>1.2553613577590867E-2</c:v>
                </c:pt>
                <c:pt idx="746">
                  <c:v>1.2622905214045219E-2</c:v>
                </c:pt>
                <c:pt idx="747">
                  <c:v>1.2691925480955593E-2</c:v>
                </c:pt>
                <c:pt idx="748">
                  <c:v>1.2760674373948344E-2</c:v>
                </c:pt>
                <c:pt idx="749">
                  <c:v>1.2854618886898419E-2</c:v>
                </c:pt>
                <c:pt idx="750">
                  <c:v>1.2917666817123807E-2</c:v>
                </c:pt>
                <c:pt idx="751">
                  <c:v>1.2985533782303993E-2</c:v>
                </c:pt>
                <c:pt idx="752">
                  <c:v>1.3053129366808747E-2</c:v>
                </c:pt>
                <c:pt idx="753">
                  <c:v>1.3120453565749479E-2</c:v>
                </c:pt>
                <c:pt idx="754">
                  <c:v>1.3187506374255087E-2</c:v>
                </c:pt>
                <c:pt idx="755">
                  <c:v>1.325428778747445E-2</c:v>
                </c:pt>
                <c:pt idx="756">
                  <c:v>1.3320797800571438E-2</c:v>
                </c:pt>
                <c:pt idx="757">
                  <c:v>1.3387036408737396E-2</c:v>
                </c:pt>
                <c:pt idx="758">
                  <c:v>1.345300360717866E-2</c:v>
                </c:pt>
                <c:pt idx="759">
                  <c:v>1.3518699391119049E-2</c:v>
                </c:pt>
                <c:pt idx="760">
                  <c:v>1.3584123755804867E-2</c:v>
                </c:pt>
                <c:pt idx="761">
                  <c:v>1.3649276696509893E-2</c:v>
                </c:pt>
                <c:pt idx="762">
                  <c:v>1.3714158208510407E-2</c:v>
                </c:pt>
                <c:pt idx="763">
                  <c:v>1.3778768287115162E-2</c:v>
                </c:pt>
                <c:pt idx="764">
                  <c:v>1.3843106927650395E-2</c:v>
                </c:pt>
                <c:pt idx="765">
                  <c:v>1.3907174125457333E-2</c:v>
                </c:pt>
                <c:pt idx="766">
                  <c:v>1.3970969875902184E-2</c:v>
                </c:pt>
                <c:pt idx="767">
                  <c:v>1.4034494174368639E-2</c:v>
                </c:pt>
                <c:pt idx="768">
                  <c:v>1.4097747016260376E-2</c:v>
                </c:pt>
                <c:pt idx="769">
                  <c:v>1.4160728396996058E-2</c:v>
                </c:pt>
                <c:pt idx="770">
                  <c:v>1.4223438312024328E-2</c:v>
                </c:pt>
                <c:pt idx="771">
                  <c:v>1.4285876756803817E-2</c:v>
                </c:pt>
                <c:pt idx="772">
                  <c:v>1.4348043393055121E-2</c:v>
                </c:pt>
                <c:pt idx="773">
                  <c:v>1.4409934603614172E-2</c:v>
                </c:pt>
                <c:pt idx="774">
                  <c:v>1.4471544910170664E-2</c:v>
                </c:pt>
                <c:pt idx="775">
                  <c:v>1.4532868812966449E-2</c:v>
                </c:pt>
                <c:pt idx="776">
                  <c:v>1.4593900814808825E-2</c:v>
                </c:pt>
                <c:pt idx="777">
                  <c:v>1.4654636774852625E-2</c:v>
                </c:pt>
                <c:pt idx="778">
                  <c:v>1.4715076111548042E-2</c:v>
                </c:pt>
                <c:pt idx="779">
                  <c:v>1.4761494676323345E-2</c:v>
                </c:pt>
                <c:pt idx="780">
                  <c:v>1.4835064895798999E-2</c:v>
                </c:pt>
                <c:pt idx="781">
                  <c:v>1.4894614333874623E-2</c:v>
                </c:pt>
                <c:pt idx="782">
                  <c:v>1.4953867129627041E-2</c:v>
                </c:pt>
                <c:pt idx="783">
                  <c:v>1.5012823278374998E-2</c:v>
                </c:pt>
                <c:pt idx="784">
                  <c:v>1.5071482775457223E-2</c:v>
                </c:pt>
                <c:pt idx="785">
                  <c:v>1.5129845616234927E-2</c:v>
                </c:pt>
                <c:pt idx="786">
                  <c:v>1.5187911796096798E-2</c:v>
                </c:pt>
                <c:pt idx="787">
                  <c:v>1.5245681310451509E-2</c:v>
                </c:pt>
                <c:pt idx="788">
                  <c:v>1.5303154154730214E-2</c:v>
                </c:pt>
                <c:pt idx="789">
                  <c:v>1.5360330324391547E-2</c:v>
                </c:pt>
                <c:pt idx="790">
                  <c:v>1.5417209814916621E-2</c:v>
                </c:pt>
                <c:pt idx="791">
                  <c:v>1.5473792621804039E-2</c:v>
                </c:pt>
                <c:pt idx="792">
                  <c:v>1.5530078740582376E-2</c:v>
                </c:pt>
                <c:pt idx="793">
                  <c:v>1.5586068166802691E-2</c:v>
                </c:pt>
                <c:pt idx="794">
                  <c:v>1.5641760896038526E-2</c:v>
                </c:pt>
                <c:pt idx="795">
                  <c:v>1.5697156923885902E-2</c:v>
                </c:pt>
                <c:pt idx="796">
                  <c:v>1.5752256245968321E-2</c:v>
                </c:pt>
                <c:pt idx="797">
                  <c:v>1.5790107186655078E-2</c:v>
                </c:pt>
                <c:pt idx="798">
                  <c:v>1.5844688272937151E-2</c:v>
                </c:pt>
                <c:pt idx="799">
                  <c:v>1.5898972661001803E-2</c:v>
                </c:pt>
                <c:pt idx="800">
                  <c:v>1.5952960347094893E-2</c:v>
                </c:pt>
                <c:pt idx="801">
                  <c:v>1.6023302118209903E-2</c:v>
                </c:pt>
                <c:pt idx="802">
                  <c:v>1.6076621115027612E-2</c:v>
                </c:pt>
                <c:pt idx="803">
                  <c:v>1.613376425247524E-2</c:v>
                </c:pt>
                <c:pt idx="804">
                  <c:v>1.6182368897163513E-2</c:v>
                </c:pt>
                <c:pt idx="805">
                  <c:v>1.6222538016028652E-2</c:v>
                </c:pt>
                <c:pt idx="806">
                  <c:v>1.6286929702809816E-2</c:v>
                </c:pt>
                <c:pt idx="807">
                  <c:v>1.6338764979101084E-2</c:v>
                </c:pt>
                <c:pt idx="808">
                  <c:v>1.6390303498897973E-2</c:v>
                </c:pt>
                <c:pt idx="809">
                  <c:v>1.6441545258126244E-2</c:v>
                </c:pt>
                <c:pt idx="810">
                  <c:v>1.6492490252736636E-2</c:v>
                </c:pt>
                <c:pt idx="811">
                  <c:v>1.6543138478697372E-2</c:v>
                </c:pt>
                <c:pt idx="812">
                  <c:v>1.6593489932006655E-2</c:v>
                </c:pt>
                <c:pt idx="813">
                  <c:v>1.664354460868267E-2</c:v>
                </c:pt>
                <c:pt idx="814">
                  <c:v>1.6693302504768581E-2</c:v>
                </c:pt>
                <c:pt idx="815">
                  <c:v>1.6742763616330036E-2</c:v>
                </c:pt>
                <c:pt idx="816">
                  <c:v>1.6791927939455165E-2</c:v>
                </c:pt>
                <c:pt idx="817">
                  <c:v>1.6840795470259573E-2</c:v>
                </c:pt>
                <c:pt idx="818">
                  <c:v>1.6877842952660132E-2</c:v>
                </c:pt>
                <c:pt idx="819">
                  <c:v>1.6937640139468579E-2</c:v>
                </c:pt>
                <c:pt idx="820">
                  <c:v>1.6985617270216802E-2</c:v>
                </c:pt>
                <c:pt idx="821">
                  <c:v>1.7033297593329055E-2</c:v>
                </c:pt>
                <c:pt idx="822">
                  <c:v>1.7080681105038353E-2</c:v>
                </c:pt>
                <c:pt idx="823">
                  <c:v>1.7127767801590199E-2</c:v>
                </c:pt>
                <c:pt idx="824">
                  <c:v>1.7174557099398913E-2</c:v>
                </c:pt>
                <c:pt idx="825">
                  <c:v>1.7221038674882505E-2</c:v>
                </c:pt>
                <c:pt idx="826">
                  <c:v>1.7267194122339014E-2</c:v>
                </c:pt>
                <c:pt idx="827">
                  <c:v>1.7313004791152387E-2</c:v>
                </c:pt>
                <c:pt idx="828">
                  <c:v>1.7358452030444282E-2</c:v>
                </c:pt>
                <c:pt idx="829">
                  <c:v>1.7403520296853103E-2</c:v>
                </c:pt>
                <c:pt idx="830">
                  <c:v>1.7448206478023476E-2</c:v>
                </c:pt>
                <c:pt idx="831">
                  <c:v>1.7492510569411535E-2</c:v>
                </c:pt>
                <c:pt idx="832">
                  <c:v>1.7536432566505888E-2</c:v>
                </c:pt>
                <c:pt idx="833">
                  <c:v>1.757997246484011E-2</c:v>
                </c:pt>
                <c:pt idx="834">
                  <c:v>1.7623130259982744E-2</c:v>
                </c:pt>
                <c:pt idx="835">
                  <c:v>1.7665905947537308E-2</c:v>
                </c:pt>
                <c:pt idx="836">
                  <c:v>1.7708299523157278E-2</c:v>
                </c:pt>
                <c:pt idx="837">
                  <c:v>1.7750310982523609E-2</c:v>
                </c:pt>
                <c:pt idx="838">
                  <c:v>1.7791940321364719E-2</c:v>
                </c:pt>
                <c:pt idx="839">
                  <c:v>1.7836539629618127E-2</c:v>
                </c:pt>
                <c:pt idx="840">
                  <c:v>1.7874052620554803E-2</c:v>
                </c:pt>
                <c:pt idx="841">
                  <c:v>1.7914535572550461E-2</c:v>
                </c:pt>
                <c:pt idx="842">
                  <c:v>1.7954636387306766E-2</c:v>
                </c:pt>
                <c:pt idx="843">
                  <c:v>1.7994355060739486E-2</c:v>
                </c:pt>
                <c:pt idx="844">
                  <c:v>1.8033691588811851E-2</c:v>
                </c:pt>
                <c:pt idx="845">
                  <c:v>1.8072645967517065E-2</c:v>
                </c:pt>
                <c:pt idx="846">
                  <c:v>1.8111218192893297E-2</c:v>
                </c:pt>
                <c:pt idx="847">
                  <c:v>1.8149408261011191E-2</c:v>
                </c:pt>
                <c:pt idx="848">
                  <c:v>1.8187216167991349E-2</c:v>
                </c:pt>
                <c:pt idx="849">
                  <c:v>1.8212223906437824E-2</c:v>
                </c:pt>
                <c:pt idx="850">
                  <c:v>1.8249369151620405E-2</c:v>
                </c:pt>
                <c:pt idx="851">
                  <c:v>1.8286132287584436E-2</c:v>
                </c:pt>
                <c:pt idx="852">
                  <c:v>1.8322513311052533E-2</c:v>
                </c:pt>
                <c:pt idx="853">
                  <c:v>1.837052315244031E-2</c:v>
                </c:pt>
                <c:pt idx="854">
                  <c:v>1.8409009444266419E-2</c:v>
                </c:pt>
                <c:pt idx="855">
                  <c:v>1.8441170686548103E-2</c:v>
                </c:pt>
                <c:pt idx="856">
                  <c:v>1.8475921169139597E-2</c:v>
                </c:pt>
                <c:pt idx="857">
                  <c:v>1.850159083753472E-2</c:v>
                </c:pt>
                <c:pt idx="858">
                  <c:v>1.854427554771193E-2</c:v>
                </c:pt>
                <c:pt idx="859">
                  <c:v>1.8577879436735834E-2</c:v>
                </c:pt>
                <c:pt idx="860">
                  <c:v>1.8611101121011886E-2</c:v>
                </c:pt>
                <c:pt idx="861">
                  <c:v>1.8643940597160291E-2</c:v>
                </c:pt>
                <c:pt idx="862">
                  <c:v>1.8676397861836225E-2</c:v>
                </c:pt>
                <c:pt idx="863">
                  <c:v>1.8708472911739826E-2</c:v>
                </c:pt>
                <c:pt idx="864">
                  <c:v>1.8740165743603709E-2</c:v>
                </c:pt>
                <c:pt idx="865">
                  <c:v>1.877147635420795E-2</c:v>
                </c:pt>
                <c:pt idx="866">
                  <c:v>1.8802404740357603E-2</c:v>
                </c:pt>
                <c:pt idx="867">
                  <c:v>1.8832950898912681E-2</c:v>
                </c:pt>
                <c:pt idx="868">
                  <c:v>1.8863114826758176E-2</c:v>
                </c:pt>
                <c:pt idx="869">
                  <c:v>1.8892896520829039E-2</c:v>
                </c:pt>
                <c:pt idx="870">
                  <c:v>1.8922295978095194E-2</c:v>
                </c:pt>
                <c:pt idx="871">
                  <c:v>1.8951313195556541E-2</c:v>
                </c:pt>
                <c:pt idx="872">
                  <c:v>1.8979948170267935E-2</c:v>
                </c:pt>
                <c:pt idx="873">
                  <c:v>1.9008200899311711E-2</c:v>
                </c:pt>
                <c:pt idx="874">
                  <c:v>1.9036071379815167E-2</c:v>
                </c:pt>
                <c:pt idx="875">
                  <c:v>1.9063559608938074E-2</c:v>
                </c:pt>
                <c:pt idx="876">
                  <c:v>1.9090666949939938E-2</c:v>
                </c:pt>
                <c:pt idx="877">
                  <c:v>1.9117439896562116E-2</c:v>
                </c:pt>
                <c:pt idx="878">
                  <c:v>1.9143979332421068E-2</c:v>
                </c:pt>
                <c:pt idx="879">
                  <c:v>1.9163206563508339E-2</c:v>
                </c:pt>
                <c:pt idx="880">
                  <c:v>1.9196774163453001E-2</c:v>
                </c:pt>
                <c:pt idx="881">
                  <c:v>1.9223226878334054E-2</c:v>
                </c:pt>
                <c:pt idx="882">
                  <c:v>1.9249773278274818E-2</c:v>
                </c:pt>
                <c:pt idx="883">
                  <c:v>1.9276413414536786E-2</c:v>
                </c:pt>
                <c:pt idx="884">
                  <c:v>1.9303147287784428E-2</c:v>
                </c:pt>
                <c:pt idx="885">
                  <c:v>1.932997489868471E-2</c:v>
                </c:pt>
                <c:pt idx="886">
                  <c:v>1.93568962479021E-2</c:v>
                </c:pt>
                <c:pt idx="887">
                  <c:v>1.9383911336111059E-2</c:v>
                </c:pt>
                <c:pt idx="888">
                  <c:v>1.9411020163988546E-2</c:v>
                </c:pt>
                <c:pt idx="889">
                  <c:v>1.9438222732204025E-2</c:v>
                </c:pt>
                <c:pt idx="890">
                  <c:v>1.9465519041441948E-2</c:v>
                </c:pt>
                <c:pt idx="891">
                  <c:v>1.9497895460164272E-2</c:v>
                </c:pt>
                <c:pt idx="892">
                  <c:v>1.9512895306229301E-2</c:v>
                </c:pt>
                <c:pt idx="893">
                  <c:v>1.954797042209494E-2</c:v>
                </c:pt>
                <c:pt idx="894">
                  <c:v>1.9575641702244684E-2</c:v>
                </c:pt>
                <c:pt idx="895">
                  <c:v>1.960340672684413E-2</c:v>
                </c:pt>
                <c:pt idx="896">
                  <c:v>1.9637787891216136E-2</c:v>
                </c:pt>
                <c:pt idx="897">
                  <c:v>1.9660676618010776E-2</c:v>
                </c:pt>
                <c:pt idx="898">
                  <c:v>1.9688728044503393E-2</c:v>
                </c:pt>
                <c:pt idx="899">
                  <c:v>1.9716873210964055E-2</c:v>
                </c:pt>
                <c:pt idx="900">
                  <c:v>1.9745112118073508E-2</c:v>
                </c:pt>
                <c:pt idx="901">
                  <c:v>1.9773444766520234E-2</c:v>
                </c:pt>
                <c:pt idx="902">
                  <c:v>1.9801871156979824E-2</c:v>
                </c:pt>
                <c:pt idx="903">
                  <c:v>1.9830391290143332E-2</c:v>
                </c:pt>
                <c:pt idx="904">
                  <c:v>1.9859005166701825E-2</c:v>
                </c:pt>
                <c:pt idx="905">
                  <c:v>1.9890321082413065E-2</c:v>
                </c:pt>
                <c:pt idx="906">
                  <c:v>1.9916514152765418E-2</c:v>
                </c:pt>
                <c:pt idx="907">
                  <c:v>1.9945409263657798E-2</c:v>
                </c:pt>
                <c:pt idx="908">
                  <c:v>1.9974398120727446E-2</c:v>
                </c:pt>
                <c:pt idx="909">
                  <c:v>2.0017496093862164E-2</c:v>
                </c:pt>
                <c:pt idx="910">
                  <c:v>2.0032657076180856E-2</c:v>
                </c:pt>
                <c:pt idx="911">
                  <c:v>2.0061927175977677E-2</c:v>
                </c:pt>
                <c:pt idx="912">
                  <c:v>2.0091291024762429E-2</c:v>
                </c:pt>
                <c:pt idx="913">
                  <c:v>2.0120748623244214E-2</c:v>
                </c:pt>
                <c:pt idx="914">
                  <c:v>2.0162993535228269E-2</c:v>
                </c:pt>
                <c:pt idx="915">
                  <c:v>2.0192678814513296E-2</c:v>
                </c:pt>
                <c:pt idx="916">
                  <c:v>2.0222457845947596E-2</c:v>
                </c:pt>
                <c:pt idx="917">
                  <c:v>2.025233063025059E-2</c:v>
                </c:pt>
                <c:pt idx="918">
                  <c:v>2.027957784743073E-2</c:v>
                </c:pt>
                <c:pt idx="919">
                  <c:v>2.0309629750101088E-2</c:v>
                </c:pt>
                <c:pt idx="920">
                  <c:v>2.0339775399960125E-2</c:v>
                </c:pt>
                <c:pt idx="921">
                  <c:v>2.0370014797716607E-2</c:v>
                </c:pt>
                <c:pt idx="922">
                  <c:v>2.0403100870099604E-2</c:v>
                </c:pt>
                <c:pt idx="923">
                  <c:v>2.0433536186843872E-2</c:v>
                </c:pt>
                <c:pt idx="924">
                  <c:v>2.0464065261549536E-2</c:v>
                </c:pt>
                <c:pt idx="925">
                  <c:v>2.0494688094966962E-2</c:v>
                </c:pt>
                <c:pt idx="926">
                  <c:v>2.0525404687823306E-2</c:v>
                </c:pt>
                <c:pt idx="927">
                  <c:v>2.0556215040871524E-2</c:v>
                </c:pt>
                <c:pt idx="928">
                  <c:v>2.0587118277512167E-2</c:v>
                </c:pt>
                <c:pt idx="929">
                  <c:v>2.0618084536431824E-2</c:v>
                </c:pt>
                <c:pt idx="930">
                  <c:v>2.0649049024772954E-2</c:v>
                </c:pt>
                <c:pt idx="931">
                  <c:v>2.0677156553587928E-2</c:v>
                </c:pt>
                <c:pt idx="932">
                  <c:v>2.0707929198249708E-2</c:v>
                </c:pt>
                <c:pt idx="933">
                  <c:v>2.0738510976250346E-2</c:v>
                </c:pt>
                <c:pt idx="934">
                  <c:v>2.0768890369667226E-2</c:v>
                </c:pt>
                <c:pt idx="935">
                  <c:v>2.0801805254286303E-2</c:v>
                </c:pt>
                <c:pt idx="936">
                  <c:v>2.0831767148521634E-2</c:v>
                </c:pt>
                <c:pt idx="937">
                  <c:v>2.0861526644259002E-2</c:v>
                </c:pt>
                <c:pt idx="938">
                  <c:v>2.089108373994868E-2</c:v>
                </c:pt>
                <c:pt idx="939">
                  <c:v>2.0920438434046101E-2</c:v>
                </c:pt>
                <c:pt idx="940">
                  <c:v>2.0946916568639118E-2</c:v>
                </c:pt>
                <c:pt idx="941">
                  <c:v>2.0975879227555616E-2</c:v>
                </c:pt>
                <c:pt idx="942">
                  <c:v>2.1004639489892618E-2</c:v>
                </c:pt>
                <c:pt idx="943">
                  <c:v>2.1038467856667742E-2</c:v>
                </c:pt>
                <c:pt idx="944">
                  <c:v>2.1064175827378351E-2</c:v>
                </c:pt>
                <c:pt idx="945">
                  <c:v>2.1092316080107653E-2</c:v>
                </c:pt>
                <c:pt idx="946">
                  <c:v>2.1120253920739553E-2</c:v>
                </c:pt>
                <c:pt idx="947">
                  <c:v>2.1147989347817146E-2</c:v>
                </c:pt>
                <c:pt idx="948">
                  <c:v>2.1179439123568535E-2</c:v>
                </c:pt>
                <c:pt idx="949">
                  <c:v>2.1206740802447478E-2</c:v>
                </c:pt>
                <c:pt idx="950">
                  <c:v>2.1233840063251866E-2</c:v>
                </c:pt>
                <c:pt idx="951">
                  <c:v>2.1260736904571205E-2</c:v>
                </c:pt>
                <c:pt idx="952">
                  <c:v>2.1287431325000175E-2</c:v>
                </c:pt>
                <c:pt idx="953">
                  <c:v>2.1306403403335797E-2</c:v>
                </c:pt>
                <c:pt idx="954">
                  <c:v>2.1332731680394304E-2</c:v>
                </c:pt>
                <c:pt idx="955">
                  <c:v>2.1358857562937379E-2</c:v>
                </c:pt>
                <c:pt idx="956">
                  <c:v>2.1384781049728865E-2</c:v>
                </c:pt>
                <c:pt idx="957">
                  <c:v>2.141786706537397E-2</c:v>
                </c:pt>
                <c:pt idx="958">
                  <c:v>2.1443346931562534E-2</c:v>
                </c:pt>
                <c:pt idx="959">
                  <c:v>2.1478324749021178E-2</c:v>
                </c:pt>
                <c:pt idx="960">
                  <c:v>2.1493699371344089E-2</c:v>
                </c:pt>
                <c:pt idx="961">
                  <c:v>2.1518571942309512E-2</c:v>
                </c:pt>
                <c:pt idx="962">
                  <c:v>2.1540853059289766E-2</c:v>
                </c:pt>
                <c:pt idx="963">
                  <c:v>2.1565333755637184E-2</c:v>
                </c:pt>
                <c:pt idx="964">
                  <c:v>2.1601228948287254E-2</c:v>
                </c:pt>
                <c:pt idx="965">
                  <c:v>2.1626288538308482E-2</c:v>
                </c:pt>
                <c:pt idx="966">
                  <c:v>2.1649010428172466E-2</c:v>
                </c:pt>
                <c:pt idx="967">
                  <c:v>2.1672597491152745E-2</c:v>
                </c:pt>
                <c:pt idx="968">
                  <c:v>2.1695982101128664E-2</c:v>
                </c:pt>
                <c:pt idx="969">
                  <c:v>2.171916425683873E-2</c:v>
                </c:pt>
                <c:pt idx="970">
                  <c:v>2.1742143957031446E-2</c:v>
                </c:pt>
                <c:pt idx="971">
                  <c:v>2.17649212004703E-2</c:v>
                </c:pt>
                <c:pt idx="972">
                  <c:v>2.1787495985928773E-2</c:v>
                </c:pt>
                <c:pt idx="973">
                  <c:v>2.1809868312187841E-2</c:v>
                </c:pt>
                <c:pt idx="974">
                  <c:v>2.1832038178043467E-2</c:v>
                </c:pt>
                <c:pt idx="975">
                  <c:v>2.1854005582299108E-2</c:v>
                </c:pt>
                <c:pt idx="976">
                  <c:v>2.1875770523773208E-2</c:v>
                </c:pt>
                <c:pt idx="977">
                  <c:v>2.1897333001291708E-2</c:v>
                </c:pt>
                <c:pt idx="978">
                  <c:v>2.1912164883703265E-2</c:v>
                </c:pt>
                <c:pt idx="979">
                  <c:v>2.1939850559823115E-2</c:v>
                </c:pt>
                <c:pt idx="980">
                  <c:v>2.1960805638545355E-2</c:v>
                </c:pt>
                <c:pt idx="981">
                  <c:v>2.1981558248730659E-2</c:v>
                </c:pt>
                <c:pt idx="982">
                  <c:v>2.2002108389257424E-2</c:v>
                </c:pt>
                <c:pt idx="983">
                  <c:v>2.2022456059019035E-2</c:v>
                </c:pt>
                <c:pt idx="984">
                  <c:v>2.204260125691887E-2</c:v>
                </c:pt>
                <c:pt idx="985">
                  <c:v>2.2062543981875293E-2</c:v>
                </c:pt>
                <c:pt idx="986">
                  <c:v>2.2082284232809168E-2</c:v>
                </c:pt>
                <c:pt idx="987">
                  <c:v>2.2101822008656347E-2</c:v>
                </c:pt>
                <c:pt idx="988">
                  <c:v>2.2121157308365169E-2</c:v>
                </c:pt>
                <c:pt idx="989">
                  <c:v>2.2140290130893969E-2</c:v>
                </c:pt>
                <c:pt idx="990">
                  <c:v>2.2159220475211072E-2</c:v>
                </c:pt>
                <c:pt idx="991">
                  <c:v>2.217193656588487E-2</c:v>
                </c:pt>
                <c:pt idx="992">
                  <c:v>2.2196473725140942E-2</c:v>
                </c:pt>
                <c:pt idx="993">
                  <c:v>2.2214796628747813E-2</c:v>
                </c:pt>
                <c:pt idx="994">
                  <c:v>2.22329170501262E-2</c:v>
                </c:pt>
                <c:pt idx="995">
                  <c:v>2.2250834988301882E-2</c:v>
                </c:pt>
                <c:pt idx="996">
                  <c:v>2.2268550442305635E-2</c:v>
                </c:pt>
                <c:pt idx="997">
                  <c:v>2.2286063411185719E-2</c:v>
                </c:pt>
                <c:pt idx="998">
                  <c:v>2.2303373894000389E-2</c:v>
                </c:pt>
                <c:pt idx="999">
                  <c:v>2.2328278799436718E-2</c:v>
                </c:pt>
                <c:pt idx="1000">
                  <c:v>2.2337905433687754E-2</c:v>
                </c:pt>
                <c:pt idx="1001">
                  <c:v>2.2354090416759342E-2</c:v>
                </c:pt>
                <c:pt idx="1002">
                  <c:v>2.2370590946082236E-2</c:v>
                </c:pt>
                <c:pt idx="1003">
                  <c:v>2.2386888984780862E-2</c:v>
                </c:pt>
                <c:pt idx="1004">
                  <c:v>2.2397494973466863E-2</c:v>
                </c:pt>
                <c:pt idx="1005">
                  <c:v>2.2411609648983317E-2</c:v>
                </c:pt>
                <c:pt idx="1006">
                  <c:v>2.2427354146823078E-2</c:v>
                </c:pt>
                <c:pt idx="1007">
                  <c:v>2.2442896198531553E-2</c:v>
                </c:pt>
                <c:pt idx="1008">
                  <c:v>2.2458235803366478E-2</c:v>
                </c:pt>
                <c:pt idx="1009">
                  <c:v>2.2482184801639479E-2</c:v>
                </c:pt>
                <c:pt idx="1010">
                  <c:v>2.2495305445804636E-2</c:v>
                </c:pt>
                <c:pt idx="1011">
                  <c:v>2.2509983528813671E-2</c:v>
                </c:pt>
                <c:pt idx="1012">
                  <c:v>2.2524459113681949E-2</c:v>
                </c:pt>
                <c:pt idx="1013">
                  <c:v>2.253873219963759E-2</c:v>
                </c:pt>
                <c:pt idx="1014">
                  <c:v>2.2552802785906212E-2</c:v>
                </c:pt>
                <c:pt idx="1015">
                  <c:v>2.2566670871730921E-2</c:v>
                </c:pt>
                <c:pt idx="1016">
                  <c:v>2.2580336456364813E-2</c:v>
                </c:pt>
                <c:pt idx="1017">
                  <c:v>2.258883824463372E-2</c:v>
                </c:pt>
                <c:pt idx="1018">
                  <c:v>2.2607060119125E-2</c:v>
                </c:pt>
                <c:pt idx="1019">
                  <c:v>2.2620118195809946E-2</c:v>
                </c:pt>
                <c:pt idx="1020">
                  <c:v>2.2632973768423881E-2</c:v>
                </c:pt>
                <c:pt idx="1021">
                  <c:v>2.2645626836272359E-2</c:v>
                </c:pt>
                <c:pt idx="1022">
                  <c:v>2.2658077398675924E-2</c:v>
                </c:pt>
                <c:pt idx="1023">
                  <c:v>2.2670325454962614E-2</c:v>
                </c:pt>
                <c:pt idx="1024">
                  <c:v>2.2682371004467961E-2</c:v>
                </c:pt>
                <c:pt idx="1025">
                  <c:v>2.2694214046547478E-2</c:v>
                </c:pt>
                <c:pt idx="1026">
                  <c:v>2.2705854580564178E-2</c:v>
                </c:pt>
                <c:pt idx="1027">
                  <c:v>2.2717292605888562E-2</c:v>
                </c:pt>
                <c:pt idx="1028">
                  <c:v>2.2728528121903624E-2</c:v>
                </c:pt>
                <c:pt idx="1029">
                  <c:v>2.273956112800235E-2</c:v>
                </c:pt>
                <c:pt idx="1030">
                  <c:v>2.2750391623592714E-2</c:v>
                </c:pt>
                <c:pt idx="1031">
                  <c:v>2.2761019608090183E-2</c:v>
                </c:pt>
                <c:pt idx="1032">
                  <c:v>2.2771448069734412E-2</c:v>
                </c:pt>
                <c:pt idx="1033">
                  <c:v>2.2781698441640685E-2</c:v>
                </c:pt>
                <c:pt idx="1034">
                  <c:v>2.2791799186268891E-2</c:v>
                </c:pt>
                <c:pt idx="1035">
                  <c:v>2.2801778780025261E-2</c:v>
                </c:pt>
                <c:pt idx="1036">
                  <c:v>2.2811665588721997E-2</c:v>
                </c:pt>
                <c:pt idx="1037">
                  <c:v>2.2821478333778511E-2</c:v>
                </c:pt>
                <c:pt idx="1038">
                  <c:v>2.2831218744646387E-2</c:v>
                </c:pt>
                <c:pt idx="1039">
                  <c:v>2.2840886821143269E-2</c:v>
                </c:pt>
                <c:pt idx="1040">
                  <c:v>2.2850482563076813E-2</c:v>
                </c:pt>
                <c:pt idx="1041">
                  <c:v>2.2860005970269659E-2</c:v>
                </c:pt>
                <c:pt idx="1042">
                  <c:v>2.2869457042529462E-2</c:v>
                </c:pt>
                <c:pt idx="1043">
                  <c:v>2.2878835779678863E-2</c:v>
                </c:pt>
                <c:pt idx="1044">
                  <c:v>2.2888142181538007E-2</c:v>
                </c:pt>
                <c:pt idx="1045">
                  <c:v>2.2897376247927037E-2</c:v>
                </c:pt>
                <c:pt idx="1046">
                  <c:v>2.2906537978668595E-2</c:v>
                </c:pt>
                <c:pt idx="1047">
                  <c:v>2.2915627373585323E-2</c:v>
                </c:pt>
                <c:pt idx="1048">
                  <c:v>2.2924644432502361E-2</c:v>
                </c:pt>
                <c:pt idx="1049">
                  <c:v>2.2933589155247347E-2</c:v>
                </c:pt>
                <c:pt idx="1050">
                  <c:v>2.294246154164542E-2</c:v>
                </c:pt>
                <c:pt idx="1051">
                  <c:v>2.2951261591526717E-2</c:v>
                </c:pt>
                <c:pt idx="1052">
                  <c:v>2.2955941909691985E-2</c:v>
                </c:pt>
                <c:pt idx="1053">
                  <c:v>2.2968644681067019E-2</c:v>
                </c:pt>
                <c:pt idx="1054">
                  <c:v>2.2977227720393789E-2</c:v>
                </c:pt>
                <c:pt idx="1055">
                  <c:v>2.2985738422529323E-2</c:v>
                </c:pt>
                <c:pt idx="1056">
                  <c:v>2.2990184845497502E-2</c:v>
                </c:pt>
                <c:pt idx="1057">
                  <c:v>2.2997237983752226E-2</c:v>
                </c:pt>
                <c:pt idx="1058">
                  <c:v>2.3005550218549838E-2</c:v>
                </c:pt>
                <c:pt idx="1059">
                  <c:v>2.3013790133274661E-2</c:v>
                </c:pt>
                <c:pt idx="1060">
                  <c:v>2.3021957727783957E-2</c:v>
                </c:pt>
                <c:pt idx="1061">
                  <c:v>2.3035283545391194E-2</c:v>
                </c:pt>
                <c:pt idx="1062">
                  <c:v>2.3043287882721641E-2</c:v>
                </c:pt>
                <c:pt idx="1063">
                  <c:v>2.3051219881596863E-2</c:v>
                </c:pt>
                <c:pt idx="1064">
                  <c:v>2.3059079541861982E-2</c:v>
                </c:pt>
                <c:pt idx="1065">
                  <c:v>2.3066866863367119E-2</c:v>
                </c:pt>
                <c:pt idx="1066">
                  <c:v>2.3074581845957398E-2</c:v>
                </c:pt>
                <c:pt idx="1067">
                  <c:v>2.3082224489490433E-2</c:v>
                </c:pt>
                <c:pt idx="1068">
                  <c:v>2.3089794793816343E-2</c:v>
                </c:pt>
                <c:pt idx="1069">
                  <c:v>2.3097292758787746E-2</c:v>
                </c:pt>
                <c:pt idx="1070">
                  <c:v>2.3104718384264755E-2</c:v>
                </c:pt>
                <c:pt idx="1071">
                  <c:v>2.3112071670102485E-2</c:v>
                </c:pt>
                <c:pt idx="1072">
                  <c:v>2.3119352616156053E-2</c:v>
                </c:pt>
                <c:pt idx="1073">
                  <c:v>2.3126561222293063E-2</c:v>
                </c:pt>
                <c:pt idx="1074">
                  <c:v>2.3133697488363636E-2</c:v>
                </c:pt>
                <c:pt idx="1075">
                  <c:v>2.3140761414242872E-2</c:v>
                </c:pt>
                <c:pt idx="1076">
                  <c:v>2.3147752999783389E-2</c:v>
                </c:pt>
                <c:pt idx="1077">
                  <c:v>2.3154672244857788E-2</c:v>
                </c:pt>
                <c:pt idx="1078">
                  <c:v>2.316151914932868E-2</c:v>
                </c:pt>
                <c:pt idx="1079">
                  <c:v>2.3168293713071164E-2</c:v>
                </c:pt>
                <c:pt idx="1080">
                  <c:v>2.3174995935945353E-2</c:v>
                </c:pt>
                <c:pt idx="1081">
                  <c:v>2.3181625817828844E-2</c:v>
                </c:pt>
                <c:pt idx="1082">
                  <c:v>2.3188183358589243E-2</c:v>
                </c:pt>
                <c:pt idx="1083">
                  <c:v>2.3194668558106646E-2</c:v>
                </c:pt>
                <c:pt idx="1084">
                  <c:v>2.3201081416251157E-2</c:v>
                </c:pt>
                <c:pt idx="1085">
                  <c:v>2.3207421932902872E-2</c:v>
                </c:pt>
                <c:pt idx="1086">
                  <c:v>2.3213690107931895E-2</c:v>
                </c:pt>
                <c:pt idx="1087">
                  <c:v>2.3219885941228313E-2</c:v>
                </c:pt>
                <c:pt idx="1088">
                  <c:v>2.3226009432664729E-2</c:v>
                </c:pt>
                <c:pt idx="1089">
                  <c:v>2.3232060582128733E-2</c:v>
                </c:pt>
                <c:pt idx="1090">
                  <c:v>2.323803938950042E-2</c:v>
                </c:pt>
                <c:pt idx="1091">
                  <c:v>2.3240448295951628E-2</c:v>
                </c:pt>
                <c:pt idx="1092">
                  <c:v>2.324977997750971E-2</c:v>
                </c:pt>
                <c:pt idx="1093">
                  <c:v>2.3255541757922493E-2</c:v>
                </c:pt>
                <c:pt idx="1094">
                  <c:v>2.3261231195790821E-2</c:v>
                </c:pt>
                <c:pt idx="1095">
                  <c:v>2.326684829100728E-2</c:v>
                </c:pt>
                <c:pt idx="1096">
                  <c:v>2.3272393043461959E-2</c:v>
                </c:pt>
                <c:pt idx="1097">
                  <c:v>2.327786545304994E-2</c:v>
                </c:pt>
                <c:pt idx="1098">
                  <c:v>2.3283265519663809E-2</c:v>
                </c:pt>
                <c:pt idx="1099">
                  <c:v>2.328859324320115E-2</c:v>
                </c:pt>
                <c:pt idx="1100">
                  <c:v>2.3293848623557045E-2</c:v>
                </c:pt>
                <c:pt idx="1101">
                  <c:v>2.3299031660631575E-2</c:v>
                </c:pt>
                <c:pt idx="1102">
                  <c:v>2.3304142354329815E-2</c:v>
                </c:pt>
                <c:pt idx="1103">
                  <c:v>2.3309180704544352E-2</c:v>
                </c:pt>
                <c:pt idx="1104">
                  <c:v>2.3314146711187755E-2</c:v>
                </c:pt>
                <c:pt idx="1105">
                  <c:v>2.3319040374152611E-2</c:v>
                </c:pt>
                <c:pt idx="1106">
                  <c:v>2.3323861693356485E-2</c:v>
                </c:pt>
                <c:pt idx="1107">
                  <c:v>2.3328610668699457E-2</c:v>
                </c:pt>
                <c:pt idx="1108">
                  <c:v>2.3333287300094097E-2</c:v>
                </c:pt>
                <c:pt idx="1109">
                  <c:v>2.3334654800449633E-2</c:v>
                </c:pt>
                <c:pt idx="1110">
                  <c:v>2.3339201362552988E-2</c:v>
                </c:pt>
                <c:pt idx="1111">
                  <c:v>2.3343675594349082E-2</c:v>
                </c:pt>
                <c:pt idx="1112">
                  <c:v>2.334807749574971E-2</c:v>
                </c:pt>
                <c:pt idx="1113">
                  <c:v>2.3355585294709824E-2</c:v>
                </c:pt>
                <c:pt idx="1114">
                  <c:v>2.3359827860558458E-2</c:v>
                </c:pt>
                <c:pt idx="1115">
                  <c:v>2.336504686041559E-2</c:v>
                </c:pt>
                <c:pt idx="1116">
                  <c:v>2.3368095958529733E-2</c:v>
                </c:pt>
                <c:pt idx="1117">
                  <c:v>2.3369002044295976E-2</c:v>
                </c:pt>
                <c:pt idx="1118">
                  <c:v>2.3376074677655123E-2</c:v>
                </c:pt>
                <c:pt idx="1119">
                  <c:v>2.3379955519962636E-2</c:v>
                </c:pt>
                <c:pt idx="1120">
                  <c:v>2.3383764017330111E-2</c:v>
                </c:pt>
                <c:pt idx="1121">
                  <c:v>2.3387500169685105E-2</c:v>
                </c:pt>
                <c:pt idx="1122">
                  <c:v>2.3391163976957674E-2</c:v>
                </c:pt>
                <c:pt idx="1123">
                  <c:v>2.3394755439075376E-2</c:v>
                </c:pt>
                <c:pt idx="1124">
                  <c:v>2.3398274555968268E-2</c:v>
                </c:pt>
                <c:pt idx="1125">
                  <c:v>2.3401721327571401E-2</c:v>
                </c:pt>
                <c:pt idx="1126">
                  <c:v>2.3405095753814831E-2</c:v>
                </c:pt>
                <c:pt idx="1127">
                  <c:v>2.3408397834636108E-2</c:v>
                </c:pt>
                <c:pt idx="1128">
                  <c:v>2.3411627569972782E-2</c:v>
                </c:pt>
                <c:pt idx="1129">
                  <c:v>2.3414784959759904E-2</c:v>
                </c:pt>
                <c:pt idx="1130">
                  <c:v>2.3417870003937524E-2</c:v>
                </c:pt>
                <c:pt idx="1131">
                  <c:v>2.3420882702448187E-2</c:v>
                </c:pt>
                <c:pt idx="1132">
                  <c:v>2.342382305523194E-2</c:v>
                </c:pt>
                <c:pt idx="1133">
                  <c:v>2.3426691062231331E-2</c:v>
                </c:pt>
                <c:pt idx="1134">
                  <c:v>2.3429486723391402E-2</c:v>
                </c:pt>
                <c:pt idx="1135">
                  <c:v>2.3432210038662193E-2</c:v>
                </c:pt>
                <c:pt idx="1136">
                  <c:v>2.3434861007986252E-2</c:v>
                </c:pt>
                <c:pt idx="1137">
                  <c:v>2.3437439631316115E-2</c:v>
                </c:pt>
                <c:pt idx="1138">
                  <c:v>2.3439945908599324E-2</c:v>
                </c:pt>
                <c:pt idx="1139">
                  <c:v>2.343958769598372E-2</c:v>
                </c:pt>
                <c:pt idx="1140">
                  <c:v>2.3444741424838433E-2</c:v>
                </c:pt>
                <c:pt idx="1141">
                  <c:v>2.3447030663701907E-2</c:v>
                </c:pt>
                <c:pt idx="1142">
                  <c:v>2.3449247556336372E-2</c:v>
                </c:pt>
                <c:pt idx="1143">
                  <c:v>2.3451392102694368E-2</c:v>
                </c:pt>
                <c:pt idx="1144">
                  <c:v>2.3453464302743421E-2</c:v>
                </c:pt>
                <c:pt idx="1145">
                  <c:v>2.3455464156436068E-2</c:v>
                </c:pt>
                <c:pt idx="1146">
                  <c:v>2.3457391663734839E-2</c:v>
                </c:pt>
                <c:pt idx="1147">
                  <c:v>2.3459246824607261E-2</c:v>
                </c:pt>
                <c:pt idx="1148">
                  <c:v>2.3461029639013364E-2</c:v>
                </c:pt>
                <c:pt idx="1149">
                  <c:v>2.3462740106918178E-2</c:v>
                </c:pt>
                <c:pt idx="1150">
                  <c:v>2.3464378228294225E-2</c:v>
                </c:pt>
                <c:pt idx="1151">
                  <c:v>2.346768227489569E-2</c:v>
                </c:pt>
                <c:pt idx="1152">
                  <c:v>2.3464841892552161E-2</c:v>
                </c:pt>
                <c:pt idx="1153">
                  <c:v>2.3468858512912527E-2</c:v>
                </c:pt>
                <c:pt idx="1154">
                  <c:v>2.3470207247856256E-2</c:v>
                </c:pt>
                <c:pt idx="1155">
                  <c:v>2.3471483636121337E-2</c:v>
                </c:pt>
                <c:pt idx="1156">
                  <c:v>2.3473697008297864E-2</c:v>
                </c:pt>
                <c:pt idx="1157">
                  <c:v>2.3473136552402525E-2</c:v>
                </c:pt>
                <c:pt idx="1158">
                  <c:v>2.3474190664209398E-2</c:v>
                </c:pt>
                <c:pt idx="1159">
                  <c:v>2.3475172433958767E-2</c:v>
                </c:pt>
                <c:pt idx="1160">
                  <c:v>2.3476081861627422E-2</c:v>
                </c:pt>
                <c:pt idx="1161">
                  <c:v>2.3474461753410898E-2</c:v>
                </c:pt>
                <c:pt idx="1162">
                  <c:v>2.3475241846278343E-2</c:v>
                </c:pt>
                <c:pt idx="1163">
                  <c:v>2.3475949611162186E-2</c:v>
                </c:pt>
                <c:pt idx="1164">
                  <c:v>2.3476585048048153E-2</c:v>
                </c:pt>
                <c:pt idx="1165">
                  <c:v>2.3480341529640014E-2</c:v>
                </c:pt>
                <c:pt idx="1166">
                  <c:v>2.3480019243199174E-2</c:v>
                </c:pt>
                <c:pt idx="1167">
                  <c:v>2.3480422275936681E-2</c:v>
                </c:pt>
                <c:pt idx="1168">
                  <c:v>2.3480752966500644E-2</c:v>
                </c:pt>
                <c:pt idx="1169">
                  <c:v>2.3480351863684135E-2</c:v>
                </c:pt>
                <c:pt idx="1170">
                  <c:v>2.348119732108216E-2</c:v>
                </c:pt>
                <c:pt idx="1171">
                  <c:v>2.3481310985091979E-2</c:v>
                </c:pt>
                <c:pt idx="1172">
                  <c:v>2.3481352306912784E-2</c:v>
                </c:pt>
                <c:pt idx="1173">
                  <c:v>2.3481321286541994E-2</c:v>
                </c:pt>
                <c:pt idx="1174">
                  <c:v>2.3481217923977036E-2</c:v>
                </c:pt>
                <c:pt idx="1175">
                  <c:v>2.3481042219225642E-2</c:v>
                </c:pt>
                <c:pt idx="1176">
                  <c:v>2.3480794172287812E-2</c:v>
                </c:pt>
                <c:pt idx="1177">
                  <c:v>2.3480473783168709E-2</c:v>
                </c:pt>
                <c:pt idx="1178">
                  <c:v>2.3480081051876059E-2</c:v>
                </c:pt>
                <c:pt idx="1179">
                  <c:v>2.3479615978415028E-2</c:v>
                </c:pt>
                <c:pt idx="1180">
                  <c:v>2.3479078562795925E-2</c:v>
                </c:pt>
                <c:pt idx="1181">
                  <c:v>2.3478468805026485E-2</c:v>
                </c:pt>
                <c:pt idx="1182">
                  <c:v>2.347849640218419E-2</c:v>
                </c:pt>
                <c:pt idx="1183">
                  <c:v>2.34770322630856E-2</c:v>
                </c:pt>
                <c:pt idx="1184">
                  <c:v>2.3476205478939936E-2</c:v>
                </c:pt>
                <c:pt idx="1185">
                  <c:v>2.3475306352703246E-2</c:v>
                </c:pt>
                <c:pt idx="1186">
                  <c:v>2.3474334884383264E-2</c:v>
                </c:pt>
                <c:pt idx="1187">
                  <c:v>2.3473291074005777E-2</c:v>
                </c:pt>
                <c:pt idx="1188">
                  <c:v>2.3472174921588835E-2</c:v>
                </c:pt>
                <c:pt idx="1189">
                  <c:v>2.3470988708259984E-2</c:v>
                </c:pt>
                <c:pt idx="1190">
                  <c:v>2.346974383960795E-2</c:v>
                </c:pt>
                <c:pt idx="1191">
                  <c:v>2.3466444782943414E-2</c:v>
                </c:pt>
                <c:pt idx="1192">
                  <c:v>2.3467132883085995E-2</c:v>
                </c:pt>
                <c:pt idx="1193">
                  <c:v>2.3465793742950439E-2</c:v>
                </c:pt>
                <c:pt idx="1194">
                  <c:v>2.3464442693703767E-2</c:v>
                </c:pt>
                <c:pt idx="1195">
                  <c:v>2.3464411221305201E-2</c:v>
                </c:pt>
                <c:pt idx="1196">
                  <c:v>2.3461705406579061E-2</c:v>
                </c:pt>
                <c:pt idx="1197">
                  <c:v>2.346031916871134E-2</c:v>
                </c:pt>
                <c:pt idx="1198">
                  <c:v>2.3458921201310143E-2</c:v>
                </c:pt>
                <c:pt idx="1199">
                  <c:v>2.3457511504380635E-2</c:v>
                </c:pt>
                <c:pt idx="1200">
                  <c:v>2.3456090077927962E-2</c:v>
                </c:pt>
                <c:pt idx="1201">
                  <c:v>2.3454656921954711E-2</c:v>
                </c:pt>
                <c:pt idx="1202">
                  <c:v>2.3453212036466036E-2</c:v>
                </c:pt>
                <c:pt idx="1203">
                  <c:v>2.3451755421469676E-2</c:v>
                </c:pt>
                <c:pt idx="1204">
                  <c:v>2.3450287076963047E-2</c:v>
                </c:pt>
                <c:pt idx="1205">
                  <c:v>2.3448807002956467E-2</c:v>
                </c:pt>
                <c:pt idx="1206">
                  <c:v>2.3447315199455091E-2</c:v>
                </c:pt>
                <c:pt idx="1207">
                  <c:v>2.3445811666456342E-2</c:v>
                </c:pt>
                <c:pt idx="1208">
                  <c:v>2.3443643415104975E-2</c:v>
                </c:pt>
                <c:pt idx="1209">
                  <c:v>2.3442111396213872E-2</c:v>
                </c:pt>
                <c:pt idx="1210">
                  <c:v>2.3440567647846026E-2</c:v>
                </c:pt>
                <c:pt idx="1211">
                  <c:v>2.3439012170009169E-2</c:v>
                </c:pt>
                <c:pt idx="1212">
                  <c:v>2.3437444962700723E-2</c:v>
                </c:pt>
                <c:pt idx="1213">
                  <c:v>2.3433920243270481E-2</c:v>
                </c:pt>
                <c:pt idx="1214">
                  <c:v>2.3432332400313362E-2</c:v>
                </c:pt>
                <c:pt idx="1215">
                  <c:v>2.3430732830168451E-2</c:v>
                </c:pt>
                <c:pt idx="1216">
                  <c:v>2.3429121532838604E-2</c:v>
                </c:pt>
                <c:pt idx="1217">
                  <c:v>2.3429432984314182E-2</c:v>
                </c:pt>
                <c:pt idx="1218">
                  <c:v>2.3427795400299982E-2</c:v>
                </c:pt>
                <c:pt idx="1219">
                  <c:v>2.3426146086852877E-2</c:v>
                </c:pt>
                <c:pt idx="1220">
                  <c:v>2.342448504397544E-2</c:v>
                </c:pt>
                <c:pt idx="1221">
                  <c:v>2.3422812271675409E-2</c:v>
                </c:pt>
                <c:pt idx="1222">
                  <c:v>2.3420487735277717E-2</c:v>
                </c:pt>
                <c:pt idx="1223">
                  <c:v>2.3418792452142512E-2</c:v>
                </c:pt>
                <c:pt idx="1224">
                  <c:v>2.3416595568454213E-2</c:v>
                </c:pt>
                <c:pt idx="1225">
                  <c:v>2.3415366699908624E-2</c:v>
                </c:pt>
                <c:pt idx="1226">
                  <c:v>2.3414272468993629E-2</c:v>
                </c:pt>
                <c:pt idx="1227">
                  <c:v>2.3412529320256018E-2</c:v>
                </c:pt>
                <c:pt idx="1228">
                  <c:v>2.341077444213191E-2</c:v>
                </c:pt>
                <c:pt idx="1229">
                  <c:v>2.3409007834623886E-2</c:v>
                </c:pt>
                <c:pt idx="1230">
                  <c:v>2.3406597068138524E-2</c:v>
                </c:pt>
                <c:pt idx="1231">
                  <c:v>2.3404807955904161E-2</c:v>
                </c:pt>
                <c:pt idx="1232">
                  <c:v>2.3403007115057051E-2</c:v>
                </c:pt>
                <c:pt idx="1233">
                  <c:v>2.3401194545602522E-2</c:v>
                </c:pt>
                <c:pt idx="1234">
                  <c:v>2.3399998856541641E-2</c:v>
                </c:pt>
                <c:pt idx="1235">
                  <c:v>2.3398161872853897E-2</c:v>
                </c:pt>
                <c:pt idx="1236">
                  <c:v>2.3396313159820915E-2</c:v>
                </c:pt>
                <c:pt idx="1237">
                  <c:v>2.3394452717450432E-2</c:v>
                </c:pt>
                <c:pt idx="1238">
                  <c:v>2.3392580545745025E-2</c:v>
                </c:pt>
                <c:pt idx="1239">
                  <c:v>2.3390696644715013E-2</c:v>
                </c:pt>
                <c:pt idx="1240">
                  <c:v>2.338880101436297E-2</c:v>
                </c:pt>
                <c:pt idx="1241">
                  <c:v>2.3386893654691474E-2</c:v>
                </c:pt>
                <c:pt idx="1242">
                  <c:v>2.338497456571342E-2</c:v>
                </c:pt>
                <c:pt idx="1243">
                  <c:v>2.3382423778768313E-2</c:v>
                </c:pt>
                <c:pt idx="1244">
                  <c:v>2.3380482194975905E-2</c:v>
                </c:pt>
                <c:pt idx="1245">
                  <c:v>2.3378528882640026E-2</c:v>
                </c:pt>
                <c:pt idx="1246">
                  <c:v>2.3376563841768672E-2</c:v>
                </c:pt>
                <c:pt idx="1247">
                  <c:v>2.3375203181366603E-2</c:v>
                </c:pt>
                <c:pt idx="1248">
                  <c:v>2.3373213716644605E-2</c:v>
                </c:pt>
                <c:pt idx="1249">
                  <c:v>2.337121252265989E-2</c:v>
                </c:pt>
                <c:pt idx="1250">
                  <c:v>2.3369199599409869E-2</c:v>
                </c:pt>
                <c:pt idx="1251">
                  <c:v>2.3367174946904865E-2</c:v>
                </c:pt>
                <c:pt idx="1252">
                  <c:v>2.3364527297588644E-2</c:v>
                </c:pt>
                <c:pt idx="1253">
                  <c:v>2.33624801571235E-2</c:v>
                </c:pt>
                <c:pt idx="1254">
                  <c:v>2.3360421288165512E-2</c:v>
                </c:pt>
                <c:pt idx="1255">
                  <c:v>2.3359567331764919E-2</c:v>
                </c:pt>
                <c:pt idx="1256">
                  <c:v>2.3356875745735538E-2</c:v>
                </c:pt>
                <c:pt idx="1257">
                  <c:v>2.3354780717816648E-2</c:v>
                </c:pt>
                <c:pt idx="1258">
                  <c:v>2.3352673960689189E-2</c:v>
                </c:pt>
                <c:pt idx="1259">
                  <c:v>2.3350555474350578E-2</c:v>
                </c:pt>
                <c:pt idx="1260">
                  <c:v>2.3348119984821815E-2</c:v>
                </c:pt>
                <c:pt idx="1261">
                  <c:v>2.334597636449541E-2</c:v>
                </c:pt>
                <c:pt idx="1262">
                  <c:v>2.3343821014975903E-2</c:v>
                </c:pt>
                <c:pt idx="1263">
                  <c:v>2.3341653936281348E-2</c:v>
                </c:pt>
                <c:pt idx="1264">
                  <c:v>2.3339475128411738E-2</c:v>
                </c:pt>
                <c:pt idx="1265">
                  <c:v>2.3335489031857431E-2</c:v>
                </c:pt>
                <c:pt idx="1266">
                  <c:v>2.3333289706372842E-2</c:v>
                </c:pt>
                <c:pt idx="1267">
                  <c:v>2.3331078653968822E-2</c:v>
                </c:pt>
                <c:pt idx="1268">
                  <c:v>2.3328855874653925E-2</c:v>
                </c:pt>
                <c:pt idx="1269">
                  <c:v>2.332840515169322E-2</c:v>
                </c:pt>
                <c:pt idx="1270">
                  <c:v>2.332852945985131E-2</c:v>
                </c:pt>
                <c:pt idx="1271">
                  <c:v>2.3323895057023879E-2</c:v>
                </c:pt>
                <c:pt idx="1272">
                  <c:v>2.3321622416006566E-2</c:v>
                </c:pt>
                <c:pt idx="1273">
                  <c:v>2.331933804587609E-2</c:v>
                </c:pt>
                <c:pt idx="1274">
                  <c:v>2.3316452344322336E-2</c:v>
                </c:pt>
                <c:pt idx="1275">
                  <c:v>2.3314660848827717E-2</c:v>
                </c:pt>
                <c:pt idx="1276">
                  <c:v>2.3312336952105162E-2</c:v>
                </c:pt>
                <c:pt idx="1277">
                  <c:v>2.3309080561042958E-2</c:v>
                </c:pt>
                <c:pt idx="1278">
                  <c:v>2.3307653969193709E-2</c:v>
                </c:pt>
                <c:pt idx="1279">
                  <c:v>2.3305294883014804E-2</c:v>
                </c:pt>
                <c:pt idx="1280">
                  <c:v>2.3302924067031272E-2</c:v>
                </c:pt>
                <c:pt idx="1281">
                  <c:v>2.3300541521255602E-2</c:v>
                </c:pt>
                <c:pt idx="1282">
                  <c:v>2.3298147245685297E-2</c:v>
                </c:pt>
                <c:pt idx="1283">
                  <c:v>2.3295741240335344E-2</c:v>
                </c:pt>
                <c:pt idx="1284">
                  <c:v>2.3293323505210739E-2</c:v>
                </c:pt>
                <c:pt idx="1285">
                  <c:v>2.3290894040321475E-2</c:v>
                </c:pt>
                <c:pt idx="1286">
                  <c:v>2.3288452845670049E-2</c:v>
                </c:pt>
                <c:pt idx="1287">
                  <c:v>2.3285999921266454E-2</c:v>
                </c:pt>
                <c:pt idx="1288">
                  <c:v>2.3283535267118183E-2</c:v>
                </c:pt>
                <c:pt idx="1289">
                  <c:v>2.3281058883237726E-2</c:v>
                </c:pt>
                <c:pt idx="1290">
                  <c:v>2.3276850464557977E-2</c:v>
                </c:pt>
                <c:pt idx="1291">
                  <c:v>2.3276070926295245E-2</c:v>
                </c:pt>
                <c:pt idx="1292">
                  <c:v>2.3273559353248208E-2</c:v>
                </c:pt>
                <c:pt idx="1293">
                  <c:v>2.3271036050496463E-2</c:v>
                </c:pt>
                <c:pt idx="1294">
                  <c:v>2.3268501018052501E-2</c:v>
                </c:pt>
                <c:pt idx="1295">
                  <c:v>2.3265954255913823E-2</c:v>
                </c:pt>
                <c:pt idx="1296">
                  <c:v>2.3263395764095418E-2</c:v>
                </c:pt>
                <c:pt idx="1297">
                  <c:v>2.3260825542602281E-2</c:v>
                </c:pt>
                <c:pt idx="1298">
                  <c:v>2.3258243591444405E-2</c:v>
                </c:pt>
                <c:pt idx="1299">
                  <c:v>2.3255649910629284E-2</c:v>
                </c:pt>
                <c:pt idx="1300">
                  <c:v>2.3253044500166908E-2</c:v>
                </c:pt>
                <c:pt idx="1301">
                  <c:v>2.3250427360062276E-2</c:v>
                </c:pt>
                <c:pt idx="1302">
                  <c:v>2.324779849032288E-2</c:v>
                </c:pt>
                <c:pt idx="1303">
                  <c:v>2.3243476724959883E-2</c:v>
                </c:pt>
                <c:pt idx="1304">
                  <c:v>2.3242505561979765E-2</c:v>
                </c:pt>
                <c:pt idx="1305">
                  <c:v>2.3239841503393532E-2</c:v>
                </c:pt>
                <c:pt idx="1306">
                  <c:v>2.323716571520501E-2</c:v>
                </c:pt>
                <c:pt idx="1307">
                  <c:v>2.3234478197426689E-2</c:v>
                </c:pt>
                <c:pt idx="1308">
                  <c:v>2.3231778950061066E-2</c:v>
                </c:pt>
                <c:pt idx="1309">
                  <c:v>2.3229067973125628E-2</c:v>
                </c:pt>
                <c:pt idx="1310">
                  <c:v>2.3226345266622872E-2</c:v>
                </c:pt>
                <c:pt idx="1311">
                  <c:v>2.3221491383779554E-2</c:v>
                </c:pt>
                <c:pt idx="1312">
                  <c:v>2.3219920332498225E-2</c:v>
                </c:pt>
                <c:pt idx="1313">
                  <c:v>2.3218106769800628E-2</c:v>
                </c:pt>
                <c:pt idx="1314">
                  <c:v>2.3215337145116033E-2</c:v>
                </c:pt>
                <c:pt idx="1315">
                  <c:v>2.3212555790909084E-2</c:v>
                </c:pt>
                <c:pt idx="1316">
                  <c:v>2.3208121053686463E-2</c:v>
                </c:pt>
                <c:pt idx="1317">
                  <c:v>2.3205319295302545E-2</c:v>
                </c:pt>
                <c:pt idx="1318">
                  <c:v>2.3202505809615363E-2</c:v>
                </c:pt>
                <c:pt idx="1319">
                  <c:v>2.3199680596641448E-2</c:v>
                </c:pt>
                <c:pt idx="1320">
                  <c:v>2.3199016069694878E-2</c:v>
                </c:pt>
                <c:pt idx="1321">
                  <c:v>2.3195621346165096E-2</c:v>
                </c:pt>
                <c:pt idx="1322">
                  <c:v>2.3192757885538984E-2</c:v>
                </c:pt>
                <c:pt idx="1323">
                  <c:v>2.3189882695460462E-2</c:v>
                </c:pt>
                <c:pt idx="1324">
                  <c:v>2.3186995775937025E-2</c:v>
                </c:pt>
                <c:pt idx="1325">
                  <c:v>2.3184097126978664E-2</c:v>
                </c:pt>
                <c:pt idx="1326">
                  <c:v>2.3181186748595373E-2</c:v>
                </c:pt>
                <c:pt idx="1327">
                  <c:v>2.3178264640797142E-2</c:v>
                </c:pt>
                <c:pt idx="1328">
                  <c:v>2.3175330803586469E-2</c:v>
                </c:pt>
                <c:pt idx="1329">
                  <c:v>2.3172385236980841E-2</c:v>
                </c:pt>
                <c:pt idx="1330">
                  <c:v>2.3169427940985254E-2</c:v>
                </c:pt>
                <c:pt idx="1331">
                  <c:v>2.3166458915607202E-2</c:v>
                </c:pt>
                <c:pt idx="1332">
                  <c:v>2.316347816086417E-2</c:v>
                </c:pt>
                <c:pt idx="1333">
                  <c:v>2.3160485676753662E-2</c:v>
                </c:pt>
                <c:pt idx="1334">
                  <c:v>2.3157481463290663E-2</c:v>
                </c:pt>
                <c:pt idx="1335">
                  <c:v>2.3154465520490164E-2</c:v>
                </c:pt>
                <c:pt idx="1336">
                  <c:v>2.3151437848352163E-2</c:v>
                </c:pt>
                <c:pt idx="1337">
                  <c:v>2.3148398446891649E-2</c:v>
                </c:pt>
                <c:pt idx="1338">
                  <c:v>2.3145347316113618E-2</c:v>
                </c:pt>
                <c:pt idx="1339">
                  <c:v>2.3142284456035556E-2</c:v>
                </c:pt>
                <c:pt idx="1340">
                  <c:v>2.3139209866657462E-2</c:v>
                </c:pt>
                <c:pt idx="1341">
                  <c:v>2.3136123547996823E-2</c:v>
                </c:pt>
                <c:pt idx="1342">
                  <c:v>2.3133025500058635E-2</c:v>
                </c:pt>
                <c:pt idx="1343">
                  <c:v>2.3129915722855388E-2</c:v>
                </c:pt>
                <c:pt idx="1344">
                  <c:v>2.3126794216394575E-2</c:v>
                </c:pt>
                <c:pt idx="1345">
                  <c:v>2.3123660980686189E-2</c:v>
                </c:pt>
                <c:pt idx="1346">
                  <c:v>2.3120516015740222E-2</c:v>
                </c:pt>
                <c:pt idx="1347">
                  <c:v>2.3117359321566666E-2</c:v>
                </c:pt>
                <c:pt idx="1348">
                  <c:v>2.3114190898175513E-2</c:v>
                </c:pt>
                <c:pt idx="1349">
                  <c:v>2.3111010745579252E-2</c:v>
                </c:pt>
                <c:pt idx="1350">
                  <c:v>2.3107818863782881E-2</c:v>
                </c:pt>
                <c:pt idx="1351">
                  <c:v>2.3103081821174536E-2</c:v>
                </c:pt>
                <c:pt idx="1352">
                  <c:v>2.3101399912637266E-2</c:v>
                </c:pt>
                <c:pt idx="1353">
                  <c:v>2.3098172843308007E-2</c:v>
                </c:pt>
                <c:pt idx="1354">
                  <c:v>2.3094934044818605E-2</c:v>
                </c:pt>
                <c:pt idx="1355">
                  <c:v>2.3091683517186545E-2</c:v>
                </c:pt>
                <c:pt idx="1356">
                  <c:v>2.3088421260411829E-2</c:v>
                </c:pt>
                <c:pt idx="1357">
                  <c:v>2.3085147274511941E-2</c:v>
                </c:pt>
                <c:pt idx="1358">
                  <c:v>2.3081861559496875E-2</c:v>
                </c:pt>
                <c:pt idx="1359">
                  <c:v>2.3078564115374123E-2</c:v>
                </c:pt>
                <c:pt idx="1360">
                  <c:v>2.3075254942156176E-2</c:v>
                </c:pt>
                <c:pt idx="1361">
                  <c:v>2.307193403984803E-2</c:v>
                </c:pt>
                <c:pt idx="1362">
                  <c:v>2.3068601408464673E-2</c:v>
                </c:pt>
                <c:pt idx="1363">
                  <c:v>2.3065257048018595E-2</c:v>
                </c:pt>
                <c:pt idx="1364">
                  <c:v>2.306190095851729E-2</c:v>
                </c:pt>
                <c:pt idx="1365">
                  <c:v>2.3058533139970749E-2</c:v>
                </c:pt>
                <c:pt idx="1366">
                  <c:v>2.3055153592388966E-2</c:v>
                </c:pt>
                <c:pt idx="1367">
                  <c:v>2.305176231578443E-2</c:v>
                </c:pt>
                <c:pt idx="1368">
                  <c:v>2.3048359310172128E-2</c:v>
                </c:pt>
                <c:pt idx="1369">
                  <c:v>2.3042975432252213E-2</c:v>
                </c:pt>
                <c:pt idx="1370">
                  <c:v>2.3039553195247007E-2</c:v>
                </c:pt>
                <c:pt idx="1371">
                  <c:v>2.3036119232130288E-2</c:v>
                </c:pt>
                <c:pt idx="1372">
                  <c:v>2.3032673542907771E-2</c:v>
                </c:pt>
                <c:pt idx="1373">
                  <c:v>2.3031168347266429E-2</c:v>
                </c:pt>
                <c:pt idx="1374">
                  <c:v>2.3027694967797385E-2</c:v>
                </c:pt>
                <c:pt idx="1375">
                  <c:v>2.3024695593626309E-2</c:v>
                </c:pt>
                <c:pt idx="1376">
                  <c:v>2.302071302205333E-2</c:v>
                </c:pt>
                <c:pt idx="1377">
                  <c:v>2.3015753138985452E-2</c:v>
                </c:pt>
                <c:pt idx="1378">
                  <c:v>2.3013684160647918E-2</c:v>
                </c:pt>
                <c:pt idx="1379">
                  <c:v>2.301015213660218E-2</c:v>
                </c:pt>
                <c:pt idx="1380">
                  <c:v>2.3006608383668581E-2</c:v>
                </c:pt>
                <c:pt idx="1381">
                  <c:v>2.3003052901867105E-2</c:v>
                </c:pt>
                <c:pt idx="1382">
                  <c:v>2.299948569120025E-2</c:v>
                </c:pt>
                <c:pt idx="1383">
                  <c:v>2.2995906751685502E-2</c:v>
                </c:pt>
                <c:pt idx="1384">
                  <c:v>2.2992316083335351E-2</c:v>
                </c:pt>
                <c:pt idx="1385">
                  <c:v>2.2988713686152296E-2</c:v>
                </c:pt>
                <c:pt idx="1386">
                  <c:v>2.2985099560158817E-2</c:v>
                </c:pt>
                <c:pt idx="1387">
                  <c:v>2.2981473705357414E-2</c:v>
                </c:pt>
                <c:pt idx="1388">
                  <c:v>2.2977836121765571E-2</c:v>
                </c:pt>
                <c:pt idx="1389">
                  <c:v>2.2974186809388286E-2</c:v>
                </c:pt>
                <c:pt idx="1390">
                  <c:v>2.2969116053015819E-2</c:v>
                </c:pt>
                <c:pt idx="1391">
                  <c:v>2.2966852998334841E-2</c:v>
                </c:pt>
                <c:pt idx="1392">
                  <c:v>2.2963168499681164E-2</c:v>
                </c:pt>
                <c:pt idx="1393">
                  <c:v>2.2959472272289505E-2</c:v>
                </c:pt>
                <c:pt idx="1394">
                  <c:v>2.2955764316174854E-2</c:v>
                </c:pt>
                <c:pt idx="1395">
                  <c:v>2.2952044631347202E-2</c:v>
                </c:pt>
                <c:pt idx="1396">
                  <c:v>2.2948313217816541E-2</c:v>
                </c:pt>
                <c:pt idx="1397">
                  <c:v>2.2944570075597859E-2</c:v>
                </c:pt>
                <c:pt idx="1398">
                  <c:v>2.2940815204701148E-2</c:v>
                </c:pt>
                <c:pt idx="1399">
                  <c:v>2.2937048605136401E-2</c:v>
                </c:pt>
                <c:pt idx="1400">
                  <c:v>2.2933270276916107E-2</c:v>
                </c:pt>
                <c:pt idx="1401">
                  <c:v>2.2929480220055254E-2</c:v>
                </c:pt>
                <c:pt idx="1402">
                  <c:v>2.2925678434561336E-2</c:v>
                </c:pt>
                <c:pt idx="1403">
                  <c:v>2.2921864920449342E-2</c:v>
                </c:pt>
                <c:pt idx="1404">
                  <c:v>2.2918039677729263E-2</c:v>
                </c:pt>
                <c:pt idx="1405">
                  <c:v>2.2914202706413589E-2</c:v>
                </c:pt>
                <c:pt idx="1406">
                  <c:v>2.2910354006517308E-2</c:v>
                </c:pt>
                <c:pt idx="1407">
                  <c:v>2.2906493578045417E-2</c:v>
                </c:pt>
                <c:pt idx="1408">
                  <c:v>2.2902621421015401E-2</c:v>
                </c:pt>
                <c:pt idx="1409">
                  <c:v>2.289873753543975E-2</c:v>
                </c:pt>
                <c:pt idx="1410">
                  <c:v>2.2894841921328457E-2</c:v>
                </c:pt>
                <c:pt idx="1411">
                  <c:v>2.289138166082904E-2</c:v>
                </c:pt>
                <c:pt idx="1412">
                  <c:v>2.2887015507546404E-2</c:v>
                </c:pt>
                <c:pt idx="1413">
                  <c:v>2.2883084707903123E-2</c:v>
                </c:pt>
                <c:pt idx="1414">
                  <c:v>2.2879142179771661E-2</c:v>
                </c:pt>
                <c:pt idx="1415">
                  <c:v>2.2875187923167006E-2</c:v>
                </c:pt>
                <c:pt idx="1416">
                  <c:v>2.2871221938101649E-2</c:v>
                </c:pt>
                <c:pt idx="1417">
                  <c:v>2.2867244224585581E-2</c:v>
                </c:pt>
                <c:pt idx="1418">
                  <c:v>2.2863254782631293E-2</c:v>
                </c:pt>
                <c:pt idx="1419">
                  <c:v>2.285925361225627E-2</c:v>
                </c:pt>
                <c:pt idx="1420">
                  <c:v>2.2855240713468006E-2</c:v>
                </c:pt>
                <c:pt idx="1421">
                  <c:v>2.2849470495840723E-2</c:v>
                </c:pt>
                <c:pt idx="1422">
                  <c:v>2.2845438514015166E-2</c:v>
                </c:pt>
                <c:pt idx="1423">
                  <c:v>2.2841394806603393E-2</c:v>
                </c:pt>
                <c:pt idx="1424">
                  <c:v>2.2837339373619679E-2</c:v>
                </c:pt>
                <c:pt idx="1425">
                  <c:v>2.2835000293782715E-2</c:v>
                </c:pt>
                <c:pt idx="1426">
                  <c:v>2.283134773249626E-2</c:v>
                </c:pt>
                <c:pt idx="1427">
                  <c:v>2.282682202747105E-2</c:v>
                </c:pt>
                <c:pt idx="1428">
                  <c:v>2.2822715301838992E-2</c:v>
                </c:pt>
                <c:pt idx="1429">
                  <c:v>2.2817314086027485E-2</c:v>
                </c:pt>
                <c:pt idx="1430">
                  <c:v>2.2814466665699862E-2</c:v>
                </c:pt>
                <c:pt idx="1431">
                  <c:v>2.2810324755212774E-2</c:v>
                </c:pt>
                <c:pt idx="1432">
                  <c:v>2.280617111646982E-2</c:v>
                </c:pt>
                <c:pt idx="1433">
                  <c:v>2.2802005749478493E-2</c:v>
                </c:pt>
                <c:pt idx="1434">
                  <c:v>2.279782865425628E-2</c:v>
                </c:pt>
                <c:pt idx="1435">
                  <c:v>2.2793639830813173E-2</c:v>
                </c:pt>
                <c:pt idx="1436">
                  <c:v>2.2789439279159163E-2</c:v>
                </c:pt>
                <c:pt idx="1437">
                  <c:v>2.2785226999316732E-2</c:v>
                </c:pt>
                <c:pt idx="1438">
                  <c:v>2.2781002991288379E-2</c:v>
                </c:pt>
                <c:pt idx="1439">
                  <c:v>2.2776767255096586E-2</c:v>
                </c:pt>
                <c:pt idx="1440">
                  <c:v>2.2772519790748846E-2</c:v>
                </c:pt>
                <c:pt idx="1441">
                  <c:v>2.2768260598260148E-2</c:v>
                </c:pt>
                <c:pt idx="1442">
                  <c:v>2.2763989677642982E-2</c:v>
                </c:pt>
                <c:pt idx="1443">
                  <c:v>2.2759707028909837E-2</c:v>
                </c:pt>
                <c:pt idx="1444">
                  <c:v>2.2755412652080698E-2</c:v>
                </c:pt>
                <c:pt idx="1445">
                  <c:v>2.2751106547158062E-2</c:v>
                </c:pt>
                <c:pt idx="1446">
                  <c:v>2.2746788714161914E-2</c:v>
                </c:pt>
                <c:pt idx="1447">
                  <c:v>2.2742459153107242E-2</c:v>
                </c:pt>
                <c:pt idx="1448">
                  <c:v>2.2738117905400923E-2</c:v>
                </c:pt>
                <c:pt idx="1449">
                  <c:v>2.2733766380008402E-2</c:v>
                </c:pt>
                <c:pt idx="1450">
                  <c:v>2.2729407634031751E-2</c:v>
                </c:pt>
                <c:pt idx="1451">
                  <c:v>2.2723829548242098E-2</c:v>
                </c:pt>
                <c:pt idx="1452">
                  <c:v>2.2720681101162932E-2</c:v>
                </c:pt>
                <c:pt idx="1453">
                  <c:v>2.2716319293522858E-2</c:v>
                </c:pt>
                <c:pt idx="1454">
                  <c:v>2.2711960180122615E-2</c:v>
                </c:pt>
                <c:pt idx="1455">
                  <c:v>2.2707603762493478E-2</c:v>
                </c:pt>
                <c:pt idx="1456">
                  <c:v>2.270325004063295E-2</c:v>
                </c:pt>
                <c:pt idx="1457">
                  <c:v>2.2698899014538532E-2</c:v>
                </c:pt>
                <c:pt idx="1458">
                  <c:v>2.2694550684205228E-2</c:v>
                </c:pt>
                <c:pt idx="1459">
                  <c:v>2.2690205049635537E-2</c:v>
                </c:pt>
                <c:pt idx="1460">
                  <c:v>2.2685862110816968E-2</c:v>
                </c:pt>
                <c:pt idx="1461">
                  <c:v>2.2681521867754517E-2</c:v>
                </c:pt>
                <c:pt idx="1462">
                  <c:v>2.2677184320440691E-2</c:v>
                </c:pt>
                <c:pt idx="1463">
                  <c:v>2.2673657689691058E-2</c:v>
                </c:pt>
                <c:pt idx="1464">
                  <c:v>2.266730529186042E-2</c:v>
                </c:pt>
                <c:pt idx="1465">
                  <c:v>2.2664187852965978E-2</c:v>
                </c:pt>
                <c:pt idx="1466">
                  <c:v>2.2659861088619171E-2</c:v>
                </c:pt>
                <c:pt idx="1467">
                  <c:v>2.2655537020008498E-2</c:v>
                </c:pt>
                <c:pt idx="1468">
                  <c:v>2.2651002224981814E-2</c:v>
                </c:pt>
                <c:pt idx="1469">
                  <c:v>2.2645876627646236E-2</c:v>
                </c:pt>
                <c:pt idx="1470">
                  <c:v>2.2641561109961093E-2</c:v>
                </c:pt>
                <c:pt idx="1471">
                  <c:v>2.2637248287773973E-2</c:v>
                </c:pt>
                <c:pt idx="1472">
                  <c:v>2.2632938161084869E-2</c:v>
                </c:pt>
                <c:pt idx="1473">
                  <c:v>2.2627420900889521E-2</c:v>
                </c:pt>
                <c:pt idx="1474">
                  <c:v>2.2623116398529257E-2</c:v>
                </c:pt>
                <c:pt idx="1475">
                  <c:v>2.2618814591001915E-2</c:v>
                </c:pt>
                <c:pt idx="1476">
                  <c:v>2.2616127671938602E-2</c:v>
                </c:pt>
                <c:pt idx="1477">
                  <c:v>2.2611427959996166E-2</c:v>
                </c:pt>
                <c:pt idx="1478">
                  <c:v>2.2607134006233286E-2</c:v>
                </c:pt>
                <c:pt idx="1479">
                  <c:v>2.260284274794264E-2</c:v>
                </c:pt>
                <c:pt idx="1480">
                  <c:v>2.259610478801586E-2</c:v>
                </c:pt>
                <c:pt idx="1481">
                  <c:v>2.25942683177832E-2</c:v>
                </c:pt>
                <c:pt idx="1482">
                  <c:v>2.2589985145906672E-2</c:v>
                </c:pt>
                <c:pt idx="1483">
                  <c:v>2.258570466949722E-2</c:v>
                </c:pt>
                <c:pt idx="1484">
                  <c:v>2.2581426888547106E-2</c:v>
                </c:pt>
                <c:pt idx="1485">
                  <c:v>2.257715180305633E-2</c:v>
                </c:pt>
                <c:pt idx="1486">
                  <c:v>2.2572879413022318E-2</c:v>
                </c:pt>
                <c:pt idx="1487">
                  <c:v>2.2568609718439908E-2</c:v>
                </c:pt>
                <c:pt idx="1488">
                  <c:v>2.2564342719309103E-2</c:v>
                </c:pt>
                <c:pt idx="1489">
                  <c:v>2.2560078415624747E-2</c:v>
                </c:pt>
                <c:pt idx="1490">
                  <c:v>2.2555816807384256E-2</c:v>
                </c:pt>
                <c:pt idx="1491">
                  <c:v>2.2551557894587633E-2</c:v>
                </c:pt>
                <c:pt idx="1492">
                  <c:v>2.2547301677227145E-2</c:v>
                </c:pt>
                <c:pt idx="1493">
                  <c:v>2.2543048155302788E-2</c:v>
                </c:pt>
                <c:pt idx="1494">
                  <c:v>2.2539199037441005E-2</c:v>
                </c:pt>
                <c:pt idx="1495">
                  <c:v>2.2534549197744419E-2</c:v>
                </c:pt>
                <c:pt idx="1496">
                  <c:v>2.253030376210783E-2</c:v>
                </c:pt>
                <c:pt idx="1497">
                  <c:v>2.2526061021894479E-2</c:v>
                </c:pt>
                <c:pt idx="1498">
                  <c:v>2.2521820977099212E-2</c:v>
                </c:pt>
                <c:pt idx="1499">
                  <c:v>2.2517583627727183E-2</c:v>
                </c:pt>
                <c:pt idx="1500">
                  <c:v>2.2513348973765505E-2</c:v>
                </c:pt>
                <c:pt idx="1501">
                  <c:v>2.2509117015216747E-2</c:v>
                </c:pt>
                <c:pt idx="1502">
                  <c:v>2.2504887752075757E-2</c:v>
                </c:pt>
                <c:pt idx="1503">
                  <c:v>2.2499458069318617E-2</c:v>
                </c:pt>
                <c:pt idx="1504">
                  <c:v>2.249643731200935E-2</c:v>
                </c:pt>
                <c:pt idx="1505">
                  <c:v>2.2492216135078773E-2</c:v>
                </c:pt>
                <c:pt idx="1506">
                  <c:v>2.248799765354307E-2</c:v>
                </c:pt>
                <c:pt idx="1507">
                  <c:v>2.2484583426870038E-2</c:v>
                </c:pt>
                <c:pt idx="1508">
                  <c:v>2.2479568776653712E-2</c:v>
                </c:pt>
                <c:pt idx="1509">
                  <c:v>2.2475358381292321E-2</c:v>
                </c:pt>
                <c:pt idx="1510">
                  <c:v>2.2471150681315489E-2</c:v>
                </c:pt>
                <c:pt idx="1511">
                  <c:v>2.2466945676720643E-2</c:v>
                </c:pt>
                <c:pt idx="1512">
                  <c:v>2.2462743367510352E-2</c:v>
                </c:pt>
                <c:pt idx="1513">
                  <c:v>2.2458543753671734E-2</c:v>
                </c:pt>
                <c:pt idx="1514">
                  <c:v>2.245434683520478E-2</c:v>
                </c:pt>
                <c:pt idx="1515">
                  <c:v>2.2450152612114655E-2</c:v>
                </c:pt>
                <c:pt idx="1516">
                  <c:v>2.2445961084385881E-2</c:v>
                </c:pt>
                <c:pt idx="1517">
                  <c:v>2.2441772252028775E-2</c:v>
                </c:pt>
                <c:pt idx="1518">
                  <c:v>2.2437586115030442E-2</c:v>
                </c:pt>
                <c:pt idx="1519">
                  <c:v>2.2433402673390886E-2</c:v>
                </c:pt>
                <c:pt idx="1520">
                  <c:v>2.2427431003806255E-2</c:v>
                </c:pt>
                <c:pt idx="1521">
                  <c:v>2.2423254108027327E-2</c:v>
                </c:pt>
                <c:pt idx="1522">
                  <c:v>2.2419079907596857E-2</c:v>
                </c:pt>
                <c:pt idx="1523">
                  <c:v>2.2414908402512271E-2</c:v>
                </c:pt>
                <c:pt idx="1524">
                  <c:v>2.2410739592770988E-2</c:v>
                </c:pt>
                <c:pt idx="1525">
                  <c:v>2.2405774481635582E-2</c:v>
                </c:pt>
                <c:pt idx="1526">
                  <c:v>2.2401611195274406E-2</c:v>
                </c:pt>
                <c:pt idx="1527">
                  <c:v>2.2397450603814085E-2</c:v>
                </c:pt>
                <c:pt idx="1528">
                  <c:v>2.2393292707254618E-2</c:v>
                </c:pt>
                <c:pt idx="1529">
                  <c:v>2.238993597411356E-2</c:v>
                </c:pt>
                <c:pt idx="1530">
                  <c:v>2.238578333637279E-2</c:v>
                </c:pt>
                <c:pt idx="1531">
                  <c:v>2.2381633393954697E-2</c:v>
                </c:pt>
                <c:pt idx="1532">
                  <c:v>2.2377486146856699E-2</c:v>
                </c:pt>
                <c:pt idx="1533">
                  <c:v>2.237294261629863E-2</c:v>
                </c:pt>
                <c:pt idx="1534">
                  <c:v>2.2368800824458468E-2</c:v>
                </c:pt>
                <c:pt idx="1535">
                  <c:v>2.2363479623655813E-2</c:v>
                </c:pt>
                <c:pt idx="1536">
                  <c:v>2.2360525326054592E-2</c:v>
                </c:pt>
                <c:pt idx="1537">
                  <c:v>2.2356391619493543E-2</c:v>
                </c:pt>
                <c:pt idx="1538">
                  <c:v>2.2352069332244998E-2</c:v>
                </c:pt>
                <c:pt idx="1539">
                  <c:v>2.234794133735199E-2</c:v>
                </c:pt>
                <c:pt idx="1540">
                  <c:v>2.2343816037750715E-2</c:v>
                </c:pt>
                <c:pt idx="1541">
                  <c:v>2.2339693433446328E-2</c:v>
                </c:pt>
                <c:pt idx="1542">
                  <c:v>2.2335175128513463E-2</c:v>
                </c:pt>
                <c:pt idx="1543">
                  <c:v>2.2331057977450719E-2</c:v>
                </c:pt>
                <c:pt idx="1544">
                  <c:v>2.2326943521461473E-2</c:v>
                </c:pt>
                <c:pt idx="1545">
                  <c:v>2.2322831760537731E-2</c:v>
                </c:pt>
                <c:pt idx="1546">
                  <c:v>2.2319120841233327E-2</c:v>
                </c:pt>
                <c:pt idx="1547">
                  <c:v>2.2315014408632917E-2</c:v>
                </c:pt>
                <c:pt idx="1548">
                  <c:v>2.2310910671306187E-2</c:v>
                </c:pt>
                <c:pt idx="1549">
                  <c:v>2.2306809629247984E-2</c:v>
                </c:pt>
                <c:pt idx="1550">
                  <c:v>2.230271128246088E-2</c:v>
                </c:pt>
                <c:pt idx="1551">
                  <c:v>2.2298615630937147E-2</c:v>
                </c:pt>
                <c:pt idx="1552">
                  <c:v>2.2294522674679358E-2</c:v>
                </c:pt>
                <c:pt idx="1553">
                  <c:v>2.2290432413677203E-2</c:v>
                </c:pt>
                <c:pt idx="1554">
                  <c:v>2.2286344847935832E-2</c:v>
                </c:pt>
                <c:pt idx="1555">
                  <c:v>2.2281862379500694E-2</c:v>
                </c:pt>
                <c:pt idx="1556">
                  <c:v>2.2277780264153613E-2</c:v>
                </c:pt>
                <c:pt idx="1557">
                  <c:v>2.2273700843842725E-2</c:v>
                </c:pt>
                <c:pt idx="1558">
                  <c:v>2.2269624118562703E-2</c:v>
                </c:pt>
                <c:pt idx="1559">
                  <c:v>2.2265947447970637E-2</c:v>
                </c:pt>
                <c:pt idx="1560">
                  <c:v>2.2261876053708909E-2</c:v>
                </c:pt>
                <c:pt idx="1561">
                  <c:v>2.2257807354682184E-2</c:v>
                </c:pt>
                <c:pt idx="1562">
                  <c:v>2.2253741350893041E-2</c:v>
                </c:pt>
                <c:pt idx="1563">
                  <c:v>2.2249678042333743E-2</c:v>
                </c:pt>
                <c:pt idx="1564">
                  <c:v>2.224522036243215E-2</c:v>
                </c:pt>
                <c:pt idx="1565">
                  <c:v>2.2241162502306899E-2</c:v>
                </c:pt>
                <c:pt idx="1566">
                  <c:v>2.2237107337196527E-2</c:v>
                </c:pt>
                <c:pt idx="1567">
                  <c:v>2.2234642505353428E-2</c:v>
                </c:pt>
                <c:pt idx="1568">
                  <c:v>2.2229401927904999E-2</c:v>
                </c:pt>
                <c:pt idx="1569">
                  <c:v>2.2225354790675781E-2</c:v>
                </c:pt>
                <c:pt idx="1570">
                  <c:v>2.222131034865836E-2</c:v>
                </c:pt>
                <c:pt idx="1571">
                  <c:v>2.2217268601844999E-2</c:v>
                </c:pt>
                <c:pt idx="1572">
                  <c:v>2.2212256162294608E-2</c:v>
                </c:pt>
                <c:pt idx="1573">
                  <c:v>2.2209409913057341E-2</c:v>
                </c:pt>
                <c:pt idx="1574">
                  <c:v>2.2205376524832718E-2</c:v>
                </c:pt>
                <c:pt idx="1575">
                  <c:v>2.220134583222879E-2</c:v>
                </c:pt>
                <c:pt idx="1576">
                  <c:v>2.2196128671767568E-2</c:v>
                </c:pt>
                <c:pt idx="1577">
                  <c:v>2.219131092684171E-2</c:v>
                </c:pt>
                <c:pt idx="1578">
                  <c:v>2.2187288597101E-2</c:v>
                </c:pt>
                <c:pt idx="1579">
                  <c:v>2.218326896191344E-2</c:v>
                </c:pt>
                <c:pt idx="1580">
                  <c:v>2.2179252021279031E-2</c:v>
                </c:pt>
                <c:pt idx="1581">
                  <c:v>2.2177614419516267E-2</c:v>
                </c:pt>
                <c:pt idx="1582">
                  <c:v>2.2173206461075588E-2</c:v>
                </c:pt>
                <c:pt idx="1583">
                  <c:v>2.2169197333316119E-2</c:v>
                </c:pt>
                <c:pt idx="1584">
                  <c:v>2.2165190901150697E-2</c:v>
                </c:pt>
                <c:pt idx="1585">
                  <c:v>2.2161187164569638E-2</c:v>
                </c:pt>
                <c:pt idx="1586">
                  <c:v>2.2156218919527071E-2</c:v>
                </c:pt>
                <c:pt idx="1587">
                  <c:v>2.2152221012456674E-2</c:v>
                </c:pt>
                <c:pt idx="1588">
                  <c:v>2.2148225800755206E-2</c:v>
                </c:pt>
                <c:pt idx="1589">
                  <c:v>2.2143046288577859E-2</c:v>
                </c:pt>
                <c:pt idx="1590">
                  <c:v>2.2140243463451559E-2</c:v>
                </c:pt>
                <c:pt idx="1591">
                  <c:v>2.2136256337844384E-2</c:v>
                </c:pt>
                <c:pt idx="1592">
                  <c:v>2.2132271907596146E-2</c:v>
                </c:pt>
                <c:pt idx="1593">
                  <c:v>2.2128290172704346E-2</c:v>
                </c:pt>
                <c:pt idx="1594">
                  <c:v>2.2124311133163987E-2</c:v>
                </c:pt>
                <c:pt idx="1595">
                  <c:v>2.2120334788975071E-2</c:v>
                </c:pt>
                <c:pt idx="1596">
                  <c:v>2.2116361140135099E-2</c:v>
                </c:pt>
                <c:pt idx="1597">
                  <c:v>2.2112390186636577E-2</c:v>
                </c:pt>
                <c:pt idx="1598">
                  <c:v>2.2108421928482003E-2</c:v>
                </c:pt>
                <c:pt idx="1599">
                  <c:v>2.2104456365666381E-2</c:v>
                </c:pt>
                <c:pt idx="1600">
                  <c:v>2.2100493498184715E-2</c:v>
                </c:pt>
                <c:pt idx="1601">
                  <c:v>2.2096533326037004E-2</c:v>
                </c:pt>
                <c:pt idx="1602">
                  <c:v>2.2092575849220752E-2</c:v>
                </c:pt>
                <c:pt idx="1603">
                  <c:v>2.2088621067730962E-2</c:v>
                </c:pt>
                <c:pt idx="1604">
                  <c:v>2.2084668981567634E-2</c:v>
                </c:pt>
                <c:pt idx="1605">
                  <c:v>2.2080719590723275E-2</c:v>
                </c:pt>
                <c:pt idx="1606">
                  <c:v>2.2076772895200381E-2</c:v>
                </c:pt>
                <c:pt idx="1607">
                  <c:v>2.2072828894993957E-2</c:v>
                </c:pt>
                <c:pt idx="1608">
                  <c:v>2.2068887590099007E-2</c:v>
                </c:pt>
                <c:pt idx="1609">
                  <c:v>2.2064948980518029E-2</c:v>
                </c:pt>
                <c:pt idx="1610">
                  <c:v>2.2061013066241031E-2</c:v>
                </c:pt>
                <c:pt idx="1611">
                  <c:v>2.2057079847270511E-2</c:v>
                </c:pt>
                <c:pt idx="1612">
                  <c:v>2.2053149323598975E-2</c:v>
                </c:pt>
                <c:pt idx="1613">
                  <c:v>2.2049221495231419E-2</c:v>
                </c:pt>
                <c:pt idx="1614">
                  <c:v>2.2045296362157851E-2</c:v>
                </c:pt>
                <c:pt idx="1615">
                  <c:v>2.2041373924380769E-2</c:v>
                </c:pt>
                <c:pt idx="1616">
                  <c:v>2.2037454181890181E-2</c:v>
                </c:pt>
                <c:pt idx="1617">
                  <c:v>2.2033537134688586E-2</c:v>
                </c:pt>
                <c:pt idx="1618">
                  <c:v>2.2029622782773484E-2</c:v>
                </c:pt>
                <c:pt idx="1619">
                  <c:v>2.2025711126142378E-2</c:v>
                </c:pt>
                <c:pt idx="1620">
                  <c:v>2.2021802164787774E-2</c:v>
                </c:pt>
                <c:pt idx="1621">
                  <c:v>2.201789589871217E-2</c:v>
                </c:pt>
                <c:pt idx="1622">
                  <c:v>2.2013992327908072E-2</c:v>
                </c:pt>
                <c:pt idx="1623">
                  <c:v>2.2010091452377978E-2</c:v>
                </c:pt>
                <c:pt idx="1624">
                  <c:v>2.2005011432737167E-2</c:v>
                </c:pt>
                <c:pt idx="1625">
                  <c:v>2.200229778711732E-2</c:v>
                </c:pt>
                <c:pt idx="1626">
                  <c:v>2.199840499738176E-2</c:v>
                </c:pt>
                <c:pt idx="1627">
                  <c:v>2.1994514902907714E-2</c:v>
                </c:pt>
                <c:pt idx="1628">
                  <c:v>2.1989446205092449E-2</c:v>
                </c:pt>
                <c:pt idx="1629">
                  <c:v>2.1985167936718102E-2</c:v>
                </c:pt>
                <c:pt idx="1630">
                  <c:v>2.1981286105407425E-2</c:v>
                </c:pt>
                <c:pt idx="1631">
                  <c:v>2.1977406968524286E-2</c:v>
                </c:pt>
                <c:pt idx="1632">
                  <c:v>2.1973530526065828E-2</c:v>
                </c:pt>
                <c:pt idx="1633">
                  <c:v>2.1971230936362884E-2</c:v>
                </c:pt>
                <c:pt idx="1634">
                  <c:v>2.1967359708632006E-2</c:v>
                </c:pt>
                <c:pt idx="1635">
                  <c:v>2.1963491176137662E-2</c:v>
                </c:pt>
                <c:pt idx="1636">
                  <c:v>2.196001877825457E-2</c:v>
                </c:pt>
                <c:pt idx="1637">
                  <c:v>2.1955762196851081E-2</c:v>
                </c:pt>
                <c:pt idx="1638">
                  <c:v>2.195190175005135E-2</c:v>
                </c:pt>
                <c:pt idx="1639">
                  <c:v>2.194804399848066E-2</c:v>
                </c:pt>
                <c:pt idx="1640">
                  <c:v>2.1944188942134013E-2</c:v>
                </c:pt>
                <c:pt idx="1641">
                  <c:v>2.1940336581003916E-2</c:v>
                </c:pt>
                <c:pt idx="1642">
                  <c:v>2.1936486915097864E-2</c:v>
                </c:pt>
                <c:pt idx="1643">
                  <c:v>2.1932639944408361E-2</c:v>
                </c:pt>
                <c:pt idx="1644">
                  <c:v>2.1928795668927914E-2</c:v>
                </c:pt>
                <c:pt idx="1645">
                  <c:v>2.1924954088656523E-2</c:v>
                </c:pt>
                <c:pt idx="1646">
                  <c:v>2.1921115203594188E-2</c:v>
                </c:pt>
                <c:pt idx="1647">
                  <c:v>2.1917279013738411E-2</c:v>
                </c:pt>
                <c:pt idx="1648">
                  <c:v>2.19134455190792E-2</c:v>
                </c:pt>
                <c:pt idx="1649">
                  <c:v>2.1909614719626547E-2</c:v>
                </c:pt>
                <c:pt idx="1650">
                  <c:v>2.1905786615365463E-2</c:v>
                </c:pt>
                <c:pt idx="1651">
                  <c:v>2.1901961206298448E-2</c:v>
                </c:pt>
                <c:pt idx="1652">
                  <c:v>2.1898138492420505E-2</c:v>
                </c:pt>
                <c:pt idx="1653">
                  <c:v>2.1894318473734131E-2</c:v>
                </c:pt>
                <c:pt idx="1654">
                  <c:v>2.1890501150234332E-2</c:v>
                </c:pt>
                <c:pt idx="1655">
                  <c:v>2.1886686521911114E-2</c:v>
                </c:pt>
                <c:pt idx="1656">
                  <c:v>2.188287458877447E-2</c:v>
                </c:pt>
                <c:pt idx="1657">
                  <c:v>2.1879065350809412E-2</c:v>
                </c:pt>
                <c:pt idx="1658">
                  <c:v>2.1875258808023434E-2</c:v>
                </c:pt>
                <c:pt idx="1659">
                  <c:v>2.1871454960404046E-2</c:v>
                </c:pt>
                <c:pt idx="1660">
                  <c:v>2.1867653807958742E-2</c:v>
                </c:pt>
                <c:pt idx="1661">
                  <c:v>2.1863855350675032E-2</c:v>
                </c:pt>
                <c:pt idx="1662">
                  <c:v>2.1860059588557912E-2</c:v>
                </c:pt>
                <c:pt idx="1663">
                  <c:v>2.185508953457773E-2</c:v>
                </c:pt>
                <c:pt idx="1664">
                  <c:v>2.1852476149803457E-2</c:v>
                </c:pt>
                <c:pt idx="1665">
                  <c:v>2.1848688473161126E-2</c:v>
                </c:pt>
                <c:pt idx="1666">
                  <c:v>2.18449034916679E-2</c:v>
                </c:pt>
                <c:pt idx="1667">
                  <c:v>2.1841121205328773E-2</c:v>
                </c:pt>
                <c:pt idx="1668">
                  <c:v>2.1837341614133754E-2</c:v>
                </c:pt>
                <c:pt idx="1669">
                  <c:v>2.1833564718082843E-2</c:v>
                </c:pt>
                <c:pt idx="1670">
                  <c:v>2.1829790517178538E-2</c:v>
                </c:pt>
                <c:pt idx="1671">
                  <c:v>2.1826019011410847E-2</c:v>
                </c:pt>
                <c:pt idx="1672">
                  <c:v>2.1822250200777271E-2</c:v>
                </c:pt>
                <c:pt idx="1673">
                  <c:v>2.1818484085282808E-2</c:v>
                </c:pt>
                <c:pt idx="1674">
                  <c:v>2.1814720664912468E-2</c:v>
                </c:pt>
                <c:pt idx="1675">
                  <c:v>2.1810959939673746E-2</c:v>
                </c:pt>
                <c:pt idx="1676">
                  <c:v>2.1807201909561647E-2</c:v>
                </c:pt>
                <c:pt idx="1677">
                  <c:v>2.1803446574571173E-2</c:v>
                </c:pt>
                <c:pt idx="1678">
                  <c:v>2.1799693934699826E-2</c:v>
                </c:pt>
                <c:pt idx="1679">
                  <c:v>2.1795943989947608E-2</c:v>
                </c:pt>
                <c:pt idx="1680">
                  <c:v>2.179219674031202E-2</c:v>
                </c:pt>
                <c:pt idx="1681">
                  <c:v>2.1786885462912346E-2</c:v>
                </c:pt>
                <c:pt idx="1682">
                  <c:v>2.1783143738513453E-2</c:v>
                </c:pt>
                <c:pt idx="1683">
                  <c:v>2.1779404708416487E-2</c:v>
                </c:pt>
                <c:pt idx="1684">
                  <c:v>2.1775668372615735E-2</c:v>
                </c:pt>
                <c:pt idx="1685">
                  <c:v>2.1773500918748634E-2</c:v>
                </c:pt>
                <c:pt idx="1686">
                  <c:v>2.177016138534443E-2</c:v>
                </c:pt>
                <c:pt idx="1687">
                  <c:v>2.1766041455836271E-2</c:v>
                </c:pt>
                <c:pt idx="1688">
                  <c:v>2.1762315767021312E-2</c:v>
                </c:pt>
                <c:pt idx="1689">
                  <c:v>2.1757418505285776E-2</c:v>
                </c:pt>
                <c:pt idx="1690">
                  <c:v>2.175487247465635E-2</c:v>
                </c:pt>
                <c:pt idx="1691">
                  <c:v>2.1751154871106348E-2</c:v>
                </c:pt>
                <c:pt idx="1692">
                  <c:v>2.1747439962638004E-2</c:v>
                </c:pt>
                <c:pt idx="1693">
                  <c:v>2.174372774924882E-2</c:v>
                </c:pt>
                <c:pt idx="1694">
                  <c:v>2.1740018230936298E-2</c:v>
                </c:pt>
                <c:pt idx="1695">
                  <c:v>2.1736311407700437E-2</c:v>
                </c:pt>
                <c:pt idx="1696">
                  <c:v>2.1732607279536242E-2</c:v>
                </c:pt>
                <c:pt idx="1697">
                  <c:v>2.1728905846441215E-2</c:v>
                </c:pt>
                <c:pt idx="1698">
                  <c:v>2.1725207108412858E-2</c:v>
                </c:pt>
                <c:pt idx="1699">
                  <c:v>2.1721511065448673E-2</c:v>
                </c:pt>
                <c:pt idx="1700">
                  <c:v>2.1717817717546162E-2</c:v>
                </c:pt>
                <c:pt idx="1701">
                  <c:v>2.1714127064700328E-2</c:v>
                </c:pt>
                <c:pt idx="1702">
                  <c:v>2.1709266045321581E-2</c:v>
                </c:pt>
                <c:pt idx="1703">
                  <c:v>2.1706753844176196E-2</c:v>
                </c:pt>
                <c:pt idx="1704">
                  <c:v>2.17030712764954E-2</c:v>
                </c:pt>
                <c:pt idx="1705">
                  <c:v>2.169939140386129E-2</c:v>
                </c:pt>
                <c:pt idx="1706">
                  <c:v>2.169571422626887E-2</c:v>
                </c:pt>
                <c:pt idx="1707">
                  <c:v>2.1692039743723135E-2</c:v>
                </c:pt>
                <c:pt idx="1708">
                  <c:v>2.1688368117087908E-2</c:v>
                </c:pt>
                <c:pt idx="1709">
                  <c:v>2.1684702209378015E-2</c:v>
                </c:pt>
                <c:pt idx="1710">
                  <c:v>2.1681047125752251E-2</c:v>
                </c:pt>
                <c:pt idx="1711">
                  <c:v>2.167740803922763E-2</c:v>
                </c:pt>
                <c:pt idx="1712">
                  <c:v>2.167379012281867E-2</c:v>
                </c:pt>
                <c:pt idx="1713">
                  <c:v>2.1670197687362058E-2</c:v>
                </c:pt>
                <c:pt idx="1714">
                  <c:v>2.166663159500315E-2</c:v>
                </c:pt>
                <c:pt idx="1715">
                  <c:v>2.1663091845716964E-2</c:v>
                </c:pt>
                <c:pt idx="1716">
                  <c:v>2.165957843948102E-2</c:v>
                </c:pt>
                <c:pt idx="1717">
                  <c:v>2.1656091376267839E-2</c:v>
                </c:pt>
                <c:pt idx="1718">
                  <c:v>2.1652630656049943E-2</c:v>
                </c:pt>
                <c:pt idx="1719">
                  <c:v>2.1649196278809846E-2</c:v>
                </c:pt>
                <c:pt idx="1720">
                  <c:v>2.164578824452007E-2</c:v>
                </c:pt>
                <c:pt idx="1721">
                  <c:v>2.1642406553158133E-2</c:v>
                </c:pt>
                <c:pt idx="1722">
                  <c:v>2.163905120469406E-2</c:v>
                </c:pt>
                <c:pt idx="1723">
                  <c:v>2.1636136604592113E-2</c:v>
                </c:pt>
                <c:pt idx="1724">
                  <c:v>2.1632419536389558E-2</c:v>
                </c:pt>
                <c:pt idx="1725">
                  <c:v>2.1629143216499169E-2</c:v>
                </c:pt>
                <c:pt idx="1726">
                  <c:v>2.1625893239416716E-2</c:v>
                </c:pt>
                <c:pt idx="1727">
                  <c:v>2.1622669605122213E-2</c:v>
                </c:pt>
                <c:pt idx="1728">
                  <c:v>2.161947231359318E-2</c:v>
                </c:pt>
                <c:pt idx="1729">
                  <c:v>2.1616301364804635E-2</c:v>
                </c:pt>
                <c:pt idx="1730">
                  <c:v>2.1613156758736596E-2</c:v>
                </c:pt>
                <c:pt idx="1731">
                  <c:v>2.1610038495369077E-2</c:v>
                </c:pt>
                <c:pt idx="1732">
                  <c:v>2.1606946574674601E-2</c:v>
                </c:pt>
                <c:pt idx="1733">
                  <c:v>2.1602588134003214E-2</c:v>
                </c:pt>
                <c:pt idx="1734">
                  <c:v>2.1599543801330362E-2</c:v>
                </c:pt>
                <c:pt idx="1735">
                  <c:v>2.1596525806458419E-2</c:v>
                </c:pt>
                <c:pt idx="1736">
                  <c:v>2.1593534149376356E-2</c:v>
                </c:pt>
                <c:pt idx="1737">
                  <c:v>2.1592320230732008E-2</c:v>
                </c:pt>
                <c:pt idx="1738">
                  <c:v>2.1588948245510053E-2</c:v>
                </c:pt>
                <c:pt idx="1739">
                  <c:v>2.1586040722952338E-2</c:v>
                </c:pt>
                <c:pt idx="1740">
                  <c:v>2.1583159542902797E-2</c:v>
                </c:pt>
                <c:pt idx="1741">
                  <c:v>2.1580304705341447E-2</c:v>
                </c:pt>
                <c:pt idx="1742">
                  <c:v>2.1577476210245805E-2</c:v>
                </c:pt>
                <c:pt idx="1743">
                  <c:v>2.1574674057600884E-2</c:v>
                </c:pt>
                <c:pt idx="1744">
                  <c:v>2.1571898247379206E-2</c:v>
                </c:pt>
                <c:pt idx="1745">
                  <c:v>2.1569148779573277E-2</c:v>
                </c:pt>
                <c:pt idx="1746">
                  <c:v>2.1565585191863516E-2</c:v>
                </c:pt>
                <c:pt idx="1747">
                  <c:v>2.1562890451685423E-2</c:v>
                </c:pt>
                <c:pt idx="1748">
                  <c:v>2.1560222052256262E-2</c:v>
                </c:pt>
                <c:pt idx="1749">
                  <c:v>2.1557579993565727E-2</c:v>
                </c:pt>
                <c:pt idx="1750">
                  <c:v>2.1554964275590602E-2</c:v>
                </c:pt>
                <c:pt idx="1751">
                  <c:v>2.1552374898318002E-2</c:v>
                </c:pt>
                <c:pt idx="1752">
                  <c:v>2.1549811861724721E-2</c:v>
                </c:pt>
                <c:pt idx="1753">
                  <c:v>2.1547275165800437E-2</c:v>
                </c:pt>
                <c:pt idx="1754">
                  <c:v>2.1545232212516474E-2</c:v>
                </c:pt>
                <c:pt idx="1755">
                  <c:v>2.1542280795876358E-2</c:v>
                </c:pt>
                <c:pt idx="1756">
                  <c:v>2.1539823121840461E-2</c:v>
                </c:pt>
                <c:pt idx="1757">
                  <c:v>2.1537391788403946E-2</c:v>
                </c:pt>
                <c:pt idx="1758">
                  <c:v>2.1534986795548758E-2</c:v>
                </c:pt>
                <c:pt idx="1759">
                  <c:v>2.1532608143254271E-2</c:v>
                </c:pt>
                <c:pt idx="1760">
                  <c:v>2.1530255831512749E-2</c:v>
                </c:pt>
                <c:pt idx="1761">
                  <c:v>2.1527929860300981E-2</c:v>
                </c:pt>
                <c:pt idx="1762">
                  <c:v>2.1525630229606081E-2</c:v>
                </c:pt>
                <c:pt idx="1763">
                  <c:v>2.1521908882866012E-2</c:v>
                </c:pt>
                <c:pt idx="1764">
                  <c:v>2.1521109989702407E-2</c:v>
                </c:pt>
                <c:pt idx="1765">
                  <c:v>2.1518889380462692E-2</c:v>
                </c:pt>
                <c:pt idx="1766">
                  <c:v>2.1516695111680535E-2</c:v>
                </c:pt>
                <c:pt idx="1767">
                  <c:v>2.1515507481508971E-2</c:v>
                </c:pt>
                <c:pt idx="1768">
                  <c:v>2.151238559541669E-2</c:v>
                </c:pt>
                <c:pt idx="1769">
                  <c:v>2.1510270347909217E-2</c:v>
                </c:pt>
                <c:pt idx="1770">
                  <c:v>2.1508181440797417E-2</c:v>
                </c:pt>
                <c:pt idx="1771">
                  <c:v>2.1506118874068392E-2</c:v>
                </c:pt>
                <c:pt idx="1772">
                  <c:v>2.1504082647709255E-2</c:v>
                </c:pt>
                <c:pt idx="1773">
                  <c:v>2.1502072761699371E-2</c:v>
                </c:pt>
                <c:pt idx="1774">
                  <c:v>2.1500089216036168E-2</c:v>
                </c:pt>
                <c:pt idx="1775">
                  <c:v>2.1498132010696433E-2</c:v>
                </c:pt>
                <c:pt idx="1776">
                  <c:v>2.1496201145672435E-2</c:v>
                </c:pt>
                <c:pt idx="1777">
                  <c:v>2.1494296620946124E-2</c:v>
                </c:pt>
                <c:pt idx="1778">
                  <c:v>2.1492418436509758E-2</c:v>
                </c:pt>
                <c:pt idx="1779">
                  <c:v>2.1490566592350453E-2</c:v>
                </c:pt>
                <c:pt idx="1780">
                  <c:v>2.1487966792981119E-2</c:v>
                </c:pt>
                <c:pt idx="1781">
                  <c:v>2.1486178918007887E-2</c:v>
                </c:pt>
                <c:pt idx="1782">
                  <c:v>2.1484417383267878E-2</c:v>
                </c:pt>
                <c:pt idx="1783">
                  <c:v>2.1482682188748194E-2</c:v>
                </c:pt>
                <c:pt idx="1784">
                  <c:v>2.1480973334438526E-2</c:v>
                </c:pt>
                <c:pt idx="1785">
                  <c:v>2.1477724079418552E-2</c:v>
                </c:pt>
                <c:pt idx="1786">
                  <c:v>2.1476062558314992E-2</c:v>
                </c:pt>
                <c:pt idx="1787">
                  <c:v>2.1474427372656684E-2</c:v>
                </c:pt>
                <c:pt idx="1788">
                  <c:v>2.1472818522435069E-2</c:v>
                </c:pt>
                <c:pt idx="1789">
                  <c:v>2.1472824165622646E-2</c:v>
                </c:pt>
                <c:pt idx="1790">
                  <c:v>2.1471273352330667E-2</c:v>
                </c:pt>
                <c:pt idx="1791">
                  <c:v>2.1469748879168766E-2</c:v>
                </c:pt>
                <c:pt idx="1792">
                  <c:v>2.1468250746124049E-2</c:v>
                </c:pt>
                <c:pt idx="1793">
                  <c:v>2.1466778953199098E-2</c:v>
                </c:pt>
                <c:pt idx="1794">
                  <c:v>2.1464794962618328E-2</c:v>
                </c:pt>
                <c:pt idx="1795">
                  <c:v>2.1463374053092288E-2</c:v>
                </c:pt>
                <c:pt idx="1796">
                  <c:v>2.1461585870892641E-2</c:v>
                </c:pt>
                <c:pt idx="1797">
                  <c:v>2.1460611249549011E-2</c:v>
                </c:pt>
                <c:pt idx="1798">
                  <c:v>2.1459815089867947E-2</c:v>
                </c:pt>
                <c:pt idx="1799">
                  <c:v>2.1458501337401133E-2</c:v>
                </c:pt>
                <c:pt idx="1800">
                  <c:v>2.1457213924979304E-2</c:v>
                </c:pt>
                <c:pt idx="1801">
                  <c:v>2.1455952852594721E-2</c:v>
                </c:pt>
                <c:pt idx="1802">
                  <c:v>2.1454165164118244E-2</c:v>
                </c:pt>
                <c:pt idx="1803">
                  <c:v>2.1452954962406068E-2</c:v>
                </c:pt>
                <c:pt idx="1804">
                  <c:v>2.1451771099134653E-2</c:v>
                </c:pt>
                <c:pt idx="1805">
                  <c:v>2.1450613574293342E-2</c:v>
                </c:pt>
                <c:pt idx="1806">
                  <c:v>2.145004259090821E-2</c:v>
                </c:pt>
                <c:pt idx="1807">
                  <c:v>2.1448939558564039E-2</c:v>
                </c:pt>
                <c:pt idx="1808">
                  <c:v>2.1447862866200384E-2</c:v>
                </c:pt>
                <c:pt idx="1809">
                  <c:v>2.1446812513806937E-2</c:v>
                </c:pt>
                <c:pt idx="1810">
                  <c:v>2.1445788501383692E-2</c:v>
                </c:pt>
                <c:pt idx="1811">
                  <c:v>2.1444790828915181E-2</c:v>
                </c:pt>
                <c:pt idx="1812">
                  <c:v>2.1443819496398828E-2</c:v>
                </c:pt>
                <c:pt idx="1813">
                  <c:v>2.1442874503829468E-2</c:v>
                </c:pt>
                <c:pt idx="1814">
                  <c:v>2.1441955851196796E-2</c:v>
                </c:pt>
                <c:pt idx="1815">
                  <c:v>2.1440486938027803E-2</c:v>
                </c:pt>
                <c:pt idx="1816">
                  <c:v>2.1439619135469989E-2</c:v>
                </c:pt>
                <c:pt idx="1817">
                  <c:v>2.1438777671265008E-2</c:v>
                </c:pt>
                <c:pt idx="1818">
                  <c:v>2.14379625454022E-2</c:v>
                </c:pt>
                <c:pt idx="1819">
                  <c:v>2.1437757686905756E-2</c:v>
                </c:pt>
                <c:pt idx="1820">
                  <c:v>2.1436997073779725E-2</c:v>
                </c:pt>
                <c:pt idx="1821">
                  <c:v>2.1436262800551695E-2</c:v>
                </c:pt>
                <c:pt idx="1822">
                  <c:v>2.1435554867219098E-2</c:v>
                </c:pt>
                <c:pt idx="1823">
                  <c:v>2.1434873273779343E-2</c:v>
                </c:pt>
                <c:pt idx="1824">
                  <c:v>2.1433624895221826E-2</c:v>
                </c:pt>
                <c:pt idx="1825">
                  <c:v>2.1432994137642325E-2</c:v>
                </c:pt>
                <c:pt idx="1826">
                  <c:v>2.1432389718375688E-2</c:v>
                </c:pt>
                <c:pt idx="1827">
                  <c:v>2.1433009160050642E-2</c:v>
                </c:pt>
                <c:pt idx="1828">
                  <c:v>2.1431860404741217E-2</c:v>
                </c:pt>
                <c:pt idx="1829">
                  <c:v>2.1431336850537355E-2</c:v>
                </c:pt>
                <c:pt idx="1830">
                  <c:v>2.1430839636197976E-2</c:v>
                </c:pt>
                <c:pt idx="1831">
                  <c:v>2.1430368761715345E-2</c:v>
                </c:pt>
                <c:pt idx="1832">
                  <c:v>2.1429862872330768E-2</c:v>
                </c:pt>
                <c:pt idx="1833">
                  <c:v>2.14294484403891E-2</c:v>
                </c:pt>
                <c:pt idx="1834">
                  <c:v>2.1429060348291288E-2</c:v>
                </c:pt>
                <c:pt idx="1835">
                  <c:v>2.1428698596039908E-2</c:v>
                </c:pt>
                <c:pt idx="1836">
                  <c:v>2.1428363183632382E-2</c:v>
                </c:pt>
                <c:pt idx="1837">
                  <c:v>2.1426202264815317E-2</c:v>
                </c:pt>
                <c:pt idx="1838">
                  <c:v>2.1425913939277588E-2</c:v>
                </c:pt>
                <c:pt idx="1839">
                  <c:v>2.1425651948873928E-2</c:v>
                </c:pt>
                <c:pt idx="1840">
                  <c:v>2.1425416293610056E-2</c:v>
                </c:pt>
                <c:pt idx="1841">
                  <c:v>2.1429583055489587E-2</c:v>
                </c:pt>
                <c:pt idx="1842">
                  <c:v>2.1426903845756035E-2</c:v>
                </c:pt>
                <c:pt idx="1843">
                  <c:v>2.1426752812191023E-2</c:v>
                </c:pt>
                <c:pt idx="1844">
                  <c:v>2.1426628118454399E-2</c:v>
                </c:pt>
                <c:pt idx="1845">
                  <c:v>2.1426529764546155E-2</c:v>
                </c:pt>
                <c:pt idx="1846">
                  <c:v>2.1427077074660239E-2</c:v>
                </c:pt>
                <c:pt idx="1847">
                  <c:v>2.14270408053302E-2</c:v>
                </c:pt>
                <c:pt idx="1848">
                  <c:v>2.1427030877391728E-2</c:v>
                </c:pt>
                <c:pt idx="1849">
                  <c:v>2.1426410812711967E-2</c:v>
                </c:pt>
                <c:pt idx="1850">
                  <c:v>2.142709004570198E-2</c:v>
                </c:pt>
                <c:pt idx="1851">
                  <c:v>2.1427159141943208E-2</c:v>
                </c:pt>
                <c:pt idx="1852">
                  <c:v>2.1427254579583499E-2</c:v>
                </c:pt>
                <c:pt idx="1853">
                  <c:v>2.1427376358615358E-2</c:v>
                </c:pt>
                <c:pt idx="1854">
                  <c:v>2.142752447904378E-2</c:v>
                </c:pt>
                <c:pt idx="1855">
                  <c:v>2.1427698940866269E-2</c:v>
                </c:pt>
                <c:pt idx="1856">
                  <c:v>2.1427899744087819E-2</c:v>
                </c:pt>
                <c:pt idx="1857">
                  <c:v>2.1428126888708432E-2</c:v>
                </c:pt>
                <c:pt idx="1858">
                  <c:v>2.1428380374730605E-2</c:v>
                </c:pt>
                <c:pt idx="1859">
                  <c:v>2.1428660202156835E-2</c:v>
                </c:pt>
                <c:pt idx="1860">
                  <c:v>2.1428966370982128E-2</c:v>
                </c:pt>
                <c:pt idx="1861">
                  <c:v>2.1429298881218972E-2</c:v>
                </c:pt>
                <c:pt idx="1862">
                  <c:v>2.1427662402605401E-2</c:v>
                </c:pt>
                <c:pt idx="1863">
                  <c:v>2.1430042925919823E-2</c:v>
                </c:pt>
                <c:pt idx="1864">
                  <c:v>2.1430454460386328E-2</c:v>
                </c:pt>
                <c:pt idx="1865">
                  <c:v>2.1430892336274376E-2</c:v>
                </c:pt>
                <c:pt idx="1866">
                  <c:v>2.1431356553581471E-2</c:v>
                </c:pt>
                <c:pt idx="1867">
                  <c:v>2.143184711231011E-2</c:v>
                </c:pt>
                <c:pt idx="1868">
                  <c:v>2.1432364012467786E-2</c:v>
                </c:pt>
                <c:pt idx="1869">
                  <c:v>2.1432907254056999E-2</c:v>
                </c:pt>
                <c:pt idx="1870">
                  <c:v>2.1433476837077747E-2</c:v>
                </c:pt>
                <c:pt idx="1871">
                  <c:v>2.1434072761537526E-2</c:v>
                </c:pt>
                <c:pt idx="1872">
                  <c:v>2.1434695027441331E-2</c:v>
                </c:pt>
                <c:pt idx="1873">
                  <c:v>2.1435343634786663E-2</c:v>
                </c:pt>
                <c:pt idx="1874">
                  <c:v>2.1436018583586014E-2</c:v>
                </c:pt>
                <c:pt idx="1875">
                  <c:v>2.1434649916924283E-2</c:v>
                </c:pt>
                <c:pt idx="1876">
                  <c:v>2.1437447505561757E-2</c:v>
                </c:pt>
                <c:pt idx="1877">
                  <c:v>2.1438201478745644E-2</c:v>
                </c:pt>
                <c:pt idx="1878">
                  <c:v>2.1438981793398537E-2</c:v>
                </c:pt>
                <c:pt idx="1879">
                  <c:v>2.1439788449530428E-2</c:v>
                </c:pt>
                <c:pt idx="1880">
                  <c:v>2.1440621447143815E-2</c:v>
                </c:pt>
                <c:pt idx="1881">
                  <c:v>2.1441480786246192E-2</c:v>
                </c:pt>
                <c:pt idx="1882">
                  <c:v>2.1442366466840057E-2</c:v>
                </c:pt>
                <c:pt idx="1883">
                  <c:v>2.1443104726475579E-2</c:v>
                </c:pt>
                <c:pt idx="1884">
                  <c:v>2.1443645202738032E-2</c:v>
                </c:pt>
                <c:pt idx="1885">
                  <c:v>2.1445181557660509E-2</c:v>
                </c:pt>
                <c:pt idx="1886">
                  <c:v>2.1446172604297764E-2</c:v>
                </c:pt>
                <c:pt idx="1887">
                  <c:v>2.144718999246148E-2</c:v>
                </c:pt>
                <c:pt idx="1888">
                  <c:v>2.144608834322697E-2</c:v>
                </c:pt>
                <c:pt idx="1889">
                  <c:v>2.1446435936279342E-2</c:v>
                </c:pt>
                <c:pt idx="1890">
                  <c:v>2.144752456367614E-2</c:v>
                </c:pt>
                <c:pt idx="1891">
                  <c:v>2.1448639526344047E-2</c:v>
                </c:pt>
                <c:pt idx="1892">
                  <c:v>2.1449780824285915E-2</c:v>
                </c:pt>
                <c:pt idx="1893">
                  <c:v>2.1453847493936584E-2</c:v>
                </c:pt>
                <c:pt idx="1894">
                  <c:v>2.1455049273000348E-2</c:v>
                </c:pt>
                <c:pt idx="1895">
                  <c:v>2.1456277393653023E-2</c:v>
                </c:pt>
                <c:pt idx="1896">
                  <c:v>2.1457531855907097E-2</c:v>
                </c:pt>
                <c:pt idx="1897">
                  <c:v>2.1458812659767568E-2</c:v>
                </c:pt>
                <c:pt idx="1898">
                  <c:v>2.1460119805244426E-2</c:v>
                </c:pt>
                <c:pt idx="1899">
                  <c:v>2.1461453292345167E-2</c:v>
                </c:pt>
                <c:pt idx="1900">
                  <c:v>2.1462813121077284E-2</c:v>
                </c:pt>
                <c:pt idx="1901">
                  <c:v>2.1461977693809833E-2</c:v>
                </c:pt>
                <c:pt idx="1902">
                  <c:v>2.1465611803490603E-2</c:v>
                </c:pt>
                <c:pt idx="1903">
                  <c:v>2.1467050657189291E-2</c:v>
                </c:pt>
                <c:pt idx="1904">
                  <c:v>2.1468515852556824E-2</c:v>
                </c:pt>
                <c:pt idx="1905">
                  <c:v>2.147000738961069E-2</c:v>
                </c:pt>
                <c:pt idx="1906">
                  <c:v>2.1471525268358382E-2</c:v>
                </c:pt>
                <c:pt idx="1907">
                  <c:v>2.1473069488809893E-2</c:v>
                </c:pt>
                <c:pt idx="1908">
                  <c:v>2.1474640050977711E-2</c:v>
                </c:pt>
                <c:pt idx="1909">
                  <c:v>2.1476236954874328E-2</c:v>
                </c:pt>
                <c:pt idx="1910">
                  <c:v>2.1477860200507237E-2</c:v>
                </c:pt>
                <c:pt idx="1911">
                  <c:v>2.1479509787891427E-2</c:v>
                </c:pt>
                <c:pt idx="1912">
                  <c:v>2.148118571703439E-2</c:v>
                </c:pt>
                <c:pt idx="1913">
                  <c:v>2.1482887987953614E-2</c:v>
                </c:pt>
                <c:pt idx="1914">
                  <c:v>2.1484616600651596E-2</c:v>
                </c:pt>
                <c:pt idx="1915">
                  <c:v>2.148637155514832E-2</c:v>
                </c:pt>
                <c:pt idx="1916">
                  <c:v>2.1488152851453779E-2</c:v>
                </c:pt>
                <c:pt idx="1917">
                  <c:v>2.1489960489585458E-2</c:v>
                </c:pt>
                <c:pt idx="1918">
                  <c:v>2.1491794469548353E-2</c:v>
                </c:pt>
                <c:pt idx="1919">
                  <c:v>2.1493654791357453E-2</c:v>
                </c:pt>
                <c:pt idx="1920">
                  <c:v>2.1495541455027745E-2</c:v>
                </c:pt>
                <c:pt idx="1921">
                  <c:v>2.1497454460569221E-2</c:v>
                </c:pt>
                <c:pt idx="1922">
                  <c:v>2.1499393807999367E-2</c:v>
                </c:pt>
                <c:pt idx="1923">
                  <c:v>2.1501359497330674E-2</c:v>
                </c:pt>
                <c:pt idx="1924">
                  <c:v>2.1503351528575632E-2</c:v>
                </c:pt>
                <c:pt idx="1925">
                  <c:v>2.1505369901746729E-2</c:v>
                </c:pt>
                <c:pt idx="1926">
                  <c:v>2.1507414616861453E-2</c:v>
                </c:pt>
                <c:pt idx="1927">
                  <c:v>2.1509485673929796E-2</c:v>
                </c:pt>
                <c:pt idx="1928">
                  <c:v>2.1511583072976737E-2</c:v>
                </c:pt>
                <c:pt idx="1929">
                  <c:v>2.1513706814002276E-2</c:v>
                </c:pt>
                <c:pt idx="1930">
                  <c:v>2.1515856897033891E-2</c:v>
                </c:pt>
                <c:pt idx="1931">
                  <c:v>2.151803332207658E-2</c:v>
                </c:pt>
                <c:pt idx="1932">
                  <c:v>2.1520236089152822E-2</c:v>
                </c:pt>
                <c:pt idx="1933">
                  <c:v>2.1522465198275109E-2</c:v>
                </c:pt>
                <c:pt idx="1934">
                  <c:v>2.1524720649458429E-2</c:v>
                </c:pt>
                <c:pt idx="1935">
                  <c:v>2.1527002442720267E-2</c:v>
                </c:pt>
                <c:pt idx="1936">
                  <c:v>2.1526879800172167E-2</c:v>
                </c:pt>
                <c:pt idx="1937">
                  <c:v>2.1531645055544446E-2</c:v>
                </c:pt>
                <c:pt idx="1938">
                  <c:v>2.1534005875136764E-2</c:v>
                </c:pt>
                <c:pt idx="1939">
                  <c:v>2.153639303687005E-2</c:v>
                </c:pt>
                <c:pt idx="1940">
                  <c:v>2.1538806540766786E-2</c:v>
                </c:pt>
                <c:pt idx="1941">
                  <c:v>2.1538785250541169E-2</c:v>
                </c:pt>
                <c:pt idx="1942">
                  <c:v>2.1541245352803759E-2</c:v>
                </c:pt>
                <c:pt idx="1943">
                  <c:v>2.1543731792497897E-2</c:v>
                </c:pt>
                <c:pt idx="1944">
                  <c:v>2.1546244569642877E-2</c:v>
                </c:pt>
                <c:pt idx="1945">
                  <c:v>2.1551269193241795E-2</c:v>
                </c:pt>
                <c:pt idx="1946">
                  <c:v>2.1553840750453968E-2</c:v>
                </c:pt>
                <c:pt idx="1947">
                  <c:v>2.155727167940779E-2</c:v>
                </c:pt>
                <c:pt idx="1948">
                  <c:v>2.1559062891753356E-2</c:v>
                </c:pt>
                <c:pt idx="1949">
                  <c:v>2.1559203517640325E-2</c:v>
                </c:pt>
                <c:pt idx="1950">
                  <c:v>2.1564390402323552E-2</c:v>
                </c:pt>
                <c:pt idx="1951">
                  <c:v>2.1567093671132354E-2</c:v>
                </c:pt>
                <c:pt idx="1952">
                  <c:v>2.1569823282319434E-2</c:v>
                </c:pt>
                <c:pt idx="1953">
                  <c:v>2.1572579235897282E-2</c:v>
                </c:pt>
                <c:pt idx="1954">
                  <c:v>2.157536153189088E-2</c:v>
                </c:pt>
                <c:pt idx="1955">
                  <c:v>2.1578170170317712E-2</c:v>
                </c:pt>
                <c:pt idx="1956">
                  <c:v>2.1581005151195265E-2</c:v>
                </c:pt>
                <c:pt idx="1957">
                  <c:v>2.1583866474546021E-2</c:v>
                </c:pt>
                <c:pt idx="1958">
                  <c:v>2.1586754140389963E-2</c:v>
                </c:pt>
                <c:pt idx="1959">
                  <c:v>2.1589668148747077E-2</c:v>
                </c:pt>
                <c:pt idx="1960">
                  <c:v>2.1592608499637345E-2</c:v>
                </c:pt>
                <c:pt idx="1961">
                  <c:v>2.1595575193078254E-2</c:v>
                </c:pt>
                <c:pt idx="1962">
                  <c:v>2.1595978280839093E-2</c:v>
                </c:pt>
                <c:pt idx="1963">
                  <c:v>2.1601587607711914E-2</c:v>
                </c:pt>
                <c:pt idx="1964">
                  <c:v>2.1604633328944634E-2</c:v>
                </c:pt>
                <c:pt idx="1965">
                  <c:v>2.1607705392810428E-2</c:v>
                </c:pt>
                <c:pt idx="1966">
                  <c:v>2.1610803799341771E-2</c:v>
                </c:pt>
                <c:pt idx="1967">
                  <c:v>2.1613928548548655E-2</c:v>
                </c:pt>
                <c:pt idx="1968">
                  <c:v>2.1617079362475922E-2</c:v>
                </c:pt>
                <c:pt idx="1969">
                  <c:v>2.1620251293813508E-2</c:v>
                </c:pt>
                <c:pt idx="1970">
                  <c:v>2.1623435520783107E-2</c:v>
                </c:pt>
                <c:pt idx="1971">
                  <c:v>2.1626623104325227E-2</c:v>
                </c:pt>
                <c:pt idx="1972">
                  <c:v>2.1629805105367883E-2</c:v>
                </c:pt>
                <c:pt idx="1973">
                  <c:v>2.1632974074677347E-2</c:v>
                </c:pt>
                <c:pt idx="1974">
                  <c:v>2.1636128522392883E-2</c:v>
                </c:pt>
                <c:pt idx="1975">
                  <c:v>2.1639268448502003E-2</c:v>
                </c:pt>
                <c:pt idx="1976">
                  <c:v>2.1642393852992214E-2</c:v>
                </c:pt>
                <c:pt idx="1977">
                  <c:v>2.1645504735856025E-2</c:v>
                </c:pt>
                <c:pt idx="1978">
                  <c:v>2.1648601097078446E-2</c:v>
                </c:pt>
                <c:pt idx="1979">
                  <c:v>2.165168293664449E-2</c:v>
                </c:pt>
                <c:pt idx="1980">
                  <c:v>2.1654750254546662E-2</c:v>
                </c:pt>
                <c:pt idx="1981">
                  <c:v>2.1657803050769975E-2</c:v>
                </c:pt>
                <c:pt idx="1982">
                  <c:v>2.1660841325306934E-2</c:v>
                </c:pt>
                <c:pt idx="1983">
                  <c:v>2.1664731147640642E-2</c:v>
                </c:pt>
                <c:pt idx="1984">
                  <c:v>2.1666874309264339E-2</c:v>
                </c:pt>
                <c:pt idx="1985">
                  <c:v>2.16698690186648E-2</c:v>
                </c:pt>
                <c:pt idx="1986">
                  <c:v>2.1672849206328948E-2</c:v>
                </c:pt>
                <c:pt idx="1987">
                  <c:v>2.1675814872241794E-2</c:v>
                </c:pt>
                <c:pt idx="1988">
                  <c:v>2.1678766016400841E-2</c:v>
                </c:pt>
                <c:pt idx="1989">
                  <c:v>2.1681702638786104E-2</c:v>
                </c:pt>
                <c:pt idx="1990">
                  <c:v>2.1684624739392588E-2</c:v>
                </c:pt>
                <c:pt idx="1991">
                  <c:v>2.1687532318205305E-2</c:v>
                </c:pt>
                <c:pt idx="1992">
                  <c:v>2.1690425375211764E-2</c:v>
                </c:pt>
                <c:pt idx="1993">
                  <c:v>2.1689873561625866E-2</c:v>
                </c:pt>
                <c:pt idx="1994">
                  <c:v>2.1692741033482968E-2</c:v>
                </c:pt>
                <c:pt idx="1995">
                  <c:v>2.1695593986916464E-2</c:v>
                </c:pt>
                <c:pt idx="1996">
                  <c:v>2.1698432421909226E-2</c:v>
                </c:pt>
                <c:pt idx="1997">
                  <c:v>2.1704672832805472E-2</c:v>
                </c:pt>
                <c:pt idx="1998">
                  <c:v>2.1708331893025672E-2</c:v>
                </c:pt>
                <c:pt idx="1999">
                  <c:v>2.1710270162832446E-2</c:v>
                </c:pt>
                <c:pt idx="2000">
                  <c:v>2.1713047045009148E-2</c:v>
                </c:pt>
                <c:pt idx="2001">
                  <c:v>2.1713257539551892E-2</c:v>
                </c:pt>
                <c:pt idx="2002">
                  <c:v>2.1718557243649017E-2</c:v>
                </c:pt>
                <c:pt idx="2003">
                  <c:v>2.1721290560089701E-2</c:v>
                </c:pt>
                <c:pt idx="2004">
                  <c:v>2.1724009354591733E-2</c:v>
                </c:pt>
                <c:pt idx="2005">
                  <c:v>2.1726713627152616E-2</c:v>
                </c:pt>
                <c:pt idx="2006">
                  <c:v>2.1729403377757361E-2</c:v>
                </c:pt>
                <c:pt idx="2007">
                  <c:v>2.1732078606395977E-2</c:v>
                </c:pt>
                <c:pt idx="2008">
                  <c:v>2.1734739313055973E-2</c:v>
                </c:pt>
                <c:pt idx="2009">
                  <c:v>2.1737385497737349E-2</c:v>
                </c:pt>
                <c:pt idx="2010">
                  <c:v>2.1740017160415126E-2</c:v>
                </c:pt>
                <c:pt idx="2011">
                  <c:v>2.1742634301084307E-2</c:v>
                </c:pt>
                <c:pt idx="2012">
                  <c:v>2.1745236919739896E-2</c:v>
                </c:pt>
                <c:pt idx="2013">
                  <c:v>2.1747825016371902E-2</c:v>
                </c:pt>
                <c:pt idx="2014">
                  <c:v>2.175039859096034E-2</c:v>
                </c:pt>
                <c:pt idx="2015">
                  <c:v>2.1752957643507709E-2</c:v>
                </c:pt>
                <c:pt idx="2016">
                  <c:v>2.1755502173994024E-2</c:v>
                </c:pt>
                <c:pt idx="2017">
                  <c:v>2.1758032182416787E-2</c:v>
                </c:pt>
                <c:pt idx="2018">
                  <c:v>2.176054766876101E-2</c:v>
                </c:pt>
                <c:pt idx="2019">
                  <c:v>2.1763048633016702E-2</c:v>
                </c:pt>
                <c:pt idx="2020">
                  <c:v>2.1765535075181364E-2</c:v>
                </c:pt>
                <c:pt idx="2021">
                  <c:v>2.176800699523751E-2</c:v>
                </c:pt>
                <c:pt idx="2022">
                  <c:v>2.1770464393180144E-2</c:v>
                </c:pt>
                <c:pt idx="2023">
                  <c:v>2.1770413516736135E-2</c:v>
                </c:pt>
                <c:pt idx="2024">
                  <c:v>2.1775335622682412E-2</c:v>
                </c:pt>
                <c:pt idx="2025">
                  <c:v>2.1777749454222062E-2</c:v>
                </c:pt>
                <c:pt idx="2026">
                  <c:v>2.1780148763608231E-2</c:v>
                </c:pt>
                <c:pt idx="2027">
                  <c:v>2.1782533550833427E-2</c:v>
                </c:pt>
                <c:pt idx="2028">
                  <c:v>2.1784903815890155E-2</c:v>
                </c:pt>
                <c:pt idx="2029">
                  <c:v>2.1787259558765926E-2</c:v>
                </c:pt>
                <c:pt idx="2030">
                  <c:v>2.1789600779448248E-2</c:v>
                </c:pt>
                <c:pt idx="2031">
                  <c:v>2.1791927477937123E-2</c:v>
                </c:pt>
                <c:pt idx="2032">
                  <c:v>2.1794239654212566E-2</c:v>
                </c:pt>
                <c:pt idx="2033">
                  <c:v>2.1796537308274577E-2</c:v>
                </c:pt>
                <c:pt idx="2034">
                  <c:v>2.1798820440113165E-2</c:v>
                </c:pt>
                <c:pt idx="2035">
                  <c:v>2.1802729804330217E-2</c:v>
                </c:pt>
                <c:pt idx="2036">
                  <c:v>2.1800884311963826E-2</c:v>
                </c:pt>
                <c:pt idx="2037">
                  <c:v>2.1805582702183468E-2</c:v>
                </c:pt>
                <c:pt idx="2038">
                  <c:v>2.1807807745030938E-2</c:v>
                </c:pt>
                <c:pt idx="2039">
                  <c:v>2.1810018265610021E-2</c:v>
                </c:pt>
                <c:pt idx="2040">
                  <c:v>2.181334255329969E-2</c:v>
                </c:pt>
                <c:pt idx="2041">
                  <c:v>2.1813891285023909E-2</c:v>
                </c:pt>
                <c:pt idx="2042">
                  <c:v>2.1816057070319531E-2</c:v>
                </c:pt>
                <c:pt idx="2043">
                  <c:v>2.1818208334175616E-2</c:v>
                </c:pt>
                <c:pt idx="2044">
                  <c:v>2.1820345076584435E-2</c:v>
                </c:pt>
                <c:pt idx="2045">
                  <c:v>2.1820033137580311E-2</c:v>
                </c:pt>
                <c:pt idx="2046">
                  <c:v>2.1822143565341432E-2</c:v>
                </c:pt>
                <c:pt idx="2047">
                  <c:v>2.1824239474242151E-2</c:v>
                </c:pt>
                <c:pt idx="2048">
                  <c:v>2.1829555378947152E-2</c:v>
                </c:pt>
                <c:pt idx="2049">
                  <c:v>2.1830810966687382E-2</c:v>
                </c:pt>
                <c:pt idx="2050">
                  <c:v>2.1832860580260439E-2</c:v>
                </c:pt>
                <c:pt idx="2051">
                  <c:v>2.1834895672337231E-2</c:v>
                </c:pt>
                <c:pt idx="2052">
                  <c:v>2.1838064334794814E-2</c:v>
                </c:pt>
                <c:pt idx="2053">
                  <c:v>2.183892229195819E-2</c:v>
                </c:pt>
                <c:pt idx="2054">
                  <c:v>2.1840913819486888E-2</c:v>
                </c:pt>
                <c:pt idx="2055">
                  <c:v>2.1842890825485798E-2</c:v>
                </c:pt>
                <c:pt idx="2056">
                  <c:v>2.1844853309947187E-2</c:v>
                </c:pt>
                <c:pt idx="2057">
                  <c:v>2.1846801272865896E-2</c:v>
                </c:pt>
                <c:pt idx="2058">
                  <c:v>2.1848734714231616E-2</c:v>
                </c:pt>
                <c:pt idx="2059">
                  <c:v>2.1850653634036606E-2</c:v>
                </c:pt>
                <c:pt idx="2060">
                  <c:v>2.1852558032275711E-2</c:v>
                </c:pt>
                <c:pt idx="2061">
                  <c:v>2.1854447908941196E-2</c:v>
                </c:pt>
                <c:pt idx="2062">
                  <c:v>2.1856323264025323E-2</c:v>
                </c:pt>
                <c:pt idx="2063">
                  <c:v>2.1858184097525515E-2</c:v>
                </c:pt>
                <c:pt idx="2064">
                  <c:v>2.1860030409426301E-2</c:v>
                </c:pt>
                <c:pt idx="2065">
                  <c:v>2.18618621997251E-2</c:v>
                </c:pt>
                <c:pt idx="2066">
                  <c:v>2.1864471461979507E-2</c:v>
                </c:pt>
                <c:pt idx="2067">
                  <c:v>2.1865482215493538E-2</c:v>
                </c:pt>
                <c:pt idx="2068">
                  <c:v>2.1867270440950281E-2</c:v>
                </c:pt>
                <c:pt idx="2069">
                  <c:v>2.1869044144774096E-2</c:v>
                </c:pt>
                <c:pt idx="2070">
                  <c:v>2.1870803326964984E-2</c:v>
                </c:pt>
                <c:pt idx="2071">
                  <c:v>2.1872547987512626E-2</c:v>
                </c:pt>
                <c:pt idx="2072">
                  <c:v>2.1874278126414449E-2</c:v>
                </c:pt>
                <c:pt idx="2073">
                  <c:v>2.1875993743654981E-2</c:v>
                </c:pt>
                <c:pt idx="2074">
                  <c:v>2.1877694839244531E-2</c:v>
                </c:pt>
                <c:pt idx="2075">
                  <c:v>2.1877030236495201E-2</c:v>
                </c:pt>
                <c:pt idx="2076">
                  <c:v>2.1881053465398499E-2</c:v>
                </c:pt>
                <c:pt idx="2077">
                  <c:v>2.1882710995957757E-2</c:v>
                </c:pt>
                <c:pt idx="2078">
                  <c:v>2.1884354004835096E-2</c:v>
                </c:pt>
                <c:pt idx="2079">
                  <c:v>2.188754215876559E-2</c:v>
                </c:pt>
                <c:pt idx="2080">
                  <c:v>2.1887596457500168E-2</c:v>
                </c:pt>
                <c:pt idx="2081">
                  <c:v>2.1889195901277591E-2</c:v>
                </c:pt>
                <c:pt idx="2082">
                  <c:v>2.189078082334215E-2</c:v>
                </c:pt>
                <c:pt idx="2083">
                  <c:v>2.1892351223693842E-2</c:v>
                </c:pt>
                <c:pt idx="2084">
                  <c:v>2.1893907102322356E-2</c:v>
                </c:pt>
                <c:pt idx="2085">
                  <c:v>2.1895448459219959E-2</c:v>
                </c:pt>
                <c:pt idx="2086">
                  <c:v>2.1896975294386643E-2</c:v>
                </c:pt>
                <c:pt idx="2087">
                  <c:v>2.1898487607809523E-2</c:v>
                </c:pt>
                <c:pt idx="2088">
                  <c:v>2.1899985399491173E-2</c:v>
                </c:pt>
                <c:pt idx="2089">
                  <c:v>2.1901468669418698E-2</c:v>
                </c:pt>
                <c:pt idx="2090">
                  <c:v>2.1902937417586948E-2</c:v>
                </c:pt>
                <c:pt idx="2091">
                  <c:v>2.1904391643995918E-2</c:v>
                </c:pt>
                <c:pt idx="2092">
                  <c:v>2.190644391947064E-2</c:v>
                </c:pt>
                <c:pt idx="2093">
                  <c:v>2.1907862878722675E-2</c:v>
                </c:pt>
                <c:pt idx="2094">
                  <c:v>2.1909267316189644E-2</c:v>
                </c:pt>
                <c:pt idx="2095">
                  <c:v>2.1910657231871546E-2</c:v>
                </c:pt>
                <c:pt idx="2096">
                  <c:v>2.1912032625765805E-2</c:v>
                </c:pt>
                <c:pt idx="2097">
                  <c:v>2.1911105902055868E-2</c:v>
                </c:pt>
                <c:pt idx="2098">
                  <c:v>2.1912455117991985E-2</c:v>
                </c:pt>
                <c:pt idx="2099">
                  <c:v>2.1913789814750815E-2</c:v>
                </c:pt>
                <c:pt idx="2100">
                  <c:v>2.1915109992332354E-2</c:v>
                </c:pt>
                <c:pt idx="2101">
                  <c:v>2.1918691768172332E-2</c:v>
                </c:pt>
                <c:pt idx="2102">
                  <c:v>2.1919980031209225E-2</c:v>
                </c:pt>
                <c:pt idx="2103">
                  <c:v>2.1921253772419796E-2</c:v>
                </c:pt>
                <c:pt idx="2104">
                  <c:v>2.1922512991804043E-2</c:v>
                </c:pt>
                <c:pt idx="2105">
                  <c:v>2.1923757689343921E-2</c:v>
                </c:pt>
                <c:pt idx="2106">
                  <c:v>2.1924234022830724E-2</c:v>
                </c:pt>
                <c:pt idx="2107">
                  <c:v>2.19257955777028E-2</c:v>
                </c:pt>
                <c:pt idx="2108">
                  <c:v>2.1926652736068419E-2</c:v>
                </c:pt>
                <c:pt idx="2109">
                  <c:v>2.1927840311229296E-2</c:v>
                </c:pt>
                <c:pt idx="2110">
                  <c:v>2.1929763349369982E-2</c:v>
                </c:pt>
                <c:pt idx="2111">
                  <c:v>2.1930920915807523E-2</c:v>
                </c:pt>
                <c:pt idx="2112">
                  <c:v>2.1932063960377488E-2</c:v>
                </c:pt>
                <c:pt idx="2113">
                  <c:v>2.1933192483072135E-2</c:v>
                </c:pt>
                <c:pt idx="2114">
                  <c:v>2.1933560372278116E-2</c:v>
                </c:pt>
                <c:pt idx="2115">
                  <c:v>2.1934660821508523E-2</c:v>
                </c:pt>
                <c:pt idx="2116">
                  <c:v>2.1935746749735863E-2</c:v>
                </c:pt>
                <c:pt idx="2117">
                  <c:v>2.1936818156957472E-2</c:v>
                </c:pt>
                <c:pt idx="2118">
                  <c:v>2.1938617268338293E-2</c:v>
                </c:pt>
                <c:pt idx="2119">
                  <c:v>2.1939658659719162E-2</c:v>
                </c:pt>
                <c:pt idx="2120">
                  <c:v>2.1940685529198933E-2</c:v>
                </c:pt>
                <c:pt idx="2121">
                  <c:v>2.1941697876777602E-2</c:v>
                </c:pt>
                <c:pt idx="2122">
                  <c:v>2.1942695702447435E-2</c:v>
                </c:pt>
                <c:pt idx="2123">
                  <c:v>2.194367900620843E-2</c:v>
                </c:pt>
                <c:pt idx="2124">
                  <c:v>2.1944647788050275E-2</c:v>
                </c:pt>
                <c:pt idx="2125">
                  <c:v>2.1945602047978126E-2</c:v>
                </c:pt>
                <c:pt idx="2126">
                  <c:v>2.1946541785979091E-2</c:v>
                </c:pt>
                <c:pt idx="2127">
                  <c:v>2.194673357294441E-2</c:v>
                </c:pt>
                <c:pt idx="2128">
                  <c:v>2.1947645248841852E-2</c:v>
                </c:pt>
                <c:pt idx="2129">
                  <c:v>2.1948542403690929E-2</c:v>
                </c:pt>
                <c:pt idx="2130">
                  <c:v>2.1949425037486314E-2</c:v>
                </c:pt>
                <c:pt idx="2131">
                  <c:v>2.1951022647047087E-2</c:v>
                </c:pt>
                <c:pt idx="2132">
                  <c:v>2.1951875253445472E-2</c:v>
                </c:pt>
                <c:pt idx="2133">
                  <c:v>2.1952713337898923E-2</c:v>
                </c:pt>
                <c:pt idx="2134">
                  <c:v>2.1953536900402276E-2</c:v>
                </c:pt>
                <c:pt idx="2135">
                  <c:v>2.1954345940958117E-2</c:v>
                </c:pt>
                <c:pt idx="2136">
                  <c:v>2.1954415897968538E-2</c:v>
                </c:pt>
                <c:pt idx="2137">
                  <c:v>2.1955196884302808E-2</c:v>
                </c:pt>
                <c:pt idx="2138">
                  <c:v>2.1955963349564733E-2</c:v>
                </c:pt>
                <c:pt idx="2139">
                  <c:v>2.1958158408220407E-2</c:v>
                </c:pt>
                <c:pt idx="2140">
                  <c:v>2.1958173314341502E-2</c:v>
                </c:pt>
                <c:pt idx="2141">
                  <c:v>2.1958895223121999E-2</c:v>
                </c:pt>
                <c:pt idx="2142">
                  <c:v>2.1959602609931773E-2</c:v>
                </c:pt>
                <c:pt idx="2143">
                  <c:v>2.1960295474763088E-2</c:v>
                </c:pt>
                <c:pt idx="2144">
                  <c:v>2.1961069538275729E-2</c:v>
                </c:pt>
                <c:pt idx="2145">
                  <c:v>2.1961731284582515E-2</c:v>
                </c:pt>
                <c:pt idx="2146">
                  <c:v>2.1962378508910838E-2</c:v>
                </c:pt>
                <c:pt idx="2147">
                  <c:v>2.1963011211255549E-2</c:v>
                </c:pt>
                <c:pt idx="2148">
                  <c:v>2.1963629391603751E-2</c:v>
                </c:pt>
                <c:pt idx="2149">
                  <c:v>2.1962810016235127E-2</c:v>
                </c:pt>
                <c:pt idx="2150">
                  <c:v>2.1963401155102636E-2</c:v>
                </c:pt>
                <c:pt idx="2151">
                  <c:v>2.1963977773753397E-2</c:v>
                </c:pt>
                <c:pt idx="2152">
                  <c:v>2.196453987217362E-2</c:v>
                </c:pt>
                <c:pt idx="2153">
                  <c:v>2.1969331685951943E-2</c:v>
                </c:pt>
                <c:pt idx="2154">
                  <c:v>2.1967033511872E-2</c:v>
                </c:pt>
                <c:pt idx="2155">
                  <c:v>2.1967550038252376E-2</c:v>
                </c:pt>
                <c:pt idx="2156">
                  <c:v>2.1968052042631088E-2</c:v>
                </c:pt>
                <c:pt idx="2157">
                  <c:v>2.1967836076627556E-2</c:v>
                </c:pt>
                <c:pt idx="2158">
                  <c:v>2.196984703367294E-2</c:v>
                </c:pt>
                <c:pt idx="2159">
                  <c:v>2.1970300313226832E-2</c:v>
                </c:pt>
                <c:pt idx="2160">
                  <c:v>2.1970739069887835E-2</c:v>
                </c:pt>
                <c:pt idx="2161">
                  <c:v>2.1969065942233048E-2</c:v>
                </c:pt>
                <c:pt idx="2162">
                  <c:v>2.1971573014506196E-2</c:v>
                </c:pt>
                <c:pt idx="2163">
                  <c:v>2.1971968202466052E-2</c:v>
                </c:pt>
                <c:pt idx="2164">
                  <c:v>2.197234886752053E-2</c:v>
                </c:pt>
                <c:pt idx="2165">
                  <c:v>2.1972715009672128E-2</c:v>
                </c:pt>
                <c:pt idx="2166">
                  <c:v>2.1973066628913351E-2</c:v>
                </c:pt>
                <c:pt idx="2167">
                  <c:v>2.1973403725249196E-2</c:v>
                </c:pt>
                <c:pt idx="2168">
                  <c:v>2.1973726298679663E-2</c:v>
                </c:pt>
                <c:pt idx="2169">
                  <c:v>2.1974034349192262E-2</c:v>
                </c:pt>
                <c:pt idx="2170">
                  <c:v>2.197432787680198E-2</c:v>
                </c:pt>
                <c:pt idx="2171">
                  <c:v>2.197460688149383E-2</c:v>
                </c:pt>
                <c:pt idx="2172">
                  <c:v>2.197487136327031E-2</c:v>
                </c:pt>
                <c:pt idx="2173">
                  <c:v>2.1975121322133917E-2</c:v>
                </c:pt>
                <c:pt idx="2174">
                  <c:v>2.197535675808715E-2</c:v>
                </c:pt>
                <c:pt idx="2175">
                  <c:v>2.1975577671120017E-2</c:v>
                </c:pt>
                <c:pt idx="2176">
                  <c:v>2.1975784061235015E-2</c:v>
                </c:pt>
                <c:pt idx="2177">
                  <c:v>2.1975975928429647E-2</c:v>
                </c:pt>
                <c:pt idx="2178">
                  <c:v>2.1976153272711407E-2</c:v>
                </c:pt>
                <c:pt idx="2179">
                  <c:v>2.1976316094070303E-2</c:v>
                </c:pt>
                <c:pt idx="2180">
                  <c:v>2.1976464392506334E-2</c:v>
                </c:pt>
                <c:pt idx="2181">
                  <c:v>2.1976598168024497E-2</c:v>
                </c:pt>
                <c:pt idx="2182">
                  <c:v>2.1976717420622294E-2</c:v>
                </c:pt>
                <c:pt idx="2183">
                  <c:v>2.1976822150299724E-2</c:v>
                </c:pt>
                <c:pt idx="2184">
                  <c:v>2.1976912357049294E-2</c:v>
                </c:pt>
                <c:pt idx="2185">
                  <c:v>2.1976988040883494E-2</c:v>
                </c:pt>
                <c:pt idx="2186">
                  <c:v>2.1977049201789833E-2</c:v>
                </c:pt>
                <c:pt idx="2187">
                  <c:v>2.197709583977081E-2</c:v>
                </c:pt>
                <c:pt idx="2188">
                  <c:v>2.1977127954833919E-2</c:v>
                </c:pt>
                <c:pt idx="2189">
                  <c:v>2.1977145546974164E-2</c:v>
                </c:pt>
                <c:pt idx="2190">
                  <c:v>2.1977148616186548E-2</c:v>
                </c:pt>
                <c:pt idx="2191">
                  <c:v>2.1977137162476068E-2</c:v>
                </c:pt>
                <c:pt idx="2192">
                  <c:v>2.197711118584772E-2</c:v>
                </c:pt>
                <c:pt idx="2193">
                  <c:v>2.1977070686291511E-2</c:v>
                </c:pt>
                <c:pt idx="2194">
                  <c:v>2.197701566380994E-2</c:v>
                </c:pt>
                <c:pt idx="2195">
                  <c:v>2.1976946118410501E-2</c:v>
                </c:pt>
                <c:pt idx="2196">
                  <c:v>2.1974872548207024E-2</c:v>
                </c:pt>
                <c:pt idx="2197">
                  <c:v>2.1976763458840531E-2</c:v>
                </c:pt>
                <c:pt idx="2198">
                  <c:v>2.1976650344674997E-2</c:v>
                </c:pt>
                <c:pt idx="2199">
                  <c:v>2.1976522707584101E-2</c:v>
                </c:pt>
                <c:pt idx="2200">
                  <c:v>2.1974403579720914E-2</c:v>
                </c:pt>
                <c:pt idx="2201">
                  <c:v>2.1973591948327389E-2</c:v>
                </c:pt>
                <c:pt idx="2202">
                  <c:v>2.1973424932626121E-2</c:v>
                </c:pt>
                <c:pt idx="2203">
                  <c:v>2.1973243397550579E-2</c:v>
                </c:pt>
                <c:pt idx="2204">
                  <c:v>2.1973047343097907E-2</c:v>
                </c:pt>
                <c:pt idx="2205">
                  <c:v>2.1975451903726018E-2</c:v>
                </c:pt>
                <c:pt idx="2206">
                  <c:v>2.1975222606205047E-2</c:v>
                </c:pt>
                <c:pt idx="2207">
                  <c:v>2.1975630281813548E-2</c:v>
                </c:pt>
                <c:pt idx="2208">
                  <c:v>2.1974720442411999E-2</c:v>
                </c:pt>
                <c:pt idx="2209">
                  <c:v>2.197444757614242E-2</c:v>
                </c:pt>
                <c:pt idx="2210">
                  <c:v>2.1974160186964964E-2</c:v>
                </c:pt>
                <c:pt idx="2211">
                  <c:v>2.1973858274872138E-2</c:v>
                </c:pt>
                <c:pt idx="2212">
                  <c:v>2.1973541839866439E-2</c:v>
                </c:pt>
                <c:pt idx="2213">
                  <c:v>2.1973210881955363E-2</c:v>
                </c:pt>
                <c:pt idx="2214">
                  <c:v>2.1972865401133912E-2</c:v>
                </c:pt>
                <c:pt idx="2215">
                  <c:v>2.1972505397407083E-2</c:v>
                </c:pt>
                <c:pt idx="2216">
                  <c:v>2.1972130870772377E-2</c:v>
                </c:pt>
                <c:pt idx="2217">
                  <c:v>2.1971741821234791E-2</c:v>
                </c:pt>
                <c:pt idx="2218">
                  <c:v>2.1971338248796823E-2</c:v>
                </c:pt>
                <c:pt idx="2219">
                  <c:v>2.1970920153453477E-2</c:v>
                </c:pt>
                <c:pt idx="2220">
                  <c:v>2.1970487535214744E-2</c:v>
                </c:pt>
                <c:pt idx="2221">
                  <c:v>2.1970040394075629E-2</c:v>
                </c:pt>
                <c:pt idx="2222">
                  <c:v>2.1969578730043626E-2</c:v>
                </c:pt>
                <c:pt idx="2223">
                  <c:v>2.1969102543113739E-2</c:v>
                </c:pt>
                <c:pt idx="2224">
                  <c:v>2.1968611833293461E-2</c:v>
                </c:pt>
                <c:pt idx="2225">
                  <c:v>2.1968106600585291E-2</c:v>
                </c:pt>
                <c:pt idx="2226">
                  <c:v>2.1967586844986731E-2</c:v>
                </c:pt>
                <c:pt idx="2227">
                  <c:v>2.1967052566500278E-2</c:v>
                </c:pt>
                <c:pt idx="2228">
                  <c:v>2.1966503765128431E-2</c:v>
                </c:pt>
                <c:pt idx="2229">
                  <c:v>2.1965940440881182E-2</c:v>
                </c:pt>
                <c:pt idx="2230">
                  <c:v>2.1965362593746041E-2</c:v>
                </c:pt>
                <c:pt idx="2231">
                  <c:v>2.1964770223735497E-2</c:v>
                </c:pt>
                <c:pt idx="2232">
                  <c:v>2.1964163330852049E-2</c:v>
                </c:pt>
                <c:pt idx="2233">
                  <c:v>2.1963541915093199E-2</c:v>
                </c:pt>
                <c:pt idx="2234">
                  <c:v>2.1962905976461444E-2</c:v>
                </c:pt>
                <c:pt idx="2235">
                  <c:v>2.1960390032162682E-2</c:v>
                </c:pt>
                <c:pt idx="2236">
                  <c:v>2.1961590530601705E-2</c:v>
                </c:pt>
                <c:pt idx="2237">
                  <c:v>2.1960911023378715E-2</c:v>
                </c:pt>
                <c:pt idx="2238">
                  <c:v>2.196021699328532E-2</c:v>
                </c:pt>
                <c:pt idx="2239">
                  <c:v>2.1959508440341502E-2</c:v>
                </c:pt>
                <c:pt idx="2240">
                  <c:v>2.1958785364544764E-2</c:v>
                </c:pt>
                <c:pt idx="2241">
                  <c:v>2.1958047765885114E-2</c:v>
                </c:pt>
                <c:pt idx="2242">
                  <c:v>2.1957295644385033E-2</c:v>
                </c:pt>
                <c:pt idx="2243">
                  <c:v>2.1956529000037028E-2</c:v>
                </c:pt>
                <c:pt idx="2244">
                  <c:v>2.1955747832846095E-2</c:v>
                </c:pt>
                <c:pt idx="2245">
                  <c:v>2.1954952142809736E-2</c:v>
                </c:pt>
                <c:pt idx="2246">
                  <c:v>2.1954141929940441E-2</c:v>
                </c:pt>
                <c:pt idx="2247">
                  <c:v>2.1953317194233213E-2</c:v>
                </c:pt>
                <c:pt idx="2248">
                  <c:v>2.1952477935695547E-2</c:v>
                </c:pt>
                <c:pt idx="2249">
                  <c:v>2.1951624154332439E-2</c:v>
                </c:pt>
                <c:pt idx="2250">
                  <c:v>2.195075585014139E-2</c:v>
                </c:pt>
                <c:pt idx="2251">
                  <c:v>2.1949873023129896E-2</c:v>
                </c:pt>
                <c:pt idx="2252">
                  <c:v>2.1948975673300453E-2</c:v>
                </c:pt>
                <c:pt idx="2253">
                  <c:v>2.1945654464455368E-2</c:v>
                </c:pt>
                <c:pt idx="2254">
                  <c:v>2.1944732443030444E-2</c:v>
                </c:pt>
                <c:pt idx="2255">
                  <c:v>2.1943795902331167E-2</c:v>
                </c:pt>
                <c:pt idx="2256">
                  <c:v>2.1942844842346113E-2</c:v>
                </c:pt>
                <c:pt idx="2257">
                  <c:v>2.1944271082011413E-2</c:v>
                </c:pt>
                <c:pt idx="2258">
                  <c:v>2.1943883252129644E-2</c:v>
                </c:pt>
                <c:pt idx="2259">
                  <c:v>2.1942287585891562E-2</c:v>
                </c:pt>
                <c:pt idx="2260">
                  <c:v>2.1941274053645932E-2</c:v>
                </c:pt>
                <c:pt idx="2261">
                  <c:v>2.1938465435800823E-2</c:v>
                </c:pt>
                <c:pt idx="2262">
                  <c:v>2.1939203420813236E-2</c:v>
                </c:pt>
                <c:pt idx="2263">
                  <c:v>2.1938146320226171E-2</c:v>
                </c:pt>
                <c:pt idx="2264">
                  <c:v>2.1937074696868619E-2</c:v>
                </c:pt>
                <c:pt idx="2265">
                  <c:v>2.193598855074308E-2</c:v>
                </c:pt>
                <c:pt idx="2266">
                  <c:v>2.1934887881849552E-2</c:v>
                </c:pt>
                <c:pt idx="2267">
                  <c:v>2.1933772690198028E-2</c:v>
                </c:pt>
                <c:pt idx="2268">
                  <c:v>2.1932642975793504E-2</c:v>
                </c:pt>
                <c:pt idx="2269">
                  <c:v>2.1931498738635979E-2</c:v>
                </c:pt>
                <c:pt idx="2270">
                  <c:v>2.1930339978725455E-2</c:v>
                </c:pt>
                <c:pt idx="2271">
                  <c:v>2.1929166696079416E-2</c:v>
                </c:pt>
                <c:pt idx="2272">
                  <c:v>2.1927978890697863E-2</c:v>
                </c:pt>
                <c:pt idx="2273">
                  <c:v>2.1926776562578298E-2</c:v>
                </c:pt>
                <c:pt idx="2274">
                  <c:v>2.1923822279207344E-2</c:v>
                </c:pt>
                <c:pt idx="2275">
                  <c:v>2.1924328338157606E-2</c:v>
                </c:pt>
                <c:pt idx="2276">
                  <c:v>2.192308244186647E-2</c:v>
                </c:pt>
                <c:pt idx="2277">
                  <c:v>2.1921822022859805E-2</c:v>
                </c:pt>
                <c:pt idx="2278">
                  <c:v>2.1920547081145103E-2</c:v>
                </c:pt>
                <c:pt idx="2279">
                  <c:v>2.1919257616727361E-2</c:v>
                </c:pt>
                <c:pt idx="2280">
                  <c:v>2.1917953629609077E-2</c:v>
                </c:pt>
                <c:pt idx="2281">
                  <c:v>2.1916635119790251E-2</c:v>
                </c:pt>
                <c:pt idx="2282">
                  <c:v>2.1915302087290867E-2</c:v>
                </c:pt>
                <c:pt idx="2283">
                  <c:v>2.1913954532105928E-2</c:v>
                </c:pt>
                <c:pt idx="2284">
                  <c:v>2.1912592454237934E-2</c:v>
                </c:pt>
                <c:pt idx="2285">
                  <c:v>2.1911215853694377E-2</c:v>
                </c:pt>
                <c:pt idx="2286">
                  <c:v>2.1909824730490246E-2</c:v>
                </c:pt>
                <c:pt idx="2287">
                  <c:v>2.1908419084613051E-2</c:v>
                </c:pt>
                <c:pt idx="2288">
                  <c:v>2.1906998916082776E-2</c:v>
                </c:pt>
                <c:pt idx="2289">
                  <c:v>2.1905564224901919E-2</c:v>
                </c:pt>
                <c:pt idx="2290">
                  <c:v>2.1904115011075476E-2</c:v>
                </c:pt>
                <c:pt idx="2291">
                  <c:v>2.1902651274603446E-2</c:v>
                </c:pt>
                <c:pt idx="2292">
                  <c:v>2.1901173015498321E-2</c:v>
                </c:pt>
                <c:pt idx="2293">
                  <c:v>2.1899680233762597E-2</c:v>
                </c:pt>
                <c:pt idx="2294">
                  <c:v>2.189817292940377E-2</c:v>
                </c:pt>
                <c:pt idx="2295">
                  <c:v>2.1897206538542043E-2</c:v>
                </c:pt>
                <c:pt idx="2296">
                  <c:v>2.1895114752834288E-2</c:v>
                </c:pt>
                <c:pt idx="2297">
                  <c:v>2.189356388064112E-2</c:v>
                </c:pt>
                <c:pt idx="2298">
                  <c:v>2.1891998485844832E-2</c:v>
                </c:pt>
                <c:pt idx="2299">
                  <c:v>2.1890418568455416E-2</c:v>
                </c:pt>
                <c:pt idx="2300">
                  <c:v>2.1888824128472872E-2</c:v>
                </c:pt>
                <c:pt idx="2301">
                  <c:v>2.1887215165914686E-2</c:v>
                </c:pt>
                <c:pt idx="2302">
                  <c:v>2.188559168077836E-2</c:v>
                </c:pt>
                <c:pt idx="2303">
                  <c:v>2.1883953673071388E-2</c:v>
                </c:pt>
                <c:pt idx="2304">
                  <c:v>2.1882301142803762E-2</c:v>
                </c:pt>
                <c:pt idx="2305">
                  <c:v>2.1878456867976719E-2</c:v>
                </c:pt>
                <c:pt idx="2306">
                  <c:v>2.1876779849261396E-2</c:v>
                </c:pt>
                <c:pt idx="2307">
                  <c:v>2.1875088311494397E-2</c:v>
                </c:pt>
                <c:pt idx="2308">
                  <c:v>2.1873382254681432E-2</c:v>
                </c:pt>
                <c:pt idx="2309">
                  <c:v>2.1874360179301243E-2</c:v>
                </c:pt>
                <c:pt idx="2310">
                  <c:v>2.1872080987721532E-2</c:v>
                </c:pt>
                <c:pt idx="2311">
                  <c:v>2.1870326799691697E-2</c:v>
                </c:pt>
                <c:pt idx="2312">
                  <c:v>2.1868558089153667E-2</c:v>
                </c:pt>
                <c:pt idx="2313">
                  <c:v>2.1865169484164473E-2</c:v>
                </c:pt>
                <c:pt idx="2314">
                  <c:v>2.1864977100570504E-2</c:v>
                </c:pt>
                <c:pt idx="2315">
                  <c:v>2.1863164822542858E-2</c:v>
                </c:pt>
                <c:pt idx="2316">
                  <c:v>2.1861338022026999E-2</c:v>
                </c:pt>
                <c:pt idx="2317">
                  <c:v>2.1859496699037917E-2</c:v>
                </c:pt>
                <c:pt idx="2318">
                  <c:v>2.1857640853578109E-2</c:v>
                </c:pt>
                <c:pt idx="2319">
                  <c:v>2.1855770485662562E-2</c:v>
                </c:pt>
                <c:pt idx="2320">
                  <c:v>2.185388559528878E-2</c:v>
                </c:pt>
                <c:pt idx="2321">
                  <c:v>2.1851986182466754E-2</c:v>
                </c:pt>
                <c:pt idx="2322">
                  <c:v>2.1850072247208974E-2</c:v>
                </c:pt>
                <c:pt idx="2323">
                  <c:v>2.184814378951544E-2</c:v>
                </c:pt>
                <c:pt idx="2324">
                  <c:v>2.1846200809398642E-2</c:v>
                </c:pt>
                <c:pt idx="2325">
                  <c:v>2.1844243306866074E-2</c:v>
                </c:pt>
                <c:pt idx="2326">
                  <c:v>2.1842271281922732E-2</c:v>
                </c:pt>
                <c:pt idx="2327">
                  <c:v>2.1840284734578608E-2</c:v>
                </c:pt>
                <c:pt idx="2328">
                  <c:v>2.18382836648362E-2</c:v>
                </c:pt>
                <c:pt idx="2329">
                  <c:v>2.1836268072710496E-2</c:v>
                </c:pt>
                <c:pt idx="2330">
                  <c:v>2.1834237958201497E-2</c:v>
                </c:pt>
                <c:pt idx="2331">
                  <c:v>2.1832193321326687E-2</c:v>
                </c:pt>
                <c:pt idx="2332">
                  <c:v>2.1830134162086068E-2</c:v>
                </c:pt>
                <c:pt idx="2333">
                  <c:v>2.1828060480492129E-2</c:v>
                </c:pt>
                <c:pt idx="2334">
                  <c:v>2.1825972276552363E-2</c:v>
                </c:pt>
                <c:pt idx="2335">
                  <c:v>2.1822340431220302E-2</c:v>
                </c:pt>
                <c:pt idx="2336">
                  <c:v>2.1821752301657837E-2</c:v>
                </c:pt>
                <c:pt idx="2337">
                  <c:v>2.1819620530723061E-2</c:v>
                </c:pt>
                <c:pt idx="2338">
                  <c:v>2.1817474237474932E-2</c:v>
                </c:pt>
                <c:pt idx="2339">
                  <c:v>2.1815313421918447E-2</c:v>
                </c:pt>
                <c:pt idx="2340">
                  <c:v>2.1813138084063599E-2</c:v>
                </c:pt>
                <c:pt idx="2341">
                  <c:v>2.1810948223922877E-2</c:v>
                </c:pt>
                <c:pt idx="2342">
                  <c:v>2.1808743841496281E-2</c:v>
                </c:pt>
                <c:pt idx="2343">
                  <c:v>2.1806524936798799E-2</c:v>
                </c:pt>
                <c:pt idx="2344">
                  <c:v>2.1804291509840423E-2</c:v>
                </c:pt>
                <c:pt idx="2345">
                  <c:v>2.180204356062615E-2</c:v>
                </c:pt>
                <c:pt idx="2346">
                  <c:v>2.1799781089163472E-2</c:v>
                </c:pt>
                <c:pt idx="2347">
                  <c:v>2.1798494965838574E-2</c:v>
                </c:pt>
                <c:pt idx="2348">
                  <c:v>2.1793729110947315E-2</c:v>
                </c:pt>
                <c:pt idx="2349">
                  <c:v>2.1792906541384938E-2</c:v>
                </c:pt>
                <c:pt idx="2350">
                  <c:v>2.1790585981023569E-2</c:v>
                </c:pt>
                <c:pt idx="2351">
                  <c:v>2.1788250898463757E-2</c:v>
                </c:pt>
                <c:pt idx="2352">
                  <c:v>2.1786053874550279E-2</c:v>
                </c:pt>
                <c:pt idx="2353">
                  <c:v>2.1782709912283305E-2</c:v>
                </c:pt>
                <c:pt idx="2354">
                  <c:v>2.1780330369710003E-2</c:v>
                </c:pt>
                <c:pt idx="2355">
                  <c:v>2.1777936305836403E-2</c:v>
                </c:pt>
                <c:pt idx="2356">
                  <c:v>2.1775527720667674E-2</c:v>
                </c:pt>
                <c:pt idx="2357">
                  <c:v>2.1773104614214122E-2</c:v>
                </c:pt>
                <c:pt idx="2358">
                  <c:v>2.1770666986483486E-2</c:v>
                </c:pt>
                <c:pt idx="2359">
                  <c:v>2.1768214837486081E-2</c:v>
                </c:pt>
                <c:pt idx="2360">
                  <c:v>2.1765748167229645E-2</c:v>
                </c:pt>
                <c:pt idx="2361">
                  <c:v>2.1763266975724487E-2</c:v>
                </c:pt>
                <c:pt idx="2362">
                  <c:v>2.1760771262983501E-2</c:v>
                </c:pt>
                <c:pt idx="2363">
                  <c:v>2.1758261029011849E-2</c:v>
                </c:pt>
                <c:pt idx="2364">
                  <c:v>2.1756211570538031E-2</c:v>
                </c:pt>
                <c:pt idx="2365">
                  <c:v>2.1753671103536265E-2</c:v>
                </c:pt>
                <c:pt idx="2366">
                  <c:v>2.1750643199803119E-2</c:v>
                </c:pt>
                <c:pt idx="2367">
                  <c:v>2.1748074881006774E-2</c:v>
                </c:pt>
                <c:pt idx="2368">
                  <c:v>2.1743539670890932E-2</c:v>
                </c:pt>
                <c:pt idx="2369">
                  <c:v>2.174289467987163E-2</c:v>
                </c:pt>
                <c:pt idx="2370">
                  <c:v>2.173915897416814E-2</c:v>
                </c:pt>
                <c:pt idx="2371">
                  <c:v>2.1736526347347084E-2</c:v>
                </c:pt>
                <c:pt idx="2372">
                  <c:v>2.1733879199390762E-2</c:v>
                </c:pt>
                <c:pt idx="2373">
                  <c:v>2.1731217530304339E-2</c:v>
                </c:pt>
                <c:pt idx="2374">
                  <c:v>2.172807840609714E-2</c:v>
                </c:pt>
                <c:pt idx="2375">
                  <c:v>2.17253888941773E-2</c:v>
                </c:pt>
                <c:pt idx="2376">
                  <c:v>2.172268486201645E-2</c:v>
                </c:pt>
                <c:pt idx="2377">
                  <c:v>2.1719966309617256E-2</c:v>
                </c:pt>
                <c:pt idx="2378">
                  <c:v>2.1717691368279064E-2</c:v>
                </c:pt>
                <c:pt idx="2379">
                  <c:v>2.1714942572626034E-2</c:v>
                </c:pt>
                <c:pt idx="2380">
                  <c:v>2.1712179255912518E-2</c:v>
                </c:pt>
                <c:pt idx="2381">
                  <c:v>2.1709401418159149E-2</c:v>
                </c:pt>
                <c:pt idx="2382">
                  <c:v>2.1706609059360768E-2</c:v>
                </c:pt>
                <c:pt idx="2383">
                  <c:v>2.1703802179538007E-2</c:v>
                </c:pt>
                <c:pt idx="2384">
                  <c:v>2.1700980778698597E-2</c:v>
                </c:pt>
                <c:pt idx="2385">
                  <c:v>2.1698144856852852E-2</c:v>
                </c:pt>
                <c:pt idx="2386">
                  <c:v>2.169529441401109E-2</c:v>
                </c:pt>
                <c:pt idx="2387">
                  <c:v>2.1691982174914415E-2</c:v>
                </c:pt>
                <c:pt idx="2388">
                  <c:v>2.1689103900596862E-2</c:v>
                </c:pt>
                <c:pt idx="2389">
                  <c:v>2.1686211106160869E-2</c:v>
                </c:pt>
                <c:pt idx="2390">
                  <c:v>2.168330379162775E-2</c:v>
                </c:pt>
                <c:pt idx="2391">
                  <c:v>2.1680824385243633E-2</c:v>
                </c:pt>
                <c:pt idx="2392">
                  <c:v>2.1677886816657832E-2</c:v>
                </c:pt>
                <c:pt idx="2393">
                  <c:v>2.1674934727150791E-2</c:v>
                </c:pt>
                <c:pt idx="2394">
                  <c:v>2.1671968116732825E-2</c:v>
                </c:pt>
                <c:pt idx="2395">
                  <c:v>2.1668986985419407E-2</c:v>
                </c:pt>
                <c:pt idx="2396">
                  <c:v>2.1665554982853052E-2</c:v>
                </c:pt>
                <c:pt idx="2397">
                  <c:v>2.1662546027895857E-2</c:v>
                </c:pt>
                <c:pt idx="2398">
                  <c:v>2.1659522552926802E-2</c:v>
                </c:pt>
                <c:pt idx="2399">
                  <c:v>2.1657349845933815E-2</c:v>
                </c:pt>
                <c:pt idx="2400">
                  <c:v>2.1653863515778925E-2</c:v>
                </c:pt>
                <c:pt idx="2401">
                  <c:v>2.1650795259314543E-2</c:v>
                </c:pt>
                <c:pt idx="2402">
                  <c:v>2.1647712482034641E-2</c:v>
                </c:pt>
                <c:pt idx="2403">
                  <c:v>2.1644615183944376E-2</c:v>
                </c:pt>
                <c:pt idx="2404">
                  <c:v>2.1641057634136086E-2</c:v>
                </c:pt>
                <c:pt idx="2405">
                  <c:v>2.1637929220076669E-2</c:v>
                </c:pt>
                <c:pt idx="2406">
                  <c:v>2.1634786285242989E-2</c:v>
                </c:pt>
                <c:pt idx="2407">
                  <c:v>2.16316288296531E-2</c:v>
                </c:pt>
                <c:pt idx="2408">
                  <c:v>2.1628456853314736E-2</c:v>
                </c:pt>
                <c:pt idx="2409">
                  <c:v>2.1624009235507051E-2</c:v>
                </c:pt>
                <c:pt idx="2410">
                  <c:v>2.1620811904978141E-2</c:v>
                </c:pt>
                <c:pt idx="2411">
                  <c:v>2.1617600056265434E-2</c:v>
                </c:pt>
                <c:pt idx="2412">
                  <c:v>2.1614373689377495E-2</c:v>
                </c:pt>
                <c:pt idx="2413">
                  <c:v>2.1614039558144529E-2</c:v>
                </c:pt>
                <c:pt idx="2414">
                  <c:v>2.1609120060280852E-2</c:v>
                </c:pt>
                <c:pt idx="2415">
                  <c:v>2.1605846439053854E-2</c:v>
                </c:pt>
                <c:pt idx="2416">
                  <c:v>2.1602558297178946E-2</c:v>
                </c:pt>
                <c:pt idx="2417">
                  <c:v>2.1599255634663864E-2</c:v>
                </c:pt>
                <c:pt idx="2418">
                  <c:v>2.1595396743135931E-2</c:v>
                </c:pt>
                <c:pt idx="2419">
                  <c:v>2.1592059653486317E-2</c:v>
                </c:pt>
                <c:pt idx="2420">
                  <c:v>2.1588708042400151E-2</c:v>
                </c:pt>
                <c:pt idx="2421">
                  <c:v>2.1584455014143723E-2</c:v>
                </c:pt>
                <c:pt idx="2422">
                  <c:v>2.1581961255973114E-2</c:v>
                </c:pt>
                <c:pt idx="2423">
                  <c:v>2.1578566080657224E-2</c:v>
                </c:pt>
                <c:pt idx="2424">
                  <c:v>2.1575156383959737E-2</c:v>
                </c:pt>
                <c:pt idx="2425">
                  <c:v>2.1571732165893143E-2</c:v>
                </c:pt>
                <c:pt idx="2426">
                  <c:v>2.1568293426472429E-2</c:v>
                </c:pt>
                <c:pt idx="2427">
                  <c:v>2.1564840165707588E-2</c:v>
                </c:pt>
                <c:pt idx="2428">
                  <c:v>2.156137238361111E-2</c:v>
                </c:pt>
                <c:pt idx="2429">
                  <c:v>2.1557890080197983E-2</c:v>
                </c:pt>
                <c:pt idx="2430">
                  <c:v>2.1554393255483195E-2</c:v>
                </c:pt>
                <c:pt idx="2431">
                  <c:v>2.1550881909479236E-2</c:v>
                </c:pt>
                <c:pt idx="2432">
                  <c:v>2.1547356042201093E-2</c:v>
                </c:pt>
                <c:pt idx="2433">
                  <c:v>2.154381565365876E-2</c:v>
                </c:pt>
                <c:pt idx="2434">
                  <c:v>2.153909394172137E-2</c:v>
                </c:pt>
                <c:pt idx="2435">
                  <c:v>2.153669131284397E-2</c:v>
                </c:pt>
                <c:pt idx="2436">
                  <c:v>2.1533107360593995E-2</c:v>
                </c:pt>
                <c:pt idx="2437">
                  <c:v>2.1529508887144777E-2</c:v>
                </c:pt>
                <c:pt idx="2438">
                  <c:v>2.1525895892498814E-2</c:v>
                </c:pt>
                <c:pt idx="2439">
                  <c:v>2.1522268376668596E-2</c:v>
                </c:pt>
                <c:pt idx="2440">
                  <c:v>2.1518626339679103E-2</c:v>
                </c:pt>
                <c:pt idx="2441">
                  <c:v>2.1514969781537829E-2</c:v>
                </c:pt>
                <c:pt idx="2442">
                  <c:v>2.1511298702259762E-2</c:v>
                </c:pt>
                <c:pt idx="2443">
                  <c:v>2.1507613101857392E-2</c:v>
                </c:pt>
                <c:pt idx="2444">
                  <c:v>2.1503912980348205E-2</c:v>
                </c:pt>
                <c:pt idx="2445">
                  <c:v>2.1500198337744691E-2</c:v>
                </c:pt>
                <c:pt idx="2446">
                  <c:v>2.1496469174056843E-2</c:v>
                </c:pt>
                <c:pt idx="2447">
                  <c:v>2.1491607646345494E-2</c:v>
                </c:pt>
                <c:pt idx="2448">
                  <c:v>2.1488967283508076E-2</c:v>
                </c:pt>
                <c:pt idx="2449">
                  <c:v>2.148519455666964E-2</c:v>
                </c:pt>
                <c:pt idx="2450">
                  <c:v>2.1481407308809319E-2</c:v>
                </c:pt>
                <c:pt idx="2451">
                  <c:v>2.14776055399446E-2</c:v>
                </c:pt>
                <c:pt idx="2452">
                  <c:v>2.1473789250085473E-2</c:v>
                </c:pt>
                <c:pt idx="2453">
                  <c:v>2.146995843924443E-2</c:v>
                </c:pt>
                <c:pt idx="2454">
                  <c:v>2.146611310744645E-2</c:v>
                </c:pt>
                <c:pt idx="2455">
                  <c:v>2.1459679433762244E-2</c:v>
                </c:pt>
                <c:pt idx="2456">
                  <c:v>2.1457463267162333E-2</c:v>
                </c:pt>
                <c:pt idx="2457">
                  <c:v>2.1454489986415803E-2</c:v>
                </c:pt>
                <c:pt idx="2458">
                  <c:v>2.1450586570912478E-2</c:v>
                </c:pt>
                <c:pt idx="2459">
                  <c:v>2.1446668634524657E-2</c:v>
                </c:pt>
                <c:pt idx="2460">
                  <c:v>2.1441667712292556E-2</c:v>
                </c:pt>
                <c:pt idx="2461">
                  <c:v>2.1437369452332877E-2</c:v>
                </c:pt>
                <c:pt idx="2462">
                  <c:v>2.1433413043806367E-2</c:v>
                </c:pt>
                <c:pt idx="2463">
                  <c:v>2.142944211772984E-2</c:v>
                </c:pt>
                <c:pt idx="2464">
                  <c:v>2.1425456674114711E-2</c:v>
                </c:pt>
                <c:pt idx="2465">
                  <c:v>2.1422856078375241E-2</c:v>
                </c:pt>
                <c:pt idx="2466">
                  <c:v>2.1418836496198135E-2</c:v>
                </c:pt>
                <c:pt idx="2467">
                  <c:v>2.1414802393251442E-2</c:v>
                </c:pt>
                <c:pt idx="2468">
                  <c:v>2.1410753769552648E-2</c:v>
                </c:pt>
                <c:pt idx="2469">
                  <c:v>2.1406690625124236E-2</c:v>
                </c:pt>
                <c:pt idx="2470">
                  <c:v>2.1402612959973699E-2</c:v>
                </c:pt>
                <c:pt idx="2471">
                  <c:v>2.1398520774121021E-2</c:v>
                </c:pt>
                <c:pt idx="2472">
                  <c:v>2.1394414067581191E-2</c:v>
                </c:pt>
                <c:pt idx="2473">
                  <c:v>2.1389274169127871E-2</c:v>
                </c:pt>
                <c:pt idx="2474">
                  <c:v>2.1386157092510016E-2</c:v>
                </c:pt>
                <c:pt idx="2475">
                  <c:v>2.1382006824003652E-2</c:v>
                </c:pt>
                <c:pt idx="2476">
                  <c:v>2.1377842034877581E-2</c:v>
                </c:pt>
                <c:pt idx="2477">
                  <c:v>2.1373662725144293E-2</c:v>
                </c:pt>
                <c:pt idx="2478">
                  <c:v>2.1369468894818777E-2</c:v>
                </c:pt>
                <c:pt idx="2479">
                  <c:v>2.1365260543918518E-2</c:v>
                </c:pt>
                <c:pt idx="2480">
                  <c:v>2.1361037672461003E-2</c:v>
                </c:pt>
                <c:pt idx="2481">
                  <c:v>2.1356800280463717E-2</c:v>
                </c:pt>
                <c:pt idx="2482">
                  <c:v>2.1352548367936652E-2</c:v>
                </c:pt>
                <c:pt idx="2483">
                  <c:v>2.1348281934899793E-2</c:v>
                </c:pt>
                <c:pt idx="2484">
                  <c:v>2.1344000981375622E-2</c:v>
                </c:pt>
                <c:pt idx="2485">
                  <c:v>2.1339705507371631E-2</c:v>
                </c:pt>
                <c:pt idx="2486">
                  <c:v>2.1335395512907807E-2</c:v>
                </c:pt>
                <c:pt idx="2487">
                  <c:v>2.1331070998001633E-2</c:v>
                </c:pt>
                <c:pt idx="2488">
                  <c:v>2.132673251882572E-2</c:v>
                </c:pt>
                <c:pt idx="2489">
                  <c:v>2.132238406372472E-2</c:v>
                </c:pt>
                <c:pt idx="2490">
                  <c:v>2.13180309290395E-2</c:v>
                </c:pt>
                <c:pt idx="2491">
                  <c:v>2.1313678413676374E-2</c:v>
                </c:pt>
                <c:pt idx="2492">
                  <c:v>2.130933179592065E-2</c:v>
                </c:pt>
                <c:pt idx="2493">
                  <c:v>2.1304994559448176E-2</c:v>
                </c:pt>
                <c:pt idx="2494">
                  <c:v>2.1300667026094011E-2</c:v>
                </c:pt>
                <c:pt idx="2495">
                  <c:v>2.1296349195845665E-2</c:v>
                </c:pt>
                <c:pt idx="2496">
                  <c:v>2.1292041068690648E-2</c:v>
                </c:pt>
                <c:pt idx="2497">
                  <c:v>2.1287742644618968E-2</c:v>
                </c:pt>
                <c:pt idx="2498">
                  <c:v>2.128345392362313E-2</c:v>
                </c:pt>
                <c:pt idx="2499">
                  <c:v>2.1279174905688147E-2</c:v>
                </c:pt>
                <c:pt idx="2500">
                  <c:v>2.1274905590799031E-2</c:v>
                </c:pt>
                <c:pt idx="2501">
                  <c:v>2.1270645978953284E-2</c:v>
                </c:pt>
                <c:pt idx="2502">
                  <c:v>2.1266396070135918E-2</c:v>
                </c:pt>
                <c:pt idx="2503">
                  <c:v>2.126215586433694E-2</c:v>
                </c:pt>
                <c:pt idx="2504">
                  <c:v>2.1257925361541363E-2</c:v>
                </c:pt>
                <c:pt idx="2505">
                  <c:v>2.1253704561741693E-2</c:v>
                </c:pt>
                <c:pt idx="2506">
                  <c:v>2.1249493464930436E-2</c:v>
                </c:pt>
                <c:pt idx="2507">
                  <c:v>2.1245292071090105E-2</c:v>
                </c:pt>
                <c:pt idx="2508">
                  <c:v>2.1240117472817902E-2</c:v>
                </c:pt>
                <c:pt idx="2509">
                  <c:v>2.1236918392287252E-2</c:v>
                </c:pt>
                <c:pt idx="2510">
                  <c:v>2.1232746107304745E-2</c:v>
                </c:pt>
                <c:pt idx="2511">
                  <c:v>2.1228583525250699E-2</c:v>
                </c:pt>
                <c:pt idx="2512">
                  <c:v>2.1223442370018646E-2</c:v>
                </c:pt>
                <c:pt idx="2513">
                  <c:v>2.1218968084208027E-2</c:v>
                </c:pt>
                <c:pt idx="2514">
                  <c:v>2.1214832812802724E-2</c:v>
                </c:pt>
                <c:pt idx="2515">
                  <c:v>2.1210707241812177E-2</c:v>
                </c:pt>
                <c:pt idx="2516">
                  <c:v>2.1206591371227823E-2</c:v>
                </c:pt>
                <c:pt idx="2517">
                  <c:v>2.1203811793874539E-2</c:v>
                </c:pt>
                <c:pt idx="2518">
                  <c:v>2.1199717132034945E-2</c:v>
                </c:pt>
                <c:pt idx="2519">
                  <c:v>2.1195964866411128E-2</c:v>
                </c:pt>
                <c:pt idx="2520">
                  <c:v>2.1191556916886345E-2</c:v>
                </c:pt>
                <c:pt idx="2521">
                  <c:v>2.118749136354986E-2</c:v>
                </c:pt>
                <c:pt idx="2522">
                  <c:v>2.1183435513026927E-2</c:v>
                </c:pt>
                <c:pt idx="2523">
                  <c:v>2.1179389365310053E-2</c:v>
                </c:pt>
                <c:pt idx="2524">
                  <c:v>2.1175352920389245E-2</c:v>
                </c:pt>
                <c:pt idx="2525">
                  <c:v>2.1171326178247019E-2</c:v>
                </c:pt>
                <c:pt idx="2526">
                  <c:v>2.1167309138875878E-2</c:v>
                </c:pt>
                <c:pt idx="2527">
                  <c:v>2.1163301802265833E-2</c:v>
                </c:pt>
                <c:pt idx="2528">
                  <c:v>2.1159304168409387E-2</c:v>
                </c:pt>
                <c:pt idx="2529">
                  <c:v>2.1155316237289057E-2</c:v>
                </c:pt>
                <c:pt idx="2530">
                  <c:v>2.1151338008904841E-2</c:v>
                </c:pt>
                <c:pt idx="2531">
                  <c:v>2.1147369483241751E-2</c:v>
                </c:pt>
                <c:pt idx="2532">
                  <c:v>2.11434106602848E-2</c:v>
                </c:pt>
                <c:pt idx="2533">
                  <c:v>2.1139461540028992E-2</c:v>
                </c:pt>
                <c:pt idx="2534">
                  <c:v>2.1135522122461836E-2</c:v>
                </c:pt>
                <c:pt idx="2535">
                  <c:v>2.1131592407575839E-2</c:v>
                </c:pt>
                <c:pt idx="2536">
                  <c:v>2.112767239535851E-2</c:v>
                </c:pt>
                <c:pt idx="2537">
                  <c:v>2.1123762085802356E-2</c:v>
                </c:pt>
                <c:pt idx="2538">
                  <c:v>2.1119861478892388E-2</c:v>
                </c:pt>
                <c:pt idx="2539">
                  <c:v>2.111597057462361E-2</c:v>
                </c:pt>
                <c:pt idx="2540">
                  <c:v>2.1112089372981035E-2</c:v>
                </c:pt>
                <c:pt idx="2541">
                  <c:v>2.1108217873959667E-2</c:v>
                </c:pt>
                <c:pt idx="2542">
                  <c:v>2.1104356077549513E-2</c:v>
                </c:pt>
                <c:pt idx="2543">
                  <c:v>2.1100503983733088E-2</c:v>
                </c:pt>
                <c:pt idx="2544">
                  <c:v>2.1096661592507893E-2</c:v>
                </c:pt>
                <c:pt idx="2545">
                  <c:v>2.1092828903863936E-2</c:v>
                </c:pt>
                <c:pt idx="2546">
                  <c:v>2.1089005917788728E-2</c:v>
                </c:pt>
                <c:pt idx="2547">
                  <c:v>2.1084156122605519E-2</c:v>
                </c:pt>
                <c:pt idx="2548">
                  <c:v>2.1081389053304589E-2</c:v>
                </c:pt>
                <c:pt idx="2549">
                  <c:v>2.1077595174875674E-2</c:v>
                </c:pt>
                <c:pt idx="2550">
                  <c:v>2.1073810998980536E-2</c:v>
                </c:pt>
                <c:pt idx="2551">
                  <c:v>2.1070036525601687E-2</c:v>
                </c:pt>
                <c:pt idx="2552">
                  <c:v>2.1066271754731636E-2</c:v>
                </c:pt>
                <c:pt idx="2553">
                  <c:v>2.1062516686367883E-2</c:v>
                </c:pt>
                <c:pt idx="2554">
                  <c:v>2.1058771320492942E-2</c:v>
                </c:pt>
                <c:pt idx="2555">
                  <c:v>2.1055035657096821E-2</c:v>
                </c:pt>
                <c:pt idx="2556">
                  <c:v>2.1051309696177023E-2</c:v>
                </c:pt>
                <c:pt idx="2557">
                  <c:v>2.1047593437716061E-2</c:v>
                </c:pt>
                <c:pt idx="2558">
                  <c:v>2.1043886881706442E-2</c:v>
                </c:pt>
                <c:pt idx="2559">
                  <c:v>2.1040190028140671E-2</c:v>
                </c:pt>
                <c:pt idx="2560">
                  <c:v>2.1036502877011254E-2</c:v>
                </c:pt>
                <c:pt idx="2561">
                  <c:v>2.1032825428305701E-2</c:v>
                </c:pt>
                <c:pt idx="2562">
                  <c:v>2.1029157682006527E-2</c:v>
                </c:pt>
                <c:pt idx="2563">
                  <c:v>2.1025499638121226E-2</c:v>
                </c:pt>
                <c:pt idx="2564">
                  <c:v>2.1021851296629812E-2</c:v>
                </c:pt>
                <c:pt idx="2565">
                  <c:v>2.1017150467423917E-2</c:v>
                </c:pt>
                <c:pt idx="2566">
                  <c:v>2.1013520086914601E-2</c:v>
                </c:pt>
                <c:pt idx="2567">
                  <c:v>2.1009899406962886E-2</c:v>
                </c:pt>
                <c:pt idx="2568">
                  <c:v>2.1006288427568767E-2</c:v>
                </c:pt>
                <c:pt idx="2569">
                  <c:v>2.1004111236613682E-2</c:v>
                </c:pt>
                <c:pt idx="2570">
                  <c:v>2.1000164997443393E-2</c:v>
                </c:pt>
                <c:pt idx="2571">
                  <c:v>2.09965845724569E-2</c:v>
                </c:pt>
                <c:pt idx="2572">
                  <c:v>2.0993013849789355E-2</c:v>
                </c:pt>
                <c:pt idx="2573">
                  <c:v>2.098837903860382E-2</c:v>
                </c:pt>
                <c:pt idx="2574">
                  <c:v>2.0985901511381133E-2</c:v>
                </c:pt>
                <c:pt idx="2575">
                  <c:v>2.0982359895620473E-2</c:v>
                </c:pt>
                <c:pt idx="2576">
                  <c:v>2.097882798214129E-2</c:v>
                </c:pt>
                <c:pt idx="2577">
                  <c:v>2.0975305770941088E-2</c:v>
                </c:pt>
                <c:pt idx="2578">
                  <c:v>2.0971793262007377E-2</c:v>
                </c:pt>
                <c:pt idx="2579">
                  <c:v>2.0968290455327665E-2</c:v>
                </c:pt>
                <c:pt idx="2580">
                  <c:v>2.096479735089446E-2</c:v>
                </c:pt>
                <c:pt idx="2581">
                  <c:v>2.0961313948702764E-2</c:v>
                </c:pt>
                <c:pt idx="2582">
                  <c:v>2.0957840248742587E-2</c:v>
                </c:pt>
                <c:pt idx="2583">
                  <c:v>2.0954376250996443E-2</c:v>
                </c:pt>
                <c:pt idx="2584">
                  <c:v>2.0950921955466828E-2</c:v>
                </c:pt>
                <c:pt idx="2585">
                  <c:v>2.0947477362141254E-2</c:v>
                </c:pt>
                <c:pt idx="2586">
                  <c:v>2.0944042471007229E-2</c:v>
                </c:pt>
                <c:pt idx="2587">
                  <c:v>2.0940617282054763E-2</c:v>
                </c:pt>
                <c:pt idx="2588">
                  <c:v>2.0937201795283855E-2</c:v>
                </c:pt>
                <c:pt idx="2589">
                  <c:v>2.0933796010679517E-2</c:v>
                </c:pt>
                <c:pt idx="2590">
                  <c:v>2.0930399928231758E-2</c:v>
                </c:pt>
                <c:pt idx="2591">
                  <c:v>2.092701354793558E-2</c:v>
                </c:pt>
                <c:pt idx="2592">
                  <c:v>2.0923636869780993E-2</c:v>
                </c:pt>
                <c:pt idx="2593">
                  <c:v>2.0920269893758003E-2</c:v>
                </c:pt>
                <c:pt idx="2594">
                  <c:v>2.091691261985662E-2</c:v>
                </c:pt>
                <c:pt idx="2595">
                  <c:v>2.0912458762951436E-2</c:v>
                </c:pt>
                <c:pt idx="2596">
                  <c:v>2.091022717839619E-2</c:v>
                </c:pt>
                <c:pt idx="2597">
                  <c:v>2.0906899010814661E-2</c:v>
                </c:pt>
                <c:pt idx="2598">
                  <c:v>2.0903580545322265E-2</c:v>
                </c:pt>
                <c:pt idx="2599">
                  <c:v>2.0900271781909008E-2</c:v>
                </c:pt>
                <c:pt idx="2600">
                  <c:v>2.0896972720572393E-2</c:v>
                </c:pt>
                <c:pt idx="2601">
                  <c:v>2.0893683361297433E-2</c:v>
                </c:pt>
                <c:pt idx="2602">
                  <c:v>2.0890403704074134E-2</c:v>
                </c:pt>
                <c:pt idx="2603">
                  <c:v>2.0887133748902498E-2</c:v>
                </c:pt>
                <c:pt idx="2604">
                  <c:v>2.0883873495767535E-2</c:v>
                </c:pt>
                <c:pt idx="2605">
                  <c:v>2.0880622944661753E-2</c:v>
                </c:pt>
                <c:pt idx="2606">
                  <c:v>2.0877382095575159E-2</c:v>
                </c:pt>
                <c:pt idx="2607">
                  <c:v>2.087490084412218E-2</c:v>
                </c:pt>
                <c:pt idx="2608">
                  <c:v>2.0869803611537684E-2</c:v>
                </c:pt>
                <c:pt idx="2609">
                  <c:v>2.0867717760363058E-2</c:v>
                </c:pt>
                <c:pt idx="2610">
                  <c:v>2.0864515719283272E-2</c:v>
                </c:pt>
                <c:pt idx="2611">
                  <c:v>2.0861323380180208E-2</c:v>
                </c:pt>
                <c:pt idx="2612">
                  <c:v>2.0858064399831896E-2</c:v>
                </c:pt>
                <c:pt idx="2613">
                  <c:v>2.0854137349895514E-2</c:v>
                </c:pt>
                <c:pt idx="2614">
                  <c:v>2.0850974992696183E-2</c:v>
                </c:pt>
                <c:pt idx="2615">
                  <c:v>2.0847822336851413E-2</c:v>
                </c:pt>
                <c:pt idx="2616">
                  <c:v>2.0844679382358622E-2</c:v>
                </c:pt>
                <c:pt idx="2617">
                  <c:v>2.0840406458972258E-2</c:v>
                </c:pt>
                <c:pt idx="2618">
                  <c:v>2.0837281370598464E-2</c:v>
                </c:pt>
                <c:pt idx="2619">
                  <c:v>2.083416598178868E-2</c:v>
                </c:pt>
                <c:pt idx="2620">
                  <c:v>2.0831060292534342E-2</c:v>
                </c:pt>
                <c:pt idx="2621">
                  <c:v>2.0829110129854615E-2</c:v>
                </c:pt>
                <c:pt idx="2622">
                  <c:v>2.0826025383293201E-2</c:v>
                </c:pt>
                <c:pt idx="2623">
                  <c:v>2.0822950338024459E-2</c:v>
                </c:pt>
                <c:pt idx="2624">
                  <c:v>2.0820268609674508E-2</c:v>
                </c:pt>
                <c:pt idx="2625">
                  <c:v>2.0816829351346943E-2</c:v>
                </c:pt>
                <c:pt idx="2626">
                  <c:v>2.081378340991754E-2</c:v>
                </c:pt>
                <c:pt idx="2627">
                  <c:v>2.0810747169752442E-2</c:v>
                </c:pt>
                <c:pt idx="2628">
                  <c:v>2.0805609618735232E-2</c:v>
                </c:pt>
                <c:pt idx="2629">
                  <c:v>2.0804703793186812E-2</c:v>
                </c:pt>
                <c:pt idx="2630">
                  <c:v>2.0801696656768228E-2</c:v>
                </c:pt>
                <c:pt idx="2631">
                  <c:v>2.0798699221585587E-2</c:v>
                </c:pt>
                <c:pt idx="2632">
                  <c:v>2.0795711487628574E-2</c:v>
                </c:pt>
                <c:pt idx="2633">
                  <c:v>2.0792733454892035E-2</c:v>
                </c:pt>
                <c:pt idx="2634">
                  <c:v>2.0789765123363071E-2</c:v>
                </c:pt>
                <c:pt idx="2635">
                  <c:v>2.0786806493039111E-2</c:v>
                </c:pt>
                <c:pt idx="2636">
                  <c:v>2.0783857563914994E-2</c:v>
                </c:pt>
                <c:pt idx="2637">
                  <c:v>2.0780918335977828E-2</c:v>
                </c:pt>
                <c:pt idx="2638">
                  <c:v>2.0778379708212003E-2</c:v>
                </c:pt>
                <c:pt idx="2639">
                  <c:v>2.0775068983643716E-2</c:v>
                </c:pt>
                <c:pt idx="2640">
                  <c:v>2.0772158859233881E-2</c:v>
                </c:pt>
                <c:pt idx="2641">
                  <c:v>2.0769258435980053E-2</c:v>
                </c:pt>
                <c:pt idx="2642">
                  <c:v>2.0766367713879651E-2</c:v>
                </c:pt>
                <c:pt idx="2643">
                  <c:v>2.0763486692927522E-2</c:v>
                </c:pt>
                <c:pt idx="2644">
                  <c:v>2.0760615373110775E-2</c:v>
                </c:pt>
                <c:pt idx="2645">
                  <c:v>2.0757753754426823E-2</c:v>
                </c:pt>
                <c:pt idx="2646">
                  <c:v>2.0754901836865361E-2</c:v>
                </c:pt>
                <c:pt idx="2647">
                  <c:v>2.0750873089882153E-2</c:v>
                </c:pt>
                <c:pt idx="2648">
                  <c:v>2.0749227105089266E-2</c:v>
                </c:pt>
                <c:pt idx="2649">
                  <c:v>2.0746404290859159E-2</c:v>
                </c:pt>
                <c:pt idx="2650">
                  <c:v>2.0743591177723175E-2</c:v>
                </c:pt>
                <c:pt idx="2651">
                  <c:v>2.0741583360387755E-2</c:v>
                </c:pt>
                <c:pt idx="2652">
                  <c:v>2.0737994054710364E-2</c:v>
                </c:pt>
                <c:pt idx="2653">
                  <c:v>2.0735210044823225E-2</c:v>
                </c:pt>
                <c:pt idx="2654">
                  <c:v>2.0732435735999262E-2</c:v>
                </c:pt>
                <c:pt idx="2655">
                  <c:v>2.0729671128235899E-2</c:v>
                </c:pt>
                <c:pt idx="2656">
                  <c:v>2.0726916221527981E-2</c:v>
                </c:pt>
                <c:pt idx="2657">
                  <c:v>2.0724171015867768E-2</c:v>
                </c:pt>
                <c:pt idx="2658">
                  <c:v>2.0721435511247527E-2</c:v>
                </c:pt>
                <c:pt idx="2659">
                  <c:v>2.0718709707656945E-2</c:v>
                </c:pt>
                <c:pt idx="2660">
                  <c:v>2.0715993605096017E-2</c:v>
                </c:pt>
                <c:pt idx="2661">
                  <c:v>2.0713287203554434E-2</c:v>
                </c:pt>
                <c:pt idx="2662">
                  <c:v>2.0710590503024456E-2</c:v>
                </c:pt>
                <c:pt idx="2663">
                  <c:v>2.0707903503500928E-2</c:v>
                </c:pt>
                <c:pt idx="2664">
                  <c:v>2.070408176101458E-2</c:v>
                </c:pt>
                <c:pt idx="2665">
                  <c:v>2.0701418321050519E-2</c:v>
                </c:pt>
                <c:pt idx="2666">
                  <c:v>2.0698764582067118E-2</c:v>
                </c:pt>
                <c:pt idx="2667">
                  <c:v>2.0696120544064382E-2</c:v>
                </c:pt>
                <c:pt idx="2668">
                  <c:v>2.0693486207026841E-2</c:v>
                </c:pt>
                <c:pt idx="2669">
                  <c:v>2.0689638981689549E-2</c:v>
                </c:pt>
                <c:pt idx="2670">
                  <c:v>2.0687022418577655E-2</c:v>
                </c:pt>
                <c:pt idx="2671">
                  <c:v>2.0684415554690042E-2</c:v>
                </c:pt>
                <c:pt idx="2672">
                  <c:v>2.0681818390018147E-2</c:v>
                </c:pt>
                <c:pt idx="2673">
                  <c:v>2.0680460036164878E-2</c:v>
                </c:pt>
                <c:pt idx="2674">
                  <c:v>2.067788390481019E-2</c:v>
                </c:pt>
                <c:pt idx="2675">
                  <c:v>2.0675317474382015E-2</c:v>
                </c:pt>
                <c:pt idx="2676">
                  <c:v>2.0672760744870039E-2</c:v>
                </c:pt>
                <c:pt idx="2677">
                  <c:v>2.0670213716271684E-2</c:v>
                </c:pt>
                <c:pt idx="2678">
                  <c:v>2.0667263886172016E-2</c:v>
                </c:pt>
                <c:pt idx="2679">
                  <c:v>2.0664015157523252E-2</c:v>
                </c:pt>
                <c:pt idx="2680">
                  <c:v>2.0662217237076064E-2</c:v>
                </c:pt>
                <c:pt idx="2681">
                  <c:v>2.0659708462999582E-2</c:v>
                </c:pt>
                <c:pt idx="2682">
                  <c:v>2.0657624086713473E-2</c:v>
                </c:pt>
                <c:pt idx="2683">
                  <c:v>2.0655135263449864E-2</c:v>
                </c:pt>
                <c:pt idx="2684">
                  <c:v>2.0652656141053462E-2</c:v>
                </c:pt>
                <c:pt idx="2685">
                  <c:v>2.0650186719513949E-2</c:v>
                </c:pt>
                <c:pt idx="2686">
                  <c:v>2.0647310097100302E-2</c:v>
                </c:pt>
                <c:pt idx="2687">
                  <c:v>2.0644859524771242E-2</c:v>
                </c:pt>
                <c:pt idx="2688">
                  <c:v>2.0642418652720096E-2</c:v>
                </c:pt>
                <c:pt idx="2689">
                  <c:v>2.0639987480928212E-2</c:v>
                </c:pt>
                <c:pt idx="2690">
                  <c:v>2.0637985124533111E-2</c:v>
                </c:pt>
                <c:pt idx="2691">
                  <c:v>2.0635573908036966E-2</c:v>
                </c:pt>
                <c:pt idx="2692">
                  <c:v>2.0633172392353877E-2</c:v>
                </c:pt>
                <c:pt idx="2693">
                  <c:v>2.0630780577489002E-2</c:v>
                </c:pt>
                <c:pt idx="2694">
                  <c:v>2.0628398463424291E-2</c:v>
                </c:pt>
                <c:pt idx="2695">
                  <c:v>2.0626026050164899E-2</c:v>
                </c:pt>
                <c:pt idx="2696">
                  <c:v>2.0623663337697933E-2</c:v>
                </c:pt>
                <c:pt idx="2697">
                  <c:v>2.0621310326018237E-2</c:v>
                </c:pt>
                <c:pt idx="2698">
                  <c:v>2.0618967015125812E-2</c:v>
                </c:pt>
                <c:pt idx="2699">
                  <c:v>2.0616209276301589E-2</c:v>
                </c:pt>
                <c:pt idx="2700">
                  <c:v>2.0613884807041849E-2</c:v>
                </c:pt>
                <c:pt idx="2701">
                  <c:v>2.0611570037974758E-2</c:v>
                </c:pt>
                <c:pt idx="2702">
                  <c:v>2.0609264969100316E-2</c:v>
                </c:pt>
                <c:pt idx="2703">
                  <c:v>2.0607395972186523E-2</c:v>
                </c:pt>
                <c:pt idx="2704">
                  <c:v>2.0605110865865583E-2</c:v>
                </c:pt>
                <c:pt idx="2705">
                  <c:v>2.0602835460288078E-2</c:v>
                </c:pt>
                <c:pt idx="2706">
                  <c:v>2.0600569755443693E-2</c:v>
                </c:pt>
                <c:pt idx="2707">
                  <c:v>2.059831375133243E-2</c:v>
                </c:pt>
                <c:pt idx="2708">
                  <c:v>2.0595638259528926E-2</c:v>
                </c:pt>
                <c:pt idx="2709">
                  <c:v>2.0593401091829833E-2</c:v>
                </c:pt>
                <c:pt idx="2710">
                  <c:v>2.0591173624275427E-2</c:v>
                </c:pt>
                <c:pt idx="2711">
                  <c:v>2.0589817697708734E-2</c:v>
                </c:pt>
                <c:pt idx="2712">
                  <c:v>2.0587179241538255E-2</c:v>
                </c:pt>
                <c:pt idx="2713">
                  <c:v>2.0584981441694201E-2</c:v>
                </c:pt>
                <c:pt idx="2714">
                  <c:v>2.0582793342544592E-2</c:v>
                </c:pt>
                <c:pt idx="2715">
                  <c:v>2.0580614944076526E-2</c:v>
                </c:pt>
                <c:pt idx="2716">
                  <c:v>2.0578137224212409E-2</c:v>
                </c:pt>
                <c:pt idx="2717">
                  <c:v>2.0575979612915039E-2</c:v>
                </c:pt>
                <c:pt idx="2718">
                  <c:v>2.0573831702286327E-2</c:v>
                </c:pt>
                <c:pt idx="2719">
                  <c:v>2.0571693492318535E-2</c:v>
                </c:pt>
                <c:pt idx="2720">
                  <c:v>2.056956498301166E-2</c:v>
                </c:pt>
                <c:pt idx="2721">
                  <c:v>2.0566136408332839E-2</c:v>
                </c:pt>
                <c:pt idx="2722">
                  <c:v>2.0564025583101091E-2</c:v>
                </c:pt>
                <c:pt idx="2723">
                  <c:v>2.0561924456816705E-2</c:v>
                </c:pt>
                <c:pt idx="2724">
                  <c:v>2.055983302947682E-2</c:v>
                </c:pt>
                <c:pt idx="2725">
                  <c:v>2.0559067946169331E-2</c:v>
                </c:pt>
                <c:pt idx="2726">
                  <c:v>2.0556997640704202E-2</c:v>
                </c:pt>
                <c:pt idx="2727">
                  <c:v>2.0554937035856161E-2</c:v>
                </c:pt>
                <c:pt idx="2728">
                  <c:v>2.0552886131627777E-2</c:v>
                </c:pt>
                <c:pt idx="2729">
                  <c:v>2.0550705000794978E-2</c:v>
                </c:pt>
                <c:pt idx="2730">
                  <c:v>2.0548676846620373E-2</c:v>
                </c:pt>
                <c:pt idx="2731">
                  <c:v>2.054665839361064E-2</c:v>
                </c:pt>
                <c:pt idx="2732">
                  <c:v>2.054464964176328E-2</c:v>
                </c:pt>
                <c:pt idx="2733">
                  <c:v>2.0541921917175302E-2</c:v>
                </c:pt>
                <c:pt idx="2734">
                  <c:v>2.054066124151821E-2</c:v>
                </c:pt>
                <c:pt idx="2735">
                  <c:v>2.0538681593115504E-2</c:v>
                </c:pt>
                <c:pt idx="2736">
                  <c:v>2.053671164585269E-2</c:v>
                </c:pt>
                <c:pt idx="2737">
                  <c:v>2.0534751399722273E-2</c:v>
                </c:pt>
                <c:pt idx="2738">
                  <c:v>2.053280085471676E-2</c:v>
                </c:pt>
                <c:pt idx="2739">
                  <c:v>2.0530860010836149E-2</c:v>
                </c:pt>
                <c:pt idx="2740">
                  <c:v>2.0528928868075447E-2</c:v>
                </c:pt>
                <c:pt idx="2741">
                  <c:v>2.0527007426422161E-2</c:v>
                </c:pt>
                <c:pt idx="2742">
                  <c:v>2.0525095685883787E-2</c:v>
                </c:pt>
                <c:pt idx="2743">
                  <c:v>2.0523193646445337E-2</c:v>
                </c:pt>
                <c:pt idx="2744">
                  <c:v>2.052130130810681E-2</c:v>
                </c:pt>
                <c:pt idx="2745">
                  <c:v>2.0519418670855716E-2</c:v>
                </c:pt>
                <c:pt idx="2746">
                  <c:v>2.0516191808611754E-2</c:v>
                </c:pt>
                <c:pt idx="2747">
                  <c:v>2.051568249962582E-2</c:v>
                </c:pt>
                <c:pt idx="2748">
                  <c:v>2.0513828965632031E-2</c:v>
                </c:pt>
                <c:pt idx="2749">
                  <c:v>2.0511985132708188E-2</c:v>
                </c:pt>
                <c:pt idx="2750">
                  <c:v>2.0510151000859289E-2</c:v>
                </c:pt>
                <c:pt idx="2751">
                  <c:v>2.0508326570072843E-2</c:v>
                </c:pt>
                <c:pt idx="2752">
                  <c:v>2.0506511840343855E-2</c:v>
                </c:pt>
                <c:pt idx="2753">
                  <c:v>2.0504706811669826E-2</c:v>
                </c:pt>
                <c:pt idx="2754">
                  <c:v>2.0502911484053254E-2</c:v>
                </c:pt>
                <c:pt idx="2755">
                  <c:v>2.0501125857476654E-2</c:v>
                </c:pt>
                <c:pt idx="2756">
                  <c:v>2.0499349931945021E-2</c:v>
                </c:pt>
                <c:pt idx="2757">
                  <c:v>2.0497583707443368E-2</c:v>
                </c:pt>
                <c:pt idx="2758">
                  <c:v>2.0495827183981685E-2</c:v>
                </c:pt>
                <c:pt idx="2759">
                  <c:v>2.049270342159706E-2</c:v>
                </c:pt>
                <c:pt idx="2760">
                  <c:v>2.0492343240125777E-2</c:v>
                </c:pt>
                <c:pt idx="2761">
                  <c:v>2.0490615819736546E-2</c:v>
                </c:pt>
                <c:pt idx="2762">
                  <c:v>2.0488898100352315E-2</c:v>
                </c:pt>
                <c:pt idx="2763">
                  <c:v>2.0487190081978079E-2</c:v>
                </c:pt>
                <c:pt idx="2764">
                  <c:v>2.0485491764613839E-2</c:v>
                </c:pt>
                <c:pt idx="2765">
                  <c:v>2.0483803148249602E-2</c:v>
                </c:pt>
                <c:pt idx="2766">
                  <c:v>2.048212423288287E-2</c:v>
                </c:pt>
                <c:pt idx="2767">
                  <c:v>2.0479041372886392E-2</c:v>
                </c:pt>
                <c:pt idx="2768">
                  <c:v>2.0478094717159681E-2</c:v>
                </c:pt>
                <c:pt idx="2769">
                  <c:v>2.047714569271275E-2</c:v>
                </c:pt>
                <c:pt idx="2770">
                  <c:v>2.047550558128608E-2</c:v>
                </c:pt>
                <c:pt idx="2771">
                  <c:v>2.047387517083693E-2</c:v>
                </c:pt>
                <c:pt idx="2772">
                  <c:v>2.0470854223714387E-2</c:v>
                </c:pt>
                <c:pt idx="2773">
                  <c:v>2.0469241411339701E-2</c:v>
                </c:pt>
                <c:pt idx="2774">
                  <c:v>2.0467638298251906E-2</c:v>
                </c:pt>
                <c:pt idx="2775">
                  <c:v>2.0466044884453756E-2</c:v>
                </c:pt>
                <c:pt idx="2776">
                  <c:v>2.046446116993423E-2</c:v>
                </c:pt>
                <c:pt idx="2777">
                  <c:v>2.0464296428382711E-2</c:v>
                </c:pt>
                <c:pt idx="2778">
                  <c:v>2.0462733924641319E-2</c:v>
                </c:pt>
                <c:pt idx="2779">
                  <c:v>2.0461652239428026E-2</c:v>
                </c:pt>
                <c:pt idx="2780">
                  <c:v>2.0459638019983684E-2</c:v>
                </c:pt>
                <c:pt idx="2781">
                  <c:v>2.0458104619057449E-2</c:v>
                </c:pt>
                <c:pt idx="2782">
                  <c:v>2.0456580919061274E-2</c:v>
                </c:pt>
                <c:pt idx="2783">
                  <c:v>2.0455066919992659E-2</c:v>
                </c:pt>
                <c:pt idx="2784">
                  <c:v>2.0453562621849108E-2</c:v>
                </c:pt>
                <c:pt idx="2785">
                  <c:v>2.0452068024618131E-2</c:v>
                </c:pt>
                <c:pt idx="2786">
                  <c:v>2.045058312830722E-2</c:v>
                </c:pt>
                <c:pt idx="2787">
                  <c:v>2.0449107932903887E-2</c:v>
                </c:pt>
                <c:pt idx="2788">
                  <c:v>2.0447642438405633E-2</c:v>
                </c:pt>
                <c:pt idx="2789">
                  <c:v>2.0446186644814957E-2</c:v>
                </c:pt>
                <c:pt idx="2790">
                  <c:v>2.0444740552124363E-2</c:v>
                </c:pt>
                <c:pt idx="2791">
                  <c:v>2.0443304160326359E-2</c:v>
                </c:pt>
                <c:pt idx="2792">
                  <c:v>2.0441877469418446E-2</c:v>
                </c:pt>
                <c:pt idx="2793">
                  <c:v>2.0440460479403122E-2</c:v>
                </c:pt>
                <c:pt idx="2794">
                  <c:v>2.0439053190272893E-2</c:v>
                </c:pt>
                <c:pt idx="2795">
                  <c:v>2.0437655602022764E-2</c:v>
                </c:pt>
                <c:pt idx="2796">
                  <c:v>2.0436267714647738E-2</c:v>
                </c:pt>
                <c:pt idx="2797">
                  <c:v>2.0434889528147815E-2</c:v>
                </c:pt>
                <c:pt idx="2798">
                  <c:v>2.0433521042520497E-2</c:v>
                </c:pt>
                <c:pt idx="2799">
                  <c:v>2.0432162257755793E-2</c:v>
                </c:pt>
                <c:pt idx="2800">
                  <c:v>2.0430813173853701E-2</c:v>
                </c:pt>
                <c:pt idx="2801">
                  <c:v>2.0429473790819219E-2</c:v>
                </c:pt>
                <c:pt idx="2802">
                  <c:v>2.042814410863486E-2</c:v>
                </c:pt>
                <c:pt idx="2803">
                  <c:v>2.0426824127303123E-2</c:v>
                </c:pt>
                <c:pt idx="2804">
                  <c:v>2.0425513846821508E-2</c:v>
                </c:pt>
                <c:pt idx="2805">
                  <c:v>2.0424213267190017E-2</c:v>
                </c:pt>
                <c:pt idx="2806">
                  <c:v>2.0422922388396159E-2</c:v>
                </c:pt>
                <c:pt idx="2807">
                  <c:v>2.0420176844067203E-2</c:v>
                </c:pt>
                <c:pt idx="2808">
                  <c:v>2.0420369733328836E-2</c:v>
                </c:pt>
                <c:pt idx="2809">
                  <c:v>2.0419107957045379E-2</c:v>
                </c:pt>
                <c:pt idx="2810">
                  <c:v>2.0417855881589564E-2</c:v>
                </c:pt>
                <c:pt idx="2811">
                  <c:v>2.041661350696139E-2</c:v>
                </c:pt>
                <c:pt idx="2812">
                  <c:v>2.0415380833158359E-2</c:v>
                </c:pt>
                <c:pt idx="2813">
                  <c:v>2.0414157860172977E-2</c:v>
                </c:pt>
                <c:pt idx="2814">
                  <c:v>2.0412944588002746E-2</c:v>
                </c:pt>
                <c:pt idx="2815">
                  <c:v>2.0411741016652662E-2</c:v>
                </c:pt>
                <c:pt idx="2816">
                  <c:v>2.041054714610524E-2</c:v>
                </c:pt>
                <c:pt idx="2817">
                  <c:v>2.0409362976367973E-2</c:v>
                </c:pt>
                <c:pt idx="2818">
                  <c:v>2.0408188507435865E-2</c:v>
                </c:pt>
                <c:pt idx="2819">
                  <c:v>2.0407023739308916E-2</c:v>
                </c:pt>
                <c:pt idx="2820">
                  <c:v>2.0405868671977134E-2</c:v>
                </c:pt>
                <c:pt idx="2821">
                  <c:v>2.0404723305435524E-2</c:v>
                </c:pt>
                <c:pt idx="2822">
                  <c:v>2.0403587639694076E-2</c:v>
                </c:pt>
                <c:pt idx="2823">
                  <c:v>2.0402461674737804E-2</c:v>
                </c:pt>
                <c:pt idx="2824">
                  <c:v>2.0401345410571703E-2</c:v>
                </c:pt>
                <c:pt idx="2825">
                  <c:v>2.0398241484192208E-2</c:v>
                </c:pt>
                <c:pt idx="2826">
                  <c:v>2.0397142098935093E-2</c:v>
                </c:pt>
                <c:pt idx="2827">
                  <c:v>2.0396052412242786E-2</c:v>
                </c:pt>
                <c:pt idx="2828">
                  <c:v>2.0394972424120996E-2</c:v>
                </c:pt>
                <c:pt idx="2829">
                  <c:v>2.0395909601426399E-2</c:v>
                </c:pt>
                <c:pt idx="2830">
                  <c:v>2.0395354239789949E-2</c:v>
                </c:pt>
                <c:pt idx="2831">
                  <c:v>2.0393803183179071E-2</c:v>
                </c:pt>
                <c:pt idx="2832">
                  <c:v>2.0392764525196949E-2</c:v>
                </c:pt>
                <c:pt idx="2833">
                  <c:v>2.0390222244149457E-2</c:v>
                </c:pt>
                <c:pt idx="2834">
                  <c:v>2.0390716311528279E-2</c:v>
                </c:pt>
                <c:pt idx="2835">
                  <c:v>2.0389706755826742E-2</c:v>
                </c:pt>
                <c:pt idx="2836">
                  <c:v>2.0388706900877906E-2</c:v>
                </c:pt>
                <c:pt idx="2837">
                  <c:v>2.0387716746681772E-2</c:v>
                </c:pt>
                <c:pt idx="2838">
                  <c:v>2.0386736293235841E-2</c:v>
                </c:pt>
                <c:pt idx="2839">
                  <c:v>2.0385765540532619E-2</c:v>
                </c:pt>
                <c:pt idx="2840">
                  <c:v>2.0384804488572106E-2</c:v>
                </c:pt>
                <c:pt idx="2841">
                  <c:v>2.03838531373568E-2</c:v>
                </c:pt>
                <c:pt idx="2842">
                  <c:v>2.0382911486879207E-2</c:v>
                </c:pt>
                <c:pt idx="2843">
                  <c:v>2.0381979537134332E-2</c:v>
                </c:pt>
                <c:pt idx="2844">
                  <c:v>2.0381057288129667E-2</c:v>
                </c:pt>
                <c:pt idx="2845">
                  <c:v>2.0380144739850226E-2</c:v>
                </c:pt>
                <c:pt idx="2846">
                  <c:v>2.0377703669889488E-2</c:v>
                </c:pt>
                <c:pt idx="2847">
                  <c:v>2.0378348745479502E-2</c:v>
                </c:pt>
                <c:pt idx="2848">
                  <c:v>2.0377465299383224E-2</c:v>
                </c:pt>
                <c:pt idx="2849">
                  <c:v>2.0376591554007173E-2</c:v>
                </c:pt>
                <c:pt idx="2850">
                  <c:v>2.0375727509348851E-2</c:v>
                </c:pt>
                <c:pt idx="2851">
                  <c:v>2.0374873165410756E-2</c:v>
                </c:pt>
                <c:pt idx="2852">
                  <c:v>2.0374028522187893E-2</c:v>
                </c:pt>
                <c:pt idx="2853">
                  <c:v>2.0373193579677762E-2</c:v>
                </c:pt>
                <c:pt idx="2854">
                  <c:v>2.0372368337877866E-2</c:v>
                </c:pt>
                <c:pt idx="2855">
                  <c:v>2.0371552796790704E-2</c:v>
                </c:pt>
                <c:pt idx="2856">
                  <c:v>2.0370746956406283E-2</c:v>
                </c:pt>
                <c:pt idx="2857">
                  <c:v>2.03699508167271E-2</c:v>
                </c:pt>
                <c:pt idx="2858">
                  <c:v>2.0369164377750659E-2</c:v>
                </c:pt>
                <c:pt idx="2859">
                  <c:v>2.0368387639476959E-2</c:v>
                </c:pt>
                <c:pt idx="2860">
                  <c:v>2.0367620601898506E-2</c:v>
                </c:pt>
                <c:pt idx="2861">
                  <c:v>2.0366863265017798E-2</c:v>
                </c:pt>
                <c:pt idx="2862">
                  <c:v>2.0366115628834836E-2</c:v>
                </c:pt>
                <c:pt idx="2863">
                  <c:v>2.0365377693342124E-2</c:v>
                </c:pt>
                <c:pt idx="2864">
                  <c:v>2.0364649458537165E-2</c:v>
                </c:pt>
                <c:pt idx="2865">
                  <c:v>2.0363930924424956E-2</c:v>
                </c:pt>
                <c:pt idx="2866">
                  <c:v>2.0363222091000499E-2</c:v>
                </c:pt>
                <c:pt idx="2867">
                  <c:v>2.0363049466773316E-2</c:v>
                </c:pt>
                <c:pt idx="2868">
                  <c:v>2.0361833526199857E-2</c:v>
                </c:pt>
                <c:pt idx="2869">
                  <c:v>2.036115379482617E-2</c:v>
                </c:pt>
                <c:pt idx="2870">
                  <c:v>2.0360483764130244E-2</c:v>
                </c:pt>
                <c:pt idx="2871">
                  <c:v>2.0359823434112079E-2</c:v>
                </c:pt>
                <c:pt idx="2872">
                  <c:v>2.0359172804771675E-2</c:v>
                </c:pt>
                <c:pt idx="2873">
                  <c:v>2.0358531876104036E-2</c:v>
                </c:pt>
                <c:pt idx="2874">
                  <c:v>2.035790064811166E-2</c:v>
                </c:pt>
                <c:pt idx="2875">
                  <c:v>2.0357279120789551E-2</c:v>
                </c:pt>
                <c:pt idx="2876">
                  <c:v>2.0356667294137709E-2</c:v>
                </c:pt>
                <c:pt idx="2877">
                  <c:v>2.0353933704726806E-2</c:v>
                </c:pt>
                <c:pt idx="2878">
                  <c:v>2.035333864227892E-2</c:v>
                </c:pt>
                <c:pt idx="2879">
                  <c:v>2.0352753278293063E-2</c:v>
                </c:pt>
                <c:pt idx="2880">
                  <c:v>2.0352177612777807E-2</c:v>
                </c:pt>
                <c:pt idx="2881">
                  <c:v>2.0353753670875052E-2</c:v>
                </c:pt>
                <c:pt idx="2882">
                  <c:v>2.0353200048209841E-2</c:v>
                </c:pt>
                <c:pt idx="2883">
                  <c:v>2.0352656126202406E-2</c:v>
                </c:pt>
                <c:pt idx="2884">
                  <c:v>2.0352121904857745E-2</c:v>
                </c:pt>
                <c:pt idx="2885">
                  <c:v>2.034998279246699E-2</c:v>
                </c:pt>
                <c:pt idx="2886">
                  <c:v>2.0351082564129264E-2</c:v>
                </c:pt>
                <c:pt idx="2887">
                  <c:v>2.0350577444747942E-2</c:v>
                </c:pt>
                <c:pt idx="2888">
                  <c:v>2.0350082026021898E-2</c:v>
                </c:pt>
                <c:pt idx="2889">
                  <c:v>2.034959630794364E-2</c:v>
                </c:pt>
                <c:pt idx="2890">
                  <c:v>2.0349120290515665E-2</c:v>
                </c:pt>
                <c:pt idx="2891">
                  <c:v>2.0348653973735475E-2</c:v>
                </c:pt>
                <c:pt idx="2892">
                  <c:v>2.0348197357608067E-2</c:v>
                </c:pt>
                <c:pt idx="2893">
                  <c:v>2.0347750442118451E-2</c:v>
                </c:pt>
                <c:pt idx="2894">
                  <c:v>2.0347313227281616E-2</c:v>
                </c:pt>
                <c:pt idx="2895">
                  <c:v>2.034688571308757E-2</c:v>
                </c:pt>
                <c:pt idx="2896">
                  <c:v>2.0346467899536314E-2</c:v>
                </c:pt>
                <c:pt idx="2897">
                  <c:v>2.034605978662285E-2</c:v>
                </c:pt>
                <c:pt idx="2898">
                  <c:v>2.0345661374357171E-2</c:v>
                </c:pt>
                <c:pt idx="2899">
                  <c:v>2.0345272662726788E-2</c:v>
                </c:pt>
                <c:pt idx="2900">
                  <c:v>2.0344893651734197E-2</c:v>
                </c:pt>
                <c:pt idx="2901">
                  <c:v>2.0344524341381898E-2</c:v>
                </c:pt>
                <c:pt idx="2902">
                  <c:v>2.0344164731667391E-2</c:v>
                </c:pt>
                <c:pt idx="2903">
                  <c:v>2.034381482258818E-2</c:v>
                </c:pt>
                <c:pt idx="2904">
                  <c:v>2.0343474614141765E-2</c:v>
                </c:pt>
                <c:pt idx="2905">
                  <c:v>2.0343144106333144E-2</c:v>
                </c:pt>
                <c:pt idx="2906">
                  <c:v>2.0342823299159818E-2</c:v>
                </c:pt>
                <c:pt idx="2907">
                  <c:v>2.0340853416017695E-2</c:v>
                </c:pt>
                <c:pt idx="2908">
                  <c:v>2.0342210786701564E-2</c:v>
                </c:pt>
                <c:pt idx="2909">
                  <c:v>2.0341919081421633E-2</c:v>
                </c:pt>
                <c:pt idx="2910">
                  <c:v>2.0341637076767005E-2</c:v>
                </c:pt>
                <c:pt idx="2911">
                  <c:v>2.0341364772745174E-2</c:v>
                </c:pt>
                <c:pt idx="2912">
                  <c:v>2.0341102169353642E-2</c:v>
                </c:pt>
                <c:pt idx="2913">
                  <c:v>2.0340849266589911E-2</c:v>
                </c:pt>
                <c:pt idx="2914">
                  <c:v>2.0340606064451483E-2</c:v>
                </c:pt>
                <c:pt idx="2915">
                  <c:v>2.0340372562943354E-2</c:v>
                </c:pt>
                <c:pt idx="2916">
                  <c:v>2.034014876205803E-2</c:v>
                </c:pt>
                <c:pt idx="2917">
                  <c:v>2.0339934661798009E-2</c:v>
                </c:pt>
                <c:pt idx="2918">
                  <c:v>2.0339730262168287E-2</c:v>
                </c:pt>
                <c:pt idx="2919">
                  <c:v>2.0340658135645458E-2</c:v>
                </c:pt>
                <c:pt idx="2920">
                  <c:v>2.033766530497081E-2</c:v>
                </c:pt>
                <c:pt idx="2921">
                  <c:v>2.0339175267013454E-2</c:v>
                </c:pt>
                <c:pt idx="2922">
                  <c:v>2.0339009669872454E-2</c:v>
                </c:pt>
                <c:pt idx="2923">
                  <c:v>2.0338853773359256E-2</c:v>
                </c:pt>
                <c:pt idx="2924">
                  <c:v>2.0339252243219169E-2</c:v>
                </c:pt>
                <c:pt idx="2925">
                  <c:v>2.0337987017057281E-2</c:v>
                </c:pt>
                <c:pt idx="2926">
                  <c:v>2.0337860922428352E-2</c:v>
                </c:pt>
                <c:pt idx="2927">
                  <c:v>2.0337744527872421E-2</c:v>
                </c:pt>
                <c:pt idx="2928">
                  <c:v>2.0337637833389495E-2</c:v>
                </c:pt>
                <c:pt idx="2929">
                  <c:v>2.0335837048022221E-2</c:v>
                </c:pt>
                <c:pt idx="2930">
                  <c:v>2.0335747690229625E-2</c:v>
                </c:pt>
                <c:pt idx="2931">
                  <c:v>2.0335668030867664E-2</c:v>
                </c:pt>
                <c:pt idx="2932">
                  <c:v>2.0335598069933472E-2</c:v>
                </c:pt>
                <c:pt idx="2933">
                  <c:v>2.0337249862064751E-2</c:v>
                </c:pt>
                <c:pt idx="2934">
                  <c:v>2.0337201368017265E-2</c:v>
                </c:pt>
                <c:pt idx="2935">
                  <c:v>2.0337734814221409E-2</c:v>
                </c:pt>
                <c:pt idx="2936">
                  <c:v>2.0337133480141299E-2</c:v>
                </c:pt>
                <c:pt idx="2937">
                  <c:v>2.0337114086307662E-2</c:v>
                </c:pt>
                <c:pt idx="2938">
                  <c:v>2.0337104392547028E-2</c:v>
                </c:pt>
                <c:pt idx="2939">
                  <c:v>2.0336533440645788E-2</c:v>
                </c:pt>
                <c:pt idx="2940">
                  <c:v>2.0337114105242193E-2</c:v>
                </c:pt>
                <c:pt idx="2941">
                  <c:v>2.033713351169799E-2</c:v>
                </c:pt>
                <c:pt idx="2942">
                  <c:v>2.0337162618224214E-2</c:v>
                </c:pt>
                <c:pt idx="2943">
                  <c:v>2.0337201424826014E-2</c:v>
                </c:pt>
                <c:pt idx="2944">
                  <c:v>2.0337249931495664E-2</c:v>
                </c:pt>
                <c:pt idx="2945">
                  <c:v>2.0337308138240893E-2</c:v>
                </c:pt>
                <c:pt idx="2946">
                  <c:v>2.033737604505655E-2</c:v>
                </c:pt>
                <c:pt idx="2947">
                  <c:v>2.0337453651942627E-2</c:v>
                </c:pt>
                <c:pt idx="2948">
                  <c:v>2.0337540958906865E-2</c:v>
                </c:pt>
                <c:pt idx="2949">
                  <c:v>2.0337637965938949E-2</c:v>
                </c:pt>
                <c:pt idx="2950">
                  <c:v>2.0338327339602669E-2</c:v>
                </c:pt>
                <c:pt idx="2951">
                  <c:v>2.0337861080227285E-2</c:v>
                </c:pt>
                <c:pt idx="2952">
                  <c:v>2.0337987187478378E-2</c:v>
                </c:pt>
                <c:pt idx="2953">
                  <c:v>2.0338122994807632E-2</c:v>
                </c:pt>
                <c:pt idx="2954">
                  <c:v>2.0338268502209888E-2</c:v>
                </c:pt>
                <c:pt idx="2955">
                  <c:v>2.0338423709687727E-2</c:v>
                </c:pt>
                <c:pt idx="2956">
                  <c:v>2.0338588617238567E-2</c:v>
                </c:pt>
                <c:pt idx="2957">
                  <c:v>2.0338763224867568E-2</c:v>
                </c:pt>
                <c:pt idx="2958">
                  <c:v>2.0338947532569571E-2</c:v>
                </c:pt>
                <c:pt idx="2959">
                  <c:v>2.0337375131302959E-2</c:v>
                </c:pt>
                <c:pt idx="2960">
                  <c:v>2.0339345248205479E-2</c:v>
                </c:pt>
                <c:pt idx="2961">
                  <c:v>2.0339558656141964E-2</c:v>
                </c:pt>
                <c:pt idx="2962">
                  <c:v>2.0339781764151448E-2</c:v>
                </c:pt>
                <c:pt idx="2963">
                  <c:v>2.0341198266653687E-2</c:v>
                </c:pt>
                <c:pt idx="2964">
                  <c:v>2.0340257080412639E-2</c:v>
                </c:pt>
                <c:pt idx="2965">
                  <c:v>2.0340509288661761E-2</c:v>
                </c:pt>
                <c:pt idx="2966">
                  <c:v>2.0340771196991625E-2</c:v>
                </c:pt>
                <c:pt idx="2967">
                  <c:v>2.0341042805399646E-2</c:v>
                </c:pt>
                <c:pt idx="2968">
                  <c:v>2.0341324113893566E-2</c:v>
                </c:pt>
                <c:pt idx="2969">
                  <c:v>2.0341615122468223E-2</c:v>
                </c:pt>
                <c:pt idx="2970">
                  <c:v>2.034191583112362E-2</c:v>
                </c:pt>
                <c:pt idx="2971">
                  <c:v>2.0342226239867488E-2</c:v>
                </c:pt>
                <c:pt idx="2972">
                  <c:v>2.0342546348692099E-2</c:v>
                </c:pt>
                <c:pt idx="2973">
                  <c:v>2.03428761576026E-2</c:v>
                </c:pt>
                <c:pt idx="2974">
                  <c:v>2.0343215666599003E-2</c:v>
                </c:pt>
                <c:pt idx="2975">
                  <c:v>2.0343564875683878E-2</c:v>
                </c:pt>
                <c:pt idx="2976">
                  <c:v>2.0344080572487846E-2</c:v>
                </c:pt>
                <c:pt idx="2977">
                  <c:v>2.0344453338932655E-2</c:v>
                </c:pt>
                <c:pt idx="2978">
                  <c:v>2.0344835805463358E-2</c:v>
                </c:pt>
                <c:pt idx="2979">
                  <c:v>2.0345227972090273E-2</c:v>
                </c:pt>
                <c:pt idx="2980">
                  <c:v>2.0345629838803083E-2</c:v>
                </c:pt>
                <c:pt idx="2981">
                  <c:v>2.0344831854931175E-2</c:v>
                </c:pt>
                <c:pt idx="2982">
                  <c:v>2.03452516886879E-2</c:v>
                </c:pt>
                <c:pt idx="2983">
                  <c:v>2.0345681221447608E-2</c:v>
                </c:pt>
                <c:pt idx="2984">
                  <c:v>2.0346120453204778E-2</c:v>
                </c:pt>
                <c:pt idx="2985">
                  <c:v>2.0347784673802553E-2</c:v>
                </c:pt>
                <c:pt idx="2986">
                  <c:v>2.0348244741090045E-2</c:v>
                </c:pt>
                <c:pt idx="2987">
                  <c:v>2.0348714508481483E-2</c:v>
                </c:pt>
                <c:pt idx="2988">
                  <c:v>2.0349193975974289E-2</c:v>
                </c:pt>
                <c:pt idx="2989">
                  <c:v>2.0349072574459726E-2</c:v>
                </c:pt>
                <c:pt idx="2990">
                  <c:v>2.0349714830334875E-2</c:v>
                </c:pt>
                <c:pt idx="2991">
                  <c:v>2.0350078567407337E-2</c:v>
                </c:pt>
                <c:pt idx="2992">
                  <c:v>2.0350596113218877E-2</c:v>
                </c:pt>
                <c:pt idx="2993">
                  <c:v>2.0351123358586243E-2</c:v>
                </c:pt>
                <c:pt idx="2994">
                  <c:v>2.0352352084683025E-2</c:v>
                </c:pt>
                <c:pt idx="2995">
                  <c:v>2.0352900838644009E-2</c:v>
                </c:pt>
                <c:pt idx="2996">
                  <c:v>2.0353459292716671E-2</c:v>
                </c:pt>
                <c:pt idx="2997">
                  <c:v>2.0354027446901016E-2</c:v>
                </c:pt>
                <c:pt idx="2998">
                  <c:v>2.0353988119670596E-2</c:v>
                </c:pt>
                <c:pt idx="2999">
                  <c:v>2.0354574948069803E-2</c:v>
                </c:pt>
                <c:pt idx="3000">
                  <c:v>2.0355171476038159E-2</c:v>
                </c:pt>
                <c:pt idx="3001">
                  <c:v>2.0355777703572997E-2</c:v>
                </c:pt>
                <c:pt idx="3002">
                  <c:v>2.0357013719572742E-2</c:v>
                </c:pt>
                <c:pt idx="3003">
                  <c:v>2.0357640074465853E-2</c:v>
                </c:pt>
                <c:pt idx="3004">
                  <c:v>2.0358276129480962E-2</c:v>
                </c:pt>
                <c:pt idx="3005">
                  <c:v>2.0358921884620646E-2</c:v>
                </c:pt>
                <c:pt idx="3006">
                  <c:v>2.0359577339887483E-2</c:v>
                </c:pt>
                <c:pt idx="3007">
                  <c:v>2.0360242495281473E-2</c:v>
                </c:pt>
                <c:pt idx="3008">
                  <c:v>2.0360917273331683E-2</c:v>
                </c:pt>
                <c:pt idx="3009">
                  <c:v>2.0361600295251997E-2</c:v>
                </c:pt>
                <c:pt idx="3010">
                  <c:v>2.0362289102459397E-2</c:v>
                </c:pt>
                <c:pt idx="3011">
                  <c:v>2.0362356164429052E-2</c:v>
                </c:pt>
                <c:pt idx="3012">
                  <c:v>2.0363049116940424E-2</c:v>
                </c:pt>
                <c:pt idx="3013">
                  <c:v>2.0363741007098923E-2</c:v>
                </c:pt>
                <c:pt idx="3014">
                  <c:v>2.0364431564728669E-2</c:v>
                </c:pt>
                <c:pt idx="3015">
                  <c:v>2.0365745613320156E-2</c:v>
                </c:pt>
                <c:pt idx="3016">
                  <c:v>2.0366433449582944E-2</c:v>
                </c:pt>
                <c:pt idx="3017">
                  <c:v>2.0367119953234286E-2</c:v>
                </c:pt>
                <c:pt idx="3018">
                  <c:v>2.036780512427935E-2</c:v>
                </c:pt>
                <c:pt idx="3019">
                  <c:v>2.0368488962720706E-2</c:v>
                </c:pt>
                <c:pt idx="3020">
                  <c:v>2.0368546927310049E-2</c:v>
                </c:pt>
                <c:pt idx="3021">
                  <c:v>2.0369228157209207E-2</c:v>
                </c:pt>
                <c:pt idx="3022">
                  <c:v>2.0369908054576946E-2</c:v>
                </c:pt>
                <c:pt idx="3023">
                  <c:v>2.0373084212088218E-2</c:v>
                </c:pt>
                <c:pt idx="3024">
                  <c:v>2.0371888165804878E-2</c:v>
                </c:pt>
                <c:pt idx="3025">
                  <c:v>2.0372564008598219E-2</c:v>
                </c:pt>
                <c:pt idx="3026">
                  <c:v>2.0373238518782699E-2</c:v>
                </c:pt>
                <c:pt idx="3027">
                  <c:v>2.0373911696358316E-2</c:v>
                </c:pt>
                <c:pt idx="3028">
                  <c:v>2.037405533279113E-2</c:v>
                </c:pt>
                <c:pt idx="3029">
                  <c:v>2.0376597827214127E-2</c:v>
                </c:pt>
                <c:pt idx="3030">
                  <c:v>2.0377266701861917E-2</c:v>
                </c:pt>
                <c:pt idx="3031">
                  <c:v>2.0377934243752775E-2</c:v>
                </c:pt>
                <c:pt idx="3032">
                  <c:v>2.0376728854624382E-2</c:v>
                </c:pt>
                <c:pt idx="3033">
                  <c:v>2.0376146376885576E-2</c:v>
                </c:pt>
                <c:pt idx="3034">
                  <c:v>2.0376810208737921E-2</c:v>
                </c:pt>
                <c:pt idx="3035">
                  <c:v>2.0377472708201783E-2</c:v>
                </c:pt>
                <c:pt idx="3036">
                  <c:v>2.0378133875277156E-2</c:v>
                </c:pt>
                <c:pt idx="3037">
                  <c:v>2.0381911507148975E-2</c:v>
                </c:pt>
                <c:pt idx="3038">
                  <c:v>2.038256971972675E-2</c:v>
                </c:pt>
                <c:pt idx="3039">
                  <c:v>2.0383226599540324E-2</c:v>
                </c:pt>
                <c:pt idx="3040">
                  <c:v>2.0383882146594541E-2</c:v>
                </c:pt>
                <c:pt idx="3041">
                  <c:v>2.0384006356456708E-2</c:v>
                </c:pt>
                <c:pt idx="3042">
                  <c:v>2.0384659105866232E-2</c:v>
                </c:pt>
                <c:pt idx="3043">
                  <c:v>2.0385310522589295E-2</c:v>
                </c:pt>
                <c:pt idx="3044">
                  <c:v>2.0385960606620901E-2</c:v>
                </c:pt>
                <c:pt idx="3045">
                  <c:v>2.0384740101630206E-2</c:v>
                </c:pt>
                <c:pt idx="3046">
                  <c:v>2.0387256776627227E-2</c:v>
                </c:pt>
                <c:pt idx="3047">
                  <c:v>2.0387902862601948E-2</c:v>
                </c:pt>
                <c:pt idx="3048">
                  <c:v>2.0388547615885211E-2</c:v>
                </c:pt>
                <c:pt idx="3049">
                  <c:v>2.0389191036482013E-2</c:v>
                </c:pt>
                <c:pt idx="3050">
                  <c:v>2.0389833124387358E-2</c:v>
                </c:pt>
                <c:pt idx="3051">
                  <c:v>2.0390473879606241E-2</c:v>
                </c:pt>
                <c:pt idx="3052">
                  <c:v>2.0391113302136166E-2</c:v>
                </c:pt>
                <c:pt idx="3053">
                  <c:v>2.0391751391979629E-2</c:v>
                </c:pt>
                <c:pt idx="3054">
                  <c:v>2.0392388149131635E-2</c:v>
                </c:pt>
                <c:pt idx="3055">
                  <c:v>2.0393023573592184E-2</c:v>
                </c:pt>
                <c:pt idx="3056">
                  <c:v>2.0393657665366272E-2</c:v>
                </c:pt>
                <c:pt idx="3057">
                  <c:v>2.0394290424448902E-2</c:v>
                </c:pt>
                <c:pt idx="3058">
                  <c:v>2.0394921850840075E-2</c:v>
                </c:pt>
                <c:pt idx="3059">
                  <c:v>2.0395551944542289E-2</c:v>
                </c:pt>
                <c:pt idx="3060">
                  <c:v>2.0396180705553046E-2</c:v>
                </c:pt>
                <c:pt idx="3061">
                  <c:v>2.0396808133874844E-2</c:v>
                </c:pt>
                <c:pt idx="3062">
                  <c:v>2.0397434229502687E-2</c:v>
                </c:pt>
                <c:pt idx="3063">
                  <c:v>2.0398058992439072E-2</c:v>
                </c:pt>
                <c:pt idx="3064">
                  <c:v>2.0398682422688996E-2</c:v>
                </c:pt>
                <c:pt idx="3065">
                  <c:v>2.0399304520242467E-2</c:v>
                </c:pt>
                <c:pt idx="3066">
                  <c:v>2.0399925285104481E-2</c:v>
                </c:pt>
                <c:pt idx="3067">
                  <c:v>2.0400544717277536E-2</c:v>
                </c:pt>
                <c:pt idx="3068">
                  <c:v>2.0401162816754137E-2</c:v>
                </c:pt>
                <c:pt idx="3069">
                  <c:v>2.0401779583536783E-2</c:v>
                </c:pt>
                <c:pt idx="3070">
                  <c:v>2.040239501763047E-2</c:v>
                </c:pt>
                <c:pt idx="3071">
                  <c:v>2.0403009119030202E-2</c:v>
                </c:pt>
                <c:pt idx="3072">
                  <c:v>2.0403621887735979E-2</c:v>
                </c:pt>
                <c:pt idx="3073">
                  <c:v>2.04042333237478E-2</c:v>
                </c:pt>
                <c:pt idx="3074">
                  <c:v>2.0404843427068164E-2</c:v>
                </c:pt>
                <c:pt idx="3075">
                  <c:v>2.0405452197694574E-2</c:v>
                </c:pt>
                <c:pt idx="3076">
                  <c:v>2.0406059635624529E-2</c:v>
                </c:pt>
                <c:pt idx="3077">
                  <c:v>2.040666574086053E-2</c:v>
                </c:pt>
                <c:pt idx="3078">
                  <c:v>2.0407270513402576E-2</c:v>
                </c:pt>
                <c:pt idx="3079">
                  <c:v>2.0407873953250666E-2</c:v>
                </c:pt>
                <c:pt idx="3080">
                  <c:v>2.0406613084362833E-2</c:v>
                </c:pt>
                <c:pt idx="3081">
                  <c:v>2.0409076834857487E-2</c:v>
                </c:pt>
                <c:pt idx="3082">
                  <c:v>2.0409676276621214E-2</c:v>
                </c:pt>
                <c:pt idx="3083">
                  <c:v>2.0410274385688487E-2</c:v>
                </c:pt>
                <c:pt idx="3084">
                  <c:v>2.0409008921180045E-2</c:v>
                </c:pt>
                <c:pt idx="3085">
                  <c:v>2.040898389885859E-2</c:v>
                </c:pt>
                <c:pt idx="3086">
                  <c:v>2.0409578255916445E-2</c:v>
                </c:pt>
                <c:pt idx="3087">
                  <c:v>2.0410171280580106E-2</c:v>
                </c:pt>
                <c:pt idx="3088">
                  <c:v>2.0410762972838153E-2</c:v>
                </c:pt>
                <c:pt idx="3089">
                  <c:v>2.0413835053461615E-2</c:v>
                </c:pt>
                <c:pt idx="3090">
                  <c:v>2.0415044245868881E-2</c:v>
                </c:pt>
                <c:pt idx="3091">
                  <c:v>2.041501128114187E-2</c:v>
                </c:pt>
                <c:pt idx="3092">
                  <c:v>2.0415597395938567E-2</c:v>
                </c:pt>
                <c:pt idx="3093">
                  <c:v>2.0416182178036313E-2</c:v>
                </c:pt>
                <c:pt idx="3094">
                  <c:v>2.0416765627437605E-2</c:v>
                </c:pt>
                <c:pt idx="3095">
                  <c:v>2.0417347744137448E-2</c:v>
                </c:pt>
                <c:pt idx="3096">
                  <c:v>2.0417928528140838E-2</c:v>
                </c:pt>
                <c:pt idx="3097">
                  <c:v>2.0418507979442779E-2</c:v>
                </c:pt>
                <c:pt idx="3098">
                  <c:v>2.0419086098048267E-2</c:v>
                </c:pt>
                <c:pt idx="3099">
                  <c:v>2.0419662883957301E-2</c:v>
                </c:pt>
                <c:pt idx="3100">
                  <c:v>2.0420238337164887E-2</c:v>
                </c:pt>
                <c:pt idx="3101">
                  <c:v>2.0420812457676019E-2</c:v>
                </c:pt>
                <c:pt idx="3102">
                  <c:v>2.0421385245478207E-2</c:v>
                </c:pt>
                <c:pt idx="3103">
                  <c:v>2.0421956700591437E-2</c:v>
                </c:pt>
                <c:pt idx="3104">
                  <c:v>2.0422526822998222E-2</c:v>
                </c:pt>
                <c:pt idx="3105">
                  <c:v>2.0423095612703557E-2</c:v>
                </c:pt>
                <c:pt idx="3106">
                  <c:v>2.0423663069714937E-2</c:v>
                </c:pt>
                <c:pt idx="3107">
                  <c:v>2.0424229194019872E-2</c:v>
                </c:pt>
                <c:pt idx="3108">
                  <c:v>2.0424793985630851E-2</c:v>
                </c:pt>
                <c:pt idx="3109">
                  <c:v>2.0425357444532888E-2</c:v>
                </c:pt>
                <c:pt idx="3110">
                  <c:v>2.0425919570735973E-2</c:v>
                </c:pt>
                <c:pt idx="3111">
                  <c:v>2.0426480364242605E-2</c:v>
                </c:pt>
                <c:pt idx="3112">
                  <c:v>2.042703982504529E-2</c:v>
                </c:pt>
                <c:pt idx="3113">
                  <c:v>2.042759795314153E-2</c:v>
                </c:pt>
                <c:pt idx="3114">
                  <c:v>2.0428154748538818E-2</c:v>
                </c:pt>
                <c:pt idx="3115">
                  <c:v>2.0428710211234657E-2</c:v>
                </c:pt>
                <c:pt idx="3116">
                  <c:v>2.042926434122655E-2</c:v>
                </c:pt>
                <c:pt idx="3117">
                  <c:v>2.0429817138514494E-2</c:v>
                </c:pt>
                <c:pt idx="3118">
                  <c:v>2.0430368603103488E-2</c:v>
                </c:pt>
                <c:pt idx="3119">
                  <c:v>2.0429063079486429E-2</c:v>
                </c:pt>
                <c:pt idx="3120">
                  <c:v>2.0431467534169634E-2</c:v>
                </c:pt>
                <c:pt idx="3121">
                  <c:v>2.0432015000646786E-2</c:v>
                </c:pt>
                <c:pt idx="3122">
                  <c:v>2.0432561134422489E-2</c:v>
                </c:pt>
                <c:pt idx="3123">
                  <c:v>2.0433105935491747E-2</c:v>
                </c:pt>
                <c:pt idx="3124">
                  <c:v>2.0433649403859555E-2</c:v>
                </c:pt>
                <c:pt idx="3125">
                  <c:v>2.0434191539520918E-2</c:v>
                </c:pt>
                <c:pt idx="3126">
                  <c:v>2.043473234248333E-2</c:v>
                </c:pt>
                <c:pt idx="3127">
                  <c:v>2.0435271812734301E-2</c:v>
                </c:pt>
                <c:pt idx="3128">
                  <c:v>2.0435809950281325E-2</c:v>
                </c:pt>
                <c:pt idx="3129">
                  <c:v>2.0436346755124402E-2</c:v>
                </c:pt>
                <c:pt idx="3130">
                  <c:v>2.0436882227263531E-2</c:v>
                </c:pt>
                <c:pt idx="3131">
                  <c:v>2.0437416366696215E-2</c:v>
                </c:pt>
                <c:pt idx="3132">
                  <c:v>2.0437949173424952E-2</c:v>
                </c:pt>
                <c:pt idx="3133">
                  <c:v>2.0438480647447244E-2</c:v>
                </c:pt>
                <c:pt idx="3134">
                  <c:v>2.043901078876309E-2</c:v>
                </c:pt>
                <c:pt idx="3135">
                  <c:v>2.0439539597372491E-2</c:v>
                </c:pt>
                <c:pt idx="3136">
                  <c:v>2.0440067073275447E-2</c:v>
                </c:pt>
                <c:pt idx="3137">
                  <c:v>2.0438123701592228E-2</c:v>
                </c:pt>
                <c:pt idx="3138">
                  <c:v>2.0438648773695167E-2</c:v>
                </c:pt>
                <c:pt idx="3139">
                  <c:v>2.0439172513398201E-2</c:v>
                </c:pt>
                <c:pt idx="3140">
                  <c:v>2.0439694920687059E-2</c:v>
                </c:pt>
                <c:pt idx="3141">
                  <c:v>2.04433016215664E-2</c:v>
                </c:pt>
                <c:pt idx="3142">
                  <c:v>2.0443203941857835E-2</c:v>
                </c:pt>
                <c:pt idx="3143">
                  <c:v>2.0443722088815675E-2</c:v>
                </c:pt>
                <c:pt idx="3144">
                  <c:v>2.0444238903062073E-2</c:v>
                </c:pt>
                <c:pt idx="3145">
                  <c:v>2.0442903798840496E-2</c:v>
                </c:pt>
                <c:pt idx="3146">
                  <c:v>2.0445268533430538E-2</c:v>
                </c:pt>
                <c:pt idx="3147">
                  <c:v>2.0445781349555103E-2</c:v>
                </c:pt>
                <c:pt idx="3148">
                  <c:v>2.0446292832973223E-2</c:v>
                </c:pt>
                <c:pt idx="3149">
                  <c:v>2.0446802983677403E-2</c:v>
                </c:pt>
                <c:pt idx="3150">
                  <c:v>2.0447311801672641E-2</c:v>
                </c:pt>
                <c:pt idx="3151">
                  <c:v>2.0447819286961433E-2</c:v>
                </c:pt>
                <c:pt idx="3152">
                  <c:v>2.0448325439541282E-2</c:v>
                </c:pt>
                <c:pt idx="3153">
                  <c:v>2.0448830259407191E-2</c:v>
                </c:pt>
                <c:pt idx="3154">
                  <c:v>2.0449333746569154E-2</c:v>
                </c:pt>
                <c:pt idx="3155">
                  <c:v>2.0449835901017177E-2</c:v>
                </c:pt>
                <c:pt idx="3156">
                  <c:v>2.0450336722758755E-2</c:v>
                </c:pt>
                <c:pt idx="3157">
                  <c:v>2.0450836211788892E-2</c:v>
                </c:pt>
                <c:pt idx="3158">
                  <c:v>2.0449486374150158E-2</c:v>
                </c:pt>
                <c:pt idx="3159">
                  <c:v>2.045183119171734E-2</c:v>
                </c:pt>
                <c:pt idx="3160">
                  <c:v>2.0452326682610655E-2</c:v>
                </c:pt>
                <c:pt idx="3161">
                  <c:v>2.0452820840805019E-2</c:v>
                </c:pt>
                <c:pt idx="3162">
                  <c:v>2.0453313666280448E-2</c:v>
                </c:pt>
                <c:pt idx="3163">
                  <c:v>2.0453805159044436E-2</c:v>
                </c:pt>
                <c:pt idx="3164">
                  <c:v>2.045429531909948E-2</c:v>
                </c:pt>
                <c:pt idx="3165">
                  <c:v>2.045478414644808E-2</c:v>
                </c:pt>
                <c:pt idx="3166">
                  <c:v>2.0455271641080242E-2</c:v>
                </c:pt>
                <c:pt idx="3167">
                  <c:v>2.0455757802995966E-2</c:v>
                </c:pt>
                <c:pt idx="3168">
                  <c:v>2.0456242632205246E-2</c:v>
                </c:pt>
                <c:pt idx="3169">
                  <c:v>2.0456726128698088E-2</c:v>
                </c:pt>
                <c:pt idx="3170">
                  <c:v>2.0457208292484486E-2</c:v>
                </c:pt>
                <c:pt idx="3171">
                  <c:v>2.0457689123551948E-2</c:v>
                </c:pt>
                <c:pt idx="3172">
                  <c:v>2.0458168621910466E-2</c:v>
                </c:pt>
                <c:pt idx="3173">
                  <c:v>2.0458646787555046E-2</c:v>
                </c:pt>
                <c:pt idx="3174">
                  <c:v>2.0459123620485686E-2</c:v>
                </c:pt>
                <c:pt idx="3175">
                  <c:v>2.0459599120707384E-2</c:v>
                </c:pt>
                <c:pt idx="3176">
                  <c:v>2.0460073288212643E-2</c:v>
                </c:pt>
                <c:pt idx="3177">
                  <c:v>2.046054612300896E-2</c:v>
                </c:pt>
                <c:pt idx="3178">
                  <c:v>2.0461017625081346E-2</c:v>
                </c:pt>
                <c:pt idx="3179">
                  <c:v>2.0462102403557031E-2</c:v>
                </c:pt>
                <c:pt idx="3180">
                  <c:v>2.0461956631096789E-2</c:v>
                </c:pt>
                <c:pt idx="3181">
                  <c:v>2.0462424135029855E-2</c:v>
                </c:pt>
                <c:pt idx="3182">
                  <c:v>2.0462890306253978E-2</c:v>
                </c:pt>
                <c:pt idx="3183">
                  <c:v>2.0463355144761664E-2</c:v>
                </c:pt>
                <c:pt idx="3184">
                  <c:v>2.0463818650552912E-2</c:v>
                </c:pt>
                <c:pt idx="3185">
                  <c:v>2.0464280823630221E-2</c:v>
                </c:pt>
                <c:pt idx="3186">
                  <c:v>2.0464741663993591E-2</c:v>
                </c:pt>
                <c:pt idx="3187">
                  <c:v>2.0465201171643022E-2</c:v>
                </c:pt>
                <c:pt idx="3188">
                  <c:v>2.0465659346573517E-2</c:v>
                </c:pt>
                <c:pt idx="3189">
                  <c:v>2.0464274528718646E-2</c:v>
                </c:pt>
                <c:pt idx="3190">
                  <c:v>2.0464730246143821E-2</c:v>
                </c:pt>
                <c:pt idx="3191">
                  <c:v>2.0465184631076258E-2</c:v>
                </c:pt>
                <c:pt idx="3192">
                  <c:v>2.0465637683515961E-2</c:v>
                </c:pt>
                <c:pt idx="3193">
                  <c:v>2.0467930230496922E-2</c:v>
                </c:pt>
                <c:pt idx="3194">
                  <c:v>2.0468380409133791E-2</c:v>
                </c:pt>
                <c:pt idx="3195">
                  <c:v>2.0468829255051724E-2</c:v>
                </c:pt>
                <c:pt idx="3196">
                  <c:v>2.0469890201376989E-2</c:v>
                </c:pt>
                <c:pt idx="3197">
                  <c:v>2.0469722948745772E-2</c:v>
                </c:pt>
                <c:pt idx="3198">
                  <c:v>2.0470167796514394E-2</c:v>
                </c:pt>
                <c:pt idx="3199">
                  <c:v>2.047061131156408E-2</c:v>
                </c:pt>
                <c:pt idx="3200">
                  <c:v>2.0471053493899827E-2</c:v>
                </c:pt>
                <c:pt idx="3201">
                  <c:v>2.0471494343516639E-2</c:v>
                </c:pt>
                <c:pt idx="3202">
                  <c:v>2.0471383553434287E-2</c:v>
                </c:pt>
                <c:pt idx="3203">
                  <c:v>2.0471821617535413E-2</c:v>
                </c:pt>
                <c:pt idx="3204">
                  <c:v>2.0472258348986416E-2</c:v>
                </c:pt>
                <c:pt idx="3205">
                  <c:v>2.0472693747802771E-2</c:v>
                </c:pt>
                <c:pt idx="3206">
                  <c:v>2.0473127813971585E-2</c:v>
                </c:pt>
                <c:pt idx="3207">
                  <c:v>2.0473560547498017E-2</c:v>
                </c:pt>
                <c:pt idx="3208">
                  <c:v>2.0473991948382064E-2</c:v>
                </c:pt>
                <c:pt idx="3209">
                  <c:v>2.0474422016626307E-2</c:v>
                </c:pt>
                <c:pt idx="3210">
                  <c:v>2.0475463173998398E-2</c:v>
                </c:pt>
                <c:pt idx="3211">
                  <c:v>2.0475278155174751E-2</c:v>
                </c:pt>
                <c:pt idx="3212">
                  <c:v>2.0475704225481527E-2</c:v>
                </c:pt>
                <c:pt idx="3213">
                  <c:v>2.0476128963148502E-2</c:v>
                </c:pt>
                <c:pt idx="3214">
                  <c:v>2.0476552368165354E-2</c:v>
                </c:pt>
                <c:pt idx="3215">
                  <c:v>2.0476974440544981E-2</c:v>
                </c:pt>
                <c:pt idx="3216">
                  <c:v>2.0477395180277067E-2</c:v>
                </c:pt>
                <c:pt idx="3217">
                  <c:v>2.0477814587364192E-2</c:v>
                </c:pt>
                <c:pt idx="3218">
                  <c:v>2.0478232661806355E-2</c:v>
                </c:pt>
                <c:pt idx="3219">
                  <c:v>2.0476814159055792E-2</c:v>
                </c:pt>
                <c:pt idx="3220">
                  <c:v>2.0479064812753214E-2</c:v>
                </c:pt>
                <c:pt idx="3221">
                  <c:v>2.0479478889260491E-2</c:v>
                </c:pt>
                <c:pt idx="3222">
                  <c:v>2.0479891633120226E-2</c:v>
                </c:pt>
                <c:pt idx="3223">
                  <c:v>2.0481526048915816E-2</c:v>
                </c:pt>
                <c:pt idx="3224">
                  <c:v>2.0480713122909968E-2</c:v>
                </c:pt>
                <c:pt idx="3225">
                  <c:v>2.0481121868837396E-2</c:v>
                </c:pt>
                <c:pt idx="3226">
                  <c:v>2.0481529282114701E-2</c:v>
                </c:pt>
                <c:pt idx="3227">
                  <c:v>2.0481935362747047E-2</c:v>
                </c:pt>
                <c:pt idx="3228">
                  <c:v>2.0482340110731856E-2</c:v>
                </c:pt>
                <c:pt idx="3229">
                  <c:v>2.0482743526076853E-2</c:v>
                </c:pt>
                <c:pt idx="3230">
                  <c:v>2.0483145608769158E-2</c:v>
                </c:pt>
                <c:pt idx="3231">
                  <c:v>2.0483546358816499E-2</c:v>
                </c:pt>
                <c:pt idx="3232">
                  <c:v>2.0483945776213718E-2</c:v>
                </c:pt>
                <c:pt idx="3233">
                  <c:v>2.0484343860968555E-2</c:v>
                </c:pt>
                <c:pt idx="3234">
                  <c:v>2.0484740613075852E-2</c:v>
                </c:pt>
                <c:pt idx="3235">
                  <c:v>2.0485136032535611E-2</c:v>
                </c:pt>
                <c:pt idx="3236">
                  <c:v>2.0485698605744271E-2</c:v>
                </c:pt>
                <c:pt idx="3237">
                  <c:v>2.0486090788770971E-2</c:v>
                </c:pt>
                <c:pt idx="3238">
                  <c:v>2.0486481639152707E-2</c:v>
                </c:pt>
                <c:pt idx="3239">
                  <c:v>2.0486871156889484E-2</c:v>
                </c:pt>
                <c:pt idx="3240">
                  <c:v>2.0487259341976139E-2</c:v>
                </c:pt>
                <c:pt idx="3241">
                  <c:v>2.0485815819441453E-2</c:v>
                </c:pt>
                <c:pt idx="3242">
                  <c:v>2.0486201558996036E-2</c:v>
                </c:pt>
                <c:pt idx="3243">
                  <c:v>2.0486585966122167E-2</c:v>
                </c:pt>
                <c:pt idx="3244">
                  <c:v>2.0486969040834118E-2</c:v>
                </c:pt>
                <c:pt idx="3245">
                  <c:v>2.0489180277685991E-2</c:v>
                </c:pt>
                <c:pt idx="3246">
                  <c:v>2.0489560466882245E-2</c:v>
                </c:pt>
                <c:pt idx="3247">
                  <c:v>2.0489939323433539E-2</c:v>
                </c:pt>
                <c:pt idx="3248">
                  <c:v>2.0490316847326974E-2</c:v>
                </c:pt>
                <c:pt idx="3249">
                  <c:v>2.0490693038578027E-2</c:v>
                </c:pt>
                <c:pt idx="3250">
                  <c:v>2.049045841811914E-2</c:v>
                </c:pt>
                <c:pt idx="3251">
                  <c:v>2.0490938516080526E-2</c:v>
                </c:pt>
                <c:pt idx="3252">
                  <c:v>2.0491204285332465E-2</c:v>
                </c:pt>
                <c:pt idx="3253">
                  <c:v>2.0491575220079383E-2</c:v>
                </c:pt>
                <c:pt idx="3254">
                  <c:v>2.0492554005084086E-2</c:v>
                </c:pt>
                <c:pt idx="3255">
                  <c:v>2.0492922200439582E-2</c:v>
                </c:pt>
                <c:pt idx="3256">
                  <c:v>2.0493289063142378E-2</c:v>
                </c:pt>
                <c:pt idx="3257">
                  <c:v>2.0493654593192478E-2</c:v>
                </c:pt>
                <c:pt idx="3258">
                  <c:v>2.0493409905187221E-2</c:v>
                </c:pt>
                <c:pt idx="3259">
                  <c:v>2.0493772844484504E-2</c:v>
                </c:pt>
                <c:pt idx="3260">
                  <c:v>2.049413445120507E-2</c:v>
                </c:pt>
                <c:pt idx="3261">
                  <c:v>2.0494494725354251E-2</c:v>
                </c:pt>
                <c:pt idx="3262">
                  <c:v>2.0495462253698919E-2</c:v>
                </c:pt>
                <c:pt idx="3263">
                  <c:v>2.049581978785088E-2</c:v>
                </c:pt>
                <c:pt idx="3264">
                  <c:v>2.0496175989347568E-2</c:v>
                </c:pt>
                <c:pt idx="3265">
                  <c:v>2.0496530858194133E-2</c:v>
                </c:pt>
                <c:pt idx="3266">
                  <c:v>2.0496884394390579E-2</c:v>
                </c:pt>
                <c:pt idx="3267">
                  <c:v>2.0497236597936907E-2</c:v>
                </c:pt>
                <c:pt idx="3268">
                  <c:v>2.0497587468830538E-2</c:v>
                </c:pt>
                <c:pt idx="3269">
                  <c:v>2.0497937007071469E-2</c:v>
                </c:pt>
                <c:pt idx="3270">
                  <c:v>2.0498285212659704E-2</c:v>
                </c:pt>
                <c:pt idx="3271">
                  <c:v>2.0498024175163998E-2</c:v>
                </c:pt>
                <c:pt idx="3272">
                  <c:v>2.04983697909773E-2</c:v>
                </c:pt>
                <c:pt idx="3273">
                  <c:v>2.0498714074216551E-2</c:v>
                </c:pt>
                <c:pt idx="3274">
                  <c:v>2.0499057024871092E-2</c:v>
                </c:pt>
                <c:pt idx="3275">
                  <c:v>2.0500006250833612E-2</c:v>
                </c:pt>
                <c:pt idx="3276">
                  <c:v>2.0500346460508238E-2</c:v>
                </c:pt>
                <c:pt idx="3277">
                  <c:v>2.0500685337530165E-2</c:v>
                </c:pt>
                <c:pt idx="3278">
                  <c:v>2.0501022881907131E-2</c:v>
                </c:pt>
                <c:pt idx="3279">
                  <c:v>2.0501359093623665E-2</c:v>
                </c:pt>
                <c:pt idx="3280">
                  <c:v>2.0501086744713959E-2</c:v>
                </c:pt>
                <c:pt idx="3281">
                  <c:v>2.0501420367331491E-2</c:v>
                </c:pt>
                <c:pt idx="3282">
                  <c:v>2.0501752657374972E-2</c:v>
                </c:pt>
                <c:pt idx="3283">
                  <c:v>2.0503297628851891E-2</c:v>
                </c:pt>
                <c:pt idx="3284">
                  <c:v>2.050302016242617E-2</c:v>
                </c:pt>
                <c:pt idx="3285">
                  <c:v>2.0503348378226514E-2</c:v>
                </c:pt>
                <c:pt idx="3286">
                  <c:v>2.0503675261374161E-2</c:v>
                </c:pt>
                <c:pt idx="3287">
                  <c:v>2.0504000811863952E-2</c:v>
                </c:pt>
                <c:pt idx="3288">
                  <c:v>2.0504371237750046E-2</c:v>
                </c:pt>
                <c:pt idx="3289">
                  <c:v>2.0504693932555117E-2</c:v>
                </c:pt>
                <c:pt idx="3290">
                  <c:v>2.0505015294707489E-2</c:v>
                </c:pt>
                <c:pt idx="3291">
                  <c:v>2.0505335324207164E-2</c:v>
                </c:pt>
                <c:pt idx="3292">
                  <c:v>2.0505654021051561E-2</c:v>
                </c:pt>
                <c:pt idx="3293">
                  <c:v>2.0504152771038595E-2</c:v>
                </c:pt>
                <c:pt idx="3294">
                  <c:v>2.0504469034140018E-2</c:v>
                </c:pt>
                <c:pt idx="3295">
                  <c:v>2.0504783964812985E-2</c:v>
                </c:pt>
                <c:pt idx="3296">
                  <c:v>2.0505097563063211E-2</c:v>
                </c:pt>
                <c:pt idx="3297">
                  <c:v>2.0507227515452146E-2</c:v>
                </c:pt>
                <c:pt idx="3298">
                  <c:v>2.0507538216370042E-2</c:v>
                </c:pt>
                <c:pt idx="3299">
                  <c:v>2.0507847584632661E-2</c:v>
                </c:pt>
                <c:pt idx="3300">
                  <c:v>2.0508155620232268E-2</c:v>
                </c:pt>
                <c:pt idx="3301">
                  <c:v>2.0509155301853543E-2</c:v>
                </c:pt>
                <c:pt idx="3302">
                  <c:v>2.0509460213554431E-2</c:v>
                </c:pt>
                <c:pt idx="3303">
                  <c:v>2.0509763792523894E-2</c:v>
                </c:pt>
                <c:pt idx="3304">
                  <c:v>2.0510066038761932E-2</c:v>
                </c:pt>
                <c:pt idx="3305">
                  <c:v>2.0509804560050506E-2</c:v>
                </c:pt>
                <c:pt idx="3306">
                  <c:v>2.0510666533048727E-2</c:v>
                </c:pt>
                <c:pt idx="3307">
                  <c:v>2.0510964781094987E-2</c:v>
                </c:pt>
                <c:pt idx="3308">
                  <c:v>2.0511261696409822E-2</c:v>
                </c:pt>
                <c:pt idx="3309">
                  <c:v>2.0511557278990733E-2</c:v>
                </c:pt>
                <c:pt idx="3310">
                  <c:v>2.0511851528840219E-2</c:v>
                </c:pt>
                <c:pt idx="3311">
                  <c:v>2.051214444595828E-2</c:v>
                </c:pt>
                <c:pt idx="3312">
                  <c:v>2.0512436030344916E-2</c:v>
                </c:pt>
                <c:pt idx="3313">
                  <c:v>2.0512726281997629E-2</c:v>
                </c:pt>
                <c:pt idx="3314">
                  <c:v>2.0513015200921414E-2</c:v>
                </c:pt>
                <c:pt idx="3315">
                  <c:v>2.0513302787111276E-2</c:v>
                </c:pt>
                <c:pt idx="3316">
                  <c:v>2.0513589040567215E-2</c:v>
                </c:pt>
                <c:pt idx="3317">
                  <c:v>2.0513873961294227E-2</c:v>
                </c:pt>
                <c:pt idx="3318">
                  <c:v>2.0512344813861411E-2</c:v>
                </c:pt>
                <c:pt idx="3319">
                  <c:v>2.051443980454648E-2</c:v>
                </c:pt>
                <c:pt idx="3320">
                  <c:v>2.0514720727071722E-2</c:v>
                </c:pt>
                <c:pt idx="3321">
                  <c:v>2.0515000316863041E-2</c:v>
                </c:pt>
                <c:pt idx="3322">
                  <c:v>2.0515278573925433E-2</c:v>
                </c:pt>
                <c:pt idx="3323">
                  <c:v>2.0515555498253901E-2</c:v>
                </c:pt>
                <c:pt idx="3324">
                  <c:v>2.0515831089845948E-2</c:v>
                </c:pt>
                <c:pt idx="3325">
                  <c:v>2.051610534870657E-2</c:v>
                </c:pt>
                <c:pt idx="3326">
                  <c:v>2.0516378274835767E-2</c:v>
                </c:pt>
                <c:pt idx="3327">
                  <c:v>2.0516649868231041E-2</c:v>
                </c:pt>
                <c:pt idx="3328">
                  <c:v>2.0516920128889893E-2</c:v>
                </c:pt>
                <c:pt idx="3329">
                  <c:v>2.0517189056814822E-2</c:v>
                </c:pt>
                <c:pt idx="3330">
                  <c:v>2.0517456652010824E-2</c:v>
                </c:pt>
                <c:pt idx="3331">
                  <c:v>2.0515913282077504E-2</c:v>
                </c:pt>
                <c:pt idx="3332">
                  <c:v>2.0517987844193564E-2</c:v>
                </c:pt>
                <c:pt idx="3333">
                  <c:v>2.0518251441185298E-2</c:v>
                </c:pt>
                <c:pt idx="3334">
                  <c:v>2.0518513705443109E-2</c:v>
                </c:pt>
                <c:pt idx="3335">
                  <c:v>2.0518774636966997E-2</c:v>
                </c:pt>
                <c:pt idx="3336">
                  <c:v>2.0519034235754463E-2</c:v>
                </c:pt>
                <c:pt idx="3337">
                  <c:v>2.0519292501808006E-2</c:v>
                </c:pt>
                <c:pt idx="3338">
                  <c:v>2.0519549435127626E-2</c:v>
                </c:pt>
                <c:pt idx="3339">
                  <c:v>2.0519347957815452E-2</c:v>
                </c:pt>
                <c:pt idx="3340">
                  <c:v>2.0519493027879802E-2</c:v>
                </c:pt>
                <c:pt idx="3341">
                  <c:v>2.0520312238677951E-2</c:v>
                </c:pt>
                <c:pt idx="3342">
                  <c:v>2.0520563841054384E-2</c:v>
                </c:pt>
                <c:pt idx="3343">
                  <c:v>2.052081411070189E-2</c:v>
                </c:pt>
                <c:pt idx="3344">
                  <c:v>2.05192565566285E-2</c:v>
                </c:pt>
                <c:pt idx="3345">
                  <c:v>2.0518902351723982E-2</c:v>
                </c:pt>
                <c:pt idx="3346">
                  <c:v>2.0519148947764711E-2</c:v>
                </c:pt>
                <c:pt idx="3347">
                  <c:v>2.0519394211368423E-2</c:v>
                </c:pt>
                <c:pt idx="3348">
                  <c:v>2.0519638142540826E-2</c:v>
                </c:pt>
                <c:pt idx="3349">
                  <c:v>2.0522287741129575E-2</c:v>
                </c:pt>
                <c:pt idx="3350">
                  <c:v>2.0522528681627128E-2</c:v>
                </c:pt>
                <c:pt idx="3351">
                  <c:v>2.0523369914052288E-2</c:v>
                </c:pt>
                <c:pt idx="3352">
                  <c:v>2.0523006564420465E-2</c:v>
                </c:pt>
                <c:pt idx="3353">
                  <c:v>2.0523243506708755E-2</c:v>
                </c:pt>
                <c:pt idx="3354">
                  <c:v>2.0523479116260623E-2</c:v>
                </c:pt>
                <c:pt idx="3355">
                  <c:v>2.0523713393081067E-2</c:v>
                </c:pt>
                <c:pt idx="3356">
                  <c:v>2.0523946337165089E-2</c:v>
                </c:pt>
                <c:pt idx="3357">
                  <c:v>2.0522374637329723E-2</c:v>
                </c:pt>
                <c:pt idx="3358">
                  <c:v>2.0524408227116375E-2</c:v>
                </c:pt>
                <c:pt idx="3359">
                  <c:v>2.0524637172991134E-2</c:v>
                </c:pt>
                <c:pt idx="3360">
                  <c:v>2.0524864786131969E-2</c:v>
                </c:pt>
                <c:pt idx="3361">
                  <c:v>2.0525091066528889E-2</c:v>
                </c:pt>
                <c:pt idx="3362">
                  <c:v>2.0525316014191886E-2</c:v>
                </c:pt>
                <c:pt idx="3363">
                  <c:v>2.0525539629123457E-2</c:v>
                </c:pt>
                <c:pt idx="3364">
                  <c:v>2.0525761911311113E-2</c:v>
                </c:pt>
                <c:pt idx="3365">
                  <c:v>2.0525982860764846E-2</c:v>
                </c:pt>
                <c:pt idx="3366">
                  <c:v>2.0526202477482158E-2</c:v>
                </c:pt>
                <c:pt idx="3367">
                  <c:v>2.0526420761463049E-2</c:v>
                </c:pt>
                <c:pt idx="3368">
                  <c:v>2.0526637712702522E-2</c:v>
                </c:pt>
                <c:pt idx="3369">
                  <c:v>2.0526853331210571E-2</c:v>
                </c:pt>
                <c:pt idx="3370">
                  <c:v>2.05270676169797E-2</c:v>
                </c:pt>
                <c:pt idx="3371">
                  <c:v>2.0527280570009909E-2</c:v>
                </c:pt>
                <c:pt idx="3372">
                  <c:v>2.05274921903012E-2</c:v>
                </c:pt>
                <c:pt idx="3373">
                  <c:v>2.0527702477856069E-2</c:v>
                </c:pt>
                <c:pt idx="3374">
                  <c:v>2.0527911432679513E-2</c:v>
                </c:pt>
                <c:pt idx="3375">
                  <c:v>2.0528119054759042E-2</c:v>
                </c:pt>
                <c:pt idx="3376">
                  <c:v>2.0528325344099652E-2</c:v>
                </c:pt>
                <c:pt idx="3377">
                  <c:v>2.0528530300708836E-2</c:v>
                </c:pt>
                <c:pt idx="3378">
                  <c:v>2.0528733924576603E-2</c:v>
                </c:pt>
                <c:pt idx="3379">
                  <c:v>2.0528936215702953E-2</c:v>
                </c:pt>
                <c:pt idx="3380">
                  <c:v>2.052913717409538E-2</c:v>
                </c:pt>
                <c:pt idx="3381">
                  <c:v>2.0529336799748887E-2</c:v>
                </c:pt>
                <c:pt idx="3382">
                  <c:v>2.0529535092663476E-2</c:v>
                </c:pt>
                <c:pt idx="3383">
                  <c:v>2.0529732052841643E-2</c:v>
                </c:pt>
                <c:pt idx="3384">
                  <c:v>2.0529927680285887E-2</c:v>
                </c:pt>
                <c:pt idx="3385">
                  <c:v>2.0530121974983717E-2</c:v>
                </c:pt>
                <c:pt idx="3386">
                  <c:v>2.0530314936945127E-2</c:v>
                </c:pt>
                <c:pt idx="3387">
                  <c:v>2.0530506566167617E-2</c:v>
                </c:pt>
                <c:pt idx="3388">
                  <c:v>2.0530696862658682E-2</c:v>
                </c:pt>
                <c:pt idx="3389">
                  <c:v>2.0530885826403333E-2</c:v>
                </c:pt>
                <c:pt idx="3390">
                  <c:v>2.0531073457409066E-2</c:v>
                </c:pt>
                <c:pt idx="3391">
                  <c:v>2.0531259755680875E-2</c:v>
                </c:pt>
                <c:pt idx="3392">
                  <c:v>2.0529650162008993E-2</c:v>
                </c:pt>
                <c:pt idx="3393">
                  <c:v>2.053162835400274E-2</c:v>
                </c:pt>
                <c:pt idx="3394">
                  <c:v>2.0531810654055294E-2</c:v>
                </c:pt>
                <c:pt idx="3395">
                  <c:v>2.0531991621371426E-2</c:v>
                </c:pt>
                <c:pt idx="3396">
                  <c:v>2.0532171255946141E-2</c:v>
                </c:pt>
                <c:pt idx="3397">
                  <c:v>2.0530556271604623E-2</c:v>
                </c:pt>
                <c:pt idx="3398">
                  <c:v>2.0530733495994269E-2</c:v>
                </c:pt>
                <c:pt idx="3399">
                  <c:v>2.0530909387869129E-2</c:v>
                </c:pt>
                <c:pt idx="3400">
                  <c:v>2.0531083947226442E-2</c:v>
                </c:pt>
                <c:pt idx="3401">
                  <c:v>2.053304943773343E-2</c:v>
                </c:pt>
                <c:pt idx="3402">
                  <c:v>2.0533818440799129E-2</c:v>
                </c:pt>
                <c:pt idx="3403">
                  <c:v>2.0533391381271915E-2</c:v>
                </c:pt>
                <c:pt idx="3404">
                  <c:v>2.053356035393028E-2</c:v>
                </c:pt>
                <c:pt idx="3405">
                  <c:v>2.0531936756357342E-2</c:v>
                </c:pt>
                <c:pt idx="3406">
                  <c:v>2.0533894301035249E-2</c:v>
                </c:pt>
                <c:pt idx="3407">
                  <c:v>2.0534059275479355E-2</c:v>
                </c:pt>
                <c:pt idx="3408">
                  <c:v>2.0534222917177047E-2</c:v>
                </c:pt>
                <c:pt idx="3409">
                  <c:v>2.0534385226138319E-2</c:v>
                </c:pt>
                <c:pt idx="3410">
                  <c:v>2.0534546202363169E-2</c:v>
                </c:pt>
                <c:pt idx="3411">
                  <c:v>2.0534705845844103E-2</c:v>
                </c:pt>
                <c:pt idx="3412">
                  <c:v>2.0534864156583621E-2</c:v>
                </c:pt>
                <c:pt idx="3413">
                  <c:v>2.0535021134586717E-2</c:v>
                </c:pt>
                <c:pt idx="3414">
                  <c:v>2.0535176779848396E-2</c:v>
                </c:pt>
                <c:pt idx="3415">
                  <c:v>2.0535331092368658E-2</c:v>
                </c:pt>
                <c:pt idx="3416">
                  <c:v>2.0535484072147503E-2</c:v>
                </c:pt>
                <c:pt idx="3417">
                  <c:v>2.0535635719192424E-2</c:v>
                </c:pt>
                <c:pt idx="3418">
                  <c:v>2.053399815616681E-2</c:v>
                </c:pt>
                <c:pt idx="3419">
                  <c:v>2.053593501505302E-2</c:v>
                </c:pt>
                <c:pt idx="3420">
                  <c:v>2.0536082663873689E-2</c:v>
                </c:pt>
                <c:pt idx="3421">
                  <c:v>2.0536228979950444E-2</c:v>
                </c:pt>
                <c:pt idx="3422">
                  <c:v>2.0536373963288279E-2</c:v>
                </c:pt>
                <c:pt idx="3423">
                  <c:v>2.0536517613889693E-2</c:v>
                </c:pt>
                <c:pt idx="3424">
                  <c:v>2.0536659931747192E-2</c:v>
                </c:pt>
                <c:pt idx="3425">
                  <c:v>2.0536800916865772E-2</c:v>
                </c:pt>
                <c:pt idx="3426">
                  <c:v>2.0536940569240436E-2</c:v>
                </c:pt>
                <c:pt idx="3427">
                  <c:v>2.0537078888873683E-2</c:v>
                </c:pt>
                <c:pt idx="3428">
                  <c:v>2.0537215875770509E-2</c:v>
                </c:pt>
                <c:pt idx="3429">
                  <c:v>2.053735152992342E-2</c:v>
                </c:pt>
                <c:pt idx="3430">
                  <c:v>2.0537485851337411E-2</c:v>
                </c:pt>
                <c:pt idx="3431">
                  <c:v>2.0537618840007488E-2</c:v>
                </c:pt>
                <c:pt idx="3432">
                  <c:v>2.0537750495936147E-2</c:v>
                </c:pt>
                <c:pt idx="3433">
                  <c:v>2.0537880819123389E-2</c:v>
                </c:pt>
                <c:pt idx="3434">
                  <c:v>2.0538009809571711E-2</c:v>
                </c:pt>
                <c:pt idx="3435">
                  <c:v>2.0538137467281115E-2</c:v>
                </c:pt>
                <c:pt idx="3436">
                  <c:v>2.0538263792246603E-2</c:v>
                </c:pt>
                <c:pt idx="3437">
                  <c:v>2.0538388784473172E-2</c:v>
                </c:pt>
                <c:pt idx="3438">
                  <c:v>2.0538512443953327E-2</c:v>
                </c:pt>
                <c:pt idx="3439">
                  <c:v>2.0539228921727864E-2</c:v>
                </c:pt>
                <c:pt idx="3440">
                  <c:v>2.0538755764696881E-2</c:v>
                </c:pt>
                <c:pt idx="3441">
                  <c:v>2.0538875425955283E-2</c:v>
                </c:pt>
                <c:pt idx="3442">
                  <c:v>2.0538993754472268E-2</c:v>
                </c:pt>
                <c:pt idx="3443">
                  <c:v>2.0539110750250333E-2</c:v>
                </c:pt>
                <c:pt idx="3444">
                  <c:v>2.0539226413286982E-2</c:v>
                </c:pt>
                <c:pt idx="3445">
                  <c:v>2.0539340743574719E-2</c:v>
                </c:pt>
                <c:pt idx="3446">
                  <c:v>2.0539453741131031E-2</c:v>
                </c:pt>
                <c:pt idx="3447">
                  <c:v>2.0539565405938431E-2</c:v>
                </c:pt>
                <c:pt idx="3448">
                  <c:v>2.0539675738001917E-2</c:v>
                </c:pt>
                <c:pt idx="3449">
                  <c:v>2.0537411819705156E-2</c:v>
                </c:pt>
                <c:pt idx="3450">
                  <c:v>2.0537519842438772E-2</c:v>
                </c:pt>
                <c:pt idx="3451">
                  <c:v>2.0537626532738225E-2</c:v>
                </c:pt>
                <c:pt idx="3452">
                  <c:v>2.0537731890594949E-2</c:v>
                </c:pt>
                <c:pt idx="3453">
                  <c:v>2.0540207407215572E-2</c:v>
                </c:pt>
                <c:pt idx="3454">
                  <c:v>2.054030974283555E-2</c:v>
                </c:pt>
                <c:pt idx="3455">
                  <c:v>2.0540410745704119E-2</c:v>
                </c:pt>
                <c:pt idx="3456">
                  <c:v>2.0540510415836266E-2</c:v>
                </c:pt>
                <c:pt idx="3457">
                  <c:v>2.0538831187320028E-2</c:v>
                </c:pt>
                <c:pt idx="3458">
                  <c:v>2.0540705757878808E-2</c:v>
                </c:pt>
                <c:pt idx="3459">
                  <c:v>2.0540801429781708E-2</c:v>
                </c:pt>
                <c:pt idx="3460">
                  <c:v>2.0540895768948186E-2</c:v>
                </c:pt>
                <c:pt idx="3461">
                  <c:v>2.054098877537075E-2</c:v>
                </c:pt>
                <c:pt idx="3462">
                  <c:v>2.0541080449049398E-2</c:v>
                </c:pt>
                <c:pt idx="3463">
                  <c:v>2.0541170789984131E-2</c:v>
                </c:pt>
                <c:pt idx="3464">
                  <c:v>2.0541259798182443E-2</c:v>
                </c:pt>
                <c:pt idx="3465">
                  <c:v>2.054134747363684E-2</c:v>
                </c:pt>
                <c:pt idx="3466">
                  <c:v>2.0541433816342325E-2</c:v>
                </c:pt>
                <c:pt idx="3467">
                  <c:v>2.0541518826313887E-2</c:v>
                </c:pt>
                <c:pt idx="3468">
                  <c:v>2.0541602503536538E-2</c:v>
                </c:pt>
                <c:pt idx="3469">
                  <c:v>2.0541684848017772E-2</c:v>
                </c:pt>
                <c:pt idx="3470">
                  <c:v>2.0541765859760086E-2</c:v>
                </c:pt>
                <c:pt idx="3471">
                  <c:v>2.0541845538758485E-2</c:v>
                </c:pt>
                <c:pt idx="3472">
                  <c:v>2.0541923885015467E-2</c:v>
                </c:pt>
                <c:pt idx="3473">
                  <c:v>2.0542000898526036E-2</c:v>
                </c:pt>
                <c:pt idx="3474">
                  <c:v>2.0542076579297686E-2</c:v>
                </c:pt>
                <c:pt idx="3475">
                  <c:v>2.054215092732542E-2</c:v>
                </c:pt>
                <c:pt idx="3476">
                  <c:v>2.0542223942609239E-2</c:v>
                </c:pt>
                <c:pt idx="3477">
                  <c:v>2.0542295625151641E-2</c:v>
                </c:pt>
                <c:pt idx="3478">
                  <c:v>2.0542365974952626E-2</c:v>
                </c:pt>
                <c:pt idx="3479">
                  <c:v>2.0540663395649909E-2</c:v>
                </c:pt>
                <c:pt idx="3480">
                  <c:v>2.0542502676320351E-2</c:v>
                </c:pt>
                <c:pt idx="3481">
                  <c:v>2.0542569027892088E-2</c:v>
                </c:pt>
                <c:pt idx="3482">
                  <c:v>2.054263404671991E-2</c:v>
                </c:pt>
                <c:pt idx="3483">
                  <c:v>2.0542697732808812E-2</c:v>
                </c:pt>
                <c:pt idx="3484">
                  <c:v>2.0542760086148804E-2</c:v>
                </c:pt>
                <c:pt idx="3485">
                  <c:v>2.0542821106747378E-2</c:v>
                </c:pt>
                <c:pt idx="3486">
                  <c:v>2.054288079460953E-2</c:v>
                </c:pt>
                <c:pt idx="3487">
                  <c:v>2.0542939149720274E-2</c:v>
                </c:pt>
                <c:pt idx="3488">
                  <c:v>2.05429961720896E-2</c:v>
                </c:pt>
                <c:pt idx="3489">
                  <c:v>2.0543051861722506E-2</c:v>
                </c:pt>
                <c:pt idx="3490">
                  <c:v>2.0543106218606499E-2</c:v>
                </c:pt>
                <c:pt idx="3491">
                  <c:v>2.0544338173349573E-2</c:v>
                </c:pt>
                <c:pt idx="3492">
                  <c:v>2.0541442917093165E-2</c:v>
                </c:pt>
                <c:pt idx="3493">
                  <c:v>2.0543261292802484E-2</c:v>
                </c:pt>
                <c:pt idx="3494">
                  <c:v>2.0543310318715813E-2</c:v>
                </c:pt>
                <c:pt idx="3495">
                  <c:v>2.0543358011882729E-2</c:v>
                </c:pt>
                <c:pt idx="3496">
                  <c:v>2.0543999869667606E-2</c:v>
                </c:pt>
                <c:pt idx="3497">
                  <c:v>2.054286684669316E-2</c:v>
                </c:pt>
                <c:pt idx="3498">
                  <c:v>2.0542910443953157E-2</c:v>
                </c:pt>
                <c:pt idx="3499">
                  <c:v>2.0542952708547561E-2</c:v>
                </c:pt>
                <c:pt idx="3500">
                  <c:v>2.0542993640471217E-2</c:v>
                </c:pt>
                <c:pt idx="3501">
                  <c:v>2.0541267803591636E-2</c:v>
                </c:pt>
                <c:pt idx="3502">
                  <c:v>2.0541306349166937E-2</c:v>
                </c:pt>
                <c:pt idx="3503">
                  <c:v>2.054134356229095E-2</c:v>
                </c:pt>
                <c:pt idx="3504">
                  <c:v>2.0541379442983652E-2</c:v>
                </c:pt>
                <c:pt idx="3505">
                  <c:v>2.0543178310090171E-2</c:v>
                </c:pt>
                <c:pt idx="3506">
                  <c:v>2.0543211246004809E-2</c:v>
                </c:pt>
                <c:pt idx="3507">
                  <c:v>2.0543830795772267E-2</c:v>
                </c:pt>
                <c:pt idx="3508">
                  <c:v>2.0543273119847633E-2</c:v>
                </c:pt>
                <c:pt idx="3509">
                  <c:v>2.0543302057773237E-2</c:v>
                </c:pt>
                <c:pt idx="3510">
                  <c:v>2.0543329663022938E-2</c:v>
                </c:pt>
                <c:pt idx="3511">
                  <c:v>2.0542782844974461E-2</c:v>
                </c:pt>
                <c:pt idx="3512">
                  <c:v>2.0543380875522984E-2</c:v>
                </c:pt>
                <c:pt idx="3513">
                  <c:v>2.0543404482775911E-2</c:v>
                </c:pt>
                <c:pt idx="3514">
                  <c:v>2.0543426757358089E-2</c:v>
                </c:pt>
                <c:pt idx="3515">
                  <c:v>2.0543447699272098E-2</c:v>
                </c:pt>
                <c:pt idx="3516">
                  <c:v>2.0543467308525673E-2</c:v>
                </c:pt>
                <c:pt idx="3517">
                  <c:v>2.0543485585105922E-2</c:v>
                </c:pt>
                <c:pt idx="3518">
                  <c:v>2.0543502529020582E-2</c:v>
                </c:pt>
                <c:pt idx="3519">
                  <c:v>2.0543518140261913E-2</c:v>
                </c:pt>
                <c:pt idx="3520">
                  <c:v>2.0543532418845392E-2</c:v>
                </c:pt>
                <c:pt idx="3521">
                  <c:v>2.0543545364752964E-2</c:v>
                </c:pt>
                <c:pt idx="3522">
                  <c:v>2.0544143514480695E-2</c:v>
                </c:pt>
                <c:pt idx="3523">
                  <c:v>2.0543567258576492E-2</c:v>
                </c:pt>
                <c:pt idx="3524">
                  <c:v>2.054357620648729E-2</c:v>
                </c:pt>
                <c:pt idx="3525">
                  <c:v>2.0543583821729921E-2</c:v>
                </c:pt>
                <c:pt idx="3526">
                  <c:v>2.0543590104304382E-2</c:v>
                </c:pt>
                <c:pt idx="3527">
                  <c:v>2.0543595054210672E-2</c:v>
                </c:pt>
                <c:pt idx="3528">
                  <c:v>2.0543598671451373E-2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95799168"/>
        <c:axId val="370397568"/>
      </c:lineChart>
      <c:dateAx>
        <c:axId val="395799168"/>
        <c:scaling>
          <c:orientation val="minMax"/>
          <c:max val="42621"/>
          <c:min val="41820"/>
        </c:scaling>
        <c:delete val="0"/>
        <c:axPos val="b"/>
        <c:numFmt formatCode="[$-409]mmm\-yy;@" sourceLinked="0"/>
        <c:majorTickMark val="out"/>
        <c:minorTickMark val="none"/>
        <c:tickLblPos val="low"/>
        <c:txPr>
          <a:bodyPr rot="-2700000" vert="horz"/>
          <a:lstStyle/>
          <a:p>
            <a:pPr>
              <a:defRPr/>
            </a:pPr>
            <a:endParaRPr lang="en-US"/>
          </a:p>
        </c:txPr>
        <c:crossAx val="370397568"/>
        <c:crosses val="autoZero"/>
        <c:auto val="1"/>
        <c:lblOffset val="100"/>
        <c:baseTimeUnit val="days"/>
        <c:majorUnit val="3"/>
        <c:majorTimeUnit val="months"/>
        <c:minorUnit val="1"/>
        <c:minorTimeUnit val="years"/>
      </c:dateAx>
      <c:valAx>
        <c:axId val="370397568"/>
        <c:scaling>
          <c:orientation val="minMax"/>
          <c:max val="1E-3"/>
          <c:min val="-1E-3"/>
        </c:scaling>
        <c:delete val="0"/>
        <c:axPos val="l"/>
        <c:majorGridlines/>
        <c:numFmt formatCode="0.00%" sourceLinked="0"/>
        <c:majorTickMark val="out"/>
        <c:minorTickMark val="none"/>
        <c:tickLblPos val="nextTo"/>
        <c:crossAx val="39579916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41890</c:v>
                </c:pt>
                <c:pt idx="1">
                  <c:v>41891</c:v>
                </c:pt>
                <c:pt idx="2">
                  <c:v>41892</c:v>
                </c:pt>
                <c:pt idx="3">
                  <c:v>41893</c:v>
                </c:pt>
                <c:pt idx="4">
                  <c:v>41894</c:v>
                </c:pt>
                <c:pt idx="5">
                  <c:v>41897</c:v>
                </c:pt>
                <c:pt idx="6">
                  <c:v>41898</c:v>
                </c:pt>
                <c:pt idx="7">
                  <c:v>41899</c:v>
                </c:pt>
                <c:pt idx="8">
                  <c:v>41900</c:v>
                </c:pt>
                <c:pt idx="9">
                  <c:v>41901</c:v>
                </c:pt>
                <c:pt idx="10">
                  <c:v>41904</c:v>
                </c:pt>
                <c:pt idx="11">
                  <c:v>41905</c:v>
                </c:pt>
                <c:pt idx="12">
                  <c:v>41906</c:v>
                </c:pt>
                <c:pt idx="13">
                  <c:v>41907</c:v>
                </c:pt>
                <c:pt idx="14">
                  <c:v>41908</c:v>
                </c:pt>
                <c:pt idx="15">
                  <c:v>41911</c:v>
                </c:pt>
                <c:pt idx="16">
                  <c:v>41912</c:v>
                </c:pt>
                <c:pt idx="17">
                  <c:v>41913</c:v>
                </c:pt>
                <c:pt idx="18">
                  <c:v>41914</c:v>
                </c:pt>
                <c:pt idx="19">
                  <c:v>41915</c:v>
                </c:pt>
                <c:pt idx="20">
                  <c:v>41918</c:v>
                </c:pt>
                <c:pt idx="21">
                  <c:v>41919</c:v>
                </c:pt>
                <c:pt idx="22">
                  <c:v>41920</c:v>
                </c:pt>
                <c:pt idx="23">
                  <c:v>41921</c:v>
                </c:pt>
                <c:pt idx="24">
                  <c:v>41922</c:v>
                </c:pt>
                <c:pt idx="25">
                  <c:v>41925</c:v>
                </c:pt>
                <c:pt idx="26">
                  <c:v>41926</c:v>
                </c:pt>
                <c:pt idx="27">
                  <c:v>41927</c:v>
                </c:pt>
                <c:pt idx="28">
                  <c:v>41928</c:v>
                </c:pt>
                <c:pt idx="29">
                  <c:v>41929</c:v>
                </c:pt>
                <c:pt idx="30">
                  <c:v>41932</c:v>
                </c:pt>
                <c:pt idx="31">
                  <c:v>41933</c:v>
                </c:pt>
                <c:pt idx="32">
                  <c:v>41934</c:v>
                </c:pt>
                <c:pt idx="33">
                  <c:v>41935</c:v>
                </c:pt>
                <c:pt idx="34">
                  <c:v>41936</c:v>
                </c:pt>
                <c:pt idx="35">
                  <c:v>41939</c:v>
                </c:pt>
                <c:pt idx="36">
                  <c:v>41940</c:v>
                </c:pt>
                <c:pt idx="37">
                  <c:v>41941</c:v>
                </c:pt>
                <c:pt idx="38">
                  <c:v>41942</c:v>
                </c:pt>
                <c:pt idx="39">
                  <c:v>41943</c:v>
                </c:pt>
                <c:pt idx="40">
                  <c:v>41946</c:v>
                </c:pt>
                <c:pt idx="41">
                  <c:v>41947</c:v>
                </c:pt>
                <c:pt idx="42">
                  <c:v>41948</c:v>
                </c:pt>
                <c:pt idx="43">
                  <c:v>41949</c:v>
                </c:pt>
                <c:pt idx="44">
                  <c:v>41950</c:v>
                </c:pt>
                <c:pt idx="45">
                  <c:v>41953</c:v>
                </c:pt>
                <c:pt idx="46">
                  <c:v>41954</c:v>
                </c:pt>
                <c:pt idx="47">
                  <c:v>41955</c:v>
                </c:pt>
                <c:pt idx="48">
                  <c:v>41956</c:v>
                </c:pt>
                <c:pt idx="49">
                  <c:v>41957</c:v>
                </c:pt>
                <c:pt idx="50">
                  <c:v>41960</c:v>
                </c:pt>
                <c:pt idx="51">
                  <c:v>41961</c:v>
                </c:pt>
                <c:pt idx="52">
                  <c:v>41962</c:v>
                </c:pt>
                <c:pt idx="53">
                  <c:v>41963</c:v>
                </c:pt>
                <c:pt idx="54">
                  <c:v>41964</c:v>
                </c:pt>
                <c:pt idx="55">
                  <c:v>41967</c:v>
                </c:pt>
                <c:pt idx="56">
                  <c:v>41968</c:v>
                </c:pt>
                <c:pt idx="57">
                  <c:v>41969</c:v>
                </c:pt>
                <c:pt idx="58">
                  <c:v>41970</c:v>
                </c:pt>
                <c:pt idx="59">
                  <c:v>41971</c:v>
                </c:pt>
                <c:pt idx="60">
                  <c:v>41974</c:v>
                </c:pt>
                <c:pt idx="61">
                  <c:v>41975</c:v>
                </c:pt>
                <c:pt idx="62">
                  <c:v>41976</c:v>
                </c:pt>
                <c:pt idx="63">
                  <c:v>41977</c:v>
                </c:pt>
                <c:pt idx="64">
                  <c:v>41978</c:v>
                </c:pt>
                <c:pt idx="65">
                  <c:v>41981</c:v>
                </c:pt>
                <c:pt idx="66">
                  <c:v>41982</c:v>
                </c:pt>
                <c:pt idx="67">
                  <c:v>41983</c:v>
                </c:pt>
                <c:pt idx="68">
                  <c:v>41984</c:v>
                </c:pt>
                <c:pt idx="69">
                  <c:v>41985</c:v>
                </c:pt>
                <c:pt idx="70">
                  <c:v>41988</c:v>
                </c:pt>
                <c:pt idx="71">
                  <c:v>41989</c:v>
                </c:pt>
                <c:pt idx="72">
                  <c:v>41990</c:v>
                </c:pt>
                <c:pt idx="73">
                  <c:v>41991</c:v>
                </c:pt>
                <c:pt idx="74">
                  <c:v>41992</c:v>
                </c:pt>
                <c:pt idx="75">
                  <c:v>41995</c:v>
                </c:pt>
                <c:pt idx="76">
                  <c:v>41996</c:v>
                </c:pt>
                <c:pt idx="77">
                  <c:v>41997</c:v>
                </c:pt>
                <c:pt idx="78">
                  <c:v>42002</c:v>
                </c:pt>
                <c:pt idx="79">
                  <c:v>42003</c:v>
                </c:pt>
                <c:pt idx="80">
                  <c:v>42004</c:v>
                </c:pt>
                <c:pt idx="81">
                  <c:v>42006</c:v>
                </c:pt>
                <c:pt idx="82">
                  <c:v>42009</c:v>
                </c:pt>
                <c:pt idx="83">
                  <c:v>42010</c:v>
                </c:pt>
                <c:pt idx="84">
                  <c:v>42011</c:v>
                </c:pt>
                <c:pt idx="85">
                  <c:v>42012</c:v>
                </c:pt>
                <c:pt idx="86">
                  <c:v>42013</c:v>
                </c:pt>
                <c:pt idx="87">
                  <c:v>42016</c:v>
                </c:pt>
                <c:pt idx="88">
                  <c:v>42017</c:v>
                </c:pt>
                <c:pt idx="89">
                  <c:v>42018</c:v>
                </c:pt>
                <c:pt idx="90">
                  <c:v>42019</c:v>
                </c:pt>
                <c:pt idx="91">
                  <c:v>42020</c:v>
                </c:pt>
                <c:pt idx="92">
                  <c:v>42023</c:v>
                </c:pt>
                <c:pt idx="93">
                  <c:v>42024</c:v>
                </c:pt>
                <c:pt idx="94">
                  <c:v>42025</c:v>
                </c:pt>
                <c:pt idx="95">
                  <c:v>42026</c:v>
                </c:pt>
                <c:pt idx="96">
                  <c:v>42027</c:v>
                </c:pt>
                <c:pt idx="97">
                  <c:v>42030</c:v>
                </c:pt>
                <c:pt idx="98">
                  <c:v>42031</c:v>
                </c:pt>
                <c:pt idx="99">
                  <c:v>42032</c:v>
                </c:pt>
                <c:pt idx="100">
                  <c:v>42033</c:v>
                </c:pt>
                <c:pt idx="101">
                  <c:v>42034</c:v>
                </c:pt>
                <c:pt idx="102">
                  <c:v>42037</c:v>
                </c:pt>
                <c:pt idx="103">
                  <c:v>42038</c:v>
                </c:pt>
                <c:pt idx="104">
                  <c:v>42039</c:v>
                </c:pt>
                <c:pt idx="105">
                  <c:v>42040</c:v>
                </c:pt>
                <c:pt idx="106">
                  <c:v>42041</c:v>
                </c:pt>
                <c:pt idx="107">
                  <c:v>42044</c:v>
                </c:pt>
                <c:pt idx="108">
                  <c:v>42045</c:v>
                </c:pt>
                <c:pt idx="109">
                  <c:v>42046</c:v>
                </c:pt>
                <c:pt idx="110">
                  <c:v>42047</c:v>
                </c:pt>
                <c:pt idx="111">
                  <c:v>42048</c:v>
                </c:pt>
                <c:pt idx="112">
                  <c:v>42051</c:v>
                </c:pt>
                <c:pt idx="113">
                  <c:v>42052</c:v>
                </c:pt>
                <c:pt idx="114">
                  <c:v>42053</c:v>
                </c:pt>
                <c:pt idx="115">
                  <c:v>42054</c:v>
                </c:pt>
                <c:pt idx="116">
                  <c:v>42055</c:v>
                </c:pt>
                <c:pt idx="117">
                  <c:v>42058</c:v>
                </c:pt>
                <c:pt idx="118">
                  <c:v>42059</c:v>
                </c:pt>
                <c:pt idx="119">
                  <c:v>42060</c:v>
                </c:pt>
                <c:pt idx="120">
                  <c:v>42061</c:v>
                </c:pt>
                <c:pt idx="121">
                  <c:v>42062</c:v>
                </c:pt>
                <c:pt idx="122">
                  <c:v>42065</c:v>
                </c:pt>
                <c:pt idx="123">
                  <c:v>42066</c:v>
                </c:pt>
                <c:pt idx="124">
                  <c:v>42067</c:v>
                </c:pt>
                <c:pt idx="125">
                  <c:v>42068</c:v>
                </c:pt>
                <c:pt idx="126">
                  <c:v>42069</c:v>
                </c:pt>
                <c:pt idx="127">
                  <c:v>42072</c:v>
                </c:pt>
                <c:pt idx="128">
                  <c:v>42073</c:v>
                </c:pt>
                <c:pt idx="129">
                  <c:v>42074</c:v>
                </c:pt>
                <c:pt idx="130">
                  <c:v>42075</c:v>
                </c:pt>
                <c:pt idx="131">
                  <c:v>42076</c:v>
                </c:pt>
                <c:pt idx="132">
                  <c:v>42079</c:v>
                </c:pt>
                <c:pt idx="133">
                  <c:v>42080</c:v>
                </c:pt>
                <c:pt idx="134">
                  <c:v>42081</c:v>
                </c:pt>
                <c:pt idx="135">
                  <c:v>42082</c:v>
                </c:pt>
                <c:pt idx="136">
                  <c:v>42083</c:v>
                </c:pt>
                <c:pt idx="137">
                  <c:v>42086</c:v>
                </c:pt>
                <c:pt idx="138">
                  <c:v>42087</c:v>
                </c:pt>
                <c:pt idx="139">
                  <c:v>42088</c:v>
                </c:pt>
                <c:pt idx="140">
                  <c:v>42089</c:v>
                </c:pt>
                <c:pt idx="141">
                  <c:v>42090</c:v>
                </c:pt>
                <c:pt idx="142">
                  <c:v>42093</c:v>
                </c:pt>
                <c:pt idx="143">
                  <c:v>42094</c:v>
                </c:pt>
                <c:pt idx="144">
                  <c:v>42095</c:v>
                </c:pt>
                <c:pt idx="145">
                  <c:v>42096</c:v>
                </c:pt>
                <c:pt idx="146">
                  <c:v>42101</c:v>
                </c:pt>
                <c:pt idx="147">
                  <c:v>42102</c:v>
                </c:pt>
                <c:pt idx="148">
                  <c:v>42103</c:v>
                </c:pt>
                <c:pt idx="149">
                  <c:v>42104</c:v>
                </c:pt>
                <c:pt idx="150">
                  <c:v>42107</c:v>
                </c:pt>
                <c:pt idx="151">
                  <c:v>42108</c:v>
                </c:pt>
                <c:pt idx="152">
                  <c:v>42109</c:v>
                </c:pt>
                <c:pt idx="153">
                  <c:v>42110</c:v>
                </c:pt>
                <c:pt idx="154">
                  <c:v>42111</c:v>
                </c:pt>
                <c:pt idx="155">
                  <c:v>42114</c:v>
                </c:pt>
                <c:pt idx="156">
                  <c:v>42115</c:v>
                </c:pt>
                <c:pt idx="157">
                  <c:v>42116</c:v>
                </c:pt>
                <c:pt idx="158">
                  <c:v>42117</c:v>
                </c:pt>
                <c:pt idx="159">
                  <c:v>42118</c:v>
                </c:pt>
                <c:pt idx="160">
                  <c:v>42121</c:v>
                </c:pt>
                <c:pt idx="161">
                  <c:v>42122</c:v>
                </c:pt>
                <c:pt idx="162">
                  <c:v>42123</c:v>
                </c:pt>
                <c:pt idx="163">
                  <c:v>42124</c:v>
                </c:pt>
                <c:pt idx="164">
                  <c:v>42128</c:v>
                </c:pt>
                <c:pt idx="165">
                  <c:v>42129</c:v>
                </c:pt>
                <c:pt idx="166">
                  <c:v>42130</c:v>
                </c:pt>
                <c:pt idx="167">
                  <c:v>42131</c:v>
                </c:pt>
                <c:pt idx="168">
                  <c:v>42132</c:v>
                </c:pt>
                <c:pt idx="169">
                  <c:v>42135</c:v>
                </c:pt>
                <c:pt idx="170">
                  <c:v>42136</c:v>
                </c:pt>
                <c:pt idx="171">
                  <c:v>42137</c:v>
                </c:pt>
                <c:pt idx="172">
                  <c:v>42138</c:v>
                </c:pt>
                <c:pt idx="173">
                  <c:v>42139</c:v>
                </c:pt>
                <c:pt idx="174">
                  <c:v>42142</c:v>
                </c:pt>
                <c:pt idx="175">
                  <c:v>42143</c:v>
                </c:pt>
                <c:pt idx="176">
                  <c:v>42144</c:v>
                </c:pt>
                <c:pt idx="177">
                  <c:v>42145</c:v>
                </c:pt>
                <c:pt idx="178">
                  <c:v>42146</c:v>
                </c:pt>
                <c:pt idx="179">
                  <c:v>42149</c:v>
                </c:pt>
                <c:pt idx="180">
                  <c:v>42150</c:v>
                </c:pt>
                <c:pt idx="181">
                  <c:v>42151</c:v>
                </c:pt>
                <c:pt idx="182">
                  <c:v>42152</c:v>
                </c:pt>
                <c:pt idx="183">
                  <c:v>42153</c:v>
                </c:pt>
                <c:pt idx="184">
                  <c:v>42156</c:v>
                </c:pt>
                <c:pt idx="185">
                  <c:v>42157</c:v>
                </c:pt>
                <c:pt idx="186">
                  <c:v>42158</c:v>
                </c:pt>
                <c:pt idx="187">
                  <c:v>42159</c:v>
                </c:pt>
                <c:pt idx="188">
                  <c:v>42160</c:v>
                </c:pt>
                <c:pt idx="189">
                  <c:v>42163</c:v>
                </c:pt>
                <c:pt idx="190">
                  <c:v>42164</c:v>
                </c:pt>
                <c:pt idx="191">
                  <c:v>42165</c:v>
                </c:pt>
                <c:pt idx="192">
                  <c:v>42166</c:v>
                </c:pt>
                <c:pt idx="193">
                  <c:v>42167</c:v>
                </c:pt>
                <c:pt idx="194">
                  <c:v>42170</c:v>
                </c:pt>
                <c:pt idx="195">
                  <c:v>42171</c:v>
                </c:pt>
                <c:pt idx="196">
                  <c:v>42172</c:v>
                </c:pt>
                <c:pt idx="197">
                  <c:v>42173</c:v>
                </c:pt>
                <c:pt idx="198">
                  <c:v>42174</c:v>
                </c:pt>
                <c:pt idx="199">
                  <c:v>42177</c:v>
                </c:pt>
                <c:pt idx="200">
                  <c:v>42178</c:v>
                </c:pt>
                <c:pt idx="201">
                  <c:v>42179</c:v>
                </c:pt>
                <c:pt idx="202">
                  <c:v>42180</c:v>
                </c:pt>
                <c:pt idx="203">
                  <c:v>42181</c:v>
                </c:pt>
                <c:pt idx="204">
                  <c:v>42184</c:v>
                </c:pt>
                <c:pt idx="205">
                  <c:v>42185</c:v>
                </c:pt>
                <c:pt idx="206">
                  <c:v>42186</c:v>
                </c:pt>
                <c:pt idx="207">
                  <c:v>42187</c:v>
                </c:pt>
                <c:pt idx="208">
                  <c:v>42188</c:v>
                </c:pt>
                <c:pt idx="209">
                  <c:v>42191</c:v>
                </c:pt>
                <c:pt idx="210">
                  <c:v>42192</c:v>
                </c:pt>
                <c:pt idx="211">
                  <c:v>42193</c:v>
                </c:pt>
                <c:pt idx="212">
                  <c:v>42194</c:v>
                </c:pt>
                <c:pt idx="213">
                  <c:v>42195</c:v>
                </c:pt>
                <c:pt idx="214">
                  <c:v>42198</c:v>
                </c:pt>
                <c:pt idx="215">
                  <c:v>42199</c:v>
                </c:pt>
                <c:pt idx="216">
                  <c:v>42200</c:v>
                </c:pt>
                <c:pt idx="217">
                  <c:v>42201</c:v>
                </c:pt>
                <c:pt idx="218">
                  <c:v>42202</c:v>
                </c:pt>
                <c:pt idx="219">
                  <c:v>42205</c:v>
                </c:pt>
                <c:pt idx="220">
                  <c:v>42206</c:v>
                </c:pt>
                <c:pt idx="221">
                  <c:v>42207</c:v>
                </c:pt>
                <c:pt idx="222">
                  <c:v>42208</c:v>
                </c:pt>
                <c:pt idx="223">
                  <c:v>42209</c:v>
                </c:pt>
                <c:pt idx="224">
                  <c:v>42212</c:v>
                </c:pt>
                <c:pt idx="225">
                  <c:v>42213</c:v>
                </c:pt>
                <c:pt idx="226">
                  <c:v>42214</c:v>
                </c:pt>
                <c:pt idx="227">
                  <c:v>42215</c:v>
                </c:pt>
                <c:pt idx="228">
                  <c:v>42216</c:v>
                </c:pt>
                <c:pt idx="229">
                  <c:v>42219</c:v>
                </c:pt>
                <c:pt idx="230">
                  <c:v>42220</c:v>
                </c:pt>
                <c:pt idx="231">
                  <c:v>42221</c:v>
                </c:pt>
                <c:pt idx="232">
                  <c:v>42222</c:v>
                </c:pt>
                <c:pt idx="233">
                  <c:v>42223</c:v>
                </c:pt>
                <c:pt idx="234">
                  <c:v>42226</c:v>
                </c:pt>
                <c:pt idx="235">
                  <c:v>42227</c:v>
                </c:pt>
                <c:pt idx="236">
                  <c:v>42228</c:v>
                </c:pt>
                <c:pt idx="237">
                  <c:v>42229</c:v>
                </c:pt>
                <c:pt idx="238">
                  <c:v>42230</c:v>
                </c:pt>
                <c:pt idx="239">
                  <c:v>42233</c:v>
                </c:pt>
                <c:pt idx="240">
                  <c:v>42234</c:v>
                </c:pt>
                <c:pt idx="241">
                  <c:v>42235</c:v>
                </c:pt>
                <c:pt idx="242">
                  <c:v>42236</c:v>
                </c:pt>
                <c:pt idx="243">
                  <c:v>42237</c:v>
                </c:pt>
                <c:pt idx="244">
                  <c:v>42240</c:v>
                </c:pt>
                <c:pt idx="245">
                  <c:v>42241</c:v>
                </c:pt>
                <c:pt idx="246">
                  <c:v>42242</c:v>
                </c:pt>
                <c:pt idx="247">
                  <c:v>42243</c:v>
                </c:pt>
                <c:pt idx="248">
                  <c:v>42244</c:v>
                </c:pt>
                <c:pt idx="249">
                  <c:v>42247</c:v>
                </c:pt>
                <c:pt idx="250">
                  <c:v>42248</c:v>
                </c:pt>
                <c:pt idx="251">
                  <c:v>42249</c:v>
                </c:pt>
                <c:pt idx="252">
                  <c:v>42250</c:v>
                </c:pt>
                <c:pt idx="253">
                  <c:v>42251</c:v>
                </c:pt>
                <c:pt idx="254">
                  <c:v>42254</c:v>
                </c:pt>
                <c:pt idx="255">
                  <c:v>42255</c:v>
                </c:pt>
                <c:pt idx="256">
                  <c:v>42256</c:v>
                </c:pt>
                <c:pt idx="257">
                  <c:v>42257</c:v>
                </c:pt>
                <c:pt idx="258">
                  <c:v>42258</c:v>
                </c:pt>
                <c:pt idx="259">
                  <c:v>42261</c:v>
                </c:pt>
                <c:pt idx="260">
                  <c:v>42262</c:v>
                </c:pt>
                <c:pt idx="261">
                  <c:v>42263</c:v>
                </c:pt>
                <c:pt idx="262">
                  <c:v>42264</c:v>
                </c:pt>
                <c:pt idx="263">
                  <c:v>42265</c:v>
                </c:pt>
                <c:pt idx="264">
                  <c:v>42268</c:v>
                </c:pt>
                <c:pt idx="265">
                  <c:v>42269</c:v>
                </c:pt>
                <c:pt idx="266">
                  <c:v>42270</c:v>
                </c:pt>
                <c:pt idx="267">
                  <c:v>42271</c:v>
                </c:pt>
                <c:pt idx="268">
                  <c:v>42272</c:v>
                </c:pt>
                <c:pt idx="269">
                  <c:v>42275</c:v>
                </c:pt>
                <c:pt idx="270">
                  <c:v>42276</c:v>
                </c:pt>
                <c:pt idx="271">
                  <c:v>42277</c:v>
                </c:pt>
                <c:pt idx="272">
                  <c:v>42278</c:v>
                </c:pt>
                <c:pt idx="273">
                  <c:v>42279</c:v>
                </c:pt>
                <c:pt idx="274">
                  <c:v>42282</c:v>
                </c:pt>
                <c:pt idx="275">
                  <c:v>42283</c:v>
                </c:pt>
                <c:pt idx="276">
                  <c:v>42284</c:v>
                </c:pt>
                <c:pt idx="277">
                  <c:v>42285</c:v>
                </c:pt>
                <c:pt idx="278">
                  <c:v>42286</c:v>
                </c:pt>
                <c:pt idx="279">
                  <c:v>42289</c:v>
                </c:pt>
                <c:pt idx="280">
                  <c:v>42290</c:v>
                </c:pt>
                <c:pt idx="281">
                  <c:v>42291</c:v>
                </c:pt>
                <c:pt idx="282">
                  <c:v>42292</c:v>
                </c:pt>
                <c:pt idx="283">
                  <c:v>42293</c:v>
                </c:pt>
                <c:pt idx="284">
                  <c:v>42296</c:v>
                </c:pt>
                <c:pt idx="285">
                  <c:v>42297</c:v>
                </c:pt>
                <c:pt idx="286">
                  <c:v>42298</c:v>
                </c:pt>
                <c:pt idx="287">
                  <c:v>42299</c:v>
                </c:pt>
                <c:pt idx="288">
                  <c:v>42300</c:v>
                </c:pt>
                <c:pt idx="289">
                  <c:v>42303</c:v>
                </c:pt>
                <c:pt idx="290">
                  <c:v>42304</c:v>
                </c:pt>
                <c:pt idx="291">
                  <c:v>42305</c:v>
                </c:pt>
                <c:pt idx="292">
                  <c:v>42306</c:v>
                </c:pt>
                <c:pt idx="293">
                  <c:v>42307</c:v>
                </c:pt>
                <c:pt idx="294">
                  <c:v>42310</c:v>
                </c:pt>
                <c:pt idx="295">
                  <c:v>42311</c:v>
                </c:pt>
                <c:pt idx="296">
                  <c:v>42312</c:v>
                </c:pt>
                <c:pt idx="297">
                  <c:v>42313</c:v>
                </c:pt>
                <c:pt idx="298">
                  <c:v>42314</c:v>
                </c:pt>
                <c:pt idx="299">
                  <c:v>42317</c:v>
                </c:pt>
                <c:pt idx="300">
                  <c:v>42318</c:v>
                </c:pt>
                <c:pt idx="301">
                  <c:v>42319</c:v>
                </c:pt>
                <c:pt idx="302">
                  <c:v>42320</c:v>
                </c:pt>
                <c:pt idx="303">
                  <c:v>42321</c:v>
                </c:pt>
                <c:pt idx="304">
                  <c:v>42324</c:v>
                </c:pt>
                <c:pt idx="305">
                  <c:v>42325</c:v>
                </c:pt>
                <c:pt idx="306">
                  <c:v>42326</c:v>
                </c:pt>
                <c:pt idx="307">
                  <c:v>42327</c:v>
                </c:pt>
                <c:pt idx="308">
                  <c:v>42328</c:v>
                </c:pt>
                <c:pt idx="309">
                  <c:v>42331</c:v>
                </c:pt>
                <c:pt idx="310">
                  <c:v>42332</c:v>
                </c:pt>
                <c:pt idx="311">
                  <c:v>42333</c:v>
                </c:pt>
                <c:pt idx="312">
                  <c:v>42334</c:v>
                </c:pt>
                <c:pt idx="313">
                  <c:v>42335</c:v>
                </c:pt>
                <c:pt idx="314">
                  <c:v>42338</c:v>
                </c:pt>
                <c:pt idx="315">
                  <c:v>42339</c:v>
                </c:pt>
                <c:pt idx="316">
                  <c:v>42340</c:v>
                </c:pt>
                <c:pt idx="317">
                  <c:v>42341</c:v>
                </c:pt>
                <c:pt idx="318">
                  <c:v>42342</c:v>
                </c:pt>
                <c:pt idx="319">
                  <c:v>42345</c:v>
                </c:pt>
                <c:pt idx="320">
                  <c:v>42346</c:v>
                </c:pt>
                <c:pt idx="321">
                  <c:v>42347</c:v>
                </c:pt>
                <c:pt idx="322">
                  <c:v>42348</c:v>
                </c:pt>
                <c:pt idx="323">
                  <c:v>42349</c:v>
                </c:pt>
                <c:pt idx="324">
                  <c:v>42352</c:v>
                </c:pt>
                <c:pt idx="325">
                  <c:v>42353</c:v>
                </c:pt>
                <c:pt idx="326">
                  <c:v>42354</c:v>
                </c:pt>
                <c:pt idx="327">
                  <c:v>42355</c:v>
                </c:pt>
                <c:pt idx="328">
                  <c:v>42356</c:v>
                </c:pt>
                <c:pt idx="329">
                  <c:v>42359</c:v>
                </c:pt>
                <c:pt idx="330">
                  <c:v>42360</c:v>
                </c:pt>
                <c:pt idx="331">
                  <c:v>42361</c:v>
                </c:pt>
                <c:pt idx="332">
                  <c:v>42362</c:v>
                </c:pt>
                <c:pt idx="333">
                  <c:v>42366</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42395</c:v>
                </c:pt>
                <c:pt idx="354">
                  <c:v>42396</c:v>
                </c:pt>
                <c:pt idx="355">
                  <c:v>42397</c:v>
                </c:pt>
                <c:pt idx="356">
                  <c:v>42398</c:v>
                </c:pt>
                <c:pt idx="357">
                  <c:v>42401</c:v>
                </c:pt>
                <c:pt idx="358">
                  <c:v>42402</c:v>
                </c:pt>
                <c:pt idx="359">
                  <c:v>42403</c:v>
                </c:pt>
                <c:pt idx="360">
                  <c:v>42404</c:v>
                </c:pt>
                <c:pt idx="361">
                  <c:v>42405</c:v>
                </c:pt>
                <c:pt idx="362">
                  <c:v>42408</c:v>
                </c:pt>
                <c:pt idx="363">
                  <c:v>42409</c:v>
                </c:pt>
                <c:pt idx="364">
                  <c:v>42410</c:v>
                </c:pt>
                <c:pt idx="365">
                  <c:v>42411</c:v>
                </c:pt>
                <c:pt idx="366">
                  <c:v>42412</c:v>
                </c:pt>
                <c:pt idx="367">
                  <c:v>42415</c:v>
                </c:pt>
                <c:pt idx="368">
                  <c:v>42416</c:v>
                </c:pt>
                <c:pt idx="369">
                  <c:v>42417</c:v>
                </c:pt>
                <c:pt idx="370">
                  <c:v>42418</c:v>
                </c:pt>
                <c:pt idx="371">
                  <c:v>42419</c:v>
                </c:pt>
                <c:pt idx="372">
                  <c:v>42422</c:v>
                </c:pt>
                <c:pt idx="373">
                  <c:v>42423</c:v>
                </c:pt>
                <c:pt idx="374">
                  <c:v>42424</c:v>
                </c:pt>
                <c:pt idx="375">
                  <c:v>42425</c:v>
                </c:pt>
                <c:pt idx="376">
                  <c:v>42426</c:v>
                </c:pt>
                <c:pt idx="377">
                  <c:v>42429</c:v>
                </c:pt>
                <c:pt idx="378">
                  <c:v>42430</c:v>
                </c:pt>
                <c:pt idx="379">
                  <c:v>42431</c:v>
                </c:pt>
                <c:pt idx="380">
                  <c:v>42432</c:v>
                </c:pt>
                <c:pt idx="381">
                  <c:v>42433</c:v>
                </c:pt>
                <c:pt idx="382">
                  <c:v>42436</c:v>
                </c:pt>
                <c:pt idx="383">
                  <c:v>42437</c:v>
                </c:pt>
                <c:pt idx="384">
                  <c:v>42438</c:v>
                </c:pt>
                <c:pt idx="385">
                  <c:v>42439</c:v>
                </c:pt>
                <c:pt idx="386">
                  <c:v>42440</c:v>
                </c:pt>
                <c:pt idx="387">
                  <c:v>42443</c:v>
                </c:pt>
                <c:pt idx="388">
                  <c:v>42444</c:v>
                </c:pt>
                <c:pt idx="389">
                  <c:v>42445</c:v>
                </c:pt>
                <c:pt idx="390">
                  <c:v>42446</c:v>
                </c:pt>
                <c:pt idx="391">
                  <c:v>42447</c:v>
                </c:pt>
                <c:pt idx="392">
                  <c:v>42450</c:v>
                </c:pt>
                <c:pt idx="393">
                  <c:v>42451</c:v>
                </c:pt>
                <c:pt idx="394">
                  <c:v>42452</c:v>
                </c:pt>
                <c:pt idx="395">
                  <c:v>42453</c:v>
                </c:pt>
                <c:pt idx="396">
                  <c:v>42458</c:v>
                </c:pt>
                <c:pt idx="397">
                  <c:v>42459</c:v>
                </c:pt>
                <c:pt idx="398">
                  <c:v>42460</c:v>
                </c:pt>
                <c:pt idx="399">
                  <c:v>42461</c:v>
                </c:pt>
                <c:pt idx="400">
                  <c:v>42464</c:v>
                </c:pt>
                <c:pt idx="401">
                  <c:v>42465</c:v>
                </c:pt>
                <c:pt idx="402">
                  <c:v>42466</c:v>
                </c:pt>
                <c:pt idx="403">
                  <c:v>42467</c:v>
                </c:pt>
                <c:pt idx="404">
                  <c:v>42468</c:v>
                </c:pt>
                <c:pt idx="405">
                  <c:v>42471</c:v>
                </c:pt>
                <c:pt idx="406">
                  <c:v>42472</c:v>
                </c:pt>
                <c:pt idx="407">
                  <c:v>42473</c:v>
                </c:pt>
                <c:pt idx="408">
                  <c:v>42474</c:v>
                </c:pt>
                <c:pt idx="409">
                  <c:v>42475</c:v>
                </c:pt>
                <c:pt idx="410">
                  <c:v>42478</c:v>
                </c:pt>
                <c:pt idx="411">
                  <c:v>42479</c:v>
                </c:pt>
                <c:pt idx="412">
                  <c:v>42480</c:v>
                </c:pt>
                <c:pt idx="413">
                  <c:v>42481</c:v>
                </c:pt>
                <c:pt idx="414">
                  <c:v>42482</c:v>
                </c:pt>
                <c:pt idx="415">
                  <c:v>42485</c:v>
                </c:pt>
                <c:pt idx="416">
                  <c:v>42486</c:v>
                </c:pt>
                <c:pt idx="417">
                  <c:v>42487</c:v>
                </c:pt>
                <c:pt idx="418">
                  <c:v>42488</c:v>
                </c:pt>
                <c:pt idx="419">
                  <c:v>42489</c:v>
                </c:pt>
                <c:pt idx="420">
                  <c:v>42492</c:v>
                </c:pt>
                <c:pt idx="421">
                  <c:v>42493</c:v>
                </c:pt>
                <c:pt idx="422">
                  <c:v>42494</c:v>
                </c:pt>
                <c:pt idx="423">
                  <c:v>42495</c:v>
                </c:pt>
                <c:pt idx="424">
                  <c:v>42496</c:v>
                </c:pt>
                <c:pt idx="425">
                  <c:v>42499</c:v>
                </c:pt>
                <c:pt idx="426">
                  <c:v>42500</c:v>
                </c:pt>
                <c:pt idx="427">
                  <c:v>42501</c:v>
                </c:pt>
                <c:pt idx="428">
                  <c:v>42502</c:v>
                </c:pt>
                <c:pt idx="429">
                  <c:v>42503</c:v>
                </c:pt>
                <c:pt idx="430">
                  <c:v>42506</c:v>
                </c:pt>
                <c:pt idx="431">
                  <c:v>42507</c:v>
                </c:pt>
                <c:pt idx="432">
                  <c:v>42508</c:v>
                </c:pt>
                <c:pt idx="433">
                  <c:v>42509</c:v>
                </c:pt>
                <c:pt idx="434">
                  <c:v>42510</c:v>
                </c:pt>
                <c:pt idx="435">
                  <c:v>42513</c:v>
                </c:pt>
                <c:pt idx="436">
                  <c:v>42514</c:v>
                </c:pt>
                <c:pt idx="437">
                  <c:v>42515</c:v>
                </c:pt>
                <c:pt idx="438">
                  <c:v>42516</c:v>
                </c:pt>
                <c:pt idx="439">
                  <c:v>42517</c:v>
                </c:pt>
                <c:pt idx="440">
                  <c:v>42520</c:v>
                </c:pt>
                <c:pt idx="441">
                  <c:v>42521</c:v>
                </c:pt>
                <c:pt idx="442">
                  <c:v>42522</c:v>
                </c:pt>
                <c:pt idx="443">
                  <c:v>42523</c:v>
                </c:pt>
                <c:pt idx="444">
                  <c:v>42524</c:v>
                </c:pt>
                <c:pt idx="445">
                  <c:v>42527</c:v>
                </c:pt>
                <c:pt idx="446">
                  <c:v>42528</c:v>
                </c:pt>
                <c:pt idx="447">
                  <c:v>42529</c:v>
                </c:pt>
                <c:pt idx="448">
                  <c:v>42530</c:v>
                </c:pt>
                <c:pt idx="449">
                  <c:v>42531</c:v>
                </c:pt>
                <c:pt idx="450">
                  <c:v>42534</c:v>
                </c:pt>
                <c:pt idx="451">
                  <c:v>42535</c:v>
                </c:pt>
                <c:pt idx="452">
                  <c:v>42536</c:v>
                </c:pt>
                <c:pt idx="453">
                  <c:v>42537</c:v>
                </c:pt>
                <c:pt idx="454">
                  <c:v>42538</c:v>
                </c:pt>
                <c:pt idx="455">
                  <c:v>42541</c:v>
                </c:pt>
                <c:pt idx="456">
                  <c:v>42542</c:v>
                </c:pt>
                <c:pt idx="457">
                  <c:v>42543</c:v>
                </c:pt>
                <c:pt idx="458">
                  <c:v>42544</c:v>
                </c:pt>
                <c:pt idx="459">
                  <c:v>42545</c:v>
                </c:pt>
                <c:pt idx="460">
                  <c:v>42548</c:v>
                </c:pt>
                <c:pt idx="461">
                  <c:v>42549</c:v>
                </c:pt>
                <c:pt idx="462">
                  <c:v>42550</c:v>
                </c:pt>
                <c:pt idx="463">
                  <c:v>42551</c:v>
                </c:pt>
                <c:pt idx="464">
                  <c:v>42552</c:v>
                </c:pt>
                <c:pt idx="465">
                  <c:v>42555</c:v>
                </c:pt>
                <c:pt idx="466">
                  <c:v>42556</c:v>
                </c:pt>
                <c:pt idx="467">
                  <c:v>42557</c:v>
                </c:pt>
                <c:pt idx="468">
                  <c:v>42558</c:v>
                </c:pt>
                <c:pt idx="469">
                  <c:v>42559</c:v>
                </c:pt>
                <c:pt idx="470">
                  <c:v>42562</c:v>
                </c:pt>
                <c:pt idx="471">
                  <c:v>42563</c:v>
                </c:pt>
                <c:pt idx="472">
                  <c:v>42564</c:v>
                </c:pt>
                <c:pt idx="473">
                  <c:v>42565</c:v>
                </c:pt>
                <c:pt idx="474">
                  <c:v>42566</c:v>
                </c:pt>
                <c:pt idx="475">
                  <c:v>42569</c:v>
                </c:pt>
                <c:pt idx="476">
                  <c:v>42570</c:v>
                </c:pt>
                <c:pt idx="477">
                  <c:v>42571</c:v>
                </c:pt>
                <c:pt idx="478">
                  <c:v>42572</c:v>
                </c:pt>
                <c:pt idx="479">
                  <c:v>42573</c:v>
                </c:pt>
                <c:pt idx="480">
                  <c:v>42576</c:v>
                </c:pt>
                <c:pt idx="481">
                  <c:v>42577</c:v>
                </c:pt>
                <c:pt idx="482">
                  <c:v>42578</c:v>
                </c:pt>
                <c:pt idx="483">
                  <c:v>42579</c:v>
                </c:pt>
                <c:pt idx="484">
                  <c:v>42580</c:v>
                </c:pt>
                <c:pt idx="485">
                  <c:v>42583</c:v>
                </c:pt>
                <c:pt idx="486">
                  <c:v>42584</c:v>
                </c:pt>
                <c:pt idx="487">
                  <c:v>42585</c:v>
                </c:pt>
                <c:pt idx="488">
                  <c:v>42586</c:v>
                </c:pt>
                <c:pt idx="489">
                  <c:v>42587</c:v>
                </c:pt>
                <c:pt idx="490">
                  <c:v>42590</c:v>
                </c:pt>
                <c:pt idx="491">
                  <c:v>42591</c:v>
                </c:pt>
                <c:pt idx="492">
                  <c:v>42592</c:v>
                </c:pt>
                <c:pt idx="493">
                  <c:v>42593</c:v>
                </c:pt>
                <c:pt idx="494">
                  <c:v>42594</c:v>
                </c:pt>
                <c:pt idx="495">
                  <c:v>42597</c:v>
                </c:pt>
                <c:pt idx="496">
                  <c:v>42598</c:v>
                </c:pt>
                <c:pt idx="497">
                  <c:v>42599</c:v>
                </c:pt>
                <c:pt idx="498">
                  <c:v>42600</c:v>
                </c:pt>
                <c:pt idx="499">
                  <c:v>42601</c:v>
                </c:pt>
                <c:pt idx="500">
                  <c:v>42604</c:v>
                </c:pt>
                <c:pt idx="501">
                  <c:v>42605</c:v>
                </c:pt>
                <c:pt idx="502">
                  <c:v>42606</c:v>
                </c:pt>
                <c:pt idx="503">
                  <c:v>42607</c:v>
                </c:pt>
                <c:pt idx="504">
                  <c:v>42608</c:v>
                </c:pt>
                <c:pt idx="505">
                  <c:v>42611</c:v>
                </c:pt>
                <c:pt idx="506">
                  <c:v>42612</c:v>
                </c:pt>
                <c:pt idx="507">
                  <c:v>42613</c:v>
                </c:pt>
                <c:pt idx="508">
                  <c:v>42614</c:v>
                </c:pt>
                <c:pt idx="509">
                  <c:v>42615</c:v>
                </c:pt>
                <c:pt idx="510">
                  <c:v>42618</c:v>
                </c:pt>
                <c:pt idx="511">
                  <c:v>42619</c:v>
                </c:pt>
                <c:pt idx="512">
                  <c:v>42620</c:v>
                </c:pt>
                <c:pt idx="513">
                  <c:v>42621</c:v>
                </c:pt>
                <c:pt idx="514">
                  <c:v>42622</c:v>
                </c:pt>
                <c:pt idx="515">
                  <c:v>42625</c:v>
                </c:pt>
                <c:pt idx="516">
                  <c:v>42626</c:v>
                </c:pt>
                <c:pt idx="517">
                  <c:v>42627</c:v>
                </c:pt>
                <c:pt idx="518">
                  <c:v>42634</c:v>
                </c:pt>
                <c:pt idx="519">
                  <c:v>42641</c:v>
                </c:pt>
                <c:pt idx="520">
                  <c:v>42648</c:v>
                </c:pt>
                <c:pt idx="521">
                  <c:v>42655</c:v>
                </c:pt>
                <c:pt idx="522">
                  <c:v>42662</c:v>
                </c:pt>
                <c:pt idx="523">
                  <c:v>42669</c:v>
                </c:pt>
                <c:pt idx="524">
                  <c:v>42676</c:v>
                </c:pt>
                <c:pt idx="525">
                  <c:v>42683</c:v>
                </c:pt>
                <c:pt idx="526">
                  <c:v>42690</c:v>
                </c:pt>
                <c:pt idx="527">
                  <c:v>42697</c:v>
                </c:pt>
                <c:pt idx="528">
                  <c:v>42704</c:v>
                </c:pt>
                <c:pt idx="529">
                  <c:v>42711</c:v>
                </c:pt>
                <c:pt idx="530">
                  <c:v>42718</c:v>
                </c:pt>
                <c:pt idx="531">
                  <c:v>42725</c:v>
                </c:pt>
                <c:pt idx="532">
                  <c:v>42733</c:v>
                </c:pt>
                <c:pt idx="533">
                  <c:v>42740</c:v>
                </c:pt>
                <c:pt idx="534">
                  <c:v>42747</c:v>
                </c:pt>
                <c:pt idx="535">
                  <c:v>42754</c:v>
                </c:pt>
                <c:pt idx="536">
                  <c:v>42761</c:v>
                </c:pt>
                <c:pt idx="537">
                  <c:v>42768</c:v>
                </c:pt>
                <c:pt idx="538">
                  <c:v>42775</c:v>
                </c:pt>
                <c:pt idx="539">
                  <c:v>42782</c:v>
                </c:pt>
                <c:pt idx="540">
                  <c:v>42789</c:v>
                </c:pt>
                <c:pt idx="541">
                  <c:v>42796</c:v>
                </c:pt>
                <c:pt idx="542">
                  <c:v>42803</c:v>
                </c:pt>
                <c:pt idx="543">
                  <c:v>42810</c:v>
                </c:pt>
                <c:pt idx="544">
                  <c:v>42817</c:v>
                </c:pt>
                <c:pt idx="545">
                  <c:v>42824</c:v>
                </c:pt>
                <c:pt idx="546">
                  <c:v>42831</c:v>
                </c:pt>
                <c:pt idx="547">
                  <c:v>42838</c:v>
                </c:pt>
                <c:pt idx="548">
                  <c:v>42845</c:v>
                </c:pt>
                <c:pt idx="549">
                  <c:v>42852</c:v>
                </c:pt>
                <c:pt idx="550">
                  <c:v>42859</c:v>
                </c:pt>
                <c:pt idx="551">
                  <c:v>42866</c:v>
                </c:pt>
                <c:pt idx="552">
                  <c:v>42873</c:v>
                </c:pt>
                <c:pt idx="553">
                  <c:v>42880</c:v>
                </c:pt>
                <c:pt idx="554">
                  <c:v>42887</c:v>
                </c:pt>
                <c:pt idx="555">
                  <c:v>42894</c:v>
                </c:pt>
                <c:pt idx="556">
                  <c:v>42901</c:v>
                </c:pt>
                <c:pt idx="557">
                  <c:v>42908</c:v>
                </c:pt>
                <c:pt idx="558">
                  <c:v>42915</c:v>
                </c:pt>
                <c:pt idx="559">
                  <c:v>42922</c:v>
                </c:pt>
                <c:pt idx="560">
                  <c:v>42929</c:v>
                </c:pt>
                <c:pt idx="561">
                  <c:v>42936</c:v>
                </c:pt>
                <c:pt idx="562">
                  <c:v>42943</c:v>
                </c:pt>
                <c:pt idx="563">
                  <c:v>42950</c:v>
                </c:pt>
                <c:pt idx="564">
                  <c:v>42957</c:v>
                </c:pt>
                <c:pt idx="565">
                  <c:v>42964</c:v>
                </c:pt>
                <c:pt idx="566">
                  <c:v>42971</c:v>
                </c:pt>
                <c:pt idx="567">
                  <c:v>42978</c:v>
                </c:pt>
                <c:pt idx="568">
                  <c:v>42985</c:v>
                </c:pt>
                <c:pt idx="569">
                  <c:v>42992</c:v>
                </c:pt>
                <c:pt idx="570">
                  <c:v>42999</c:v>
                </c:pt>
                <c:pt idx="571">
                  <c:v>43006</c:v>
                </c:pt>
                <c:pt idx="572">
                  <c:v>43013</c:v>
                </c:pt>
                <c:pt idx="573">
                  <c:v>43020</c:v>
                </c:pt>
                <c:pt idx="574">
                  <c:v>43027</c:v>
                </c:pt>
                <c:pt idx="575">
                  <c:v>43034</c:v>
                </c:pt>
                <c:pt idx="576">
                  <c:v>43041</c:v>
                </c:pt>
                <c:pt idx="577">
                  <c:v>43048</c:v>
                </c:pt>
                <c:pt idx="578">
                  <c:v>43055</c:v>
                </c:pt>
                <c:pt idx="579">
                  <c:v>43062</c:v>
                </c:pt>
                <c:pt idx="580">
                  <c:v>43069</c:v>
                </c:pt>
                <c:pt idx="581">
                  <c:v>43076</c:v>
                </c:pt>
                <c:pt idx="582">
                  <c:v>43083</c:v>
                </c:pt>
                <c:pt idx="583">
                  <c:v>43090</c:v>
                </c:pt>
                <c:pt idx="584">
                  <c:v>43098</c:v>
                </c:pt>
                <c:pt idx="585">
                  <c:v>43105</c:v>
                </c:pt>
                <c:pt idx="586">
                  <c:v>43112</c:v>
                </c:pt>
                <c:pt idx="587">
                  <c:v>43119</c:v>
                </c:pt>
                <c:pt idx="588">
                  <c:v>43126</c:v>
                </c:pt>
                <c:pt idx="589">
                  <c:v>43133</c:v>
                </c:pt>
                <c:pt idx="590">
                  <c:v>43140</c:v>
                </c:pt>
                <c:pt idx="591">
                  <c:v>43147</c:v>
                </c:pt>
                <c:pt idx="592">
                  <c:v>43154</c:v>
                </c:pt>
                <c:pt idx="593">
                  <c:v>43161</c:v>
                </c:pt>
                <c:pt idx="594">
                  <c:v>43168</c:v>
                </c:pt>
                <c:pt idx="595">
                  <c:v>43175</c:v>
                </c:pt>
                <c:pt idx="596">
                  <c:v>43182</c:v>
                </c:pt>
                <c:pt idx="597">
                  <c:v>43193</c:v>
                </c:pt>
                <c:pt idx="598">
                  <c:v>43196</c:v>
                </c:pt>
                <c:pt idx="599">
                  <c:v>43203</c:v>
                </c:pt>
                <c:pt idx="600">
                  <c:v>43210</c:v>
                </c:pt>
                <c:pt idx="601">
                  <c:v>43217</c:v>
                </c:pt>
                <c:pt idx="602">
                  <c:v>43224</c:v>
                </c:pt>
                <c:pt idx="603">
                  <c:v>43231</c:v>
                </c:pt>
                <c:pt idx="604">
                  <c:v>43238</c:v>
                </c:pt>
                <c:pt idx="605">
                  <c:v>43245</c:v>
                </c:pt>
                <c:pt idx="606">
                  <c:v>43252</c:v>
                </c:pt>
                <c:pt idx="607">
                  <c:v>43259</c:v>
                </c:pt>
                <c:pt idx="608">
                  <c:v>43266</c:v>
                </c:pt>
                <c:pt idx="609">
                  <c:v>43273</c:v>
                </c:pt>
                <c:pt idx="610">
                  <c:v>43280</c:v>
                </c:pt>
                <c:pt idx="611">
                  <c:v>43287</c:v>
                </c:pt>
                <c:pt idx="612">
                  <c:v>43294</c:v>
                </c:pt>
                <c:pt idx="613">
                  <c:v>43301</c:v>
                </c:pt>
                <c:pt idx="614">
                  <c:v>43308</c:v>
                </c:pt>
                <c:pt idx="615">
                  <c:v>43315</c:v>
                </c:pt>
                <c:pt idx="616">
                  <c:v>43322</c:v>
                </c:pt>
                <c:pt idx="617">
                  <c:v>43329</c:v>
                </c:pt>
                <c:pt idx="618">
                  <c:v>43336</c:v>
                </c:pt>
                <c:pt idx="619">
                  <c:v>43343</c:v>
                </c:pt>
                <c:pt idx="620">
                  <c:v>43350</c:v>
                </c:pt>
                <c:pt idx="621">
                  <c:v>43357</c:v>
                </c:pt>
                <c:pt idx="622">
                  <c:v>43364</c:v>
                </c:pt>
                <c:pt idx="623">
                  <c:v>43371</c:v>
                </c:pt>
                <c:pt idx="624">
                  <c:v>43378</c:v>
                </c:pt>
                <c:pt idx="625">
                  <c:v>43385</c:v>
                </c:pt>
                <c:pt idx="626">
                  <c:v>43392</c:v>
                </c:pt>
                <c:pt idx="627">
                  <c:v>43399</c:v>
                </c:pt>
                <c:pt idx="628">
                  <c:v>43406</c:v>
                </c:pt>
                <c:pt idx="629">
                  <c:v>43413</c:v>
                </c:pt>
                <c:pt idx="630">
                  <c:v>43420</c:v>
                </c:pt>
                <c:pt idx="631">
                  <c:v>43427</c:v>
                </c:pt>
                <c:pt idx="632">
                  <c:v>43434</c:v>
                </c:pt>
                <c:pt idx="633">
                  <c:v>43441</c:v>
                </c:pt>
                <c:pt idx="634">
                  <c:v>43448</c:v>
                </c:pt>
                <c:pt idx="635">
                  <c:v>43455</c:v>
                </c:pt>
                <c:pt idx="636">
                  <c:v>43465</c:v>
                </c:pt>
                <c:pt idx="637">
                  <c:v>43472</c:v>
                </c:pt>
                <c:pt idx="638">
                  <c:v>43479</c:v>
                </c:pt>
                <c:pt idx="639">
                  <c:v>43486</c:v>
                </c:pt>
                <c:pt idx="640">
                  <c:v>43493</c:v>
                </c:pt>
                <c:pt idx="641">
                  <c:v>43500</c:v>
                </c:pt>
                <c:pt idx="642">
                  <c:v>43507</c:v>
                </c:pt>
                <c:pt idx="643">
                  <c:v>43514</c:v>
                </c:pt>
                <c:pt idx="644">
                  <c:v>43521</c:v>
                </c:pt>
                <c:pt idx="645">
                  <c:v>43528</c:v>
                </c:pt>
                <c:pt idx="646">
                  <c:v>43535</c:v>
                </c:pt>
                <c:pt idx="647">
                  <c:v>43542</c:v>
                </c:pt>
                <c:pt idx="648">
                  <c:v>43549</c:v>
                </c:pt>
                <c:pt idx="649">
                  <c:v>43556</c:v>
                </c:pt>
                <c:pt idx="650">
                  <c:v>43563</c:v>
                </c:pt>
                <c:pt idx="651">
                  <c:v>43570</c:v>
                </c:pt>
                <c:pt idx="652">
                  <c:v>43579</c:v>
                </c:pt>
                <c:pt idx="653">
                  <c:v>43584</c:v>
                </c:pt>
                <c:pt idx="654">
                  <c:v>43591</c:v>
                </c:pt>
                <c:pt idx="655">
                  <c:v>43598</c:v>
                </c:pt>
                <c:pt idx="656">
                  <c:v>43605</c:v>
                </c:pt>
                <c:pt idx="657">
                  <c:v>43612</c:v>
                </c:pt>
                <c:pt idx="658">
                  <c:v>43619</c:v>
                </c:pt>
                <c:pt idx="659">
                  <c:v>43626</c:v>
                </c:pt>
                <c:pt idx="660">
                  <c:v>43633</c:v>
                </c:pt>
                <c:pt idx="661">
                  <c:v>43640</c:v>
                </c:pt>
                <c:pt idx="662">
                  <c:v>43647</c:v>
                </c:pt>
                <c:pt idx="663">
                  <c:v>43654</c:v>
                </c:pt>
                <c:pt idx="664">
                  <c:v>43661</c:v>
                </c:pt>
                <c:pt idx="665">
                  <c:v>43668</c:v>
                </c:pt>
                <c:pt idx="666">
                  <c:v>43675</c:v>
                </c:pt>
                <c:pt idx="667">
                  <c:v>43682</c:v>
                </c:pt>
                <c:pt idx="668">
                  <c:v>43689</c:v>
                </c:pt>
                <c:pt idx="669">
                  <c:v>43696</c:v>
                </c:pt>
                <c:pt idx="670">
                  <c:v>43703</c:v>
                </c:pt>
                <c:pt idx="671">
                  <c:v>43710</c:v>
                </c:pt>
                <c:pt idx="672">
                  <c:v>43717</c:v>
                </c:pt>
                <c:pt idx="673">
                  <c:v>43724</c:v>
                </c:pt>
                <c:pt idx="674">
                  <c:v>43731</c:v>
                </c:pt>
                <c:pt idx="675">
                  <c:v>43738</c:v>
                </c:pt>
                <c:pt idx="676">
                  <c:v>43745</c:v>
                </c:pt>
                <c:pt idx="677">
                  <c:v>43752</c:v>
                </c:pt>
                <c:pt idx="678">
                  <c:v>43759</c:v>
                </c:pt>
                <c:pt idx="679">
                  <c:v>43766</c:v>
                </c:pt>
                <c:pt idx="680">
                  <c:v>43773</c:v>
                </c:pt>
                <c:pt idx="681">
                  <c:v>43780</c:v>
                </c:pt>
                <c:pt idx="682">
                  <c:v>43787</c:v>
                </c:pt>
                <c:pt idx="683">
                  <c:v>43794</c:v>
                </c:pt>
                <c:pt idx="684">
                  <c:v>43801</c:v>
                </c:pt>
                <c:pt idx="685">
                  <c:v>43808</c:v>
                </c:pt>
                <c:pt idx="686">
                  <c:v>43815</c:v>
                </c:pt>
                <c:pt idx="687">
                  <c:v>43822</c:v>
                </c:pt>
                <c:pt idx="688">
                  <c:v>43830</c:v>
                </c:pt>
                <c:pt idx="689">
                  <c:v>43837</c:v>
                </c:pt>
                <c:pt idx="690">
                  <c:v>43844</c:v>
                </c:pt>
                <c:pt idx="691">
                  <c:v>43851</c:v>
                </c:pt>
                <c:pt idx="692">
                  <c:v>43858</c:v>
                </c:pt>
                <c:pt idx="693">
                  <c:v>43865</c:v>
                </c:pt>
                <c:pt idx="694">
                  <c:v>43872</c:v>
                </c:pt>
                <c:pt idx="695">
                  <c:v>43879</c:v>
                </c:pt>
                <c:pt idx="696">
                  <c:v>43886</c:v>
                </c:pt>
                <c:pt idx="697">
                  <c:v>43893</c:v>
                </c:pt>
                <c:pt idx="698">
                  <c:v>43900</c:v>
                </c:pt>
                <c:pt idx="699">
                  <c:v>43907</c:v>
                </c:pt>
                <c:pt idx="700">
                  <c:v>43914</c:v>
                </c:pt>
                <c:pt idx="701">
                  <c:v>43921</c:v>
                </c:pt>
                <c:pt idx="702">
                  <c:v>43928</c:v>
                </c:pt>
                <c:pt idx="703">
                  <c:v>43937</c:v>
                </c:pt>
                <c:pt idx="704">
                  <c:v>43944</c:v>
                </c:pt>
                <c:pt idx="705">
                  <c:v>43951</c:v>
                </c:pt>
                <c:pt idx="706">
                  <c:v>43958</c:v>
                </c:pt>
                <c:pt idx="707">
                  <c:v>43965</c:v>
                </c:pt>
                <c:pt idx="708">
                  <c:v>43972</c:v>
                </c:pt>
                <c:pt idx="709">
                  <c:v>43979</c:v>
                </c:pt>
                <c:pt idx="710">
                  <c:v>43986</c:v>
                </c:pt>
                <c:pt idx="711">
                  <c:v>43993</c:v>
                </c:pt>
                <c:pt idx="712">
                  <c:v>44000</c:v>
                </c:pt>
                <c:pt idx="713">
                  <c:v>44007</c:v>
                </c:pt>
                <c:pt idx="714">
                  <c:v>44014</c:v>
                </c:pt>
                <c:pt idx="715">
                  <c:v>44021</c:v>
                </c:pt>
                <c:pt idx="716">
                  <c:v>44028</c:v>
                </c:pt>
                <c:pt idx="717">
                  <c:v>44035</c:v>
                </c:pt>
                <c:pt idx="718">
                  <c:v>44042</c:v>
                </c:pt>
                <c:pt idx="719">
                  <c:v>44049</c:v>
                </c:pt>
                <c:pt idx="720">
                  <c:v>44056</c:v>
                </c:pt>
                <c:pt idx="721">
                  <c:v>44063</c:v>
                </c:pt>
                <c:pt idx="722">
                  <c:v>44070</c:v>
                </c:pt>
                <c:pt idx="723">
                  <c:v>44077</c:v>
                </c:pt>
                <c:pt idx="724">
                  <c:v>44084</c:v>
                </c:pt>
                <c:pt idx="725">
                  <c:v>44091</c:v>
                </c:pt>
                <c:pt idx="726">
                  <c:v>44098</c:v>
                </c:pt>
                <c:pt idx="727">
                  <c:v>44105</c:v>
                </c:pt>
                <c:pt idx="728">
                  <c:v>44112</c:v>
                </c:pt>
                <c:pt idx="729">
                  <c:v>44119</c:v>
                </c:pt>
                <c:pt idx="730">
                  <c:v>44126</c:v>
                </c:pt>
                <c:pt idx="731">
                  <c:v>44133</c:v>
                </c:pt>
                <c:pt idx="732">
                  <c:v>44140</c:v>
                </c:pt>
                <c:pt idx="733">
                  <c:v>44147</c:v>
                </c:pt>
                <c:pt idx="734">
                  <c:v>44154</c:v>
                </c:pt>
                <c:pt idx="735">
                  <c:v>44161</c:v>
                </c:pt>
                <c:pt idx="736">
                  <c:v>44168</c:v>
                </c:pt>
                <c:pt idx="737">
                  <c:v>44175</c:v>
                </c:pt>
                <c:pt idx="738">
                  <c:v>44182</c:v>
                </c:pt>
                <c:pt idx="739">
                  <c:v>44189</c:v>
                </c:pt>
                <c:pt idx="740">
                  <c:v>44196</c:v>
                </c:pt>
                <c:pt idx="741">
                  <c:v>44203</c:v>
                </c:pt>
                <c:pt idx="742">
                  <c:v>44210</c:v>
                </c:pt>
                <c:pt idx="743">
                  <c:v>44217</c:v>
                </c:pt>
                <c:pt idx="744">
                  <c:v>44224</c:v>
                </c:pt>
                <c:pt idx="745">
                  <c:v>44231</c:v>
                </c:pt>
                <c:pt idx="746">
                  <c:v>44238</c:v>
                </c:pt>
                <c:pt idx="747">
                  <c:v>44245</c:v>
                </c:pt>
                <c:pt idx="748">
                  <c:v>44252</c:v>
                </c:pt>
                <c:pt idx="749">
                  <c:v>44259</c:v>
                </c:pt>
                <c:pt idx="750">
                  <c:v>44266</c:v>
                </c:pt>
                <c:pt idx="751">
                  <c:v>44273</c:v>
                </c:pt>
                <c:pt idx="752">
                  <c:v>44280</c:v>
                </c:pt>
                <c:pt idx="753">
                  <c:v>44287</c:v>
                </c:pt>
                <c:pt idx="754">
                  <c:v>44294</c:v>
                </c:pt>
                <c:pt idx="755">
                  <c:v>44301</c:v>
                </c:pt>
                <c:pt idx="756">
                  <c:v>44308</c:v>
                </c:pt>
                <c:pt idx="757">
                  <c:v>44315</c:v>
                </c:pt>
                <c:pt idx="758">
                  <c:v>44322</c:v>
                </c:pt>
                <c:pt idx="759">
                  <c:v>44329</c:v>
                </c:pt>
                <c:pt idx="760">
                  <c:v>44336</c:v>
                </c:pt>
                <c:pt idx="761">
                  <c:v>44343</c:v>
                </c:pt>
                <c:pt idx="762">
                  <c:v>44350</c:v>
                </c:pt>
                <c:pt idx="763">
                  <c:v>44357</c:v>
                </c:pt>
                <c:pt idx="764">
                  <c:v>44364</c:v>
                </c:pt>
                <c:pt idx="765">
                  <c:v>44371</c:v>
                </c:pt>
                <c:pt idx="766">
                  <c:v>44378</c:v>
                </c:pt>
                <c:pt idx="767">
                  <c:v>44385</c:v>
                </c:pt>
                <c:pt idx="768">
                  <c:v>44392</c:v>
                </c:pt>
                <c:pt idx="769">
                  <c:v>44399</c:v>
                </c:pt>
                <c:pt idx="770">
                  <c:v>44406</c:v>
                </c:pt>
                <c:pt idx="771">
                  <c:v>44413</c:v>
                </c:pt>
                <c:pt idx="772">
                  <c:v>44420</c:v>
                </c:pt>
                <c:pt idx="773">
                  <c:v>44427</c:v>
                </c:pt>
                <c:pt idx="774">
                  <c:v>44434</c:v>
                </c:pt>
                <c:pt idx="775">
                  <c:v>44441</c:v>
                </c:pt>
                <c:pt idx="776">
                  <c:v>44448</c:v>
                </c:pt>
                <c:pt idx="777">
                  <c:v>44455</c:v>
                </c:pt>
                <c:pt idx="778">
                  <c:v>44462</c:v>
                </c:pt>
                <c:pt idx="779">
                  <c:v>44469</c:v>
                </c:pt>
                <c:pt idx="780">
                  <c:v>44476</c:v>
                </c:pt>
                <c:pt idx="781">
                  <c:v>44483</c:v>
                </c:pt>
                <c:pt idx="782">
                  <c:v>44490</c:v>
                </c:pt>
                <c:pt idx="783">
                  <c:v>44497</c:v>
                </c:pt>
                <c:pt idx="784">
                  <c:v>44504</c:v>
                </c:pt>
                <c:pt idx="785">
                  <c:v>44511</c:v>
                </c:pt>
                <c:pt idx="786">
                  <c:v>44518</c:v>
                </c:pt>
                <c:pt idx="787">
                  <c:v>44525</c:v>
                </c:pt>
                <c:pt idx="788">
                  <c:v>44532</c:v>
                </c:pt>
                <c:pt idx="789">
                  <c:v>44539</c:v>
                </c:pt>
                <c:pt idx="790">
                  <c:v>44546</c:v>
                </c:pt>
                <c:pt idx="791">
                  <c:v>44553</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44686</c:v>
                </c:pt>
                <c:pt idx="811">
                  <c:v>44693</c:v>
                </c:pt>
                <c:pt idx="812">
                  <c:v>44700</c:v>
                </c:pt>
                <c:pt idx="813">
                  <c:v>44707</c:v>
                </c:pt>
                <c:pt idx="814">
                  <c:v>44714</c:v>
                </c:pt>
                <c:pt idx="815">
                  <c:v>44721</c:v>
                </c:pt>
                <c:pt idx="816">
                  <c:v>44728</c:v>
                </c:pt>
                <c:pt idx="817">
                  <c:v>44735</c:v>
                </c:pt>
                <c:pt idx="818">
                  <c:v>44742</c:v>
                </c:pt>
                <c:pt idx="819">
                  <c:v>44749</c:v>
                </c:pt>
                <c:pt idx="820">
                  <c:v>44756</c:v>
                </c:pt>
                <c:pt idx="821">
                  <c:v>44763</c:v>
                </c:pt>
                <c:pt idx="822">
                  <c:v>44770</c:v>
                </c:pt>
                <c:pt idx="823">
                  <c:v>44777</c:v>
                </c:pt>
                <c:pt idx="824">
                  <c:v>44784</c:v>
                </c:pt>
                <c:pt idx="825">
                  <c:v>44791</c:v>
                </c:pt>
                <c:pt idx="826">
                  <c:v>44798</c:v>
                </c:pt>
                <c:pt idx="827">
                  <c:v>44805</c:v>
                </c:pt>
                <c:pt idx="828">
                  <c:v>44812</c:v>
                </c:pt>
                <c:pt idx="829">
                  <c:v>44819</c:v>
                </c:pt>
                <c:pt idx="830">
                  <c:v>44826</c:v>
                </c:pt>
                <c:pt idx="831">
                  <c:v>44833</c:v>
                </c:pt>
                <c:pt idx="832">
                  <c:v>44840</c:v>
                </c:pt>
                <c:pt idx="833">
                  <c:v>44847</c:v>
                </c:pt>
                <c:pt idx="834">
                  <c:v>44854</c:v>
                </c:pt>
                <c:pt idx="835">
                  <c:v>44861</c:v>
                </c:pt>
                <c:pt idx="836">
                  <c:v>44868</c:v>
                </c:pt>
                <c:pt idx="837">
                  <c:v>44875</c:v>
                </c:pt>
                <c:pt idx="838">
                  <c:v>44882</c:v>
                </c:pt>
                <c:pt idx="839">
                  <c:v>44889</c:v>
                </c:pt>
                <c:pt idx="840">
                  <c:v>44896</c:v>
                </c:pt>
                <c:pt idx="841">
                  <c:v>44903</c:v>
                </c:pt>
                <c:pt idx="842">
                  <c:v>44910</c:v>
                </c:pt>
                <c:pt idx="843">
                  <c:v>44917</c:v>
                </c:pt>
                <c:pt idx="844">
                  <c:v>44924</c:v>
                </c:pt>
                <c:pt idx="845">
                  <c:v>44931</c:v>
                </c:pt>
                <c:pt idx="846">
                  <c:v>44938</c:v>
                </c:pt>
                <c:pt idx="847">
                  <c:v>44945</c:v>
                </c:pt>
                <c:pt idx="848">
                  <c:v>44952</c:v>
                </c:pt>
                <c:pt idx="849">
                  <c:v>44959</c:v>
                </c:pt>
                <c:pt idx="850">
                  <c:v>44966</c:v>
                </c:pt>
                <c:pt idx="851">
                  <c:v>44973</c:v>
                </c:pt>
                <c:pt idx="852">
                  <c:v>44980</c:v>
                </c:pt>
                <c:pt idx="853">
                  <c:v>44987</c:v>
                </c:pt>
                <c:pt idx="854">
                  <c:v>44994</c:v>
                </c:pt>
                <c:pt idx="855">
                  <c:v>45001</c:v>
                </c:pt>
                <c:pt idx="856">
                  <c:v>45008</c:v>
                </c:pt>
                <c:pt idx="857">
                  <c:v>45015</c:v>
                </c:pt>
                <c:pt idx="858">
                  <c:v>45022</c:v>
                </c:pt>
                <c:pt idx="859">
                  <c:v>45029</c:v>
                </c:pt>
                <c:pt idx="860">
                  <c:v>45036</c:v>
                </c:pt>
                <c:pt idx="861">
                  <c:v>45043</c:v>
                </c:pt>
                <c:pt idx="862">
                  <c:v>45050</c:v>
                </c:pt>
                <c:pt idx="863">
                  <c:v>45057</c:v>
                </c:pt>
                <c:pt idx="864">
                  <c:v>45064</c:v>
                </c:pt>
                <c:pt idx="865">
                  <c:v>45071</c:v>
                </c:pt>
                <c:pt idx="866">
                  <c:v>45078</c:v>
                </c:pt>
                <c:pt idx="867">
                  <c:v>45085</c:v>
                </c:pt>
                <c:pt idx="868">
                  <c:v>45092</c:v>
                </c:pt>
                <c:pt idx="869">
                  <c:v>45099</c:v>
                </c:pt>
                <c:pt idx="870">
                  <c:v>45106</c:v>
                </c:pt>
                <c:pt idx="871">
                  <c:v>45113</c:v>
                </c:pt>
                <c:pt idx="872">
                  <c:v>45120</c:v>
                </c:pt>
                <c:pt idx="873">
                  <c:v>45127</c:v>
                </c:pt>
                <c:pt idx="874">
                  <c:v>45134</c:v>
                </c:pt>
                <c:pt idx="875">
                  <c:v>45141</c:v>
                </c:pt>
                <c:pt idx="876">
                  <c:v>45148</c:v>
                </c:pt>
                <c:pt idx="877">
                  <c:v>45155</c:v>
                </c:pt>
                <c:pt idx="878">
                  <c:v>45162</c:v>
                </c:pt>
                <c:pt idx="879">
                  <c:v>45169</c:v>
                </c:pt>
                <c:pt idx="880">
                  <c:v>45176</c:v>
                </c:pt>
                <c:pt idx="881">
                  <c:v>45183</c:v>
                </c:pt>
                <c:pt idx="882">
                  <c:v>45190</c:v>
                </c:pt>
                <c:pt idx="883">
                  <c:v>45197</c:v>
                </c:pt>
                <c:pt idx="884">
                  <c:v>45204</c:v>
                </c:pt>
                <c:pt idx="885">
                  <c:v>45211</c:v>
                </c:pt>
                <c:pt idx="886">
                  <c:v>45218</c:v>
                </c:pt>
                <c:pt idx="887">
                  <c:v>45225</c:v>
                </c:pt>
                <c:pt idx="888">
                  <c:v>45232</c:v>
                </c:pt>
                <c:pt idx="889">
                  <c:v>45239</c:v>
                </c:pt>
                <c:pt idx="890">
                  <c:v>45246</c:v>
                </c:pt>
                <c:pt idx="891">
                  <c:v>45253</c:v>
                </c:pt>
                <c:pt idx="892">
                  <c:v>45260</c:v>
                </c:pt>
                <c:pt idx="893">
                  <c:v>45267</c:v>
                </c:pt>
                <c:pt idx="894">
                  <c:v>45274</c:v>
                </c:pt>
                <c:pt idx="895">
                  <c:v>45281</c:v>
                </c:pt>
                <c:pt idx="896">
                  <c:v>45289</c:v>
                </c:pt>
                <c:pt idx="897">
                  <c:v>45296</c:v>
                </c:pt>
                <c:pt idx="898">
                  <c:v>45303</c:v>
                </c:pt>
                <c:pt idx="899">
                  <c:v>45310</c:v>
                </c:pt>
                <c:pt idx="900">
                  <c:v>45317</c:v>
                </c:pt>
                <c:pt idx="901">
                  <c:v>45324</c:v>
                </c:pt>
                <c:pt idx="902">
                  <c:v>45331</c:v>
                </c:pt>
                <c:pt idx="903">
                  <c:v>45338</c:v>
                </c:pt>
                <c:pt idx="904">
                  <c:v>45345</c:v>
                </c:pt>
                <c:pt idx="905">
                  <c:v>45352</c:v>
                </c:pt>
                <c:pt idx="906">
                  <c:v>45359</c:v>
                </c:pt>
                <c:pt idx="907">
                  <c:v>45366</c:v>
                </c:pt>
                <c:pt idx="908">
                  <c:v>45373</c:v>
                </c:pt>
                <c:pt idx="909">
                  <c:v>45384</c:v>
                </c:pt>
                <c:pt idx="910">
                  <c:v>45387</c:v>
                </c:pt>
                <c:pt idx="911">
                  <c:v>45394</c:v>
                </c:pt>
                <c:pt idx="912">
                  <c:v>45401</c:v>
                </c:pt>
                <c:pt idx="913">
                  <c:v>45408</c:v>
                </c:pt>
                <c:pt idx="914">
                  <c:v>45418</c:v>
                </c:pt>
                <c:pt idx="915">
                  <c:v>45425</c:v>
                </c:pt>
                <c:pt idx="916">
                  <c:v>45432</c:v>
                </c:pt>
                <c:pt idx="917">
                  <c:v>45439</c:v>
                </c:pt>
                <c:pt idx="918">
                  <c:v>45446</c:v>
                </c:pt>
                <c:pt idx="919">
                  <c:v>45453</c:v>
                </c:pt>
                <c:pt idx="920">
                  <c:v>45460</c:v>
                </c:pt>
                <c:pt idx="921">
                  <c:v>45467</c:v>
                </c:pt>
                <c:pt idx="922">
                  <c:v>45474</c:v>
                </c:pt>
                <c:pt idx="923">
                  <c:v>45481</c:v>
                </c:pt>
                <c:pt idx="924">
                  <c:v>45488</c:v>
                </c:pt>
                <c:pt idx="925">
                  <c:v>45495</c:v>
                </c:pt>
                <c:pt idx="926">
                  <c:v>45502</c:v>
                </c:pt>
                <c:pt idx="927">
                  <c:v>45509</c:v>
                </c:pt>
                <c:pt idx="928">
                  <c:v>45516</c:v>
                </c:pt>
                <c:pt idx="929">
                  <c:v>45523</c:v>
                </c:pt>
                <c:pt idx="930">
                  <c:v>45530</c:v>
                </c:pt>
                <c:pt idx="931">
                  <c:v>45537</c:v>
                </c:pt>
                <c:pt idx="932">
                  <c:v>45544</c:v>
                </c:pt>
                <c:pt idx="933">
                  <c:v>45551</c:v>
                </c:pt>
                <c:pt idx="934">
                  <c:v>45558</c:v>
                </c:pt>
                <c:pt idx="935">
                  <c:v>45565</c:v>
                </c:pt>
                <c:pt idx="936">
                  <c:v>45572</c:v>
                </c:pt>
                <c:pt idx="937">
                  <c:v>45579</c:v>
                </c:pt>
                <c:pt idx="938">
                  <c:v>45586</c:v>
                </c:pt>
                <c:pt idx="939">
                  <c:v>45593</c:v>
                </c:pt>
                <c:pt idx="940">
                  <c:v>45600</c:v>
                </c:pt>
                <c:pt idx="941">
                  <c:v>45607</c:v>
                </c:pt>
                <c:pt idx="942">
                  <c:v>45614</c:v>
                </c:pt>
                <c:pt idx="943">
                  <c:v>45621</c:v>
                </c:pt>
                <c:pt idx="944">
                  <c:v>45628</c:v>
                </c:pt>
                <c:pt idx="945">
                  <c:v>45635</c:v>
                </c:pt>
                <c:pt idx="946">
                  <c:v>45642</c:v>
                </c:pt>
                <c:pt idx="947">
                  <c:v>45649</c:v>
                </c:pt>
                <c:pt idx="948">
                  <c:v>45657</c:v>
                </c:pt>
                <c:pt idx="949">
                  <c:v>45664</c:v>
                </c:pt>
                <c:pt idx="950">
                  <c:v>45671</c:v>
                </c:pt>
                <c:pt idx="951">
                  <c:v>45678</c:v>
                </c:pt>
                <c:pt idx="952">
                  <c:v>45685</c:v>
                </c:pt>
                <c:pt idx="953">
                  <c:v>45692</c:v>
                </c:pt>
                <c:pt idx="954">
                  <c:v>45699</c:v>
                </c:pt>
                <c:pt idx="955">
                  <c:v>45706</c:v>
                </c:pt>
                <c:pt idx="956">
                  <c:v>45713</c:v>
                </c:pt>
                <c:pt idx="957">
                  <c:v>45720</c:v>
                </c:pt>
                <c:pt idx="958">
                  <c:v>45727</c:v>
                </c:pt>
                <c:pt idx="959">
                  <c:v>45734</c:v>
                </c:pt>
                <c:pt idx="960">
                  <c:v>45741</c:v>
                </c:pt>
                <c:pt idx="961">
                  <c:v>45748</c:v>
                </c:pt>
                <c:pt idx="962">
                  <c:v>45755</c:v>
                </c:pt>
                <c:pt idx="963">
                  <c:v>45762</c:v>
                </c:pt>
                <c:pt idx="964">
                  <c:v>45771</c:v>
                </c:pt>
                <c:pt idx="965">
                  <c:v>45779</c:v>
                </c:pt>
                <c:pt idx="966">
                  <c:v>45785</c:v>
                </c:pt>
                <c:pt idx="967">
                  <c:v>45792</c:v>
                </c:pt>
                <c:pt idx="968">
                  <c:v>45799</c:v>
                </c:pt>
                <c:pt idx="969">
                  <c:v>45806</c:v>
                </c:pt>
                <c:pt idx="970">
                  <c:v>45813</c:v>
                </c:pt>
                <c:pt idx="971">
                  <c:v>45820</c:v>
                </c:pt>
                <c:pt idx="972">
                  <c:v>45827</c:v>
                </c:pt>
                <c:pt idx="973">
                  <c:v>45834</c:v>
                </c:pt>
                <c:pt idx="974">
                  <c:v>45841</c:v>
                </c:pt>
                <c:pt idx="975">
                  <c:v>45848</c:v>
                </c:pt>
                <c:pt idx="976">
                  <c:v>45855</c:v>
                </c:pt>
                <c:pt idx="977">
                  <c:v>45862</c:v>
                </c:pt>
                <c:pt idx="978">
                  <c:v>45869</c:v>
                </c:pt>
                <c:pt idx="979">
                  <c:v>45876</c:v>
                </c:pt>
                <c:pt idx="980">
                  <c:v>45883</c:v>
                </c:pt>
                <c:pt idx="981">
                  <c:v>45890</c:v>
                </c:pt>
                <c:pt idx="982">
                  <c:v>45897</c:v>
                </c:pt>
                <c:pt idx="983">
                  <c:v>45904</c:v>
                </c:pt>
                <c:pt idx="984">
                  <c:v>45911</c:v>
                </c:pt>
                <c:pt idx="985">
                  <c:v>45918</c:v>
                </c:pt>
                <c:pt idx="986">
                  <c:v>45925</c:v>
                </c:pt>
                <c:pt idx="987">
                  <c:v>45932</c:v>
                </c:pt>
                <c:pt idx="988">
                  <c:v>45939</c:v>
                </c:pt>
                <c:pt idx="989">
                  <c:v>45946</c:v>
                </c:pt>
                <c:pt idx="990">
                  <c:v>45953</c:v>
                </c:pt>
                <c:pt idx="991">
                  <c:v>45960</c:v>
                </c:pt>
                <c:pt idx="992">
                  <c:v>45967</c:v>
                </c:pt>
                <c:pt idx="993">
                  <c:v>45974</c:v>
                </c:pt>
                <c:pt idx="994">
                  <c:v>45981</c:v>
                </c:pt>
                <c:pt idx="995">
                  <c:v>45988</c:v>
                </c:pt>
                <c:pt idx="996">
                  <c:v>45995</c:v>
                </c:pt>
                <c:pt idx="997">
                  <c:v>46002</c:v>
                </c:pt>
                <c:pt idx="998">
                  <c:v>46009</c:v>
                </c:pt>
                <c:pt idx="999">
                  <c:v>46020</c:v>
                </c:pt>
                <c:pt idx="1000">
                  <c:v>46024</c:v>
                </c:pt>
                <c:pt idx="1001">
                  <c:v>46030</c:v>
                </c:pt>
                <c:pt idx="1002">
                  <c:v>46037</c:v>
                </c:pt>
                <c:pt idx="1003">
                  <c:v>46044</c:v>
                </c:pt>
                <c:pt idx="1004">
                  <c:v>46051</c:v>
                </c:pt>
                <c:pt idx="1005">
                  <c:v>46058</c:v>
                </c:pt>
                <c:pt idx="1006">
                  <c:v>46065</c:v>
                </c:pt>
                <c:pt idx="1007">
                  <c:v>46072</c:v>
                </c:pt>
                <c:pt idx="1008">
                  <c:v>46079</c:v>
                </c:pt>
                <c:pt idx="1009">
                  <c:v>46086</c:v>
                </c:pt>
                <c:pt idx="1010">
                  <c:v>46093</c:v>
                </c:pt>
                <c:pt idx="1011">
                  <c:v>46100</c:v>
                </c:pt>
                <c:pt idx="1012">
                  <c:v>46107</c:v>
                </c:pt>
                <c:pt idx="1013">
                  <c:v>46114</c:v>
                </c:pt>
                <c:pt idx="1014">
                  <c:v>46121</c:v>
                </c:pt>
                <c:pt idx="1015">
                  <c:v>46128</c:v>
                </c:pt>
                <c:pt idx="1016">
                  <c:v>46135</c:v>
                </c:pt>
                <c:pt idx="1017">
                  <c:v>46142</c:v>
                </c:pt>
                <c:pt idx="1018">
                  <c:v>46149</c:v>
                </c:pt>
                <c:pt idx="1019">
                  <c:v>46156</c:v>
                </c:pt>
                <c:pt idx="1020">
                  <c:v>46163</c:v>
                </c:pt>
                <c:pt idx="1021">
                  <c:v>46170</c:v>
                </c:pt>
                <c:pt idx="1022">
                  <c:v>46177</c:v>
                </c:pt>
                <c:pt idx="1023">
                  <c:v>46184</c:v>
                </c:pt>
                <c:pt idx="1024">
                  <c:v>46191</c:v>
                </c:pt>
                <c:pt idx="1025">
                  <c:v>46198</c:v>
                </c:pt>
                <c:pt idx="1026">
                  <c:v>46205</c:v>
                </c:pt>
                <c:pt idx="1027">
                  <c:v>46212</c:v>
                </c:pt>
                <c:pt idx="1028">
                  <c:v>46219</c:v>
                </c:pt>
                <c:pt idx="1029">
                  <c:v>46226</c:v>
                </c:pt>
                <c:pt idx="1030">
                  <c:v>46233</c:v>
                </c:pt>
                <c:pt idx="1031">
                  <c:v>46240</c:v>
                </c:pt>
                <c:pt idx="1032">
                  <c:v>46247</c:v>
                </c:pt>
                <c:pt idx="1033">
                  <c:v>46254</c:v>
                </c:pt>
                <c:pt idx="1034">
                  <c:v>46261</c:v>
                </c:pt>
                <c:pt idx="1035">
                  <c:v>46268</c:v>
                </c:pt>
                <c:pt idx="1036">
                  <c:v>46275</c:v>
                </c:pt>
                <c:pt idx="1037">
                  <c:v>46282</c:v>
                </c:pt>
                <c:pt idx="1038">
                  <c:v>46289</c:v>
                </c:pt>
                <c:pt idx="1039">
                  <c:v>46296</c:v>
                </c:pt>
                <c:pt idx="1040">
                  <c:v>46303</c:v>
                </c:pt>
                <c:pt idx="1041">
                  <c:v>46310</c:v>
                </c:pt>
                <c:pt idx="1042">
                  <c:v>46317</c:v>
                </c:pt>
                <c:pt idx="1043">
                  <c:v>46324</c:v>
                </c:pt>
                <c:pt idx="1044">
                  <c:v>46331</c:v>
                </c:pt>
                <c:pt idx="1045">
                  <c:v>46338</c:v>
                </c:pt>
                <c:pt idx="1046">
                  <c:v>46345</c:v>
                </c:pt>
                <c:pt idx="1047">
                  <c:v>46352</c:v>
                </c:pt>
                <c:pt idx="1048">
                  <c:v>46359</c:v>
                </c:pt>
                <c:pt idx="1049">
                  <c:v>46366</c:v>
                </c:pt>
                <c:pt idx="1050">
                  <c:v>46373</c:v>
                </c:pt>
                <c:pt idx="1051">
                  <c:v>46380</c:v>
                </c:pt>
                <c:pt idx="1052">
                  <c:v>46387</c:v>
                </c:pt>
                <c:pt idx="1053">
                  <c:v>46394</c:v>
                </c:pt>
                <c:pt idx="1054">
                  <c:v>46401</c:v>
                </c:pt>
                <c:pt idx="1055">
                  <c:v>46408</c:v>
                </c:pt>
                <c:pt idx="1056">
                  <c:v>46415</c:v>
                </c:pt>
                <c:pt idx="1057">
                  <c:v>46422</c:v>
                </c:pt>
                <c:pt idx="1058">
                  <c:v>46429</c:v>
                </c:pt>
                <c:pt idx="1059">
                  <c:v>46436</c:v>
                </c:pt>
                <c:pt idx="1060">
                  <c:v>46443</c:v>
                </c:pt>
                <c:pt idx="1061">
                  <c:v>46450</c:v>
                </c:pt>
                <c:pt idx="1062">
                  <c:v>46457</c:v>
                </c:pt>
                <c:pt idx="1063">
                  <c:v>46464</c:v>
                </c:pt>
                <c:pt idx="1064">
                  <c:v>46471</c:v>
                </c:pt>
                <c:pt idx="1065">
                  <c:v>46478</c:v>
                </c:pt>
                <c:pt idx="1066">
                  <c:v>46485</c:v>
                </c:pt>
                <c:pt idx="1067">
                  <c:v>46492</c:v>
                </c:pt>
                <c:pt idx="1068">
                  <c:v>46499</c:v>
                </c:pt>
                <c:pt idx="1069">
                  <c:v>46506</c:v>
                </c:pt>
                <c:pt idx="1070">
                  <c:v>46513</c:v>
                </c:pt>
                <c:pt idx="1071">
                  <c:v>46520</c:v>
                </c:pt>
                <c:pt idx="1072">
                  <c:v>46527</c:v>
                </c:pt>
                <c:pt idx="1073">
                  <c:v>46534</c:v>
                </c:pt>
                <c:pt idx="1074">
                  <c:v>46541</c:v>
                </c:pt>
                <c:pt idx="1075">
                  <c:v>46548</c:v>
                </c:pt>
                <c:pt idx="1076">
                  <c:v>46555</c:v>
                </c:pt>
                <c:pt idx="1077">
                  <c:v>46562</c:v>
                </c:pt>
                <c:pt idx="1078">
                  <c:v>46569</c:v>
                </c:pt>
                <c:pt idx="1079">
                  <c:v>46576</c:v>
                </c:pt>
                <c:pt idx="1080">
                  <c:v>46583</c:v>
                </c:pt>
                <c:pt idx="1081">
                  <c:v>46590</c:v>
                </c:pt>
                <c:pt idx="1082">
                  <c:v>46597</c:v>
                </c:pt>
                <c:pt idx="1083">
                  <c:v>46604</c:v>
                </c:pt>
                <c:pt idx="1084">
                  <c:v>46611</c:v>
                </c:pt>
                <c:pt idx="1085">
                  <c:v>46618</c:v>
                </c:pt>
                <c:pt idx="1086">
                  <c:v>46625</c:v>
                </c:pt>
                <c:pt idx="1087">
                  <c:v>46632</c:v>
                </c:pt>
                <c:pt idx="1088">
                  <c:v>46639</c:v>
                </c:pt>
                <c:pt idx="1089">
                  <c:v>46646</c:v>
                </c:pt>
                <c:pt idx="1090">
                  <c:v>46653</c:v>
                </c:pt>
                <c:pt idx="1091">
                  <c:v>46660</c:v>
                </c:pt>
                <c:pt idx="1092">
                  <c:v>46667</c:v>
                </c:pt>
                <c:pt idx="1093">
                  <c:v>46674</c:v>
                </c:pt>
                <c:pt idx="1094">
                  <c:v>46681</c:v>
                </c:pt>
                <c:pt idx="1095">
                  <c:v>46688</c:v>
                </c:pt>
                <c:pt idx="1096">
                  <c:v>46695</c:v>
                </c:pt>
                <c:pt idx="1097">
                  <c:v>46702</c:v>
                </c:pt>
                <c:pt idx="1098">
                  <c:v>46709</c:v>
                </c:pt>
                <c:pt idx="1099">
                  <c:v>46716</c:v>
                </c:pt>
                <c:pt idx="1100">
                  <c:v>46723</c:v>
                </c:pt>
                <c:pt idx="1101">
                  <c:v>46730</c:v>
                </c:pt>
                <c:pt idx="1102">
                  <c:v>46737</c:v>
                </c:pt>
                <c:pt idx="1103">
                  <c:v>46744</c:v>
                </c:pt>
                <c:pt idx="1104">
                  <c:v>46751</c:v>
                </c:pt>
                <c:pt idx="1105">
                  <c:v>46758</c:v>
                </c:pt>
                <c:pt idx="1106">
                  <c:v>46765</c:v>
                </c:pt>
                <c:pt idx="1107">
                  <c:v>46772</c:v>
                </c:pt>
                <c:pt idx="1108">
                  <c:v>46779</c:v>
                </c:pt>
                <c:pt idx="1109">
                  <c:v>46786</c:v>
                </c:pt>
                <c:pt idx="1110">
                  <c:v>46793</c:v>
                </c:pt>
                <c:pt idx="1111">
                  <c:v>46800</c:v>
                </c:pt>
                <c:pt idx="1112">
                  <c:v>46807</c:v>
                </c:pt>
                <c:pt idx="1113">
                  <c:v>46814</c:v>
                </c:pt>
                <c:pt idx="1114">
                  <c:v>46821</c:v>
                </c:pt>
                <c:pt idx="1115">
                  <c:v>46828</c:v>
                </c:pt>
                <c:pt idx="1116">
                  <c:v>46835</c:v>
                </c:pt>
                <c:pt idx="1117">
                  <c:v>46842</c:v>
                </c:pt>
                <c:pt idx="1118">
                  <c:v>46849</c:v>
                </c:pt>
                <c:pt idx="1119">
                  <c:v>46856</c:v>
                </c:pt>
                <c:pt idx="1120">
                  <c:v>46863</c:v>
                </c:pt>
                <c:pt idx="1121">
                  <c:v>46870</c:v>
                </c:pt>
                <c:pt idx="1122">
                  <c:v>46877</c:v>
                </c:pt>
                <c:pt idx="1123">
                  <c:v>46884</c:v>
                </c:pt>
                <c:pt idx="1124">
                  <c:v>46891</c:v>
                </c:pt>
                <c:pt idx="1125">
                  <c:v>46898</c:v>
                </c:pt>
                <c:pt idx="1126">
                  <c:v>46905</c:v>
                </c:pt>
                <c:pt idx="1127">
                  <c:v>46912</c:v>
                </c:pt>
                <c:pt idx="1128">
                  <c:v>46919</c:v>
                </c:pt>
                <c:pt idx="1129">
                  <c:v>46926</c:v>
                </c:pt>
                <c:pt idx="1130">
                  <c:v>46933</c:v>
                </c:pt>
                <c:pt idx="1131">
                  <c:v>46940</c:v>
                </c:pt>
                <c:pt idx="1132">
                  <c:v>46947</c:v>
                </c:pt>
                <c:pt idx="1133">
                  <c:v>46954</c:v>
                </c:pt>
                <c:pt idx="1134">
                  <c:v>46961</c:v>
                </c:pt>
                <c:pt idx="1135">
                  <c:v>46968</c:v>
                </c:pt>
                <c:pt idx="1136">
                  <c:v>46975</c:v>
                </c:pt>
                <c:pt idx="1137">
                  <c:v>46982</c:v>
                </c:pt>
                <c:pt idx="1138">
                  <c:v>46989</c:v>
                </c:pt>
                <c:pt idx="1139">
                  <c:v>46996</c:v>
                </c:pt>
                <c:pt idx="1140">
                  <c:v>47003</c:v>
                </c:pt>
                <c:pt idx="1141">
                  <c:v>47010</c:v>
                </c:pt>
                <c:pt idx="1142">
                  <c:v>47017</c:v>
                </c:pt>
                <c:pt idx="1143">
                  <c:v>47024</c:v>
                </c:pt>
                <c:pt idx="1144">
                  <c:v>47031</c:v>
                </c:pt>
                <c:pt idx="1145">
                  <c:v>47038</c:v>
                </c:pt>
                <c:pt idx="1146">
                  <c:v>47045</c:v>
                </c:pt>
                <c:pt idx="1147">
                  <c:v>47052</c:v>
                </c:pt>
                <c:pt idx="1148">
                  <c:v>47059</c:v>
                </c:pt>
                <c:pt idx="1149">
                  <c:v>47066</c:v>
                </c:pt>
                <c:pt idx="1150">
                  <c:v>47073</c:v>
                </c:pt>
                <c:pt idx="1151">
                  <c:v>47080</c:v>
                </c:pt>
                <c:pt idx="1152">
                  <c:v>47087</c:v>
                </c:pt>
                <c:pt idx="1153">
                  <c:v>47094</c:v>
                </c:pt>
                <c:pt idx="1154">
                  <c:v>47101</c:v>
                </c:pt>
                <c:pt idx="1155">
                  <c:v>47108</c:v>
                </c:pt>
                <c:pt idx="1156">
                  <c:v>47116</c:v>
                </c:pt>
                <c:pt idx="1157">
                  <c:v>47123</c:v>
                </c:pt>
                <c:pt idx="1158">
                  <c:v>47130</c:v>
                </c:pt>
                <c:pt idx="1159">
                  <c:v>47137</c:v>
                </c:pt>
                <c:pt idx="1160">
                  <c:v>47144</c:v>
                </c:pt>
                <c:pt idx="1161">
                  <c:v>47151</c:v>
                </c:pt>
                <c:pt idx="1162">
                  <c:v>47158</c:v>
                </c:pt>
                <c:pt idx="1163">
                  <c:v>47165</c:v>
                </c:pt>
                <c:pt idx="1164">
                  <c:v>47172</c:v>
                </c:pt>
                <c:pt idx="1165">
                  <c:v>47179</c:v>
                </c:pt>
                <c:pt idx="1166">
                  <c:v>47186</c:v>
                </c:pt>
                <c:pt idx="1167">
                  <c:v>47193</c:v>
                </c:pt>
                <c:pt idx="1168">
                  <c:v>47200</c:v>
                </c:pt>
                <c:pt idx="1169">
                  <c:v>47211</c:v>
                </c:pt>
                <c:pt idx="1170">
                  <c:v>47214</c:v>
                </c:pt>
                <c:pt idx="1171">
                  <c:v>47221</c:v>
                </c:pt>
                <c:pt idx="1172">
                  <c:v>47228</c:v>
                </c:pt>
                <c:pt idx="1173">
                  <c:v>47235</c:v>
                </c:pt>
                <c:pt idx="1174">
                  <c:v>47242</c:v>
                </c:pt>
                <c:pt idx="1175">
                  <c:v>47249</c:v>
                </c:pt>
                <c:pt idx="1176">
                  <c:v>47256</c:v>
                </c:pt>
                <c:pt idx="1177">
                  <c:v>47263</c:v>
                </c:pt>
                <c:pt idx="1178">
                  <c:v>47270</c:v>
                </c:pt>
                <c:pt idx="1179">
                  <c:v>47277</c:v>
                </c:pt>
                <c:pt idx="1180">
                  <c:v>47284</c:v>
                </c:pt>
                <c:pt idx="1181">
                  <c:v>47291</c:v>
                </c:pt>
                <c:pt idx="1182">
                  <c:v>47298</c:v>
                </c:pt>
                <c:pt idx="1183">
                  <c:v>47305</c:v>
                </c:pt>
                <c:pt idx="1184">
                  <c:v>47312</c:v>
                </c:pt>
                <c:pt idx="1185">
                  <c:v>47319</c:v>
                </c:pt>
                <c:pt idx="1186">
                  <c:v>47326</c:v>
                </c:pt>
                <c:pt idx="1187">
                  <c:v>47333</c:v>
                </c:pt>
                <c:pt idx="1188">
                  <c:v>47340</c:v>
                </c:pt>
                <c:pt idx="1189">
                  <c:v>47347</c:v>
                </c:pt>
                <c:pt idx="1190">
                  <c:v>47354</c:v>
                </c:pt>
                <c:pt idx="1191">
                  <c:v>47361</c:v>
                </c:pt>
                <c:pt idx="1192">
                  <c:v>47368</c:v>
                </c:pt>
                <c:pt idx="1193">
                  <c:v>47375</c:v>
                </c:pt>
                <c:pt idx="1194">
                  <c:v>47382</c:v>
                </c:pt>
                <c:pt idx="1195">
                  <c:v>47389</c:v>
                </c:pt>
                <c:pt idx="1196">
                  <c:v>47396</c:v>
                </c:pt>
                <c:pt idx="1197">
                  <c:v>47403</c:v>
                </c:pt>
                <c:pt idx="1198">
                  <c:v>47410</c:v>
                </c:pt>
                <c:pt idx="1199">
                  <c:v>47417</c:v>
                </c:pt>
                <c:pt idx="1200">
                  <c:v>47424</c:v>
                </c:pt>
                <c:pt idx="1201">
                  <c:v>47431</c:v>
                </c:pt>
                <c:pt idx="1202">
                  <c:v>47438</c:v>
                </c:pt>
                <c:pt idx="1203">
                  <c:v>47445</c:v>
                </c:pt>
                <c:pt idx="1204">
                  <c:v>47452</c:v>
                </c:pt>
                <c:pt idx="1205">
                  <c:v>47459</c:v>
                </c:pt>
                <c:pt idx="1206">
                  <c:v>47466</c:v>
                </c:pt>
                <c:pt idx="1207">
                  <c:v>47473</c:v>
                </c:pt>
                <c:pt idx="1208">
                  <c:v>47483</c:v>
                </c:pt>
                <c:pt idx="1209">
                  <c:v>47490</c:v>
                </c:pt>
                <c:pt idx="1210">
                  <c:v>47497</c:v>
                </c:pt>
                <c:pt idx="1211">
                  <c:v>47504</c:v>
                </c:pt>
                <c:pt idx="1212">
                  <c:v>47511</c:v>
                </c:pt>
                <c:pt idx="1213">
                  <c:v>47518</c:v>
                </c:pt>
                <c:pt idx="1214">
                  <c:v>47525</c:v>
                </c:pt>
                <c:pt idx="1215">
                  <c:v>47532</c:v>
                </c:pt>
                <c:pt idx="1216">
                  <c:v>47539</c:v>
                </c:pt>
                <c:pt idx="1217">
                  <c:v>47546</c:v>
                </c:pt>
                <c:pt idx="1218">
                  <c:v>47553</c:v>
                </c:pt>
                <c:pt idx="1219">
                  <c:v>47560</c:v>
                </c:pt>
                <c:pt idx="1220">
                  <c:v>47567</c:v>
                </c:pt>
                <c:pt idx="1221">
                  <c:v>47574</c:v>
                </c:pt>
                <c:pt idx="1222">
                  <c:v>47581</c:v>
                </c:pt>
                <c:pt idx="1223">
                  <c:v>47588</c:v>
                </c:pt>
                <c:pt idx="1224">
                  <c:v>47597</c:v>
                </c:pt>
                <c:pt idx="1225">
                  <c:v>47602</c:v>
                </c:pt>
                <c:pt idx="1226">
                  <c:v>47609</c:v>
                </c:pt>
                <c:pt idx="1227">
                  <c:v>47616</c:v>
                </c:pt>
                <c:pt idx="1228">
                  <c:v>47623</c:v>
                </c:pt>
                <c:pt idx="1229">
                  <c:v>47630</c:v>
                </c:pt>
                <c:pt idx="1230">
                  <c:v>47637</c:v>
                </c:pt>
                <c:pt idx="1231">
                  <c:v>47644</c:v>
                </c:pt>
                <c:pt idx="1232">
                  <c:v>47651</c:v>
                </c:pt>
                <c:pt idx="1233">
                  <c:v>47658</c:v>
                </c:pt>
                <c:pt idx="1234">
                  <c:v>47665</c:v>
                </c:pt>
                <c:pt idx="1235">
                  <c:v>47672</c:v>
                </c:pt>
                <c:pt idx="1236">
                  <c:v>47679</c:v>
                </c:pt>
                <c:pt idx="1237">
                  <c:v>47686</c:v>
                </c:pt>
                <c:pt idx="1238">
                  <c:v>47693</c:v>
                </c:pt>
                <c:pt idx="1239">
                  <c:v>47700</c:v>
                </c:pt>
                <c:pt idx="1240">
                  <c:v>47707</c:v>
                </c:pt>
                <c:pt idx="1241">
                  <c:v>47714</c:v>
                </c:pt>
                <c:pt idx="1242">
                  <c:v>47721</c:v>
                </c:pt>
                <c:pt idx="1243">
                  <c:v>47728</c:v>
                </c:pt>
                <c:pt idx="1244">
                  <c:v>47735</c:v>
                </c:pt>
                <c:pt idx="1245">
                  <c:v>47742</c:v>
                </c:pt>
                <c:pt idx="1246">
                  <c:v>47749</c:v>
                </c:pt>
                <c:pt idx="1247">
                  <c:v>47756</c:v>
                </c:pt>
                <c:pt idx="1248">
                  <c:v>47763</c:v>
                </c:pt>
                <c:pt idx="1249">
                  <c:v>47770</c:v>
                </c:pt>
                <c:pt idx="1250">
                  <c:v>47777</c:v>
                </c:pt>
                <c:pt idx="1251">
                  <c:v>47784</c:v>
                </c:pt>
                <c:pt idx="1252">
                  <c:v>47791</c:v>
                </c:pt>
                <c:pt idx="1253">
                  <c:v>47798</c:v>
                </c:pt>
                <c:pt idx="1254">
                  <c:v>47805</c:v>
                </c:pt>
                <c:pt idx="1255">
                  <c:v>47812</c:v>
                </c:pt>
                <c:pt idx="1256">
                  <c:v>47819</c:v>
                </c:pt>
                <c:pt idx="1257">
                  <c:v>47826</c:v>
                </c:pt>
                <c:pt idx="1258">
                  <c:v>47833</c:v>
                </c:pt>
                <c:pt idx="1259">
                  <c:v>47840</c:v>
                </c:pt>
                <c:pt idx="1260">
                  <c:v>47848</c:v>
                </c:pt>
                <c:pt idx="1261">
                  <c:v>47855</c:v>
                </c:pt>
                <c:pt idx="1262">
                  <c:v>47862</c:v>
                </c:pt>
                <c:pt idx="1263">
                  <c:v>47869</c:v>
                </c:pt>
                <c:pt idx="1264">
                  <c:v>47876</c:v>
                </c:pt>
                <c:pt idx="1265">
                  <c:v>47883</c:v>
                </c:pt>
                <c:pt idx="1266">
                  <c:v>47890</c:v>
                </c:pt>
                <c:pt idx="1267">
                  <c:v>47897</c:v>
                </c:pt>
                <c:pt idx="1268">
                  <c:v>47904</c:v>
                </c:pt>
                <c:pt idx="1269">
                  <c:v>47911</c:v>
                </c:pt>
                <c:pt idx="1270">
                  <c:v>47918</c:v>
                </c:pt>
                <c:pt idx="1271">
                  <c:v>47925</c:v>
                </c:pt>
                <c:pt idx="1272">
                  <c:v>47932</c:v>
                </c:pt>
                <c:pt idx="1273">
                  <c:v>47939</c:v>
                </c:pt>
                <c:pt idx="1274">
                  <c:v>47946</c:v>
                </c:pt>
                <c:pt idx="1275">
                  <c:v>47955</c:v>
                </c:pt>
                <c:pt idx="1276">
                  <c:v>47962</c:v>
                </c:pt>
                <c:pt idx="1277">
                  <c:v>47970</c:v>
                </c:pt>
                <c:pt idx="1278">
                  <c:v>47976</c:v>
                </c:pt>
                <c:pt idx="1279">
                  <c:v>47983</c:v>
                </c:pt>
                <c:pt idx="1280">
                  <c:v>47990</c:v>
                </c:pt>
                <c:pt idx="1281">
                  <c:v>47997</c:v>
                </c:pt>
                <c:pt idx="1282">
                  <c:v>48004</c:v>
                </c:pt>
                <c:pt idx="1283">
                  <c:v>48011</c:v>
                </c:pt>
                <c:pt idx="1284">
                  <c:v>48018</c:v>
                </c:pt>
                <c:pt idx="1285">
                  <c:v>48025</c:v>
                </c:pt>
                <c:pt idx="1286">
                  <c:v>48032</c:v>
                </c:pt>
                <c:pt idx="1287">
                  <c:v>48039</c:v>
                </c:pt>
                <c:pt idx="1288">
                  <c:v>48046</c:v>
                </c:pt>
                <c:pt idx="1289">
                  <c:v>48053</c:v>
                </c:pt>
                <c:pt idx="1290">
                  <c:v>48060</c:v>
                </c:pt>
                <c:pt idx="1291">
                  <c:v>48067</c:v>
                </c:pt>
                <c:pt idx="1292">
                  <c:v>48074</c:v>
                </c:pt>
                <c:pt idx="1293">
                  <c:v>48081</c:v>
                </c:pt>
                <c:pt idx="1294">
                  <c:v>48088</c:v>
                </c:pt>
                <c:pt idx="1295">
                  <c:v>48095</c:v>
                </c:pt>
                <c:pt idx="1296">
                  <c:v>48102</c:v>
                </c:pt>
                <c:pt idx="1297">
                  <c:v>48109</c:v>
                </c:pt>
                <c:pt idx="1298">
                  <c:v>48116</c:v>
                </c:pt>
                <c:pt idx="1299">
                  <c:v>48123</c:v>
                </c:pt>
                <c:pt idx="1300">
                  <c:v>48130</c:v>
                </c:pt>
                <c:pt idx="1301">
                  <c:v>48137</c:v>
                </c:pt>
                <c:pt idx="1302">
                  <c:v>48144</c:v>
                </c:pt>
                <c:pt idx="1303">
                  <c:v>48151</c:v>
                </c:pt>
                <c:pt idx="1304">
                  <c:v>48158</c:v>
                </c:pt>
                <c:pt idx="1305">
                  <c:v>48165</c:v>
                </c:pt>
                <c:pt idx="1306">
                  <c:v>48172</c:v>
                </c:pt>
                <c:pt idx="1307">
                  <c:v>48179</c:v>
                </c:pt>
                <c:pt idx="1308">
                  <c:v>48186</c:v>
                </c:pt>
                <c:pt idx="1309">
                  <c:v>48193</c:v>
                </c:pt>
                <c:pt idx="1310">
                  <c:v>48200</c:v>
                </c:pt>
                <c:pt idx="1311">
                  <c:v>48211</c:v>
                </c:pt>
                <c:pt idx="1312">
                  <c:v>48215</c:v>
                </c:pt>
                <c:pt idx="1313">
                  <c:v>48221</c:v>
                </c:pt>
                <c:pt idx="1314">
                  <c:v>48228</c:v>
                </c:pt>
                <c:pt idx="1315">
                  <c:v>48235</c:v>
                </c:pt>
                <c:pt idx="1316">
                  <c:v>48242</c:v>
                </c:pt>
                <c:pt idx="1317">
                  <c:v>48249</c:v>
                </c:pt>
                <c:pt idx="1318">
                  <c:v>48256</c:v>
                </c:pt>
                <c:pt idx="1319">
                  <c:v>48263</c:v>
                </c:pt>
                <c:pt idx="1320">
                  <c:v>48270</c:v>
                </c:pt>
                <c:pt idx="1321">
                  <c:v>48277</c:v>
                </c:pt>
                <c:pt idx="1322">
                  <c:v>48284</c:v>
                </c:pt>
                <c:pt idx="1323">
                  <c:v>48291</c:v>
                </c:pt>
                <c:pt idx="1324">
                  <c:v>48298</c:v>
                </c:pt>
                <c:pt idx="1325">
                  <c:v>48305</c:v>
                </c:pt>
                <c:pt idx="1326">
                  <c:v>48312</c:v>
                </c:pt>
                <c:pt idx="1327">
                  <c:v>48319</c:v>
                </c:pt>
                <c:pt idx="1328">
                  <c:v>48326</c:v>
                </c:pt>
                <c:pt idx="1329">
                  <c:v>48333</c:v>
                </c:pt>
                <c:pt idx="1330">
                  <c:v>48340</c:v>
                </c:pt>
                <c:pt idx="1331">
                  <c:v>48347</c:v>
                </c:pt>
                <c:pt idx="1332">
                  <c:v>48354</c:v>
                </c:pt>
                <c:pt idx="1333">
                  <c:v>48361</c:v>
                </c:pt>
                <c:pt idx="1334">
                  <c:v>48368</c:v>
                </c:pt>
                <c:pt idx="1335">
                  <c:v>48375</c:v>
                </c:pt>
                <c:pt idx="1336">
                  <c:v>48382</c:v>
                </c:pt>
                <c:pt idx="1337">
                  <c:v>48389</c:v>
                </c:pt>
                <c:pt idx="1338">
                  <c:v>48396</c:v>
                </c:pt>
                <c:pt idx="1339">
                  <c:v>48403</c:v>
                </c:pt>
                <c:pt idx="1340">
                  <c:v>48410</c:v>
                </c:pt>
                <c:pt idx="1341">
                  <c:v>48417</c:v>
                </c:pt>
                <c:pt idx="1342">
                  <c:v>48424</c:v>
                </c:pt>
                <c:pt idx="1343">
                  <c:v>48431</c:v>
                </c:pt>
                <c:pt idx="1344">
                  <c:v>48438</c:v>
                </c:pt>
                <c:pt idx="1345">
                  <c:v>48445</c:v>
                </c:pt>
                <c:pt idx="1346">
                  <c:v>48452</c:v>
                </c:pt>
                <c:pt idx="1347">
                  <c:v>48459</c:v>
                </c:pt>
                <c:pt idx="1348">
                  <c:v>48466</c:v>
                </c:pt>
                <c:pt idx="1349">
                  <c:v>48473</c:v>
                </c:pt>
                <c:pt idx="1350">
                  <c:v>48480</c:v>
                </c:pt>
                <c:pt idx="1351">
                  <c:v>48487</c:v>
                </c:pt>
                <c:pt idx="1352">
                  <c:v>48494</c:v>
                </c:pt>
                <c:pt idx="1353">
                  <c:v>48501</c:v>
                </c:pt>
                <c:pt idx="1354">
                  <c:v>48508</c:v>
                </c:pt>
                <c:pt idx="1355">
                  <c:v>48515</c:v>
                </c:pt>
                <c:pt idx="1356">
                  <c:v>48522</c:v>
                </c:pt>
                <c:pt idx="1357">
                  <c:v>48529</c:v>
                </c:pt>
                <c:pt idx="1358">
                  <c:v>48536</c:v>
                </c:pt>
                <c:pt idx="1359">
                  <c:v>48543</c:v>
                </c:pt>
                <c:pt idx="1360">
                  <c:v>48550</c:v>
                </c:pt>
                <c:pt idx="1361">
                  <c:v>48557</c:v>
                </c:pt>
                <c:pt idx="1362">
                  <c:v>48564</c:v>
                </c:pt>
                <c:pt idx="1363">
                  <c:v>48571</c:v>
                </c:pt>
                <c:pt idx="1364">
                  <c:v>48578</c:v>
                </c:pt>
                <c:pt idx="1365">
                  <c:v>48585</c:v>
                </c:pt>
                <c:pt idx="1366">
                  <c:v>48592</c:v>
                </c:pt>
                <c:pt idx="1367">
                  <c:v>48599</c:v>
                </c:pt>
                <c:pt idx="1368">
                  <c:v>48606</c:v>
                </c:pt>
                <c:pt idx="1369">
                  <c:v>48613</c:v>
                </c:pt>
                <c:pt idx="1370">
                  <c:v>48620</c:v>
                </c:pt>
                <c:pt idx="1371">
                  <c:v>48627</c:v>
                </c:pt>
                <c:pt idx="1372">
                  <c:v>48634</c:v>
                </c:pt>
                <c:pt idx="1373">
                  <c:v>48641</c:v>
                </c:pt>
                <c:pt idx="1374">
                  <c:v>48648</c:v>
                </c:pt>
                <c:pt idx="1375">
                  <c:v>48655</c:v>
                </c:pt>
                <c:pt idx="1376">
                  <c:v>48662</c:v>
                </c:pt>
                <c:pt idx="1377">
                  <c:v>48669</c:v>
                </c:pt>
                <c:pt idx="1378">
                  <c:v>48676</c:v>
                </c:pt>
                <c:pt idx="1379">
                  <c:v>48683</c:v>
                </c:pt>
                <c:pt idx="1380">
                  <c:v>48690</c:v>
                </c:pt>
                <c:pt idx="1381">
                  <c:v>48697</c:v>
                </c:pt>
                <c:pt idx="1382">
                  <c:v>48704</c:v>
                </c:pt>
                <c:pt idx="1383">
                  <c:v>48711</c:v>
                </c:pt>
                <c:pt idx="1384">
                  <c:v>48718</c:v>
                </c:pt>
                <c:pt idx="1385">
                  <c:v>48725</c:v>
                </c:pt>
                <c:pt idx="1386">
                  <c:v>48732</c:v>
                </c:pt>
                <c:pt idx="1387">
                  <c:v>48739</c:v>
                </c:pt>
                <c:pt idx="1388">
                  <c:v>48746</c:v>
                </c:pt>
                <c:pt idx="1389">
                  <c:v>48753</c:v>
                </c:pt>
                <c:pt idx="1390">
                  <c:v>48760</c:v>
                </c:pt>
                <c:pt idx="1391">
                  <c:v>48767</c:v>
                </c:pt>
                <c:pt idx="1392">
                  <c:v>48774</c:v>
                </c:pt>
                <c:pt idx="1393">
                  <c:v>48781</c:v>
                </c:pt>
                <c:pt idx="1394">
                  <c:v>48788</c:v>
                </c:pt>
                <c:pt idx="1395">
                  <c:v>48795</c:v>
                </c:pt>
                <c:pt idx="1396">
                  <c:v>48802</c:v>
                </c:pt>
                <c:pt idx="1397">
                  <c:v>48809</c:v>
                </c:pt>
                <c:pt idx="1398">
                  <c:v>48816</c:v>
                </c:pt>
                <c:pt idx="1399">
                  <c:v>48823</c:v>
                </c:pt>
                <c:pt idx="1400">
                  <c:v>48830</c:v>
                </c:pt>
                <c:pt idx="1401">
                  <c:v>48837</c:v>
                </c:pt>
                <c:pt idx="1402">
                  <c:v>48844</c:v>
                </c:pt>
                <c:pt idx="1403">
                  <c:v>48851</c:v>
                </c:pt>
                <c:pt idx="1404">
                  <c:v>48858</c:v>
                </c:pt>
                <c:pt idx="1405">
                  <c:v>48865</c:v>
                </c:pt>
                <c:pt idx="1406">
                  <c:v>48872</c:v>
                </c:pt>
                <c:pt idx="1407">
                  <c:v>48879</c:v>
                </c:pt>
                <c:pt idx="1408">
                  <c:v>48886</c:v>
                </c:pt>
                <c:pt idx="1409">
                  <c:v>48893</c:v>
                </c:pt>
                <c:pt idx="1410">
                  <c:v>48900</c:v>
                </c:pt>
                <c:pt idx="1411">
                  <c:v>48907</c:v>
                </c:pt>
                <c:pt idx="1412">
                  <c:v>48914</c:v>
                </c:pt>
                <c:pt idx="1413">
                  <c:v>48921</c:v>
                </c:pt>
                <c:pt idx="1414">
                  <c:v>48928</c:v>
                </c:pt>
                <c:pt idx="1415">
                  <c:v>48935</c:v>
                </c:pt>
                <c:pt idx="1416">
                  <c:v>48942</c:v>
                </c:pt>
                <c:pt idx="1417">
                  <c:v>48949</c:v>
                </c:pt>
                <c:pt idx="1418">
                  <c:v>48956</c:v>
                </c:pt>
                <c:pt idx="1419">
                  <c:v>48963</c:v>
                </c:pt>
                <c:pt idx="1420">
                  <c:v>48970</c:v>
                </c:pt>
                <c:pt idx="1421">
                  <c:v>48977</c:v>
                </c:pt>
                <c:pt idx="1422">
                  <c:v>48984</c:v>
                </c:pt>
                <c:pt idx="1423">
                  <c:v>48991</c:v>
                </c:pt>
                <c:pt idx="1424">
                  <c:v>48998</c:v>
                </c:pt>
                <c:pt idx="1425">
                  <c:v>49005</c:v>
                </c:pt>
                <c:pt idx="1426">
                  <c:v>49012</c:v>
                </c:pt>
                <c:pt idx="1427">
                  <c:v>49019</c:v>
                </c:pt>
                <c:pt idx="1428">
                  <c:v>49026</c:v>
                </c:pt>
                <c:pt idx="1429">
                  <c:v>49033</c:v>
                </c:pt>
                <c:pt idx="1430">
                  <c:v>49040</c:v>
                </c:pt>
                <c:pt idx="1431">
                  <c:v>49047</c:v>
                </c:pt>
                <c:pt idx="1432">
                  <c:v>49054</c:v>
                </c:pt>
                <c:pt idx="1433">
                  <c:v>49061</c:v>
                </c:pt>
                <c:pt idx="1434">
                  <c:v>49068</c:v>
                </c:pt>
                <c:pt idx="1435">
                  <c:v>49075</c:v>
                </c:pt>
                <c:pt idx="1436">
                  <c:v>49082</c:v>
                </c:pt>
                <c:pt idx="1437">
                  <c:v>49089</c:v>
                </c:pt>
                <c:pt idx="1438">
                  <c:v>49096</c:v>
                </c:pt>
                <c:pt idx="1439">
                  <c:v>49103</c:v>
                </c:pt>
                <c:pt idx="1440">
                  <c:v>49110</c:v>
                </c:pt>
                <c:pt idx="1441">
                  <c:v>49117</c:v>
                </c:pt>
                <c:pt idx="1442">
                  <c:v>49124</c:v>
                </c:pt>
                <c:pt idx="1443">
                  <c:v>49131</c:v>
                </c:pt>
                <c:pt idx="1444">
                  <c:v>49138</c:v>
                </c:pt>
                <c:pt idx="1445">
                  <c:v>49145</c:v>
                </c:pt>
                <c:pt idx="1446">
                  <c:v>49152</c:v>
                </c:pt>
                <c:pt idx="1447">
                  <c:v>49159</c:v>
                </c:pt>
                <c:pt idx="1448">
                  <c:v>49166</c:v>
                </c:pt>
                <c:pt idx="1449">
                  <c:v>49173</c:v>
                </c:pt>
                <c:pt idx="1450">
                  <c:v>49180</c:v>
                </c:pt>
                <c:pt idx="1451">
                  <c:v>49187</c:v>
                </c:pt>
                <c:pt idx="1452">
                  <c:v>49194</c:v>
                </c:pt>
                <c:pt idx="1453">
                  <c:v>49201</c:v>
                </c:pt>
                <c:pt idx="1454">
                  <c:v>49208</c:v>
                </c:pt>
                <c:pt idx="1455">
                  <c:v>49215</c:v>
                </c:pt>
                <c:pt idx="1456">
                  <c:v>49222</c:v>
                </c:pt>
                <c:pt idx="1457">
                  <c:v>49229</c:v>
                </c:pt>
                <c:pt idx="1458">
                  <c:v>49236</c:v>
                </c:pt>
                <c:pt idx="1459">
                  <c:v>49243</c:v>
                </c:pt>
                <c:pt idx="1460">
                  <c:v>49250</c:v>
                </c:pt>
                <c:pt idx="1461">
                  <c:v>49257</c:v>
                </c:pt>
                <c:pt idx="1462">
                  <c:v>49264</c:v>
                </c:pt>
                <c:pt idx="1463">
                  <c:v>49271</c:v>
                </c:pt>
                <c:pt idx="1464">
                  <c:v>49278</c:v>
                </c:pt>
                <c:pt idx="1465">
                  <c:v>49285</c:v>
                </c:pt>
                <c:pt idx="1466">
                  <c:v>49292</c:v>
                </c:pt>
                <c:pt idx="1467">
                  <c:v>49299</c:v>
                </c:pt>
                <c:pt idx="1468">
                  <c:v>49307</c:v>
                </c:pt>
                <c:pt idx="1469">
                  <c:v>49314</c:v>
                </c:pt>
                <c:pt idx="1470">
                  <c:v>49321</c:v>
                </c:pt>
                <c:pt idx="1471">
                  <c:v>49328</c:v>
                </c:pt>
                <c:pt idx="1472">
                  <c:v>49335</c:v>
                </c:pt>
                <c:pt idx="1473">
                  <c:v>49342</c:v>
                </c:pt>
                <c:pt idx="1474">
                  <c:v>49349</c:v>
                </c:pt>
                <c:pt idx="1475">
                  <c:v>49356</c:v>
                </c:pt>
                <c:pt idx="1476">
                  <c:v>49363</c:v>
                </c:pt>
                <c:pt idx="1477">
                  <c:v>49370</c:v>
                </c:pt>
                <c:pt idx="1478">
                  <c:v>49377</c:v>
                </c:pt>
                <c:pt idx="1479">
                  <c:v>49384</c:v>
                </c:pt>
                <c:pt idx="1480">
                  <c:v>49395</c:v>
                </c:pt>
                <c:pt idx="1481">
                  <c:v>49398</c:v>
                </c:pt>
                <c:pt idx="1482">
                  <c:v>49405</c:v>
                </c:pt>
                <c:pt idx="1483">
                  <c:v>49412</c:v>
                </c:pt>
                <c:pt idx="1484">
                  <c:v>49419</c:v>
                </c:pt>
                <c:pt idx="1485">
                  <c:v>49426</c:v>
                </c:pt>
                <c:pt idx="1486">
                  <c:v>49433</c:v>
                </c:pt>
                <c:pt idx="1487">
                  <c:v>49440</c:v>
                </c:pt>
                <c:pt idx="1488">
                  <c:v>49447</c:v>
                </c:pt>
                <c:pt idx="1489">
                  <c:v>49454</c:v>
                </c:pt>
                <c:pt idx="1490">
                  <c:v>49461</c:v>
                </c:pt>
                <c:pt idx="1491">
                  <c:v>49468</c:v>
                </c:pt>
                <c:pt idx="1492">
                  <c:v>49475</c:v>
                </c:pt>
                <c:pt idx="1493">
                  <c:v>49482</c:v>
                </c:pt>
                <c:pt idx="1494">
                  <c:v>49489</c:v>
                </c:pt>
                <c:pt idx="1495">
                  <c:v>49496</c:v>
                </c:pt>
                <c:pt idx="1496">
                  <c:v>49503</c:v>
                </c:pt>
                <c:pt idx="1497">
                  <c:v>49510</c:v>
                </c:pt>
                <c:pt idx="1498">
                  <c:v>49517</c:v>
                </c:pt>
                <c:pt idx="1499">
                  <c:v>49524</c:v>
                </c:pt>
                <c:pt idx="1500">
                  <c:v>49531</c:v>
                </c:pt>
                <c:pt idx="1501">
                  <c:v>49538</c:v>
                </c:pt>
                <c:pt idx="1502">
                  <c:v>49545</c:v>
                </c:pt>
                <c:pt idx="1503">
                  <c:v>49552</c:v>
                </c:pt>
                <c:pt idx="1504">
                  <c:v>49559</c:v>
                </c:pt>
                <c:pt idx="1505">
                  <c:v>49566</c:v>
                </c:pt>
                <c:pt idx="1506">
                  <c:v>49573</c:v>
                </c:pt>
                <c:pt idx="1507">
                  <c:v>49580</c:v>
                </c:pt>
                <c:pt idx="1508">
                  <c:v>49587</c:v>
                </c:pt>
                <c:pt idx="1509">
                  <c:v>49594</c:v>
                </c:pt>
                <c:pt idx="1510">
                  <c:v>49601</c:v>
                </c:pt>
                <c:pt idx="1511">
                  <c:v>49608</c:v>
                </c:pt>
                <c:pt idx="1512">
                  <c:v>49615</c:v>
                </c:pt>
                <c:pt idx="1513">
                  <c:v>49622</c:v>
                </c:pt>
                <c:pt idx="1514">
                  <c:v>49629</c:v>
                </c:pt>
                <c:pt idx="1515">
                  <c:v>49636</c:v>
                </c:pt>
                <c:pt idx="1516">
                  <c:v>49643</c:v>
                </c:pt>
                <c:pt idx="1517">
                  <c:v>49650</c:v>
                </c:pt>
                <c:pt idx="1518">
                  <c:v>49657</c:v>
                </c:pt>
                <c:pt idx="1519">
                  <c:v>49664</c:v>
                </c:pt>
                <c:pt idx="1520">
                  <c:v>49674</c:v>
                </c:pt>
                <c:pt idx="1521">
                  <c:v>49681</c:v>
                </c:pt>
                <c:pt idx="1522">
                  <c:v>49688</c:v>
                </c:pt>
                <c:pt idx="1523">
                  <c:v>49695</c:v>
                </c:pt>
                <c:pt idx="1524">
                  <c:v>49702</c:v>
                </c:pt>
                <c:pt idx="1525">
                  <c:v>49709</c:v>
                </c:pt>
                <c:pt idx="1526">
                  <c:v>49716</c:v>
                </c:pt>
                <c:pt idx="1527">
                  <c:v>49723</c:v>
                </c:pt>
                <c:pt idx="1528">
                  <c:v>49730</c:v>
                </c:pt>
                <c:pt idx="1529">
                  <c:v>49737</c:v>
                </c:pt>
                <c:pt idx="1530">
                  <c:v>49744</c:v>
                </c:pt>
                <c:pt idx="1531">
                  <c:v>49751</c:v>
                </c:pt>
                <c:pt idx="1532">
                  <c:v>49758</c:v>
                </c:pt>
                <c:pt idx="1533">
                  <c:v>49765</c:v>
                </c:pt>
                <c:pt idx="1534">
                  <c:v>49772</c:v>
                </c:pt>
                <c:pt idx="1535">
                  <c:v>49781</c:v>
                </c:pt>
                <c:pt idx="1536">
                  <c:v>49786</c:v>
                </c:pt>
                <c:pt idx="1537">
                  <c:v>49793</c:v>
                </c:pt>
                <c:pt idx="1538">
                  <c:v>49801</c:v>
                </c:pt>
                <c:pt idx="1539">
                  <c:v>49808</c:v>
                </c:pt>
                <c:pt idx="1540">
                  <c:v>49815</c:v>
                </c:pt>
                <c:pt idx="1541">
                  <c:v>49822</c:v>
                </c:pt>
                <c:pt idx="1542">
                  <c:v>49829</c:v>
                </c:pt>
                <c:pt idx="1543">
                  <c:v>49836</c:v>
                </c:pt>
                <c:pt idx="1544">
                  <c:v>49843</c:v>
                </c:pt>
                <c:pt idx="1545">
                  <c:v>49850</c:v>
                </c:pt>
                <c:pt idx="1546">
                  <c:v>49857</c:v>
                </c:pt>
                <c:pt idx="1547">
                  <c:v>49864</c:v>
                </c:pt>
                <c:pt idx="1548">
                  <c:v>49871</c:v>
                </c:pt>
                <c:pt idx="1549">
                  <c:v>49878</c:v>
                </c:pt>
                <c:pt idx="1550">
                  <c:v>49885</c:v>
                </c:pt>
                <c:pt idx="1551">
                  <c:v>49892</c:v>
                </c:pt>
                <c:pt idx="1552">
                  <c:v>49899</c:v>
                </c:pt>
                <c:pt idx="1553">
                  <c:v>49906</c:v>
                </c:pt>
                <c:pt idx="1554">
                  <c:v>49913</c:v>
                </c:pt>
                <c:pt idx="1555">
                  <c:v>49920</c:v>
                </c:pt>
                <c:pt idx="1556">
                  <c:v>49927</c:v>
                </c:pt>
                <c:pt idx="1557">
                  <c:v>49934</c:v>
                </c:pt>
                <c:pt idx="1558">
                  <c:v>49941</c:v>
                </c:pt>
                <c:pt idx="1559">
                  <c:v>49948</c:v>
                </c:pt>
                <c:pt idx="1560">
                  <c:v>49955</c:v>
                </c:pt>
                <c:pt idx="1561">
                  <c:v>49962</c:v>
                </c:pt>
                <c:pt idx="1562">
                  <c:v>49969</c:v>
                </c:pt>
                <c:pt idx="1563">
                  <c:v>49976</c:v>
                </c:pt>
                <c:pt idx="1564">
                  <c:v>49983</c:v>
                </c:pt>
                <c:pt idx="1565">
                  <c:v>49990</c:v>
                </c:pt>
                <c:pt idx="1566">
                  <c:v>49997</c:v>
                </c:pt>
                <c:pt idx="1567">
                  <c:v>50004</c:v>
                </c:pt>
                <c:pt idx="1568">
                  <c:v>50011</c:v>
                </c:pt>
                <c:pt idx="1569">
                  <c:v>50018</c:v>
                </c:pt>
                <c:pt idx="1570">
                  <c:v>50025</c:v>
                </c:pt>
                <c:pt idx="1571">
                  <c:v>50032</c:v>
                </c:pt>
                <c:pt idx="1572">
                  <c:v>50040</c:v>
                </c:pt>
                <c:pt idx="1573">
                  <c:v>50047</c:v>
                </c:pt>
                <c:pt idx="1574">
                  <c:v>50054</c:v>
                </c:pt>
                <c:pt idx="1575">
                  <c:v>50061</c:v>
                </c:pt>
                <c:pt idx="1576">
                  <c:v>50068</c:v>
                </c:pt>
                <c:pt idx="1577">
                  <c:v>50075</c:v>
                </c:pt>
                <c:pt idx="1578">
                  <c:v>50082</c:v>
                </c:pt>
                <c:pt idx="1579">
                  <c:v>50089</c:v>
                </c:pt>
                <c:pt idx="1580">
                  <c:v>50096</c:v>
                </c:pt>
                <c:pt idx="1581">
                  <c:v>50103</c:v>
                </c:pt>
                <c:pt idx="1582">
                  <c:v>50110</c:v>
                </c:pt>
                <c:pt idx="1583">
                  <c:v>50117</c:v>
                </c:pt>
                <c:pt idx="1584">
                  <c:v>50124</c:v>
                </c:pt>
                <c:pt idx="1585">
                  <c:v>50131</c:v>
                </c:pt>
                <c:pt idx="1586">
                  <c:v>50139</c:v>
                </c:pt>
                <c:pt idx="1587">
                  <c:v>50146</c:v>
                </c:pt>
                <c:pt idx="1588">
                  <c:v>50153</c:v>
                </c:pt>
                <c:pt idx="1589">
                  <c:v>50160</c:v>
                </c:pt>
                <c:pt idx="1590">
                  <c:v>50167</c:v>
                </c:pt>
                <c:pt idx="1591">
                  <c:v>50174</c:v>
                </c:pt>
                <c:pt idx="1592">
                  <c:v>50181</c:v>
                </c:pt>
                <c:pt idx="1593">
                  <c:v>50188</c:v>
                </c:pt>
                <c:pt idx="1594">
                  <c:v>50195</c:v>
                </c:pt>
                <c:pt idx="1595">
                  <c:v>50202</c:v>
                </c:pt>
                <c:pt idx="1596">
                  <c:v>50209</c:v>
                </c:pt>
                <c:pt idx="1597">
                  <c:v>50216</c:v>
                </c:pt>
                <c:pt idx="1598">
                  <c:v>50223</c:v>
                </c:pt>
                <c:pt idx="1599">
                  <c:v>50230</c:v>
                </c:pt>
                <c:pt idx="1600">
                  <c:v>50237</c:v>
                </c:pt>
                <c:pt idx="1601">
                  <c:v>50244</c:v>
                </c:pt>
                <c:pt idx="1602">
                  <c:v>50251</c:v>
                </c:pt>
                <c:pt idx="1603">
                  <c:v>50258</c:v>
                </c:pt>
                <c:pt idx="1604">
                  <c:v>50265</c:v>
                </c:pt>
                <c:pt idx="1605">
                  <c:v>50272</c:v>
                </c:pt>
                <c:pt idx="1606">
                  <c:v>50279</c:v>
                </c:pt>
                <c:pt idx="1607">
                  <c:v>50286</c:v>
                </c:pt>
                <c:pt idx="1608">
                  <c:v>50293</c:v>
                </c:pt>
                <c:pt idx="1609">
                  <c:v>50300</c:v>
                </c:pt>
                <c:pt idx="1610">
                  <c:v>50307</c:v>
                </c:pt>
                <c:pt idx="1611">
                  <c:v>50314</c:v>
                </c:pt>
                <c:pt idx="1612">
                  <c:v>50321</c:v>
                </c:pt>
                <c:pt idx="1613">
                  <c:v>50328</c:v>
                </c:pt>
                <c:pt idx="1614">
                  <c:v>50335</c:v>
                </c:pt>
                <c:pt idx="1615">
                  <c:v>50342</c:v>
                </c:pt>
                <c:pt idx="1616">
                  <c:v>50349</c:v>
                </c:pt>
                <c:pt idx="1617">
                  <c:v>50356</c:v>
                </c:pt>
                <c:pt idx="1618">
                  <c:v>50363</c:v>
                </c:pt>
                <c:pt idx="1619">
                  <c:v>50370</c:v>
                </c:pt>
                <c:pt idx="1620">
                  <c:v>50377</c:v>
                </c:pt>
                <c:pt idx="1621">
                  <c:v>50384</c:v>
                </c:pt>
                <c:pt idx="1622">
                  <c:v>50391</c:v>
                </c:pt>
                <c:pt idx="1623">
                  <c:v>50398</c:v>
                </c:pt>
                <c:pt idx="1624">
                  <c:v>50405</c:v>
                </c:pt>
                <c:pt idx="1625">
                  <c:v>50412</c:v>
                </c:pt>
                <c:pt idx="1626">
                  <c:v>50419</c:v>
                </c:pt>
                <c:pt idx="1627">
                  <c:v>50426</c:v>
                </c:pt>
                <c:pt idx="1628">
                  <c:v>50433</c:v>
                </c:pt>
                <c:pt idx="1629">
                  <c:v>50440</c:v>
                </c:pt>
                <c:pt idx="1630">
                  <c:v>50447</c:v>
                </c:pt>
                <c:pt idx="1631">
                  <c:v>50454</c:v>
                </c:pt>
                <c:pt idx="1632">
                  <c:v>50461</c:v>
                </c:pt>
                <c:pt idx="1633">
                  <c:v>50468</c:v>
                </c:pt>
                <c:pt idx="1634">
                  <c:v>50475</c:v>
                </c:pt>
                <c:pt idx="1635">
                  <c:v>50482</c:v>
                </c:pt>
                <c:pt idx="1636">
                  <c:v>50489</c:v>
                </c:pt>
                <c:pt idx="1637">
                  <c:v>50496</c:v>
                </c:pt>
                <c:pt idx="1638">
                  <c:v>50503</c:v>
                </c:pt>
                <c:pt idx="1639">
                  <c:v>50510</c:v>
                </c:pt>
                <c:pt idx="1640">
                  <c:v>50517</c:v>
                </c:pt>
                <c:pt idx="1641">
                  <c:v>50524</c:v>
                </c:pt>
                <c:pt idx="1642">
                  <c:v>50531</c:v>
                </c:pt>
                <c:pt idx="1643">
                  <c:v>50538</c:v>
                </c:pt>
                <c:pt idx="1644">
                  <c:v>50545</c:v>
                </c:pt>
                <c:pt idx="1645">
                  <c:v>50552</c:v>
                </c:pt>
                <c:pt idx="1646">
                  <c:v>50559</c:v>
                </c:pt>
                <c:pt idx="1647">
                  <c:v>50566</c:v>
                </c:pt>
                <c:pt idx="1648">
                  <c:v>50573</c:v>
                </c:pt>
                <c:pt idx="1649">
                  <c:v>50580</c:v>
                </c:pt>
                <c:pt idx="1650">
                  <c:v>50587</c:v>
                </c:pt>
                <c:pt idx="1651">
                  <c:v>50594</c:v>
                </c:pt>
                <c:pt idx="1652">
                  <c:v>50601</c:v>
                </c:pt>
                <c:pt idx="1653">
                  <c:v>50608</c:v>
                </c:pt>
                <c:pt idx="1654">
                  <c:v>50615</c:v>
                </c:pt>
                <c:pt idx="1655">
                  <c:v>50622</c:v>
                </c:pt>
                <c:pt idx="1656">
                  <c:v>50629</c:v>
                </c:pt>
                <c:pt idx="1657">
                  <c:v>50636</c:v>
                </c:pt>
                <c:pt idx="1658">
                  <c:v>50643</c:v>
                </c:pt>
                <c:pt idx="1659">
                  <c:v>50650</c:v>
                </c:pt>
                <c:pt idx="1660">
                  <c:v>50657</c:v>
                </c:pt>
                <c:pt idx="1661">
                  <c:v>50664</c:v>
                </c:pt>
                <c:pt idx="1662">
                  <c:v>50671</c:v>
                </c:pt>
                <c:pt idx="1663">
                  <c:v>50678</c:v>
                </c:pt>
                <c:pt idx="1664">
                  <c:v>50685</c:v>
                </c:pt>
                <c:pt idx="1665">
                  <c:v>50692</c:v>
                </c:pt>
                <c:pt idx="1666">
                  <c:v>50699</c:v>
                </c:pt>
                <c:pt idx="1667">
                  <c:v>50706</c:v>
                </c:pt>
                <c:pt idx="1668">
                  <c:v>50713</c:v>
                </c:pt>
                <c:pt idx="1669">
                  <c:v>50720</c:v>
                </c:pt>
                <c:pt idx="1670">
                  <c:v>50727</c:v>
                </c:pt>
                <c:pt idx="1671">
                  <c:v>50734</c:v>
                </c:pt>
                <c:pt idx="1672">
                  <c:v>50741</c:v>
                </c:pt>
                <c:pt idx="1673">
                  <c:v>50748</c:v>
                </c:pt>
                <c:pt idx="1674">
                  <c:v>50755</c:v>
                </c:pt>
                <c:pt idx="1675">
                  <c:v>50762</c:v>
                </c:pt>
                <c:pt idx="1676">
                  <c:v>50769</c:v>
                </c:pt>
                <c:pt idx="1677">
                  <c:v>50776</c:v>
                </c:pt>
                <c:pt idx="1678">
                  <c:v>50783</c:v>
                </c:pt>
                <c:pt idx="1679">
                  <c:v>50790</c:v>
                </c:pt>
                <c:pt idx="1680">
                  <c:v>50797</c:v>
                </c:pt>
                <c:pt idx="1681">
                  <c:v>50804</c:v>
                </c:pt>
                <c:pt idx="1682">
                  <c:v>50811</c:v>
                </c:pt>
                <c:pt idx="1683">
                  <c:v>50818</c:v>
                </c:pt>
                <c:pt idx="1684">
                  <c:v>50825</c:v>
                </c:pt>
                <c:pt idx="1685">
                  <c:v>50832</c:v>
                </c:pt>
                <c:pt idx="1686">
                  <c:v>50839</c:v>
                </c:pt>
                <c:pt idx="1687">
                  <c:v>50846</c:v>
                </c:pt>
                <c:pt idx="1688">
                  <c:v>50853</c:v>
                </c:pt>
                <c:pt idx="1689">
                  <c:v>50860</c:v>
                </c:pt>
                <c:pt idx="1690">
                  <c:v>50867</c:v>
                </c:pt>
                <c:pt idx="1691">
                  <c:v>50874</c:v>
                </c:pt>
                <c:pt idx="1692">
                  <c:v>50881</c:v>
                </c:pt>
                <c:pt idx="1693">
                  <c:v>50888</c:v>
                </c:pt>
                <c:pt idx="1694">
                  <c:v>50895</c:v>
                </c:pt>
                <c:pt idx="1695">
                  <c:v>50902</c:v>
                </c:pt>
                <c:pt idx="1696">
                  <c:v>50909</c:v>
                </c:pt>
                <c:pt idx="1697">
                  <c:v>50916</c:v>
                </c:pt>
                <c:pt idx="1698">
                  <c:v>50923</c:v>
                </c:pt>
                <c:pt idx="1699">
                  <c:v>50930</c:v>
                </c:pt>
                <c:pt idx="1700">
                  <c:v>50937</c:v>
                </c:pt>
                <c:pt idx="1701">
                  <c:v>50944</c:v>
                </c:pt>
                <c:pt idx="1702">
                  <c:v>50951</c:v>
                </c:pt>
                <c:pt idx="1703">
                  <c:v>50958</c:v>
                </c:pt>
                <c:pt idx="1704">
                  <c:v>50965</c:v>
                </c:pt>
                <c:pt idx="1705">
                  <c:v>50972</c:v>
                </c:pt>
                <c:pt idx="1706">
                  <c:v>50979</c:v>
                </c:pt>
                <c:pt idx="1707">
                  <c:v>50986</c:v>
                </c:pt>
                <c:pt idx="1708">
                  <c:v>50993</c:v>
                </c:pt>
                <c:pt idx="1709">
                  <c:v>51000</c:v>
                </c:pt>
                <c:pt idx="1710">
                  <c:v>51007</c:v>
                </c:pt>
                <c:pt idx="1711">
                  <c:v>51014</c:v>
                </c:pt>
                <c:pt idx="1712">
                  <c:v>51021</c:v>
                </c:pt>
                <c:pt idx="1713">
                  <c:v>51028</c:v>
                </c:pt>
                <c:pt idx="1714">
                  <c:v>51035</c:v>
                </c:pt>
                <c:pt idx="1715">
                  <c:v>51042</c:v>
                </c:pt>
                <c:pt idx="1716">
                  <c:v>51049</c:v>
                </c:pt>
                <c:pt idx="1717">
                  <c:v>51056</c:v>
                </c:pt>
                <c:pt idx="1718">
                  <c:v>51063</c:v>
                </c:pt>
                <c:pt idx="1719">
                  <c:v>51070</c:v>
                </c:pt>
                <c:pt idx="1720">
                  <c:v>51077</c:v>
                </c:pt>
                <c:pt idx="1721">
                  <c:v>51084</c:v>
                </c:pt>
                <c:pt idx="1722">
                  <c:v>51091</c:v>
                </c:pt>
                <c:pt idx="1723">
                  <c:v>51098</c:v>
                </c:pt>
                <c:pt idx="1724">
                  <c:v>51105</c:v>
                </c:pt>
                <c:pt idx="1725">
                  <c:v>51112</c:v>
                </c:pt>
                <c:pt idx="1726">
                  <c:v>51119</c:v>
                </c:pt>
                <c:pt idx="1727">
                  <c:v>51126</c:v>
                </c:pt>
                <c:pt idx="1728">
                  <c:v>51133</c:v>
                </c:pt>
                <c:pt idx="1729">
                  <c:v>51140</c:v>
                </c:pt>
                <c:pt idx="1730">
                  <c:v>51147</c:v>
                </c:pt>
                <c:pt idx="1731">
                  <c:v>51154</c:v>
                </c:pt>
                <c:pt idx="1732">
                  <c:v>51161</c:v>
                </c:pt>
                <c:pt idx="1733">
                  <c:v>51168</c:v>
                </c:pt>
                <c:pt idx="1734">
                  <c:v>51175</c:v>
                </c:pt>
                <c:pt idx="1735">
                  <c:v>51182</c:v>
                </c:pt>
                <c:pt idx="1736">
                  <c:v>51189</c:v>
                </c:pt>
                <c:pt idx="1737">
                  <c:v>51196</c:v>
                </c:pt>
                <c:pt idx="1738">
                  <c:v>51203</c:v>
                </c:pt>
                <c:pt idx="1739">
                  <c:v>51210</c:v>
                </c:pt>
                <c:pt idx="1740">
                  <c:v>51217</c:v>
                </c:pt>
                <c:pt idx="1741">
                  <c:v>51224</c:v>
                </c:pt>
                <c:pt idx="1742">
                  <c:v>51231</c:v>
                </c:pt>
                <c:pt idx="1743">
                  <c:v>51238</c:v>
                </c:pt>
                <c:pt idx="1744">
                  <c:v>51245</c:v>
                </c:pt>
                <c:pt idx="1745">
                  <c:v>51252</c:v>
                </c:pt>
                <c:pt idx="1746">
                  <c:v>51260</c:v>
                </c:pt>
                <c:pt idx="1747">
                  <c:v>51267</c:v>
                </c:pt>
                <c:pt idx="1748">
                  <c:v>51274</c:v>
                </c:pt>
                <c:pt idx="1749">
                  <c:v>51281</c:v>
                </c:pt>
                <c:pt idx="1750">
                  <c:v>51288</c:v>
                </c:pt>
                <c:pt idx="1751">
                  <c:v>51295</c:v>
                </c:pt>
                <c:pt idx="1752">
                  <c:v>51302</c:v>
                </c:pt>
                <c:pt idx="1753">
                  <c:v>51309</c:v>
                </c:pt>
                <c:pt idx="1754">
                  <c:v>51316</c:v>
                </c:pt>
                <c:pt idx="1755">
                  <c:v>51323</c:v>
                </c:pt>
                <c:pt idx="1756">
                  <c:v>51330</c:v>
                </c:pt>
                <c:pt idx="1757">
                  <c:v>51337</c:v>
                </c:pt>
                <c:pt idx="1758">
                  <c:v>51344</c:v>
                </c:pt>
                <c:pt idx="1759">
                  <c:v>51351</c:v>
                </c:pt>
                <c:pt idx="1760">
                  <c:v>51358</c:v>
                </c:pt>
                <c:pt idx="1761">
                  <c:v>51365</c:v>
                </c:pt>
                <c:pt idx="1762">
                  <c:v>51372</c:v>
                </c:pt>
                <c:pt idx="1763">
                  <c:v>51379</c:v>
                </c:pt>
                <c:pt idx="1764">
                  <c:v>51386</c:v>
                </c:pt>
                <c:pt idx="1765">
                  <c:v>51393</c:v>
                </c:pt>
                <c:pt idx="1766">
                  <c:v>51400</c:v>
                </c:pt>
                <c:pt idx="1767">
                  <c:v>51407</c:v>
                </c:pt>
                <c:pt idx="1768">
                  <c:v>51414</c:v>
                </c:pt>
                <c:pt idx="1769">
                  <c:v>51421</c:v>
                </c:pt>
                <c:pt idx="1770">
                  <c:v>51428</c:v>
                </c:pt>
                <c:pt idx="1771">
                  <c:v>51435</c:v>
                </c:pt>
                <c:pt idx="1772">
                  <c:v>51442</c:v>
                </c:pt>
                <c:pt idx="1773">
                  <c:v>51449</c:v>
                </c:pt>
                <c:pt idx="1774">
                  <c:v>51456</c:v>
                </c:pt>
                <c:pt idx="1775">
                  <c:v>51463</c:v>
                </c:pt>
                <c:pt idx="1776">
                  <c:v>51470</c:v>
                </c:pt>
                <c:pt idx="1777">
                  <c:v>51477</c:v>
                </c:pt>
                <c:pt idx="1778">
                  <c:v>51484</c:v>
                </c:pt>
                <c:pt idx="1779">
                  <c:v>51491</c:v>
                </c:pt>
                <c:pt idx="1780">
                  <c:v>51501</c:v>
                </c:pt>
                <c:pt idx="1781">
                  <c:v>51508</c:v>
                </c:pt>
                <c:pt idx="1782">
                  <c:v>51515</c:v>
                </c:pt>
                <c:pt idx="1783">
                  <c:v>51522</c:v>
                </c:pt>
                <c:pt idx="1784">
                  <c:v>51529</c:v>
                </c:pt>
                <c:pt idx="1785">
                  <c:v>51536</c:v>
                </c:pt>
                <c:pt idx="1786">
                  <c:v>51543</c:v>
                </c:pt>
                <c:pt idx="1787">
                  <c:v>51550</c:v>
                </c:pt>
                <c:pt idx="1788">
                  <c:v>51557</c:v>
                </c:pt>
                <c:pt idx="1789">
                  <c:v>51564</c:v>
                </c:pt>
                <c:pt idx="1790">
                  <c:v>51571</c:v>
                </c:pt>
                <c:pt idx="1791">
                  <c:v>51578</c:v>
                </c:pt>
                <c:pt idx="1792">
                  <c:v>51585</c:v>
                </c:pt>
                <c:pt idx="1793">
                  <c:v>51592</c:v>
                </c:pt>
                <c:pt idx="1794">
                  <c:v>51599</c:v>
                </c:pt>
                <c:pt idx="1795">
                  <c:v>51606</c:v>
                </c:pt>
                <c:pt idx="1796">
                  <c:v>51615</c:v>
                </c:pt>
                <c:pt idx="1797">
                  <c:v>51620</c:v>
                </c:pt>
                <c:pt idx="1798">
                  <c:v>51627</c:v>
                </c:pt>
                <c:pt idx="1799">
                  <c:v>51634</c:v>
                </c:pt>
                <c:pt idx="1800">
                  <c:v>51641</c:v>
                </c:pt>
                <c:pt idx="1801">
                  <c:v>51648</c:v>
                </c:pt>
                <c:pt idx="1802">
                  <c:v>51655</c:v>
                </c:pt>
                <c:pt idx="1803">
                  <c:v>51662</c:v>
                </c:pt>
                <c:pt idx="1804">
                  <c:v>51669</c:v>
                </c:pt>
                <c:pt idx="1805">
                  <c:v>51676</c:v>
                </c:pt>
                <c:pt idx="1806">
                  <c:v>51683</c:v>
                </c:pt>
                <c:pt idx="1807">
                  <c:v>51690</c:v>
                </c:pt>
                <c:pt idx="1808">
                  <c:v>51697</c:v>
                </c:pt>
                <c:pt idx="1809">
                  <c:v>51704</c:v>
                </c:pt>
                <c:pt idx="1810">
                  <c:v>51711</c:v>
                </c:pt>
                <c:pt idx="1811">
                  <c:v>51718</c:v>
                </c:pt>
                <c:pt idx="1812">
                  <c:v>51725</c:v>
                </c:pt>
                <c:pt idx="1813">
                  <c:v>51732</c:v>
                </c:pt>
                <c:pt idx="1814">
                  <c:v>51739</c:v>
                </c:pt>
                <c:pt idx="1815">
                  <c:v>51746</c:v>
                </c:pt>
                <c:pt idx="1816">
                  <c:v>51753</c:v>
                </c:pt>
                <c:pt idx="1817">
                  <c:v>51760</c:v>
                </c:pt>
                <c:pt idx="1818">
                  <c:v>51767</c:v>
                </c:pt>
                <c:pt idx="1819">
                  <c:v>51774</c:v>
                </c:pt>
                <c:pt idx="1820">
                  <c:v>51781</c:v>
                </c:pt>
                <c:pt idx="1821">
                  <c:v>51788</c:v>
                </c:pt>
                <c:pt idx="1822">
                  <c:v>51795</c:v>
                </c:pt>
                <c:pt idx="1823">
                  <c:v>51802</c:v>
                </c:pt>
                <c:pt idx="1824">
                  <c:v>51809</c:v>
                </c:pt>
                <c:pt idx="1825">
                  <c:v>51816</c:v>
                </c:pt>
                <c:pt idx="1826">
                  <c:v>51823</c:v>
                </c:pt>
                <c:pt idx="1827">
                  <c:v>51830</c:v>
                </c:pt>
                <c:pt idx="1828">
                  <c:v>51837</c:v>
                </c:pt>
                <c:pt idx="1829">
                  <c:v>51844</c:v>
                </c:pt>
                <c:pt idx="1830">
                  <c:v>51851</c:v>
                </c:pt>
                <c:pt idx="1831">
                  <c:v>51858</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51966</c:v>
                </c:pt>
                <c:pt idx="1847">
                  <c:v>51973</c:v>
                </c:pt>
                <c:pt idx="1848">
                  <c:v>51980</c:v>
                </c:pt>
                <c:pt idx="1849">
                  <c:v>51988</c:v>
                </c:pt>
                <c:pt idx="1850">
                  <c:v>51994</c:v>
                </c:pt>
                <c:pt idx="1851">
                  <c:v>52001</c:v>
                </c:pt>
                <c:pt idx="1852">
                  <c:v>52008</c:v>
                </c:pt>
                <c:pt idx="1853">
                  <c:v>52015</c:v>
                </c:pt>
                <c:pt idx="1854">
                  <c:v>52022</c:v>
                </c:pt>
                <c:pt idx="1855">
                  <c:v>52029</c:v>
                </c:pt>
                <c:pt idx="1856">
                  <c:v>52036</c:v>
                </c:pt>
                <c:pt idx="1857">
                  <c:v>52043</c:v>
                </c:pt>
                <c:pt idx="1858">
                  <c:v>52050</c:v>
                </c:pt>
                <c:pt idx="1859">
                  <c:v>52057</c:v>
                </c:pt>
                <c:pt idx="1860">
                  <c:v>52064</c:v>
                </c:pt>
                <c:pt idx="1861">
                  <c:v>52071</c:v>
                </c:pt>
                <c:pt idx="1862">
                  <c:v>52078</c:v>
                </c:pt>
                <c:pt idx="1863">
                  <c:v>52085</c:v>
                </c:pt>
                <c:pt idx="1864">
                  <c:v>52092</c:v>
                </c:pt>
                <c:pt idx="1865">
                  <c:v>52099</c:v>
                </c:pt>
                <c:pt idx="1866">
                  <c:v>52106</c:v>
                </c:pt>
                <c:pt idx="1867">
                  <c:v>52113</c:v>
                </c:pt>
                <c:pt idx="1868">
                  <c:v>52120</c:v>
                </c:pt>
                <c:pt idx="1869">
                  <c:v>52127</c:v>
                </c:pt>
                <c:pt idx="1870">
                  <c:v>52134</c:v>
                </c:pt>
                <c:pt idx="1871">
                  <c:v>52141</c:v>
                </c:pt>
                <c:pt idx="1872">
                  <c:v>52148</c:v>
                </c:pt>
                <c:pt idx="1873">
                  <c:v>52155</c:v>
                </c:pt>
                <c:pt idx="1874">
                  <c:v>52162</c:v>
                </c:pt>
                <c:pt idx="1875">
                  <c:v>52169</c:v>
                </c:pt>
                <c:pt idx="1876">
                  <c:v>52176</c:v>
                </c:pt>
                <c:pt idx="1877">
                  <c:v>52183</c:v>
                </c:pt>
                <c:pt idx="1878">
                  <c:v>52190</c:v>
                </c:pt>
                <c:pt idx="1879">
                  <c:v>52197</c:v>
                </c:pt>
                <c:pt idx="1880">
                  <c:v>52204</c:v>
                </c:pt>
                <c:pt idx="1881">
                  <c:v>52211</c:v>
                </c:pt>
                <c:pt idx="1882">
                  <c:v>52218</c:v>
                </c:pt>
                <c:pt idx="1883">
                  <c:v>52229</c:v>
                </c:pt>
                <c:pt idx="1884">
                  <c:v>52233</c:v>
                </c:pt>
                <c:pt idx="1885">
                  <c:v>52239</c:v>
                </c:pt>
                <c:pt idx="1886">
                  <c:v>52246</c:v>
                </c:pt>
                <c:pt idx="1887">
                  <c:v>52253</c:v>
                </c:pt>
                <c:pt idx="1888">
                  <c:v>52260</c:v>
                </c:pt>
                <c:pt idx="1889">
                  <c:v>52267</c:v>
                </c:pt>
                <c:pt idx="1890">
                  <c:v>52274</c:v>
                </c:pt>
                <c:pt idx="1891">
                  <c:v>52281</c:v>
                </c:pt>
                <c:pt idx="1892">
                  <c:v>52288</c:v>
                </c:pt>
                <c:pt idx="1893">
                  <c:v>52295</c:v>
                </c:pt>
                <c:pt idx="1894">
                  <c:v>52302</c:v>
                </c:pt>
                <c:pt idx="1895">
                  <c:v>52309</c:v>
                </c:pt>
                <c:pt idx="1896">
                  <c:v>52316</c:v>
                </c:pt>
                <c:pt idx="1897">
                  <c:v>52323</c:v>
                </c:pt>
                <c:pt idx="1898">
                  <c:v>52330</c:v>
                </c:pt>
                <c:pt idx="1899">
                  <c:v>52337</c:v>
                </c:pt>
                <c:pt idx="1900">
                  <c:v>52344</c:v>
                </c:pt>
                <c:pt idx="1901">
                  <c:v>52351</c:v>
                </c:pt>
                <c:pt idx="1902">
                  <c:v>52358</c:v>
                </c:pt>
                <c:pt idx="1903">
                  <c:v>52365</c:v>
                </c:pt>
                <c:pt idx="1904">
                  <c:v>52372</c:v>
                </c:pt>
                <c:pt idx="1905">
                  <c:v>52379</c:v>
                </c:pt>
                <c:pt idx="1906">
                  <c:v>52386</c:v>
                </c:pt>
                <c:pt idx="1907">
                  <c:v>52393</c:v>
                </c:pt>
                <c:pt idx="1908">
                  <c:v>52400</c:v>
                </c:pt>
                <c:pt idx="1909">
                  <c:v>52407</c:v>
                </c:pt>
                <c:pt idx="1910">
                  <c:v>52414</c:v>
                </c:pt>
                <c:pt idx="1911">
                  <c:v>52421</c:v>
                </c:pt>
                <c:pt idx="1912">
                  <c:v>52428</c:v>
                </c:pt>
                <c:pt idx="1913">
                  <c:v>52435</c:v>
                </c:pt>
                <c:pt idx="1914">
                  <c:v>52442</c:v>
                </c:pt>
                <c:pt idx="1915">
                  <c:v>52449</c:v>
                </c:pt>
                <c:pt idx="1916">
                  <c:v>52456</c:v>
                </c:pt>
                <c:pt idx="1917">
                  <c:v>52463</c:v>
                </c:pt>
                <c:pt idx="1918">
                  <c:v>52470</c:v>
                </c:pt>
                <c:pt idx="1919">
                  <c:v>52477</c:v>
                </c:pt>
                <c:pt idx="1920">
                  <c:v>52484</c:v>
                </c:pt>
                <c:pt idx="1921">
                  <c:v>52491</c:v>
                </c:pt>
                <c:pt idx="1922">
                  <c:v>52498</c:v>
                </c:pt>
                <c:pt idx="1923">
                  <c:v>52505</c:v>
                </c:pt>
                <c:pt idx="1924">
                  <c:v>52512</c:v>
                </c:pt>
                <c:pt idx="1925">
                  <c:v>52519</c:v>
                </c:pt>
                <c:pt idx="1926">
                  <c:v>52526</c:v>
                </c:pt>
                <c:pt idx="1927">
                  <c:v>52533</c:v>
                </c:pt>
                <c:pt idx="1928">
                  <c:v>52540</c:v>
                </c:pt>
                <c:pt idx="1929">
                  <c:v>52547</c:v>
                </c:pt>
                <c:pt idx="1930">
                  <c:v>52554</c:v>
                </c:pt>
                <c:pt idx="1931">
                  <c:v>52561</c:v>
                </c:pt>
                <c:pt idx="1932">
                  <c:v>52568</c:v>
                </c:pt>
                <c:pt idx="1933">
                  <c:v>52575</c:v>
                </c:pt>
                <c:pt idx="1934">
                  <c:v>52582</c:v>
                </c:pt>
                <c:pt idx="1935">
                  <c:v>52589</c:v>
                </c:pt>
                <c:pt idx="1936">
                  <c:v>52596</c:v>
                </c:pt>
                <c:pt idx="1937">
                  <c:v>52603</c:v>
                </c:pt>
                <c:pt idx="1938">
                  <c:v>52610</c:v>
                </c:pt>
                <c:pt idx="1939">
                  <c:v>52617</c:v>
                </c:pt>
                <c:pt idx="1940">
                  <c:v>52624</c:v>
                </c:pt>
                <c:pt idx="1941">
                  <c:v>52631</c:v>
                </c:pt>
                <c:pt idx="1942">
                  <c:v>52638</c:v>
                </c:pt>
                <c:pt idx="1943">
                  <c:v>52645</c:v>
                </c:pt>
                <c:pt idx="1944">
                  <c:v>52652</c:v>
                </c:pt>
                <c:pt idx="1945">
                  <c:v>52659</c:v>
                </c:pt>
                <c:pt idx="1946">
                  <c:v>52666</c:v>
                </c:pt>
                <c:pt idx="1947">
                  <c:v>52673</c:v>
                </c:pt>
                <c:pt idx="1948">
                  <c:v>52680</c:v>
                </c:pt>
                <c:pt idx="1949">
                  <c:v>52687</c:v>
                </c:pt>
                <c:pt idx="1950">
                  <c:v>52694</c:v>
                </c:pt>
                <c:pt idx="1951">
                  <c:v>52701</c:v>
                </c:pt>
                <c:pt idx="1952">
                  <c:v>52708</c:v>
                </c:pt>
                <c:pt idx="1953">
                  <c:v>52715</c:v>
                </c:pt>
                <c:pt idx="1954">
                  <c:v>52722</c:v>
                </c:pt>
                <c:pt idx="1955">
                  <c:v>52729</c:v>
                </c:pt>
                <c:pt idx="1956">
                  <c:v>52736</c:v>
                </c:pt>
                <c:pt idx="1957">
                  <c:v>52743</c:v>
                </c:pt>
                <c:pt idx="1958">
                  <c:v>52750</c:v>
                </c:pt>
                <c:pt idx="1959">
                  <c:v>52757</c:v>
                </c:pt>
                <c:pt idx="1960">
                  <c:v>52764</c:v>
                </c:pt>
                <c:pt idx="1961">
                  <c:v>52771</c:v>
                </c:pt>
                <c:pt idx="1962">
                  <c:v>52778</c:v>
                </c:pt>
                <c:pt idx="1963">
                  <c:v>52785</c:v>
                </c:pt>
                <c:pt idx="1964">
                  <c:v>52792</c:v>
                </c:pt>
                <c:pt idx="1965">
                  <c:v>52799</c:v>
                </c:pt>
                <c:pt idx="1966">
                  <c:v>52806</c:v>
                </c:pt>
                <c:pt idx="1967">
                  <c:v>52813</c:v>
                </c:pt>
                <c:pt idx="1968">
                  <c:v>52820</c:v>
                </c:pt>
                <c:pt idx="1969">
                  <c:v>52827</c:v>
                </c:pt>
                <c:pt idx="1970">
                  <c:v>52834</c:v>
                </c:pt>
                <c:pt idx="1971">
                  <c:v>52841</c:v>
                </c:pt>
                <c:pt idx="1972">
                  <c:v>52848</c:v>
                </c:pt>
                <c:pt idx="1973">
                  <c:v>52855</c:v>
                </c:pt>
                <c:pt idx="1974">
                  <c:v>52862</c:v>
                </c:pt>
                <c:pt idx="1975">
                  <c:v>52869</c:v>
                </c:pt>
                <c:pt idx="1976">
                  <c:v>52876</c:v>
                </c:pt>
                <c:pt idx="1977">
                  <c:v>52883</c:v>
                </c:pt>
                <c:pt idx="1978">
                  <c:v>52890</c:v>
                </c:pt>
                <c:pt idx="1979">
                  <c:v>52897</c:v>
                </c:pt>
                <c:pt idx="1980">
                  <c:v>52904</c:v>
                </c:pt>
                <c:pt idx="1981">
                  <c:v>52911</c:v>
                </c:pt>
                <c:pt idx="1982">
                  <c:v>52918</c:v>
                </c:pt>
                <c:pt idx="1983">
                  <c:v>52925</c:v>
                </c:pt>
                <c:pt idx="1984">
                  <c:v>52932</c:v>
                </c:pt>
                <c:pt idx="1985">
                  <c:v>52939</c:v>
                </c:pt>
                <c:pt idx="1986">
                  <c:v>52946</c:v>
                </c:pt>
                <c:pt idx="1987">
                  <c:v>52953</c:v>
                </c:pt>
                <c:pt idx="1988">
                  <c:v>52960</c:v>
                </c:pt>
                <c:pt idx="1989">
                  <c:v>52967</c:v>
                </c:pt>
                <c:pt idx="1990">
                  <c:v>52974</c:v>
                </c:pt>
                <c:pt idx="1991">
                  <c:v>52981</c:v>
                </c:pt>
                <c:pt idx="1992">
                  <c:v>52988</c:v>
                </c:pt>
                <c:pt idx="1993">
                  <c:v>52995</c:v>
                </c:pt>
                <c:pt idx="1994">
                  <c:v>53002</c:v>
                </c:pt>
                <c:pt idx="1995">
                  <c:v>53009</c:v>
                </c:pt>
                <c:pt idx="1996">
                  <c:v>53016</c:v>
                </c:pt>
                <c:pt idx="1997">
                  <c:v>53023</c:v>
                </c:pt>
                <c:pt idx="1998">
                  <c:v>53030</c:v>
                </c:pt>
                <c:pt idx="1999">
                  <c:v>53037</c:v>
                </c:pt>
                <c:pt idx="2000">
                  <c:v>53044</c:v>
                </c:pt>
                <c:pt idx="2001">
                  <c:v>53051</c:v>
                </c:pt>
                <c:pt idx="2002">
                  <c:v>53058</c:v>
                </c:pt>
                <c:pt idx="2003">
                  <c:v>53065</c:v>
                </c:pt>
                <c:pt idx="2004">
                  <c:v>53072</c:v>
                </c:pt>
                <c:pt idx="2005">
                  <c:v>53079</c:v>
                </c:pt>
                <c:pt idx="2006">
                  <c:v>53086</c:v>
                </c:pt>
                <c:pt idx="2007">
                  <c:v>53093</c:v>
                </c:pt>
                <c:pt idx="2008">
                  <c:v>53100</c:v>
                </c:pt>
                <c:pt idx="2009">
                  <c:v>53107</c:v>
                </c:pt>
                <c:pt idx="2010">
                  <c:v>53114</c:v>
                </c:pt>
                <c:pt idx="2011">
                  <c:v>53121</c:v>
                </c:pt>
                <c:pt idx="2012">
                  <c:v>53128</c:v>
                </c:pt>
                <c:pt idx="2013">
                  <c:v>53135</c:v>
                </c:pt>
                <c:pt idx="2014">
                  <c:v>53142</c:v>
                </c:pt>
                <c:pt idx="2015">
                  <c:v>53149</c:v>
                </c:pt>
                <c:pt idx="2016">
                  <c:v>53156</c:v>
                </c:pt>
                <c:pt idx="2017">
                  <c:v>53163</c:v>
                </c:pt>
                <c:pt idx="2018">
                  <c:v>53170</c:v>
                </c:pt>
                <c:pt idx="2019">
                  <c:v>53177</c:v>
                </c:pt>
                <c:pt idx="2020">
                  <c:v>53184</c:v>
                </c:pt>
                <c:pt idx="2021">
                  <c:v>53191</c:v>
                </c:pt>
                <c:pt idx="2022">
                  <c:v>53198</c:v>
                </c:pt>
                <c:pt idx="2023">
                  <c:v>53205</c:v>
                </c:pt>
                <c:pt idx="2024">
                  <c:v>53212</c:v>
                </c:pt>
                <c:pt idx="2025">
                  <c:v>53219</c:v>
                </c:pt>
                <c:pt idx="2026">
                  <c:v>53226</c:v>
                </c:pt>
                <c:pt idx="2027">
                  <c:v>53233</c:v>
                </c:pt>
                <c:pt idx="2028">
                  <c:v>53240</c:v>
                </c:pt>
                <c:pt idx="2029">
                  <c:v>53247</c:v>
                </c:pt>
                <c:pt idx="2030">
                  <c:v>53254</c:v>
                </c:pt>
                <c:pt idx="2031">
                  <c:v>53261</c:v>
                </c:pt>
                <c:pt idx="2032">
                  <c:v>53268</c:v>
                </c:pt>
                <c:pt idx="2033">
                  <c:v>53275</c:v>
                </c:pt>
                <c:pt idx="2034">
                  <c:v>53282</c:v>
                </c:pt>
                <c:pt idx="2035">
                  <c:v>53289</c:v>
                </c:pt>
                <c:pt idx="2036">
                  <c:v>53296</c:v>
                </c:pt>
                <c:pt idx="2037">
                  <c:v>53303</c:v>
                </c:pt>
                <c:pt idx="2038">
                  <c:v>53310</c:v>
                </c:pt>
                <c:pt idx="2039">
                  <c:v>53317</c:v>
                </c:pt>
                <c:pt idx="2040">
                  <c:v>53325</c:v>
                </c:pt>
                <c:pt idx="2041">
                  <c:v>53332</c:v>
                </c:pt>
                <c:pt idx="2042">
                  <c:v>53339</c:v>
                </c:pt>
                <c:pt idx="2043">
                  <c:v>53346</c:v>
                </c:pt>
                <c:pt idx="2044">
                  <c:v>53353</c:v>
                </c:pt>
                <c:pt idx="2045">
                  <c:v>53360</c:v>
                </c:pt>
                <c:pt idx="2046">
                  <c:v>53367</c:v>
                </c:pt>
                <c:pt idx="2047">
                  <c:v>53374</c:v>
                </c:pt>
                <c:pt idx="2048">
                  <c:v>53381</c:v>
                </c:pt>
                <c:pt idx="2049">
                  <c:v>53388</c:v>
                </c:pt>
                <c:pt idx="2050">
                  <c:v>53395</c:v>
                </c:pt>
                <c:pt idx="2051">
                  <c:v>53402</c:v>
                </c:pt>
                <c:pt idx="2052">
                  <c:v>53413</c:v>
                </c:pt>
                <c:pt idx="2053">
                  <c:v>53416</c:v>
                </c:pt>
                <c:pt idx="2054">
                  <c:v>53423</c:v>
                </c:pt>
                <c:pt idx="2055">
                  <c:v>53430</c:v>
                </c:pt>
                <c:pt idx="2056">
                  <c:v>53437</c:v>
                </c:pt>
                <c:pt idx="2057">
                  <c:v>53444</c:v>
                </c:pt>
                <c:pt idx="2058">
                  <c:v>53451</c:v>
                </c:pt>
                <c:pt idx="2059">
                  <c:v>53458</c:v>
                </c:pt>
                <c:pt idx="2060">
                  <c:v>53465</c:v>
                </c:pt>
                <c:pt idx="2061">
                  <c:v>53472</c:v>
                </c:pt>
                <c:pt idx="2062">
                  <c:v>53479</c:v>
                </c:pt>
                <c:pt idx="2063">
                  <c:v>53486</c:v>
                </c:pt>
                <c:pt idx="2064">
                  <c:v>53493</c:v>
                </c:pt>
                <c:pt idx="2065">
                  <c:v>53500</c:v>
                </c:pt>
                <c:pt idx="2066">
                  <c:v>53507</c:v>
                </c:pt>
                <c:pt idx="2067">
                  <c:v>53514</c:v>
                </c:pt>
                <c:pt idx="2068">
                  <c:v>53521</c:v>
                </c:pt>
                <c:pt idx="2069">
                  <c:v>53528</c:v>
                </c:pt>
                <c:pt idx="2070">
                  <c:v>53535</c:v>
                </c:pt>
                <c:pt idx="2071">
                  <c:v>53542</c:v>
                </c:pt>
                <c:pt idx="2072">
                  <c:v>53549</c:v>
                </c:pt>
                <c:pt idx="2073">
                  <c:v>53556</c:v>
                </c:pt>
                <c:pt idx="2074">
                  <c:v>53563</c:v>
                </c:pt>
                <c:pt idx="2075">
                  <c:v>53570</c:v>
                </c:pt>
                <c:pt idx="2076">
                  <c:v>53577</c:v>
                </c:pt>
                <c:pt idx="2077">
                  <c:v>53584</c:v>
                </c:pt>
                <c:pt idx="2078">
                  <c:v>53591</c:v>
                </c:pt>
                <c:pt idx="2079">
                  <c:v>53598</c:v>
                </c:pt>
                <c:pt idx="2080">
                  <c:v>53605</c:v>
                </c:pt>
                <c:pt idx="2081">
                  <c:v>53612</c:v>
                </c:pt>
                <c:pt idx="2082">
                  <c:v>53619</c:v>
                </c:pt>
                <c:pt idx="2083">
                  <c:v>53626</c:v>
                </c:pt>
                <c:pt idx="2084">
                  <c:v>53633</c:v>
                </c:pt>
                <c:pt idx="2085">
                  <c:v>53640</c:v>
                </c:pt>
                <c:pt idx="2086">
                  <c:v>53647</c:v>
                </c:pt>
                <c:pt idx="2087">
                  <c:v>53654</c:v>
                </c:pt>
                <c:pt idx="2088">
                  <c:v>53661</c:v>
                </c:pt>
                <c:pt idx="2089">
                  <c:v>53668</c:v>
                </c:pt>
                <c:pt idx="2090">
                  <c:v>53675</c:v>
                </c:pt>
                <c:pt idx="2091">
                  <c:v>53682</c:v>
                </c:pt>
                <c:pt idx="2092">
                  <c:v>53692</c:v>
                </c:pt>
                <c:pt idx="2093">
                  <c:v>53699</c:v>
                </c:pt>
                <c:pt idx="2094">
                  <c:v>53706</c:v>
                </c:pt>
                <c:pt idx="2095">
                  <c:v>53713</c:v>
                </c:pt>
                <c:pt idx="2096">
                  <c:v>53720</c:v>
                </c:pt>
                <c:pt idx="2097">
                  <c:v>53727</c:v>
                </c:pt>
                <c:pt idx="2098">
                  <c:v>53734</c:v>
                </c:pt>
                <c:pt idx="2099">
                  <c:v>53741</c:v>
                </c:pt>
                <c:pt idx="2100">
                  <c:v>53748</c:v>
                </c:pt>
                <c:pt idx="2101">
                  <c:v>53755</c:v>
                </c:pt>
                <c:pt idx="2102">
                  <c:v>53762</c:v>
                </c:pt>
                <c:pt idx="2103">
                  <c:v>53769</c:v>
                </c:pt>
                <c:pt idx="2104">
                  <c:v>53776</c:v>
                </c:pt>
                <c:pt idx="2105">
                  <c:v>53783</c:v>
                </c:pt>
                <c:pt idx="2106">
                  <c:v>53790</c:v>
                </c:pt>
                <c:pt idx="2107">
                  <c:v>53799</c:v>
                </c:pt>
                <c:pt idx="2108">
                  <c:v>53804</c:v>
                </c:pt>
                <c:pt idx="2109">
                  <c:v>53811</c:v>
                </c:pt>
                <c:pt idx="2110">
                  <c:v>53818</c:v>
                </c:pt>
                <c:pt idx="2111">
                  <c:v>53825</c:v>
                </c:pt>
                <c:pt idx="2112">
                  <c:v>53832</c:v>
                </c:pt>
                <c:pt idx="2113">
                  <c:v>53839</c:v>
                </c:pt>
                <c:pt idx="2114">
                  <c:v>53846</c:v>
                </c:pt>
                <c:pt idx="2115">
                  <c:v>53853</c:v>
                </c:pt>
                <c:pt idx="2116">
                  <c:v>53860</c:v>
                </c:pt>
                <c:pt idx="2117">
                  <c:v>53867</c:v>
                </c:pt>
                <c:pt idx="2118">
                  <c:v>53874</c:v>
                </c:pt>
                <c:pt idx="2119">
                  <c:v>53881</c:v>
                </c:pt>
                <c:pt idx="2120">
                  <c:v>53888</c:v>
                </c:pt>
                <c:pt idx="2121">
                  <c:v>53895</c:v>
                </c:pt>
                <c:pt idx="2122">
                  <c:v>53902</c:v>
                </c:pt>
                <c:pt idx="2123">
                  <c:v>53909</c:v>
                </c:pt>
                <c:pt idx="2124">
                  <c:v>53916</c:v>
                </c:pt>
                <c:pt idx="2125">
                  <c:v>53923</c:v>
                </c:pt>
                <c:pt idx="2126">
                  <c:v>53930</c:v>
                </c:pt>
                <c:pt idx="2127">
                  <c:v>53937</c:v>
                </c:pt>
                <c:pt idx="2128">
                  <c:v>53944</c:v>
                </c:pt>
                <c:pt idx="2129">
                  <c:v>53951</c:v>
                </c:pt>
                <c:pt idx="2130">
                  <c:v>53958</c:v>
                </c:pt>
                <c:pt idx="2131">
                  <c:v>53965</c:v>
                </c:pt>
                <c:pt idx="2132">
                  <c:v>53972</c:v>
                </c:pt>
                <c:pt idx="2133">
                  <c:v>53979</c:v>
                </c:pt>
                <c:pt idx="2134">
                  <c:v>53986</c:v>
                </c:pt>
                <c:pt idx="2135">
                  <c:v>53993</c:v>
                </c:pt>
                <c:pt idx="2136">
                  <c:v>54000</c:v>
                </c:pt>
                <c:pt idx="2137">
                  <c:v>54007</c:v>
                </c:pt>
                <c:pt idx="2138">
                  <c:v>54014</c:v>
                </c:pt>
                <c:pt idx="2139">
                  <c:v>54021</c:v>
                </c:pt>
                <c:pt idx="2140">
                  <c:v>54028</c:v>
                </c:pt>
                <c:pt idx="2141">
                  <c:v>54035</c:v>
                </c:pt>
                <c:pt idx="2142">
                  <c:v>54042</c:v>
                </c:pt>
                <c:pt idx="2143">
                  <c:v>54049</c:v>
                </c:pt>
                <c:pt idx="2144">
                  <c:v>54057</c:v>
                </c:pt>
                <c:pt idx="2145">
                  <c:v>54064</c:v>
                </c:pt>
                <c:pt idx="2146">
                  <c:v>54071</c:v>
                </c:pt>
                <c:pt idx="2147">
                  <c:v>54078</c:v>
                </c:pt>
                <c:pt idx="2148">
                  <c:v>54085</c:v>
                </c:pt>
                <c:pt idx="2149">
                  <c:v>54092</c:v>
                </c:pt>
                <c:pt idx="2150">
                  <c:v>54099</c:v>
                </c:pt>
                <c:pt idx="2151">
                  <c:v>54106</c:v>
                </c:pt>
                <c:pt idx="2152">
                  <c:v>54113</c:v>
                </c:pt>
                <c:pt idx="2153">
                  <c:v>54120</c:v>
                </c:pt>
                <c:pt idx="2154">
                  <c:v>54127</c:v>
                </c:pt>
                <c:pt idx="2155">
                  <c:v>54134</c:v>
                </c:pt>
                <c:pt idx="2156">
                  <c:v>54141</c:v>
                </c:pt>
                <c:pt idx="2157">
                  <c:v>54148</c:v>
                </c:pt>
                <c:pt idx="2158">
                  <c:v>54157</c:v>
                </c:pt>
                <c:pt idx="2159">
                  <c:v>54164</c:v>
                </c:pt>
                <c:pt idx="2160">
                  <c:v>54171</c:v>
                </c:pt>
                <c:pt idx="2161">
                  <c:v>54178</c:v>
                </c:pt>
                <c:pt idx="2162">
                  <c:v>54185</c:v>
                </c:pt>
                <c:pt idx="2163">
                  <c:v>54192</c:v>
                </c:pt>
                <c:pt idx="2164">
                  <c:v>54199</c:v>
                </c:pt>
                <c:pt idx="2165">
                  <c:v>54206</c:v>
                </c:pt>
                <c:pt idx="2166">
                  <c:v>54213</c:v>
                </c:pt>
                <c:pt idx="2167">
                  <c:v>54220</c:v>
                </c:pt>
                <c:pt idx="2168">
                  <c:v>54227</c:v>
                </c:pt>
                <c:pt idx="2169">
                  <c:v>54234</c:v>
                </c:pt>
                <c:pt idx="2170">
                  <c:v>54241</c:v>
                </c:pt>
                <c:pt idx="2171">
                  <c:v>54248</c:v>
                </c:pt>
                <c:pt idx="2172">
                  <c:v>54255</c:v>
                </c:pt>
                <c:pt idx="2173">
                  <c:v>54262</c:v>
                </c:pt>
                <c:pt idx="2174">
                  <c:v>54269</c:v>
                </c:pt>
                <c:pt idx="2175">
                  <c:v>54276</c:v>
                </c:pt>
                <c:pt idx="2176">
                  <c:v>54283</c:v>
                </c:pt>
                <c:pt idx="2177">
                  <c:v>54290</c:v>
                </c:pt>
                <c:pt idx="2178">
                  <c:v>54297</c:v>
                </c:pt>
                <c:pt idx="2179">
                  <c:v>54304</c:v>
                </c:pt>
                <c:pt idx="2180">
                  <c:v>54311</c:v>
                </c:pt>
                <c:pt idx="2181">
                  <c:v>54318</c:v>
                </c:pt>
                <c:pt idx="2182">
                  <c:v>54325</c:v>
                </c:pt>
                <c:pt idx="2183">
                  <c:v>54332</c:v>
                </c:pt>
                <c:pt idx="2184">
                  <c:v>54339</c:v>
                </c:pt>
                <c:pt idx="2185">
                  <c:v>54346</c:v>
                </c:pt>
                <c:pt idx="2186">
                  <c:v>54353</c:v>
                </c:pt>
                <c:pt idx="2187">
                  <c:v>54360</c:v>
                </c:pt>
                <c:pt idx="2188">
                  <c:v>54367</c:v>
                </c:pt>
                <c:pt idx="2189">
                  <c:v>54374</c:v>
                </c:pt>
                <c:pt idx="2190">
                  <c:v>54381</c:v>
                </c:pt>
                <c:pt idx="2191">
                  <c:v>54388</c:v>
                </c:pt>
                <c:pt idx="2192">
                  <c:v>54395</c:v>
                </c:pt>
                <c:pt idx="2193">
                  <c:v>54402</c:v>
                </c:pt>
                <c:pt idx="2194">
                  <c:v>54409</c:v>
                </c:pt>
                <c:pt idx="2195">
                  <c:v>54416</c:v>
                </c:pt>
                <c:pt idx="2196">
                  <c:v>54423</c:v>
                </c:pt>
                <c:pt idx="2197">
                  <c:v>54430</c:v>
                </c:pt>
                <c:pt idx="2198">
                  <c:v>54437</c:v>
                </c:pt>
                <c:pt idx="2199">
                  <c:v>54444</c:v>
                </c:pt>
                <c:pt idx="2200">
                  <c:v>54451</c:v>
                </c:pt>
                <c:pt idx="2201">
                  <c:v>54458</c:v>
                </c:pt>
                <c:pt idx="2202">
                  <c:v>54465</c:v>
                </c:pt>
                <c:pt idx="2203">
                  <c:v>54472</c:v>
                </c:pt>
                <c:pt idx="2204">
                  <c:v>54479</c:v>
                </c:pt>
                <c:pt idx="2205">
                  <c:v>54486</c:v>
                </c:pt>
                <c:pt idx="2206">
                  <c:v>54493</c:v>
                </c:pt>
                <c:pt idx="2207">
                  <c:v>54500</c:v>
                </c:pt>
                <c:pt idx="2208">
                  <c:v>54507</c:v>
                </c:pt>
                <c:pt idx="2209">
                  <c:v>54514</c:v>
                </c:pt>
                <c:pt idx="2210">
                  <c:v>54521</c:v>
                </c:pt>
                <c:pt idx="2211">
                  <c:v>54528</c:v>
                </c:pt>
                <c:pt idx="2212">
                  <c:v>54535</c:v>
                </c:pt>
                <c:pt idx="2213">
                  <c:v>54542</c:v>
                </c:pt>
                <c:pt idx="2214">
                  <c:v>54549</c:v>
                </c:pt>
                <c:pt idx="2215">
                  <c:v>54556</c:v>
                </c:pt>
                <c:pt idx="2216">
                  <c:v>54563</c:v>
                </c:pt>
                <c:pt idx="2217">
                  <c:v>54570</c:v>
                </c:pt>
                <c:pt idx="2218">
                  <c:v>54577</c:v>
                </c:pt>
                <c:pt idx="2219">
                  <c:v>54584</c:v>
                </c:pt>
                <c:pt idx="2220">
                  <c:v>54591</c:v>
                </c:pt>
                <c:pt idx="2221">
                  <c:v>54598</c:v>
                </c:pt>
                <c:pt idx="2222">
                  <c:v>54605</c:v>
                </c:pt>
                <c:pt idx="2223">
                  <c:v>54612</c:v>
                </c:pt>
                <c:pt idx="2224">
                  <c:v>54619</c:v>
                </c:pt>
                <c:pt idx="2225">
                  <c:v>54626</c:v>
                </c:pt>
                <c:pt idx="2226">
                  <c:v>54633</c:v>
                </c:pt>
                <c:pt idx="2227">
                  <c:v>54640</c:v>
                </c:pt>
                <c:pt idx="2228">
                  <c:v>54647</c:v>
                </c:pt>
                <c:pt idx="2229">
                  <c:v>54654</c:v>
                </c:pt>
                <c:pt idx="2230">
                  <c:v>54661</c:v>
                </c:pt>
                <c:pt idx="2231">
                  <c:v>54668</c:v>
                </c:pt>
                <c:pt idx="2232">
                  <c:v>54675</c:v>
                </c:pt>
                <c:pt idx="2233">
                  <c:v>54682</c:v>
                </c:pt>
                <c:pt idx="2234">
                  <c:v>54689</c:v>
                </c:pt>
                <c:pt idx="2235">
                  <c:v>54696</c:v>
                </c:pt>
                <c:pt idx="2236">
                  <c:v>54703</c:v>
                </c:pt>
                <c:pt idx="2237">
                  <c:v>54710</c:v>
                </c:pt>
                <c:pt idx="2238">
                  <c:v>54717</c:v>
                </c:pt>
                <c:pt idx="2239">
                  <c:v>54724</c:v>
                </c:pt>
                <c:pt idx="2240">
                  <c:v>54731</c:v>
                </c:pt>
                <c:pt idx="2241">
                  <c:v>54738</c:v>
                </c:pt>
                <c:pt idx="2242">
                  <c:v>54745</c:v>
                </c:pt>
                <c:pt idx="2243">
                  <c:v>54752</c:v>
                </c:pt>
                <c:pt idx="2244">
                  <c:v>54759</c:v>
                </c:pt>
                <c:pt idx="2245">
                  <c:v>54766</c:v>
                </c:pt>
                <c:pt idx="2246">
                  <c:v>54773</c:v>
                </c:pt>
                <c:pt idx="2247">
                  <c:v>54780</c:v>
                </c:pt>
                <c:pt idx="2248">
                  <c:v>54787</c:v>
                </c:pt>
                <c:pt idx="2249">
                  <c:v>54794</c:v>
                </c:pt>
                <c:pt idx="2250">
                  <c:v>54801</c:v>
                </c:pt>
                <c:pt idx="2251">
                  <c:v>54808</c:v>
                </c:pt>
                <c:pt idx="2252">
                  <c:v>54815</c:v>
                </c:pt>
                <c:pt idx="2253">
                  <c:v>54822</c:v>
                </c:pt>
                <c:pt idx="2254">
                  <c:v>54829</c:v>
                </c:pt>
                <c:pt idx="2255">
                  <c:v>54836</c:v>
                </c:pt>
                <c:pt idx="2256">
                  <c:v>54843</c:v>
                </c:pt>
                <c:pt idx="2257">
                  <c:v>54850</c:v>
                </c:pt>
                <c:pt idx="2258">
                  <c:v>54857</c:v>
                </c:pt>
                <c:pt idx="2259">
                  <c:v>54864</c:v>
                </c:pt>
                <c:pt idx="2260">
                  <c:v>54871</c:v>
                </c:pt>
                <c:pt idx="2261">
                  <c:v>54878</c:v>
                </c:pt>
                <c:pt idx="2262">
                  <c:v>54885</c:v>
                </c:pt>
                <c:pt idx="2263">
                  <c:v>54892</c:v>
                </c:pt>
                <c:pt idx="2264">
                  <c:v>54899</c:v>
                </c:pt>
                <c:pt idx="2265">
                  <c:v>54906</c:v>
                </c:pt>
                <c:pt idx="2266">
                  <c:v>54913</c:v>
                </c:pt>
                <c:pt idx="2267">
                  <c:v>54920</c:v>
                </c:pt>
                <c:pt idx="2268">
                  <c:v>54927</c:v>
                </c:pt>
                <c:pt idx="2269">
                  <c:v>54934</c:v>
                </c:pt>
                <c:pt idx="2270">
                  <c:v>54941</c:v>
                </c:pt>
                <c:pt idx="2271">
                  <c:v>54948</c:v>
                </c:pt>
                <c:pt idx="2272">
                  <c:v>54955</c:v>
                </c:pt>
                <c:pt idx="2273">
                  <c:v>54962</c:v>
                </c:pt>
                <c:pt idx="2274">
                  <c:v>54969</c:v>
                </c:pt>
                <c:pt idx="2275">
                  <c:v>54976</c:v>
                </c:pt>
                <c:pt idx="2276">
                  <c:v>54983</c:v>
                </c:pt>
                <c:pt idx="2277">
                  <c:v>54990</c:v>
                </c:pt>
                <c:pt idx="2278">
                  <c:v>54997</c:v>
                </c:pt>
                <c:pt idx="2279">
                  <c:v>55004</c:v>
                </c:pt>
                <c:pt idx="2280">
                  <c:v>55011</c:v>
                </c:pt>
                <c:pt idx="2281">
                  <c:v>55018</c:v>
                </c:pt>
                <c:pt idx="2282">
                  <c:v>55025</c:v>
                </c:pt>
                <c:pt idx="2283">
                  <c:v>55032</c:v>
                </c:pt>
                <c:pt idx="2284">
                  <c:v>55039</c:v>
                </c:pt>
                <c:pt idx="2285">
                  <c:v>55046</c:v>
                </c:pt>
                <c:pt idx="2286">
                  <c:v>55053</c:v>
                </c:pt>
                <c:pt idx="2287">
                  <c:v>55060</c:v>
                </c:pt>
                <c:pt idx="2288">
                  <c:v>55067</c:v>
                </c:pt>
                <c:pt idx="2289">
                  <c:v>55074</c:v>
                </c:pt>
                <c:pt idx="2290">
                  <c:v>55081</c:v>
                </c:pt>
                <c:pt idx="2291">
                  <c:v>55088</c:v>
                </c:pt>
                <c:pt idx="2292">
                  <c:v>55095</c:v>
                </c:pt>
                <c:pt idx="2293">
                  <c:v>55102</c:v>
                </c:pt>
                <c:pt idx="2294">
                  <c:v>55109</c:v>
                </c:pt>
                <c:pt idx="2295">
                  <c:v>55116</c:v>
                </c:pt>
                <c:pt idx="2296">
                  <c:v>55123</c:v>
                </c:pt>
                <c:pt idx="2297">
                  <c:v>55130</c:v>
                </c:pt>
                <c:pt idx="2298">
                  <c:v>55137</c:v>
                </c:pt>
                <c:pt idx="2299">
                  <c:v>55144</c:v>
                </c:pt>
                <c:pt idx="2300">
                  <c:v>55151</c:v>
                </c:pt>
                <c:pt idx="2301">
                  <c:v>55158</c:v>
                </c:pt>
                <c:pt idx="2302">
                  <c:v>55165</c:v>
                </c:pt>
                <c:pt idx="2303">
                  <c:v>55172</c:v>
                </c:pt>
                <c:pt idx="2304">
                  <c:v>55179</c:v>
                </c:pt>
                <c:pt idx="2305">
                  <c:v>55186</c:v>
                </c:pt>
                <c:pt idx="2306">
                  <c:v>55193</c:v>
                </c:pt>
                <c:pt idx="2307">
                  <c:v>55200</c:v>
                </c:pt>
                <c:pt idx="2308">
                  <c:v>55207</c:v>
                </c:pt>
                <c:pt idx="2309">
                  <c:v>55214</c:v>
                </c:pt>
                <c:pt idx="2310">
                  <c:v>55221</c:v>
                </c:pt>
                <c:pt idx="2311">
                  <c:v>55228</c:v>
                </c:pt>
                <c:pt idx="2312">
                  <c:v>55235</c:v>
                </c:pt>
                <c:pt idx="2313">
                  <c:v>55242</c:v>
                </c:pt>
                <c:pt idx="2314">
                  <c:v>55249</c:v>
                </c:pt>
                <c:pt idx="2315">
                  <c:v>55256</c:v>
                </c:pt>
                <c:pt idx="2316">
                  <c:v>55263</c:v>
                </c:pt>
                <c:pt idx="2317">
                  <c:v>55270</c:v>
                </c:pt>
                <c:pt idx="2318">
                  <c:v>55277</c:v>
                </c:pt>
                <c:pt idx="2319">
                  <c:v>55284</c:v>
                </c:pt>
                <c:pt idx="2320">
                  <c:v>55291</c:v>
                </c:pt>
                <c:pt idx="2321">
                  <c:v>55298</c:v>
                </c:pt>
                <c:pt idx="2322">
                  <c:v>55305</c:v>
                </c:pt>
                <c:pt idx="2323">
                  <c:v>55312</c:v>
                </c:pt>
                <c:pt idx="2324">
                  <c:v>55319</c:v>
                </c:pt>
                <c:pt idx="2325">
                  <c:v>55326</c:v>
                </c:pt>
                <c:pt idx="2326">
                  <c:v>55333</c:v>
                </c:pt>
                <c:pt idx="2327">
                  <c:v>55340</c:v>
                </c:pt>
                <c:pt idx="2328">
                  <c:v>55347</c:v>
                </c:pt>
                <c:pt idx="2329">
                  <c:v>55354</c:v>
                </c:pt>
                <c:pt idx="2330">
                  <c:v>55361</c:v>
                </c:pt>
                <c:pt idx="2331">
                  <c:v>55368</c:v>
                </c:pt>
                <c:pt idx="2332">
                  <c:v>55375</c:v>
                </c:pt>
                <c:pt idx="2333">
                  <c:v>55382</c:v>
                </c:pt>
                <c:pt idx="2334">
                  <c:v>55389</c:v>
                </c:pt>
                <c:pt idx="2335">
                  <c:v>55396</c:v>
                </c:pt>
                <c:pt idx="2336">
                  <c:v>55403</c:v>
                </c:pt>
                <c:pt idx="2337">
                  <c:v>55410</c:v>
                </c:pt>
                <c:pt idx="2338">
                  <c:v>55417</c:v>
                </c:pt>
                <c:pt idx="2339">
                  <c:v>55424</c:v>
                </c:pt>
                <c:pt idx="2340">
                  <c:v>55431</c:v>
                </c:pt>
                <c:pt idx="2341">
                  <c:v>55438</c:v>
                </c:pt>
                <c:pt idx="2342">
                  <c:v>55445</c:v>
                </c:pt>
                <c:pt idx="2343">
                  <c:v>55452</c:v>
                </c:pt>
                <c:pt idx="2344">
                  <c:v>55459</c:v>
                </c:pt>
                <c:pt idx="2345">
                  <c:v>55466</c:v>
                </c:pt>
                <c:pt idx="2346">
                  <c:v>55473</c:v>
                </c:pt>
                <c:pt idx="2347">
                  <c:v>55480</c:v>
                </c:pt>
                <c:pt idx="2348">
                  <c:v>55487</c:v>
                </c:pt>
                <c:pt idx="2349">
                  <c:v>55494</c:v>
                </c:pt>
                <c:pt idx="2350">
                  <c:v>55501</c:v>
                </c:pt>
                <c:pt idx="2351">
                  <c:v>55508</c:v>
                </c:pt>
                <c:pt idx="2352">
                  <c:v>55516</c:v>
                </c:pt>
                <c:pt idx="2353">
                  <c:v>55523</c:v>
                </c:pt>
                <c:pt idx="2354">
                  <c:v>55530</c:v>
                </c:pt>
                <c:pt idx="2355">
                  <c:v>55537</c:v>
                </c:pt>
                <c:pt idx="2356">
                  <c:v>55544</c:v>
                </c:pt>
                <c:pt idx="2357">
                  <c:v>55551</c:v>
                </c:pt>
                <c:pt idx="2358">
                  <c:v>55558</c:v>
                </c:pt>
                <c:pt idx="2359">
                  <c:v>55565</c:v>
                </c:pt>
                <c:pt idx="2360">
                  <c:v>55572</c:v>
                </c:pt>
                <c:pt idx="2361">
                  <c:v>55579</c:v>
                </c:pt>
                <c:pt idx="2362">
                  <c:v>55586</c:v>
                </c:pt>
                <c:pt idx="2363">
                  <c:v>55593</c:v>
                </c:pt>
                <c:pt idx="2364">
                  <c:v>55600</c:v>
                </c:pt>
                <c:pt idx="2365">
                  <c:v>55607</c:v>
                </c:pt>
                <c:pt idx="2366">
                  <c:v>55614</c:v>
                </c:pt>
                <c:pt idx="2367">
                  <c:v>55621</c:v>
                </c:pt>
                <c:pt idx="2368">
                  <c:v>55632</c:v>
                </c:pt>
                <c:pt idx="2369">
                  <c:v>55635</c:v>
                </c:pt>
                <c:pt idx="2370">
                  <c:v>55645</c:v>
                </c:pt>
                <c:pt idx="2371">
                  <c:v>55652</c:v>
                </c:pt>
                <c:pt idx="2372">
                  <c:v>55659</c:v>
                </c:pt>
                <c:pt idx="2373">
                  <c:v>55666</c:v>
                </c:pt>
                <c:pt idx="2374">
                  <c:v>55673</c:v>
                </c:pt>
                <c:pt idx="2375">
                  <c:v>55680</c:v>
                </c:pt>
                <c:pt idx="2376">
                  <c:v>55687</c:v>
                </c:pt>
                <c:pt idx="2377">
                  <c:v>55694</c:v>
                </c:pt>
                <c:pt idx="2378">
                  <c:v>55701</c:v>
                </c:pt>
                <c:pt idx="2379">
                  <c:v>55708</c:v>
                </c:pt>
                <c:pt idx="2380">
                  <c:v>55715</c:v>
                </c:pt>
                <c:pt idx="2381">
                  <c:v>55722</c:v>
                </c:pt>
                <c:pt idx="2382">
                  <c:v>55729</c:v>
                </c:pt>
                <c:pt idx="2383">
                  <c:v>55736</c:v>
                </c:pt>
                <c:pt idx="2384">
                  <c:v>55743</c:v>
                </c:pt>
                <c:pt idx="2385">
                  <c:v>55750</c:v>
                </c:pt>
                <c:pt idx="2386">
                  <c:v>55757</c:v>
                </c:pt>
                <c:pt idx="2387">
                  <c:v>55764</c:v>
                </c:pt>
                <c:pt idx="2388">
                  <c:v>55771</c:v>
                </c:pt>
                <c:pt idx="2389">
                  <c:v>55778</c:v>
                </c:pt>
                <c:pt idx="2390">
                  <c:v>55785</c:v>
                </c:pt>
                <c:pt idx="2391">
                  <c:v>55792</c:v>
                </c:pt>
                <c:pt idx="2392">
                  <c:v>55799</c:v>
                </c:pt>
                <c:pt idx="2393">
                  <c:v>55806</c:v>
                </c:pt>
                <c:pt idx="2394">
                  <c:v>55813</c:v>
                </c:pt>
                <c:pt idx="2395">
                  <c:v>55820</c:v>
                </c:pt>
                <c:pt idx="2396">
                  <c:v>55827</c:v>
                </c:pt>
                <c:pt idx="2397">
                  <c:v>55834</c:v>
                </c:pt>
                <c:pt idx="2398">
                  <c:v>55841</c:v>
                </c:pt>
                <c:pt idx="2399">
                  <c:v>55848</c:v>
                </c:pt>
                <c:pt idx="2400">
                  <c:v>55855</c:v>
                </c:pt>
                <c:pt idx="2401">
                  <c:v>55862</c:v>
                </c:pt>
                <c:pt idx="2402">
                  <c:v>55869</c:v>
                </c:pt>
                <c:pt idx="2403">
                  <c:v>55876</c:v>
                </c:pt>
                <c:pt idx="2404">
                  <c:v>55884</c:v>
                </c:pt>
                <c:pt idx="2405">
                  <c:v>55891</c:v>
                </c:pt>
                <c:pt idx="2406">
                  <c:v>55898</c:v>
                </c:pt>
                <c:pt idx="2407">
                  <c:v>55905</c:v>
                </c:pt>
                <c:pt idx="2408">
                  <c:v>55912</c:v>
                </c:pt>
                <c:pt idx="2409">
                  <c:v>55919</c:v>
                </c:pt>
                <c:pt idx="2410">
                  <c:v>55926</c:v>
                </c:pt>
                <c:pt idx="2411">
                  <c:v>55933</c:v>
                </c:pt>
                <c:pt idx="2412">
                  <c:v>55940</c:v>
                </c:pt>
                <c:pt idx="2413">
                  <c:v>55947</c:v>
                </c:pt>
                <c:pt idx="2414">
                  <c:v>55954</c:v>
                </c:pt>
                <c:pt idx="2415">
                  <c:v>55961</c:v>
                </c:pt>
                <c:pt idx="2416">
                  <c:v>55968</c:v>
                </c:pt>
                <c:pt idx="2417">
                  <c:v>55975</c:v>
                </c:pt>
                <c:pt idx="2418">
                  <c:v>55984</c:v>
                </c:pt>
                <c:pt idx="2419">
                  <c:v>55991</c:v>
                </c:pt>
                <c:pt idx="2420">
                  <c:v>55998</c:v>
                </c:pt>
                <c:pt idx="2421">
                  <c:v>56006</c:v>
                </c:pt>
                <c:pt idx="2422">
                  <c:v>56012</c:v>
                </c:pt>
                <c:pt idx="2423">
                  <c:v>56019</c:v>
                </c:pt>
                <c:pt idx="2424">
                  <c:v>56026</c:v>
                </c:pt>
                <c:pt idx="2425">
                  <c:v>56033</c:v>
                </c:pt>
                <c:pt idx="2426">
                  <c:v>56040</c:v>
                </c:pt>
                <c:pt idx="2427">
                  <c:v>56047</c:v>
                </c:pt>
                <c:pt idx="2428">
                  <c:v>56054</c:v>
                </c:pt>
                <c:pt idx="2429">
                  <c:v>56061</c:v>
                </c:pt>
                <c:pt idx="2430">
                  <c:v>56068</c:v>
                </c:pt>
                <c:pt idx="2431">
                  <c:v>56075</c:v>
                </c:pt>
                <c:pt idx="2432">
                  <c:v>56082</c:v>
                </c:pt>
                <c:pt idx="2433">
                  <c:v>56089</c:v>
                </c:pt>
                <c:pt idx="2434">
                  <c:v>56096</c:v>
                </c:pt>
                <c:pt idx="2435">
                  <c:v>56103</c:v>
                </c:pt>
                <c:pt idx="2436">
                  <c:v>56110</c:v>
                </c:pt>
                <c:pt idx="2437">
                  <c:v>56117</c:v>
                </c:pt>
                <c:pt idx="2438">
                  <c:v>56124</c:v>
                </c:pt>
                <c:pt idx="2439">
                  <c:v>56131</c:v>
                </c:pt>
                <c:pt idx="2440">
                  <c:v>56138</c:v>
                </c:pt>
                <c:pt idx="2441">
                  <c:v>56145</c:v>
                </c:pt>
                <c:pt idx="2442">
                  <c:v>56152</c:v>
                </c:pt>
                <c:pt idx="2443">
                  <c:v>56159</c:v>
                </c:pt>
                <c:pt idx="2444">
                  <c:v>56166</c:v>
                </c:pt>
                <c:pt idx="2445">
                  <c:v>56173</c:v>
                </c:pt>
                <c:pt idx="2446">
                  <c:v>56180</c:v>
                </c:pt>
                <c:pt idx="2447">
                  <c:v>56187</c:v>
                </c:pt>
                <c:pt idx="2448">
                  <c:v>56194</c:v>
                </c:pt>
                <c:pt idx="2449">
                  <c:v>56201</c:v>
                </c:pt>
                <c:pt idx="2450">
                  <c:v>56208</c:v>
                </c:pt>
                <c:pt idx="2451">
                  <c:v>56215</c:v>
                </c:pt>
                <c:pt idx="2452">
                  <c:v>56222</c:v>
                </c:pt>
                <c:pt idx="2453">
                  <c:v>56229</c:v>
                </c:pt>
                <c:pt idx="2454">
                  <c:v>56236</c:v>
                </c:pt>
                <c:pt idx="2455">
                  <c:v>56247</c:v>
                </c:pt>
                <c:pt idx="2456">
                  <c:v>56251</c:v>
                </c:pt>
                <c:pt idx="2457">
                  <c:v>56257</c:v>
                </c:pt>
                <c:pt idx="2458">
                  <c:v>56264</c:v>
                </c:pt>
                <c:pt idx="2459">
                  <c:v>56271</c:v>
                </c:pt>
                <c:pt idx="2460">
                  <c:v>56278</c:v>
                </c:pt>
                <c:pt idx="2461">
                  <c:v>56285</c:v>
                </c:pt>
                <c:pt idx="2462">
                  <c:v>56292</c:v>
                </c:pt>
                <c:pt idx="2463">
                  <c:v>56299</c:v>
                </c:pt>
                <c:pt idx="2464">
                  <c:v>56306</c:v>
                </c:pt>
                <c:pt idx="2465">
                  <c:v>56313</c:v>
                </c:pt>
                <c:pt idx="2466">
                  <c:v>56320</c:v>
                </c:pt>
                <c:pt idx="2467">
                  <c:v>56327</c:v>
                </c:pt>
                <c:pt idx="2468">
                  <c:v>56334</c:v>
                </c:pt>
                <c:pt idx="2469">
                  <c:v>56341</c:v>
                </c:pt>
                <c:pt idx="2470">
                  <c:v>56348</c:v>
                </c:pt>
                <c:pt idx="2471">
                  <c:v>56355</c:v>
                </c:pt>
                <c:pt idx="2472">
                  <c:v>56362</c:v>
                </c:pt>
                <c:pt idx="2473">
                  <c:v>56369</c:v>
                </c:pt>
                <c:pt idx="2474">
                  <c:v>56376</c:v>
                </c:pt>
                <c:pt idx="2475">
                  <c:v>56383</c:v>
                </c:pt>
                <c:pt idx="2476">
                  <c:v>56390</c:v>
                </c:pt>
                <c:pt idx="2477">
                  <c:v>56397</c:v>
                </c:pt>
                <c:pt idx="2478">
                  <c:v>56404</c:v>
                </c:pt>
                <c:pt idx="2479">
                  <c:v>56411</c:v>
                </c:pt>
                <c:pt idx="2480">
                  <c:v>56418</c:v>
                </c:pt>
                <c:pt idx="2481">
                  <c:v>56425</c:v>
                </c:pt>
                <c:pt idx="2482">
                  <c:v>56432</c:v>
                </c:pt>
                <c:pt idx="2483">
                  <c:v>56439</c:v>
                </c:pt>
                <c:pt idx="2484">
                  <c:v>56446</c:v>
                </c:pt>
                <c:pt idx="2485">
                  <c:v>56453</c:v>
                </c:pt>
                <c:pt idx="2486">
                  <c:v>56460</c:v>
                </c:pt>
                <c:pt idx="2487">
                  <c:v>56467</c:v>
                </c:pt>
                <c:pt idx="2488">
                  <c:v>56474</c:v>
                </c:pt>
                <c:pt idx="2489">
                  <c:v>56481</c:v>
                </c:pt>
                <c:pt idx="2490">
                  <c:v>56488</c:v>
                </c:pt>
                <c:pt idx="2491">
                  <c:v>56495</c:v>
                </c:pt>
                <c:pt idx="2492">
                  <c:v>56502</c:v>
                </c:pt>
                <c:pt idx="2493">
                  <c:v>56509</c:v>
                </c:pt>
                <c:pt idx="2494">
                  <c:v>56516</c:v>
                </c:pt>
                <c:pt idx="2495">
                  <c:v>56523</c:v>
                </c:pt>
                <c:pt idx="2496">
                  <c:v>56530</c:v>
                </c:pt>
                <c:pt idx="2497">
                  <c:v>56537</c:v>
                </c:pt>
                <c:pt idx="2498">
                  <c:v>56544</c:v>
                </c:pt>
                <c:pt idx="2499">
                  <c:v>56551</c:v>
                </c:pt>
                <c:pt idx="2500">
                  <c:v>56558</c:v>
                </c:pt>
                <c:pt idx="2501">
                  <c:v>56565</c:v>
                </c:pt>
                <c:pt idx="2502">
                  <c:v>56572</c:v>
                </c:pt>
                <c:pt idx="2503">
                  <c:v>56579</c:v>
                </c:pt>
                <c:pt idx="2504">
                  <c:v>56586</c:v>
                </c:pt>
                <c:pt idx="2505">
                  <c:v>56593</c:v>
                </c:pt>
                <c:pt idx="2506">
                  <c:v>56600</c:v>
                </c:pt>
                <c:pt idx="2507">
                  <c:v>56607</c:v>
                </c:pt>
                <c:pt idx="2508">
                  <c:v>56614</c:v>
                </c:pt>
                <c:pt idx="2509">
                  <c:v>56621</c:v>
                </c:pt>
                <c:pt idx="2510">
                  <c:v>56628</c:v>
                </c:pt>
                <c:pt idx="2511">
                  <c:v>56635</c:v>
                </c:pt>
                <c:pt idx="2512">
                  <c:v>56642</c:v>
                </c:pt>
                <c:pt idx="2513">
                  <c:v>56649</c:v>
                </c:pt>
                <c:pt idx="2514">
                  <c:v>56656</c:v>
                </c:pt>
                <c:pt idx="2515">
                  <c:v>56663</c:v>
                </c:pt>
                <c:pt idx="2516">
                  <c:v>56670</c:v>
                </c:pt>
                <c:pt idx="2517">
                  <c:v>56677</c:v>
                </c:pt>
                <c:pt idx="2518">
                  <c:v>56684</c:v>
                </c:pt>
                <c:pt idx="2519">
                  <c:v>56691</c:v>
                </c:pt>
                <c:pt idx="2520">
                  <c:v>56698</c:v>
                </c:pt>
                <c:pt idx="2521">
                  <c:v>56705</c:v>
                </c:pt>
                <c:pt idx="2522">
                  <c:v>56712</c:v>
                </c:pt>
                <c:pt idx="2523">
                  <c:v>56719</c:v>
                </c:pt>
                <c:pt idx="2524">
                  <c:v>56726</c:v>
                </c:pt>
                <c:pt idx="2525">
                  <c:v>56733</c:v>
                </c:pt>
                <c:pt idx="2526">
                  <c:v>56740</c:v>
                </c:pt>
                <c:pt idx="2527">
                  <c:v>56747</c:v>
                </c:pt>
                <c:pt idx="2528">
                  <c:v>56754</c:v>
                </c:pt>
                <c:pt idx="2529">
                  <c:v>56761</c:v>
                </c:pt>
                <c:pt idx="2530">
                  <c:v>56768</c:v>
                </c:pt>
                <c:pt idx="2531">
                  <c:v>56775</c:v>
                </c:pt>
                <c:pt idx="2532">
                  <c:v>56782</c:v>
                </c:pt>
                <c:pt idx="2533">
                  <c:v>56789</c:v>
                </c:pt>
                <c:pt idx="2534">
                  <c:v>56796</c:v>
                </c:pt>
                <c:pt idx="2535">
                  <c:v>56803</c:v>
                </c:pt>
                <c:pt idx="2536">
                  <c:v>56810</c:v>
                </c:pt>
                <c:pt idx="2537">
                  <c:v>56817</c:v>
                </c:pt>
                <c:pt idx="2538">
                  <c:v>56824</c:v>
                </c:pt>
                <c:pt idx="2539">
                  <c:v>56831</c:v>
                </c:pt>
                <c:pt idx="2540">
                  <c:v>56838</c:v>
                </c:pt>
                <c:pt idx="2541">
                  <c:v>56845</c:v>
                </c:pt>
                <c:pt idx="2542">
                  <c:v>56852</c:v>
                </c:pt>
                <c:pt idx="2543">
                  <c:v>56859</c:v>
                </c:pt>
                <c:pt idx="2544">
                  <c:v>56866</c:v>
                </c:pt>
                <c:pt idx="2545">
                  <c:v>56873</c:v>
                </c:pt>
                <c:pt idx="2546">
                  <c:v>56880</c:v>
                </c:pt>
                <c:pt idx="2547">
                  <c:v>56887</c:v>
                </c:pt>
                <c:pt idx="2548">
                  <c:v>56894</c:v>
                </c:pt>
                <c:pt idx="2549">
                  <c:v>56901</c:v>
                </c:pt>
                <c:pt idx="2550">
                  <c:v>56908</c:v>
                </c:pt>
                <c:pt idx="2551">
                  <c:v>56915</c:v>
                </c:pt>
                <c:pt idx="2552">
                  <c:v>56922</c:v>
                </c:pt>
                <c:pt idx="2553">
                  <c:v>56929</c:v>
                </c:pt>
                <c:pt idx="2554">
                  <c:v>56936</c:v>
                </c:pt>
                <c:pt idx="2555">
                  <c:v>56943</c:v>
                </c:pt>
                <c:pt idx="2556">
                  <c:v>56950</c:v>
                </c:pt>
                <c:pt idx="2557">
                  <c:v>56957</c:v>
                </c:pt>
                <c:pt idx="2558">
                  <c:v>56964</c:v>
                </c:pt>
                <c:pt idx="2559">
                  <c:v>56971</c:v>
                </c:pt>
                <c:pt idx="2560">
                  <c:v>56978</c:v>
                </c:pt>
                <c:pt idx="2561">
                  <c:v>56985</c:v>
                </c:pt>
                <c:pt idx="2562">
                  <c:v>56992</c:v>
                </c:pt>
                <c:pt idx="2563">
                  <c:v>56999</c:v>
                </c:pt>
                <c:pt idx="2564">
                  <c:v>57006</c:v>
                </c:pt>
                <c:pt idx="2565">
                  <c:v>57013</c:v>
                </c:pt>
                <c:pt idx="2566">
                  <c:v>57020</c:v>
                </c:pt>
                <c:pt idx="2567">
                  <c:v>57027</c:v>
                </c:pt>
                <c:pt idx="2568">
                  <c:v>57034</c:v>
                </c:pt>
                <c:pt idx="2569">
                  <c:v>57041</c:v>
                </c:pt>
                <c:pt idx="2570">
                  <c:v>57048</c:v>
                </c:pt>
                <c:pt idx="2571">
                  <c:v>57055</c:v>
                </c:pt>
                <c:pt idx="2572">
                  <c:v>57062</c:v>
                </c:pt>
                <c:pt idx="2573">
                  <c:v>57069</c:v>
                </c:pt>
                <c:pt idx="2574">
                  <c:v>57076</c:v>
                </c:pt>
                <c:pt idx="2575">
                  <c:v>57083</c:v>
                </c:pt>
                <c:pt idx="2576">
                  <c:v>57090</c:v>
                </c:pt>
                <c:pt idx="2577">
                  <c:v>57097</c:v>
                </c:pt>
                <c:pt idx="2578">
                  <c:v>57104</c:v>
                </c:pt>
                <c:pt idx="2579">
                  <c:v>57111</c:v>
                </c:pt>
                <c:pt idx="2580">
                  <c:v>57118</c:v>
                </c:pt>
                <c:pt idx="2581">
                  <c:v>57125</c:v>
                </c:pt>
                <c:pt idx="2582">
                  <c:v>57132</c:v>
                </c:pt>
                <c:pt idx="2583">
                  <c:v>57139</c:v>
                </c:pt>
                <c:pt idx="2584">
                  <c:v>57146</c:v>
                </c:pt>
                <c:pt idx="2585">
                  <c:v>57153</c:v>
                </c:pt>
                <c:pt idx="2586">
                  <c:v>57160</c:v>
                </c:pt>
                <c:pt idx="2587">
                  <c:v>57167</c:v>
                </c:pt>
                <c:pt idx="2588">
                  <c:v>57174</c:v>
                </c:pt>
                <c:pt idx="2589">
                  <c:v>57181</c:v>
                </c:pt>
                <c:pt idx="2590">
                  <c:v>57188</c:v>
                </c:pt>
                <c:pt idx="2591">
                  <c:v>57195</c:v>
                </c:pt>
                <c:pt idx="2592">
                  <c:v>57202</c:v>
                </c:pt>
                <c:pt idx="2593">
                  <c:v>57209</c:v>
                </c:pt>
                <c:pt idx="2594">
                  <c:v>57216</c:v>
                </c:pt>
                <c:pt idx="2595">
                  <c:v>57223</c:v>
                </c:pt>
                <c:pt idx="2596">
                  <c:v>57230</c:v>
                </c:pt>
                <c:pt idx="2597">
                  <c:v>57237</c:v>
                </c:pt>
                <c:pt idx="2598">
                  <c:v>57244</c:v>
                </c:pt>
                <c:pt idx="2599">
                  <c:v>57251</c:v>
                </c:pt>
                <c:pt idx="2600">
                  <c:v>57258</c:v>
                </c:pt>
                <c:pt idx="2601">
                  <c:v>57265</c:v>
                </c:pt>
                <c:pt idx="2602">
                  <c:v>57272</c:v>
                </c:pt>
                <c:pt idx="2603">
                  <c:v>57279</c:v>
                </c:pt>
                <c:pt idx="2604">
                  <c:v>57286</c:v>
                </c:pt>
                <c:pt idx="2605">
                  <c:v>57293</c:v>
                </c:pt>
                <c:pt idx="2606">
                  <c:v>57300</c:v>
                </c:pt>
                <c:pt idx="2607">
                  <c:v>57307</c:v>
                </c:pt>
                <c:pt idx="2608">
                  <c:v>57314</c:v>
                </c:pt>
                <c:pt idx="2609">
                  <c:v>57321</c:v>
                </c:pt>
                <c:pt idx="2610">
                  <c:v>57328</c:v>
                </c:pt>
                <c:pt idx="2611">
                  <c:v>57335</c:v>
                </c:pt>
                <c:pt idx="2612">
                  <c:v>57343</c:v>
                </c:pt>
                <c:pt idx="2613">
                  <c:v>57350</c:v>
                </c:pt>
                <c:pt idx="2614">
                  <c:v>57357</c:v>
                </c:pt>
                <c:pt idx="2615">
                  <c:v>57364</c:v>
                </c:pt>
                <c:pt idx="2616">
                  <c:v>57371</c:v>
                </c:pt>
                <c:pt idx="2617">
                  <c:v>57378</c:v>
                </c:pt>
                <c:pt idx="2618">
                  <c:v>57385</c:v>
                </c:pt>
                <c:pt idx="2619">
                  <c:v>57392</c:v>
                </c:pt>
                <c:pt idx="2620">
                  <c:v>57399</c:v>
                </c:pt>
                <c:pt idx="2621">
                  <c:v>57406</c:v>
                </c:pt>
                <c:pt idx="2622">
                  <c:v>57413</c:v>
                </c:pt>
                <c:pt idx="2623">
                  <c:v>57420</c:v>
                </c:pt>
                <c:pt idx="2624">
                  <c:v>57427</c:v>
                </c:pt>
                <c:pt idx="2625">
                  <c:v>57434</c:v>
                </c:pt>
                <c:pt idx="2626">
                  <c:v>57441</c:v>
                </c:pt>
                <c:pt idx="2627">
                  <c:v>57448</c:v>
                </c:pt>
                <c:pt idx="2628">
                  <c:v>57459</c:v>
                </c:pt>
                <c:pt idx="2629">
                  <c:v>57462</c:v>
                </c:pt>
                <c:pt idx="2630">
                  <c:v>57469</c:v>
                </c:pt>
                <c:pt idx="2631">
                  <c:v>57476</c:v>
                </c:pt>
                <c:pt idx="2632">
                  <c:v>57483</c:v>
                </c:pt>
                <c:pt idx="2633">
                  <c:v>57490</c:v>
                </c:pt>
                <c:pt idx="2634">
                  <c:v>57497</c:v>
                </c:pt>
                <c:pt idx="2635">
                  <c:v>57504</c:v>
                </c:pt>
                <c:pt idx="2636">
                  <c:v>57511</c:v>
                </c:pt>
                <c:pt idx="2637">
                  <c:v>57518</c:v>
                </c:pt>
                <c:pt idx="2638">
                  <c:v>57525</c:v>
                </c:pt>
                <c:pt idx="2639">
                  <c:v>57532</c:v>
                </c:pt>
                <c:pt idx="2640">
                  <c:v>57539</c:v>
                </c:pt>
                <c:pt idx="2641">
                  <c:v>57546</c:v>
                </c:pt>
                <c:pt idx="2642">
                  <c:v>57553</c:v>
                </c:pt>
                <c:pt idx="2643">
                  <c:v>57560</c:v>
                </c:pt>
                <c:pt idx="2644">
                  <c:v>57567</c:v>
                </c:pt>
                <c:pt idx="2645">
                  <c:v>57574</c:v>
                </c:pt>
                <c:pt idx="2646">
                  <c:v>57581</c:v>
                </c:pt>
                <c:pt idx="2647">
                  <c:v>57588</c:v>
                </c:pt>
                <c:pt idx="2648">
                  <c:v>57595</c:v>
                </c:pt>
                <c:pt idx="2649">
                  <c:v>57602</c:v>
                </c:pt>
                <c:pt idx="2650">
                  <c:v>57609</c:v>
                </c:pt>
                <c:pt idx="2651">
                  <c:v>57616</c:v>
                </c:pt>
                <c:pt idx="2652">
                  <c:v>57623</c:v>
                </c:pt>
                <c:pt idx="2653">
                  <c:v>57630</c:v>
                </c:pt>
                <c:pt idx="2654">
                  <c:v>57637</c:v>
                </c:pt>
                <c:pt idx="2655">
                  <c:v>57644</c:v>
                </c:pt>
                <c:pt idx="2656">
                  <c:v>57651</c:v>
                </c:pt>
                <c:pt idx="2657">
                  <c:v>57658</c:v>
                </c:pt>
                <c:pt idx="2658">
                  <c:v>57665</c:v>
                </c:pt>
                <c:pt idx="2659">
                  <c:v>57672</c:v>
                </c:pt>
                <c:pt idx="2660">
                  <c:v>57679</c:v>
                </c:pt>
                <c:pt idx="2661">
                  <c:v>57686</c:v>
                </c:pt>
                <c:pt idx="2662">
                  <c:v>57693</c:v>
                </c:pt>
                <c:pt idx="2663">
                  <c:v>57700</c:v>
                </c:pt>
                <c:pt idx="2664">
                  <c:v>57710</c:v>
                </c:pt>
                <c:pt idx="2665">
                  <c:v>57717</c:v>
                </c:pt>
                <c:pt idx="2666">
                  <c:v>57724</c:v>
                </c:pt>
                <c:pt idx="2667">
                  <c:v>57731</c:v>
                </c:pt>
                <c:pt idx="2668">
                  <c:v>57738</c:v>
                </c:pt>
                <c:pt idx="2669">
                  <c:v>57745</c:v>
                </c:pt>
                <c:pt idx="2670">
                  <c:v>57752</c:v>
                </c:pt>
                <c:pt idx="2671">
                  <c:v>57759</c:v>
                </c:pt>
                <c:pt idx="2672">
                  <c:v>57766</c:v>
                </c:pt>
                <c:pt idx="2673">
                  <c:v>57773</c:v>
                </c:pt>
                <c:pt idx="2674">
                  <c:v>57780</c:v>
                </c:pt>
                <c:pt idx="2675">
                  <c:v>57787</c:v>
                </c:pt>
                <c:pt idx="2676">
                  <c:v>57794</c:v>
                </c:pt>
                <c:pt idx="2677">
                  <c:v>57801</c:v>
                </c:pt>
                <c:pt idx="2678">
                  <c:v>57808</c:v>
                </c:pt>
                <c:pt idx="2679">
                  <c:v>57817</c:v>
                </c:pt>
                <c:pt idx="2680">
                  <c:v>57822</c:v>
                </c:pt>
                <c:pt idx="2681">
                  <c:v>57829</c:v>
                </c:pt>
                <c:pt idx="2682">
                  <c:v>57836</c:v>
                </c:pt>
                <c:pt idx="2683">
                  <c:v>57843</c:v>
                </c:pt>
                <c:pt idx="2684">
                  <c:v>57850</c:v>
                </c:pt>
                <c:pt idx="2685">
                  <c:v>57857</c:v>
                </c:pt>
                <c:pt idx="2686">
                  <c:v>57864</c:v>
                </c:pt>
                <c:pt idx="2687">
                  <c:v>57871</c:v>
                </c:pt>
                <c:pt idx="2688">
                  <c:v>57878</c:v>
                </c:pt>
                <c:pt idx="2689">
                  <c:v>57885</c:v>
                </c:pt>
                <c:pt idx="2690">
                  <c:v>57892</c:v>
                </c:pt>
                <c:pt idx="2691">
                  <c:v>57899</c:v>
                </c:pt>
                <c:pt idx="2692">
                  <c:v>57906</c:v>
                </c:pt>
                <c:pt idx="2693">
                  <c:v>57913</c:v>
                </c:pt>
                <c:pt idx="2694">
                  <c:v>57920</c:v>
                </c:pt>
                <c:pt idx="2695">
                  <c:v>57927</c:v>
                </c:pt>
                <c:pt idx="2696">
                  <c:v>57934</c:v>
                </c:pt>
                <c:pt idx="2697">
                  <c:v>57941</c:v>
                </c:pt>
                <c:pt idx="2698">
                  <c:v>57948</c:v>
                </c:pt>
                <c:pt idx="2699">
                  <c:v>57955</c:v>
                </c:pt>
                <c:pt idx="2700">
                  <c:v>57962</c:v>
                </c:pt>
                <c:pt idx="2701">
                  <c:v>57969</c:v>
                </c:pt>
                <c:pt idx="2702">
                  <c:v>57976</c:v>
                </c:pt>
                <c:pt idx="2703">
                  <c:v>57983</c:v>
                </c:pt>
                <c:pt idx="2704">
                  <c:v>57990</c:v>
                </c:pt>
                <c:pt idx="2705">
                  <c:v>57997</c:v>
                </c:pt>
                <c:pt idx="2706">
                  <c:v>58004</c:v>
                </c:pt>
                <c:pt idx="2707">
                  <c:v>58011</c:v>
                </c:pt>
                <c:pt idx="2708">
                  <c:v>58018</c:v>
                </c:pt>
                <c:pt idx="2709">
                  <c:v>58025</c:v>
                </c:pt>
                <c:pt idx="2710">
                  <c:v>58032</c:v>
                </c:pt>
                <c:pt idx="2711">
                  <c:v>58039</c:v>
                </c:pt>
                <c:pt idx="2712">
                  <c:v>58046</c:v>
                </c:pt>
                <c:pt idx="2713">
                  <c:v>58053</c:v>
                </c:pt>
                <c:pt idx="2714">
                  <c:v>58060</c:v>
                </c:pt>
                <c:pt idx="2715">
                  <c:v>58067</c:v>
                </c:pt>
                <c:pt idx="2716">
                  <c:v>58075</c:v>
                </c:pt>
                <c:pt idx="2717">
                  <c:v>58082</c:v>
                </c:pt>
                <c:pt idx="2718">
                  <c:v>58089</c:v>
                </c:pt>
                <c:pt idx="2719">
                  <c:v>58096</c:v>
                </c:pt>
                <c:pt idx="2720">
                  <c:v>58103</c:v>
                </c:pt>
                <c:pt idx="2721">
                  <c:v>58110</c:v>
                </c:pt>
                <c:pt idx="2722">
                  <c:v>58117</c:v>
                </c:pt>
                <c:pt idx="2723">
                  <c:v>58124</c:v>
                </c:pt>
                <c:pt idx="2724">
                  <c:v>58131</c:v>
                </c:pt>
                <c:pt idx="2725">
                  <c:v>58138</c:v>
                </c:pt>
                <c:pt idx="2726">
                  <c:v>58145</c:v>
                </c:pt>
                <c:pt idx="2727">
                  <c:v>58152</c:v>
                </c:pt>
                <c:pt idx="2728">
                  <c:v>58159</c:v>
                </c:pt>
                <c:pt idx="2729">
                  <c:v>58168</c:v>
                </c:pt>
                <c:pt idx="2730">
                  <c:v>58175</c:v>
                </c:pt>
                <c:pt idx="2731">
                  <c:v>58182</c:v>
                </c:pt>
                <c:pt idx="2732">
                  <c:v>58189</c:v>
                </c:pt>
                <c:pt idx="2733">
                  <c:v>58197</c:v>
                </c:pt>
                <c:pt idx="2734">
                  <c:v>58203</c:v>
                </c:pt>
                <c:pt idx="2735">
                  <c:v>58210</c:v>
                </c:pt>
                <c:pt idx="2736">
                  <c:v>58217</c:v>
                </c:pt>
                <c:pt idx="2737">
                  <c:v>58224</c:v>
                </c:pt>
                <c:pt idx="2738">
                  <c:v>58231</c:v>
                </c:pt>
                <c:pt idx="2739">
                  <c:v>58238</c:v>
                </c:pt>
                <c:pt idx="2740">
                  <c:v>58245</c:v>
                </c:pt>
                <c:pt idx="2741">
                  <c:v>58252</c:v>
                </c:pt>
                <c:pt idx="2742">
                  <c:v>58259</c:v>
                </c:pt>
                <c:pt idx="2743">
                  <c:v>58266</c:v>
                </c:pt>
                <c:pt idx="2744">
                  <c:v>58273</c:v>
                </c:pt>
                <c:pt idx="2745">
                  <c:v>58280</c:v>
                </c:pt>
                <c:pt idx="2746">
                  <c:v>58287</c:v>
                </c:pt>
                <c:pt idx="2747">
                  <c:v>58294</c:v>
                </c:pt>
                <c:pt idx="2748">
                  <c:v>58301</c:v>
                </c:pt>
                <c:pt idx="2749">
                  <c:v>58308</c:v>
                </c:pt>
                <c:pt idx="2750">
                  <c:v>58315</c:v>
                </c:pt>
                <c:pt idx="2751">
                  <c:v>58322</c:v>
                </c:pt>
                <c:pt idx="2752">
                  <c:v>58329</c:v>
                </c:pt>
                <c:pt idx="2753">
                  <c:v>58336</c:v>
                </c:pt>
                <c:pt idx="2754">
                  <c:v>58343</c:v>
                </c:pt>
                <c:pt idx="2755">
                  <c:v>58350</c:v>
                </c:pt>
                <c:pt idx="2756">
                  <c:v>58357</c:v>
                </c:pt>
                <c:pt idx="2757">
                  <c:v>58364</c:v>
                </c:pt>
                <c:pt idx="2758">
                  <c:v>58371</c:v>
                </c:pt>
                <c:pt idx="2759">
                  <c:v>58378</c:v>
                </c:pt>
                <c:pt idx="2760">
                  <c:v>58385</c:v>
                </c:pt>
                <c:pt idx="2761">
                  <c:v>58392</c:v>
                </c:pt>
                <c:pt idx="2762">
                  <c:v>58399</c:v>
                </c:pt>
                <c:pt idx="2763">
                  <c:v>58406</c:v>
                </c:pt>
                <c:pt idx="2764">
                  <c:v>58413</c:v>
                </c:pt>
                <c:pt idx="2765">
                  <c:v>58420</c:v>
                </c:pt>
                <c:pt idx="2766">
                  <c:v>58427</c:v>
                </c:pt>
                <c:pt idx="2767">
                  <c:v>58438</c:v>
                </c:pt>
                <c:pt idx="2768">
                  <c:v>58442</c:v>
                </c:pt>
                <c:pt idx="2769">
                  <c:v>58448</c:v>
                </c:pt>
                <c:pt idx="2770">
                  <c:v>58455</c:v>
                </c:pt>
                <c:pt idx="2771">
                  <c:v>58462</c:v>
                </c:pt>
                <c:pt idx="2772">
                  <c:v>58469</c:v>
                </c:pt>
                <c:pt idx="2773">
                  <c:v>58476</c:v>
                </c:pt>
                <c:pt idx="2774">
                  <c:v>58483</c:v>
                </c:pt>
                <c:pt idx="2775">
                  <c:v>58490</c:v>
                </c:pt>
                <c:pt idx="2776">
                  <c:v>58497</c:v>
                </c:pt>
                <c:pt idx="2777">
                  <c:v>58504</c:v>
                </c:pt>
                <c:pt idx="2778">
                  <c:v>58511</c:v>
                </c:pt>
                <c:pt idx="2779">
                  <c:v>58518</c:v>
                </c:pt>
                <c:pt idx="2780">
                  <c:v>58525</c:v>
                </c:pt>
                <c:pt idx="2781">
                  <c:v>58532</c:v>
                </c:pt>
                <c:pt idx="2782">
                  <c:v>58539</c:v>
                </c:pt>
                <c:pt idx="2783">
                  <c:v>58546</c:v>
                </c:pt>
                <c:pt idx="2784">
                  <c:v>58553</c:v>
                </c:pt>
                <c:pt idx="2785">
                  <c:v>58560</c:v>
                </c:pt>
                <c:pt idx="2786">
                  <c:v>58567</c:v>
                </c:pt>
                <c:pt idx="2787">
                  <c:v>58574</c:v>
                </c:pt>
                <c:pt idx="2788">
                  <c:v>58581</c:v>
                </c:pt>
                <c:pt idx="2789">
                  <c:v>58588</c:v>
                </c:pt>
                <c:pt idx="2790">
                  <c:v>58595</c:v>
                </c:pt>
                <c:pt idx="2791">
                  <c:v>58602</c:v>
                </c:pt>
                <c:pt idx="2792">
                  <c:v>58609</c:v>
                </c:pt>
                <c:pt idx="2793">
                  <c:v>58616</c:v>
                </c:pt>
                <c:pt idx="2794">
                  <c:v>58623</c:v>
                </c:pt>
                <c:pt idx="2795">
                  <c:v>58630</c:v>
                </c:pt>
                <c:pt idx="2796">
                  <c:v>58637</c:v>
                </c:pt>
                <c:pt idx="2797">
                  <c:v>58644</c:v>
                </c:pt>
                <c:pt idx="2798">
                  <c:v>58651</c:v>
                </c:pt>
                <c:pt idx="2799">
                  <c:v>58658</c:v>
                </c:pt>
                <c:pt idx="2800">
                  <c:v>58665</c:v>
                </c:pt>
                <c:pt idx="2801">
                  <c:v>58672</c:v>
                </c:pt>
                <c:pt idx="2802">
                  <c:v>58679</c:v>
                </c:pt>
                <c:pt idx="2803">
                  <c:v>58686</c:v>
                </c:pt>
                <c:pt idx="2804">
                  <c:v>58693</c:v>
                </c:pt>
                <c:pt idx="2805">
                  <c:v>58700</c:v>
                </c:pt>
                <c:pt idx="2806">
                  <c:v>58707</c:v>
                </c:pt>
                <c:pt idx="2807">
                  <c:v>58714</c:v>
                </c:pt>
                <c:pt idx="2808">
                  <c:v>58721</c:v>
                </c:pt>
                <c:pt idx="2809">
                  <c:v>58728</c:v>
                </c:pt>
                <c:pt idx="2810">
                  <c:v>58735</c:v>
                </c:pt>
                <c:pt idx="2811">
                  <c:v>58742</c:v>
                </c:pt>
                <c:pt idx="2812">
                  <c:v>58749</c:v>
                </c:pt>
                <c:pt idx="2813">
                  <c:v>58756</c:v>
                </c:pt>
                <c:pt idx="2814">
                  <c:v>58763</c:v>
                </c:pt>
                <c:pt idx="2815">
                  <c:v>58770</c:v>
                </c:pt>
                <c:pt idx="2816">
                  <c:v>58777</c:v>
                </c:pt>
                <c:pt idx="2817">
                  <c:v>58784</c:v>
                </c:pt>
                <c:pt idx="2818">
                  <c:v>58791</c:v>
                </c:pt>
                <c:pt idx="2819">
                  <c:v>58798</c:v>
                </c:pt>
                <c:pt idx="2820">
                  <c:v>58805</c:v>
                </c:pt>
                <c:pt idx="2821">
                  <c:v>58812</c:v>
                </c:pt>
                <c:pt idx="2822">
                  <c:v>58819</c:v>
                </c:pt>
                <c:pt idx="2823">
                  <c:v>58826</c:v>
                </c:pt>
                <c:pt idx="2824">
                  <c:v>58833</c:v>
                </c:pt>
                <c:pt idx="2825">
                  <c:v>58840</c:v>
                </c:pt>
                <c:pt idx="2826">
                  <c:v>58847</c:v>
                </c:pt>
                <c:pt idx="2827">
                  <c:v>58854</c:v>
                </c:pt>
                <c:pt idx="2828">
                  <c:v>58861</c:v>
                </c:pt>
                <c:pt idx="2829">
                  <c:v>58868</c:v>
                </c:pt>
                <c:pt idx="2830">
                  <c:v>58875</c:v>
                </c:pt>
                <c:pt idx="2831">
                  <c:v>58882</c:v>
                </c:pt>
                <c:pt idx="2832">
                  <c:v>58889</c:v>
                </c:pt>
                <c:pt idx="2833">
                  <c:v>58896</c:v>
                </c:pt>
                <c:pt idx="2834">
                  <c:v>58903</c:v>
                </c:pt>
                <c:pt idx="2835">
                  <c:v>58910</c:v>
                </c:pt>
                <c:pt idx="2836">
                  <c:v>58917</c:v>
                </c:pt>
                <c:pt idx="2837">
                  <c:v>58924</c:v>
                </c:pt>
                <c:pt idx="2838">
                  <c:v>58931</c:v>
                </c:pt>
                <c:pt idx="2839">
                  <c:v>58938</c:v>
                </c:pt>
                <c:pt idx="2840">
                  <c:v>58945</c:v>
                </c:pt>
                <c:pt idx="2841">
                  <c:v>58952</c:v>
                </c:pt>
                <c:pt idx="2842">
                  <c:v>58959</c:v>
                </c:pt>
                <c:pt idx="2843">
                  <c:v>58966</c:v>
                </c:pt>
                <c:pt idx="2844">
                  <c:v>58973</c:v>
                </c:pt>
                <c:pt idx="2845">
                  <c:v>58980</c:v>
                </c:pt>
                <c:pt idx="2846">
                  <c:v>58987</c:v>
                </c:pt>
                <c:pt idx="2847">
                  <c:v>58994</c:v>
                </c:pt>
                <c:pt idx="2848">
                  <c:v>59001</c:v>
                </c:pt>
                <c:pt idx="2849">
                  <c:v>59008</c:v>
                </c:pt>
                <c:pt idx="2850">
                  <c:v>59015</c:v>
                </c:pt>
                <c:pt idx="2851">
                  <c:v>59022</c:v>
                </c:pt>
                <c:pt idx="2852">
                  <c:v>59029</c:v>
                </c:pt>
                <c:pt idx="2853">
                  <c:v>59036</c:v>
                </c:pt>
                <c:pt idx="2854">
                  <c:v>59043</c:v>
                </c:pt>
                <c:pt idx="2855">
                  <c:v>59050</c:v>
                </c:pt>
                <c:pt idx="2856">
                  <c:v>59057</c:v>
                </c:pt>
                <c:pt idx="2857">
                  <c:v>59064</c:v>
                </c:pt>
                <c:pt idx="2858">
                  <c:v>59071</c:v>
                </c:pt>
                <c:pt idx="2859">
                  <c:v>59078</c:v>
                </c:pt>
                <c:pt idx="2860">
                  <c:v>59085</c:v>
                </c:pt>
                <c:pt idx="2861">
                  <c:v>59092</c:v>
                </c:pt>
                <c:pt idx="2862">
                  <c:v>59099</c:v>
                </c:pt>
                <c:pt idx="2863">
                  <c:v>59106</c:v>
                </c:pt>
                <c:pt idx="2864">
                  <c:v>59113</c:v>
                </c:pt>
                <c:pt idx="2865">
                  <c:v>59120</c:v>
                </c:pt>
                <c:pt idx="2866">
                  <c:v>59127</c:v>
                </c:pt>
                <c:pt idx="2867">
                  <c:v>59134</c:v>
                </c:pt>
                <c:pt idx="2868">
                  <c:v>59141</c:v>
                </c:pt>
                <c:pt idx="2869">
                  <c:v>59148</c:v>
                </c:pt>
                <c:pt idx="2870">
                  <c:v>59155</c:v>
                </c:pt>
                <c:pt idx="2871">
                  <c:v>59162</c:v>
                </c:pt>
                <c:pt idx="2872">
                  <c:v>59169</c:v>
                </c:pt>
                <c:pt idx="2873">
                  <c:v>59176</c:v>
                </c:pt>
                <c:pt idx="2874">
                  <c:v>59183</c:v>
                </c:pt>
                <c:pt idx="2875">
                  <c:v>59190</c:v>
                </c:pt>
                <c:pt idx="2876">
                  <c:v>59197</c:v>
                </c:pt>
                <c:pt idx="2877">
                  <c:v>59204</c:v>
                </c:pt>
                <c:pt idx="2878">
                  <c:v>59211</c:v>
                </c:pt>
                <c:pt idx="2879">
                  <c:v>59218</c:v>
                </c:pt>
                <c:pt idx="2880">
                  <c:v>59225</c:v>
                </c:pt>
                <c:pt idx="2881">
                  <c:v>59232</c:v>
                </c:pt>
                <c:pt idx="2882">
                  <c:v>59239</c:v>
                </c:pt>
                <c:pt idx="2883">
                  <c:v>59246</c:v>
                </c:pt>
                <c:pt idx="2884">
                  <c:v>59253</c:v>
                </c:pt>
                <c:pt idx="2885">
                  <c:v>59260</c:v>
                </c:pt>
                <c:pt idx="2886">
                  <c:v>59267</c:v>
                </c:pt>
                <c:pt idx="2887">
                  <c:v>59274</c:v>
                </c:pt>
                <c:pt idx="2888">
                  <c:v>59281</c:v>
                </c:pt>
                <c:pt idx="2889">
                  <c:v>59288</c:v>
                </c:pt>
                <c:pt idx="2890">
                  <c:v>59295</c:v>
                </c:pt>
                <c:pt idx="2891">
                  <c:v>59302</c:v>
                </c:pt>
                <c:pt idx="2892">
                  <c:v>59309</c:v>
                </c:pt>
                <c:pt idx="2893">
                  <c:v>59316</c:v>
                </c:pt>
                <c:pt idx="2894">
                  <c:v>59323</c:v>
                </c:pt>
                <c:pt idx="2895">
                  <c:v>59330</c:v>
                </c:pt>
                <c:pt idx="2896">
                  <c:v>59337</c:v>
                </c:pt>
                <c:pt idx="2897">
                  <c:v>59344</c:v>
                </c:pt>
                <c:pt idx="2898">
                  <c:v>59351</c:v>
                </c:pt>
                <c:pt idx="2899">
                  <c:v>59358</c:v>
                </c:pt>
                <c:pt idx="2900">
                  <c:v>59365</c:v>
                </c:pt>
                <c:pt idx="2901">
                  <c:v>59372</c:v>
                </c:pt>
                <c:pt idx="2902">
                  <c:v>59379</c:v>
                </c:pt>
                <c:pt idx="2903">
                  <c:v>59386</c:v>
                </c:pt>
                <c:pt idx="2904">
                  <c:v>59393</c:v>
                </c:pt>
                <c:pt idx="2905">
                  <c:v>59400</c:v>
                </c:pt>
                <c:pt idx="2906">
                  <c:v>59407</c:v>
                </c:pt>
                <c:pt idx="2907">
                  <c:v>59414</c:v>
                </c:pt>
                <c:pt idx="2908">
                  <c:v>59421</c:v>
                </c:pt>
                <c:pt idx="2909">
                  <c:v>59428</c:v>
                </c:pt>
                <c:pt idx="2910">
                  <c:v>59435</c:v>
                </c:pt>
                <c:pt idx="2911">
                  <c:v>59442</c:v>
                </c:pt>
                <c:pt idx="2912">
                  <c:v>59449</c:v>
                </c:pt>
                <c:pt idx="2913">
                  <c:v>59456</c:v>
                </c:pt>
                <c:pt idx="2914">
                  <c:v>59463</c:v>
                </c:pt>
                <c:pt idx="2915">
                  <c:v>59470</c:v>
                </c:pt>
                <c:pt idx="2916">
                  <c:v>59477</c:v>
                </c:pt>
                <c:pt idx="2917">
                  <c:v>59484</c:v>
                </c:pt>
                <c:pt idx="2918">
                  <c:v>59491</c:v>
                </c:pt>
                <c:pt idx="2919">
                  <c:v>59498</c:v>
                </c:pt>
                <c:pt idx="2920">
                  <c:v>59505</c:v>
                </c:pt>
                <c:pt idx="2921">
                  <c:v>59512</c:v>
                </c:pt>
                <c:pt idx="2922">
                  <c:v>59519</c:v>
                </c:pt>
                <c:pt idx="2923">
                  <c:v>59526</c:v>
                </c:pt>
                <c:pt idx="2924">
                  <c:v>59534</c:v>
                </c:pt>
                <c:pt idx="2925">
                  <c:v>59541</c:v>
                </c:pt>
                <c:pt idx="2926">
                  <c:v>59548</c:v>
                </c:pt>
                <c:pt idx="2927">
                  <c:v>59555</c:v>
                </c:pt>
                <c:pt idx="2928">
                  <c:v>59562</c:v>
                </c:pt>
                <c:pt idx="2929">
                  <c:v>59569</c:v>
                </c:pt>
                <c:pt idx="2930">
                  <c:v>59576</c:v>
                </c:pt>
                <c:pt idx="2931">
                  <c:v>59583</c:v>
                </c:pt>
                <c:pt idx="2932">
                  <c:v>59590</c:v>
                </c:pt>
                <c:pt idx="2933">
                  <c:v>59597</c:v>
                </c:pt>
                <c:pt idx="2934">
                  <c:v>59604</c:v>
                </c:pt>
                <c:pt idx="2935">
                  <c:v>59611</c:v>
                </c:pt>
                <c:pt idx="2936">
                  <c:v>59618</c:v>
                </c:pt>
                <c:pt idx="2937">
                  <c:v>59625</c:v>
                </c:pt>
                <c:pt idx="2938">
                  <c:v>59632</c:v>
                </c:pt>
                <c:pt idx="2939">
                  <c:v>59643</c:v>
                </c:pt>
                <c:pt idx="2940">
                  <c:v>59646</c:v>
                </c:pt>
                <c:pt idx="2941">
                  <c:v>59653</c:v>
                </c:pt>
                <c:pt idx="2942">
                  <c:v>59660</c:v>
                </c:pt>
                <c:pt idx="2943">
                  <c:v>59667</c:v>
                </c:pt>
                <c:pt idx="2944">
                  <c:v>59674</c:v>
                </c:pt>
                <c:pt idx="2945">
                  <c:v>59681</c:v>
                </c:pt>
                <c:pt idx="2946">
                  <c:v>59688</c:v>
                </c:pt>
                <c:pt idx="2947">
                  <c:v>59695</c:v>
                </c:pt>
                <c:pt idx="2948">
                  <c:v>59702</c:v>
                </c:pt>
                <c:pt idx="2949">
                  <c:v>59709</c:v>
                </c:pt>
                <c:pt idx="2950">
                  <c:v>59716</c:v>
                </c:pt>
                <c:pt idx="2951">
                  <c:v>59723</c:v>
                </c:pt>
                <c:pt idx="2952">
                  <c:v>59730</c:v>
                </c:pt>
                <c:pt idx="2953">
                  <c:v>59737</c:v>
                </c:pt>
                <c:pt idx="2954">
                  <c:v>59744</c:v>
                </c:pt>
                <c:pt idx="2955">
                  <c:v>59751</c:v>
                </c:pt>
                <c:pt idx="2956">
                  <c:v>59758</c:v>
                </c:pt>
                <c:pt idx="2957">
                  <c:v>59765</c:v>
                </c:pt>
                <c:pt idx="2958">
                  <c:v>59772</c:v>
                </c:pt>
                <c:pt idx="2959">
                  <c:v>59779</c:v>
                </c:pt>
                <c:pt idx="2960">
                  <c:v>59786</c:v>
                </c:pt>
                <c:pt idx="2961">
                  <c:v>59793</c:v>
                </c:pt>
                <c:pt idx="2962">
                  <c:v>59800</c:v>
                </c:pt>
                <c:pt idx="2963">
                  <c:v>59807</c:v>
                </c:pt>
                <c:pt idx="2964">
                  <c:v>59814</c:v>
                </c:pt>
                <c:pt idx="2965">
                  <c:v>59821</c:v>
                </c:pt>
                <c:pt idx="2966">
                  <c:v>59828</c:v>
                </c:pt>
                <c:pt idx="2967">
                  <c:v>59835</c:v>
                </c:pt>
                <c:pt idx="2968">
                  <c:v>59842</c:v>
                </c:pt>
                <c:pt idx="2969">
                  <c:v>59849</c:v>
                </c:pt>
                <c:pt idx="2970">
                  <c:v>59856</c:v>
                </c:pt>
                <c:pt idx="2971">
                  <c:v>59863</c:v>
                </c:pt>
                <c:pt idx="2972">
                  <c:v>59870</c:v>
                </c:pt>
                <c:pt idx="2973">
                  <c:v>59877</c:v>
                </c:pt>
                <c:pt idx="2974">
                  <c:v>59884</c:v>
                </c:pt>
                <c:pt idx="2975">
                  <c:v>59891</c:v>
                </c:pt>
                <c:pt idx="2976">
                  <c:v>59901</c:v>
                </c:pt>
                <c:pt idx="2977">
                  <c:v>59908</c:v>
                </c:pt>
                <c:pt idx="2978">
                  <c:v>59915</c:v>
                </c:pt>
                <c:pt idx="2979">
                  <c:v>59922</c:v>
                </c:pt>
                <c:pt idx="2980">
                  <c:v>59929</c:v>
                </c:pt>
                <c:pt idx="2981">
                  <c:v>59936</c:v>
                </c:pt>
                <c:pt idx="2982">
                  <c:v>59943</c:v>
                </c:pt>
                <c:pt idx="2983">
                  <c:v>59950</c:v>
                </c:pt>
                <c:pt idx="2984">
                  <c:v>59957</c:v>
                </c:pt>
                <c:pt idx="2985">
                  <c:v>59964</c:v>
                </c:pt>
                <c:pt idx="2986">
                  <c:v>59971</c:v>
                </c:pt>
                <c:pt idx="2987">
                  <c:v>59978</c:v>
                </c:pt>
                <c:pt idx="2988">
                  <c:v>59985</c:v>
                </c:pt>
                <c:pt idx="2989">
                  <c:v>59992</c:v>
                </c:pt>
                <c:pt idx="2990">
                  <c:v>60001</c:v>
                </c:pt>
                <c:pt idx="2991">
                  <c:v>60006</c:v>
                </c:pt>
                <c:pt idx="2992">
                  <c:v>60013</c:v>
                </c:pt>
                <c:pt idx="2993">
                  <c:v>60020</c:v>
                </c:pt>
                <c:pt idx="2994">
                  <c:v>60028</c:v>
                </c:pt>
                <c:pt idx="2995">
                  <c:v>60035</c:v>
                </c:pt>
                <c:pt idx="2996">
                  <c:v>60042</c:v>
                </c:pt>
                <c:pt idx="2997">
                  <c:v>60049</c:v>
                </c:pt>
                <c:pt idx="2998">
                  <c:v>60056</c:v>
                </c:pt>
                <c:pt idx="2999">
                  <c:v>60063</c:v>
                </c:pt>
                <c:pt idx="3000">
                  <c:v>60070</c:v>
                </c:pt>
                <c:pt idx="3001">
                  <c:v>60077</c:v>
                </c:pt>
                <c:pt idx="3002">
                  <c:v>60084</c:v>
                </c:pt>
                <c:pt idx="3003">
                  <c:v>60091</c:v>
                </c:pt>
                <c:pt idx="3004">
                  <c:v>60098</c:v>
                </c:pt>
                <c:pt idx="3005">
                  <c:v>60105</c:v>
                </c:pt>
                <c:pt idx="3006">
                  <c:v>60112</c:v>
                </c:pt>
                <c:pt idx="3007">
                  <c:v>60119</c:v>
                </c:pt>
                <c:pt idx="3008">
                  <c:v>60126</c:v>
                </c:pt>
                <c:pt idx="3009">
                  <c:v>60133</c:v>
                </c:pt>
                <c:pt idx="3010">
                  <c:v>60140</c:v>
                </c:pt>
                <c:pt idx="3011">
                  <c:v>60147</c:v>
                </c:pt>
                <c:pt idx="3012">
                  <c:v>60154</c:v>
                </c:pt>
                <c:pt idx="3013">
                  <c:v>60161</c:v>
                </c:pt>
                <c:pt idx="3014">
                  <c:v>60168</c:v>
                </c:pt>
                <c:pt idx="3015">
                  <c:v>60175</c:v>
                </c:pt>
                <c:pt idx="3016">
                  <c:v>60182</c:v>
                </c:pt>
                <c:pt idx="3017">
                  <c:v>60189</c:v>
                </c:pt>
                <c:pt idx="3018">
                  <c:v>60196</c:v>
                </c:pt>
                <c:pt idx="3019">
                  <c:v>60203</c:v>
                </c:pt>
                <c:pt idx="3020">
                  <c:v>60210</c:v>
                </c:pt>
                <c:pt idx="3021">
                  <c:v>60217</c:v>
                </c:pt>
                <c:pt idx="3022">
                  <c:v>60224</c:v>
                </c:pt>
                <c:pt idx="3023">
                  <c:v>60231</c:v>
                </c:pt>
                <c:pt idx="3024">
                  <c:v>60238</c:v>
                </c:pt>
                <c:pt idx="3025">
                  <c:v>60245</c:v>
                </c:pt>
                <c:pt idx="3026">
                  <c:v>60252</c:v>
                </c:pt>
                <c:pt idx="3027">
                  <c:v>60259</c:v>
                </c:pt>
                <c:pt idx="3028">
                  <c:v>60267</c:v>
                </c:pt>
                <c:pt idx="3029">
                  <c:v>60274</c:v>
                </c:pt>
                <c:pt idx="3030">
                  <c:v>60281</c:v>
                </c:pt>
                <c:pt idx="3031">
                  <c:v>60288</c:v>
                </c:pt>
                <c:pt idx="3032">
                  <c:v>60295</c:v>
                </c:pt>
                <c:pt idx="3033">
                  <c:v>60302</c:v>
                </c:pt>
                <c:pt idx="3034">
                  <c:v>60309</c:v>
                </c:pt>
                <c:pt idx="3035">
                  <c:v>60316</c:v>
                </c:pt>
                <c:pt idx="3036">
                  <c:v>60323</c:v>
                </c:pt>
                <c:pt idx="3037">
                  <c:v>60330</c:v>
                </c:pt>
                <c:pt idx="3038">
                  <c:v>60337</c:v>
                </c:pt>
                <c:pt idx="3039">
                  <c:v>60344</c:v>
                </c:pt>
                <c:pt idx="3040">
                  <c:v>60351</c:v>
                </c:pt>
                <c:pt idx="3041">
                  <c:v>60359</c:v>
                </c:pt>
                <c:pt idx="3042">
                  <c:v>60366</c:v>
                </c:pt>
                <c:pt idx="3043">
                  <c:v>60373</c:v>
                </c:pt>
                <c:pt idx="3044">
                  <c:v>60380</c:v>
                </c:pt>
                <c:pt idx="3045">
                  <c:v>60387</c:v>
                </c:pt>
                <c:pt idx="3046">
                  <c:v>60394</c:v>
                </c:pt>
                <c:pt idx="3047">
                  <c:v>60401</c:v>
                </c:pt>
                <c:pt idx="3048">
                  <c:v>60408</c:v>
                </c:pt>
                <c:pt idx="3049">
                  <c:v>60415</c:v>
                </c:pt>
                <c:pt idx="3050">
                  <c:v>60422</c:v>
                </c:pt>
                <c:pt idx="3051">
                  <c:v>60429</c:v>
                </c:pt>
                <c:pt idx="3052">
                  <c:v>60436</c:v>
                </c:pt>
                <c:pt idx="3053">
                  <c:v>60443</c:v>
                </c:pt>
                <c:pt idx="3054">
                  <c:v>60450</c:v>
                </c:pt>
                <c:pt idx="3055">
                  <c:v>60457</c:v>
                </c:pt>
                <c:pt idx="3056">
                  <c:v>60464</c:v>
                </c:pt>
                <c:pt idx="3057">
                  <c:v>60471</c:v>
                </c:pt>
                <c:pt idx="3058">
                  <c:v>60478</c:v>
                </c:pt>
                <c:pt idx="3059">
                  <c:v>60485</c:v>
                </c:pt>
                <c:pt idx="3060">
                  <c:v>60492</c:v>
                </c:pt>
                <c:pt idx="3061">
                  <c:v>60499</c:v>
                </c:pt>
                <c:pt idx="3062">
                  <c:v>60506</c:v>
                </c:pt>
                <c:pt idx="3063">
                  <c:v>60513</c:v>
                </c:pt>
                <c:pt idx="3064">
                  <c:v>60520</c:v>
                </c:pt>
                <c:pt idx="3065">
                  <c:v>60527</c:v>
                </c:pt>
                <c:pt idx="3066">
                  <c:v>60534</c:v>
                </c:pt>
                <c:pt idx="3067">
                  <c:v>60541</c:v>
                </c:pt>
                <c:pt idx="3068">
                  <c:v>60548</c:v>
                </c:pt>
                <c:pt idx="3069">
                  <c:v>60555</c:v>
                </c:pt>
                <c:pt idx="3070">
                  <c:v>60562</c:v>
                </c:pt>
                <c:pt idx="3071">
                  <c:v>60569</c:v>
                </c:pt>
                <c:pt idx="3072">
                  <c:v>60576</c:v>
                </c:pt>
                <c:pt idx="3073">
                  <c:v>60583</c:v>
                </c:pt>
                <c:pt idx="3074">
                  <c:v>60590</c:v>
                </c:pt>
                <c:pt idx="3075">
                  <c:v>60597</c:v>
                </c:pt>
                <c:pt idx="3076">
                  <c:v>60604</c:v>
                </c:pt>
                <c:pt idx="3077">
                  <c:v>60611</c:v>
                </c:pt>
                <c:pt idx="3078">
                  <c:v>60618</c:v>
                </c:pt>
                <c:pt idx="3079">
                  <c:v>60625</c:v>
                </c:pt>
                <c:pt idx="3080">
                  <c:v>60632</c:v>
                </c:pt>
                <c:pt idx="3081">
                  <c:v>60639</c:v>
                </c:pt>
                <c:pt idx="3082">
                  <c:v>60646</c:v>
                </c:pt>
                <c:pt idx="3083">
                  <c:v>60653</c:v>
                </c:pt>
                <c:pt idx="3084">
                  <c:v>60660</c:v>
                </c:pt>
                <c:pt idx="3085">
                  <c:v>60667</c:v>
                </c:pt>
                <c:pt idx="3086">
                  <c:v>60674</c:v>
                </c:pt>
                <c:pt idx="3087">
                  <c:v>60681</c:v>
                </c:pt>
                <c:pt idx="3088">
                  <c:v>60688</c:v>
                </c:pt>
                <c:pt idx="3089">
                  <c:v>60695</c:v>
                </c:pt>
                <c:pt idx="3090">
                  <c:v>60702</c:v>
                </c:pt>
                <c:pt idx="3091">
                  <c:v>60709</c:v>
                </c:pt>
                <c:pt idx="3092">
                  <c:v>60716</c:v>
                </c:pt>
                <c:pt idx="3093">
                  <c:v>60723</c:v>
                </c:pt>
                <c:pt idx="3094">
                  <c:v>60730</c:v>
                </c:pt>
                <c:pt idx="3095">
                  <c:v>60737</c:v>
                </c:pt>
                <c:pt idx="3096">
                  <c:v>60744</c:v>
                </c:pt>
                <c:pt idx="3097">
                  <c:v>60751</c:v>
                </c:pt>
                <c:pt idx="3098">
                  <c:v>60758</c:v>
                </c:pt>
                <c:pt idx="3099">
                  <c:v>60765</c:v>
                </c:pt>
                <c:pt idx="3100">
                  <c:v>60772</c:v>
                </c:pt>
                <c:pt idx="3101">
                  <c:v>60779</c:v>
                </c:pt>
                <c:pt idx="3102">
                  <c:v>60786</c:v>
                </c:pt>
                <c:pt idx="3103">
                  <c:v>60793</c:v>
                </c:pt>
                <c:pt idx="3104">
                  <c:v>60800</c:v>
                </c:pt>
                <c:pt idx="3105">
                  <c:v>60807</c:v>
                </c:pt>
                <c:pt idx="3106">
                  <c:v>60814</c:v>
                </c:pt>
                <c:pt idx="3107">
                  <c:v>60821</c:v>
                </c:pt>
                <c:pt idx="3108">
                  <c:v>60828</c:v>
                </c:pt>
                <c:pt idx="3109">
                  <c:v>60835</c:v>
                </c:pt>
                <c:pt idx="3110">
                  <c:v>60842</c:v>
                </c:pt>
                <c:pt idx="3111">
                  <c:v>60849</c:v>
                </c:pt>
                <c:pt idx="3112">
                  <c:v>60856</c:v>
                </c:pt>
                <c:pt idx="3113">
                  <c:v>60863</c:v>
                </c:pt>
                <c:pt idx="3114">
                  <c:v>60870</c:v>
                </c:pt>
                <c:pt idx="3115">
                  <c:v>60877</c:v>
                </c:pt>
                <c:pt idx="3116">
                  <c:v>60884</c:v>
                </c:pt>
                <c:pt idx="3117">
                  <c:v>60891</c:v>
                </c:pt>
                <c:pt idx="3118">
                  <c:v>60898</c:v>
                </c:pt>
                <c:pt idx="3119">
                  <c:v>60905</c:v>
                </c:pt>
                <c:pt idx="3120">
                  <c:v>60912</c:v>
                </c:pt>
                <c:pt idx="3121">
                  <c:v>60919</c:v>
                </c:pt>
                <c:pt idx="3122">
                  <c:v>60926</c:v>
                </c:pt>
                <c:pt idx="3123">
                  <c:v>60933</c:v>
                </c:pt>
                <c:pt idx="3124">
                  <c:v>60940</c:v>
                </c:pt>
                <c:pt idx="3125">
                  <c:v>60947</c:v>
                </c:pt>
                <c:pt idx="3126">
                  <c:v>60954</c:v>
                </c:pt>
                <c:pt idx="3127">
                  <c:v>60961</c:v>
                </c:pt>
                <c:pt idx="3128">
                  <c:v>60968</c:v>
                </c:pt>
                <c:pt idx="3129">
                  <c:v>60975</c:v>
                </c:pt>
                <c:pt idx="3130">
                  <c:v>60982</c:v>
                </c:pt>
                <c:pt idx="3131">
                  <c:v>60989</c:v>
                </c:pt>
                <c:pt idx="3132">
                  <c:v>60996</c:v>
                </c:pt>
                <c:pt idx="3133">
                  <c:v>61003</c:v>
                </c:pt>
                <c:pt idx="3134">
                  <c:v>61010</c:v>
                </c:pt>
                <c:pt idx="3135">
                  <c:v>61017</c:v>
                </c:pt>
                <c:pt idx="3136">
                  <c:v>61024</c:v>
                </c:pt>
                <c:pt idx="3137">
                  <c:v>61031</c:v>
                </c:pt>
                <c:pt idx="3138">
                  <c:v>61038</c:v>
                </c:pt>
                <c:pt idx="3139">
                  <c:v>61045</c:v>
                </c:pt>
                <c:pt idx="3140">
                  <c:v>61052</c:v>
                </c:pt>
                <c:pt idx="3141">
                  <c:v>61059</c:v>
                </c:pt>
                <c:pt idx="3142">
                  <c:v>61066</c:v>
                </c:pt>
                <c:pt idx="3143">
                  <c:v>61073</c:v>
                </c:pt>
                <c:pt idx="3144">
                  <c:v>61080</c:v>
                </c:pt>
                <c:pt idx="3145">
                  <c:v>61087</c:v>
                </c:pt>
                <c:pt idx="3146">
                  <c:v>61094</c:v>
                </c:pt>
                <c:pt idx="3147">
                  <c:v>61101</c:v>
                </c:pt>
                <c:pt idx="3148">
                  <c:v>61108</c:v>
                </c:pt>
                <c:pt idx="3149">
                  <c:v>61115</c:v>
                </c:pt>
                <c:pt idx="3150">
                  <c:v>61122</c:v>
                </c:pt>
                <c:pt idx="3151">
                  <c:v>61129</c:v>
                </c:pt>
                <c:pt idx="3152">
                  <c:v>61136</c:v>
                </c:pt>
                <c:pt idx="3153">
                  <c:v>61143</c:v>
                </c:pt>
                <c:pt idx="3154">
                  <c:v>61150</c:v>
                </c:pt>
                <c:pt idx="3155">
                  <c:v>61157</c:v>
                </c:pt>
                <c:pt idx="3156">
                  <c:v>61164</c:v>
                </c:pt>
                <c:pt idx="3157">
                  <c:v>61171</c:v>
                </c:pt>
                <c:pt idx="3158">
                  <c:v>61178</c:v>
                </c:pt>
                <c:pt idx="3159">
                  <c:v>61185</c:v>
                </c:pt>
                <c:pt idx="3160">
                  <c:v>61192</c:v>
                </c:pt>
                <c:pt idx="3161">
                  <c:v>61199</c:v>
                </c:pt>
                <c:pt idx="3162">
                  <c:v>61206</c:v>
                </c:pt>
                <c:pt idx="3163">
                  <c:v>61213</c:v>
                </c:pt>
                <c:pt idx="3164">
                  <c:v>61220</c:v>
                </c:pt>
                <c:pt idx="3165">
                  <c:v>61227</c:v>
                </c:pt>
                <c:pt idx="3166">
                  <c:v>61234</c:v>
                </c:pt>
                <c:pt idx="3167">
                  <c:v>61241</c:v>
                </c:pt>
                <c:pt idx="3168">
                  <c:v>61248</c:v>
                </c:pt>
                <c:pt idx="3169">
                  <c:v>61255</c:v>
                </c:pt>
                <c:pt idx="3170">
                  <c:v>61262</c:v>
                </c:pt>
                <c:pt idx="3171">
                  <c:v>61269</c:v>
                </c:pt>
                <c:pt idx="3172">
                  <c:v>61276</c:v>
                </c:pt>
                <c:pt idx="3173">
                  <c:v>61283</c:v>
                </c:pt>
                <c:pt idx="3174">
                  <c:v>61290</c:v>
                </c:pt>
                <c:pt idx="3175">
                  <c:v>61297</c:v>
                </c:pt>
                <c:pt idx="3176">
                  <c:v>61304</c:v>
                </c:pt>
                <c:pt idx="3177">
                  <c:v>61311</c:v>
                </c:pt>
                <c:pt idx="3178">
                  <c:v>61318</c:v>
                </c:pt>
                <c:pt idx="3179">
                  <c:v>61325</c:v>
                </c:pt>
                <c:pt idx="3180">
                  <c:v>61332</c:v>
                </c:pt>
                <c:pt idx="3181">
                  <c:v>61339</c:v>
                </c:pt>
                <c:pt idx="3182">
                  <c:v>61346</c:v>
                </c:pt>
                <c:pt idx="3183">
                  <c:v>61353</c:v>
                </c:pt>
                <c:pt idx="3184">
                  <c:v>61360</c:v>
                </c:pt>
                <c:pt idx="3185">
                  <c:v>61367</c:v>
                </c:pt>
                <c:pt idx="3186">
                  <c:v>61374</c:v>
                </c:pt>
                <c:pt idx="3187">
                  <c:v>61381</c:v>
                </c:pt>
                <c:pt idx="3188">
                  <c:v>61388</c:v>
                </c:pt>
                <c:pt idx="3189">
                  <c:v>61395</c:v>
                </c:pt>
                <c:pt idx="3190">
                  <c:v>61402</c:v>
                </c:pt>
                <c:pt idx="3191">
                  <c:v>61409</c:v>
                </c:pt>
                <c:pt idx="3192">
                  <c:v>61416</c:v>
                </c:pt>
                <c:pt idx="3193">
                  <c:v>61423</c:v>
                </c:pt>
                <c:pt idx="3194">
                  <c:v>61430</c:v>
                </c:pt>
                <c:pt idx="3195">
                  <c:v>61437</c:v>
                </c:pt>
                <c:pt idx="3196">
                  <c:v>61444</c:v>
                </c:pt>
                <c:pt idx="3197">
                  <c:v>61451</c:v>
                </c:pt>
                <c:pt idx="3198">
                  <c:v>61458</c:v>
                </c:pt>
                <c:pt idx="3199">
                  <c:v>61465</c:v>
                </c:pt>
                <c:pt idx="3200">
                  <c:v>61472</c:v>
                </c:pt>
                <c:pt idx="3201">
                  <c:v>61479</c:v>
                </c:pt>
                <c:pt idx="3202">
                  <c:v>61487</c:v>
                </c:pt>
                <c:pt idx="3203">
                  <c:v>61494</c:v>
                </c:pt>
                <c:pt idx="3204">
                  <c:v>61501</c:v>
                </c:pt>
                <c:pt idx="3205">
                  <c:v>61508</c:v>
                </c:pt>
                <c:pt idx="3206">
                  <c:v>61515</c:v>
                </c:pt>
                <c:pt idx="3207">
                  <c:v>61522</c:v>
                </c:pt>
                <c:pt idx="3208">
                  <c:v>61529</c:v>
                </c:pt>
                <c:pt idx="3209">
                  <c:v>61536</c:v>
                </c:pt>
                <c:pt idx="3210">
                  <c:v>61543</c:v>
                </c:pt>
                <c:pt idx="3211">
                  <c:v>61550</c:v>
                </c:pt>
                <c:pt idx="3212">
                  <c:v>61557</c:v>
                </c:pt>
                <c:pt idx="3213">
                  <c:v>61564</c:v>
                </c:pt>
                <c:pt idx="3214">
                  <c:v>61571</c:v>
                </c:pt>
                <c:pt idx="3215">
                  <c:v>61578</c:v>
                </c:pt>
                <c:pt idx="3216">
                  <c:v>61585</c:v>
                </c:pt>
                <c:pt idx="3217">
                  <c:v>61592</c:v>
                </c:pt>
                <c:pt idx="3218">
                  <c:v>61599</c:v>
                </c:pt>
                <c:pt idx="3219">
                  <c:v>61606</c:v>
                </c:pt>
                <c:pt idx="3220">
                  <c:v>61613</c:v>
                </c:pt>
                <c:pt idx="3221">
                  <c:v>61620</c:v>
                </c:pt>
                <c:pt idx="3222">
                  <c:v>61627</c:v>
                </c:pt>
                <c:pt idx="3223">
                  <c:v>61634</c:v>
                </c:pt>
                <c:pt idx="3224">
                  <c:v>61641</c:v>
                </c:pt>
                <c:pt idx="3225">
                  <c:v>61648</c:v>
                </c:pt>
                <c:pt idx="3226">
                  <c:v>61655</c:v>
                </c:pt>
                <c:pt idx="3227">
                  <c:v>61662</c:v>
                </c:pt>
                <c:pt idx="3228">
                  <c:v>61669</c:v>
                </c:pt>
                <c:pt idx="3229">
                  <c:v>61676</c:v>
                </c:pt>
                <c:pt idx="3230">
                  <c:v>61683</c:v>
                </c:pt>
                <c:pt idx="3231">
                  <c:v>61690</c:v>
                </c:pt>
                <c:pt idx="3232">
                  <c:v>61697</c:v>
                </c:pt>
                <c:pt idx="3233">
                  <c:v>61704</c:v>
                </c:pt>
                <c:pt idx="3234">
                  <c:v>61711</c:v>
                </c:pt>
                <c:pt idx="3235">
                  <c:v>61718</c:v>
                </c:pt>
                <c:pt idx="3236">
                  <c:v>61728</c:v>
                </c:pt>
                <c:pt idx="3237">
                  <c:v>61735</c:v>
                </c:pt>
                <c:pt idx="3238">
                  <c:v>61742</c:v>
                </c:pt>
                <c:pt idx="3239">
                  <c:v>61749</c:v>
                </c:pt>
                <c:pt idx="3240">
                  <c:v>61756</c:v>
                </c:pt>
                <c:pt idx="3241">
                  <c:v>61763</c:v>
                </c:pt>
                <c:pt idx="3242">
                  <c:v>61770</c:v>
                </c:pt>
                <c:pt idx="3243">
                  <c:v>61777</c:v>
                </c:pt>
                <c:pt idx="3244">
                  <c:v>61784</c:v>
                </c:pt>
                <c:pt idx="3245">
                  <c:v>61791</c:v>
                </c:pt>
                <c:pt idx="3246">
                  <c:v>61798</c:v>
                </c:pt>
                <c:pt idx="3247">
                  <c:v>61805</c:v>
                </c:pt>
                <c:pt idx="3248">
                  <c:v>61812</c:v>
                </c:pt>
                <c:pt idx="3249">
                  <c:v>61819</c:v>
                </c:pt>
                <c:pt idx="3250">
                  <c:v>61826</c:v>
                </c:pt>
                <c:pt idx="3251">
                  <c:v>61835</c:v>
                </c:pt>
                <c:pt idx="3252">
                  <c:v>61840</c:v>
                </c:pt>
                <c:pt idx="3253">
                  <c:v>61847</c:v>
                </c:pt>
                <c:pt idx="3254">
                  <c:v>61854</c:v>
                </c:pt>
                <c:pt idx="3255">
                  <c:v>61861</c:v>
                </c:pt>
                <c:pt idx="3256">
                  <c:v>61868</c:v>
                </c:pt>
                <c:pt idx="3257">
                  <c:v>61875</c:v>
                </c:pt>
                <c:pt idx="3258">
                  <c:v>61882</c:v>
                </c:pt>
                <c:pt idx="3259">
                  <c:v>61889</c:v>
                </c:pt>
                <c:pt idx="3260">
                  <c:v>61896</c:v>
                </c:pt>
                <c:pt idx="3261">
                  <c:v>61903</c:v>
                </c:pt>
                <c:pt idx="3262">
                  <c:v>61910</c:v>
                </c:pt>
                <c:pt idx="3263">
                  <c:v>61917</c:v>
                </c:pt>
                <c:pt idx="3264">
                  <c:v>61924</c:v>
                </c:pt>
                <c:pt idx="3265">
                  <c:v>61931</c:v>
                </c:pt>
                <c:pt idx="3266">
                  <c:v>61938</c:v>
                </c:pt>
                <c:pt idx="3267">
                  <c:v>61945</c:v>
                </c:pt>
                <c:pt idx="3268">
                  <c:v>61952</c:v>
                </c:pt>
                <c:pt idx="3269">
                  <c:v>61959</c:v>
                </c:pt>
                <c:pt idx="3270">
                  <c:v>61966</c:v>
                </c:pt>
                <c:pt idx="3271">
                  <c:v>61973</c:v>
                </c:pt>
                <c:pt idx="3272">
                  <c:v>61980</c:v>
                </c:pt>
                <c:pt idx="3273">
                  <c:v>61987</c:v>
                </c:pt>
                <c:pt idx="3274">
                  <c:v>61994</c:v>
                </c:pt>
                <c:pt idx="3275">
                  <c:v>62001</c:v>
                </c:pt>
                <c:pt idx="3276">
                  <c:v>62008</c:v>
                </c:pt>
                <c:pt idx="3277">
                  <c:v>62015</c:v>
                </c:pt>
                <c:pt idx="3278">
                  <c:v>62022</c:v>
                </c:pt>
                <c:pt idx="3279">
                  <c:v>62029</c:v>
                </c:pt>
                <c:pt idx="3280">
                  <c:v>62036</c:v>
                </c:pt>
                <c:pt idx="3281">
                  <c:v>62043</c:v>
                </c:pt>
                <c:pt idx="3282">
                  <c:v>62050</c:v>
                </c:pt>
                <c:pt idx="3283">
                  <c:v>62057</c:v>
                </c:pt>
                <c:pt idx="3284">
                  <c:v>62064</c:v>
                </c:pt>
                <c:pt idx="3285">
                  <c:v>62071</c:v>
                </c:pt>
                <c:pt idx="3286">
                  <c:v>62078</c:v>
                </c:pt>
                <c:pt idx="3287">
                  <c:v>62085</c:v>
                </c:pt>
                <c:pt idx="3288">
                  <c:v>62093</c:v>
                </c:pt>
                <c:pt idx="3289">
                  <c:v>62100</c:v>
                </c:pt>
                <c:pt idx="3290">
                  <c:v>62107</c:v>
                </c:pt>
                <c:pt idx="3291">
                  <c:v>62114</c:v>
                </c:pt>
                <c:pt idx="3292">
                  <c:v>62121</c:v>
                </c:pt>
                <c:pt idx="3293">
                  <c:v>62128</c:v>
                </c:pt>
                <c:pt idx="3294">
                  <c:v>62135</c:v>
                </c:pt>
                <c:pt idx="3295">
                  <c:v>62142</c:v>
                </c:pt>
                <c:pt idx="3296">
                  <c:v>62149</c:v>
                </c:pt>
                <c:pt idx="3297">
                  <c:v>62156</c:v>
                </c:pt>
                <c:pt idx="3298">
                  <c:v>62163</c:v>
                </c:pt>
                <c:pt idx="3299">
                  <c:v>62170</c:v>
                </c:pt>
                <c:pt idx="3300">
                  <c:v>62177</c:v>
                </c:pt>
                <c:pt idx="3301">
                  <c:v>62186</c:v>
                </c:pt>
                <c:pt idx="3302">
                  <c:v>62193</c:v>
                </c:pt>
                <c:pt idx="3303">
                  <c:v>62200</c:v>
                </c:pt>
                <c:pt idx="3304">
                  <c:v>62207</c:v>
                </c:pt>
                <c:pt idx="3305">
                  <c:v>62215</c:v>
                </c:pt>
                <c:pt idx="3306">
                  <c:v>62221</c:v>
                </c:pt>
                <c:pt idx="3307">
                  <c:v>62228</c:v>
                </c:pt>
                <c:pt idx="3308">
                  <c:v>62235</c:v>
                </c:pt>
                <c:pt idx="3309">
                  <c:v>62242</c:v>
                </c:pt>
                <c:pt idx="3310">
                  <c:v>62249</c:v>
                </c:pt>
                <c:pt idx="3311">
                  <c:v>62256</c:v>
                </c:pt>
                <c:pt idx="3312">
                  <c:v>62263</c:v>
                </c:pt>
                <c:pt idx="3313">
                  <c:v>62270</c:v>
                </c:pt>
                <c:pt idx="3314">
                  <c:v>62277</c:v>
                </c:pt>
                <c:pt idx="3315">
                  <c:v>62284</c:v>
                </c:pt>
                <c:pt idx="3316">
                  <c:v>62291</c:v>
                </c:pt>
                <c:pt idx="3317">
                  <c:v>62298</c:v>
                </c:pt>
                <c:pt idx="3318">
                  <c:v>62305</c:v>
                </c:pt>
                <c:pt idx="3319">
                  <c:v>62312</c:v>
                </c:pt>
                <c:pt idx="3320">
                  <c:v>62319</c:v>
                </c:pt>
                <c:pt idx="3321">
                  <c:v>62326</c:v>
                </c:pt>
                <c:pt idx="3322">
                  <c:v>62333</c:v>
                </c:pt>
                <c:pt idx="3323">
                  <c:v>62340</c:v>
                </c:pt>
                <c:pt idx="3324">
                  <c:v>62347</c:v>
                </c:pt>
                <c:pt idx="3325">
                  <c:v>62354</c:v>
                </c:pt>
                <c:pt idx="3326">
                  <c:v>62361</c:v>
                </c:pt>
                <c:pt idx="3327">
                  <c:v>62368</c:v>
                </c:pt>
                <c:pt idx="3328">
                  <c:v>62375</c:v>
                </c:pt>
                <c:pt idx="3329">
                  <c:v>62382</c:v>
                </c:pt>
                <c:pt idx="3330">
                  <c:v>62389</c:v>
                </c:pt>
                <c:pt idx="3331">
                  <c:v>62396</c:v>
                </c:pt>
                <c:pt idx="3332">
                  <c:v>62403</c:v>
                </c:pt>
                <c:pt idx="3333">
                  <c:v>62410</c:v>
                </c:pt>
                <c:pt idx="3334">
                  <c:v>62417</c:v>
                </c:pt>
                <c:pt idx="3335">
                  <c:v>62424</c:v>
                </c:pt>
                <c:pt idx="3336">
                  <c:v>62431</c:v>
                </c:pt>
                <c:pt idx="3337">
                  <c:v>62438</c:v>
                </c:pt>
                <c:pt idx="3338">
                  <c:v>62445</c:v>
                </c:pt>
                <c:pt idx="3339">
                  <c:v>62456</c:v>
                </c:pt>
                <c:pt idx="3340">
                  <c:v>62460</c:v>
                </c:pt>
                <c:pt idx="3341">
                  <c:v>62466</c:v>
                </c:pt>
                <c:pt idx="3342">
                  <c:v>62473</c:v>
                </c:pt>
                <c:pt idx="3343">
                  <c:v>62480</c:v>
                </c:pt>
                <c:pt idx="3344">
                  <c:v>62487</c:v>
                </c:pt>
                <c:pt idx="3345">
                  <c:v>62494</c:v>
                </c:pt>
                <c:pt idx="3346">
                  <c:v>62501</c:v>
                </c:pt>
                <c:pt idx="3347">
                  <c:v>62508</c:v>
                </c:pt>
                <c:pt idx="3348">
                  <c:v>62515</c:v>
                </c:pt>
                <c:pt idx="3349">
                  <c:v>62522</c:v>
                </c:pt>
                <c:pt idx="3350">
                  <c:v>62529</c:v>
                </c:pt>
                <c:pt idx="3351">
                  <c:v>62536</c:v>
                </c:pt>
                <c:pt idx="3352">
                  <c:v>62543</c:v>
                </c:pt>
                <c:pt idx="3353">
                  <c:v>62550</c:v>
                </c:pt>
                <c:pt idx="3354">
                  <c:v>62557</c:v>
                </c:pt>
                <c:pt idx="3355">
                  <c:v>62564</c:v>
                </c:pt>
                <c:pt idx="3356">
                  <c:v>62571</c:v>
                </c:pt>
                <c:pt idx="3357">
                  <c:v>62578</c:v>
                </c:pt>
                <c:pt idx="3358">
                  <c:v>62585</c:v>
                </c:pt>
                <c:pt idx="3359">
                  <c:v>62592</c:v>
                </c:pt>
                <c:pt idx="3360">
                  <c:v>62599</c:v>
                </c:pt>
                <c:pt idx="3361">
                  <c:v>62606</c:v>
                </c:pt>
                <c:pt idx="3362">
                  <c:v>62613</c:v>
                </c:pt>
                <c:pt idx="3363">
                  <c:v>62620</c:v>
                </c:pt>
                <c:pt idx="3364">
                  <c:v>62627</c:v>
                </c:pt>
                <c:pt idx="3365">
                  <c:v>62634</c:v>
                </c:pt>
                <c:pt idx="3366">
                  <c:v>62641</c:v>
                </c:pt>
                <c:pt idx="3367">
                  <c:v>62648</c:v>
                </c:pt>
                <c:pt idx="3368">
                  <c:v>62655</c:v>
                </c:pt>
                <c:pt idx="3369">
                  <c:v>62662</c:v>
                </c:pt>
                <c:pt idx="3370">
                  <c:v>62669</c:v>
                </c:pt>
                <c:pt idx="3371">
                  <c:v>62676</c:v>
                </c:pt>
                <c:pt idx="3372">
                  <c:v>62683</c:v>
                </c:pt>
                <c:pt idx="3373">
                  <c:v>62690</c:v>
                </c:pt>
                <c:pt idx="3374">
                  <c:v>62697</c:v>
                </c:pt>
                <c:pt idx="3375">
                  <c:v>62704</c:v>
                </c:pt>
                <c:pt idx="3376">
                  <c:v>62711</c:v>
                </c:pt>
                <c:pt idx="3377">
                  <c:v>62718</c:v>
                </c:pt>
                <c:pt idx="3378">
                  <c:v>62725</c:v>
                </c:pt>
                <c:pt idx="3379">
                  <c:v>62732</c:v>
                </c:pt>
                <c:pt idx="3380">
                  <c:v>62739</c:v>
                </c:pt>
                <c:pt idx="3381">
                  <c:v>62746</c:v>
                </c:pt>
                <c:pt idx="3382">
                  <c:v>62753</c:v>
                </c:pt>
                <c:pt idx="3383">
                  <c:v>62760</c:v>
                </c:pt>
                <c:pt idx="3384">
                  <c:v>62767</c:v>
                </c:pt>
                <c:pt idx="3385">
                  <c:v>62774</c:v>
                </c:pt>
                <c:pt idx="3386">
                  <c:v>62781</c:v>
                </c:pt>
                <c:pt idx="3387">
                  <c:v>62788</c:v>
                </c:pt>
                <c:pt idx="3388">
                  <c:v>62795</c:v>
                </c:pt>
                <c:pt idx="3389">
                  <c:v>62802</c:v>
                </c:pt>
                <c:pt idx="3390">
                  <c:v>62809</c:v>
                </c:pt>
                <c:pt idx="3391">
                  <c:v>62816</c:v>
                </c:pt>
                <c:pt idx="3392">
                  <c:v>62823</c:v>
                </c:pt>
                <c:pt idx="3393">
                  <c:v>62830</c:v>
                </c:pt>
                <c:pt idx="3394">
                  <c:v>62837</c:v>
                </c:pt>
                <c:pt idx="3395">
                  <c:v>62844</c:v>
                </c:pt>
                <c:pt idx="3396">
                  <c:v>62851</c:v>
                </c:pt>
                <c:pt idx="3397">
                  <c:v>62858</c:v>
                </c:pt>
                <c:pt idx="3398">
                  <c:v>62865</c:v>
                </c:pt>
                <c:pt idx="3399">
                  <c:v>62872</c:v>
                </c:pt>
                <c:pt idx="3400">
                  <c:v>62879</c:v>
                </c:pt>
                <c:pt idx="3401">
                  <c:v>62886</c:v>
                </c:pt>
                <c:pt idx="3402">
                  <c:v>62893</c:v>
                </c:pt>
                <c:pt idx="3403">
                  <c:v>62900</c:v>
                </c:pt>
                <c:pt idx="3404">
                  <c:v>62907</c:v>
                </c:pt>
                <c:pt idx="3405">
                  <c:v>62914</c:v>
                </c:pt>
                <c:pt idx="3406">
                  <c:v>62921</c:v>
                </c:pt>
                <c:pt idx="3407">
                  <c:v>62928</c:v>
                </c:pt>
                <c:pt idx="3408">
                  <c:v>62935</c:v>
                </c:pt>
                <c:pt idx="3409">
                  <c:v>62942</c:v>
                </c:pt>
                <c:pt idx="3410">
                  <c:v>62949</c:v>
                </c:pt>
                <c:pt idx="3411">
                  <c:v>62956</c:v>
                </c:pt>
                <c:pt idx="3412">
                  <c:v>62963</c:v>
                </c:pt>
                <c:pt idx="3413">
                  <c:v>62970</c:v>
                </c:pt>
                <c:pt idx="3414">
                  <c:v>62977</c:v>
                </c:pt>
                <c:pt idx="3415">
                  <c:v>62984</c:v>
                </c:pt>
                <c:pt idx="3416">
                  <c:v>62991</c:v>
                </c:pt>
                <c:pt idx="3417">
                  <c:v>62998</c:v>
                </c:pt>
                <c:pt idx="3418">
                  <c:v>63005</c:v>
                </c:pt>
                <c:pt idx="3419">
                  <c:v>63012</c:v>
                </c:pt>
                <c:pt idx="3420">
                  <c:v>63019</c:v>
                </c:pt>
                <c:pt idx="3421">
                  <c:v>63026</c:v>
                </c:pt>
                <c:pt idx="3422">
                  <c:v>63033</c:v>
                </c:pt>
                <c:pt idx="3423">
                  <c:v>63040</c:v>
                </c:pt>
                <c:pt idx="3424">
                  <c:v>63047</c:v>
                </c:pt>
                <c:pt idx="3425">
                  <c:v>63054</c:v>
                </c:pt>
                <c:pt idx="3426">
                  <c:v>63061</c:v>
                </c:pt>
                <c:pt idx="3427">
                  <c:v>63068</c:v>
                </c:pt>
                <c:pt idx="3428">
                  <c:v>63075</c:v>
                </c:pt>
                <c:pt idx="3429">
                  <c:v>63082</c:v>
                </c:pt>
                <c:pt idx="3430">
                  <c:v>63089</c:v>
                </c:pt>
                <c:pt idx="3431">
                  <c:v>63096</c:v>
                </c:pt>
                <c:pt idx="3432">
                  <c:v>63103</c:v>
                </c:pt>
                <c:pt idx="3433">
                  <c:v>63110</c:v>
                </c:pt>
                <c:pt idx="3434">
                  <c:v>63117</c:v>
                </c:pt>
                <c:pt idx="3435">
                  <c:v>63124</c:v>
                </c:pt>
                <c:pt idx="3436">
                  <c:v>63131</c:v>
                </c:pt>
                <c:pt idx="3437">
                  <c:v>63138</c:v>
                </c:pt>
                <c:pt idx="3438">
                  <c:v>63145</c:v>
                </c:pt>
                <c:pt idx="3439">
                  <c:v>63152</c:v>
                </c:pt>
                <c:pt idx="3440">
                  <c:v>63159</c:v>
                </c:pt>
                <c:pt idx="3441">
                  <c:v>63166</c:v>
                </c:pt>
                <c:pt idx="3442">
                  <c:v>63173</c:v>
                </c:pt>
                <c:pt idx="3443">
                  <c:v>63180</c:v>
                </c:pt>
                <c:pt idx="3444">
                  <c:v>63187</c:v>
                </c:pt>
                <c:pt idx="3445">
                  <c:v>63194</c:v>
                </c:pt>
                <c:pt idx="3446">
                  <c:v>63201</c:v>
                </c:pt>
                <c:pt idx="3447">
                  <c:v>63208</c:v>
                </c:pt>
                <c:pt idx="3448">
                  <c:v>63215</c:v>
                </c:pt>
                <c:pt idx="3449">
                  <c:v>63222</c:v>
                </c:pt>
                <c:pt idx="3450">
                  <c:v>63229</c:v>
                </c:pt>
                <c:pt idx="3451">
                  <c:v>63236</c:v>
                </c:pt>
                <c:pt idx="3452">
                  <c:v>63243</c:v>
                </c:pt>
                <c:pt idx="3453">
                  <c:v>63250</c:v>
                </c:pt>
                <c:pt idx="3454">
                  <c:v>63257</c:v>
                </c:pt>
                <c:pt idx="3455">
                  <c:v>63264</c:v>
                </c:pt>
                <c:pt idx="3456">
                  <c:v>63271</c:v>
                </c:pt>
                <c:pt idx="3457">
                  <c:v>63278</c:v>
                </c:pt>
                <c:pt idx="3458">
                  <c:v>63285</c:v>
                </c:pt>
                <c:pt idx="3459">
                  <c:v>63292</c:v>
                </c:pt>
                <c:pt idx="3460">
                  <c:v>63299</c:v>
                </c:pt>
                <c:pt idx="3461">
                  <c:v>63306</c:v>
                </c:pt>
                <c:pt idx="3462">
                  <c:v>63313</c:v>
                </c:pt>
                <c:pt idx="3463">
                  <c:v>63320</c:v>
                </c:pt>
                <c:pt idx="3464">
                  <c:v>63327</c:v>
                </c:pt>
                <c:pt idx="3465">
                  <c:v>63334</c:v>
                </c:pt>
                <c:pt idx="3466">
                  <c:v>63341</c:v>
                </c:pt>
                <c:pt idx="3467">
                  <c:v>63348</c:v>
                </c:pt>
                <c:pt idx="3468">
                  <c:v>63355</c:v>
                </c:pt>
                <c:pt idx="3469">
                  <c:v>63362</c:v>
                </c:pt>
                <c:pt idx="3470">
                  <c:v>63369</c:v>
                </c:pt>
                <c:pt idx="3471">
                  <c:v>63376</c:v>
                </c:pt>
                <c:pt idx="3472">
                  <c:v>63383</c:v>
                </c:pt>
                <c:pt idx="3473">
                  <c:v>63390</c:v>
                </c:pt>
                <c:pt idx="3474">
                  <c:v>63397</c:v>
                </c:pt>
                <c:pt idx="3475">
                  <c:v>63404</c:v>
                </c:pt>
                <c:pt idx="3476">
                  <c:v>63411</c:v>
                </c:pt>
                <c:pt idx="3477">
                  <c:v>63418</c:v>
                </c:pt>
                <c:pt idx="3478">
                  <c:v>63425</c:v>
                </c:pt>
                <c:pt idx="3479">
                  <c:v>63432</c:v>
                </c:pt>
                <c:pt idx="3480">
                  <c:v>63439</c:v>
                </c:pt>
                <c:pt idx="3481">
                  <c:v>63446</c:v>
                </c:pt>
                <c:pt idx="3482">
                  <c:v>63453</c:v>
                </c:pt>
                <c:pt idx="3483">
                  <c:v>63460</c:v>
                </c:pt>
                <c:pt idx="3484">
                  <c:v>63467</c:v>
                </c:pt>
                <c:pt idx="3485">
                  <c:v>63474</c:v>
                </c:pt>
                <c:pt idx="3486">
                  <c:v>63481</c:v>
                </c:pt>
                <c:pt idx="3487">
                  <c:v>63488</c:v>
                </c:pt>
                <c:pt idx="3488">
                  <c:v>63495</c:v>
                </c:pt>
                <c:pt idx="3489">
                  <c:v>63502</c:v>
                </c:pt>
                <c:pt idx="3490">
                  <c:v>63509</c:v>
                </c:pt>
                <c:pt idx="3491">
                  <c:v>63516</c:v>
                </c:pt>
                <c:pt idx="3492">
                  <c:v>63523</c:v>
                </c:pt>
                <c:pt idx="3493">
                  <c:v>63530</c:v>
                </c:pt>
                <c:pt idx="3494">
                  <c:v>63537</c:v>
                </c:pt>
                <c:pt idx="3495">
                  <c:v>63544</c:v>
                </c:pt>
                <c:pt idx="3496">
                  <c:v>63552</c:v>
                </c:pt>
                <c:pt idx="3497">
                  <c:v>63559</c:v>
                </c:pt>
                <c:pt idx="3498">
                  <c:v>63566</c:v>
                </c:pt>
                <c:pt idx="3499">
                  <c:v>63573</c:v>
                </c:pt>
                <c:pt idx="3500">
                  <c:v>63580</c:v>
                </c:pt>
                <c:pt idx="3501">
                  <c:v>63587</c:v>
                </c:pt>
                <c:pt idx="3502">
                  <c:v>63594</c:v>
                </c:pt>
                <c:pt idx="3503">
                  <c:v>63601</c:v>
                </c:pt>
                <c:pt idx="3504">
                  <c:v>63608</c:v>
                </c:pt>
                <c:pt idx="3505">
                  <c:v>63615</c:v>
                </c:pt>
                <c:pt idx="3506">
                  <c:v>63622</c:v>
                </c:pt>
                <c:pt idx="3507">
                  <c:v>63629</c:v>
                </c:pt>
                <c:pt idx="3508">
                  <c:v>63636</c:v>
                </c:pt>
                <c:pt idx="3509">
                  <c:v>63643</c:v>
                </c:pt>
                <c:pt idx="3510">
                  <c:v>63650</c:v>
                </c:pt>
                <c:pt idx="3511">
                  <c:v>63661</c:v>
                </c:pt>
                <c:pt idx="3512">
                  <c:v>63664</c:v>
                </c:pt>
                <c:pt idx="3513">
                  <c:v>63671</c:v>
                </c:pt>
                <c:pt idx="3514">
                  <c:v>63678</c:v>
                </c:pt>
                <c:pt idx="3515">
                  <c:v>63685</c:v>
                </c:pt>
                <c:pt idx="3516">
                  <c:v>63692</c:v>
                </c:pt>
                <c:pt idx="3517">
                  <c:v>63699</c:v>
                </c:pt>
                <c:pt idx="3518">
                  <c:v>63706</c:v>
                </c:pt>
                <c:pt idx="3519">
                  <c:v>63713</c:v>
                </c:pt>
                <c:pt idx="3520">
                  <c:v>63720</c:v>
                </c:pt>
                <c:pt idx="3521">
                  <c:v>63727</c:v>
                </c:pt>
                <c:pt idx="3522">
                  <c:v>63734</c:v>
                </c:pt>
                <c:pt idx="3523">
                  <c:v>63741</c:v>
                </c:pt>
                <c:pt idx="3524">
                  <c:v>63748</c:v>
                </c:pt>
                <c:pt idx="3525">
                  <c:v>63755</c:v>
                </c:pt>
                <c:pt idx="3526">
                  <c:v>63762</c:v>
                </c:pt>
                <c:pt idx="3527">
                  <c:v>63769</c:v>
                </c:pt>
                <c:pt idx="3528">
                  <c:v>63776</c:v>
                </c:pt>
                <c:pt idx="3529">
                  <c:v>63783</c:v>
                </c:pt>
                <c:pt idx="3530">
                  <c:v>63790</c:v>
                </c:pt>
                <c:pt idx="3531">
                  <c:v>63797</c:v>
                </c:pt>
                <c:pt idx="3532">
                  <c:v>63804</c:v>
                </c:pt>
                <c:pt idx="3533">
                  <c:v>63811</c:v>
                </c:pt>
              </c:numCache>
            </c:numRef>
          </c:cat>
          <c:val>
            <c:numRef>
              <c:f>Monitor!$Z$19:$Z$3552</c:f>
              <c:numCache>
                <c:formatCode>0.0000%</c:formatCode>
                <c:ptCount val="3534"/>
                <c:pt idx="0">
                  <c:v>1.6670000000384988E-3</c:v>
                </c:pt>
                <c:pt idx="1">
                  <c:v>1.3303900422911852E-3</c:v>
                </c:pt>
                <c:pt idx="2">
                  <c:v>9.96298089148695E-4</c:v>
                </c:pt>
                <c:pt idx="3">
                  <c:v>7.4950585993605046E-4</c:v>
                </c:pt>
                <c:pt idx="4">
                  <c:v>5.4692054002991597E-4</c:v>
                </c:pt>
                <c:pt idx="5">
                  <c:v>6.1580176270226161E-4</c:v>
                </c:pt>
                <c:pt idx="6">
                  <c:v>6.8832799308360393E-4</c:v>
                </c:pt>
                <c:pt idx="7">
                  <c:v>7.3097493522134016E-4</c:v>
                </c:pt>
                <c:pt idx="8">
                  <c:v>7.4374257848397463E-4</c:v>
                </c:pt>
                <c:pt idx="9">
                  <c:v>6.6968144333934276E-4</c:v>
                </c:pt>
                <c:pt idx="10">
                  <c:v>5.0478041570656274E-4</c:v>
                </c:pt>
                <c:pt idx="11">
                  <c:v>4.2071287501777022E-4</c:v>
                </c:pt>
                <c:pt idx="12">
                  <c:v>3.5932728984278128E-4</c:v>
                </c:pt>
                <c:pt idx="13">
                  <c:v>3.2062364859086756E-4</c:v>
                </c:pt>
                <c:pt idx="14">
                  <c:v>3.1882309981412504E-4</c:v>
                </c:pt>
                <c:pt idx="15">
                  <c:v>3.8822012556671837E-4</c:v>
                </c:pt>
                <c:pt idx="16">
                  <c:v>4.3061908870711818E-4</c:v>
                </c:pt>
                <c:pt idx="17">
                  <c:v>4.6046431052104708E-4</c:v>
                </c:pt>
                <c:pt idx="18">
                  <c:v>4.7775578789099882E-4</c:v>
                </c:pt>
                <c:pt idx="19">
                  <c:v>4.7049353594452725E-4</c:v>
                </c:pt>
                <c:pt idx="20">
                  <c:v>4.2138423606452591E-4</c:v>
                </c:pt>
                <c:pt idx="21">
                  <c:v>3.7590699025535912E-4</c:v>
                </c:pt>
                <c:pt idx="22">
                  <c:v>3.2131590580242175E-4</c:v>
                </c:pt>
                <c:pt idx="23">
                  <c:v>2.6767608617639382E-4</c:v>
                </c:pt>
                <c:pt idx="24">
                  <c:v>1.6887624717298877E-4</c:v>
                </c:pt>
                <c:pt idx="25">
                  <c:v>7.8555971567695337E-5</c:v>
                </c:pt>
                <c:pt idx="26">
                  <c:v>3.7635728933338441E-5</c:v>
                </c:pt>
                <c:pt idx="27">
                  <c:v>-7.4060126031838536E-7</c:v>
                </c:pt>
                <c:pt idx="28">
                  <c:v>-3.6573019692731634E-5</c:v>
                </c:pt>
                <c:pt idx="29">
                  <c:v>-9.9758127598548185E-5</c:v>
                </c:pt>
                <c:pt idx="30">
                  <c:v>-1.5446359035831136E-4</c:v>
                </c:pt>
                <c:pt idx="31">
                  <c:v>-1.7757646037619423E-4</c:v>
                </c:pt>
                <c:pt idx="32">
                  <c:v>-1.981454224697643E-4</c:v>
                </c:pt>
                <c:pt idx="33">
                  <c:v>-2.1617047691879776E-4</c:v>
                </c:pt>
                <c:pt idx="34">
                  <c:v>-2.4374073094524107E-4</c:v>
                </c:pt>
                <c:pt idx="35">
                  <c:v>-2.6283162614326727E-4</c:v>
                </c:pt>
                <c:pt idx="36">
                  <c:v>-2.6813714748552542E-4</c:v>
                </c:pt>
                <c:pt idx="37">
                  <c:v>-2.7089876282193615E-4</c:v>
                </c:pt>
                <c:pt idx="38">
                  <c:v>-2.7111647203259537E-4</c:v>
                </c:pt>
                <c:pt idx="39">
                  <c:v>-2.6307201158815019E-4</c:v>
                </c:pt>
                <c:pt idx="40">
                  <c:v>-2.465482482971737E-4</c:v>
                </c:pt>
                <c:pt idx="41">
                  <c:v>-2.3404642647939511E-4</c:v>
                </c:pt>
                <c:pt idx="42">
                  <c:v>-2.1900069789637655E-4</c:v>
                </c:pt>
                <c:pt idx="43">
                  <c:v>-2.0141106214843774E-4</c:v>
                </c:pt>
                <c:pt idx="44">
                  <c:v>-1.5775202978574043E-4</c:v>
                </c:pt>
                <c:pt idx="45">
                  <c:v>-1.1652453438149024E-4</c:v>
                </c:pt>
                <c:pt idx="46">
                  <c:v>-1.0981352747130302E-4</c:v>
                </c:pt>
                <c:pt idx="47">
                  <c:v>-1.0322258392037043E-4</c:v>
                </c:pt>
                <c:pt idx="48">
                  <c:v>-9.6751703768660491E-5</c:v>
                </c:pt>
                <c:pt idx="49">
                  <c:v>-8.4210134772000345E-5</c:v>
                </c:pt>
                <c:pt idx="50">
                  <c:v>-7.2068816314718731E-5</c:v>
                </c:pt>
                <c:pt idx="51">
                  <c:v>-6.6198252839377858E-5</c:v>
                </c:pt>
                <c:pt idx="52">
                  <c:v>-6.0447752803227672E-5</c:v>
                </c:pt>
                <c:pt idx="53">
                  <c:v>-5.481731600642803E-5</c:v>
                </c:pt>
                <c:pt idx="54">
                  <c:v>-4.3956648521081831E-5</c:v>
                </c:pt>
                <c:pt idx="55">
                  <c:v>-3.3496202971328159E-5</c:v>
                </c:pt>
                <c:pt idx="56">
                  <c:v>-2.8466083210609838E-5</c:v>
                </c:pt>
                <c:pt idx="57">
                  <c:v>-2.3556026849114176E-5</c:v>
                </c:pt>
                <c:pt idx="58">
                  <c:v>-1.8766033886841171E-5</c:v>
                </c:pt>
                <c:pt idx="59">
                  <c:v>-9.5862591464879188E-6</c:v>
                </c:pt>
                <c:pt idx="60">
                  <c:v>-8.0669630975194195E-7</c:v>
                </c:pt>
                <c:pt idx="61">
                  <c:v>3.3829795764717119E-6</c:v>
                </c:pt>
                <c:pt idx="62">
                  <c:v>7.4525919036005916E-6</c:v>
                </c:pt>
                <c:pt idx="63">
                  <c:v>1.1402140911442871E-5</c:v>
                </c:pt>
                <c:pt idx="64">
                  <c:v>1.8901028289164401E-5</c:v>
                </c:pt>
                <c:pt idx="65">
                  <c:v>2.8549526902565958E-5</c:v>
                </c:pt>
                <c:pt idx="66">
                  <c:v>3.6669118141929857E-5</c:v>
                </c:pt>
                <c:pt idx="67">
                  <c:v>4.4174710769340209E-5</c:v>
                </c:pt>
                <c:pt idx="68">
                  <c:v>5.1066304944669128E-5</c:v>
                </c:pt>
                <c:pt idx="69">
                  <c:v>6.2802842286657778E-5</c:v>
                </c:pt>
                <c:pt idx="70">
                  <c:v>7.249269568632144E-5</c:v>
                </c:pt>
                <c:pt idx="71">
                  <c:v>7.6314296721946562E-5</c:v>
                </c:pt>
                <c:pt idx="72">
                  <c:v>7.9521899145618136E-5</c:v>
                </c:pt>
                <c:pt idx="73">
                  <c:v>8.2115502797464046E-5</c:v>
                </c:pt>
                <c:pt idx="74">
                  <c:v>8.525606793874374E-5</c:v>
                </c:pt>
                <c:pt idx="75">
                  <c:v>8.6349930246143458E-5</c:v>
                </c:pt>
                <c:pt idx="76">
                  <c:v>8.5873540198733167E-5</c:v>
                </c:pt>
                <c:pt idx="77">
                  <c:v>8.0146414800807975E-5</c:v>
                </c:pt>
                <c:pt idx="78">
                  <c:v>7.0121227064845471E-5</c:v>
                </c:pt>
                <c:pt idx="79">
                  <c:v>6.534684617420794E-5</c:v>
                </c:pt>
                <c:pt idx="80">
                  <c:v>5.6957282010827726E-5</c:v>
                </c:pt>
                <c:pt idx="81">
                  <c:v>3.990467457803959E-5</c:v>
                </c:pt>
                <c:pt idx="82">
                  <c:v>2.3806590379038539E-5</c:v>
                </c:pt>
                <c:pt idx="83">
                  <c:v>1.473421968434252E-5</c:v>
                </c:pt>
                <c:pt idx="84">
                  <c:v>5.0478506175011262E-6</c:v>
                </c:pt>
                <c:pt idx="85">
                  <c:v>-8.2994751071652217E-7</c:v>
                </c:pt>
                <c:pt idx="86">
                  <c:v>-4.8902980731568846E-6</c:v>
                </c:pt>
                <c:pt idx="87">
                  <c:v>-9.8763496980680543E-6</c:v>
                </c:pt>
                <c:pt idx="88">
                  <c:v>-1.2832225961822985E-5</c:v>
                </c:pt>
                <c:pt idx="89">
                  <c:v>-1.6065812480370312E-5</c:v>
                </c:pt>
                <c:pt idx="90">
                  <c:v>-1.9577109173773977E-5</c:v>
                </c:pt>
                <c:pt idx="91">
                  <c:v>-2.7525401424810525E-5</c:v>
                </c:pt>
                <c:pt idx="92">
                  <c:v>-3.6399398575248654E-5</c:v>
                </c:pt>
                <c:pt idx="93">
                  <c:v>-4.1299246422710212E-5</c:v>
                </c:pt>
                <c:pt idx="94">
                  <c:v>-4.6476804484996137E-5</c:v>
                </c:pt>
                <c:pt idx="95">
                  <c:v>-5.1932072762106429E-5</c:v>
                </c:pt>
                <c:pt idx="96">
                  <c:v>-6.3768298481647889E-5</c:v>
                </c:pt>
                <c:pt idx="97">
                  <c:v>-7.653024725939872E-5</c:v>
                </c:pt>
                <c:pt idx="98">
                  <c:v>-8.337406617098253E-5</c:v>
                </c:pt>
                <c:pt idx="99">
                  <c:v>-9.049559521745465E-5</c:v>
                </c:pt>
                <c:pt idx="100">
                  <c:v>-9.7894834358847049E-5</c:v>
                </c:pt>
                <c:pt idx="101">
                  <c:v>-1.1361897694683876E-4</c:v>
                </c:pt>
                <c:pt idx="102">
                  <c:v>-1.3026889119416296E-4</c:v>
                </c:pt>
                <c:pt idx="103">
                  <c:v>-1.3905668053038056E-4</c:v>
                </c:pt>
                <c:pt idx="104">
                  <c:v>-1.4812217964177421E-4</c:v>
                </c:pt>
                <c:pt idx="105">
                  <c:v>-1.5746538884808814E-4</c:v>
                </c:pt>
                <c:pt idx="106">
                  <c:v>-1.7707741984729353E-4</c:v>
                </c:pt>
                <c:pt idx="107">
                  <c:v>-1.9670276004024601E-4</c:v>
                </c:pt>
                <c:pt idx="108">
                  <c:v>-2.0505671588733065E-4</c:v>
                </c:pt>
                <c:pt idx="109">
                  <c:v>-2.1285937088943996E-4</c:v>
                </c:pt>
                <c:pt idx="110">
                  <c:v>-2.2011072500660589E-4</c:v>
                </c:pt>
                <c:pt idx="111">
                  <c:v>-2.3277561350454334E-4</c:v>
                </c:pt>
                <c:pt idx="112">
                  <c:v>-2.4360313382487675E-4</c:v>
                </c:pt>
                <c:pt idx="113">
                  <c:v>-2.4809798411684625E-4</c:v>
                </c:pt>
                <c:pt idx="114">
                  <c:v>-2.5204153384361661E-4</c:v>
                </c:pt>
                <c:pt idx="115">
                  <c:v>-2.5543378288528373E-4</c:v>
                </c:pt>
                <c:pt idx="116">
                  <c:v>-2.6038042379550319E-4</c:v>
                </c:pt>
                <c:pt idx="117">
                  <c:v>-2.6348977264056828E-4</c:v>
                </c:pt>
                <c:pt idx="118">
                  <c:v>-2.6412551849652743E-4</c:v>
                </c:pt>
                <c:pt idx="119">
                  <c:v>-2.6420996378728745E-4</c:v>
                </c:pt>
                <c:pt idx="120">
                  <c:v>-2.6374310851284832E-4</c:v>
                </c:pt>
                <c:pt idx="121">
                  <c:v>-2.6097153993820399E-4</c:v>
                </c:pt>
                <c:pt idx="122">
                  <c:v>-2.5636268100370785E-4</c:v>
                </c:pt>
                <c:pt idx="123">
                  <c:v>-2.5313932258352878E-4</c:v>
                </c:pt>
                <c:pt idx="124">
                  <c:v>-2.4936466347824648E-4</c:v>
                </c:pt>
                <c:pt idx="125">
                  <c:v>-2.4503870372782899E-4</c:v>
                </c:pt>
                <c:pt idx="126">
                  <c:v>-2.3454896233232603E-4</c:v>
                </c:pt>
                <c:pt idx="127">
                  <c:v>-2.2237415940651317E-4</c:v>
                </c:pt>
                <c:pt idx="128">
                  <c:v>-2.1620550817669226E-4</c:v>
                </c:pt>
                <c:pt idx="129">
                  <c:v>-2.10399368407721E-4</c:v>
                </c:pt>
                <c:pt idx="130">
                  <c:v>-2.0495574013956741E-4</c:v>
                </c:pt>
                <c:pt idx="131">
                  <c:v>-1.9527674941066664E-4</c:v>
                </c:pt>
                <c:pt idx="132">
                  <c:v>-1.8680634227496995E-4</c:v>
                </c:pt>
                <c:pt idx="133">
                  <c:v>-1.8317527175071291E-4</c:v>
                </c:pt>
                <c:pt idx="134">
                  <c:v>-1.7990671268730551E-4</c:v>
                </c:pt>
                <c:pt idx="135">
                  <c:v>-1.7700066532455594E-4</c:v>
                </c:pt>
                <c:pt idx="136">
                  <c:v>-1.723968598943415E-4</c:v>
                </c:pt>
                <c:pt idx="137">
                  <c:v>-1.6900159164112694E-4</c:v>
                </c:pt>
                <c:pt idx="138">
                  <c:v>-1.6790810230205011E-4</c:v>
                </c:pt>
                <c:pt idx="139">
                  <c:v>-1.6717712454372702E-4</c:v>
                </c:pt>
                <c:pt idx="140">
                  <c:v>-1.6680865840612569E-4</c:v>
                </c:pt>
                <c:pt idx="141">
                  <c:v>-1.6728002050214741E-4</c:v>
                </c:pt>
                <c:pt idx="142">
                  <c:v>-1.6895991014287404E-4</c:v>
                </c:pt>
                <c:pt idx="143">
                  <c:v>-1.7040400214884954E-4</c:v>
                </c:pt>
                <c:pt idx="144">
                  <c:v>-1.7221060577554681E-4</c:v>
                </c:pt>
                <c:pt idx="145">
                  <c:v>-1.8016781748908528E-4</c:v>
                </c:pt>
                <c:pt idx="146">
                  <c:v>-1.9066297093139895E-4</c:v>
                </c:pt>
                <c:pt idx="147">
                  <c:v>-1.9492903139628481E-4</c:v>
                </c:pt>
                <c:pt idx="148">
                  <c:v>-1.9916698242639086E-4</c:v>
                </c:pt>
                <c:pt idx="149">
                  <c:v>-2.0728865252284123E-4</c:v>
                </c:pt>
                <c:pt idx="150">
                  <c:v>-2.150564488889728E-4</c:v>
                </c:pt>
                <c:pt idx="151">
                  <c:v>-2.1876323128999786E-4</c:v>
                </c:pt>
                <c:pt idx="152">
                  <c:v>-2.2236377986928346E-4</c:v>
                </c:pt>
                <c:pt idx="153">
                  <c:v>-2.2585809482666974E-4</c:v>
                </c:pt>
                <c:pt idx="154">
                  <c:v>-2.324924620822344E-4</c:v>
                </c:pt>
                <c:pt idx="155">
                  <c:v>-2.387730173980529E-4</c:v>
                </c:pt>
                <c:pt idx="156">
                  <c:v>-2.417361637263582E-4</c:v>
                </c:pt>
                <c:pt idx="157">
                  <c:v>-2.4459307643276418E-4</c:v>
                </c:pt>
                <c:pt idx="158">
                  <c:v>-2.4734375539736675E-4</c:v>
                </c:pt>
                <c:pt idx="159">
                  <c:v>-2.524908240220114E-4</c:v>
                </c:pt>
                <c:pt idx="160">
                  <c:v>-2.5728413451719945E-4</c:v>
                </c:pt>
                <c:pt idx="161">
                  <c:v>-2.5950364505256118E-4</c:v>
                </c:pt>
                <c:pt idx="162">
                  <c:v>-2.6161692200599163E-4</c:v>
                </c:pt>
                <c:pt idx="163">
                  <c:v>-2.6636865017692912E-4</c:v>
                </c:pt>
                <c:pt idx="164">
                  <c:v>-2.7058980128558119E-4</c:v>
                </c:pt>
                <c:pt idx="165">
                  <c:v>-2.7206567610793542E-4</c:v>
                </c:pt>
                <c:pt idx="166">
                  <c:v>-2.734353172684223E-4</c:v>
                </c:pt>
                <c:pt idx="167">
                  <c:v>-2.7469872476704182E-4</c:v>
                </c:pt>
                <c:pt idx="168">
                  <c:v>-2.7703975764126199E-4</c:v>
                </c:pt>
                <c:pt idx="169">
                  <c:v>-2.793829182801133E-4</c:v>
                </c:pt>
                <c:pt idx="170">
                  <c:v>-2.805646060677347E-4</c:v>
                </c:pt>
                <c:pt idx="171">
                  <c:v>-2.8175242251293753E-4</c:v>
                </c:pt>
                <c:pt idx="172">
                  <c:v>-2.8294636733594558E-4</c:v>
                </c:pt>
                <c:pt idx="173">
                  <c:v>-2.853544593683921E-4</c:v>
                </c:pt>
                <c:pt idx="174">
                  <c:v>-2.8778343200475121E-4</c:v>
                </c:pt>
                <c:pt idx="175">
                  <c:v>-2.8900801947617794E-4</c:v>
                </c:pt>
                <c:pt idx="176">
                  <c:v>-2.9023873536537792E-4</c:v>
                </c:pt>
                <c:pt idx="177">
                  <c:v>-2.914755798721913E-4</c:v>
                </c:pt>
                <c:pt idx="178">
                  <c:v>-2.9396945708359823E-4</c:v>
                </c:pt>
                <c:pt idx="179">
                  <c:v>-2.9648424275663388E-4</c:v>
                </c:pt>
                <c:pt idx="180">
                  <c:v>-2.9775172967205776E-4</c:v>
                </c:pt>
                <c:pt idx="181">
                  <c:v>-2.9902534524506308E-4</c:v>
                </c:pt>
                <c:pt idx="182">
                  <c:v>-3.0030508919587362E-4</c:v>
                </c:pt>
                <c:pt idx="183">
                  <c:v>-3.028847507735577E-4</c:v>
                </c:pt>
                <c:pt idx="184">
                  <c:v>-3.0548535033592117E-4</c:v>
                </c:pt>
                <c:pt idx="185">
                  <c:v>-3.0679573685521433E-4</c:v>
                </c:pt>
                <c:pt idx="186">
                  <c:v>-3.0811225195215286E-4</c:v>
                </c:pt>
                <c:pt idx="187">
                  <c:v>-3.0943489542689662E-4</c:v>
                </c:pt>
                <c:pt idx="188">
                  <c:v>-3.1210034037165713E-4</c:v>
                </c:pt>
                <c:pt idx="189">
                  <c:v>-3.1470542288136727E-4</c:v>
                </c:pt>
                <c:pt idx="190">
                  <c:v>-3.1557071803689496E-4</c:v>
                </c:pt>
                <c:pt idx="191">
                  <c:v>-3.1595415060259313E-4</c:v>
                </c:pt>
                <c:pt idx="192">
                  <c:v>-3.1585572081826996E-4</c:v>
                </c:pt>
                <c:pt idx="193">
                  <c:v>-3.1405237874260195E-4</c:v>
                </c:pt>
                <c:pt idx="194">
                  <c:v>-3.1064337638220252E-4</c:v>
                </c:pt>
                <c:pt idx="195">
                  <c:v>-3.0813563400844401E-4</c:v>
                </c:pt>
                <c:pt idx="196">
                  <c:v>-3.0514602920472811E-4</c:v>
                </c:pt>
                <c:pt idx="197">
                  <c:v>-3.0167456173124663E-4</c:v>
                </c:pt>
                <c:pt idx="198">
                  <c:v>-2.9312517988877573E-4</c:v>
                </c:pt>
                <c:pt idx="199">
                  <c:v>-2.8297006665845004E-4</c:v>
                </c:pt>
                <c:pt idx="200">
                  <c:v>-2.7708928639569308E-4</c:v>
                </c:pt>
                <c:pt idx="201">
                  <c:v>-2.707266435431066E-4</c:v>
                </c:pt>
                <c:pt idx="202">
                  <c:v>-2.6388213786088244E-4</c:v>
                </c:pt>
                <c:pt idx="203">
                  <c:v>-2.4858674616101695E-4</c:v>
                </c:pt>
                <c:pt idx="204">
                  <c:v>-2.3168548831442592E-4</c:v>
                </c:pt>
                <c:pt idx="205">
                  <c:v>-2.2243166900359768E-4</c:v>
                </c:pt>
                <c:pt idx="206">
                  <c:v>-2.1269598678319568E-4</c:v>
                </c:pt>
                <c:pt idx="207">
                  <c:v>-2.0247844169318796E-4</c:v>
                </c:pt>
                <c:pt idx="208">
                  <c:v>-1.804370512470399E-4</c:v>
                </c:pt>
                <c:pt idx="209">
                  <c:v>-1.5678963139809099E-4</c:v>
                </c:pt>
                <c:pt idx="210">
                  <c:v>-1.4416277112072606E-4</c:v>
                </c:pt>
                <c:pt idx="211">
                  <c:v>-1.312800465536057E-4</c:v>
                </c:pt>
                <c:pt idx="212">
                  <c:v>-1.1904545317520387E-4</c:v>
                </c:pt>
                <c:pt idx="213">
                  <c:v>-9.7490007640033127E-5</c:v>
                </c:pt>
                <c:pt idx="214">
                  <c:v>-7.8848382463192479E-5</c:v>
                </c:pt>
                <c:pt idx="215">
                  <c:v>-7.0984440765364809E-5</c:v>
                </c:pt>
                <c:pt idx="216">
                  <c:v>-6.3994629595498509E-5</c:v>
                </c:pt>
                <c:pt idx="217">
                  <c:v>-5.7878949113465694E-5</c:v>
                </c:pt>
                <c:pt idx="218">
                  <c:v>-4.8561350221021371E-5</c:v>
                </c:pt>
                <c:pt idx="219">
                  <c:v>-4.2157533424180826E-5</c:v>
                </c:pt>
                <c:pt idx="220">
                  <c:v>-4.0412506341347409E-5</c:v>
                </c:pt>
                <c:pt idx="221">
                  <c:v>-3.9541609986315507E-5</c:v>
                </c:pt>
                <c:pt idx="222">
                  <c:v>-3.9544844279149061E-5</c:v>
                </c:pt>
                <c:pt idx="223">
                  <c:v>-4.2465077321196532E-5</c:v>
                </c:pt>
                <c:pt idx="224">
                  <c:v>-4.8299089447922938E-5</c:v>
                </c:pt>
                <c:pt idx="225">
                  <c:v>-5.2672977459700121E-5</c:v>
                </c:pt>
                <c:pt idx="226">
                  <c:v>-5.7920996239246847E-5</c:v>
                </c:pt>
                <c:pt idx="227">
                  <c:v>-6.4043145546754943E-5</c:v>
                </c:pt>
                <c:pt idx="228">
                  <c:v>-7.9201195428701965E-5</c:v>
                </c:pt>
                <c:pt idx="229">
                  <c:v>-9.7273048216273139E-5</c:v>
                </c:pt>
                <c:pt idx="230">
                  <c:v>-1.0776584992377991E-4</c:v>
                </c:pt>
                <c:pt idx="231">
                  <c:v>-1.1913278179953579E-4</c:v>
                </c:pt>
                <c:pt idx="232">
                  <c:v>-1.313738440034129E-4</c:v>
                </c:pt>
                <c:pt idx="233">
                  <c:v>-1.5876966522831992E-4</c:v>
                </c:pt>
                <c:pt idx="234">
                  <c:v>-1.8884160171594999E-4</c:v>
                </c:pt>
                <c:pt idx="235">
                  <c:v>-2.04026569039506E-4</c:v>
                </c:pt>
                <c:pt idx="236">
                  <c:v>-2.1865892184891322E-4</c:v>
                </c:pt>
                <c:pt idx="237">
                  <c:v>-2.3273866038397983E-4</c:v>
                </c:pt>
                <c:pt idx="238">
                  <c:v>-2.5905590330221884E-4</c:v>
                </c:pt>
                <c:pt idx="239">
                  <c:v>-2.8353147138115986E-4</c:v>
                </c:pt>
                <c:pt idx="240">
                  <c:v>-2.9484813870439552E-4</c:v>
                </c:pt>
                <c:pt idx="241">
                  <c:v>-3.0561219199309875E-4</c:v>
                </c:pt>
                <c:pt idx="242">
                  <c:v>-3.158236312073015E-4</c:v>
                </c:pt>
                <c:pt idx="243">
                  <c:v>-3.3440415270202806E-4</c:v>
                </c:pt>
                <c:pt idx="244">
                  <c:v>-3.5114324903773309E-4</c:v>
                </c:pt>
                <c:pt idx="245">
                  <c:v>-3.5859161895857028E-4</c:v>
                </c:pt>
                <c:pt idx="246">
                  <c:v>-3.6548737496477912E-4</c:v>
                </c:pt>
                <c:pt idx="247">
                  <c:v>-3.7183051737610384E-4</c:v>
                </c:pt>
                <c:pt idx="248">
                  <c:v>-3.8267434966154923E-4</c:v>
                </c:pt>
                <c:pt idx="249">
                  <c:v>-3.9167695003339276E-4</c:v>
                </c:pt>
                <c:pt idx="250">
                  <c:v>-3.9525702403064855E-4</c:v>
                </c:pt>
                <c:pt idx="251">
                  <c:v>-3.9828448455292431E-4</c:v>
                </c:pt>
                <c:pt idx="252">
                  <c:v>-4.0075933148031595E-4</c:v>
                </c:pt>
                <c:pt idx="253">
                  <c:v>-4.0386652691459801E-4</c:v>
                </c:pt>
                <c:pt idx="254">
                  <c:v>-4.0513258332097735E-4</c:v>
                </c:pt>
                <c:pt idx="255">
                  <c:v>-4.0493558694176812E-4</c:v>
                </c:pt>
                <c:pt idx="256">
                  <c:v>-4.0464209914770066E-4</c:v>
                </c:pt>
                <c:pt idx="257">
                  <c:v>-4.0434334452665865E-4</c:v>
                </c:pt>
                <c:pt idx="258">
                  <c:v>-4.0372782642350558E-4</c:v>
                </c:pt>
                <c:pt idx="259">
                  <c:v>-4.0309565761287303E-4</c:v>
                </c:pt>
                <c:pt idx="260">
                  <c:v>-4.0277056881699025E-4</c:v>
                </c:pt>
                <c:pt idx="261">
                  <c:v>-4.0244021311419687E-4</c:v>
                </c:pt>
                <c:pt idx="262">
                  <c:v>-4.0210459058442893E-4</c:v>
                </c:pt>
                <c:pt idx="263">
                  <c:v>-4.0141534173976368E-4</c:v>
                </c:pt>
                <c:pt idx="264">
                  <c:v>-4.0070943191583552E-4</c:v>
                </c:pt>
                <c:pt idx="265">
                  <c:v>-4.0034747513129076E-4</c:v>
                </c:pt>
                <c:pt idx="266">
                  <c:v>-3.9998025147980343E-4</c:v>
                </c:pt>
                <c:pt idx="267">
                  <c:v>-3.9960776104130957E-4</c:v>
                </c:pt>
                <c:pt idx="268">
                  <c:v>-3.9884478200136186E-4</c:v>
                </c:pt>
                <c:pt idx="269">
                  <c:v>-3.9806513065787641E-4</c:v>
                </c:pt>
                <c:pt idx="270">
                  <c:v>-3.9766630588466967E-4</c:v>
                </c:pt>
                <c:pt idx="271">
                  <c:v>-3.9726221432445641E-4</c:v>
                </c:pt>
                <c:pt idx="272">
                  <c:v>-3.9685285585733254E-4</c:v>
                </c:pt>
                <c:pt idx="273">
                  <c:v>-3.9601614726159085E-4</c:v>
                </c:pt>
                <c:pt idx="274">
                  <c:v>-3.951627537190916E-4</c:v>
                </c:pt>
                <c:pt idx="275">
                  <c:v>-3.9472706107712696E-4</c:v>
                </c:pt>
                <c:pt idx="276">
                  <c:v>-3.9428610156821975E-4</c:v>
                </c:pt>
                <c:pt idx="277">
                  <c:v>-3.9383987519236996E-4</c:v>
                </c:pt>
                <c:pt idx="278">
                  <c:v>-3.9292943741386921E-4</c:v>
                </c:pt>
                <c:pt idx="279">
                  <c:v>-3.920023012593532E-4</c:v>
                </c:pt>
                <c:pt idx="280">
                  <c:v>-3.9152974070866264E-4</c:v>
                </c:pt>
                <c:pt idx="281">
                  <c:v>-3.9105191313115739E-4</c:v>
                </c:pt>
                <c:pt idx="282">
                  <c:v>-3.9056881892651774E-4</c:v>
                </c:pt>
                <c:pt idx="283">
                  <c:v>-3.8958465252481034E-4</c:v>
                </c:pt>
                <c:pt idx="284">
                  <c:v>-3.8858377319872517E-4</c:v>
                </c:pt>
                <c:pt idx="285">
                  <c:v>-3.8807434465937263E-4</c:v>
                </c:pt>
                <c:pt idx="286">
                  <c:v>-3.8755964917314145E-4</c:v>
                </c:pt>
                <c:pt idx="287">
                  <c:v>-3.8703968701980784E-4</c:v>
                </c:pt>
                <c:pt idx="288">
                  <c:v>-3.8598179247451014E-4</c:v>
                </c:pt>
                <c:pt idx="289">
                  <c:v>-3.8490716957717552E-4</c:v>
                </c:pt>
                <c:pt idx="290">
                  <c:v>-3.8436087300919297E-4</c:v>
                </c:pt>
                <c:pt idx="291">
                  <c:v>-3.838093096542039E-4</c:v>
                </c:pt>
                <c:pt idx="292">
                  <c:v>-3.8325247947224028E-4</c:v>
                </c:pt>
                <c:pt idx="293">
                  <c:v>-3.8212085734290469E-4</c:v>
                </c:pt>
                <c:pt idx="294">
                  <c:v>-3.8097249015489609E-4</c:v>
                </c:pt>
                <c:pt idx="295">
                  <c:v>-3.803893257980917E-4</c:v>
                </c:pt>
                <c:pt idx="296">
                  <c:v>-3.7980089449440868E-4</c:v>
                </c:pt>
                <c:pt idx="297">
                  <c:v>-3.7920719632378308E-4</c:v>
                </c:pt>
                <c:pt idx="298">
                  <c:v>-3.7800184702341255E-4</c:v>
                </c:pt>
                <c:pt idx="299">
                  <c:v>-3.767797353715352E-4</c:v>
                </c:pt>
                <c:pt idx="300">
                  <c:v>-3.7615970290616474E-4</c:v>
                </c:pt>
                <c:pt idx="301">
                  <c:v>-3.7553440369375579E-4</c:v>
                </c:pt>
                <c:pt idx="302">
                  <c:v>-3.7490383761440427E-4</c:v>
                </c:pt>
                <c:pt idx="303">
                  <c:v>-3.7362476152935642E-4</c:v>
                </c:pt>
                <c:pt idx="304">
                  <c:v>-3.7232890478744451E-4</c:v>
                </c:pt>
                <c:pt idx="305">
                  <c:v>-3.7167200445331616E-4</c:v>
                </c:pt>
                <c:pt idx="306">
                  <c:v>-3.7100983733218129E-4</c:v>
                </c:pt>
                <c:pt idx="307">
                  <c:v>-3.7034240322419976E-4</c:v>
                </c:pt>
                <c:pt idx="308">
                  <c:v>-3.6898960082076826E-4</c:v>
                </c:pt>
                <c:pt idx="309">
                  <c:v>-3.6761999864243222E-4</c:v>
                </c:pt>
                <c:pt idx="310">
                  <c:v>-3.6692623035960992E-4</c:v>
                </c:pt>
                <c:pt idx="311">
                  <c:v>-3.6622719520984504E-4</c:v>
                </c:pt>
                <c:pt idx="312">
                  <c:v>-3.6552289319313758E-4</c:v>
                </c:pt>
                <c:pt idx="313">
                  <c:v>-3.6409636487100272E-4</c:v>
                </c:pt>
                <c:pt idx="314">
                  <c:v>-3.626530167766262E-4</c:v>
                </c:pt>
                <c:pt idx="315">
                  <c:v>-3.6192238058507797E-4</c:v>
                </c:pt>
                <c:pt idx="316">
                  <c:v>-3.6118647752658717E-4</c:v>
                </c:pt>
                <c:pt idx="317">
                  <c:v>-3.6044530752121773E-4</c:v>
                </c:pt>
                <c:pt idx="318">
                  <c:v>-3.5894505364009177E-4</c:v>
                </c:pt>
                <c:pt idx="319">
                  <c:v>-3.5742795934989857E-4</c:v>
                </c:pt>
                <c:pt idx="320">
                  <c:v>-3.5666045512972033E-4</c:v>
                </c:pt>
                <c:pt idx="321">
                  <c:v>-3.558876841625036E-4</c:v>
                </c:pt>
                <c:pt idx="322">
                  <c:v>-3.5510964620844021E-4</c:v>
                </c:pt>
                <c:pt idx="323">
                  <c:v>-3.5353566712803541E-4</c:v>
                </c:pt>
                <c:pt idx="324">
                  <c:v>-3.5194482624234524E-4</c:v>
                </c:pt>
                <c:pt idx="325">
                  <c:v>-3.5114045403350502E-4</c:v>
                </c:pt>
                <c:pt idx="326">
                  <c:v>-3.5033081503765828E-4</c:v>
                </c:pt>
                <c:pt idx="327">
                  <c:v>-3.4951590925480502E-4</c:v>
                </c:pt>
                <c:pt idx="328">
                  <c:v>-3.4786820524157491E-4</c:v>
                </c:pt>
                <c:pt idx="329">
                  <c:v>-3.4620361741399819E-4</c:v>
                </c:pt>
                <c:pt idx="330">
                  <c:v>-3.4536237729643204E-4</c:v>
                </c:pt>
                <c:pt idx="331">
                  <c:v>-3.4451587035189135E-4</c:v>
                </c:pt>
                <c:pt idx="332">
                  <c:v>-3.4237278030646578E-4</c:v>
                </c:pt>
                <c:pt idx="333">
                  <c:v>-3.4020433286485741E-4</c:v>
                </c:pt>
                <c:pt idx="334">
                  <c:v>-3.3932622483856534E-4</c:v>
                </c:pt>
                <c:pt idx="335">
                  <c:v>-3.3844284994533069E-4</c:v>
                </c:pt>
                <c:pt idx="336">
                  <c:v>-3.362076074042708E-4</c:v>
                </c:pt>
                <c:pt idx="337">
                  <c:v>-3.3394697267485896E-4</c:v>
                </c:pt>
                <c:pt idx="338">
                  <c:v>-3.3303199665990491E-4</c:v>
                </c:pt>
                <c:pt idx="339">
                  <c:v>-3.3211175373804025E-4</c:v>
                </c:pt>
                <c:pt idx="340">
                  <c:v>-3.3118624402916907E-4</c:v>
                </c:pt>
                <c:pt idx="341">
                  <c:v>-3.2931736721586446E-4</c:v>
                </c:pt>
                <c:pt idx="342">
                  <c:v>-3.2743153668413072E-4</c:v>
                </c:pt>
                <c:pt idx="343">
                  <c:v>-3.2647969276045075E-4</c:v>
                </c:pt>
                <c:pt idx="344">
                  <c:v>-3.2552258188989214E-4</c:v>
                </c:pt>
                <c:pt idx="345">
                  <c:v>-3.2456020427229504E-4</c:v>
                </c:pt>
                <c:pt idx="346">
                  <c:v>-3.2261760357865654E-4</c:v>
                </c:pt>
                <c:pt idx="347">
                  <c:v>-3.2065802505254482E-4</c:v>
                </c:pt>
                <c:pt idx="348">
                  <c:v>-3.196693130602668E-4</c:v>
                </c:pt>
                <c:pt idx="349">
                  <c:v>-3.1867533424101424E-4</c:v>
                </c:pt>
                <c:pt idx="350">
                  <c:v>-3.1767608867472319E-4</c:v>
                </c:pt>
                <c:pt idx="351">
                  <c:v>-3.1565976444714039E-4</c:v>
                </c:pt>
                <c:pt idx="352">
                  <c:v>-3.1362643766019715E-4</c:v>
                </c:pt>
                <c:pt idx="353">
                  <c:v>-3.1260085763928913E-4</c:v>
                </c:pt>
                <c:pt idx="354">
                  <c:v>-3.1157001095127868E-4</c:v>
                </c:pt>
                <c:pt idx="355">
                  <c:v>-3.1053389735635761E-4</c:v>
                </c:pt>
                <c:pt idx="356">
                  <c:v>-3.0844384968808924E-4</c:v>
                </c:pt>
                <c:pt idx="357">
                  <c:v>-3.0633677438718365E-4</c:v>
                </c:pt>
                <c:pt idx="358">
                  <c:v>-3.0527432653748576E-4</c:v>
                </c:pt>
                <c:pt idx="359">
                  <c:v>-3.0420661186081333E-4</c:v>
                </c:pt>
                <c:pt idx="360">
                  <c:v>-3.0313363019729422E-4</c:v>
                </c:pt>
                <c:pt idx="361">
                  <c:v>-3.0096985934147114E-4</c:v>
                </c:pt>
                <c:pt idx="362">
                  <c:v>-2.9878903543334445E-4</c:v>
                </c:pt>
                <c:pt idx="363">
                  <c:v>-2.9768971955501655E-4</c:v>
                </c:pt>
                <c:pt idx="364">
                  <c:v>-2.9658513696961819E-4</c:v>
                </c:pt>
                <c:pt idx="365">
                  <c:v>-2.9547528739737317E-4</c:v>
                </c:pt>
                <c:pt idx="366">
                  <c:v>-2.9323779324741395E-4</c:v>
                </c:pt>
                <c:pt idx="367">
                  <c:v>-2.909832207187435E-4</c:v>
                </c:pt>
                <c:pt idx="368">
                  <c:v>-2.8984703681178559E-4</c:v>
                </c:pt>
                <c:pt idx="369">
                  <c:v>-2.8870558619775721E-4</c:v>
                </c:pt>
                <c:pt idx="370">
                  <c:v>-2.8755886875675429E-4</c:v>
                </c:pt>
                <c:pt idx="371">
                  <c:v>-2.8524765147253106E-4</c:v>
                </c:pt>
                <c:pt idx="372">
                  <c:v>-2.829193301234767E-4</c:v>
                </c:pt>
                <c:pt idx="373">
                  <c:v>-2.8174627830779286E-4</c:v>
                </c:pt>
                <c:pt idx="374">
                  <c:v>-2.8056795966513448E-4</c:v>
                </c:pt>
                <c:pt idx="375">
                  <c:v>-2.7938437415553352E-4</c:v>
                </c:pt>
                <c:pt idx="376">
                  <c:v>-2.7699943392356374E-4</c:v>
                </c:pt>
                <c:pt idx="377">
                  <c:v>-2.7459736368751209E-4</c:v>
                </c:pt>
                <c:pt idx="378">
                  <c:v>-2.7338744396310233E-4</c:v>
                </c:pt>
                <c:pt idx="379">
                  <c:v>-2.7217225729181393E-4</c:v>
                </c:pt>
                <c:pt idx="380">
                  <c:v>-2.7095180387348705E-4</c:v>
                </c:pt>
                <c:pt idx="381">
                  <c:v>-2.6849314052057593E-4</c:v>
                </c:pt>
                <c:pt idx="382">
                  <c:v>-2.6601732141084966E-4</c:v>
                </c:pt>
                <c:pt idx="383">
                  <c:v>-2.6477053373774595E-4</c:v>
                </c:pt>
                <c:pt idx="384">
                  <c:v>-2.635184791177636E-4</c:v>
                </c:pt>
                <c:pt idx="385">
                  <c:v>-2.6226115771077474E-4</c:v>
                </c:pt>
                <c:pt idx="386">
                  <c:v>-2.5972877118363158E-4</c:v>
                </c:pt>
                <c:pt idx="387">
                  <c:v>-2.5717920337342548E-4</c:v>
                </c:pt>
                <c:pt idx="388">
                  <c:v>-2.5589554763172373E-4</c:v>
                </c:pt>
                <c:pt idx="389">
                  <c:v>-2.5460662506304743E-4</c:v>
                </c:pt>
                <c:pt idx="390">
                  <c:v>-2.533124355474925E-4</c:v>
                </c:pt>
                <c:pt idx="391">
                  <c:v>-2.5070632599266673E-4</c:v>
                </c:pt>
                <c:pt idx="392">
                  <c:v>-2.4808300929546334E-4</c:v>
                </c:pt>
                <c:pt idx="393">
                  <c:v>-2.4676248560506764E-4</c:v>
                </c:pt>
                <c:pt idx="394">
                  <c:v>-2.4543669508769739E-4</c:v>
                </c:pt>
                <c:pt idx="395">
                  <c:v>-2.4142213159805692E-4</c:v>
                </c:pt>
                <c:pt idx="396">
                  <c:v>-2.373713476977457E-4</c:v>
                </c:pt>
                <c:pt idx="397">
                  <c:v>-2.360086892316815E-4</c:v>
                </c:pt>
                <c:pt idx="398">
                  <c:v>-2.346407637388026E-4</c:v>
                </c:pt>
                <c:pt idx="399">
                  <c:v>-2.3188720742250979E-4</c:v>
                </c:pt>
                <c:pt idx="400">
                  <c:v>-2.2911639361744562E-4</c:v>
                </c:pt>
                <c:pt idx="401">
                  <c:v>-2.2772213390975793E-4</c:v>
                </c:pt>
                <c:pt idx="402">
                  <c:v>-2.2632260741506371E-4</c:v>
                </c:pt>
                <c:pt idx="403">
                  <c:v>-2.2491781393352284E-4</c:v>
                </c:pt>
                <c:pt idx="404">
                  <c:v>-2.2209053399002698E-4</c:v>
                </c:pt>
                <c:pt idx="405">
                  <c:v>-2.1924597185751793E-4</c:v>
                </c:pt>
                <c:pt idx="406">
                  <c:v>-2.1781484416116825E-4</c:v>
                </c:pt>
                <c:pt idx="407">
                  <c:v>-2.1637844955790797E-4</c:v>
                </c:pt>
                <c:pt idx="408">
                  <c:v>-2.149367882076092E-4</c:v>
                </c:pt>
                <c:pt idx="409">
                  <c:v>-2.1203578438377946E-4</c:v>
                </c:pt>
                <c:pt idx="410">
                  <c:v>-2.0911747401708425E-4</c:v>
                </c:pt>
                <c:pt idx="411">
                  <c:v>-2.0764947845197668E-4</c:v>
                </c:pt>
                <c:pt idx="412">
                  <c:v>-2.0617621586005441E-4</c:v>
                </c:pt>
                <c:pt idx="413">
                  <c:v>-2.046976864411576E-4</c:v>
                </c:pt>
                <c:pt idx="414">
                  <c:v>-2.017229584971858E-4</c:v>
                </c:pt>
                <c:pt idx="415">
                  <c:v>-1.9873090037592078E-4</c:v>
                </c:pt>
                <c:pt idx="416">
                  <c:v>-1.9722603670224714E-4</c:v>
                </c:pt>
                <c:pt idx="417">
                  <c:v>-1.957159061216629E-4</c:v>
                </c:pt>
                <c:pt idx="418">
                  <c:v>-1.9420050879404016E-4</c:v>
                </c:pt>
                <c:pt idx="419">
                  <c:v>-1.9115205626363263E-4</c:v>
                </c:pt>
                <c:pt idx="420">
                  <c:v>-1.880862506142833E-4</c:v>
                </c:pt>
                <c:pt idx="421">
                  <c:v>-1.8654451899191571E-4</c:v>
                </c:pt>
                <c:pt idx="422">
                  <c:v>-1.8499752038270145E-4</c:v>
                </c:pt>
                <c:pt idx="423">
                  <c:v>-1.8344525494651265E-4</c:v>
                </c:pt>
                <c:pt idx="424">
                  <c:v>-1.803230777097653E-4</c:v>
                </c:pt>
                <c:pt idx="425">
                  <c:v>-1.7718352477213983E-4</c:v>
                </c:pt>
                <c:pt idx="426">
                  <c:v>-1.7560492512114223E-4</c:v>
                </c:pt>
                <c:pt idx="427">
                  <c:v>-1.7402105864317008E-4</c:v>
                </c:pt>
                <c:pt idx="428">
                  <c:v>-1.7243192521831929E-4</c:v>
                </c:pt>
                <c:pt idx="429">
                  <c:v>-1.6923602264906634E-4</c:v>
                </c:pt>
                <c:pt idx="430">
                  <c:v>-1.6602272296939447E-4</c:v>
                </c:pt>
                <c:pt idx="431">
                  <c:v>-1.6440725536970291E-4</c:v>
                </c:pt>
                <c:pt idx="432">
                  <c:v>-1.6278652074319666E-4</c:v>
                </c:pt>
                <c:pt idx="433">
                  <c:v>-1.6116051936965192E-4</c:v>
                </c:pt>
                <c:pt idx="434">
                  <c:v>-1.578908910548904E-4</c:v>
                </c:pt>
                <c:pt idx="435">
                  <c:v>-1.5460384512611114E-4</c:v>
                </c:pt>
                <c:pt idx="436">
                  <c:v>-1.5295150937788549E-4</c:v>
                </c:pt>
                <c:pt idx="437">
                  <c:v>-1.5129390680268529E-4</c:v>
                </c:pt>
                <c:pt idx="438">
                  <c:v>-1.4963103740051054E-4</c:v>
                </c:pt>
                <c:pt idx="439">
                  <c:v>-1.4628768288726945E-4</c:v>
                </c:pt>
                <c:pt idx="440">
                  <c:v>-1.4292689108241774E-4</c:v>
                </c:pt>
                <c:pt idx="441">
                  <c:v>-1.4123768734553011E-4</c:v>
                </c:pt>
                <c:pt idx="442">
                  <c:v>-1.3954321678166792E-4</c:v>
                </c:pt>
                <c:pt idx="443">
                  <c:v>-1.3784347931089513E-4</c:v>
                </c:pt>
                <c:pt idx="444">
                  <c:v>-1.3442639803962209E-4</c:v>
                </c:pt>
                <c:pt idx="445">
                  <c:v>-1.309918608782823E-4</c:v>
                </c:pt>
                <c:pt idx="446">
                  <c:v>-1.2926578915273268E-4</c:v>
                </c:pt>
                <c:pt idx="447">
                  <c:v>-1.2753445060020852E-4</c:v>
                </c:pt>
                <c:pt idx="448">
                  <c:v>-1.2579784518074177E-4</c:v>
                </c:pt>
                <c:pt idx="449">
                  <c:v>-1.2230703640536689E-4</c:v>
                </c:pt>
                <c:pt idx="450">
                  <c:v>-1.1879875459364087E-4</c:v>
                </c:pt>
                <c:pt idx="451">
                  <c:v>-1.170358149193973E-4</c:v>
                </c:pt>
                <c:pt idx="452">
                  <c:v>-1.1526760817837101E-4</c:v>
                </c:pt>
                <c:pt idx="453">
                  <c:v>-1.1349413477024228E-4</c:v>
                </c:pt>
                <c:pt idx="454">
                  <c:v>-1.099295979578585E-4</c:v>
                </c:pt>
                <c:pt idx="455">
                  <c:v>-1.0634757210858936E-4</c:v>
                </c:pt>
                <c:pt idx="456">
                  <c:v>-1.0454776440571578E-4</c:v>
                </c:pt>
                <c:pt idx="457">
                  <c:v>-1.0274268963605948E-4</c:v>
                </c:pt>
                <c:pt idx="458">
                  <c:v>-1.0093234815933272E-4</c:v>
                </c:pt>
                <c:pt idx="459">
                  <c:v>-9.7294082603838206E-5</c:v>
                </c:pt>
                <c:pt idx="460">
                  <c:v>-9.3638313463095812E-5</c:v>
                </c:pt>
                <c:pt idx="461">
                  <c:v>-9.1801637571720107E-5</c:v>
                </c:pt>
                <c:pt idx="462">
                  <c:v>-8.995969497327394E-5</c:v>
                </c:pt>
                <c:pt idx="463">
                  <c:v>-8.8112485348013081E-5</c:v>
                </c:pt>
                <c:pt idx="464">
                  <c:v>-8.4400490250047255E-5</c:v>
                </c:pt>
                <c:pt idx="465">
                  <c:v>-8.0670978577224162E-5</c:v>
                </c:pt>
                <c:pt idx="466">
                  <c:v>-7.8797434577282388E-5</c:v>
                </c:pt>
                <c:pt idx="467">
                  <c:v>-7.691862399017424E-5</c:v>
                </c:pt>
                <c:pt idx="468">
                  <c:v>-7.5034546296315341E-5</c:v>
                </c:pt>
                <c:pt idx="469">
                  <c:v>-7.1248820816549596E-5</c:v>
                </c:pt>
                <c:pt idx="470">
                  <c:v>-6.7445567331070322E-5</c:v>
                </c:pt>
                <c:pt idx="471">
                  <c:v>-6.5535155382434596E-5</c:v>
                </c:pt>
                <c:pt idx="472">
                  <c:v>-6.3619476606824321E-5</c:v>
                </c:pt>
                <c:pt idx="473">
                  <c:v>-6.1698531044207527E-5</c:v>
                </c:pt>
                <c:pt idx="474">
                  <c:v>-5.783907422340917E-5</c:v>
                </c:pt>
                <c:pt idx="475">
                  <c:v>-5.3962079764602322E-5</c:v>
                </c:pt>
                <c:pt idx="476">
                  <c:v>-5.2014799907240672E-5</c:v>
                </c:pt>
                <c:pt idx="477">
                  <c:v>-5.0062253103000387E-5</c:v>
                </c:pt>
                <c:pt idx="478">
                  <c:v>-4.8104439351881467E-5</c:v>
                </c:pt>
                <c:pt idx="479">
                  <c:v>-4.417125039068992E-5</c:v>
                </c:pt>
                <c:pt idx="480">
                  <c:v>-4.0220516037692278E-5</c:v>
                </c:pt>
                <c:pt idx="481">
                  <c:v>-3.8236367951860473E-5</c:v>
                </c:pt>
                <c:pt idx="482">
                  <c:v>-3.6246953198926235E-5</c:v>
                </c:pt>
                <c:pt idx="483">
                  <c:v>-3.4252271419177305E-5</c:v>
                </c:pt>
                <c:pt idx="484">
                  <c:v>-3.0245349211810435E-5</c:v>
                </c:pt>
                <c:pt idx="485">
                  <c:v>-2.6220875790627929E-5</c:v>
                </c:pt>
                <c:pt idx="486">
                  <c:v>-2.4199859836038229E-5</c:v>
                </c:pt>
                <c:pt idx="487">
                  <c:v>-2.2173576854633836E-5</c:v>
                </c:pt>
                <c:pt idx="488">
                  <c:v>-2.0142027126190953E-5</c:v>
                </c:pt>
                <c:pt idx="489">
                  <c:v>-1.6061370593511981E-5</c:v>
                </c:pt>
                <c:pt idx="490">
                  <c:v>-1.1963159303185478E-5</c:v>
                </c:pt>
                <c:pt idx="491">
                  <c:v>-9.9052752000616806E-6</c:v>
                </c:pt>
                <c:pt idx="492">
                  <c:v>-7.8421242299953065E-6</c:v>
                </c:pt>
                <c:pt idx="493">
                  <c:v>-5.7737063530183264E-6</c:v>
                </c:pt>
                <c:pt idx="494">
                  <c:v>-1.619314482503853E-6</c:v>
                </c:pt>
                <c:pt idx="495">
                  <c:v>2.5526337044112779E-6</c:v>
                </c:pt>
                <c:pt idx="496">
                  <c:v>4.6473858361650855E-6</c:v>
                </c:pt>
                <c:pt idx="497">
                  <c:v>6.747404874829499E-6</c:v>
                </c:pt>
                <c:pt idx="498">
                  <c:v>8.8526906605324029E-6</c:v>
                </c:pt>
                <c:pt idx="499">
                  <c:v>1.3080819281086065E-5</c:v>
                </c:pt>
                <c:pt idx="500">
                  <c:v>1.7326503032322194E-5</c:v>
                </c:pt>
                <c:pt idx="501">
                  <c:v>1.9458123352578127E-5</c:v>
                </c:pt>
                <c:pt idx="502">
                  <c:v>2.1595010419872551E-5</c:v>
                </c:pt>
                <c:pt idx="503">
                  <c:v>2.3737164314141523E-5</c:v>
                </c:pt>
                <c:pt idx="504">
                  <c:v>2.8039030697257772E-5</c:v>
                </c:pt>
                <c:pt idx="505">
                  <c:v>3.2358448960323472E-5</c:v>
                </c:pt>
                <c:pt idx="506">
                  <c:v>3.4526937309209416E-5</c:v>
                </c:pt>
                <c:pt idx="507">
                  <c:v>3.670069240513385E-5</c:v>
                </c:pt>
                <c:pt idx="508">
                  <c:v>3.8879714487904948E-5</c:v>
                </c:pt>
                <c:pt idx="509">
                  <c:v>4.3255319965851413E-5</c:v>
                </c:pt>
                <c:pt idx="510">
                  <c:v>4.7648471328542996E-5</c:v>
                </c:pt>
                <c:pt idx="511">
                  <c:v>4.9853827626122893E-5</c:v>
                </c:pt>
                <c:pt idx="512">
                  <c:v>5.2064450990485511E-5</c:v>
                </c:pt>
                <c:pt idx="513">
                  <c:v>5.4281431669522817E-5</c:v>
                </c:pt>
                <c:pt idx="514">
                  <c:v>5.8752590472721522E-5</c:v>
                </c:pt>
                <c:pt idx="515">
                  <c:v>6.3263099079335916E-5</c:v>
                </c:pt>
                <c:pt idx="516">
                  <c:v>6.5538042672841357E-5</c:v>
                </c:pt>
                <c:pt idx="517">
                  <c:v>6.7824796898818818E-5</c:v>
                </c:pt>
                <c:pt idx="518">
                  <c:v>8.416277594847088E-5</c:v>
                </c:pt>
                <c:pt idx="519">
                  <c:v>1.0107947878701395E-4</c:v>
                </c:pt>
                <c:pt idx="520">
                  <c:v>1.1857490573419227E-4</c:v>
                </c:pt>
                <c:pt idx="521">
                  <c:v>1.366490564702616E-4</c:v>
                </c:pt>
                <c:pt idx="522">
                  <c:v>1.5530193147483828E-4</c:v>
                </c:pt>
                <c:pt idx="523">
                  <c:v>1.7453353058805021E-4</c:v>
                </c:pt>
                <c:pt idx="524">
                  <c:v>1.9434385412964161E-4</c:v>
                </c:pt>
                <c:pt idx="525">
                  <c:v>2.1473290185980431E-4</c:v>
                </c:pt>
                <c:pt idx="526">
                  <c:v>2.3570067417821861E-4</c:v>
                </c:pt>
                <c:pt idx="527">
                  <c:v>2.5724717092501237E-4</c:v>
                </c:pt>
                <c:pt idx="528">
                  <c:v>2.7937239257980195E-4</c:v>
                </c:pt>
                <c:pt idx="529">
                  <c:v>3.0207633890277918E-4</c:v>
                </c:pt>
                <c:pt idx="530">
                  <c:v>3.2535901005381618E-4</c:v>
                </c:pt>
                <c:pt idx="531">
                  <c:v>3.4922040627272111E-4</c:v>
                </c:pt>
                <c:pt idx="532">
                  <c:v>3.7719921650136712E-4</c:v>
                </c:pt>
                <c:pt idx="533">
                  <c:v>4.0230073808267264E-4</c:v>
                </c:pt>
                <c:pt idx="534">
                  <c:v>4.2798098521146244E-4</c:v>
                </c:pt>
                <c:pt idx="535">
                  <c:v>4.5423995772786441E-4</c:v>
                </c:pt>
                <c:pt idx="536">
                  <c:v>4.8107765587168672E-4</c:v>
                </c:pt>
                <c:pt idx="537">
                  <c:v>5.0849407988273754E-4</c:v>
                </c:pt>
                <c:pt idx="538">
                  <c:v>5.3648922968108081E-4</c:v>
                </c:pt>
                <c:pt idx="539">
                  <c:v>5.6506310558646078E-4</c:v>
                </c:pt>
                <c:pt idx="540">
                  <c:v>5.9421570751894137E-4</c:v>
                </c:pt>
                <c:pt idx="541">
                  <c:v>6.2394703587820288E-4</c:v>
                </c:pt>
                <c:pt idx="542">
                  <c:v>6.5425709066424531E-4</c:v>
                </c:pt>
                <c:pt idx="543">
                  <c:v>6.8514587203694077E-4</c:v>
                </c:pt>
                <c:pt idx="544">
                  <c:v>7.1661338015616138E-4</c:v>
                </c:pt>
                <c:pt idx="545">
                  <c:v>7.4865961518177926E-4</c:v>
                </c:pt>
                <c:pt idx="546">
                  <c:v>7.8128457727366651E-4</c:v>
                </c:pt>
                <c:pt idx="547">
                  <c:v>8.240969154122979E-4</c:v>
                </c:pt>
                <c:pt idx="548">
                  <c:v>8.4827068313586551E-4</c:v>
                </c:pt>
                <c:pt idx="549">
                  <c:v>8.826318273857936E-4</c:v>
                </c:pt>
                <c:pt idx="550">
                  <c:v>9.1757169926154347E-4</c:v>
                </c:pt>
                <c:pt idx="551">
                  <c:v>9.530902990029233E-4</c:v>
                </c:pt>
                <c:pt idx="552">
                  <c:v>9.8918762684974126E-4</c:v>
                </c:pt>
                <c:pt idx="553">
                  <c:v>1.0258636828019974E-3</c:v>
                </c:pt>
                <c:pt idx="554">
                  <c:v>1.0631184671794358E-3</c:v>
                </c:pt>
                <c:pt idx="555">
                  <c:v>1.1009519801419287E-3</c:v>
                </c:pt>
                <c:pt idx="556">
                  <c:v>1.1393642218493483E-3</c:v>
                </c:pt>
                <c:pt idx="557">
                  <c:v>1.1783551924615665E-3</c:v>
                </c:pt>
                <c:pt idx="558">
                  <c:v>1.2179248922183916E-3</c:v>
                </c:pt>
                <c:pt idx="559">
                  <c:v>1.2580733213596318E-3</c:v>
                </c:pt>
                <c:pt idx="560">
                  <c:v>1.298800479885287E-3</c:v>
                </c:pt>
                <c:pt idx="561">
                  <c:v>1.3401063681950376E-3</c:v>
                </c:pt>
                <c:pt idx="562">
                  <c:v>1.3819909864487556E-3</c:v>
                </c:pt>
                <c:pt idx="563">
                  <c:v>1.4244543347263772E-3</c:v>
                </c:pt>
                <c:pt idx="564">
                  <c:v>1.4674964133476465E-3</c:v>
                </c:pt>
                <c:pt idx="565">
                  <c:v>1.5111172224724356E-3</c:v>
                </c:pt>
                <c:pt idx="566">
                  <c:v>1.5553167623405528E-3</c:v>
                </c:pt>
                <c:pt idx="567">
                  <c:v>1.6000950331918062E-3</c:v>
                </c:pt>
                <c:pt idx="568">
                  <c:v>1.6454520351061319E-3</c:v>
                </c:pt>
                <c:pt idx="569">
                  <c:v>1.6911324865276356E-3</c:v>
                </c:pt>
                <c:pt idx="570">
                  <c:v>1.7368027121289487E-3</c:v>
                </c:pt>
                <c:pt idx="571">
                  <c:v>1.7824607015182181E-3</c:v>
                </c:pt>
                <c:pt idx="572">
                  <c:v>1.8281064550151882E-3</c:v>
                </c:pt>
                <c:pt idx="573">
                  <c:v>1.8737399723001147E-3</c:v>
                </c:pt>
                <c:pt idx="574">
                  <c:v>1.9193612536927418E-3</c:v>
                </c:pt>
                <c:pt idx="575">
                  <c:v>1.9649702988733253E-3</c:v>
                </c:pt>
                <c:pt idx="576">
                  <c:v>2.0105671080017373E-3</c:v>
                </c:pt>
                <c:pt idx="577">
                  <c:v>2.0561516811579139E-3</c:v>
                </c:pt>
                <c:pt idx="578">
                  <c:v>2.101724018181983E-3</c:v>
                </c:pt>
                <c:pt idx="579">
                  <c:v>2.1472841190739445E-3</c:v>
                </c:pt>
                <c:pt idx="580">
                  <c:v>2.1928319839137345E-3</c:v>
                </c:pt>
                <c:pt idx="581">
                  <c:v>2.238367612701353E-3</c:v>
                </c:pt>
                <c:pt idx="582">
                  <c:v>2.283891005356864E-3</c:v>
                </c:pt>
                <c:pt idx="583">
                  <c:v>2.3294021618802674E-3</c:v>
                </c:pt>
                <c:pt idx="584">
                  <c:v>2.3911713986457528E-3</c:v>
                </c:pt>
                <c:pt idx="585">
                  <c:v>2.4333980796775734E-3</c:v>
                </c:pt>
                <c:pt idx="586">
                  <c:v>2.478869652344784E-3</c:v>
                </c:pt>
                <c:pt idx="587">
                  <c:v>2.5243290001508711E-3</c:v>
                </c:pt>
                <c:pt idx="588">
                  <c:v>2.569776123175771E-3</c:v>
                </c:pt>
                <c:pt idx="589">
                  <c:v>2.6152110213395474E-3</c:v>
                </c:pt>
                <c:pt idx="590">
                  <c:v>2.6606336946688458E-3</c:v>
                </c:pt>
                <c:pt idx="591">
                  <c:v>2.7060441431370208E-3</c:v>
                </c:pt>
                <c:pt idx="592">
                  <c:v>2.751442366717427E-3</c:v>
                </c:pt>
                <c:pt idx="593">
                  <c:v>2.7968283654367099E-3</c:v>
                </c:pt>
                <c:pt idx="594">
                  <c:v>2.8422021392415786E-3</c:v>
                </c:pt>
                <c:pt idx="595">
                  <c:v>2.8875636881053879E-3</c:v>
                </c:pt>
                <c:pt idx="596">
                  <c:v>2.9329130120547831E-3</c:v>
                </c:pt>
                <c:pt idx="597">
                  <c:v>2.9976516763241534E-3</c:v>
                </c:pt>
                <c:pt idx="598">
                  <c:v>3.0235749851037497E-3</c:v>
                </c:pt>
                <c:pt idx="599">
                  <c:v>3.0688876341500304E-3</c:v>
                </c:pt>
                <c:pt idx="600">
                  <c:v>3.1141880582286063E-3</c:v>
                </c:pt>
                <c:pt idx="601">
                  <c:v>3.1594762573128321E-3</c:v>
                </c:pt>
                <c:pt idx="602">
                  <c:v>3.2047522313760624E-3</c:v>
                </c:pt>
                <c:pt idx="603">
                  <c:v>3.2500159804182971E-3</c:v>
                </c:pt>
                <c:pt idx="604">
                  <c:v>3.295267504412891E-3</c:v>
                </c:pt>
                <c:pt idx="605">
                  <c:v>3.340506803359844E-3</c:v>
                </c:pt>
                <c:pt idx="606">
                  <c:v>3.3857338772058654E-3</c:v>
                </c:pt>
                <c:pt idx="607">
                  <c:v>3.4309487260042459E-3</c:v>
                </c:pt>
                <c:pt idx="608">
                  <c:v>3.4761513496750496E-3</c:v>
                </c:pt>
                <c:pt idx="609">
                  <c:v>3.5213417482449216E-3</c:v>
                </c:pt>
                <c:pt idx="610">
                  <c:v>3.5665199216872168E-3</c:v>
                </c:pt>
                <c:pt idx="611">
                  <c:v>3.611685870001935E-3</c:v>
                </c:pt>
                <c:pt idx="612">
                  <c:v>3.6568395931357855E-3</c:v>
                </c:pt>
                <c:pt idx="613">
                  <c:v>3.7019810911420592E-3</c:v>
                </c:pt>
                <c:pt idx="614">
                  <c:v>3.7471103639408199E-3</c:v>
                </c:pt>
                <c:pt idx="615">
                  <c:v>3.7922274115320675E-3</c:v>
                </c:pt>
                <c:pt idx="616">
                  <c:v>3.837332233969093E-3</c:v>
                </c:pt>
                <c:pt idx="617">
                  <c:v>3.8824248311186693E-3</c:v>
                </c:pt>
                <c:pt idx="618">
                  <c:v>3.9275052030607327E-3</c:v>
                </c:pt>
                <c:pt idx="619">
                  <c:v>3.9725733497686377E-3</c:v>
                </c:pt>
                <c:pt idx="620">
                  <c:v>4.0176292711890937E-3</c:v>
                </c:pt>
                <c:pt idx="621">
                  <c:v>4.0628336083958771E-3</c:v>
                </c:pt>
                <c:pt idx="622">
                  <c:v>4.1085180076727568E-3</c:v>
                </c:pt>
                <c:pt idx="623">
                  <c:v>4.15469801549051E-3</c:v>
                </c:pt>
                <c:pt idx="624">
                  <c:v>4.2013736324353346E-3</c:v>
                </c:pt>
                <c:pt idx="625">
                  <c:v>4.2485448591200736E-3</c:v>
                </c:pt>
                <c:pt idx="626">
                  <c:v>4.2962116960509888E-3</c:v>
                </c:pt>
                <c:pt idx="627">
                  <c:v>4.3443741438942141E-3</c:v>
                </c:pt>
                <c:pt idx="628">
                  <c:v>4.3930322031826563E-3</c:v>
                </c:pt>
                <c:pt idx="629">
                  <c:v>4.442185874555804E-3</c:v>
                </c:pt>
                <c:pt idx="630">
                  <c:v>4.491835158599855E-3</c:v>
                </c:pt>
                <c:pt idx="631">
                  <c:v>4.5419800559809431E-3</c:v>
                </c:pt>
                <c:pt idx="632">
                  <c:v>4.5926205672586207E-3</c:v>
                </c:pt>
                <c:pt idx="633">
                  <c:v>4.6437566930990215E-3</c:v>
                </c:pt>
                <c:pt idx="634">
                  <c:v>4.6953884341416341E-3</c:v>
                </c:pt>
                <c:pt idx="635">
                  <c:v>4.7475157909726562E-3</c:v>
                </c:pt>
                <c:pt idx="636">
                  <c:v>4.8190184335394903E-3</c:v>
                </c:pt>
                <c:pt idx="637">
                  <c:v>4.8684559164069441E-3</c:v>
                </c:pt>
                <c:pt idx="638">
                  <c:v>4.9222102679369328E-3</c:v>
                </c:pt>
                <c:pt idx="639">
                  <c:v>4.9764602083168796E-3</c:v>
                </c:pt>
                <c:pt idx="640">
                  <c:v>5.0312057377865926E-3</c:v>
                </c:pt>
                <c:pt idx="641">
                  <c:v>5.08644685658588E-3</c:v>
                </c:pt>
                <c:pt idx="642">
                  <c:v>5.14218356495455E-3</c:v>
                </c:pt>
                <c:pt idx="643">
                  <c:v>5.1984158631324107E-3</c:v>
                </c:pt>
                <c:pt idx="644">
                  <c:v>5.2551437512793342E-3</c:v>
                </c:pt>
                <c:pt idx="645">
                  <c:v>5.3123672297150648E-3</c:v>
                </c:pt>
                <c:pt idx="646">
                  <c:v>5.3700862985994746E-3</c:v>
                </c:pt>
                <c:pt idx="647">
                  <c:v>5.4283009582523079E-3</c:v>
                </c:pt>
                <c:pt idx="648">
                  <c:v>5.4870112088334366E-3</c:v>
                </c:pt>
                <c:pt idx="649">
                  <c:v>5.5462170507425412E-3</c:v>
                </c:pt>
                <c:pt idx="650">
                  <c:v>5.6059184839796217E-3</c:v>
                </c:pt>
                <c:pt idx="651">
                  <c:v>5.6661155090242943E-3</c:v>
                </c:pt>
                <c:pt idx="652">
                  <c:v>5.7442399007001654E-3</c:v>
                </c:pt>
                <c:pt idx="653">
                  <c:v>5.7879963350160324E-3</c:v>
                </c:pt>
                <c:pt idx="654">
                  <c:v>5.8496801366825224E-3</c:v>
                </c:pt>
                <c:pt idx="655">
                  <c:v>5.9118595309559652E-3</c:v>
                </c:pt>
                <c:pt idx="656">
                  <c:v>5.974534518315977E-3</c:v>
                </c:pt>
                <c:pt idx="657">
                  <c:v>6.037705098762558E-3</c:v>
                </c:pt>
                <c:pt idx="658">
                  <c:v>6.1013712726953884E-3</c:v>
                </c:pt>
                <c:pt idx="659">
                  <c:v>6.1655330405141484E-3</c:v>
                </c:pt>
                <c:pt idx="660">
                  <c:v>6.2301904022188381E-3</c:v>
                </c:pt>
                <c:pt idx="661">
                  <c:v>6.2953433582890739E-3</c:v>
                </c:pt>
                <c:pt idx="662">
                  <c:v>6.3609919088847278E-3</c:v>
                </c:pt>
                <c:pt idx="663">
                  <c:v>6.427136054325544E-3</c:v>
                </c:pt>
                <c:pt idx="664">
                  <c:v>6.4937757948513308E-3</c:v>
                </c:pt>
                <c:pt idx="665">
                  <c:v>6.5609111307018964E-3</c:v>
                </c:pt>
                <c:pt idx="666">
                  <c:v>6.6285420622769209E-3</c:v>
                </c:pt>
                <c:pt idx="667">
                  <c:v>6.6966685896563405E-3</c:v>
                </c:pt>
                <c:pt idx="668">
                  <c:v>6.7652907133197715E-3</c:v>
                </c:pt>
                <c:pt idx="669">
                  <c:v>6.8344084335070221E-3</c:v>
                </c:pt>
                <c:pt idx="670">
                  <c:v>6.9040217504579005E-3</c:v>
                </c:pt>
                <c:pt idx="671">
                  <c:v>6.9741306644122147E-3</c:v>
                </c:pt>
                <c:pt idx="672">
                  <c:v>7.0447338075041444E-3</c:v>
                </c:pt>
                <c:pt idx="673">
                  <c:v>7.115604047980284E-3</c:v>
                </c:pt>
                <c:pt idx="674">
                  <c:v>7.1865676162019554E-3</c:v>
                </c:pt>
                <c:pt idx="675">
                  <c:v>7.2576245122490946E-3</c:v>
                </c:pt>
                <c:pt idx="676">
                  <c:v>7.3287747362016376E-3</c:v>
                </c:pt>
                <c:pt idx="677">
                  <c:v>7.4000182881395205E-3</c:v>
                </c:pt>
                <c:pt idx="678">
                  <c:v>7.4713551680627432E-3</c:v>
                </c:pt>
                <c:pt idx="679">
                  <c:v>7.5427853759713059E-3</c:v>
                </c:pt>
                <c:pt idx="680">
                  <c:v>7.6143089121050167E-3</c:v>
                </c:pt>
                <c:pt idx="681">
                  <c:v>7.6859257763839395E-3</c:v>
                </c:pt>
                <c:pt idx="682">
                  <c:v>7.7576359688880103E-3</c:v>
                </c:pt>
                <c:pt idx="683">
                  <c:v>7.8294394896172292E-3</c:v>
                </c:pt>
                <c:pt idx="684">
                  <c:v>7.9013363387314683E-3</c:v>
                </c:pt>
                <c:pt idx="685">
                  <c:v>7.9733265163106637E-3</c:v>
                </c:pt>
                <c:pt idx="686">
                  <c:v>8.0454100222748792E-3</c:v>
                </c:pt>
                <c:pt idx="687">
                  <c:v>8.117586856704051E-3</c:v>
                </c:pt>
                <c:pt idx="688">
                  <c:v>8.2054493744854184E-3</c:v>
                </c:pt>
                <c:pt idx="689">
                  <c:v>8.2725657717652723E-3</c:v>
                </c:pt>
                <c:pt idx="690">
                  <c:v>8.3450359247638772E-3</c:v>
                </c:pt>
                <c:pt idx="691">
                  <c:v>8.4175994064672466E-3</c:v>
                </c:pt>
                <c:pt idx="692">
                  <c:v>8.4902562170352525E-3</c:v>
                </c:pt>
                <c:pt idx="693">
                  <c:v>8.5630063563879588E-3</c:v>
                </c:pt>
                <c:pt idx="694">
                  <c:v>8.6358498246852378E-3</c:v>
                </c:pt>
                <c:pt idx="695">
                  <c:v>8.7087866220070254E-3</c:v>
                </c:pt>
                <c:pt idx="696">
                  <c:v>8.7818167482733855E-3</c:v>
                </c:pt>
                <c:pt idx="697">
                  <c:v>8.8549402036441904E-3</c:v>
                </c:pt>
                <c:pt idx="698">
                  <c:v>8.9281569881993761E-3</c:v>
                </c:pt>
                <c:pt idx="699">
                  <c:v>9.0014671018590064E-3</c:v>
                </c:pt>
                <c:pt idx="700">
                  <c:v>9.0748705448628897E-3</c:v>
                </c:pt>
                <c:pt idx="701">
                  <c:v>9.1483673171310897E-3</c:v>
                </c:pt>
                <c:pt idx="702">
                  <c:v>9.2219574187435427E-3</c:v>
                </c:pt>
                <c:pt idx="703">
                  <c:v>9.3167104008440305E-3</c:v>
                </c:pt>
                <c:pt idx="704">
                  <c:v>9.3905138269345656E-3</c:v>
                </c:pt>
                <c:pt idx="705">
                  <c:v>9.4806334213015653E-3</c:v>
                </c:pt>
                <c:pt idx="706">
                  <c:v>9.538400667867819E-3</c:v>
                </c:pt>
                <c:pt idx="707">
                  <c:v>9.6124840827904734E-3</c:v>
                </c:pt>
                <c:pt idx="708">
                  <c:v>9.6866608274570609E-3</c:v>
                </c:pt>
                <c:pt idx="709">
                  <c:v>9.7609309019475177E-3</c:v>
                </c:pt>
                <c:pt idx="710">
                  <c:v>9.8352943062618436E-3</c:v>
                </c:pt>
                <c:pt idx="711">
                  <c:v>9.9097510404000388E-3</c:v>
                </c:pt>
                <c:pt idx="712">
                  <c:v>9.9843011046019114E-3</c:v>
                </c:pt>
                <c:pt idx="713">
                  <c:v>1.0058944498787525E-2</c:v>
                </c:pt>
                <c:pt idx="714">
                  <c:v>1.0133681222956881E-2</c:v>
                </c:pt>
                <c:pt idx="715">
                  <c:v>1.0208511277349785E-2</c:v>
                </c:pt>
                <c:pt idx="716">
                  <c:v>1.028343466196624E-2</c:v>
                </c:pt>
                <c:pt idx="717">
                  <c:v>1.0358451376726308E-2</c:v>
                </c:pt>
                <c:pt idx="718">
                  <c:v>1.0433561421869797E-2</c:v>
                </c:pt>
                <c:pt idx="719">
                  <c:v>1.0508764797396708E-2</c:v>
                </c:pt>
                <c:pt idx="720">
                  <c:v>1.0584061503307041E-2</c:v>
                </c:pt>
                <c:pt idx="721">
                  <c:v>1.0659451539680731E-2</c:v>
                </c:pt>
                <c:pt idx="722">
                  <c:v>1.0734934906597715E-2</c:v>
                </c:pt>
                <c:pt idx="723">
                  <c:v>1.0810511604137929E-2</c:v>
                </c:pt>
                <c:pt idx="724">
                  <c:v>1.0886158056919726E-2</c:v>
                </c:pt>
                <c:pt idx="725">
                  <c:v>1.0961608732067418E-2</c:v>
                </c:pt>
                <c:pt idx="726">
                  <c:v>1.1036787940126302E-2</c:v>
                </c:pt>
                <c:pt idx="727">
                  <c:v>1.1111695680776634E-2</c:v>
                </c:pt>
                <c:pt idx="728">
                  <c:v>1.1186331954018414E-2</c:v>
                </c:pt>
                <c:pt idx="729">
                  <c:v>1.1260696759611832E-2</c:v>
                </c:pt>
                <c:pt idx="730">
                  <c:v>1.1334790097317082E-2</c:v>
                </c:pt>
                <c:pt idx="731">
                  <c:v>1.1408611967134163E-2</c:v>
                </c:pt>
                <c:pt idx="732">
                  <c:v>1.1482162368743332E-2</c:v>
                </c:pt>
                <c:pt idx="733">
                  <c:v>1.1555441301984715E-2</c:v>
                </c:pt>
                <c:pt idx="734">
                  <c:v>1.1628448766858313E-2</c:v>
                </c:pt>
                <c:pt idx="735">
                  <c:v>1.1701184763044381E-2</c:v>
                </c:pt>
                <c:pt idx="736">
                  <c:v>1.1773649290383048E-2</c:v>
                </c:pt>
                <c:pt idx="737">
                  <c:v>1.1845842348794378E-2</c:v>
                </c:pt>
                <c:pt idx="738">
                  <c:v>1.1917763937958625E-2</c:v>
                </c:pt>
                <c:pt idx="739">
                  <c:v>1.2005329359832118E-2</c:v>
                </c:pt>
                <c:pt idx="740">
                  <c:v>1.2076656994550738E-2</c:v>
                </c:pt>
                <c:pt idx="741">
                  <c:v>1.2131899889169517E-2</c:v>
                </c:pt>
                <c:pt idx="742">
                  <c:v>1.2202735600226333E-2</c:v>
                </c:pt>
                <c:pt idx="743">
                  <c:v>1.2273299841396579E-2</c:v>
                </c:pt>
                <c:pt idx="744">
                  <c:v>1.234359261236051E-2</c:v>
                </c:pt>
                <c:pt idx="745">
                  <c:v>1.2413613913118127E-2</c:v>
                </c:pt>
                <c:pt idx="746">
                  <c:v>1.2483363743429621E-2</c:v>
                </c:pt>
                <c:pt idx="747">
                  <c:v>1.255284210313512E-2</c:v>
                </c:pt>
                <c:pt idx="748">
                  <c:v>1.2622048992154689E-2</c:v>
                </c:pt>
                <c:pt idx="749">
                  <c:v>1.2690984410248518E-2</c:v>
                </c:pt>
                <c:pt idx="750">
                  <c:v>1.2759648357256737E-2</c:v>
                </c:pt>
                <c:pt idx="751">
                  <c:v>1.2828040833099408E-2</c:v>
                </c:pt>
                <c:pt idx="752">
                  <c:v>1.2896161837536724E-2</c:v>
                </c:pt>
                <c:pt idx="753">
                  <c:v>1.2984278066666022E-2</c:v>
                </c:pt>
                <c:pt idx="754">
                  <c:v>1.3031589431715673E-2</c:v>
                </c:pt>
                <c:pt idx="755">
                  <c:v>1.3098896021217499E-2</c:v>
                </c:pt>
                <c:pt idx="756">
                  <c:v>1.316593113867448E-2</c:v>
                </c:pt>
                <c:pt idx="757">
                  <c:v>1.3232694784006682E-2</c:v>
                </c:pt>
                <c:pt idx="758">
                  <c:v>1.3299186957134168E-2</c:v>
                </c:pt>
                <c:pt idx="759">
                  <c:v>1.3365407657737194E-2</c:v>
                </c:pt>
                <c:pt idx="760">
                  <c:v>1.3431356885815759E-2</c:v>
                </c:pt>
                <c:pt idx="761">
                  <c:v>1.3497034641130057E-2</c:v>
                </c:pt>
                <c:pt idx="762">
                  <c:v>1.356244092360015E-2</c:v>
                </c:pt>
                <c:pt idx="763">
                  <c:v>1.3627575733066166E-2</c:v>
                </c:pt>
                <c:pt idx="764">
                  <c:v>1.3692439069368234E-2</c:v>
                </c:pt>
                <c:pt idx="765">
                  <c:v>1.3757030932266545E-2</c:v>
                </c:pt>
                <c:pt idx="766">
                  <c:v>1.3821351321761099E-2</c:v>
                </c:pt>
                <c:pt idx="767">
                  <c:v>1.3885400237612089E-2</c:v>
                </c:pt>
                <c:pt idx="768">
                  <c:v>1.3949177679819513E-2</c:v>
                </c:pt>
                <c:pt idx="769">
                  <c:v>1.4012683647983692E-2</c:v>
                </c:pt>
                <c:pt idx="770">
                  <c:v>1.4075918142184562E-2</c:v>
                </c:pt>
                <c:pt idx="771">
                  <c:v>1.4138881162182315E-2</c:v>
                </c:pt>
                <c:pt idx="772">
                  <c:v>1.4201572707817078E-2</c:v>
                </c:pt>
                <c:pt idx="773">
                  <c:v>1.4263992779008916E-2</c:v>
                </c:pt>
                <c:pt idx="774">
                  <c:v>1.4326141375597956E-2</c:v>
                </c:pt>
                <c:pt idx="775">
                  <c:v>1.4388018497424326E-2</c:v>
                </c:pt>
                <c:pt idx="776">
                  <c:v>1.4449623547045931E-2</c:v>
                </c:pt>
                <c:pt idx="777">
                  <c:v>1.4510939798002553E-2</c:v>
                </c:pt>
                <c:pt idx="778">
                  <c:v>1.4571959484586117E-2</c:v>
                </c:pt>
                <c:pt idx="779">
                  <c:v>1.4632682606476877E-2</c:v>
                </c:pt>
                <c:pt idx="780">
                  <c:v>1.4693109163514961E-2</c:v>
                </c:pt>
                <c:pt idx="781">
                  <c:v>1.4753239155700371E-2</c:v>
                </c:pt>
                <c:pt idx="782">
                  <c:v>1.4813072582873232E-2</c:v>
                </c:pt>
                <c:pt idx="783">
                  <c:v>1.4872609444793738E-2</c:v>
                </c:pt>
                <c:pt idx="784">
                  <c:v>1.4931849741302017E-2</c:v>
                </c:pt>
                <c:pt idx="785">
                  <c:v>1.4990793472318131E-2</c:v>
                </c:pt>
                <c:pt idx="786">
                  <c:v>1.504944063768221E-2</c:v>
                </c:pt>
                <c:pt idx="787">
                  <c:v>1.510779123723438E-2</c:v>
                </c:pt>
                <c:pt idx="788">
                  <c:v>1.5165845270814771E-2</c:v>
                </c:pt>
                <c:pt idx="789">
                  <c:v>1.5223602738343445E-2</c:v>
                </c:pt>
                <c:pt idx="790">
                  <c:v>1.528106363966053E-2</c:v>
                </c:pt>
                <c:pt idx="791">
                  <c:v>1.533822797452622E-2</c:v>
                </c:pt>
                <c:pt idx="792">
                  <c:v>1.5395095742940512E-2</c:v>
                </c:pt>
                <c:pt idx="793">
                  <c:v>1.54516669446636E-2</c:v>
                </c:pt>
                <c:pt idx="794">
                  <c:v>1.5507941579535611E-2</c:v>
                </c:pt>
                <c:pt idx="795">
                  <c:v>1.5563919647556546E-2</c:v>
                </c:pt>
                <c:pt idx="796">
                  <c:v>1.5619601148486595E-2</c:v>
                </c:pt>
                <c:pt idx="797">
                  <c:v>1.5674986082165887E-2</c:v>
                </c:pt>
                <c:pt idx="798">
                  <c:v>1.5730074448514486E-2</c:v>
                </c:pt>
                <c:pt idx="799">
                  <c:v>1.578486624737252E-2</c:v>
                </c:pt>
                <c:pt idx="800">
                  <c:v>1.5839361478660052E-2</c:v>
                </c:pt>
                <c:pt idx="801">
                  <c:v>1.5893560142137275E-2</c:v>
                </c:pt>
                <c:pt idx="802">
                  <c:v>1.5947462237724253E-2</c:v>
                </c:pt>
                <c:pt idx="803">
                  <c:v>1.6001067765261112E-2</c:v>
                </c:pt>
                <c:pt idx="804">
                  <c:v>1.6054376724667918E-2</c:v>
                </c:pt>
                <c:pt idx="805">
                  <c:v>1.6107389115864734E-2</c:v>
                </c:pt>
                <c:pt idx="806">
                  <c:v>1.6160104938531816E-2</c:v>
                </c:pt>
                <c:pt idx="807">
                  <c:v>1.6228903607517609E-2</c:v>
                </c:pt>
                <c:pt idx="808">
                  <c:v>1.6264646878196842E-2</c:v>
                </c:pt>
                <c:pt idx="809">
                  <c:v>1.6316472994875042E-2</c:v>
                </c:pt>
                <c:pt idx="810">
                  <c:v>1.6368002542543891E-2</c:v>
                </c:pt>
                <c:pt idx="811">
                  <c:v>1.641923552120339E-2</c:v>
                </c:pt>
                <c:pt idx="812">
                  <c:v>1.6470171930773603E-2</c:v>
                </c:pt>
                <c:pt idx="813">
                  <c:v>1.6520811770934785E-2</c:v>
                </c:pt>
                <c:pt idx="814">
                  <c:v>1.6571155041686936E-2</c:v>
                </c:pt>
                <c:pt idx="815">
                  <c:v>1.6621201742790248E-2</c:v>
                </c:pt>
                <c:pt idx="816">
                  <c:v>1.6670951874244722E-2</c:v>
                </c:pt>
                <c:pt idx="817">
                  <c:v>1.6720405435890484E-2</c:v>
                </c:pt>
                <c:pt idx="818">
                  <c:v>1.67695624276476E-2</c:v>
                </c:pt>
                <c:pt idx="819">
                  <c:v>1.6818422849356196E-2</c:v>
                </c:pt>
                <c:pt idx="820">
                  <c:v>1.6866986700856401E-2</c:v>
                </c:pt>
                <c:pt idx="821">
                  <c:v>1.6915253981988343E-2</c:v>
                </c:pt>
                <c:pt idx="822">
                  <c:v>1.6963224692831957E-2</c:v>
                </c:pt>
                <c:pt idx="823">
                  <c:v>1.70108988330675E-2</c:v>
                </c:pt>
                <c:pt idx="824">
                  <c:v>1.7058276402615036E-2</c:v>
                </c:pt>
                <c:pt idx="825">
                  <c:v>1.7105357401474564E-2</c:v>
                </c:pt>
                <c:pt idx="826">
                  <c:v>1.7152141829406276E-2</c:v>
                </c:pt>
                <c:pt idx="827">
                  <c:v>1.7198629686410172E-2</c:v>
                </c:pt>
                <c:pt idx="828">
                  <c:v>1.7244820682638107E-2</c:v>
                </c:pt>
                <c:pt idx="829">
                  <c:v>1.7290666760292339E-2</c:v>
                </c:pt>
                <c:pt idx="830">
                  <c:v>1.7336131151823864E-2</c:v>
                </c:pt>
                <c:pt idx="831">
                  <c:v>1.7381213857152744E-2</c:v>
                </c:pt>
                <c:pt idx="832">
                  <c:v>1.7425914876119108E-2</c:v>
                </c:pt>
                <c:pt idx="833">
                  <c:v>1.7470234208563085E-2</c:v>
                </c:pt>
                <c:pt idx="834">
                  <c:v>1.7514171854244864E-2</c:v>
                </c:pt>
                <c:pt idx="835">
                  <c:v>1.7557727813244384E-2</c:v>
                </c:pt>
                <c:pt idx="836">
                  <c:v>1.7600902085321835E-2</c:v>
                </c:pt>
                <c:pt idx="837">
                  <c:v>1.7643694670237409E-2</c:v>
                </c:pt>
                <c:pt idx="838">
                  <c:v>1.7686105568071042E-2</c:v>
                </c:pt>
                <c:pt idx="839">
                  <c:v>1.7728134778502991E-2</c:v>
                </c:pt>
                <c:pt idx="840">
                  <c:v>1.7769782301453318E-2</c:v>
                </c:pt>
                <c:pt idx="841">
                  <c:v>1.7811048136762153E-2</c:v>
                </c:pt>
                <c:pt idx="842">
                  <c:v>1.7851932284349559E-2</c:v>
                </c:pt>
                <c:pt idx="843">
                  <c:v>1.7892434744135599E-2</c:v>
                </c:pt>
                <c:pt idx="844">
                  <c:v>1.7932555515880466E-2</c:v>
                </c:pt>
                <c:pt idx="845">
                  <c:v>1.7972294599504224E-2</c:v>
                </c:pt>
                <c:pt idx="846">
                  <c:v>1.8011651994926936E-2</c:v>
                </c:pt>
                <c:pt idx="847">
                  <c:v>1.8050627701828859E-2</c:v>
                </c:pt>
                <c:pt idx="848">
                  <c:v>1.8089221720369864E-2</c:v>
                </c:pt>
                <c:pt idx="849">
                  <c:v>1.8127434050230207E-2</c:v>
                </c:pt>
                <c:pt idx="850">
                  <c:v>1.8165264691409888E-2</c:v>
                </c:pt>
                <c:pt idx="851">
                  <c:v>1.8202713643669099E-2</c:v>
                </c:pt>
                <c:pt idx="852">
                  <c:v>1.8239780906927905E-2</c:v>
                </c:pt>
                <c:pt idx="853">
                  <c:v>1.8276466481106368E-2</c:v>
                </c:pt>
                <c:pt idx="854">
                  <c:v>1.8312770366124553E-2</c:v>
                </c:pt>
                <c:pt idx="855">
                  <c:v>1.8348692561742652E-2</c:v>
                </c:pt>
                <c:pt idx="856">
                  <c:v>1.8384233067880729E-2</c:v>
                </c:pt>
                <c:pt idx="857">
                  <c:v>1.8419391884458847E-2</c:v>
                </c:pt>
                <c:pt idx="858">
                  <c:v>1.8465921536350294E-2</c:v>
                </c:pt>
                <c:pt idx="859">
                  <c:v>1.8488564448615463E-2</c:v>
                </c:pt>
                <c:pt idx="860">
                  <c:v>1.8522578195874217E-2</c:v>
                </c:pt>
                <c:pt idx="861">
                  <c:v>1.8556210253173333E-2</c:v>
                </c:pt>
                <c:pt idx="862">
                  <c:v>1.8589460620273002E-2</c:v>
                </c:pt>
                <c:pt idx="863">
                  <c:v>1.862232929725316E-2</c:v>
                </c:pt>
                <c:pt idx="864">
                  <c:v>1.8654816283873998E-2</c:v>
                </c:pt>
                <c:pt idx="865">
                  <c:v>1.8686921580135518E-2</c:v>
                </c:pt>
                <c:pt idx="866">
                  <c:v>1.8718645185717975E-2</c:v>
                </c:pt>
                <c:pt idx="867">
                  <c:v>1.8749987100861176E-2</c:v>
                </c:pt>
                <c:pt idx="868">
                  <c:v>1.8780947325165442E-2</c:v>
                </c:pt>
                <c:pt idx="869">
                  <c:v>1.8811525858710709E-2</c:v>
                </c:pt>
                <c:pt idx="870">
                  <c:v>1.8841722701337105E-2</c:v>
                </c:pt>
                <c:pt idx="871">
                  <c:v>1.8871537852884757E-2</c:v>
                </c:pt>
                <c:pt idx="872">
                  <c:v>1.8900971313353665E-2</c:v>
                </c:pt>
                <c:pt idx="873">
                  <c:v>1.8930023082583958E-2</c:v>
                </c:pt>
                <c:pt idx="874">
                  <c:v>1.8958693160575635E-2</c:v>
                </c:pt>
                <c:pt idx="875">
                  <c:v>1.8986981547168824E-2</c:v>
                </c:pt>
                <c:pt idx="876">
                  <c:v>1.9014888242203654E-2</c:v>
                </c:pt>
                <c:pt idx="877">
                  <c:v>1.9042413245760059E-2</c:v>
                </c:pt>
                <c:pt idx="878">
                  <c:v>1.9069556557678169E-2</c:v>
                </c:pt>
                <c:pt idx="879">
                  <c:v>1.9096318177798111E-2</c:v>
                </c:pt>
                <c:pt idx="880">
                  <c:v>1.9122698106119884E-2</c:v>
                </c:pt>
                <c:pt idx="881">
                  <c:v>1.9148901621317549E-2</c:v>
                </c:pt>
                <c:pt idx="882">
                  <c:v>1.9175197040599556E-2</c:v>
                </c:pt>
                <c:pt idx="883">
                  <c:v>1.9201585980352931E-2</c:v>
                </c:pt>
                <c:pt idx="884">
                  <c:v>1.9228068440577673E-2</c:v>
                </c:pt>
                <c:pt idx="885">
                  <c:v>1.9254644421353717E-2</c:v>
                </c:pt>
                <c:pt idx="886">
                  <c:v>1.9281313922601129E-2</c:v>
                </c:pt>
                <c:pt idx="887">
                  <c:v>1.930807694447978E-2</c:v>
                </c:pt>
                <c:pt idx="888">
                  <c:v>1.9334933486829797E-2</c:v>
                </c:pt>
                <c:pt idx="889">
                  <c:v>1.9361883549811054E-2</c:v>
                </c:pt>
                <c:pt idx="890">
                  <c:v>1.9388927133343614E-2</c:v>
                </c:pt>
                <c:pt idx="891">
                  <c:v>1.9416064237507413E-2</c:v>
                </c:pt>
                <c:pt idx="892">
                  <c:v>1.9443294862382388E-2</c:v>
                </c:pt>
                <c:pt idx="893">
                  <c:v>1.9470619007968537E-2</c:v>
                </c:pt>
                <c:pt idx="894">
                  <c:v>1.949803667410599E-2</c:v>
                </c:pt>
                <c:pt idx="895">
                  <c:v>1.9525547861034553E-2</c:v>
                </c:pt>
                <c:pt idx="896">
                  <c:v>1.9564629942765421E-2</c:v>
                </c:pt>
                <c:pt idx="897">
                  <c:v>1.9589848299501611E-2</c:v>
                </c:pt>
                <c:pt idx="898">
                  <c:v>1.9617669798552839E-2</c:v>
                </c:pt>
                <c:pt idx="899">
                  <c:v>1.9645584832916896E-2</c:v>
                </c:pt>
                <c:pt idx="900">
                  <c:v>1.9673593402647072E-2</c:v>
                </c:pt>
                <c:pt idx="901">
                  <c:v>1.9701695507849948E-2</c:v>
                </c:pt>
                <c:pt idx="902">
                  <c:v>1.9729891148525525E-2</c:v>
                </c:pt>
                <c:pt idx="903">
                  <c:v>1.9758180324807029E-2</c:v>
                </c:pt>
                <c:pt idx="904">
                  <c:v>1.978656303669446E-2</c:v>
                </c:pt>
                <c:pt idx="905">
                  <c:v>1.9815039284321045E-2</c:v>
                </c:pt>
                <c:pt idx="906">
                  <c:v>1.984360906771343E-2</c:v>
                </c:pt>
                <c:pt idx="907">
                  <c:v>1.9872272386951551E-2</c:v>
                </c:pt>
                <c:pt idx="908">
                  <c:v>1.9901029242115342E-2</c:v>
                </c:pt>
                <c:pt idx="909">
                  <c:v>1.9941167479595734E-2</c:v>
                </c:pt>
                <c:pt idx="910">
                  <c:v>1.9958823560379813E-2</c:v>
                </c:pt>
                <c:pt idx="911">
                  <c:v>1.9987861023640363E-2</c:v>
                </c:pt>
                <c:pt idx="912">
                  <c:v>2.0016992023119684E-2</c:v>
                </c:pt>
                <c:pt idx="913">
                  <c:v>2.004621655879113E-2</c:v>
                </c:pt>
                <c:pt idx="914">
                  <c:v>2.0082807414896209E-2</c:v>
                </c:pt>
                <c:pt idx="915">
                  <c:v>2.0112242461376439E-2</c:v>
                </c:pt>
                <c:pt idx="916">
                  <c:v>2.0141771029127398E-2</c:v>
                </c:pt>
                <c:pt idx="917">
                  <c:v>2.0171393117989211E-2</c:v>
                </c:pt>
                <c:pt idx="918">
                  <c:v>2.0201108728041817E-2</c:v>
                </c:pt>
                <c:pt idx="919">
                  <c:v>2.0230917859525022E-2</c:v>
                </c:pt>
                <c:pt idx="920">
                  <c:v>2.0260820512199018E-2</c:v>
                </c:pt>
                <c:pt idx="921">
                  <c:v>2.0290816686143742E-2</c:v>
                </c:pt>
                <c:pt idx="922">
                  <c:v>2.032090638143913E-2</c:v>
                </c:pt>
                <c:pt idx="923">
                  <c:v>2.0351089598165117E-2</c:v>
                </c:pt>
                <c:pt idx="924">
                  <c:v>2.0381366336241769E-2</c:v>
                </c:pt>
                <c:pt idx="925">
                  <c:v>2.0411736595749019E-2</c:v>
                </c:pt>
                <c:pt idx="926">
                  <c:v>2.0442200376606934E-2</c:v>
                </c:pt>
                <c:pt idx="927">
                  <c:v>2.0472757678975384E-2</c:v>
                </c:pt>
                <c:pt idx="928">
                  <c:v>2.0503408502774434E-2</c:v>
                </c:pt>
                <c:pt idx="929">
                  <c:v>2.053415284808402E-2</c:v>
                </c:pt>
                <c:pt idx="930">
                  <c:v>2.0564990714904141E-2</c:v>
                </c:pt>
                <c:pt idx="931">
                  <c:v>2.0595922103234798E-2</c:v>
                </c:pt>
                <c:pt idx="932">
                  <c:v>2.0626946007640257E-2</c:v>
                </c:pt>
                <c:pt idx="933">
                  <c:v>2.0657895500209023E-2</c:v>
                </c:pt>
                <c:pt idx="934">
                  <c:v>2.0688642871338203E-2</c:v>
                </c:pt>
                <c:pt idx="935">
                  <c:v>2.071918812078799E-2</c:v>
                </c:pt>
                <c:pt idx="936">
                  <c:v>2.0749531248718256E-2</c:v>
                </c:pt>
                <c:pt idx="937">
                  <c:v>2.0779672254809256E-2</c:v>
                </c:pt>
                <c:pt idx="938">
                  <c:v>2.0809611139300799E-2</c:v>
                </c:pt>
                <c:pt idx="939">
                  <c:v>2.083934790187314E-2</c:v>
                </c:pt>
                <c:pt idx="940">
                  <c:v>2.0868882542766087E-2</c:v>
                </c:pt>
                <c:pt idx="941">
                  <c:v>2.0898215061659897E-2</c:v>
                </c:pt>
                <c:pt idx="942">
                  <c:v>2.0927345458634505E-2</c:v>
                </c:pt>
                <c:pt idx="943">
                  <c:v>2.095627373353004E-2</c:v>
                </c:pt>
                <c:pt idx="944">
                  <c:v>2.0984999886506372E-2</c:v>
                </c:pt>
                <c:pt idx="945">
                  <c:v>2.1013523917403631E-2</c:v>
                </c:pt>
                <c:pt idx="946">
                  <c:v>2.1041845826061945E-2</c:v>
                </c:pt>
                <c:pt idx="947">
                  <c:v>2.1069965612561248E-2</c:v>
                </c:pt>
                <c:pt idx="948">
                  <c:v>2.1104457393592568E-2</c:v>
                </c:pt>
                <c:pt idx="949">
                  <c:v>2.1129541682238795E-2</c:v>
                </c:pt>
                <c:pt idx="950">
                  <c:v>2.11570262273586E-2</c:v>
                </c:pt>
                <c:pt idx="951">
                  <c:v>2.118430864999965E-2</c:v>
                </c:pt>
                <c:pt idx="952">
                  <c:v>2.1211388950321819E-2</c:v>
                </c:pt>
                <c:pt idx="953">
                  <c:v>2.1238267128085297E-2</c:v>
                </c:pt>
                <c:pt idx="954">
                  <c:v>2.1264943183370022E-2</c:v>
                </c:pt>
                <c:pt idx="955">
                  <c:v>2.1291417116096056E-2</c:v>
                </c:pt>
                <c:pt idx="956">
                  <c:v>2.1317688926263401E-2</c:v>
                </c:pt>
                <c:pt idx="957">
                  <c:v>2.1343758613712183E-2</c:v>
                </c:pt>
                <c:pt idx="958">
                  <c:v>2.1369626178522338E-2</c:v>
                </c:pt>
                <c:pt idx="959">
                  <c:v>2.1395291620533996E-2</c:v>
                </c:pt>
                <c:pt idx="960">
                  <c:v>2.1420754939827091E-2</c:v>
                </c:pt>
                <c:pt idx="961">
                  <c:v>2.1446016136321688E-2</c:v>
                </c:pt>
                <c:pt idx="962">
                  <c:v>2.1471075209857915E-2</c:v>
                </c:pt>
                <c:pt idx="963">
                  <c:v>2.1495932160515707E-2</c:v>
                </c:pt>
                <c:pt idx="964">
                  <c:v>2.1527594100145819E-2</c:v>
                </c:pt>
                <c:pt idx="965">
                  <c:v>2.1560211643958382E-2</c:v>
                </c:pt>
                <c:pt idx="966">
                  <c:v>2.1576181887699164E-2</c:v>
                </c:pt>
                <c:pt idx="967">
                  <c:v>2.1600172596878409E-2</c:v>
                </c:pt>
                <c:pt idx="968">
                  <c:v>2.1623961182939411E-2</c:v>
                </c:pt>
                <c:pt idx="969">
                  <c:v>2.164754764588217E-2</c:v>
                </c:pt>
                <c:pt idx="970">
                  <c:v>2.1670931985546815E-2</c:v>
                </c:pt>
                <c:pt idx="971">
                  <c:v>2.1694114201933345E-2</c:v>
                </c:pt>
                <c:pt idx="972">
                  <c:v>2.1717094295121697E-2</c:v>
                </c:pt>
                <c:pt idx="973">
                  <c:v>2.1739872265031934E-2</c:v>
                </c:pt>
                <c:pt idx="974">
                  <c:v>2.1762448111424249E-2</c:v>
                </c:pt>
                <c:pt idx="975">
                  <c:v>2.1784821834618384E-2</c:v>
                </c:pt>
                <c:pt idx="976">
                  <c:v>2.1806993434214661E-2</c:v>
                </c:pt>
                <c:pt idx="977">
                  <c:v>2.1828962910372951E-2</c:v>
                </c:pt>
                <c:pt idx="978">
                  <c:v>2.1850730263093254E-2</c:v>
                </c:pt>
                <c:pt idx="979">
                  <c:v>2.1872295492215699E-2</c:v>
                </c:pt>
                <c:pt idx="980">
                  <c:v>2.1893658597740284E-2</c:v>
                </c:pt>
                <c:pt idx="981">
                  <c:v>2.1914819579667011E-2</c:v>
                </c:pt>
                <c:pt idx="982">
                  <c:v>2.1935778437995879E-2</c:v>
                </c:pt>
                <c:pt idx="983">
                  <c:v>2.1956535172487079E-2</c:v>
                </c:pt>
                <c:pt idx="984">
                  <c:v>2.1977089783380421E-2</c:v>
                </c:pt>
                <c:pt idx="985">
                  <c:v>2.1997442270516032E-2</c:v>
                </c:pt>
                <c:pt idx="986">
                  <c:v>2.2017592633813976E-2</c:v>
                </c:pt>
                <c:pt idx="987">
                  <c:v>2.2037540873274253E-2</c:v>
                </c:pt>
                <c:pt idx="988">
                  <c:v>2.2057286988896863E-2</c:v>
                </c:pt>
                <c:pt idx="989">
                  <c:v>2.2076830980681805E-2</c:v>
                </c:pt>
                <c:pt idx="990">
                  <c:v>2.2096172848469209E-2</c:v>
                </c:pt>
                <c:pt idx="991">
                  <c:v>2.2115312592339009E-2</c:v>
                </c:pt>
                <c:pt idx="992">
                  <c:v>2.2134250212131334E-2</c:v>
                </c:pt>
                <c:pt idx="993">
                  <c:v>2.2152985708006057E-2</c:v>
                </c:pt>
                <c:pt idx="994">
                  <c:v>2.2171519079803303E-2</c:v>
                </c:pt>
                <c:pt idx="995">
                  <c:v>2.2189850327443139E-2</c:v>
                </c:pt>
                <c:pt idx="996">
                  <c:v>2.22079794510055E-2</c:v>
                </c:pt>
                <c:pt idx="997">
                  <c:v>2.2225906450490385E-2</c:v>
                </c:pt>
                <c:pt idx="998">
                  <c:v>2.2243631325737923E-2</c:v>
                </c:pt>
                <c:pt idx="999">
                  <c:v>2.2271076327688988E-2</c:v>
                </c:pt>
                <c:pt idx="1000">
                  <c:v>2.2284764286109038E-2</c:v>
                </c:pt>
                <c:pt idx="1001">
                  <c:v>2.2295593206136388E-2</c:v>
                </c:pt>
                <c:pt idx="1002">
                  <c:v>2.2312509584354601E-2</c:v>
                </c:pt>
                <c:pt idx="1003">
                  <c:v>2.232922383825553E-2</c:v>
                </c:pt>
                <c:pt idx="1004">
                  <c:v>2.2345735967839175E-2</c:v>
                </c:pt>
                <c:pt idx="1005">
                  <c:v>2.2362045973025602E-2</c:v>
                </c:pt>
                <c:pt idx="1006">
                  <c:v>2.2378153853734872E-2</c:v>
                </c:pt>
                <c:pt idx="1007">
                  <c:v>2.239405961012686E-2</c:v>
                </c:pt>
                <c:pt idx="1008">
                  <c:v>2.2409763242041691E-2</c:v>
                </c:pt>
                <c:pt idx="1009">
                  <c:v>2.2425264749399432E-2</c:v>
                </c:pt>
                <c:pt idx="1010">
                  <c:v>2.2440564132280016E-2</c:v>
                </c:pt>
                <c:pt idx="1011">
                  <c:v>2.245566139060351E-2</c:v>
                </c:pt>
                <c:pt idx="1012">
                  <c:v>2.2470556524449847E-2</c:v>
                </c:pt>
                <c:pt idx="1013">
                  <c:v>2.2492216314043745E-2</c:v>
                </c:pt>
                <c:pt idx="1014">
                  <c:v>2.2499740418151504E-2</c:v>
                </c:pt>
                <c:pt idx="1015">
                  <c:v>2.2514029178086759E-2</c:v>
                </c:pt>
                <c:pt idx="1016">
                  <c:v>2.2528115813464922E-2</c:v>
                </c:pt>
                <c:pt idx="1017">
                  <c:v>2.2547064600664246E-2</c:v>
                </c:pt>
                <c:pt idx="1018">
                  <c:v>2.2555682709910485E-2</c:v>
                </c:pt>
                <c:pt idx="1019">
                  <c:v>2.2569162971057821E-2</c:v>
                </c:pt>
                <c:pt idx="1020">
                  <c:v>2.2582441107408258E-2</c:v>
                </c:pt>
                <c:pt idx="1021">
                  <c:v>2.259551711904173E-2</c:v>
                </c:pt>
                <c:pt idx="1022">
                  <c:v>2.2608391005878303E-2</c:v>
                </c:pt>
                <c:pt idx="1023">
                  <c:v>2.262106276783804E-2</c:v>
                </c:pt>
                <c:pt idx="1024">
                  <c:v>2.2633532405000878E-2</c:v>
                </c:pt>
                <c:pt idx="1025">
                  <c:v>2.2645799917206944E-2</c:v>
                </c:pt>
                <c:pt idx="1026">
                  <c:v>2.2657865304616109E-2</c:v>
                </c:pt>
                <c:pt idx="1027">
                  <c:v>2.2669728567148439E-2</c:v>
                </c:pt>
                <c:pt idx="1028">
                  <c:v>2.2681389704723998E-2</c:v>
                </c:pt>
                <c:pt idx="1029">
                  <c:v>2.2692848717342784E-2</c:v>
                </c:pt>
                <c:pt idx="1030">
                  <c:v>2.2704105605004798E-2</c:v>
                </c:pt>
                <c:pt idx="1031">
                  <c:v>2.2715160367710041E-2</c:v>
                </c:pt>
                <c:pt idx="1032">
                  <c:v>2.2726013005378576E-2</c:v>
                </c:pt>
                <c:pt idx="1033">
                  <c:v>2.2736663518010403E-2</c:v>
                </c:pt>
                <c:pt idx="1034">
                  <c:v>2.2747111905605522E-2</c:v>
                </c:pt>
                <c:pt idx="1035">
                  <c:v>2.2757358168163933E-2</c:v>
                </c:pt>
                <c:pt idx="1036">
                  <c:v>2.2767410702169144E-2</c:v>
                </c:pt>
                <c:pt idx="1037">
                  <c:v>2.2777364078532258E-2</c:v>
                </c:pt>
                <c:pt idx="1038">
                  <c:v>2.2787245254329846E-2</c:v>
                </c:pt>
                <c:pt idx="1039">
                  <c:v>2.2797054229641844E-2</c:v>
                </c:pt>
                <c:pt idx="1040">
                  <c:v>2.2806791004468252E-2</c:v>
                </c:pt>
                <c:pt idx="1041">
                  <c:v>2.2816455578729133E-2</c:v>
                </c:pt>
                <c:pt idx="1042">
                  <c:v>2.2826047952504425E-2</c:v>
                </c:pt>
                <c:pt idx="1043">
                  <c:v>2.283556812571419E-2</c:v>
                </c:pt>
                <c:pt idx="1044">
                  <c:v>2.2845016098358428E-2</c:v>
                </c:pt>
                <c:pt idx="1045">
                  <c:v>2.2854391870517077E-2</c:v>
                </c:pt>
                <c:pt idx="1046">
                  <c:v>2.2863695442110199E-2</c:v>
                </c:pt>
                <c:pt idx="1047">
                  <c:v>2.2872926813057859E-2</c:v>
                </c:pt>
                <c:pt idx="1048">
                  <c:v>2.2882085983519929E-2</c:v>
                </c:pt>
                <c:pt idx="1049">
                  <c:v>2.2891172953416472E-2</c:v>
                </c:pt>
                <c:pt idx="1050">
                  <c:v>2.2900187722747489E-2</c:v>
                </c:pt>
                <c:pt idx="1051">
                  <c:v>2.2913223482898815E-2</c:v>
                </c:pt>
                <c:pt idx="1052">
                  <c:v>2.2922080070562068E-2</c:v>
                </c:pt>
                <c:pt idx="1053">
                  <c:v>2.2926798827187511E-2</c:v>
                </c:pt>
                <c:pt idx="1054">
                  <c:v>2.2935524794256423E-2</c:v>
                </c:pt>
                <c:pt idx="1055">
                  <c:v>2.2944178560520001E-2</c:v>
                </c:pt>
                <c:pt idx="1056">
                  <c:v>2.2952760126377925E-2</c:v>
                </c:pt>
                <c:pt idx="1057">
                  <c:v>2.2961269491430514E-2</c:v>
                </c:pt>
                <c:pt idx="1058">
                  <c:v>2.2969706655997513E-2</c:v>
                </c:pt>
                <c:pt idx="1059">
                  <c:v>2.2978071619919049E-2</c:v>
                </c:pt>
                <c:pt idx="1060">
                  <c:v>2.2986364383195124E-2</c:v>
                </c:pt>
                <c:pt idx="1061">
                  <c:v>2.2994584945905672E-2</c:v>
                </c:pt>
                <c:pt idx="1062">
                  <c:v>2.3002733307890821E-2</c:v>
                </c:pt>
                <c:pt idx="1063">
                  <c:v>2.3010809469310445E-2</c:v>
                </c:pt>
                <c:pt idx="1064">
                  <c:v>2.3024030009269225E-2</c:v>
                </c:pt>
                <c:pt idx="1065">
                  <c:v>2.3026745190133369E-2</c:v>
                </c:pt>
                <c:pt idx="1066">
                  <c:v>2.3034604749536669E-2</c:v>
                </c:pt>
                <c:pt idx="1067">
                  <c:v>2.3042392108294507E-2</c:v>
                </c:pt>
                <c:pt idx="1068">
                  <c:v>2.3050107266406883E-2</c:v>
                </c:pt>
                <c:pt idx="1069">
                  <c:v>2.305775022379386E-2</c:v>
                </c:pt>
                <c:pt idx="1070">
                  <c:v>2.3065320980615311E-2</c:v>
                </c:pt>
                <c:pt idx="1071">
                  <c:v>2.3072819536631428E-2</c:v>
                </c:pt>
                <c:pt idx="1072">
                  <c:v>2.3080245892082019E-2</c:v>
                </c:pt>
                <c:pt idx="1073">
                  <c:v>2.3087600046807211E-2</c:v>
                </c:pt>
                <c:pt idx="1074">
                  <c:v>2.3094882000807004E-2</c:v>
                </c:pt>
                <c:pt idx="1075">
                  <c:v>2.3102091754161336E-2</c:v>
                </c:pt>
                <c:pt idx="1076">
                  <c:v>2.3109229306790269E-2</c:v>
                </c:pt>
                <c:pt idx="1077">
                  <c:v>2.3116294658693803E-2</c:v>
                </c:pt>
                <c:pt idx="1078">
                  <c:v>2.312328780987194E-2</c:v>
                </c:pt>
                <c:pt idx="1079">
                  <c:v>2.3130208760404614E-2</c:v>
                </c:pt>
                <c:pt idx="1080">
                  <c:v>2.3137057510131953E-2</c:v>
                </c:pt>
                <c:pt idx="1081">
                  <c:v>2.314383405921383E-2</c:v>
                </c:pt>
                <c:pt idx="1082">
                  <c:v>2.3150538407570309E-2</c:v>
                </c:pt>
                <c:pt idx="1083">
                  <c:v>2.315717055520139E-2</c:v>
                </c:pt>
                <c:pt idx="1084">
                  <c:v>2.3163730502107072E-2</c:v>
                </c:pt>
                <c:pt idx="1085">
                  <c:v>2.3170218248207419E-2</c:v>
                </c:pt>
                <c:pt idx="1086">
                  <c:v>2.3176633793502432E-2</c:v>
                </c:pt>
                <c:pt idx="1087">
                  <c:v>2.3182977138231919E-2</c:v>
                </c:pt>
                <c:pt idx="1088">
                  <c:v>2.3189248282076136E-2</c:v>
                </c:pt>
                <c:pt idx="1089">
                  <c:v>2.319544722527489E-2</c:v>
                </c:pt>
                <c:pt idx="1090">
                  <c:v>2.320157396766831E-2</c:v>
                </c:pt>
                <c:pt idx="1091">
                  <c:v>2.3207628509256395E-2</c:v>
                </c:pt>
                <c:pt idx="1092">
                  <c:v>2.3213610850119082E-2</c:v>
                </c:pt>
                <c:pt idx="1093">
                  <c:v>2.321952099025637E-2</c:v>
                </c:pt>
                <c:pt idx="1094">
                  <c:v>2.3225358929508388E-2</c:v>
                </c:pt>
                <c:pt idx="1095">
                  <c:v>2.3231124668114944E-2</c:v>
                </c:pt>
                <c:pt idx="1096">
                  <c:v>2.3236818205836229E-2</c:v>
                </c:pt>
                <c:pt idx="1097">
                  <c:v>2.3242439542832116E-2</c:v>
                </c:pt>
                <c:pt idx="1098">
                  <c:v>2.3247988679022669E-2</c:v>
                </c:pt>
                <c:pt idx="1099">
                  <c:v>2.3253465614487823E-2</c:v>
                </c:pt>
                <c:pt idx="1100">
                  <c:v>2.3258870349147642E-2</c:v>
                </c:pt>
                <c:pt idx="1101">
                  <c:v>2.3264202882922191E-2</c:v>
                </c:pt>
                <c:pt idx="1102">
                  <c:v>2.3269463215971342E-2</c:v>
                </c:pt>
                <c:pt idx="1103">
                  <c:v>2.3274651348135222E-2</c:v>
                </c:pt>
                <c:pt idx="1104">
                  <c:v>2.327976727965364E-2</c:v>
                </c:pt>
                <c:pt idx="1105">
                  <c:v>2.3284811010206852E-2</c:v>
                </c:pt>
                <c:pt idx="1106">
                  <c:v>2.3289782540034665E-2</c:v>
                </c:pt>
                <c:pt idx="1107">
                  <c:v>2.3294681869057143E-2</c:v>
                </c:pt>
                <c:pt idx="1108">
                  <c:v>2.3299508997194351E-2</c:v>
                </c:pt>
                <c:pt idx="1109">
                  <c:v>2.3304263924526225E-2</c:v>
                </c:pt>
                <c:pt idx="1110">
                  <c:v>2.33089466511327E-2</c:v>
                </c:pt>
                <c:pt idx="1111">
                  <c:v>2.3313557176853905E-2</c:v>
                </c:pt>
                <c:pt idx="1112">
                  <c:v>2.3318095501689839E-2</c:v>
                </c:pt>
                <c:pt idx="1113">
                  <c:v>2.3322561625800375E-2</c:v>
                </c:pt>
                <c:pt idx="1114">
                  <c:v>2.3326955548945705E-2</c:v>
                </c:pt>
                <c:pt idx="1115">
                  <c:v>2.3331277271365636E-2</c:v>
                </c:pt>
                <c:pt idx="1116">
                  <c:v>2.3335526792900296E-2</c:v>
                </c:pt>
                <c:pt idx="1117">
                  <c:v>2.3339704113629622E-2</c:v>
                </c:pt>
                <c:pt idx="1118">
                  <c:v>2.3343809233473678E-2</c:v>
                </c:pt>
                <c:pt idx="1119">
                  <c:v>2.3352008625822762E-2</c:v>
                </c:pt>
                <c:pt idx="1120">
                  <c:v>2.335180287066585E-2</c:v>
                </c:pt>
                <c:pt idx="1121">
                  <c:v>2.3355691388013966E-2</c:v>
                </c:pt>
                <c:pt idx="1122">
                  <c:v>2.3359507704476812E-2</c:v>
                </c:pt>
                <c:pt idx="1123">
                  <c:v>2.3363251820054387E-2</c:v>
                </c:pt>
                <c:pt idx="1124">
                  <c:v>2.3366923734746692E-2</c:v>
                </c:pt>
                <c:pt idx="1125">
                  <c:v>2.3370523448633662E-2</c:v>
                </c:pt>
                <c:pt idx="1126">
                  <c:v>2.3374050961715298E-2</c:v>
                </c:pt>
                <c:pt idx="1127">
                  <c:v>2.3377506273831727E-2</c:v>
                </c:pt>
                <c:pt idx="1128">
                  <c:v>2.3380889385142822E-2</c:v>
                </c:pt>
                <c:pt idx="1129">
                  <c:v>2.3384200295568647E-2</c:v>
                </c:pt>
                <c:pt idx="1130">
                  <c:v>2.3387439005189137E-2</c:v>
                </c:pt>
                <c:pt idx="1131">
                  <c:v>2.339060551384442E-2</c:v>
                </c:pt>
                <c:pt idx="1132">
                  <c:v>2.3393699821694369E-2</c:v>
                </c:pt>
                <c:pt idx="1133">
                  <c:v>2.3396721928579112E-2</c:v>
                </c:pt>
                <c:pt idx="1134">
                  <c:v>2.339967183465852E-2</c:v>
                </c:pt>
                <c:pt idx="1135">
                  <c:v>2.3402549539852657E-2</c:v>
                </c:pt>
                <c:pt idx="1136">
                  <c:v>2.3405355044161524E-2</c:v>
                </c:pt>
                <c:pt idx="1137">
                  <c:v>2.3408088347585121E-2</c:v>
                </c:pt>
                <c:pt idx="1138">
                  <c:v>2.3410749450043511E-2</c:v>
                </c:pt>
                <c:pt idx="1139">
                  <c:v>2.3413338351776503E-2</c:v>
                </c:pt>
                <c:pt idx="1140">
                  <c:v>2.3415855052464352E-2</c:v>
                </c:pt>
                <c:pt idx="1141">
                  <c:v>2.3418299552346866E-2</c:v>
                </c:pt>
                <c:pt idx="1142">
                  <c:v>2.342067185134411E-2</c:v>
                </c:pt>
                <c:pt idx="1143">
                  <c:v>2.3422971949376148E-2</c:v>
                </c:pt>
                <c:pt idx="1144">
                  <c:v>2.3425199846602851E-2</c:v>
                </c:pt>
                <c:pt idx="1145">
                  <c:v>2.3427355542864348E-2</c:v>
                </c:pt>
                <c:pt idx="1146">
                  <c:v>2.3429439038240574E-2</c:v>
                </c:pt>
                <c:pt idx="1147">
                  <c:v>2.3431450332811465E-2</c:v>
                </c:pt>
                <c:pt idx="1148">
                  <c:v>2.3433389426417151E-2</c:v>
                </c:pt>
                <c:pt idx="1149">
                  <c:v>2.3435256319137565E-2</c:v>
                </c:pt>
                <c:pt idx="1150">
                  <c:v>2.3437051010892773E-2</c:v>
                </c:pt>
                <c:pt idx="1151">
                  <c:v>2.3438773501842647E-2</c:v>
                </c:pt>
                <c:pt idx="1152">
                  <c:v>2.3440423791827314E-2</c:v>
                </c:pt>
                <c:pt idx="1153">
                  <c:v>2.3442001880926711E-2</c:v>
                </c:pt>
                <c:pt idx="1154">
                  <c:v>2.3443507769060901E-2</c:v>
                </c:pt>
                <c:pt idx="1155">
                  <c:v>2.3444941456389756E-2</c:v>
                </c:pt>
                <c:pt idx="1156">
                  <c:v>2.3449061498157509E-2</c:v>
                </c:pt>
                <c:pt idx="1157">
                  <c:v>2.3449474115544433E-2</c:v>
                </c:pt>
                <c:pt idx="1158">
                  <c:v>2.3450670727154233E-2</c:v>
                </c:pt>
                <c:pt idx="1159">
                  <c:v>2.3451795128472952E-2</c:v>
                </c:pt>
                <c:pt idx="1160">
                  <c:v>2.3452847319420655E-2</c:v>
                </c:pt>
                <c:pt idx="1161">
                  <c:v>2.3453827300103924E-2</c:v>
                </c:pt>
                <c:pt idx="1162">
                  <c:v>2.3454735070442823E-2</c:v>
                </c:pt>
                <c:pt idx="1163">
                  <c:v>2.3455570630490641E-2</c:v>
                </c:pt>
                <c:pt idx="1164">
                  <c:v>2.3456333980220734E-2</c:v>
                </c:pt>
                <c:pt idx="1165">
                  <c:v>2.3457025119606456E-2</c:v>
                </c:pt>
                <c:pt idx="1166">
                  <c:v>2.3457644048674453E-2</c:v>
                </c:pt>
                <c:pt idx="1167">
                  <c:v>2.345819076745137E-2</c:v>
                </c:pt>
                <c:pt idx="1168">
                  <c:v>2.3458665275910562E-2</c:v>
                </c:pt>
                <c:pt idx="1169">
                  <c:v>2.3457689831385409E-2</c:v>
                </c:pt>
                <c:pt idx="1170">
                  <c:v>2.3459397661795833E-2</c:v>
                </c:pt>
                <c:pt idx="1171">
                  <c:v>2.3459655539275204E-2</c:v>
                </c:pt>
                <c:pt idx="1172">
                  <c:v>2.3459841206410204E-2</c:v>
                </c:pt>
                <c:pt idx="1173">
                  <c:v>2.3459954663254123E-2</c:v>
                </c:pt>
                <c:pt idx="1174">
                  <c:v>2.3459995909727027E-2</c:v>
                </c:pt>
                <c:pt idx="1175">
                  <c:v>2.3459964945908851E-2</c:v>
                </c:pt>
                <c:pt idx="1176">
                  <c:v>2.3459861771746304E-2</c:v>
                </c:pt>
                <c:pt idx="1177">
                  <c:v>2.3459686387266032E-2</c:v>
                </c:pt>
                <c:pt idx="1178">
                  <c:v>2.3459438792468035E-2</c:v>
                </c:pt>
                <c:pt idx="1179">
                  <c:v>2.3459118987352312E-2</c:v>
                </c:pt>
                <c:pt idx="1180">
                  <c:v>2.3458726971918864E-2</c:v>
                </c:pt>
                <c:pt idx="1181">
                  <c:v>2.3458262746141045E-2</c:v>
                </c:pt>
                <c:pt idx="1182">
                  <c:v>2.3457726310045501E-2</c:v>
                </c:pt>
                <c:pt idx="1183">
                  <c:v>2.3457117663632232E-2</c:v>
                </c:pt>
                <c:pt idx="1184">
                  <c:v>2.3456436806901237E-2</c:v>
                </c:pt>
                <c:pt idx="1185">
                  <c:v>2.3455683739852518E-2</c:v>
                </c:pt>
                <c:pt idx="1186">
                  <c:v>2.3454858462486072E-2</c:v>
                </c:pt>
                <c:pt idx="1187">
                  <c:v>2.3453960974801902E-2</c:v>
                </c:pt>
                <c:pt idx="1188">
                  <c:v>2.3452991276800006E-2</c:v>
                </c:pt>
                <c:pt idx="1189">
                  <c:v>2.3451949368480385E-2</c:v>
                </c:pt>
                <c:pt idx="1190">
                  <c:v>2.3450835249869684E-2</c:v>
                </c:pt>
                <c:pt idx="1191">
                  <c:v>2.3449648920941257E-2</c:v>
                </c:pt>
                <c:pt idx="1192">
                  <c:v>2.3448390381695106E-2</c:v>
                </c:pt>
                <c:pt idx="1193">
                  <c:v>2.3447078770555407E-2</c:v>
                </c:pt>
                <c:pt idx="1194">
                  <c:v>2.3445753598956287E-2</c:v>
                </c:pt>
                <c:pt idx="1195">
                  <c:v>2.3444416719042849E-2</c:v>
                </c:pt>
                <c:pt idx="1196">
                  <c:v>2.3443068130841738E-2</c:v>
                </c:pt>
                <c:pt idx="1197">
                  <c:v>2.3441707834273018E-2</c:v>
                </c:pt>
                <c:pt idx="1198">
                  <c:v>2.3440335829416625E-2</c:v>
                </c:pt>
                <c:pt idx="1199">
                  <c:v>2.3438952116219269E-2</c:v>
                </c:pt>
                <c:pt idx="1200">
                  <c:v>2.3437556694707595E-2</c:v>
                </c:pt>
                <c:pt idx="1201">
                  <c:v>2.3436149564881603E-2</c:v>
                </c:pt>
                <c:pt idx="1202">
                  <c:v>2.3434730726741293E-2</c:v>
                </c:pt>
                <c:pt idx="1203">
                  <c:v>2.3433300180260019E-2</c:v>
                </c:pt>
                <c:pt idx="1204">
                  <c:v>2.3431857925464428E-2</c:v>
                </c:pt>
                <c:pt idx="1205">
                  <c:v>2.3430403962354518E-2</c:v>
                </c:pt>
                <c:pt idx="1206">
                  <c:v>2.342893829093029E-2</c:v>
                </c:pt>
                <c:pt idx="1207">
                  <c:v>2.3427460911191744E-2</c:v>
                </c:pt>
                <c:pt idx="1208">
                  <c:v>2.3424675130092609E-2</c:v>
                </c:pt>
                <c:pt idx="1209">
                  <c:v>2.3422516195381604E-2</c:v>
                </c:pt>
                <c:pt idx="1210">
                  <c:v>2.3421000542658277E-2</c:v>
                </c:pt>
                <c:pt idx="1211">
                  <c:v>2.3419473183139417E-2</c:v>
                </c:pt>
                <c:pt idx="1212">
                  <c:v>2.3417934116825023E-2</c:v>
                </c:pt>
                <c:pt idx="1213">
                  <c:v>2.3416383343715097E-2</c:v>
                </c:pt>
                <c:pt idx="1214">
                  <c:v>2.3414820863809638E-2</c:v>
                </c:pt>
                <c:pt idx="1215">
                  <c:v>2.3413246677108646E-2</c:v>
                </c:pt>
                <c:pt idx="1216">
                  <c:v>2.3411660783532184E-2</c:v>
                </c:pt>
                <c:pt idx="1217">
                  <c:v>2.3410063183240126E-2</c:v>
                </c:pt>
                <c:pt idx="1218">
                  <c:v>2.3408453876072599E-2</c:v>
                </c:pt>
                <c:pt idx="1219">
                  <c:v>2.3406832862109539E-2</c:v>
                </c:pt>
                <c:pt idx="1220">
                  <c:v>2.3405200141350946E-2</c:v>
                </c:pt>
                <c:pt idx="1221">
                  <c:v>2.3403555713716884E-2</c:v>
                </c:pt>
                <c:pt idx="1222">
                  <c:v>2.3401899579367225E-2</c:v>
                </c:pt>
                <c:pt idx="1223">
                  <c:v>2.3400231738222033E-2</c:v>
                </c:pt>
                <c:pt idx="1224">
                  <c:v>2.3398070169218244E-2</c:v>
                </c:pt>
                <c:pt idx="1225">
                  <c:v>2.3396860935465114E-2</c:v>
                </c:pt>
                <c:pt idx="1226">
                  <c:v>2.3395157973933323E-2</c:v>
                </c:pt>
                <c:pt idx="1227">
                  <c:v>2.3393443305526063E-2</c:v>
                </c:pt>
                <c:pt idx="1228">
                  <c:v>2.3391716930403206E-2</c:v>
                </c:pt>
                <c:pt idx="1229">
                  <c:v>2.338997884840488E-2</c:v>
                </c:pt>
                <c:pt idx="1230">
                  <c:v>2.3388229059611021E-2</c:v>
                </c:pt>
                <c:pt idx="1231">
                  <c:v>2.3386467564021629E-2</c:v>
                </c:pt>
                <c:pt idx="1232">
                  <c:v>2.3384694361636704E-2</c:v>
                </c:pt>
                <c:pt idx="1233">
                  <c:v>2.3382909452456246E-2</c:v>
                </c:pt>
                <c:pt idx="1234">
                  <c:v>2.3381112836480256E-2</c:v>
                </c:pt>
                <c:pt idx="1235">
                  <c:v>2.3379304513628796E-2</c:v>
                </c:pt>
                <c:pt idx="1236">
                  <c:v>2.3377484484061739E-2</c:v>
                </c:pt>
                <c:pt idx="1237">
                  <c:v>2.3375652747699149E-2</c:v>
                </c:pt>
                <c:pt idx="1238">
                  <c:v>2.3373809304461091E-2</c:v>
                </c:pt>
                <c:pt idx="1239">
                  <c:v>2.3371954154427499E-2</c:v>
                </c:pt>
                <c:pt idx="1240">
                  <c:v>2.337008729767831E-2</c:v>
                </c:pt>
                <c:pt idx="1241">
                  <c:v>2.3368208734053653E-2</c:v>
                </c:pt>
                <c:pt idx="1242">
                  <c:v>2.3366318463633462E-2</c:v>
                </c:pt>
                <c:pt idx="1243">
                  <c:v>2.3364416486417738E-2</c:v>
                </c:pt>
                <c:pt idx="1244">
                  <c:v>2.3362502802486418E-2</c:v>
                </c:pt>
                <c:pt idx="1245">
                  <c:v>2.3360577411679628E-2</c:v>
                </c:pt>
                <c:pt idx="1246">
                  <c:v>2.3358640314077306E-2</c:v>
                </c:pt>
                <c:pt idx="1247">
                  <c:v>2.335669150967945E-2</c:v>
                </c:pt>
                <c:pt idx="1248">
                  <c:v>2.3354730998486062E-2</c:v>
                </c:pt>
                <c:pt idx="1249">
                  <c:v>2.335275878049714E-2</c:v>
                </c:pt>
                <c:pt idx="1250">
                  <c:v>2.3350774855712686E-2</c:v>
                </c:pt>
                <c:pt idx="1251">
                  <c:v>2.3348779224052763E-2</c:v>
                </c:pt>
                <c:pt idx="1252">
                  <c:v>2.3346771885677242E-2</c:v>
                </c:pt>
                <c:pt idx="1253">
                  <c:v>2.3344752840426253E-2</c:v>
                </c:pt>
                <c:pt idx="1254">
                  <c:v>2.3342722088459666E-2</c:v>
                </c:pt>
                <c:pt idx="1255">
                  <c:v>2.3340679629697547E-2</c:v>
                </c:pt>
                <c:pt idx="1256">
                  <c:v>2.3338625464059959E-2</c:v>
                </c:pt>
                <c:pt idx="1257">
                  <c:v>2.3336559591706774E-2</c:v>
                </c:pt>
                <c:pt idx="1258">
                  <c:v>2.3334482012558055E-2</c:v>
                </c:pt>
                <c:pt idx="1259">
                  <c:v>2.3332392726613804E-2</c:v>
                </c:pt>
                <c:pt idx="1260">
                  <c:v>2.3330595914554664E-2</c:v>
                </c:pt>
                <c:pt idx="1261">
                  <c:v>2.3327876264369607E-2</c:v>
                </c:pt>
                <c:pt idx="1262">
                  <c:v>2.3325750185616556E-2</c:v>
                </c:pt>
                <c:pt idx="1263">
                  <c:v>2.3323612399988036E-2</c:v>
                </c:pt>
                <c:pt idx="1264">
                  <c:v>2.3321462907723856E-2</c:v>
                </c:pt>
                <c:pt idx="1265">
                  <c:v>2.331930170850427E-2</c:v>
                </c:pt>
                <c:pt idx="1266">
                  <c:v>2.3317128802569087E-2</c:v>
                </c:pt>
                <c:pt idx="1267">
                  <c:v>2.3314944189758435E-2</c:v>
                </c:pt>
                <c:pt idx="1268">
                  <c:v>2.3312747870232187E-2</c:v>
                </c:pt>
                <c:pt idx="1269">
                  <c:v>2.3310539843910405E-2</c:v>
                </c:pt>
                <c:pt idx="1270">
                  <c:v>2.330832011079309E-2</c:v>
                </c:pt>
                <c:pt idx="1271">
                  <c:v>2.3306088670880243E-2</c:v>
                </c:pt>
                <c:pt idx="1272">
                  <c:v>2.3303845524171862E-2</c:v>
                </c:pt>
                <c:pt idx="1273">
                  <c:v>2.3301590670667949E-2</c:v>
                </c:pt>
                <c:pt idx="1274">
                  <c:v>2.3299324110368502E-2</c:v>
                </c:pt>
                <c:pt idx="1275">
                  <c:v>2.3296392759526441E-2</c:v>
                </c:pt>
                <c:pt idx="1276">
                  <c:v>2.3294099440871463E-2</c:v>
                </c:pt>
                <c:pt idx="1277">
                  <c:v>2.3292640519594343E-2</c:v>
                </c:pt>
                <c:pt idx="1278">
                  <c:v>2.3289477683094972E-2</c:v>
                </c:pt>
                <c:pt idx="1279">
                  <c:v>2.3287149244053396E-2</c:v>
                </c:pt>
                <c:pt idx="1280">
                  <c:v>2.328480909813635E-2</c:v>
                </c:pt>
                <c:pt idx="1281">
                  <c:v>2.3282457245503707E-2</c:v>
                </c:pt>
                <c:pt idx="1282">
                  <c:v>2.3280093685995595E-2</c:v>
                </c:pt>
                <c:pt idx="1283">
                  <c:v>2.3277718419851823E-2</c:v>
                </c:pt>
                <c:pt idx="1284">
                  <c:v>2.3275331446832581E-2</c:v>
                </c:pt>
                <c:pt idx="1285">
                  <c:v>2.3272932767017807E-2</c:v>
                </c:pt>
                <c:pt idx="1286">
                  <c:v>2.3270522380327563E-2</c:v>
                </c:pt>
                <c:pt idx="1287">
                  <c:v>2.3268100287001658E-2</c:v>
                </c:pt>
                <c:pt idx="1288">
                  <c:v>2.3265666486720349E-2</c:v>
                </c:pt>
                <c:pt idx="1289">
                  <c:v>2.3263220979803378E-2</c:v>
                </c:pt>
                <c:pt idx="1290">
                  <c:v>2.3260763765931003E-2</c:v>
                </c:pt>
                <c:pt idx="1291">
                  <c:v>2.3258294845422967E-2</c:v>
                </c:pt>
                <c:pt idx="1292">
                  <c:v>2.3255814218119397E-2</c:v>
                </c:pt>
                <c:pt idx="1293">
                  <c:v>2.3253321883940359E-2</c:v>
                </c:pt>
                <c:pt idx="1294">
                  <c:v>2.3250817843045724E-2</c:v>
                </c:pt>
                <c:pt idx="1295">
                  <c:v>2.3248302095275619E-2</c:v>
                </c:pt>
                <c:pt idx="1296">
                  <c:v>2.3245774640709982E-2</c:v>
                </c:pt>
                <c:pt idx="1297">
                  <c:v>2.3243235479428748E-2</c:v>
                </c:pt>
                <c:pt idx="1298">
                  <c:v>2.324068461135198E-2</c:v>
                </c:pt>
                <c:pt idx="1299">
                  <c:v>2.323812203647968E-2</c:v>
                </c:pt>
                <c:pt idx="1300">
                  <c:v>2.3235547754811847E-2</c:v>
                </c:pt>
                <c:pt idx="1301">
                  <c:v>2.3232961766428417E-2</c:v>
                </c:pt>
                <c:pt idx="1302">
                  <c:v>2.3230364071169518E-2</c:v>
                </c:pt>
                <c:pt idx="1303">
                  <c:v>2.3227754669195022E-2</c:v>
                </c:pt>
                <c:pt idx="1304">
                  <c:v>2.3225133560265121E-2</c:v>
                </c:pt>
                <c:pt idx="1305">
                  <c:v>2.3222500744699559E-2</c:v>
                </c:pt>
                <c:pt idx="1306">
                  <c:v>2.3219856222338464E-2</c:v>
                </c:pt>
                <c:pt idx="1307">
                  <c:v>2.3217199993181836E-2</c:v>
                </c:pt>
                <c:pt idx="1308">
                  <c:v>2.3214532057149739E-2</c:v>
                </c:pt>
                <c:pt idx="1309">
                  <c:v>2.3211852414481982E-2</c:v>
                </c:pt>
                <c:pt idx="1310">
                  <c:v>2.3209161064938755E-2</c:v>
                </c:pt>
                <c:pt idx="1311">
                  <c:v>2.3204908148919401E-2</c:v>
                </c:pt>
                <c:pt idx="1312">
                  <c:v>2.3204460894552525E-2</c:v>
                </c:pt>
                <c:pt idx="1313">
                  <c:v>2.3201016775695749E-2</c:v>
                </c:pt>
                <c:pt idx="1314">
                  <c:v>2.319827859897039E-2</c:v>
                </c:pt>
                <c:pt idx="1315">
                  <c:v>2.3195528715529434E-2</c:v>
                </c:pt>
                <c:pt idx="1316">
                  <c:v>2.3192767125292946E-2</c:v>
                </c:pt>
                <c:pt idx="1317">
                  <c:v>2.3189993828260924E-2</c:v>
                </c:pt>
                <c:pt idx="1318">
                  <c:v>2.3187208824513306E-2</c:v>
                </c:pt>
                <c:pt idx="1319">
                  <c:v>2.3184412113970154E-2</c:v>
                </c:pt>
                <c:pt idx="1320">
                  <c:v>2.318160369663147E-2</c:v>
                </c:pt>
                <c:pt idx="1321">
                  <c:v>2.3178783572417316E-2</c:v>
                </c:pt>
                <c:pt idx="1322">
                  <c:v>2.3175951741567502E-2</c:v>
                </c:pt>
                <c:pt idx="1323">
                  <c:v>2.3173108203842219E-2</c:v>
                </c:pt>
                <c:pt idx="1324">
                  <c:v>2.3172417326374983E-2</c:v>
                </c:pt>
                <c:pt idx="1325">
                  <c:v>2.3167386008084989E-2</c:v>
                </c:pt>
                <c:pt idx="1326">
                  <c:v>2.3164507349973107E-2</c:v>
                </c:pt>
                <c:pt idx="1327">
                  <c:v>2.3161616985225564E-2</c:v>
                </c:pt>
                <c:pt idx="1328">
                  <c:v>2.3158714913522616E-2</c:v>
                </c:pt>
                <c:pt idx="1329">
                  <c:v>2.3155801135184007E-2</c:v>
                </c:pt>
                <c:pt idx="1330">
                  <c:v>2.3152875650049864E-2</c:v>
                </c:pt>
                <c:pt idx="1331">
                  <c:v>2.3149938458040253E-2</c:v>
                </c:pt>
                <c:pt idx="1332">
                  <c:v>2.3146989559315045E-2</c:v>
                </c:pt>
                <c:pt idx="1333">
                  <c:v>2.3144028953794304E-2</c:v>
                </c:pt>
                <c:pt idx="1334">
                  <c:v>2.3141056641478031E-2</c:v>
                </c:pt>
                <c:pt idx="1335">
                  <c:v>2.313807262244616E-2</c:v>
                </c:pt>
                <c:pt idx="1336">
                  <c:v>2.3135076896618756E-2</c:v>
                </c:pt>
                <c:pt idx="1337">
                  <c:v>2.3132069463995819E-2</c:v>
                </c:pt>
                <c:pt idx="1338">
                  <c:v>2.3129050324577349E-2</c:v>
                </c:pt>
                <c:pt idx="1339">
                  <c:v>2.3126019478523219E-2</c:v>
                </c:pt>
                <c:pt idx="1340">
                  <c:v>2.3122976925433747E-2</c:v>
                </c:pt>
                <c:pt idx="1341">
                  <c:v>2.3119922665708614E-2</c:v>
                </c:pt>
                <c:pt idx="1342">
                  <c:v>2.3116856699267885E-2</c:v>
                </c:pt>
                <c:pt idx="1343">
                  <c:v>2.3113779026031622E-2</c:v>
                </c:pt>
                <c:pt idx="1344">
                  <c:v>2.3110689645919891E-2</c:v>
                </c:pt>
                <c:pt idx="1345">
                  <c:v>2.3107588559092562E-2</c:v>
                </c:pt>
                <c:pt idx="1346">
                  <c:v>2.3104475765469701E-2</c:v>
                </c:pt>
                <c:pt idx="1347">
                  <c:v>2.3101351265131242E-2</c:v>
                </c:pt>
                <c:pt idx="1348">
                  <c:v>2.3098215057997251E-2</c:v>
                </c:pt>
                <c:pt idx="1349">
                  <c:v>2.3095067143987791E-2</c:v>
                </c:pt>
                <c:pt idx="1350">
                  <c:v>2.309190752334267E-2</c:v>
                </c:pt>
                <c:pt idx="1351">
                  <c:v>2.3088736195822079E-2</c:v>
                </c:pt>
                <c:pt idx="1352">
                  <c:v>2.3085553161585892E-2</c:v>
                </c:pt>
                <c:pt idx="1353">
                  <c:v>2.3082358420634108E-2</c:v>
                </c:pt>
                <c:pt idx="1354">
                  <c:v>2.3079151972806855E-2</c:v>
                </c:pt>
                <c:pt idx="1355">
                  <c:v>2.3075933818264005E-2</c:v>
                </c:pt>
                <c:pt idx="1356">
                  <c:v>2.3072703956925622E-2</c:v>
                </c:pt>
                <c:pt idx="1357">
                  <c:v>2.3069462388791706E-2</c:v>
                </c:pt>
                <c:pt idx="1358">
                  <c:v>2.3066209113942193E-2</c:v>
                </c:pt>
                <c:pt idx="1359">
                  <c:v>2.3062944132297147E-2</c:v>
                </c:pt>
                <c:pt idx="1360">
                  <c:v>2.3059667443856569E-2</c:v>
                </c:pt>
                <c:pt idx="1361">
                  <c:v>2.3056379048700393E-2</c:v>
                </c:pt>
                <c:pt idx="1362">
                  <c:v>2.3053078946668748E-2</c:v>
                </c:pt>
                <c:pt idx="1363">
                  <c:v>2.3049767138001442E-2</c:v>
                </c:pt>
                <c:pt idx="1364">
                  <c:v>2.3046443622458668E-2</c:v>
                </c:pt>
                <c:pt idx="1365">
                  <c:v>2.3043108400200296E-2</c:v>
                </c:pt>
                <c:pt idx="1366">
                  <c:v>2.3039761471146392E-2</c:v>
                </c:pt>
                <c:pt idx="1367">
                  <c:v>2.3036402835296954E-2</c:v>
                </c:pt>
                <c:pt idx="1368">
                  <c:v>2.3033032492811856E-2</c:v>
                </c:pt>
                <c:pt idx="1369">
                  <c:v>2.3029650443451288E-2</c:v>
                </c:pt>
                <c:pt idx="1370">
                  <c:v>2.3026256687295188E-2</c:v>
                </c:pt>
                <c:pt idx="1371">
                  <c:v>2.3022851224423491E-2</c:v>
                </c:pt>
                <c:pt idx="1372">
                  <c:v>2.3019434054836196E-2</c:v>
                </c:pt>
                <c:pt idx="1373">
                  <c:v>2.3016005178373433E-2</c:v>
                </c:pt>
                <c:pt idx="1374">
                  <c:v>2.3012564595275009E-2</c:v>
                </c:pt>
                <c:pt idx="1375">
                  <c:v>2.3009112305301116E-2</c:v>
                </c:pt>
                <c:pt idx="1376">
                  <c:v>2.3005648308611626E-2</c:v>
                </c:pt>
                <c:pt idx="1377">
                  <c:v>2.3002172605206539E-2</c:v>
                </c:pt>
                <c:pt idx="1378">
                  <c:v>2.2998685194846047E-2</c:v>
                </c:pt>
                <c:pt idx="1379">
                  <c:v>2.2997121531423304E-2</c:v>
                </c:pt>
                <c:pt idx="1380">
                  <c:v>2.2991675254138144E-2</c:v>
                </c:pt>
                <c:pt idx="1381">
                  <c:v>2.2988152723630861E-2</c:v>
                </c:pt>
                <c:pt idx="1382">
                  <c:v>2.2984618486328046E-2</c:v>
                </c:pt>
                <c:pt idx="1383">
                  <c:v>2.2981072542229697E-2</c:v>
                </c:pt>
                <c:pt idx="1384">
                  <c:v>2.2977514891415751E-2</c:v>
                </c:pt>
                <c:pt idx="1385">
                  <c:v>2.2973945533806273E-2</c:v>
                </c:pt>
                <c:pt idx="1386">
                  <c:v>2.2970364469561133E-2</c:v>
                </c:pt>
                <c:pt idx="1387">
                  <c:v>2.2966771698440525E-2</c:v>
                </c:pt>
                <c:pt idx="1388">
                  <c:v>2.2963167220604319E-2</c:v>
                </c:pt>
                <c:pt idx="1389">
                  <c:v>2.2959551035972581E-2</c:v>
                </c:pt>
                <c:pt idx="1390">
                  <c:v>2.2955923144545309E-2</c:v>
                </c:pt>
                <c:pt idx="1391">
                  <c:v>2.2952283546402441E-2</c:v>
                </c:pt>
                <c:pt idx="1392">
                  <c:v>2.2948632241543976E-2</c:v>
                </c:pt>
                <c:pt idx="1393">
                  <c:v>2.2944969229810042E-2</c:v>
                </c:pt>
                <c:pt idx="1394">
                  <c:v>2.2941294511440447E-2</c:v>
                </c:pt>
                <c:pt idx="1395">
                  <c:v>2.2937608086275318E-2</c:v>
                </c:pt>
                <c:pt idx="1396">
                  <c:v>2.2933909954234721E-2</c:v>
                </c:pt>
                <c:pt idx="1397">
                  <c:v>2.2930200115638399E-2</c:v>
                </c:pt>
                <c:pt idx="1398">
                  <c:v>2.2926478570166609E-2</c:v>
                </c:pt>
                <c:pt idx="1399">
                  <c:v>2.2922745317899285E-2</c:v>
                </c:pt>
                <c:pt idx="1400">
                  <c:v>2.29190003589963E-2</c:v>
                </c:pt>
                <c:pt idx="1401">
                  <c:v>2.2915243693297782E-2</c:v>
                </c:pt>
                <c:pt idx="1402">
                  <c:v>2.2911475320723795E-2</c:v>
                </c:pt>
                <c:pt idx="1403">
                  <c:v>2.2907695241434212E-2</c:v>
                </c:pt>
                <c:pt idx="1404">
                  <c:v>2.2903903455588903E-2</c:v>
                </c:pt>
                <c:pt idx="1405">
                  <c:v>2.290009996278819E-2</c:v>
                </c:pt>
                <c:pt idx="1406">
                  <c:v>2.2896284763351815E-2</c:v>
                </c:pt>
                <c:pt idx="1407">
                  <c:v>2.2892457857039972E-2</c:v>
                </c:pt>
                <c:pt idx="1408">
                  <c:v>2.2888619244012531E-2</c:v>
                </c:pt>
                <c:pt idx="1409">
                  <c:v>2.2884768924269494E-2</c:v>
                </c:pt>
                <c:pt idx="1410">
                  <c:v>2.2880906897730924E-2</c:v>
                </c:pt>
                <c:pt idx="1411">
                  <c:v>2.2877033164476757E-2</c:v>
                </c:pt>
                <c:pt idx="1412">
                  <c:v>2.2873147724427056E-2</c:v>
                </c:pt>
                <c:pt idx="1413">
                  <c:v>2.2869250577661759E-2</c:v>
                </c:pt>
                <c:pt idx="1414">
                  <c:v>2.2865341724100929E-2</c:v>
                </c:pt>
                <c:pt idx="1415">
                  <c:v>2.2861421163904438E-2</c:v>
                </c:pt>
                <c:pt idx="1416">
                  <c:v>2.2857488896832479E-2</c:v>
                </c:pt>
                <c:pt idx="1417">
                  <c:v>2.2853544923044922E-2</c:v>
                </c:pt>
                <c:pt idx="1418">
                  <c:v>2.2849589242541768E-2</c:v>
                </c:pt>
                <c:pt idx="1419">
                  <c:v>2.2845621855243081E-2</c:v>
                </c:pt>
                <c:pt idx="1420">
                  <c:v>2.2841642761228798E-2</c:v>
                </c:pt>
                <c:pt idx="1421">
                  <c:v>2.2837651960418981E-2</c:v>
                </c:pt>
                <c:pt idx="1422">
                  <c:v>2.2833649452973503E-2</c:v>
                </c:pt>
                <c:pt idx="1423">
                  <c:v>2.2829635238652557E-2</c:v>
                </c:pt>
                <c:pt idx="1424">
                  <c:v>2.282560931769595E-2</c:v>
                </c:pt>
                <c:pt idx="1425">
                  <c:v>2.2821571689863873E-2</c:v>
                </c:pt>
                <c:pt idx="1426">
                  <c:v>2.2817522355396136E-2</c:v>
                </c:pt>
                <c:pt idx="1427">
                  <c:v>2.281346131405293E-2</c:v>
                </c:pt>
                <c:pt idx="1428">
                  <c:v>2.2809388566074063E-2</c:v>
                </c:pt>
                <c:pt idx="1429">
                  <c:v>2.2805304111299662E-2</c:v>
                </c:pt>
                <c:pt idx="1430">
                  <c:v>2.2802923420679022E-2</c:v>
                </c:pt>
                <c:pt idx="1431">
                  <c:v>2.2797100081604071E-2</c:v>
                </c:pt>
                <c:pt idx="1432">
                  <c:v>2.2792980506602945E-2</c:v>
                </c:pt>
                <c:pt idx="1433">
                  <c:v>2.2788849224886221E-2</c:v>
                </c:pt>
                <c:pt idx="1434">
                  <c:v>2.2784706236373964E-2</c:v>
                </c:pt>
                <c:pt idx="1435">
                  <c:v>2.2780551541226046E-2</c:v>
                </c:pt>
                <c:pt idx="1436">
                  <c:v>2.2776385139122723E-2</c:v>
                </c:pt>
                <c:pt idx="1437">
                  <c:v>2.2772207030463676E-2</c:v>
                </c:pt>
                <c:pt idx="1438">
                  <c:v>2.2768017215009095E-2</c:v>
                </c:pt>
                <c:pt idx="1439">
                  <c:v>2.2763815692838918E-2</c:v>
                </c:pt>
                <c:pt idx="1440">
                  <c:v>2.2759602463873208E-2</c:v>
                </c:pt>
                <c:pt idx="1441">
                  <c:v>2.2755377528271836E-2</c:v>
                </c:pt>
                <c:pt idx="1442">
                  <c:v>2.2751140885874932E-2</c:v>
                </c:pt>
                <c:pt idx="1443">
                  <c:v>2.2746892536682495E-2</c:v>
                </c:pt>
                <c:pt idx="1444">
                  <c:v>2.2742632480854397E-2</c:v>
                </c:pt>
                <c:pt idx="1445">
                  <c:v>2.273836071815083E-2</c:v>
                </c:pt>
                <c:pt idx="1446">
                  <c:v>2.2734077248731666E-2</c:v>
                </c:pt>
                <c:pt idx="1447">
                  <c:v>2.2729782072676841E-2</c:v>
                </c:pt>
                <c:pt idx="1448">
                  <c:v>2.2725475189906419E-2</c:v>
                </c:pt>
                <c:pt idx="1449">
                  <c:v>2.2721156600180592E-2</c:v>
                </c:pt>
                <c:pt idx="1450">
                  <c:v>2.271682630389904E-2</c:v>
                </c:pt>
                <c:pt idx="1451">
                  <c:v>2.2712484300901892E-2</c:v>
                </c:pt>
                <c:pt idx="1452">
                  <c:v>2.2708130591029274E-2</c:v>
                </c:pt>
                <c:pt idx="1453">
                  <c:v>2.2703771393066674E-2</c:v>
                </c:pt>
                <c:pt idx="1454">
                  <c:v>2.2699414834912446E-2</c:v>
                </c:pt>
                <c:pt idx="1455">
                  <c:v>2.2695060965727265E-2</c:v>
                </c:pt>
                <c:pt idx="1456">
                  <c:v>2.2690709785431196E-2</c:v>
                </c:pt>
                <c:pt idx="1457">
                  <c:v>2.2686361293864366E-2</c:v>
                </c:pt>
                <c:pt idx="1458">
                  <c:v>2.2682015491346519E-2</c:v>
                </c:pt>
                <c:pt idx="1459">
                  <c:v>2.2677672377637847E-2</c:v>
                </c:pt>
                <c:pt idx="1460">
                  <c:v>2.2673331952898224E-2</c:v>
                </c:pt>
                <c:pt idx="1461">
                  <c:v>2.2668994216967775E-2</c:v>
                </c:pt>
                <c:pt idx="1462">
                  <c:v>2.2664659169926438E-2</c:v>
                </c:pt>
                <c:pt idx="1463">
                  <c:v>2.2660326811694276E-2</c:v>
                </c:pt>
                <c:pt idx="1464">
                  <c:v>2.2655997142431161E-2</c:v>
                </c:pt>
                <c:pt idx="1465">
                  <c:v>2.2651670161977222E-2</c:v>
                </c:pt>
                <c:pt idx="1466">
                  <c:v>2.264734587049233E-2</c:v>
                </c:pt>
                <c:pt idx="1467">
                  <c:v>2.2643024267816614E-2</c:v>
                </c:pt>
                <c:pt idx="1468">
                  <c:v>2.2639298831836907E-2</c:v>
                </c:pt>
                <c:pt idx="1469">
                  <c:v>2.2634579407831978E-2</c:v>
                </c:pt>
                <c:pt idx="1470">
                  <c:v>2.2630266097829477E-2</c:v>
                </c:pt>
                <c:pt idx="1471">
                  <c:v>2.2625955477142412E-2</c:v>
                </c:pt>
                <c:pt idx="1472">
                  <c:v>2.2621647545770784E-2</c:v>
                </c:pt>
                <c:pt idx="1473">
                  <c:v>2.2617342303714594E-2</c:v>
                </c:pt>
                <c:pt idx="1474">
                  <c:v>2.2613039751000485E-2</c:v>
                </c:pt>
                <c:pt idx="1475">
                  <c:v>2.2608739887601814E-2</c:v>
                </c:pt>
                <c:pt idx="1476">
                  <c:v>2.260444271351858E-2</c:v>
                </c:pt>
                <c:pt idx="1477">
                  <c:v>2.2600148228724137E-2</c:v>
                </c:pt>
                <c:pt idx="1478">
                  <c:v>2.2595856433298422E-2</c:v>
                </c:pt>
                <c:pt idx="1479">
                  <c:v>2.2591567327134854E-2</c:v>
                </c:pt>
                <c:pt idx="1480">
                  <c:v>2.2584027876764168E-2</c:v>
                </c:pt>
                <c:pt idx="1481">
                  <c:v>2.2582997182833964E-2</c:v>
                </c:pt>
                <c:pt idx="1482">
                  <c:v>2.2578716144669997E-2</c:v>
                </c:pt>
                <c:pt idx="1483">
                  <c:v>2.2574437795821467E-2</c:v>
                </c:pt>
                <c:pt idx="1484">
                  <c:v>2.2570162136261729E-2</c:v>
                </c:pt>
                <c:pt idx="1485">
                  <c:v>2.2565889166017428E-2</c:v>
                </c:pt>
                <c:pt idx="1486">
                  <c:v>2.2561618885141854E-2</c:v>
                </c:pt>
                <c:pt idx="1487">
                  <c:v>2.2557351293528427E-2</c:v>
                </c:pt>
                <c:pt idx="1488">
                  <c:v>2.2553086391257082E-2</c:v>
                </c:pt>
                <c:pt idx="1489">
                  <c:v>2.2548824178301174E-2</c:v>
                </c:pt>
                <c:pt idx="1490">
                  <c:v>2.2544564654660704E-2</c:v>
                </c:pt>
                <c:pt idx="1491">
                  <c:v>2.254030782033567E-2</c:v>
                </c:pt>
                <c:pt idx="1492">
                  <c:v>2.2536053675326073E-2</c:v>
                </c:pt>
                <c:pt idx="1493">
                  <c:v>2.2531802219605268E-2</c:v>
                </c:pt>
                <c:pt idx="1494">
                  <c:v>2.2527553453226545E-2</c:v>
                </c:pt>
                <c:pt idx="1495">
                  <c:v>2.252330737616326E-2</c:v>
                </c:pt>
                <c:pt idx="1496">
                  <c:v>2.2519063988415411E-2</c:v>
                </c:pt>
                <c:pt idx="1497">
                  <c:v>2.2514823289956354E-2</c:v>
                </c:pt>
                <c:pt idx="1498">
                  <c:v>2.2510585280812734E-2</c:v>
                </c:pt>
                <c:pt idx="1499">
                  <c:v>2.2506349961011196E-2</c:v>
                </c:pt>
                <c:pt idx="1500">
                  <c:v>2.2502117330525095E-2</c:v>
                </c:pt>
                <c:pt idx="1501">
                  <c:v>2.2497887389327786E-2</c:v>
                </c:pt>
                <c:pt idx="1502">
                  <c:v>2.2493660137445914E-2</c:v>
                </c:pt>
                <c:pt idx="1503">
                  <c:v>2.2489435574879479E-2</c:v>
                </c:pt>
                <c:pt idx="1504">
                  <c:v>2.2485213701628481E-2</c:v>
                </c:pt>
                <c:pt idx="1505">
                  <c:v>2.248099451769292E-2</c:v>
                </c:pt>
                <c:pt idx="1506">
                  <c:v>2.2476778023046151E-2</c:v>
                </c:pt>
                <c:pt idx="1507">
                  <c:v>2.2472564217714819E-2</c:v>
                </c:pt>
                <c:pt idx="1508">
                  <c:v>2.2468353101725569E-2</c:v>
                </c:pt>
                <c:pt idx="1509">
                  <c:v>2.2464144674998465E-2</c:v>
                </c:pt>
                <c:pt idx="1510">
                  <c:v>2.2459938937640089E-2</c:v>
                </c:pt>
                <c:pt idx="1511">
                  <c:v>2.245573588954386E-2</c:v>
                </c:pt>
                <c:pt idx="1512">
                  <c:v>2.2451535530763067E-2</c:v>
                </c:pt>
                <c:pt idx="1513">
                  <c:v>2.2447337861324357E-2</c:v>
                </c:pt>
                <c:pt idx="1514">
                  <c:v>2.2443142881147793E-2</c:v>
                </c:pt>
                <c:pt idx="1515">
                  <c:v>2.2438950590286666E-2</c:v>
                </c:pt>
                <c:pt idx="1516">
                  <c:v>2.2434760988767621E-2</c:v>
                </c:pt>
                <c:pt idx="1517">
                  <c:v>2.2430574076537368E-2</c:v>
                </c:pt>
                <c:pt idx="1518">
                  <c:v>2.2426389853595907E-2</c:v>
                </c:pt>
                <c:pt idx="1519">
                  <c:v>2.2422208319996528E-2</c:v>
                </c:pt>
                <c:pt idx="1520">
                  <c:v>2.2415839811249505E-2</c:v>
                </c:pt>
                <c:pt idx="1521">
                  <c:v>2.2411265400199554E-2</c:v>
                </c:pt>
                <c:pt idx="1522">
                  <c:v>2.2407093222316377E-2</c:v>
                </c:pt>
                <c:pt idx="1523">
                  <c:v>2.2402923733322311E-2</c:v>
                </c:pt>
                <c:pt idx="1524">
                  <c:v>2.2398756933217356E-2</c:v>
                </c:pt>
                <c:pt idx="1525">
                  <c:v>2.2394592821921577E-2</c:v>
                </c:pt>
                <c:pt idx="1526">
                  <c:v>2.239043139951491E-2</c:v>
                </c:pt>
                <c:pt idx="1527">
                  <c:v>2.2386272665997353E-2</c:v>
                </c:pt>
                <c:pt idx="1528">
                  <c:v>2.2382116621368908E-2</c:v>
                </c:pt>
                <c:pt idx="1529">
                  <c:v>2.2377963265629575E-2</c:v>
                </c:pt>
                <c:pt idx="1530">
                  <c:v>2.2373812598699416E-2</c:v>
                </c:pt>
                <c:pt idx="1531">
                  <c:v>2.2369664620738305E-2</c:v>
                </c:pt>
                <c:pt idx="1532">
                  <c:v>2.2365519331506434E-2</c:v>
                </c:pt>
                <c:pt idx="1533">
                  <c:v>2.236137673124361E-2</c:v>
                </c:pt>
                <c:pt idx="1534">
                  <c:v>2.2357236819869897E-2</c:v>
                </c:pt>
                <c:pt idx="1535">
                  <c:v>2.2351918027663231E-2</c:v>
                </c:pt>
                <c:pt idx="1536">
                  <c:v>2.2348965063709869E-2</c:v>
                </c:pt>
                <c:pt idx="1537">
                  <c:v>2.2344833218843618E-2</c:v>
                </c:pt>
                <c:pt idx="1538">
                  <c:v>2.234011440310546E-2</c:v>
                </c:pt>
                <c:pt idx="1539">
                  <c:v>2.2335988320270062E-2</c:v>
                </c:pt>
                <c:pt idx="1540">
                  <c:v>2.2331864926163902E-2</c:v>
                </c:pt>
                <c:pt idx="1541">
                  <c:v>2.2327744221026791E-2</c:v>
                </c:pt>
                <c:pt idx="1542">
                  <c:v>2.2323626204698854E-2</c:v>
                </c:pt>
                <c:pt idx="1543">
                  <c:v>2.2319510877339965E-2</c:v>
                </c:pt>
                <c:pt idx="1544">
                  <c:v>2.2315398238710316E-2</c:v>
                </c:pt>
                <c:pt idx="1545">
                  <c:v>2.2311288289129649E-2</c:v>
                </c:pt>
                <c:pt idx="1546">
                  <c:v>2.2307181028278222E-2</c:v>
                </c:pt>
                <c:pt idx="1547">
                  <c:v>2.2303076456395843E-2</c:v>
                </c:pt>
                <c:pt idx="1548">
                  <c:v>2.2298974573402575E-2</c:v>
                </c:pt>
                <c:pt idx="1549">
                  <c:v>2.2294875379138546E-2</c:v>
                </c:pt>
                <c:pt idx="1550">
                  <c:v>2.2290778873843564E-2</c:v>
                </c:pt>
                <c:pt idx="1551">
                  <c:v>2.2286685057437694E-2</c:v>
                </c:pt>
                <c:pt idx="1552">
                  <c:v>2.2282593929920935E-2</c:v>
                </c:pt>
                <c:pt idx="1553">
                  <c:v>2.2278505491213352E-2</c:v>
                </c:pt>
                <c:pt idx="1554">
                  <c:v>2.227441974139488E-2</c:v>
                </c:pt>
                <c:pt idx="1555">
                  <c:v>2.2270336680385583E-2</c:v>
                </c:pt>
                <c:pt idx="1556">
                  <c:v>2.2266256308345334E-2</c:v>
                </c:pt>
                <c:pt idx="1557">
                  <c:v>2.2262178625114259E-2</c:v>
                </c:pt>
                <c:pt idx="1558">
                  <c:v>2.2258103630852233E-2</c:v>
                </c:pt>
                <c:pt idx="1559">
                  <c:v>2.2254031325319446E-2</c:v>
                </c:pt>
                <c:pt idx="1560">
                  <c:v>2.2249961708755706E-2</c:v>
                </c:pt>
                <c:pt idx="1561">
                  <c:v>2.2245894781081077E-2</c:v>
                </c:pt>
                <c:pt idx="1562">
                  <c:v>2.2241830542215624E-2</c:v>
                </c:pt>
                <c:pt idx="1563">
                  <c:v>2.2237768992239282E-2</c:v>
                </c:pt>
                <c:pt idx="1564">
                  <c:v>2.2233710131152051E-2</c:v>
                </c:pt>
                <c:pt idx="1565">
                  <c:v>2.2229653958873996E-2</c:v>
                </c:pt>
                <c:pt idx="1566">
                  <c:v>2.2225600475485052E-2</c:v>
                </c:pt>
                <c:pt idx="1567">
                  <c:v>2.2221549681065156E-2</c:v>
                </c:pt>
                <c:pt idx="1568">
                  <c:v>2.2217501575374499E-2</c:v>
                </c:pt>
                <c:pt idx="1569">
                  <c:v>2.2213456158652889E-2</c:v>
                </c:pt>
                <c:pt idx="1570">
                  <c:v>2.2209413430820391E-2</c:v>
                </c:pt>
                <c:pt idx="1571">
                  <c:v>2.2205373391797067E-2</c:v>
                </c:pt>
                <c:pt idx="1572">
                  <c:v>2.220115578093651E-2</c:v>
                </c:pt>
                <c:pt idx="1573">
                  <c:v>2.2196725219618685E-2</c:v>
                </c:pt>
                <c:pt idx="1574">
                  <c:v>2.219269363143539E-2</c:v>
                </c:pt>
                <c:pt idx="1575">
                  <c:v>2.218866473206127E-2</c:v>
                </c:pt>
                <c:pt idx="1576">
                  <c:v>2.2184638521496325E-2</c:v>
                </c:pt>
                <c:pt idx="1577">
                  <c:v>2.2180614999900428E-2</c:v>
                </c:pt>
                <c:pt idx="1578">
                  <c:v>2.217659416703377E-2</c:v>
                </c:pt>
                <c:pt idx="1579">
                  <c:v>2.2172576023136159E-2</c:v>
                </c:pt>
                <c:pt idx="1580">
                  <c:v>2.2168560568047724E-2</c:v>
                </c:pt>
                <c:pt idx="1581">
                  <c:v>2.21645478018484E-2</c:v>
                </c:pt>
                <c:pt idx="1582">
                  <c:v>2.2160537724538187E-2</c:v>
                </c:pt>
                <c:pt idx="1583">
                  <c:v>2.2156530336117086E-2</c:v>
                </c:pt>
                <c:pt idx="1584">
                  <c:v>2.215252563650516E-2</c:v>
                </c:pt>
                <c:pt idx="1585">
                  <c:v>2.2148523625862282E-2</c:v>
                </c:pt>
                <c:pt idx="1586">
                  <c:v>2.2143953191751109E-2</c:v>
                </c:pt>
                <c:pt idx="1587">
                  <c:v>2.2139956942899275E-2</c:v>
                </c:pt>
                <c:pt idx="1588">
                  <c:v>2.2135963383016488E-2</c:v>
                </c:pt>
                <c:pt idx="1589">
                  <c:v>2.2133158569515032E-2</c:v>
                </c:pt>
                <c:pt idx="1590">
                  <c:v>2.2127984329598505E-2</c:v>
                </c:pt>
                <c:pt idx="1591">
                  <c:v>2.2123998836303116E-2</c:v>
                </c:pt>
                <c:pt idx="1592">
                  <c:v>2.2120016031736967E-2</c:v>
                </c:pt>
                <c:pt idx="1593">
                  <c:v>2.2116035916139865E-2</c:v>
                </c:pt>
                <c:pt idx="1594">
                  <c:v>2.2112058489351938E-2</c:v>
                </c:pt>
                <c:pt idx="1595">
                  <c:v>2.2108083751453123E-2</c:v>
                </c:pt>
                <c:pt idx="1596">
                  <c:v>2.2104111702443419E-2</c:v>
                </c:pt>
                <c:pt idx="1597">
                  <c:v>2.210014234224289E-2</c:v>
                </c:pt>
                <c:pt idx="1598">
                  <c:v>2.2096175671011409E-2</c:v>
                </c:pt>
                <c:pt idx="1599">
                  <c:v>2.2092211688589103E-2</c:v>
                </c:pt>
                <c:pt idx="1600">
                  <c:v>2.2088250395055908E-2</c:v>
                </c:pt>
                <c:pt idx="1601">
                  <c:v>2.2084291790251953E-2</c:v>
                </c:pt>
                <c:pt idx="1602">
                  <c:v>2.2080335874496981E-2</c:v>
                </c:pt>
                <c:pt idx="1603">
                  <c:v>2.2076382647471249E-2</c:v>
                </c:pt>
                <c:pt idx="1604">
                  <c:v>2.20724321094945E-2</c:v>
                </c:pt>
                <c:pt idx="1605">
                  <c:v>2.2068484260167054E-2</c:v>
                </c:pt>
                <c:pt idx="1606">
                  <c:v>2.2064539099888592E-2</c:v>
                </c:pt>
                <c:pt idx="1607">
                  <c:v>2.2060596628339368E-2</c:v>
                </c:pt>
                <c:pt idx="1608">
                  <c:v>2.2056656845759193E-2</c:v>
                </c:pt>
                <c:pt idx="1609">
                  <c:v>2.2052719752068128E-2</c:v>
                </c:pt>
                <c:pt idx="1610">
                  <c:v>2.2048785347106303E-2</c:v>
                </c:pt>
                <c:pt idx="1611">
                  <c:v>2.2044853631113526E-2</c:v>
                </c:pt>
                <c:pt idx="1612">
                  <c:v>2.2040924603929923E-2</c:v>
                </c:pt>
                <c:pt idx="1613">
                  <c:v>2.2036998265635432E-2</c:v>
                </c:pt>
                <c:pt idx="1614">
                  <c:v>2.2033074616230053E-2</c:v>
                </c:pt>
                <c:pt idx="1615">
                  <c:v>2.2029153655713785E-2</c:v>
                </c:pt>
                <c:pt idx="1616">
                  <c:v>2.2025235384006692E-2</c:v>
                </c:pt>
                <c:pt idx="1617">
                  <c:v>2.2021319801108774E-2</c:v>
                </c:pt>
                <c:pt idx="1618">
                  <c:v>2.201740690725984E-2</c:v>
                </c:pt>
                <c:pt idx="1619">
                  <c:v>2.2013496702140145E-2</c:v>
                </c:pt>
                <c:pt idx="1620">
                  <c:v>2.2009589185909562E-2</c:v>
                </c:pt>
                <c:pt idx="1621">
                  <c:v>2.2005684358568089E-2</c:v>
                </c:pt>
                <c:pt idx="1622">
                  <c:v>2.2001782220035793E-2</c:v>
                </c:pt>
                <c:pt idx="1623">
                  <c:v>2.1999063765774096E-2</c:v>
                </c:pt>
                <c:pt idx="1624">
                  <c:v>2.1995166867030402E-2</c:v>
                </c:pt>
                <c:pt idx="1625">
                  <c:v>2.199009193777357E-2</c:v>
                </c:pt>
                <c:pt idx="1626">
                  <c:v>2.1986200554717783E-2</c:v>
                </c:pt>
                <c:pt idx="1627">
                  <c:v>2.1982311860551107E-2</c:v>
                </c:pt>
                <c:pt idx="1628">
                  <c:v>2.1978425855273542E-2</c:v>
                </c:pt>
                <c:pt idx="1629">
                  <c:v>2.1974542538885089E-2</c:v>
                </c:pt>
                <c:pt idx="1630">
                  <c:v>2.1970661911305811E-2</c:v>
                </c:pt>
                <c:pt idx="1631">
                  <c:v>2.1966783972615644E-2</c:v>
                </c:pt>
                <c:pt idx="1632">
                  <c:v>2.1962908722734653E-2</c:v>
                </c:pt>
                <c:pt idx="1633">
                  <c:v>2.1959036161742773E-2</c:v>
                </c:pt>
                <c:pt idx="1634">
                  <c:v>2.1955166289640005E-2</c:v>
                </c:pt>
                <c:pt idx="1635">
                  <c:v>2.1951299106426347E-2</c:v>
                </c:pt>
                <c:pt idx="1636">
                  <c:v>2.1947434612101802E-2</c:v>
                </c:pt>
                <c:pt idx="1637">
                  <c:v>2.1943572806586431E-2</c:v>
                </c:pt>
                <c:pt idx="1638">
                  <c:v>2.1939713689880236E-2</c:v>
                </c:pt>
                <c:pt idx="1639">
                  <c:v>2.1935857262063152E-2</c:v>
                </c:pt>
                <c:pt idx="1640">
                  <c:v>2.1933575191498633E-2</c:v>
                </c:pt>
                <c:pt idx="1641">
                  <c:v>2.1928152473096318E-2</c:v>
                </c:pt>
                <c:pt idx="1642">
                  <c:v>2.1924304111946569E-2</c:v>
                </c:pt>
                <c:pt idx="1643">
                  <c:v>2.1920458439605994E-2</c:v>
                </c:pt>
                <c:pt idx="1644">
                  <c:v>2.1916615456154531E-2</c:v>
                </c:pt>
                <c:pt idx="1645">
                  <c:v>2.1912775161512243E-2</c:v>
                </c:pt>
                <c:pt idx="1646">
                  <c:v>2.1908937555759067E-2</c:v>
                </c:pt>
                <c:pt idx="1647">
                  <c:v>2.1905102638895002E-2</c:v>
                </c:pt>
                <c:pt idx="1648">
                  <c:v>2.1901270410840112E-2</c:v>
                </c:pt>
                <c:pt idx="1649">
                  <c:v>2.1897440871834206E-2</c:v>
                </c:pt>
                <c:pt idx="1650">
                  <c:v>2.1893614021477603E-2</c:v>
                </c:pt>
                <c:pt idx="1651">
                  <c:v>2.1889789860010112E-2</c:v>
                </c:pt>
                <c:pt idx="1652">
                  <c:v>2.1885968387431731E-2</c:v>
                </c:pt>
                <c:pt idx="1653">
                  <c:v>2.1882149603822398E-2</c:v>
                </c:pt>
                <c:pt idx="1654">
                  <c:v>2.1878333509022241E-2</c:v>
                </c:pt>
                <c:pt idx="1655">
                  <c:v>2.1874520102951323E-2</c:v>
                </c:pt>
                <c:pt idx="1656">
                  <c:v>2.1870709386009324E-2</c:v>
                </c:pt>
                <c:pt idx="1657">
                  <c:v>2.1866901357716628E-2</c:v>
                </c:pt>
                <c:pt idx="1658">
                  <c:v>2.1863096018313044E-2</c:v>
                </c:pt>
                <c:pt idx="1659">
                  <c:v>2.1859293367718635E-2</c:v>
                </c:pt>
                <c:pt idx="1660">
                  <c:v>2.185549340617321E-2</c:v>
                </c:pt>
                <c:pt idx="1661">
                  <c:v>2.1851696133357024E-2</c:v>
                </c:pt>
                <c:pt idx="1662">
                  <c:v>2.1847901549429949E-2</c:v>
                </c:pt>
                <c:pt idx="1663">
                  <c:v>2.1844109654312049E-2</c:v>
                </c:pt>
                <c:pt idx="1664">
                  <c:v>2.1840320448163197E-2</c:v>
                </c:pt>
                <c:pt idx="1665">
                  <c:v>2.1836533930823521E-2</c:v>
                </c:pt>
                <c:pt idx="1666">
                  <c:v>2.1832750102293019E-2</c:v>
                </c:pt>
                <c:pt idx="1667">
                  <c:v>2.1828968962651629E-2</c:v>
                </c:pt>
                <c:pt idx="1668">
                  <c:v>2.1825190511979287E-2</c:v>
                </c:pt>
                <c:pt idx="1669">
                  <c:v>2.1821414749956247E-2</c:v>
                </c:pt>
                <c:pt idx="1670">
                  <c:v>2.1817641676982191E-2</c:v>
                </c:pt>
                <c:pt idx="1671">
                  <c:v>2.1813871292897247E-2</c:v>
                </c:pt>
                <c:pt idx="1672">
                  <c:v>2.1810103597541541E-2</c:v>
                </c:pt>
                <c:pt idx="1673">
                  <c:v>2.1806338591074947E-2</c:v>
                </c:pt>
                <c:pt idx="1674">
                  <c:v>2.1802576273497465E-2</c:v>
                </c:pt>
                <c:pt idx="1675">
                  <c:v>2.1798816644729158E-2</c:v>
                </c:pt>
                <c:pt idx="1676">
                  <c:v>2.1795059704849962E-2</c:v>
                </c:pt>
                <c:pt idx="1677">
                  <c:v>2.1791305453859877E-2</c:v>
                </c:pt>
                <c:pt idx="1678">
                  <c:v>2.1787553891758904E-2</c:v>
                </c:pt>
                <c:pt idx="1679">
                  <c:v>2.1783805018467106E-2</c:v>
                </c:pt>
                <c:pt idx="1680">
                  <c:v>2.178005883406442E-2</c:v>
                </c:pt>
                <c:pt idx="1681">
                  <c:v>2.1776315338470909E-2</c:v>
                </c:pt>
                <c:pt idx="1682">
                  <c:v>2.1772574531846445E-2</c:v>
                </c:pt>
                <c:pt idx="1683">
                  <c:v>2.176883641395122E-2</c:v>
                </c:pt>
                <c:pt idx="1684">
                  <c:v>2.1765100984945107E-2</c:v>
                </c:pt>
                <c:pt idx="1685">
                  <c:v>2.1761368244828105E-2</c:v>
                </c:pt>
                <c:pt idx="1686">
                  <c:v>2.1757638193520279E-2</c:v>
                </c:pt>
                <c:pt idx="1687">
                  <c:v>2.17539108311815E-2</c:v>
                </c:pt>
                <c:pt idx="1688">
                  <c:v>2.1750186157651896E-2</c:v>
                </c:pt>
                <c:pt idx="1689">
                  <c:v>2.1746464172931468E-2</c:v>
                </c:pt>
                <c:pt idx="1690">
                  <c:v>2.1744309043928212E-2</c:v>
                </c:pt>
                <c:pt idx="1691">
                  <c:v>2.1739028270237881E-2</c:v>
                </c:pt>
                <c:pt idx="1692">
                  <c:v>2.1735314352024915E-2</c:v>
                </c:pt>
                <c:pt idx="1693">
                  <c:v>2.1731603122860932E-2</c:v>
                </c:pt>
                <c:pt idx="1694">
                  <c:v>2.1727894582506124E-2</c:v>
                </c:pt>
                <c:pt idx="1695">
                  <c:v>2.1724188730880556E-2</c:v>
                </c:pt>
                <c:pt idx="1696">
                  <c:v>2.1720485568303971E-2</c:v>
                </c:pt>
                <c:pt idx="1697">
                  <c:v>2.1716785094456625E-2</c:v>
                </c:pt>
                <c:pt idx="1698">
                  <c:v>2.1713087309578327E-2</c:v>
                </c:pt>
                <c:pt idx="1699">
                  <c:v>2.1709392213429268E-2</c:v>
                </c:pt>
                <c:pt idx="1700">
                  <c:v>2.1705699806249257E-2</c:v>
                </c:pt>
                <c:pt idx="1701">
                  <c:v>2.1702010087878421E-2</c:v>
                </c:pt>
                <c:pt idx="1702">
                  <c:v>2.1698323058396696E-2</c:v>
                </c:pt>
                <c:pt idx="1703">
                  <c:v>2.1694638717724146E-2</c:v>
                </c:pt>
                <c:pt idx="1704">
                  <c:v>2.1690957065940708E-2</c:v>
                </c:pt>
                <c:pt idx="1705">
                  <c:v>2.1687278103046381E-2</c:v>
                </c:pt>
                <c:pt idx="1706">
                  <c:v>2.168360182896123E-2</c:v>
                </c:pt>
                <c:pt idx="1707">
                  <c:v>2.1679928243685254E-2</c:v>
                </c:pt>
                <c:pt idx="1708">
                  <c:v>2.1676257347298389E-2</c:v>
                </c:pt>
                <c:pt idx="1709">
                  <c:v>2.1672589139880571E-2</c:v>
                </c:pt>
                <c:pt idx="1710">
                  <c:v>2.1668923621271929E-2</c:v>
                </c:pt>
                <c:pt idx="1711">
                  <c:v>2.1665260791552399E-2</c:v>
                </c:pt>
                <c:pt idx="1712">
                  <c:v>2.1661600730817909E-2</c:v>
                </c:pt>
                <c:pt idx="1713">
                  <c:v>2.1657956766807374E-2</c:v>
                </c:pt>
                <c:pt idx="1714">
                  <c:v>2.1654339095684705E-2</c:v>
                </c:pt>
                <c:pt idx="1715">
                  <c:v>2.1650747717609775E-2</c:v>
                </c:pt>
                <c:pt idx="1716">
                  <c:v>2.1647182632342776E-2</c:v>
                </c:pt>
                <c:pt idx="1717">
                  <c:v>2.1643643840123516E-2</c:v>
                </c:pt>
                <c:pt idx="1718">
                  <c:v>2.1640131340792124E-2</c:v>
                </c:pt>
                <c:pt idx="1719">
                  <c:v>2.1636645134348598E-2</c:v>
                </c:pt>
                <c:pt idx="1720">
                  <c:v>2.1633185220872875E-2</c:v>
                </c:pt>
                <c:pt idx="1721">
                  <c:v>2.1629751600364955E-2</c:v>
                </c:pt>
                <c:pt idx="1722">
                  <c:v>2.1626344272664966E-2</c:v>
                </c:pt>
                <c:pt idx="1723">
                  <c:v>2.1622963238012716E-2</c:v>
                </c:pt>
                <c:pt idx="1724">
                  <c:v>2.1619608496248333E-2</c:v>
                </c:pt>
                <c:pt idx="1725">
                  <c:v>2.1616280047451752E-2</c:v>
                </c:pt>
                <c:pt idx="1726">
                  <c:v>2.1612977891543039E-2</c:v>
                </c:pt>
                <c:pt idx="1727">
                  <c:v>2.1609702028602129E-2</c:v>
                </c:pt>
                <c:pt idx="1728">
                  <c:v>2.160645245846915E-2</c:v>
                </c:pt>
                <c:pt idx="1729">
                  <c:v>2.1603229181383909E-2</c:v>
                </c:pt>
                <c:pt idx="1730">
                  <c:v>2.1600032197186536E-2</c:v>
                </c:pt>
                <c:pt idx="1731">
                  <c:v>2.159686150587703E-2</c:v>
                </c:pt>
                <c:pt idx="1732">
                  <c:v>2.1593717107535326E-2</c:v>
                </c:pt>
                <c:pt idx="1733">
                  <c:v>2.159059900208149E-2</c:v>
                </c:pt>
                <c:pt idx="1734">
                  <c:v>2.1587507189595456E-2</c:v>
                </c:pt>
                <c:pt idx="1735">
                  <c:v>2.158444166999729E-2</c:v>
                </c:pt>
                <c:pt idx="1736">
                  <c:v>2.1581402443366926E-2</c:v>
                </c:pt>
                <c:pt idx="1737">
                  <c:v>2.1578389509544493E-2</c:v>
                </c:pt>
                <c:pt idx="1738">
                  <c:v>2.1575402868689864E-2</c:v>
                </c:pt>
                <c:pt idx="1739">
                  <c:v>2.1572442520723101E-2</c:v>
                </c:pt>
                <c:pt idx="1740">
                  <c:v>2.1569508465804077E-2</c:v>
                </c:pt>
                <c:pt idx="1741">
                  <c:v>2.15683592278193E-2</c:v>
                </c:pt>
                <c:pt idx="1742">
                  <c:v>2.1563719234469758E-2</c:v>
                </c:pt>
                <c:pt idx="1743">
                  <c:v>2.1560864058374207E-2</c:v>
                </c:pt>
                <c:pt idx="1744">
                  <c:v>2.1558035174926715E-2</c:v>
                </c:pt>
                <c:pt idx="1745">
                  <c:v>2.1555232584606898E-2</c:v>
                </c:pt>
                <c:pt idx="1746">
                  <c:v>2.1552958299766445E-2</c:v>
                </c:pt>
                <c:pt idx="1747">
                  <c:v>2.1550215479075874E-2</c:v>
                </c:pt>
                <c:pt idx="1748">
                  <c:v>2.1547498954470612E-2</c:v>
                </c:pt>
                <c:pt idx="1749">
                  <c:v>2.154480872600395E-2</c:v>
                </c:pt>
                <c:pt idx="1750">
                  <c:v>2.1542144793595952E-2</c:v>
                </c:pt>
                <c:pt idx="1751">
                  <c:v>2.1539507157326554E-2</c:v>
                </c:pt>
                <c:pt idx="1752">
                  <c:v>2.153689581711582E-2</c:v>
                </c:pt>
                <c:pt idx="1753">
                  <c:v>2.153431077301704E-2</c:v>
                </c:pt>
                <c:pt idx="1754">
                  <c:v>2.153175202500357E-2</c:v>
                </c:pt>
                <c:pt idx="1755">
                  <c:v>2.1529219573102054E-2</c:v>
                </c:pt>
                <c:pt idx="1756">
                  <c:v>2.1526713417259202E-2</c:v>
                </c:pt>
                <c:pt idx="1757">
                  <c:v>2.152423355750166E-2</c:v>
                </c:pt>
                <c:pt idx="1758">
                  <c:v>2.1521779993829426E-2</c:v>
                </c:pt>
                <c:pt idx="1759">
                  <c:v>2.1519352726242502E-2</c:v>
                </c:pt>
                <c:pt idx="1760">
                  <c:v>2.1516951754740887E-2</c:v>
                </c:pt>
                <c:pt idx="1761">
                  <c:v>2.1514577079324582E-2</c:v>
                </c:pt>
                <c:pt idx="1762">
                  <c:v>2.1512228699993585E-2</c:v>
                </c:pt>
                <c:pt idx="1763">
                  <c:v>2.1509906616721253E-2</c:v>
                </c:pt>
                <c:pt idx="1764">
                  <c:v>2.1507610829534229E-2</c:v>
                </c:pt>
                <c:pt idx="1765">
                  <c:v>2.150534133840587E-2</c:v>
                </c:pt>
                <c:pt idx="1766">
                  <c:v>2.150309814336282E-2</c:v>
                </c:pt>
                <c:pt idx="1767">
                  <c:v>2.1500881244405079E-2</c:v>
                </c:pt>
                <c:pt idx="1768">
                  <c:v>2.1498690641479357E-2</c:v>
                </c:pt>
                <c:pt idx="1769">
                  <c:v>2.1496526334665589E-2</c:v>
                </c:pt>
                <c:pt idx="1770">
                  <c:v>2.149438832388384E-2</c:v>
                </c:pt>
                <c:pt idx="1771">
                  <c:v>2.1492276609160754E-2</c:v>
                </c:pt>
                <c:pt idx="1772">
                  <c:v>2.1490191190522978E-2</c:v>
                </c:pt>
                <c:pt idx="1773">
                  <c:v>2.1488132067943866E-2</c:v>
                </c:pt>
                <c:pt idx="1774">
                  <c:v>2.1486099241423418E-2</c:v>
                </c:pt>
                <c:pt idx="1775">
                  <c:v>2.1484092710961633E-2</c:v>
                </c:pt>
                <c:pt idx="1776">
                  <c:v>2.1482112476585158E-2</c:v>
                </c:pt>
                <c:pt idx="1777">
                  <c:v>2.148015853818741E-2</c:v>
                </c:pt>
                <c:pt idx="1778">
                  <c:v>2.1478230895928263E-2</c:v>
                </c:pt>
                <c:pt idx="1779">
                  <c:v>2.1476329549674489E-2</c:v>
                </c:pt>
                <c:pt idx="1780">
                  <c:v>2.1473150700996868E-2</c:v>
                </c:pt>
                <c:pt idx="1781">
                  <c:v>2.1470801612952783E-2</c:v>
                </c:pt>
                <c:pt idx="1782">
                  <c:v>2.1468986884425334E-2</c:v>
                </c:pt>
                <c:pt idx="1783">
                  <c:v>2.1467198448865688E-2</c:v>
                </c:pt>
                <c:pt idx="1784">
                  <c:v>2.1465436306193908E-2</c:v>
                </c:pt>
                <c:pt idx="1785">
                  <c:v>2.1463700456330059E-2</c:v>
                </c:pt>
                <c:pt idx="1786">
                  <c:v>2.146199089951395E-2</c:v>
                </c:pt>
                <c:pt idx="1787">
                  <c:v>2.1460307635505771E-2</c:v>
                </c:pt>
                <c:pt idx="1788">
                  <c:v>2.1458650664465395E-2</c:v>
                </c:pt>
                <c:pt idx="1789">
                  <c:v>2.145701998623295E-2</c:v>
                </c:pt>
                <c:pt idx="1790">
                  <c:v>2.1455415600968308E-2</c:v>
                </c:pt>
                <c:pt idx="1791">
                  <c:v>2.1453837508511597E-2</c:v>
                </c:pt>
                <c:pt idx="1792">
                  <c:v>2.1452285708942753E-2</c:v>
                </c:pt>
                <c:pt idx="1793">
                  <c:v>2.1450760202341712E-2</c:v>
                </c:pt>
                <c:pt idx="1794">
                  <c:v>2.1449260988548602E-2</c:v>
                </c:pt>
                <c:pt idx="1795">
                  <c:v>2.1447788067723295E-2</c:v>
                </c:pt>
                <c:pt idx="1796">
                  <c:v>2.1445932946706492E-2</c:v>
                </c:pt>
                <c:pt idx="1797">
                  <c:v>2.1444921104656345E-2</c:v>
                </c:pt>
                <c:pt idx="1798">
                  <c:v>2.1443527062494638E-2</c:v>
                </c:pt>
                <c:pt idx="1799">
                  <c:v>2.1442159313220799E-2</c:v>
                </c:pt>
                <c:pt idx="1800">
                  <c:v>2.144081785675489E-2</c:v>
                </c:pt>
                <c:pt idx="1801">
                  <c:v>2.1439502693256784E-2</c:v>
                </c:pt>
                <c:pt idx="1802">
                  <c:v>2.143821382256661E-2</c:v>
                </c:pt>
                <c:pt idx="1803">
                  <c:v>2.1436951244844238E-2</c:v>
                </c:pt>
                <c:pt idx="1804">
                  <c:v>2.1435714960009733E-2</c:v>
                </c:pt>
                <c:pt idx="1805">
                  <c:v>2.1434504968063095E-2</c:v>
                </c:pt>
                <c:pt idx="1806">
                  <c:v>2.1433321268924388E-2</c:v>
                </c:pt>
                <c:pt idx="1807">
                  <c:v>2.1432163862673548E-2</c:v>
                </c:pt>
                <c:pt idx="1808">
                  <c:v>2.1431032749470447E-2</c:v>
                </c:pt>
                <c:pt idx="1809">
                  <c:v>2.142992792899534E-2</c:v>
                </c:pt>
                <c:pt idx="1810">
                  <c:v>2.1428849401488037E-2</c:v>
                </c:pt>
                <c:pt idx="1811">
                  <c:v>2.1427797166868601E-2</c:v>
                </c:pt>
                <c:pt idx="1812">
                  <c:v>2.1426771225057095E-2</c:v>
                </c:pt>
                <c:pt idx="1813">
                  <c:v>2.1425771576213393E-2</c:v>
                </c:pt>
                <c:pt idx="1814">
                  <c:v>2.1424798220177621E-2</c:v>
                </c:pt>
                <c:pt idx="1815">
                  <c:v>2.1423851157109652E-2</c:v>
                </c:pt>
                <c:pt idx="1816">
                  <c:v>2.1422930386849615E-2</c:v>
                </c:pt>
                <c:pt idx="1817">
                  <c:v>2.142203590955738E-2</c:v>
                </c:pt>
                <c:pt idx="1818">
                  <c:v>2.1421167725073076E-2</c:v>
                </c:pt>
                <c:pt idx="1819">
                  <c:v>2.1420325833476639E-2</c:v>
                </c:pt>
                <c:pt idx="1820">
                  <c:v>2.1419510234768069E-2</c:v>
                </c:pt>
                <c:pt idx="1821">
                  <c:v>2.1418720928947366E-2</c:v>
                </c:pt>
                <c:pt idx="1822">
                  <c:v>2.1417957916014529E-2</c:v>
                </c:pt>
                <c:pt idx="1823">
                  <c:v>2.1417221196049496E-2</c:v>
                </c:pt>
                <c:pt idx="1824">
                  <c:v>2.1416510768812458E-2</c:v>
                </c:pt>
                <c:pt idx="1825">
                  <c:v>2.1415826634623158E-2</c:v>
                </c:pt>
                <c:pt idx="1826">
                  <c:v>2.141516879324179E-2</c:v>
                </c:pt>
                <c:pt idx="1827">
                  <c:v>2.1414537244668352E-2</c:v>
                </c:pt>
                <c:pt idx="1828">
                  <c:v>2.1413931989142654E-2</c:v>
                </c:pt>
                <c:pt idx="1829">
                  <c:v>2.141335302634495E-2</c:v>
                </c:pt>
                <c:pt idx="1830">
                  <c:v>2.1412800356515049E-2</c:v>
                </c:pt>
                <c:pt idx="1831">
                  <c:v>2.1412273979573015E-2</c:v>
                </c:pt>
                <c:pt idx="1832">
                  <c:v>2.1412306971901884E-2</c:v>
                </c:pt>
                <c:pt idx="1833">
                  <c:v>2.141123456621763E-2</c:v>
                </c:pt>
                <c:pt idx="1834">
                  <c:v>2.1410790823894743E-2</c:v>
                </c:pt>
                <c:pt idx="1835">
                  <c:v>2.1410373374619596E-2</c:v>
                </c:pt>
                <c:pt idx="1836">
                  <c:v>2.1409982218232315E-2</c:v>
                </c:pt>
                <c:pt idx="1837">
                  <c:v>2.140961735457303E-2</c:v>
                </c:pt>
                <c:pt idx="1838">
                  <c:v>2.1409278783961483E-2</c:v>
                </c:pt>
                <c:pt idx="1839">
                  <c:v>2.1408966506157867E-2</c:v>
                </c:pt>
                <c:pt idx="1840">
                  <c:v>2.1408680521322054E-2</c:v>
                </c:pt>
                <c:pt idx="1841">
                  <c:v>2.1408420829294172E-2</c:v>
                </c:pt>
                <c:pt idx="1842">
                  <c:v>2.1408187430154157E-2</c:v>
                </c:pt>
                <c:pt idx="1843">
                  <c:v>2.1407980323902009E-2</c:v>
                </c:pt>
                <c:pt idx="1844">
                  <c:v>2.1407799510537728E-2</c:v>
                </c:pt>
                <c:pt idx="1845">
                  <c:v>2.1407644989981378E-2</c:v>
                </c:pt>
                <c:pt idx="1846">
                  <c:v>2.1407484955275891E-2</c:v>
                </c:pt>
                <c:pt idx="1847">
                  <c:v>2.1407390532726112E-2</c:v>
                </c:pt>
                <c:pt idx="1848">
                  <c:v>2.14073224030642E-2</c:v>
                </c:pt>
                <c:pt idx="1849">
                  <c:v>2.1408546622456726E-2</c:v>
                </c:pt>
                <c:pt idx="1850">
                  <c:v>2.1407265022483912E-2</c:v>
                </c:pt>
                <c:pt idx="1851">
                  <c:v>2.1407275771565537E-2</c:v>
                </c:pt>
                <c:pt idx="1852">
                  <c:v>2.1407312813535029E-2</c:v>
                </c:pt>
                <c:pt idx="1853">
                  <c:v>2.1407376148312451E-2</c:v>
                </c:pt>
                <c:pt idx="1854">
                  <c:v>2.1407465776057677E-2</c:v>
                </c:pt>
                <c:pt idx="1855">
                  <c:v>2.1407581696530897E-2</c:v>
                </c:pt>
                <c:pt idx="1856">
                  <c:v>2.1407723910051857E-2</c:v>
                </c:pt>
                <c:pt idx="1857">
                  <c:v>2.1407892416300811E-2</c:v>
                </c:pt>
                <c:pt idx="1858">
                  <c:v>2.1408087215517568E-2</c:v>
                </c:pt>
                <c:pt idx="1859">
                  <c:v>2.1408308307622193E-2</c:v>
                </c:pt>
                <c:pt idx="1860">
                  <c:v>2.1408555692614684E-2</c:v>
                </c:pt>
                <c:pt idx="1861">
                  <c:v>2.1408829370495042E-2</c:v>
                </c:pt>
                <c:pt idx="1862">
                  <c:v>2.1409129341183331E-2</c:v>
                </c:pt>
                <c:pt idx="1863">
                  <c:v>2.1409455604839422E-2</c:v>
                </c:pt>
                <c:pt idx="1864">
                  <c:v>2.1409808161383381E-2</c:v>
                </c:pt>
                <c:pt idx="1865">
                  <c:v>2.1410187010735271E-2</c:v>
                </c:pt>
                <c:pt idx="1866">
                  <c:v>2.1410592152975028E-2</c:v>
                </c:pt>
                <c:pt idx="1867">
                  <c:v>2.1411023588102651E-2</c:v>
                </c:pt>
                <c:pt idx="1868">
                  <c:v>2.1411481316118142E-2</c:v>
                </c:pt>
                <c:pt idx="1869">
                  <c:v>2.1411965337021499E-2</c:v>
                </c:pt>
                <c:pt idx="1870">
                  <c:v>2.1412475650892659E-2</c:v>
                </c:pt>
                <c:pt idx="1871">
                  <c:v>2.1413012257571751E-2</c:v>
                </c:pt>
                <c:pt idx="1872">
                  <c:v>2.1413575157058773E-2</c:v>
                </c:pt>
                <c:pt idx="1873">
                  <c:v>2.1414164349513598E-2</c:v>
                </c:pt>
                <c:pt idx="1874">
                  <c:v>2.1414779834776354E-2</c:v>
                </c:pt>
                <c:pt idx="1875">
                  <c:v>2.1415421613086849E-2</c:v>
                </c:pt>
                <c:pt idx="1876">
                  <c:v>2.1416089684125339E-2</c:v>
                </c:pt>
                <c:pt idx="1877">
                  <c:v>2.1416784048131632E-2</c:v>
                </c:pt>
                <c:pt idx="1878">
                  <c:v>2.1417504704945856E-2</c:v>
                </c:pt>
                <c:pt idx="1879">
                  <c:v>2.1418251654727882E-2</c:v>
                </c:pt>
                <c:pt idx="1880">
                  <c:v>2.141902489731784E-2</c:v>
                </c:pt>
                <c:pt idx="1881">
                  <c:v>2.14198244328756E-2</c:v>
                </c:pt>
                <c:pt idx="1882">
                  <c:v>2.1420650261161356E-2</c:v>
                </c:pt>
                <c:pt idx="1883">
                  <c:v>2.1422001113871048E-2</c:v>
                </c:pt>
                <c:pt idx="1884">
                  <c:v>2.1423911609392832E-2</c:v>
                </c:pt>
                <c:pt idx="1885">
                  <c:v>2.1423285503745504E-2</c:v>
                </c:pt>
                <c:pt idx="1886">
                  <c:v>2.1424216503582727E-2</c:v>
                </c:pt>
                <c:pt idx="1887">
                  <c:v>2.1425173796387753E-2</c:v>
                </c:pt>
                <c:pt idx="1888">
                  <c:v>2.1426157382160582E-2</c:v>
                </c:pt>
                <c:pt idx="1889">
                  <c:v>2.1427167260741342E-2</c:v>
                </c:pt>
                <c:pt idx="1890">
                  <c:v>2.1428203432209969E-2</c:v>
                </c:pt>
                <c:pt idx="1891">
                  <c:v>2.1429265896486527E-2</c:v>
                </c:pt>
                <c:pt idx="1892">
                  <c:v>2.1430354653730888E-2</c:v>
                </c:pt>
                <c:pt idx="1893">
                  <c:v>2.1431469703943051E-2</c:v>
                </c:pt>
                <c:pt idx="1894">
                  <c:v>2.1432611046963146E-2</c:v>
                </c:pt>
                <c:pt idx="1895">
                  <c:v>2.1433778682791171E-2</c:v>
                </c:pt>
                <c:pt idx="1896">
                  <c:v>2.1437871879276926E-2</c:v>
                </c:pt>
                <c:pt idx="1897">
                  <c:v>2.1436192833350631E-2</c:v>
                </c:pt>
                <c:pt idx="1898">
                  <c:v>2.1437439347842258E-2</c:v>
                </c:pt>
                <c:pt idx="1899">
                  <c:v>2.1438712155381623E-2</c:v>
                </c:pt>
                <c:pt idx="1900">
                  <c:v>2.1440011255569047E-2</c:v>
                </c:pt>
                <c:pt idx="1901">
                  <c:v>2.1443540090813062E-2</c:v>
                </c:pt>
                <c:pt idx="1902">
                  <c:v>2.1442688335007176E-2</c:v>
                </c:pt>
                <c:pt idx="1903">
                  <c:v>2.1444066314018073E-2</c:v>
                </c:pt>
                <c:pt idx="1904">
                  <c:v>2.1445470585916837E-2</c:v>
                </c:pt>
                <c:pt idx="1905">
                  <c:v>2.1446901150703468E-2</c:v>
                </c:pt>
                <c:pt idx="1906">
                  <c:v>2.1448358008377966E-2</c:v>
                </c:pt>
                <c:pt idx="1907">
                  <c:v>2.144984115894033E-2</c:v>
                </c:pt>
                <c:pt idx="1908">
                  <c:v>2.1451350602390562E-2</c:v>
                </c:pt>
                <c:pt idx="1909">
                  <c:v>2.1452886338648725E-2</c:v>
                </c:pt>
                <c:pt idx="1910">
                  <c:v>2.1454448368034562E-2</c:v>
                </c:pt>
                <c:pt idx="1911">
                  <c:v>2.1456036690068458E-2</c:v>
                </c:pt>
                <c:pt idx="1912">
                  <c:v>2.1457651305150094E-2</c:v>
                </c:pt>
                <c:pt idx="1913">
                  <c:v>2.1459292213119596E-2</c:v>
                </c:pt>
                <c:pt idx="1914">
                  <c:v>2.1460959413817093E-2</c:v>
                </c:pt>
                <c:pt idx="1915">
                  <c:v>2.146265290756233E-2</c:v>
                </c:pt>
                <c:pt idx="1916">
                  <c:v>2.1464372694035561E-2</c:v>
                </c:pt>
                <c:pt idx="1917">
                  <c:v>2.1466118773716403E-2</c:v>
                </c:pt>
                <c:pt idx="1918">
                  <c:v>2.1467891145965368E-2</c:v>
                </c:pt>
                <c:pt idx="1919">
                  <c:v>2.1469689811342008E-2</c:v>
                </c:pt>
                <c:pt idx="1920">
                  <c:v>2.1471514769446642E-2</c:v>
                </c:pt>
                <c:pt idx="1921">
                  <c:v>2.147336602051908E-2</c:v>
                </c:pt>
                <c:pt idx="1922">
                  <c:v>2.1475243564479385E-2</c:v>
                </c:pt>
                <c:pt idx="1923">
                  <c:v>2.1477147401327557E-2</c:v>
                </c:pt>
                <c:pt idx="1924">
                  <c:v>2.1479077531143531E-2</c:v>
                </c:pt>
                <c:pt idx="1925">
                  <c:v>2.1481033953767437E-2</c:v>
                </c:pt>
                <c:pt idx="1926">
                  <c:v>2.1483016669359145E-2</c:v>
                </c:pt>
                <c:pt idx="1927">
                  <c:v>2.1485025677758784E-2</c:v>
                </c:pt>
                <c:pt idx="1928">
                  <c:v>2.1487060979126227E-2</c:v>
                </c:pt>
                <c:pt idx="1929">
                  <c:v>2.14891225733016E-2</c:v>
                </c:pt>
                <c:pt idx="1930">
                  <c:v>2.1491210460524712E-2</c:v>
                </c:pt>
                <c:pt idx="1931">
                  <c:v>2.1493324640475819E-2</c:v>
                </c:pt>
                <c:pt idx="1932">
                  <c:v>2.1495465113474665E-2</c:v>
                </c:pt>
                <c:pt idx="1933">
                  <c:v>2.1497631879281442E-2</c:v>
                </c:pt>
                <c:pt idx="1934">
                  <c:v>2.1499824938135959E-2</c:v>
                </c:pt>
                <c:pt idx="1935">
                  <c:v>2.1504450191756064E-2</c:v>
                </c:pt>
                <c:pt idx="1936">
                  <c:v>2.1506701873956757E-2</c:v>
                </c:pt>
                <c:pt idx="1937">
                  <c:v>2.1506561871706964E-2</c:v>
                </c:pt>
                <c:pt idx="1938">
                  <c:v>2.1508860102033012E-2</c:v>
                </c:pt>
                <c:pt idx="1939">
                  <c:v>2.1511184625326862E-2</c:v>
                </c:pt>
                <c:pt idx="1940">
                  <c:v>2.1513535441428644E-2</c:v>
                </c:pt>
                <c:pt idx="1941">
                  <c:v>2.1515912550578165E-2</c:v>
                </c:pt>
                <c:pt idx="1942">
                  <c:v>2.151831595245568E-2</c:v>
                </c:pt>
                <c:pt idx="1943">
                  <c:v>2.1520745647380934E-2</c:v>
                </c:pt>
                <c:pt idx="1944">
                  <c:v>2.1523201635273992E-2</c:v>
                </c:pt>
                <c:pt idx="1945">
                  <c:v>2.1525683915895044E-2</c:v>
                </c:pt>
                <c:pt idx="1946">
                  <c:v>2.1528192489483899E-2</c:v>
                </c:pt>
                <c:pt idx="1947">
                  <c:v>2.1530727355960622E-2</c:v>
                </c:pt>
                <c:pt idx="1948">
                  <c:v>2.1533288515405147E-2</c:v>
                </c:pt>
                <c:pt idx="1949">
                  <c:v>2.1535875967737539E-2</c:v>
                </c:pt>
                <c:pt idx="1950">
                  <c:v>2.1538489712957798E-2</c:v>
                </c:pt>
                <c:pt idx="1951">
                  <c:v>2.154446764011908E-2</c:v>
                </c:pt>
                <c:pt idx="1952">
                  <c:v>2.1543796082141853E-2</c:v>
                </c:pt>
                <c:pt idx="1953">
                  <c:v>2.1546488706105649E-2</c:v>
                </c:pt>
                <c:pt idx="1954">
                  <c:v>2.1549207623037248E-2</c:v>
                </c:pt>
                <c:pt idx="1955">
                  <c:v>2.1551952832776777E-2</c:v>
                </c:pt>
                <c:pt idx="1956">
                  <c:v>2.155472433548411E-2</c:v>
                </c:pt>
                <c:pt idx="1957">
                  <c:v>2.155752213107931E-2</c:v>
                </c:pt>
                <c:pt idx="1958">
                  <c:v>2.1560346219722248E-2</c:v>
                </c:pt>
                <c:pt idx="1959">
                  <c:v>2.1563196601093182E-2</c:v>
                </c:pt>
                <c:pt idx="1960">
                  <c:v>2.1566073275431918E-2</c:v>
                </c:pt>
                <c:pt idx="1961">
                  <c:v>2.1568976242738458E-2</c:v>
                </c:pt>
                <c:pt idx="1962">
                  <c:v>2.1571905502852928E-2</c:v>
                </c:pt>
                <c:pt idx="1963">
                  <c:v>2.1574861056015138E-2</c:v>
                </c:pt>
                <c:pt idx="1964">
                  <c:v>2.1577842902065214E-2</c:v>
                </c:pt>
                <c:pt idx="1965">
                  <c:v>2.1580851040923221E-2</c:v>
                </c:pt>
                <c:pt idx="1966">
                  <c:v>2.1583885472908904E-2</c:v>
                </c:pt>
                <c:pt idx="1967">
                  <c:v>2.1586946197622581E-2</c:v>
                </c:pt>
                <c:pt idx="1968">
                  <c:v>2.1590033215383997E-2</c:v>
                </c:pt>
                <c:pt idx="1969">
                  <c:v>2.1593146525953344E-2</c:v>
                </c:pt>
                <c:pt idx="1970">
                  <c:v>2.1596286129490494E-2</c:v>
                </c:pt>
                <c:pt idx="1971">
                  <c:v>2.1599452025995447E-2</c:v>
                </c:pt>
                <c:pt idx="1972">
                  <c:v>2.1602644076619271E-2</c:v>
                </c:pt>
                <c:pt idx="1973">
                  <c:v>2.1605839251304104E-2</c:v>
                </c:pt>
                <c:pt idx="1974">
                  <c:v>2.1609019930624029E-2</c:v>
                </c:pt>
                <c:pt idx="1975">
                  <c:v>2.1612186114419174E-2</c:v>
                </c:pt>
                <c:pt idx="1976">
                  <c:v>2.1615337802689538E-2</c:v>
                </c:pt>
                <c:pt idx="1977">
                  <c:v>2.1618474995515058E-2</c:v>
                </c:pt>
                <c:pt idx="1978">
                  <c:v>2.1621597692975669E-2</c:v>
                </c:pt>
                <c:pt idx="1979">
                  <c:v>2.1624705894991436E-2</c:v>
                </c:pt>
                <c:pt idx="1980">
                  <c:v>2.1627799601482423E-2</c:v>
                </c:pt>
                <c:pt idx="1981">
                  <c:v>2.1630878812528564E-2</c:v>
                </c:pt>
                <c:pt idx="1982">
                  <c:v>2.1633943528209798E-2</c:v>
                </c:pt>
                <c:pt idx="1983">
                  <c:v>2.1636993748286315E-2</c:v>
                </c:pt>
                <c:pt idx="1984">
                  <c:v>2.1640029472997924E-2</c:v>
                </c:pt>
                <c:pt idx="1985">
                  <c:v>2.1643050702264688E-2</c:v>
                </c:pt>
                <c:pt idx="1986">
                  <c:v>2.1646057436166544E-2</c:v>
                </c:pt>
                <c:pt idx="1987">
                  <c:v>2.1649049674463683E-2</c:v>
                </c:pt>
                <c:pt idx="1988">
                  <c:v>2.1652027417315978E-2</c:v>
                </c:pt>
                <c:pt idx="1989">
                  <c:v>2.1654990664803364E-2</c:v>
                </c:pt>
                <c:pt idx="1990">
                  <c:v>2.1657939416845906E-2</c:v>
                </c:pt>
                <c:pt idx="1991">
                  <c:v>2.1660873673363668E-2</c:v>
                </c:pt>
                <c:pt idx="1992">
                  <c:v>2.1663793434356649E-2</c:v>
                </c:pt>
                <c:pt idx="1993">
                  <c:v>2.1666698699984721E-2</c:v>
                </c:pt>
                <c:pt idx="1994">
                  <c:v>2.1669589470167949E-2</c:v>
                </c:pt>
                <c:pt idx="1995">
                  <c:v>2.1672465744906333E-2</c:v>
                </c:pt>
                <c:pt idx="1996">
                  <c:v>2.1675327524119936E-2</c:v>
                </c:pt>
                <c:pt idx="1997">
                  <c:v>2.1678174807888695E-2</c:v>
                </c:pt>
                <c:pt idx="1998">
                  <c:v>2.1681007596212609E-2</c:v>
                </c:pt>
                <c:pt idx="1999">
                  <c:v>2.1683825889091679E-2</c:v>
                </c:pt>
                <c:pt idx="2000">
                  <c:v>2.1686629686525905E-2</c:v>
                </c:pt>
                <c:pt idx="2001">
                  <c:v>2.1689418988435349E-2</c:v>
                </c:pt>
                <c:pt idx="2002">
                  <c:v>2.1695598160201612E-2</c:v>
                </c:pt>
                <c:pt idx="2003">
                  <c:v>2.1694954105999642E-2</c:v>
                </c:pt>
                <c:pt idx="2004">
                  <c:v>2.1697699921574554E-2</c:v>
                </c:pt>
                <c:pt idx="2005">
                  <c:v>2.1700431241704621E-2</c:v>
                </c:pt>
                <c:pt idx="2006">
                  <c:v>2.1703148066389844E-2</c:v>
                </c:pt>
                <c:pt idx="2007">
                  <c:v>2.1705850395550286E-2</c:v>
                </c:pt>
                <c:pt idx="2008">
                  <c:v>2.1708538229265884E-2</c:v>
                </c:pt>
                <c:pt idx="2009">
                  <c:v>2.1711211567616573E-2</c:v>
                </c:pt>
                <c:pt idx="2010">
                  <c:v>2.1713870410362546E-2</c:v>
                </c:pt>
                <c:pt idx="2011">
                  <c:v>2.1716514757663674E-2</c:v>
                </c:pt>
                <c:pt idx="2012">
                  <c:v>2.1719144609519958E-2</c:v>
                </c:pt>
                <c:pt idx="2013">
                  <c:v>2.1721759966011334E-2</c:v>
                </c:pt>
                <c:pt idx="2014">
                  <c:v>2.1724360826897993E-2</c:v>
                </c:pt>
                <c:pt idx="2015">
                  <c:v>2.1726947192419743E-2</c:v>
                </c:pt>
                <c:pt idx="2016">
                  <c:v>2.1729519062416713E-2</c:v>
                </c:pt>
                <c:pt idx="2017">
                  <c:v>2.1732076436968839E-2</c:v>
                </c:pt>
                <c:pt idx="2018">
                  <c:v>2.1734619316156056E-2</c:v>
                </c:pt>
                <c:pt idx="2019">
                  <c:v>2.1737147699658621E-2</c:v>
                </c:pt>
                <c:pt idx="2020">
                  <c:v>2.1739661587876213E-2</c:v>
                </c:pt>
                <c:pt idx="2021">
                  <c:v>2.1742160980569025E-2</c:v>
                </c:pt>
                <c:pt idx="2022">
                  <c:v>2.1744645877816993E-2</c:v>
                </c:pt>
                <c:pt idx="2023">
                  <c:v>2.1747116279620116E-2</c:v>
                </c:pt>
                <c:pt idx="2024">
                  <c:v>2.1749572185818522E-2</c:v>
                </c:pt>
                <c:pt idx="2025">
                  <c:v>2.175201359665202E-2</c:v>
                </c:pt>
                <c:pt idx="2026">
                  <c:v>2.1754440512040674E-2</c:v>
                </c:pt>
                <c:pt idx="2027">
                  <c:v>2.1756852931904547E-2</c:v>
                </c:pt>
                <c:pt idx="2028">
                  <c:v>2.1759250856403511E-2</c:v>
                </c:pt>
                <c:pt idx="2029">
                  <c:v>2.1761634285377696E-2</c:v>
                </c:pt>
                <c:pt idx="2030">
                  <c:v>2.1764003218827099E-2</c:v>
                </c:pt>
                <c:pt idx="2031">
                  <c:v>2.1766357656911595E-2</c:v>
                </c:pt>
                <c:pt idx="2032">
                  <c:v>2.1768697599391373E-2</c:v>
                </c:pt>
                <c:pt idx="2033">
                  <c:v>2.1771023046506244E-2</c:v>
                </c:pt>
                <c:pt idx="2034">
                  <c:v>2.1773333998096334E-2</c:v>
                </c:pt>
                <c:pt idx="2035">
                  <c:v>2.1775630454241579E-2</c:v>
                </c:pt>
                <c:pt idx="2036">
                  <c:v>2.177791241494198E-2</c:v>
                </c:pt>
                <c:pt idx="2037">
                  <c:v>2.1780179880117601E-2</c:v>
                </c:pt>
                <c:pt idx="2038">
                  <c:v>2.1782432849928313E-2</c:v>
                </c:pt>
                <c:pt idx="2039">
                  <c:v>2.1784671324134308E-2</c:v>
                </c:pt>
                <c:pt idx="2040">
                  <c:v>2.1789663893312383E-2</c:v>
                </c:pt>
                <c:pt idx="2041">
                  <c:v>2.179105220078803E-2</c:v>
                </c:pt>
                <c:pt idx="2042">
                  <c:v>2.1793243312293598E-2</c:v>
                </c:pt>
                <c:pt idx="2043">
                  <c:v>2.1795419926622372E-2</c:v>
                </c:pt>
                <c:pt idx="2044">
                  <c:v>2.179758204374771E-2</c:v>
                </c:pt>
                <c:pt idx="2045">
                  <c:v>2.1799729663669609E-2</c:v>
                </c:pt>
                <c:pt idx="2046">
                  <c:v>2.1801862786388071E-2</c:v>
                </c:pt>
                <c:pt idx="2047">
                  <c:v>2.180398141187645E-2</c:v>
                </c:pt>
                <c:pt idx="2048">
                  <c:v>2.1806085540188036E-2</c:v>
                </c:pt>
                <c:pt idx="2049">
                  <c:v>2.1808175171269539E-2</c:v>
                </c:pt>
                <c:pt idx="2050">
                  <c:v>2.181025030517425E-2</c:v>
                </c:pt>
                <c:pt idx="2051">
                  <c:v>2.1812310941875523E-2</c:v>
                </c:pt>
                <c:pt idx="2052">
                  <c:v>2.1813907836305546E-2</c:v>
                </c:pt>
                <c:pt idx="2053">
                  <c:v>2.1816388723614466E-2</c:v>
                </c:pt>
                <c:pt idx="2054">
                  <c:v>2.1818405868678781E-2</c:v>
                </c:pt>
                <c:pt idx="2055">
                  <c:v>2.1820408516539658E-2</c:v>
                </c:pt>
                <c:pt idx="2056">
                  <c:v>2.1822396667197097E-2</c:v>
                </c:pt>
                <c:pt idx="2057">
                  <c:v>2.1824370320651099E-2</c:v>
                </c:pt>
                <c:pt idx="2058">
                  <c:v>2.1826329476848372E-2</c:v>
                </c:pt>
                <c:pt idx="2059">
                  <c:v>2.1828274135842207E-2</c:v>
                </c:pt>
                <c:pt idx="2060">
                  <c:v>2.1830204297632605E-2</c:v>
                </c:pt>
                <c:pt idx="2061">
                  <c:v>2.183211996224621E-2</c:v>
                </c:pt>
                <c:pt idx="2062">
                  <c:v>2.1834021129603087E-2</c:v>
                </c:pt>
                <c:pt idx="2063">
                  <c:v>2.1835907799783172E-2</c:v>
                </c:pt>
                <c:pt idx="2064">
                  <c:v>2.1837779972706528E-2</c:v>
                </c:pt>
                <c:pt idx="2065">
                  <c:v>2.1839637648399801E-2</c:v>
                </c:pt>
                <c:pt idx="2066">
                  <c:v>2.1841480826889637E-2</c:v>
                </c:pt>
                <c:pt idx="2067">
                  <c:v>2.184330950820268E-2</c:v>
                </c:pt>
                <c:pt idx="2068">
                  <c:v>2.1845123692258994E-2</c:v>
                </c:pt>
                <c:pt idx="2069">
                  <c:v>2.1846923379085226E-2</c:v>
                </c:pt>
                <c:pt idx="2070">
                  <c:v>2.1848708568734665E-2</c:v>
                </c:pt>
                <c:pt idx="2071">
                  <c:v>2.1850479261127376E-2</c:v>
                </c:pt>
                <c:pt idx="2072">
                  <c:v>2.1852235456343294E-2</c:v>
                </c:pt>
                <c:pt idx="2073">
                  <c:v>2.1853977154302484E-2</c:v>
                </c:pt>
                <c:pt idx="2074">
                  <c:v>2.1855704355058236E-2</c:v>
                </c:pt>
                <c:pt idx="2075">
                  <c:v>2.185741705855726E-2</c:v>
                </c:pt>
                <c:pt idx="2076">
                  <c:v>2.1859115264852846E-2</c:v>
                </c:pt>
                <c:pt idx="2077">
                  <c:v>2.1860798973891704E-2</c:v>
                </c:pt>
                <c:pt idx="2078">
                  <c:v>2.1862468185780415E-2</c:v>
                </c:pt>
                <c:pt idx="2079">
                  <c:v>2.1864122900412397E-2</c:v>
                </c:pt>
                <c:pt idx="2080">
                  <c:v>2.1865763117787651E-2</c:v>
                </c:pt>
                <c:pt idx="2081">
                  <c:v>2.1867388837906176E-2</c:v>
                </c:pt>
                <c:pt idx="2082">
                  <c:v>2.1869000060874555E-2</c:v>
                </c:pt>
                <c:pt idx="2083">
                  <c:v>2.1870596786586205E-2</c:v>
                </c:pt>
                <c:pt idx="2084">
                  <c:v>2.1872179015067772E-2</c:v>
                </c:pt>
                <c:pt idx="2085">
                  <c:v>2.1873746746345901E-2</c:v>
                </c:pt>
                <c:pt idx="2086">
                  <c:v>2.1875299980340657E-2</c:v>
                </c:pt>
                <c:pt idx="2087">
                  <c:v>2.187683871715862E-2</c:v>
                </c:pt>
                <c:pt idx="2088">
                  <c:v>2.1878362956693209E-2</c:v>
                </c:pt>
                <c:pt idx="2089">
                  <c:v>2.1879872699051006E-2</c:v>
                </c:pt>
                <c:pt idx="2090">
                  <c:v>2.1881367944152075E-2</c:v>
                </c:pt>
                <c:pt idx="2091">
                  <c:v>2.188284869202306E-2</c:v>
                </c:pt>
                <c:pt idx="2092">
                  <c:v>2.1884170002950398E-2</c:v>
                </c:pt>
                <c:pt idx="2093">
                  <c:v>2.1884848484381436E-2</c:v>
                </c:pt>
                <c:pt idx="2094">
                  <c:v>2.1886281424308152E-2</c:v>
                </c:pt>
                <c:pt idx="2095">
                  <c:v>2.1887699868710087E-2</c:v>
                </c:pt>
                <c:pt idx="2096">
                  <c:v>2.1889103817587241E-2</c:v>
                </c:pt>
                <c:pt idx="2097">
                  <c:v>2.1890493270939615E-2</c:v>
                </c:pt>
                <c:pt idx="2098">
                  <c:v>2.1891868228927081E-2</c:v>
                </c:pt>
                <c:pt idx="2099">
                  <c:v>2.1893228691389766E-2</c:v>
                </c:pt>
                <c:pt idx="2100">
                  <c:v>2.189457465832767E-2</c:v>
                </c:pt>
                <c:pt idx="2101">
                  <c:v>2.1895906129900666E-2</c:v>
                </c:pt>
                <c:pt idx="2102">
                  <c:v>2.189722310578901E-2</c:v>
                </c:pt>
                <c:pt idx="2103">
                  <c:v>2.1898525586392381E-2</c:v>
                </c:pt>
                <c:pt idx="2104">
                  <c:v>2.18998135713111E-2</c:v>
                </c:pt>
                <c:pt idx="2105">
                  <c:v>2.190108706086491E-2</c:v>
                </c:pt>
                <c:pt idx="2106">
                  <c:v>2.1902346054973876E-2</c:v>
                </c:pt>
                <c:pt idx="2107">
                  <c:v>2.1903943462060482E-2</c:v>
                </c:pt>
                <c:pt idx="2108">
                  <c:v>2.1904820556617466E-2</c:v>
                </c:pt>
                <c:pt idx="2109">
                  <c:v>2.1906036064232026E-2</c:v>
                </c:pt>
                <c:pt idx="2110">
                  <c:v>2.190723707624187E-2</c:v>
                </c:pt>
                <c:pt idx="2111">
                  <c:v>2.1908423592886805E-2</c:v>
                </c:pt>
                <c:pt idx="2112">
                  <c:v>2.1909595614166832E-2</c:v>
                </c:pt>
                <c:pt idx="2113">
                  <c:v>2.1910753139842143E-2</c:v>
                </c:pt>
                <c:pt idx="2114">
                  <c:v>2.1911896169912737E-2</c:v>
                </c:pt>
                <c:pt idx="2115">
                  <c:v>2.1913024704618422E-2</c:v>
                </c:pt>
                <c:pt idx="2116">
                  <c:v>2.1914138743799327E-2</c:v>
                </c:pt>
                <c:pt idx="2117">
                  <c:v>2.1915238287535388E-2</c:v>
                </c:pt>
                <c:pt idx="2118">
                  <c:v>2.1916323335666732E-2</c:v>
                </c:pt>
                <c:pt idx="2119">
                  <c:v>2.1917393888513104E-2</c:v>
                </c:pt>
                <c:pt idx="2120">
                  <c:v>2.1918449945754759E-2</c:v>
                </c:pt>
                <c:pt idx="2121">
                  <c:v>2.1919491507471633E-2</c:v>
                </c:pt>
                <c:pt idx="2122">
                  <c:v>2.1920518573663728E-2</c:v>
                </c:pt>
                <c:pt idx="2123">
                  <c:v>2.1921531144570849E-2</c:v>
                </c:pt>
                <c:pt idx="2124">
                  <c:v>2.1922529219873255E-2</c:v>
                </c:pt>
                <c:pt idx="2125">
                  <c:v>2.1923512799730815E-2</c:v>
                </c:pt>
                <c:pt idx="2126">
                  <c:v>2.192448188398366E-2</c:v>
                </c:pt>
                <c:pt idx="2127">
                  <c:v>2.1925436472871596E-2</c:v>
                </c:pt>
                <c:pt idx="2128">
                  <c:v>2.1926376566154815E-2</c:v>
                </c:pt>
                <c:pt idx="2129">
                  <c:v>2.192730216399319E-2</c:v>
                </c:pt>
                <c:pt idx="2130">
                  <c:v>2.1928213266466656E-2</c:v>
                </c:pt>
                <c:pt idx="2131">
                  <c:v>2.1929109873335406E-2</c:v>
                </c:pt>
                <c:pt idx="2132">
                  <c:v>2.192999198459944E-2</c:v>
                </c:pt>
                <c:pt idx="2133">
                  <c:v>2.1930859600578501E-2</c:v>
                </c:pt>
                <c:pt idx="2134">
                  <c:v>2.1931712721032781E-2</c:v>
                </c:pt>
                <c:pt idx="2135">
                  <c:v>2.1932551345882345E-2</c:v>
                </c:pt>
                <c:pt idx="2136">
                  <c:v>2.1933375475287065E-2</c:v>
                </c:pt>
                <c:pt idx="2137">
                  <c:v>2.1934185109326876E-2</c:v>
                </c:pt>
                <c:pt idx="2138">
                  <c:v>2.193498024776197E-2</c:v>
                </c:pt>
                <c:pt idx="2139">
                  <c:v>2.1935760890672285E-2</c:v>
                </c:pt>
                <c:pt idx="2140">
                  <c:v>2.193652703821769E-2</c:v>
                </c:pt>
                <c:pt idx="2141">
                  <c:v>2.1937278690318252E-2</c:v>
                </c:pt>
                <c:pt idx="2142">
                  <c:v>2.193801584673416E-2</c:v>
                </c:pt>
                <c:pt idx="2143">
                  <c:v>2.1938738507705224E-2</c:v>
                </c:pt>
                <c:pt idx="2144">
                  <c:v>2.1940265036128892E-2</c:v>
                </c:pt>
                <c:pt idx="2145">
                  <c:v>2.1940238255631073E-2</c:v>
                </c:pt>
                <c:pt idx="2146">
                  <c:v>2.1940915359444091E-2</c:v>
                </c:pt>
                <c:pt idx="2147">
                  <c:v>2.1941577967732329E-2</c:v>
                </c:pt>
                <c:pt idx="2148">
                  <c:v>2.1942226080495786E-2</c:v>
                </c:pt>
                <c:pt idx="2149">
                  <c:v>2.1942859697814399E-2</c:v>
                </c:pt>
                <c:pt idx="2150">
                  <c:v>2.1943478819608231E-2</c:v>
                </c:pt>
                <c:pt idx="2151">
                  <c:v>2.1944083445877283E-2</c:v>
                </c:pt>
                <c:pt idx="2152">
                  <c:v>2.194467357670149E-2</c:v>
                </c:pt>
                <c:pt idx="2153">
                  <c:v>2.1945249212160789E-2</c:v>
                </c:pt>
                <c:pt idx="2154">
                  <c:v>2.1945810351855499E-2</c:v>
                </c:pt>
                <c:pt idx="2155">
                  <c:v>2.1946356996185301E-2</c:v>
                </c:pt>
                <c:pt idx="2156">
                  <c:v>2.1946889145070259E-2</c:v>
                </c:pt>
                <c:pt idx="2157">
                  <c:v>2.1947406798510372E-2</c:v>
                </c:pt>
                <c:pt idx="2158">
                  <c:v>2.1948051053239936E-2</c:v>
                </c:pt>
                <c:pt idx="2159">
                  <c:v>2.1948535574063399E-2</c:v>
                </c:pt>
                <c:pt idx="2160">
                  <c:v>2.1949005599442017E-2</c:v>
                </c:pt>
                <c:pt idx="2161">
                  <c:v>2.1951564182927097E-2</c:v>
                </c:pt>
                <c:pt idx="2162">
                  <c:v>2.1949902163544976E-2</c:v>
                </c:pt>
                <c:pt idx="2163">
                  <c:v>2.1950328702429189E-2</c:v>
                </c:pt>
                <c:pt idx="2164">
                  <c:v>2.1950740745788622E-2</c:v>
                </c:pt>
                <c:pt idx="2165">
                  <c:v>2.1951138293623274E-2</c:v>
                </c:pt>
                <c:pt idx="2166">
                  <c:v>2.1951521346013081E-2</c:v>
                </c:pt>
                <c:pt idx="2167">
                  <c:v>2.1951889902958044E-2</c:v>
                </c:pt>
                <c:pt idx="2168">
                  <c:v>2.1952243964378226E-2</c:v>
                </c:pt>
                <c:pt idx="2169">
                  <c:v>2.1952583530193692E-2</c:v>
                </c:pt>
                <c:pt idx="2170">
                  <c:v>2.195290860064425E-2</c:v>
                </c:pt>
                <c:pt idx="2171">
                  <c:v>2.1953219175570027E-2</c:v>
                </c:pt>
                <c:pt idx="2172">
                  <c:v>2.1953515254971023E-2</c:v>
                </c:pt>
                <c:pt idx="2173">
                  <c:v>2.1953796838927175E-2</c:v>
                </c:pt>
                <c:pt idx="2174">
                  <c:v>2.1954063927438483E-2</c:v>
                </c:pt>
                <c:pt idx="2175">
                  <c:v>2.195431652042501E-2</c:v>
                </c:pt>
                <c:pt idx="2176">
                  <c:v>2.1954554617806821E-2</c:v>
                </c:pt>
                <c:pt idx="2177">
                  <c:v>2.1954778219823723E-2</c:v>
                </c:pt>
                <c:pt idx="2178">
                  <c:v>2.1954987326315845E-2</c:v>
                </c:pt>
                <c:pt idx="2179">
                  <c:v>2.1955181937283186E-2</c:v>
                </c:pt>
                <c:pt idx="2180">
                  <c:v>2.1955362052725746E-2</c:v>
                </c:pt>
                <c:pt idx="2181">
                  <c:v>2.1955527672803399E-2</c:v>
                </c:pt>
                <c:pt idx="2182">
                  <c:v>2.1955678797276335E-2</c:v>
                </c:pt>
                <c:pt idx="2183">
                  <c:v>2.195581542622449E-2</c:v>
                </c:pt>
                <c:pt idx="2184">
                  <c:v>2.1955937559807737E-2</c:v>
                </c:pt>
                <c:pt idx="2185">
                  <c:v>2.1956045197866203E-2</c:v>
                </c:pt>
                <c:pt idx="2186">
                  <c:v>2.1956138340399889E-2</c:v>
                </c:pt>
                <c:pt idx="2187">
                  <c:v>2.1956216987408794E-2</c:v>
                </c:pt>
                <c:pt idx="2188">
                  <c:v>2.1956281139052791E-2</c:v>
                </c:pt>
                <c:pt idx="2189">
                  <c:v>2.1956330795092072E-2</c:v>
                </c:pt>
                <c:pt idx="2190">
                  <c:v>2.1956365955686508E-2</c:v>
                </c:pt>
                <c:pt idx="2191">
                  <c:v>2.1956386620756163E-2</c:v>
                </c:pt>
                <c:pt idx="2192">
                  <c:v>2.1956392790301038E-2</c:v>
                </c:pt>
                <c:pt idx="2193">
                  <c:v>2.1956384464481005E-2</c:v>
                </c:pt>
                <c:pt idx="2194">
                  <c:v>2.1956361642976319E-2</c:v>
                </c:pt>
                <c:pt idx="2195">
                  <c:v>2.1958323006128211E-2</c:v>
                </c:pt>
                <c:pt idx="2196">
                  <c:v>2.1958268077546528E-2</c:v>
                </c:pt>
                <c:pt idx="2197">
                  <c:v>2.195620620587313E-2</c:v>
                </c:pt>
                <c:pt idx="2198">
                  <c:v>2.195612540250913E-2</c:v>
                </c:pt>
                <c:pt idx="2199">
                  <c:v>2.1956030103700286E-2</c:v>
                </c:pt>
                <c:pt idx="2200">
                  <c:v>2.1955920309366661E-2</c:v>
                </c:pt>
                <c:pt idx="2201">
                  <c:v>2.1955796019508256E-2</c:v>
                </c:pt>
                <c:pt idx="2202">
                  <c:v>2.195565723412507E-2</c:v>
                </c:pt>
                <c:pt idx="2203">
                  <c:v>2.1955503953456912E-2</c:v>
                </c:pt>
                <c:pt idx="2204">
                  <c:v>2.1955336177104101E-2</c:v>
                </c:pt>
                <c:pt idx="2205">
                  <c:v>2.195515390522651E-2</c:v>
                </c:pt>
                <c:pt idx="2206">
                  <c:v>2.1954957138063946E-2</c:v>
                </c:pt>
                <c:pt idx="2207">
                  <c:v>2.195474587521673E-2</c:v>
                </c:pt>
                <c:pt idx="2208">
                  <c:v>2.1954520117004606E-2</c:v>
                </c:pt>
                <c:pt idx="2209">
                  <c:v>2.1954279863187764E-2</c:v>
                </c:pt>
                <c:pt idx="2210">
                  <c:v>2.1954025113926079E-2</c:v>
                </c:pt>
                <c:pt idx="2211">
                  <c:v>2.1956353724302602E-2</c:v>
                </c:pt>
                <c:pt idx="2212">
                  <c:v>2.1953472128908302E-2</c:v>
                </c:pt>
                <c:pt idx="2213">
                  <c:v>2.1953173893152211E-2</c:v>
                </c:pt>
                <c:pt idx="2214">
                  <c:v>2.1952861162031212E-2</c:v>
                </c:pt>
                <c:pt idx="2215">
                  <c:v>2.195253393522556E-2</c:v>
                </c:pt>
                <c:pt idx="2216">
                  <c:v>2.1952192213055E-2</c:v>
                </c:pt>
                <c:pt idx="2217">
                  <c:v>2.1951835995359659E-2</c:v>
                </c:pt>
                <c:pt idx="2218">
                  <c:v>2.1951465282219473E-2</c:v>
                </c:pt>
                <c:pt idx="2219">
                  <c:v>2.1951080073474571E-2</c:v>
                </c:pt>
                <c:pt idx="2220">
                  <c:v>2.1950680369364761E-2</c:v>
                </c:pt>
                <c:pt idx="2221">
                  <c:v>2.1950266169650234E-2</c:v>
                </c:pt>
                <c:pt idx="2222">
                  <c:v>2.1949837474490863E-2</c:v>
                </c:pt>
                <c:pt idx="2223">
                  <c:v>2.1949394283806711E-2</c:v>
                </c:pt>
                <c:pt idx="2224">
                  <c:v>2.1948936597677715E-2</c:v>
                </c:pt>
                <c:pt idx="2225">
                  <c:v>2.1948464416103874E-2</c:v>
                </c:pt>
                <c:pt idx="2226">
                  <c:v>2.1947977738925317E-2</c:v>
                </c:pt>
                <c:pt idx="2227">
                  <c:v>2.1947476566301916E-2</c:v>
                </c:pt>
                <c:pt idx="2228">
                  <c:v>2.1946960898313606E-2</c:v>
                </c:pt>
                <c:pt idx="2229">
                  <c:v>2.1946430734720579E-2</c:v>
                </c:pt>
                <c:pt idx="2230">
                  <c:v>2.1945886075522836E-2</c:v>
                </c:pt>
                <c:pt idx="2231">
                  <c:v>2.1945326920960184E-2</c:v>
                </c:pt>
                <c:pt idx="2232">
                  <c:v>2.1944753270952688E-2</c:v>
                </c:pt>
                <c:pt idx="2233">
                  <c:v>2.1944165125420412E-2</c:v>
                </c:pt>
                <c:pt idx="2234">
                  <c:v>2.1943562484363355E-2</c:v>
                </c:pt>
                <c:pt idx="2235">
                  <c:v>2.1942945347861453E-2</c:v>
                </c:pt>
                <c:pt idx="2236">
                  <c:v>2.1942313715834771E-2</c:v>
                </c:pt>
                <c:pt idx="2237">
                  <c:v>2.1941667588363245E-2</c:v>
                </c:pt>
                <c:pt idx="2238">
                  <c:v>2.1941006965207066E-2</c:v>
                </c:pt>
                <c:pt idx="2239">
                  <c:v>2.1940331846765915E-2</c:v>
                </c:pt>
                <c:pt idx="2240">
                  <c:v>2.1939642232879919E-2</c:v>
                </c:pt>
                <c:pt idx="2241">
                  <c:v>2.1938938123309271E-2</c:v>
                </c:pt>
                <c:pt idx="2242">
                  <c:v>2.1938219518373714E-2</c:v>
                </c:pt>
                <c:pt idx="2243">
                  <c:v>2.1937486417913377E-2</c:v>
                </c:pt>
                <c:pt idx="2244">
                  <c:v>2.1936738822008195E-2</c:v>
                </c:pt>
                <c:pt idx="2245">
                  <c:v>2.1935976730498297E-2</c:v>
                </c:pt>
                <c:pt idx="2246">
                  <c:v>2.1935200143703426E-2</c:v>
                </c:pt>
                <c:pt idx="2247">
                  <c:v>2.1934409061223903E-2</c:v>
                </c:pt>
                <c:pt idx="2248">
                  <c:v>2.1933603483299535E-2</c:v>
                </c:pt>
                <c:pt idx="2249">
                  <c:v>2.1932783409930323E-2</c:v>
                </c:pt>
                <c:pt idx="2250">
                  <c:v>2.1931948841036331E-2</c:v>
                </c:pt>
                <c:pt idx="2251">
                  <c:v>2.193109977677743E-2</c:v>
                </c:pt>
                <c:pt idx="2252">
                  <c:v>2.1930236216833876E-2</c:v>
                </c:pt>
                <c:pt idx="2253">
                  <c:v>2.1929358161525414E-2</c:v>
                </c:pt>
                <c:pt idx="2254">
                  <c:v>2.1928465610612236E-2</c:v>
                </c:pt>
                <c:pt idx="2255">
                  <c:v>2.1927558564414085E-2</c:v>
                </c:pt>
                <c:pt idx="2256">
                  <c:v>2.1926637022451345E-2</c:v>
                </c:pt>
                <c:pt idx="2257">
                  <c:v>2.1925700985283569E-2</c:v>
                </c:pt>
                <c:pt idx="2258">
                  <c:v>2.1924750452511077E-2</c:v>
                </c:pt>
                <c:pt idx="2259">
                  <c:v>2.1923785424213804E-2</c:v>
                </c:pt>
                <c:pt idx="2260">
                  <c:v>2.1922805900391751E-2</c:v>
                </c:pt>
                <c:pt idx="2261">
                  <c:v>2.1921811881204789E-2</c:v>
                </c:pt>
                <c:pt idx="2262">
                  <c:v>2.1923181917289369E-2</c:v>
                </c:pt>
                <c:pt idx="2263">
                  <c:v>2.1919780356176588E-2</c:v>
                </c:pt>
                <c:pt idx="2264">
                  <c:v>2.1918742850495221E-2</c:v>
                </c:pt>
                <c:pt idx="2265">
                  <c:v>2.1917690849289073E-2</c:v>
                </c:pt>
                <c:pt idx="2266">
                  <c:v>2.1916624352558145E-2</c:v>
                </c:pt>
                <c:pt idx="2267">
                  <c:v>2.1915543360382372E-2</c:v>
                </c:pt>
                <c:pt idx="2268">
                  <c:v>2.1914447872761755E-2</c:v>
                </c:pt>
                <c:pt idx="2269">
                  <c:v>2.1913337889696294E-2</c:v>
                </c:pt>
                <c:pt idx="2270">
                  <c:v>2.191221341094618E-2</c:v>
                </c:pt>
                <c:pt idx="2271">
                  <c:v>2.1911074436911093E-2</c:v>
                </c:pt>
                <c:pt idx="2272">
                  <c:v>2.190992096727129E-2</c:v>
                </c:pt>
                <c:pt idx="2273">
                  <c:v>2.1908753002186643E-2</c:v>
                </c:pt>
                <c:pt idx="2274">
                  <c:v>2.1907570541577215E-2</c:v>
                </c:pt>
                <c:pt idx="2275">
                  <c:v>2.1906373585443006E-2</c:v>
                </c:pt>
                <c:pt idx="2276">
                  <c:v>2.190516213394389E-2</c:v>
                </c:pt>
                <c:pt idx="2277">
                  <c:v>2.1903936186919992E-2</c:v>
                </c:pt>
                <c:pt idx="2278">
                  <c:v>2.1902695744371314E-2</c:v>
                </c:pt>
                <c:pt idx="2279">
                  <c:v>2.1901440806377792E-2</c:v>
                </c:pt>
                <c:pt idx="2280">
                  <c:v>2.1900171372859489E-2</c:v>
                </c:pt>
                <c:pt idx="2281">
                  <c:v>2.1898887443816406E-2</c:v>
                </c:pt>
                <c:pt idx="2282">
                  <c:v>2.189758901948835E-2</c:v>
                </c:pt>
                <c:pt idx="2283">
                  <c:v>2.1896276099555578E-2</c:v>
                </c:pt>
                <c:pt idx="2284">
                  <c:v>2.189494868401809E-2</c:v>
                </c:pt>
                <c:pt idx="2285">
                  <c:v>2.1893606773115692E-2</c:v>
                </c:pt>
                <c:pt idx="2286">
                  <c:v>2.1892250366768451E-2</c:v>
                </c:pt>
                <c:pt idx="2287">
                  <c:v>2.1890879464896429E-2</c:v>
                </c:pt>
                <c:pt idx="2288">
                  <c:v>2.188949406741969E-2</c:v>
                </c:pt>
                <c:pt idx="2289">
                  <c:v>2.1888094174578043E-2</c:v>
                </c:pt>
                <c:pt idx="2290">
                  <c:v>2.1886679786291552E-2</c:v>
                </c:pt>
                <c:pt idx="2291">
                  <c:v>2.188525090248028E-2</c:v>
                </c:pt>
                <c:pt idx="2292">
                  <c:v>2.1883807523144228E-2</c:v>
                </c:pt>
                <c:pt idx="2293">
                  <c:v>2.1882349648363331E-2</c:v>
                </c:pt>
                <c:pt idx="2294">
                  <c:v>2.1880877278057653E-2</c:v>
                </c:pt>
                <c:pt idx="2295">
                  <c:v>2.1879390412307131E-2</c:v>
                </c:pt>
                <c:pt idx="2296">
                  <c:v>2.1877889051111765E-2</c:v>
                </c:pt>
                <c:pt idx="2297">
                  <c:v>2.1876373194471554E-2</c:v>
                </c:pt>
                <c:pt idx="2298">
                  <c:v>2.1874842842226627E-2</c:v>
                </c:pt>
                <c:pt idx="2299">
                  <c:v>2.1873297994536856E-2</c:v>
                </c:pt>
                <c:pt idx="2300">
                  <c:v>2.1871738651402239E-2</c:v>
                </c:pt>
                <c:pt idx="2301">
                  <c:v>2.1870164812742843E-2</c:v>
                </c:pt>
                <c:pt idx="2302">
                  <c:v>2.1868576478558666E-2</c:v>
                </c:pt>
                <c:pt idx="2303">
                  <c:v>2.186697364900958E-2</c:v>
                </c:pt>
                <c:pt idx="2304">
                  <c:v>2.1865356323935714E-2</c:v>
                </c:pt>
                <c:pt idx="2305">
                  <c:v>2.1863724503337068E-2</c:v>
                </c:pt>
                <c:pt idx="2306">
                  <c:v>2.186207818721364E-2</c:v>
                </c:pt>
                <c:pt idx="2307">
                  <c:v>2.1860417375645369E-2</c:v>
                </c:pt>
                <c:pt idx="2308">
                  <c:v>2.1858742068792125E-2</c:v>
                </c:pt>
                <c:pt idx="2309">
                  <c:v>2.1857052266254229E-2</c:v>
                </c:pt>
                <c:pt idx="2310">
                  <c:v>2.1855347968271488E-2</c:v>
                </c:pt>
                <c:pt idx="2311">
                  <c:v>2.1853629174843903E-2</c:v>
                </c:pt>
                <c:pt idx="2312">
                  <c:v>2.1851895885971473E-2</c:v>
                </c:pt>
                <c:pt idx="2313">
                  <c:v>2.1852298198458797E-2</c:v>
                </c:pt>
                <c:pt idx="2314">
                  <c:v>2.1848385821652272E-2</c:v>
                </c:pt>
                <c:pt idx="2315">
                  <c:v>2.1846609046285437E-2</c:v>
                </c:pt>
                <c:pt idx="2316">
                  <c:v>2.1844817775393821E-2</c:v>
                </c:pt>
                <c:pt idx="2317">
                  <c:v>2.1843012009137297E-2</c:v>
                </c:pt>
                <c:pt idx="2318">
                  <c:v>2.184119174719612E-2</c:v>
                </c:pt>
                <c:pt idx="2319">
                  <c:v>2.1839356989969971E-2</c:v>
                </c:pt>
                <c:pt idx="2320">
                  <c:v>2.1837507737298978E-2</c:v>
                </c:pt>
                <c:pt idx="2321">
                  <c:v>2.1835643989023268E-2</c:v>
                </c:pt>
                <c:pt idx="2322">
                  <c:v>2.1833765745222777E-2</c:v>
                </c:pt>
                <c:pt idx="2323">
                  <c:v>2.1831873006057378E-2</c:v>
                </c:pt>
                <c:pt idx="2324">
                  <c:v>2.1829965771367199E-2</c:v>
                </c:pt>
                <c:pt idx="2325">
                  <c:v>2.1828044041312111E-2</c:v>
                </c:pt>
                <c:pt idx="2326">
                  <c:v>2.1826107815652307E-2</c:v>
                </c:pt>
                <c:pt idx="2327">
                  <c:v>2.1824157094627594E-2</c:v>
                </c:pt>
                <c:pt idx="2328">
                  <c:v>2.1822191877918229E-2</c:v>
                </c:pt>
                <c:pt idx="2329">
                  <c:v>2.1820212165923891E-2</c:v>
                </c:pt>
                <c:pt idx="2330">
                  <c:v>2.1818217958404773E-2</c:v>
                </c:pt>
                <c:pt idx="2331">
                  <c:v>2.181620925544081E-2</c:v>
                </c:pt>
                <c:pt idx="2332">
                  <c:v>2.1814186056952067E-2</c:v>
                </c:pt>
                <c:pt idx="2333">
                  <c:v>2.181214836301848E-2</c:v>
                </c:pt>
                <c:pt idx="2334">
                  <c:v>2.1810096173640048E-2</c:v>
                </c:pt>
                <c:pt idx="2335">
                  <c:v>2.1808029488656899E-2</c:v>
                </c:pt>
                <c:pt idx="2336">
                  <c:v>2.1805948308308842E-2</c:v>
                </c:pt>
                <c:pt idx="2337">
                  <c:v>2.1803852632515941E-2</c:v>
                </c:pt>
                <c:pt idx="2338">
                  <c:v>2.1801742461198259E-2</c:v>
                </c:pt>
                <c:pt idx="2339">
                  <c:v>2.1799617794355797E-2</c:v>
                </c:pt>
                <c:pt idx="2340">
                  <c:v>2.1797478632148426E-2</c:v>
                </c:pt>
                <c:pt idx="2341">
                  <c:v>2.1795324974336339E-2</c:v>
                </c:pt>
                <c:pt idx="2342">
                  <c:v>2.1793156821079407E-2</c:v>
                </c:pt>
                <c:pt idx="2343">
                  <c:v>2.1790974172457567E-2</c:v>
                </c:pt>
                <c:pt idx="2344">
                  <c:v>2.1788777028390882E-2</c:v>
                </c:pt>
                <c:pt idx="2345">
                  <c:v>2.1786565388719481E-2</c:v>
                </c:pt>
                <c:pt idx="2346">
                  <c:v>2.1784339253603235E-2</c:v>
                </c:pt>
                <c:pt idx="2347">
                  <c:v>2.1782098623042145E-2</c:v>
                </c:pt>
                <c:pt idx="2348">
                  <c:v>2.1779843497036211E-2</c:v>
                </c:pt>
                <c:pt idx="2349">
                  <c:v>2.1777573875505496E-2</c:v>
                </c:pt>
                <c:pt idx="2350">
                  <c:v>2.1775289758529937E-2</c:v>
                </c:pt>
                <c:pt idx="2351">
                  <c:v>2.1772991146029597E-2</c:v>
                </c:pt>
                <c:pt idx="2352">
                  <c:v>2.1771823002847412E-2</c:v>
                </c:pt>
                <c:pt idx="2353">
                  <c:v>2.1768998870745904E-2</c:v>
                </c:pt>
                <c:pt idx="2354">
                  <c:v>2.1766652346570936E-2</c:v>
                </c:pt>
                <c:pt idx="2355">
                  <c:v>2.1764291325245821E-2</c:v>
                </c:pt>
                <c:pt idx="2356">
                  <c:v>2.1761915806743914E-2</c:v>
                </c:pt>
                <c:pt idx="2357">
                  <c:v>2.1759525791011924E-2</c:v>
                </c:pt>
                <c:pt idx="2358">
                  <c:v>2.1757121278076497E-2</c:v>
                </c:pt>
                <c:pt idx="2359">
                  <c:v>2.1754702268017567E-2</c:v>
                </c:pt>
                <c:pt idx="2360">
                  <c:v>2.1752268760728555E-2</c:v>
                </c:pt>
                <c:pt idx="2361">
                  <c:v>2.174982075626275E-2</c:v>
                </c:pt>
                <c:pt idx="2362">
                  <c:v>2.1747358254593507E-2</c:v>
                </c:pt>
                <c:pt idx="2363">
                  <c:v>2.1744881255774118E-2</c:v>
                </c:pt>
                <c:pt idx="2364">
                  <c:v>2.1742389759777936E-2</c:v>
                </c:pt>
                <c:pt idx="2365">
                  <c:v>2.1739883766551671E-2</c:v>
                </c:pt>
                <c:pt idx="2366">
                  <c:v>2.1737363276201904E-2</c:v>
                </c:pt>
                <c:pt idx="2367">
                  <c:v>2.17348282886487E-2</c:v>
                </c:pt>
                <c:pt idx="2368">
                  <c:v>2.1729870170599241E-2</c:v>
                </c:pt>
                <c:pt idx="2369">
                  <c:v>2.1729714821958623E-2</c:v>
                </c:pt>
                <c:pt idx="2370">
                  <c:v>2.1725085990267345E-2</c:v>
                </c:pt>
                <c:pt idx="2371">
                  <c:v>2.1722489185416194E-2</c:v>
                </c:pt>
                <c:pt idx="2372">
                  <c:v>2.1719877885040262E-2</c:v>
                </c:pt>
                <c:pt idx="2373">
                  <c:v>2.1717252089139549E-2</c:v>
                </c:pt>
                <c:pt idx="2374">
                  <c:v>2.1714611797873928E-2</c:v>
                </c:pt>
                <c:pt idx="2375">
                  <c:v>2.1711957011083527E-2</c:v>
                </c:pt>
                <c:pt idx="2376">
                  <c:v>2.1709287728928217E-2</c:v>
                </c:pt>
                <c:pt idx="2377">
                  <c:v>2.1706603951168191E-2</c:v>
                </c:pt>
                <c:pt idx="2378">
                  <c:v>2.1703905678043256E-2</c:v>
                </c:pt>
                <c:pt idx="2379">
                  <c:v>2.1701192909473477E-2</c:v>
                </c:pt>
                <c:pt idx="2380">
                  <c:v>2.1698465645298981E-2</c:v>
                </c:pt>
                <c:pt idx="2381">
                  <c:v>2.1695723885839513E-2</c:v>
                </c:pt>
                <c:pt idx="2382">
                  <c:v>2.1692967630855264E-2</c:v>
                </c:pt>
                <c:pt idx="2383">
                  <c:v>2.1690196880426171E-2</c:v>
                </c:pt>
                <c:pt idx="2384">
                  <c:v>2.1687411634472298E-2</c:v>
                </c:pt>
                <c:pt idx="2385">
                  <c:v>2.1684611893153516E-2</c:v>
                </c:pt>
                <c:pt idx="2386">
                  <c:v>2.1681797656309953E-2</c:v>
                </c:pt>
                <c:pt idx="2387">
                  <c:v>2.1678968924021547E-2</c:v>
                </c:pt>
                <c:pt idx="2388">
                  <c:v>2.1676125696288295E-2</c:v>
                </c:pt>
                <c:pt idx="2389">
                  <c:v>2.16732679731102E-2</c:v>
                </c:pt>
                <c:pt idx="2390">
                  <c:v>2.1670395754407323E-2</c:v>
                </c:pt>
                <c:pt idx="2391">
                  <c:v>2.1667509040179667E-2</c:v>
                </c:pt>
                <c:pt idx="2392">
                  <c:v>2.1664607830667038E-2</c:v>
                </c:pt>
                <c:pt idx="2393">
                  <c:v>2.1661692125629628E-2</c:v>
                </c:pt>
                <c:pt idx="2394">
                  <c:v>2.165876192522731E-2</c:v>
                </c:pt>
                <c:pt idx="2395">
                  <c:v>2.1655817229220276E-2</c:v>
                </c:pt>
                <c:pt idx="2396">
                  <c:v>2.1652858037928269E-2</c:v>
                </c:pt>
                <c:pt idx="2397">
                  <c:v>2.1649884350951609E-2</c:v>
                </c:pt>
                <c:pt idx="2398">
                  <c:v>2.1646896168769914E-2</c:v>
                </c:pt>
                <c:pt idx="2399">
                  <c:v>2.1643893490823629E-2</c:v>
                </c:pt>
                <c:pt idx="2400">
                  <c:v>2.1640876317752245E-2</c:v>
                </c:pt>
                <c:pt idx="2401">
                  <c:v>2.1637844648996207E-2</c:v>
                </c:pt>
                <c:pt idx="2402">
                  <c:v>2.1634798484795326E-2</c:v>
                </c:pt>
                <c:pt idx="2403">
                  <c:v>2.1631737825229536E-2</c:v>
                </c:pt>
                <c:pt idx="2404">
                  <c:v>2.1628651466780724E-2</c:v>
                </c:pt>
                <c:pt idx="2405">
                  <c:v>2.1625130457856301E-2</c:v>
                </c:pt>
                <c:pt idx="2406">
                  <c:v>2.1622024241132465E-2</c:v>
                </c:pt>
                <c:pt idx="2407">
                  <c:v>2.1618903528883848E-2</c:v>
                </c:pt>
                <c:pt idx="2408">
                  <c:v>2.1615768321270323E-2</c:v>
                </c:pt>
                <c:pt idx="2409">
                  <c:v>2.161261861829189E-2</c:v>
                </c:pt>
                <c:pt idx="2410">
                  <c:v>2.160945441970874E-2</c:v>
                </c:pt>
                <c:pt idx="2411">
                  <c:v>2.1606275725760682E-2</c:v>
                </c:pt>
                <c:pt idx="2412">
                  <c:v>2.1603082536367779E-2</c:v>
                </c:pt>
                <c:pt idx="2413">
                  <c:v>2.1599874851530032E-2</c:v>
                </c:pt>
                <c:pt idx="2414">
                  <c:v>2.1596652671167504E-2</c:v>
                </c:pt>
                <c:pt idx="2415">
                  <c:v>2.1593415995360132E-2</c:v>
                </c:pt>
                <c:pt idx="2416">
                  <c:v>2.1590164824187852E-2</c:v>
                </c:pt>
                <c:pt idx="2417">
                  <c:v>2.1586899157570727E-2</c:v>
                </c:pt>
                <c:pt idx="2418">
                  <c:v>2.1582679143792305E-2</c:v>
                </c:pt>
                <c:pt idx="2419">
                  <c:v>2.1579380344718402E-2</c:v>
                </c:pt>
                <c:pt idx="2420">
                  <c:v>2.1576067050199654E-2</c:v>
                </c:pt>
                <c:pt idx="2421">
                  <c:v>2.1573078344303553E-2</c:v>
                </c:pt>
                <c:pt idx="2422">
                  <c:v>2.156939697474769E-2</c:v>
                </c:pt>
                <c:pt idx="2423">
                  <c:v>2.1566040193814473E-2</c:v>
                </c:pt>
                <c:pt idx="2424">
                  <c:v>2.1562668917516348E-2</c:v>
                </c:pt>
                <c:pt idx="2425">
                  <c:v>2.1559283145693442E-2</c:v>
                </c:pt>
                <c:pt idx="2426">
                  <c:v>2.1555882878505628E-2</c:v>
                </c:pt>
                <c:pt idx="2427">
                  <c:v>2.1552468115793033E-2</c:v>
                </c:pt>
                <c:pt idx="2428">
                  <c:v>2.1549038857635594E-2</c:v>
                </c:pt>
                <c:pt idx="2429">
                  <c:v>2.1545595104113247E-2</c:v>
                </c:pt>
                <c:pt idx="2430">
                  <c:v>2.1542136855146055E-2</c:v>
                </c:pt>
                <c:pt idx="2431">
                  <c:v>2.1538664110654082E-2</c:v>
                </c:pt>
                <c:pt idx="2432">
                  <c:v>2.1535176870877137E-2</c:v>
                </c:pt>
                <c:pt idx="2433">
                  <c:v>2.1531675135495476E-2</c:v>
                </c:pt>
                <c:pt idx="2434">
                  <c:v>2.1528158904748906E-2</c:v>
                </c:pt>
                <c:pt idx="2435">
                  <c:v>2.1524628178477556E-2</c:v>
                </c:pt>
                <c:pt idx="2436">
                  <c:v>2.1521082956841298E-2</c:v>
                </c:pt>
                <c:pt idx="2437">
                  <c:v>2.1517523239840131E-2</c:v>
                </c:pt>
                <c:pt idx="2438">
                  <c:v>2.1513949027314183E-2</c:v>
                </c:pt>
                <c:pt idx="2439">
                  <c:v>2.1510360319263455E-2</c:v>
                </c:pt>
                <c:pt idx="2440">
                  <c:v>2.1506757116007691E-2</c:v>
                </c:pt>
                <c:pt idx="2441">
                  <c:v>2.150313941714721E-2</c:v>
                </c:pt>
                <c:pt idx="2442">
                  <c:v>2.1499507222841885E-2</c:v>
                </c:pt>
                <c:pt idx="2443">
                  <c:v>2.1495860533091715E-2</c:v>
                </c:pt>
                <c:pt idx="2444">
                  <c:v>2.1492199347976637E-2</c:v>
                </c:pt>
                <c:pt idx="2445">
                  <c:v>2.1488523667416715E-2</c:v>
                </c:pt>
                <c:pt idx="2446">
                  <c:v>2.1484833491332012E-2</c:v>
                </c:pt>
                <c:pt idx="2447">
                  <c:v>2.1481128819962336E-2</c:v>
                </c:pt>
                <c:pt idx="2448">
                  <c:v>2.147740965306788E-2</c:v>
                </c:pt>
                <c:pt idx="2449">
                  <c:v>2.147367599072858E-2</c:v>
                </c:pt>
                <c:pt idx="2450">
                  <c:v>2.1469927832944435E-2</c:v>
                </c:pt>
                <c:pt idx="2451">
                  <c:v>2.1466165179795382E-2</c:v>
                </c:pt>
                <c:pt idx="2452">
                  <c:v>2.1462388031201485E-2</c:v>
                </c:pt>
                <c:pt idx="2453">
                  <c:v>2.1458596387002871E-2</c:v>
                </c:pt>
                <c:pt idx="2454">
                  <c:v>2.145479024759922E-2</c:v>
                </c:pt>
                <c:pt idx="2455">
                  <c:v>2.1448779884591929E-2</c:v>
                </c:pt>
                <c:pt idx="2456">
                  <c:v>2.1447313585349903E-2</c:v>
                </c:pt>
                <c:pt idx="2457">
                  <c:v>2.144328485655933E-2</c:v>
                </c:pt>
                <c:pt idx="2458">
                  <c:v>2.1439420735456238E-2</c:v>
                </c:pt>
                <c:pt idx="2459">
                  <c:v>2.143554211874843E-2</c:v>
                </c:pt>
                <c:pt idx="2460">
                  <c:v>2.1431649006755649E-2</c:v>
                </c:pt>
                <c:pt idx="2461">
                  <c:v>2.1427741399158151E-2</c:v>
                </c:pt>
                <c:pt idx="2462">
                  <c:v>2.1423819296275681E-2</c:v>
                </c:pt>
                <c:pt idx="2463">
                  <c:v>2.1419882697948367E-2</c:v>
                </c:pt>
                <c:pt idx="2464">
                  <c:v>2.1415931604096272E-2</c:v>
                </c:pt>
                <c:pt idx="2465">
                  <c:v>2.1411966014959205E-2</c:v>
                </c:pt>
                <c:pt idx="2466">
                  <c:v>2.1407985930377293E-2</c:v>
                </c:pt>
                <c:pt idx="2467">
                  <c:v>2.1403991350350537E-2</c:v>
                </c:pt>
                <c:pt idx="2468">
                  <c:v>2.1401377962588342E-2</c:v>
                </c:pt>
                <c:pt idx="2469">
                  <c:v>2.1395958703962492E-2</c:v>
                </c:pt>
                <c:pt idx="2470">
                  <c:v>2.1391920637601203E-2</c:v>
                </c:pt>
                <c:pt idx="2471">
                  <c:v>2.1387868075795069E-2</c:v>
                </c:pt>
                <c:pt idx="2472">
                  <c:v>2.1383801018624027E-2</c:v>
                </c:pt>
                <c:pt idx="2473">
                  <c:v>2.138074724776784E-2</c:v>
                </c:pt>
                <c:pt idx="2474">
                  <c:v>2.1375623418107281E-2</c:v>
                </c:pt>
                <c:pt idx="2475">
                  <c:v>2.137151287452177E-2</c:v>
                </c:pt>
                <c:pt idx="2476">
                  <c:v>2.1367387835811158E-2</c:v>
                </c:pt>
                <c:pt idx="2477">
                  <c:v>2.136324830149583E-2</c:v>
                </c:pt>
                <c:pt idx="2478">
                  <c:v>2.1359094271815593E-2</c:v>
                </c:pt>
                <c:pt idx="2479">
                  <c:v>2.1354925746610576E-2</c:v>
                </c:pt>
                <c:pt idx="2480">
                  <c:v>2.1350742726120586E-2</c:v>
                </c:pt>
                <c:pt idx="2481">
                  <c:v>2.1346545210185752E-2</c:v>
                </c:pt>
                <c:pt idx="2482">
                  <c:v>2.1342333198726138E-2</c:v>
                </c:pt>
                <c:pt idx="2483">
                  <c:v>2.1338106691901615E-2</c:v>
                </c:pt>
                <c:pt idx="2484">
                  <c:v>2.133386568979212E-2</c:v>
                </c:pt>
                <c:pt idx="2485">
                  <c:v>2.1329610192157844E-2</c:v>
                </c:pt>
                <c:pt idx="2486">
                  <c:v>2.1325340199078724E-2</c:v>
                </c:pt>
                <c:pt idx="2487">
                  <c:v>2.1321055710634695E-2</c:v>
                </c:pt>
                <c:pt idx="2488">
                  <c:v>2.1316756726745822E-2</c:v>
                </c:pt>
                <c:pt idx="2489">
                  <c:v>2.1312443247492041E-2</c:v>
                </c:pt>
                <c:pt idx="2490">
                  <c:v>2.1308115272713479E-2</c:v>
                </c:pt>
                <c:pt idx="2491">
                  <c:v>2.1303772802649945E-2</c:v>
                </c:pt>
                <c:pt idx="2492">
                  <c:v>2.1299417399731624E-2</c:v>
                </c:pt>
                <c:pt idx="2493">
                  <c:v>2.1295066663720164E-2</c:v>
                </c:pt>
                <c:pt idx="2494">
                  <c:v>2.1290725611482486E-2</c:v>
                </c:pt>
                <c:pt idx="2495">
                  <c:v>2.1286394243018592E-2</c:v>
                </c:pt>
                <c:pt idx="2496">
                  <c:v>2.128207255832848E-2</c:v>
                </c:pt>
                <c:pt idx="2497">
                  <c:v>2.1277760557332215E-2</c:v>
                </c:pt>
                <c:pt idx="2498">
                  <c:v>2.1273458240029797E-2</c:v>
                </c:pt>
                <c:pt idx="2499">
                  <c:v>2.1269165606581097E-2</c:v>
                </c:pt>
                <c:pt idx="2500">
                  <c:v>2.1264882656746309E-2</c:v>
                </c:pt>
                <c:pt idx="2501">
                  <c:v>2.1260609390685303E-2</c:v>
                </c:pt>
                <c:pt idx="2502">
                  <c:v>2.1256345808398081E-2</c:v>
                </c:pt>
                <c:pt idx="2503">
                  <c:v>2.1252091909804705E-2</c:v>
                </c:pt>
                <c:pt idx="2504">
                  <c:v>2.1247847694905175E-2</c:v>
                </c:pt>
                <c:pt idx="2505">
                  <c:v>2.1243613163779429E-2</c:v>
                </c:pt>
                <c:pt idx="2506">
                  <c:v>2.1239388316507402E-2</c:v>
                </c:pt>
                <c:pt idx="2507">
                  <c:v>2.1236150086922922E-2</c:v>
                </c:pt>
                <c:pt idx="2508">
                  <c:v>2.1231945938333663E-2</c:v>
                </c:pt>
                <c:pt idx="2509">
                  <c:v>2.1226771876774464E-2</c:v>
                </c:pt>
                <c:pt idx="2510">
                  <c:v>2.122258576435776E-2</c:v>
                </c:pt>
                <c:pt idx="2511">
                  <c:v>2.1218409335634902E-2</c:v>
                </c:pt>
                <c:pt idx="2512">
                  <c:v>2.1214242590685828E-2</c:v>
                </c:pt>
                <c:pt idx="2513">
                  <c:v>2.1210085529510536E-2</c:v>
                </c:pt>
                <c:pt idx="2514">
                  <c:v>2.1205938151949155E-2</c:v>
                </c:pt>
                <c:pt idx="2515">
                  <c:v>2.1201800458161557E-2</c:v>
                </c:pt>
                <c:pt idx="2516">
                  <c:v>2.1197672448147742E-2</c:v>
                </c:pt>
                <c:pt idx="2517">
                  <c:v>2.1193554121907709E-2</c:v>
                </c:pt>
                <c:pt idx="2518">
                  <c:v>2.1189445479201652E-2</c:v>
                </c:pt>
                <c:pt idx="2519">
                  <c:v>2.1185346520349313E-2</c:v>
                </c:pt>
                <c:pt idx="2520">
                  <c:v>2.1181257245350693E-2</c:v>
                </c:pt>
                <c:pt idx="2521">
                  <c:v>2.1177177653965984E-2</c:v>
                </c:pt>
                <c:pt idx="2522">
                  <c:v>2.1173107746275122E-2</c:v>
                </c:pt>
                <c:pt idx="2523">
                  <c:v>2.117037891182072E-2</c:v>
                </c:pt>
                <c:pt idx="2524">
                  <c:v>2.1164996982214745E-2</c:v>
                </c:pt>
                <c:pt idx="2525">
                  <c:v>2.1160956125765296E-2</c:v>
                </c:pt>
                <c:pt idx="2526">
                  <c:v>2.1156924952929757E-2</c:v>
                </c:pt>
                <c:pt idx="2527">
                  <c:v>2.1152903463947936E-2</c:v>
                </c:pt>
                <c:pt idx="2528">
                  <c:v>2.1148891658739899E-2</c:v>
                </c:pt>
                <c:pt idx="2529">
                  <c:v>2.1144889537065836E-2</c:v>
                </c:pt>
                <c:pt idx="2530">
                  <c:v>2.1140897099245493E-2</c:v>
                </c:pt>
                <c:pt idx="2531">
                  <c:v>2.1136914345198932E-2</c:v>
                </c:pt>
                <c:pt idx="2532">
                  <c:v>2.1132941274846218E-2</c:v>
                </c:pt>
                <c:pt idx="2533">
                  <c:v>2.112897788818735E-2</c:v>
                </c:pt>
                <c:pt idx="2534">
                  <c:v>2.1125024185302266E-2</c:v>
                </c:pt>
                <c:pt idx="2535">
                  <c:v>2.1121080166031092E-2</c:v>
                </c:pt>
                <c:pt idx="2536">
                  <c:v>2.1117145830613637E-2</c:v>
                </c:pt>
                <c:pt idx="2537">
                  <c:v>2.1113221178890029E-2</c:v>
                </c:pt>
                <c:pt idx="2538">
                  <c:v>2.1109306210860268E-2</c:v>
                </c:pt>
                <c:pt idx="2539">
                  <c:v>2.1105400926524354E-2</c:v>
                </c:pt>
                <c:pt idx="2540">
                  <c:v>2.1101505325962222E-2</c:v>
                </c:pt>
                <c:pt idx="2541">
                  <c:v>2.1097619409173873E-2</c:v>
                </c:pt>
                <c:pt idx="2542">
                  <c:v>2.1093743176079371E-2</c:v>
                </c:pt>
                <c:pt idx="2543">
                  <c:v>2.1089876626678716E-2</c:v>
                </c:pt>
                <c:pt idx="2544">
                  <c:v>2.1086019760971908E-2</c:v>
                </c:pt>
                <c:pt idx="2545">
                  <c:v>2.1082172579038883E-2</c:v>
                </c:pt>
                <c:pt idx="2546">
                  <c:v>2.1078335080799704E-2</c:v>
                </c:pt>
                <c:pt idx="2547">
                  <c:v>2.1074507266254372E-2</c:v>
                </c:pt>
                <c:pt idx="2548">
                  <c:v>2.1070689135402887E-2</c:v>
                </c:pt>
                <c:pt idx="2549">
                  <c:v>2.1066880688405121E-2</c:v>
                </c:pt>
                <c:pt idx="2550">
                  <c:v>2.1063081925101201E-2</c:v>
                </c:pt>
                <c:pt idx="2551">
                  <c:v>2.1059292845411193E-2</c:v>
                </c:pt>
                <c:pt idx="2552">
                  <c:v>2.1055513449574903E-2</c:v>
                </c:pt>
                <c:pt idx="2553">
                  <c:v>2.1051743737352524E-2</c:v>
                </c:pt>
                <c:pt idx="2554">
                  <c:v>2.1047983708903928E-2</c:v>
                </c:pt>
                <c:pt idx="2555">
                  <c:v>2.1044233364149179E-2</c:v>
                </c:pt>
                <c:pt idx="2556">
                  <c:v>2.1040492703168212E-2</c:v>
                </c:pt>
                <c:pt idx="2557">
                  <c:v>2.1036761725881092E-2</c:v>
                </c:pt>
                <c:pt idx="2558">
                  <c:v>2.1033040432287819E-2</c:v>
                </c:pt>
                <c:pt idx="2559">
                  <c:v>2.1029328822388393E-2</c:v>
                </c:pt>
                <c:pt idx="2560">
                  <c:v>2.102562689626275E-2</c:v>
                </c:pt>
                <c:pt idx="2561">
                  <c:v>2.1021934653830954E-2</c:v>
                </c:pt>
                <c:pt idx="2562">
                  <c:v>2.1018252095013068E-2</c:v>
                </c:pt>
                <c:pt idx="2563">
                  <c:v>2.1014579220048901E-2</c:v>
                </c:pt>
                <c:pt idx="2564">
                  <c:v>2.1010916028858517E-2</c:v>
                </c:pt>
                <c:pt idx="2565">
                  <c:v>2.1007262521202108E-2</c:v>
                </c:pt>
                <c:pt idx="2566">
                  <c:v>2.1003618697399418E-2</c:v>
                </c:pt>
                <c:pt idx="2567">
                  <c:v>2.0999984557290574E-2</c:v>
                </c:pt>
                <c:pt idx="2568">
                  <c:v>2.0996360100875577E-2</c:v>
                </c:pt>
                <c:pt idx="2569">
                  <c:v>2.0992745328154427E-2</c:v>
                </c:pt>
                <c:pt idx="2570">
                  <c:v>2.098914023920706E-2</c:v>
                </c:pt>
                <c:pt idx="2571">
                  <c:v>2.098554483395354E-2</c:v>
                </c:pt>
                <c:pt idx="2572">
                  <c:v>2.0981959112393866E-2</c:v>
                </c:pt>
                <c:pt idx="2573">
                  <c:v>2.0979808189082405E-2</c:v>
                </c:pt>
                <c:pt idx="2574">
                  <c:v>2.097481672035606E-2</c:v>
                </c:pt>
                <c:pt idx="2575">
                  <c:v>2.0971260049957863E-2</c:v>
                </c:pt>
                <c:pt idx="2576">
                  <c:v>2.0967713063253512E-2</c:v>
                </c:pt>
                <c:pt idx="2577">
                  <c:v>2.0964175760243009E-2</c:v>
                </c:pt>
                <c:pt idx="2578">
                  <c:v>2.0960648141006288E-2</c:v>
                </c:pt>
                <c:pt idx="2579">
                  <c:v>2.0957130205463415E-2</c:v>
                </c:pt>
                <c:pt idx="2580">
                  <c:v>2.0953621953534451E-2</c:v>
                </c:pt>
                <c:pt idx="2581">
                  <c:v>2.0950123385459207E-2</c:v>
                </c:pt>
                <c:pt idx="2582">
                  <c:v>2.094663450107781E-2</c:v>
                </c:pt>
                <c:pt idx="2583">
                  <c:v>2.0943155300230387E-2</c:v>
                </c:pt>
                <c:pt idx="2584">
                  <c:v>2.0939685783236683E-2</c:v>
                </c:pt>
                <c:pt idx="2585">
                  <c:v>2.0936225950016762E-2</c:v>
                </c:pt>
                <c:pt idx="2586">
                  <c:v>2.0932775800490688E-2</c:v>
                </c:pt>
                <c:pt idx="2587">
                  <c:v>2.0929335334498589E-2</c:v>
                </c:pt>
                <c:pt idx="2588">
                  <c:v>2.0925904552360208E-2</c:v>
                </c:pt>
                <c:pt idx="2589">
                  <c:v>2.0922483453915675E-2</c:v>
                </c:pt>
                <c:pt idx="2590">
                  <c:v>2.0919072039244924E-2</c:v>
                </c:pt>
                <c:pt idx="2591">
                  <c:v>2.0915670308188083E-2</c:v>
                </c:pt>
                <c:pt idx="2592">
                  <c:v>2.0912278260905026E-2</c:v>
                </c:pt>
                <c:pt idx="2593">
                  <c:v>2.090889589723588E-2</c:v>
                </c:pt>
                <c:pt idx="2594">
                  <c:v>2.090552321726058E-2</c:v>
                </c:pt>
                <c:pt idx="2595">
                  <c:v>2.0902160220979127E-2</c:v>
                </c:pt>
                <c:pt idx="2596">
                  <c:v>2.0898806908631329E-2</c:v>
                </c:pt>
                <c:pt idx="2597">
                  <c:v>2.0895463279817506E-2</c:v>
                </c:pt>
                <c:pt idx="2598">
                  <c:v>2.0892129334697529E-2</c:v>
                </c:pt>
                <c:pt idx="2599">
                  <c:v>2.0888805073351335E-2</c:v>
                </c:pt>
                <c:pt idx="2600">
                  <c:v>2.0885490495698988E-2</c:v>
                </c:pt>
                <c:pt idx="2601">
                  <c:v>2.0882185601820424E-2</c:v>
                </c:pt>
                <c:pt idx="2602">
                  <c:v>2.0878890391475835E-2</c:v>
                </c:pt>
                <c:pt idx="2603">
                  <c:v>2.0875604864984965E-2</c:v>
                </c:pt>
                <c:pt idx="2604">
                  <c:v>2.0872329022187941E-2</c:v>
                </c:pt>
                <c:pt idx="2605">
                  <c:v>2.0869062862924892E-2</c:v>
                </c:pt>
                <c:pt idx="2606">
                  <c:v>2.0865806387515562E-2</c:v>
                </c:pt>
                <c:pt idx="2607">
                  <c:v>2.0862559595880015E-2</c:v>
                </c:pt>
                <c:pt idx="2608">
                  <c:v>2.0859322487778442E-2</c:v>
                </c:pt>
                <c:pt idx="2609">
                  <c:v>2.0856095063450653E-2</c:v>
                </c:pt>
                <c:pt idx="2610">
                  <c:v>2.0852877322896646E-2</c:v>
                </c:pt>
                <c:pt idx="2611">
                  <c:v>2.084966926595655E-2</c:v>
                </c:pt>
                <c:pt idx="2612">
                  <c:v>2.0847141689448456E-2</c:v>
                </c:pt>
                <c:pt idx="2613">
                  <c:v>2.0843579696094849E-2</c:v>
                </c:pt>
                <c:pt idx="2614">
                  <c:v>2.0840403089303905E-2</c:v>
                </c:pt>
                <c:pt idx="2615">
                  <c:v>2.0837236167405848E-2</c:v>
                </c:pt>
                <c:pt idx="2616">
                  <c:v>2.0834078930374034E-2</c:v>
                </c:pt>
                <c:pt idx="2617">
                  <c:v>2.0830931378208462E-2</c:v>
                </c:pt>
                <c:pt idx="2618">
                  <c:v>2.0827793510962422E-2</c:v>
                </c:pt>
                <c:pt idx="2619">
                  <c:v>2.082466532855598E-2</c:v>
                </c:pt>
                <c:pt idx="2620">
                  <c:v>2.082154683101578E-2</c:v>
                </c:pt>
                <c:pt idx="2621">
                  <c:v>2.0818438018368468E-2</c:v>
                </c:pt>
                <c:pt idx="2622">
                  <c:v>2.0815338890614044E-2</c:v>
                </c:pt>
                <c:pt idx="2623">
                  <c:v>2.0812249447699216E-2</c:v>
                </c:pt>
                <c:pt idx="2624">
                  <c:v>2.0809169689650631E-2</c:v>
                </c:pt>
                <c:pt idx="2625">
                  <c:v>2.0806099616521578E-2</c:v>
                </c:pt>
                <c:pt idx="2626">
                  <c:v>2.0803039228232123E-2</c:v>
                </c:pt>
                <c:pt idx="2627">
                  <c:v>2.079998852480891E-2</c:v>
                </c:pt>
                <c:pt idx="2628">
                  <c:v>2.0794445952354579E-2</c:v>
                </c:pt>
                <c:pt idx="2629">
                  <c:v>2.0793916172614502E-2</c:v>
                </c:pt>
                <c:pt idx="2630">
                  <c:v>2.0790894523790016E-2</c:v>
                </c:pt>
                <c:pt idx="2631">
                  <c:v>2.0787882559885063E-2</c:v>
                </c:pt>
                <c:pt idx="2632">
                  <c:v>2.0784880280793061E-2</c:v>
                </c:pt>
                <c:pt idx="2633">
                  <c:v>2.0781887686620593E-2</c:v>
                </c:pt>
                <c:pt idx="2634">
                  <c:v>2.0778904777261076E-2</c:v>
                </c:pt>
                <c:pt idx="2635">
                  <c:v>2.0775931552767801E-2</c:v>
                </c:pt>
                <c:pt idx="2636">
                  <c:v>2.0772968013167414E-2</c:v>
                </c:pt>
                <c:pt idx="2637">
                  <c:v>2.077001415843327E-2</c:v>
                </c:pt>
                <c:pt idx="2638">
                  <c:v>2.0767069988538722E-2</c:v>
                </c:pt>
                <c:pt idx="2639">
                  <c:v>2.0764135503483772E-2</c:v>
                </c:pt>
                <c:pt idx="2640">
                  <c:v>2.0761210703348354E-2</c:v>
                </c:pt>
                <c:pt idx="2641">
                  <c:v>2.0758295588052533E-2</c:v>
                </c:pt>
                <c:pt idx="2642">
                  <c:v>2.075539015759631E-2</c:v>
                </c:pt>
                <c:pt idx="2643">
                  <c:v>2.0752494412059619E-2</c:v>
                </c:pt>
                <c:pt idx="2644">
                  <c:v>2.074960835133588E-2</c:v>
                </c:pt>
                <c:pt idx="2645">
                  <c:v>2.0746731975451738E-2</c:v>
                </c:pt>
                <c:pt idx="2646">
                  <c:v>2.0743865284433838E-2</c:v>
                </c:pt>
                <c:pt idx="2647">
                  <c:v>2.074100827828218E-2</c:v>
                </c:pt>
                <c:pt idx="2648">
                  <c:v>2.0738160956996765E-2</c:v>
                </c:pt>
                <c:pt idx="2649">
                  <c:v>2.0735323320550947E-2</c:v>
                </c:pt>
                <c:pt idx="2650">
                  <c:v>2.0732495368944726E-2</c:v>
                </c:pt>
                <c:pt idx="2651">
                  <c:v>2.0729677102258037E-2</c:v>
                </c:pt>
                <c:pt idx="2652">
                  <c:v>2.0726868520357655E-2</c:v>
                </c:pt>
                <c:pt idx="2653">
                  <c:v>2.0724069623350161E-2</c:v>
                </c:pt>
                <c:pt idx="2654">
                  <c:v>2.0721280411155618E-2</c:v>
                </c:pt>
                <c:pt idx="2655">
                  <c:v>2.0718500883827318E-2</c:v>
                </c:pt>
                <c:pt idx="2656">
                  <c:v>2.0715731041338614E-2</c:v>
                </c:pt>
                <c:pt idx="2657">
                  <c:v>2.0712970883716153E-2</c:v>
                </c:pt>
                <c:pt idx="2658">
                  <c:v>2.0710220410959934E-2</c:v>
                </c:pt>
                <c:pt idx="2659">
                  <c:v>2.0707479623016667E-2</c:v>
                </c:pt>
                <c:pt idx="2660">
                  <c:v>2.0704748519939642E-2</c:v>
                </c:pt>
                <c:pt idx="2661">
                  <c:v>2.0702027101702214E-2</c:v>
                </c:pt>
                <c:pt idx="2662">
                  <c:v>2.0699315368331028E-2</c:v>
                </c:pt>
                <c:pt idx="2663">
                  <c:v>2.0696613319746149E-2</c:v>
                </c:pt>
                <c:pt idx="2664">
                  <c:v>2.069236702876065E-2</c:v>
                </c:pt>
                <c:pt idx="2665">
                  <c:v>2.0689284469712632E-2</c:v>
                </c:pt>
                <c:pt idx="2666">
                  <c:v>2.0686614549667581E-2</c:v>
                </c:pt>
                <c:pt idx="2667">
                  <c:v>2.0683954313396313E-2</c:v>
                </c:pt>
                <c:pt idx="2668">
                  <c:v>2.068130376065902E-2</c:v>
                </c:pt>
                <c:pt idx="2669">
                  <c:v>2.0678662891615573E-2</c:v>
                </c:pt>
                <c:pt idx="2670">
                  <c:v>2.067603170634591E-2</c:v>
                </c:pt>
                <c:pt idx="2671">
                  <c:v>2.0673410204850029E-2</c:v>
                </c:pt>
                <c:pt idx="2672">
                  <c:v>2.0670798386888123E-2</c:v>
                </c:pt>
                <c:pt idx="2673">
                  <c:v>2.0668196252620064E-2</c:v>
                </c:pt>
                <c:pt idx="2674">
                  <c:v>2.0665603802205723E-2</c:v>
                </c:pt>
                <c:pt idx="2675">
                  <c:v>2.0663021035325357E-2</c:v>
                </c:pt>
                <c:pt idx="2676">
                  <c:v>2.0660447952138838E-2</c:v>
                </c:pt>
                <c:pt idx="2677">
                  <c:v>2.0657884552726102E-2</c:v>
                </c:pt>
                <c:pt idx="2678">
                  <c:v>2.0655330837007213E-2</c:v>
                </c:pt>
                <c:pt idx="2679">
                  <c:v>2.0652061717152392E-2</c:v>
                </c:pt>
                <c:pt idx="2680">
                  <c:v>2.0650252456491103E-2</c:v>
                </c:pt>
                <c:pt idx="2681">
                  <c:v>2.0647727791853754E-2</c:v>
                </c:pt>
                <c:pt idx="2682">
                  <c:v>2.064521281075038E-2</c:v>
                </c:pt>
                <c:pt idx="2683">
                  <c:v>2.0642707513420788E-2</c:v>
                </c:pt>
                <c:pt idx="2684">
                  <c:v>2.0640211899785044E-2</c:v>
                </c:pt>
                <c:pt idx="2685">
                  <c:v>2.063772596976321E-2</c:v>
                </c:pt>
                <c:pt idx="2686">
                  <c:v>2.0635249723515159E-2</c:v>
                </c:pt>
                <c:pt idx="2687">
                  <c:v>2.0632783160960955E-2</c:v>
                </c:pt>
                <c:pt idx="2688">
                  <c:v>2.0630326282100597E-2</c:v>
                </c:pt>
                <c:pt idx="2689">
                  <c:v>2.0627879086854151E-2</c:v>
                </c:pt>
                <c:pt idx="2690">
                  <c:v>2.0625441575221615E-2</c:v>
                </c:pt>
                <c:pt idx="2691">
                  <c:v>2.0623013747362862E-2</c:v>
                </c:pt>
                <c:pt idx="2692">
                  <c:v>2.0620595603357827E-2</c:v>
                </c:pt>
                <c:pt idx="2693">
                  <c:v>2.0618187142886768E-2</c:v>
                </c:pt>
                <c:pt idx="2694">
                  <c:v>2.0615788365949683E-2</c:v>
                </c:pt>
                <c:pt idx="2695">
                  <c:v>2.0613399272946253E-2</c:v>
                </c:pt>
                <c:pt idx="2696">
                  <c:v>2.0611019863556734E-2</c:v>
                </c:pt>
                <c:pt idx="2697">
                  <c:v>2.0608650137781126E-2</c:v>
                </c:pt>
                <c:pt idx="2698">
                  <c:v>2.0606290095699364E-2</c:v>
                </c:pt>
                <c:pt idx="2699">
                  <c:v>2.0603939737391386E-2</c:v>
                </c:pt>
                <c:pt idx="2700">
                  <c:v>2.0601599062697318E-2</c:v>
                </c:pt>
                <c:pt idx="2701">
                  <c:v>2.0599268071697097E-2</c:v>
                </c:pt>
                <c:pt idx="2702">
                  <c:v>2.0596946764310786E-2</c:v>
                </c:pt>
                <c:pt idx="2703">
                  <c:v>2.0594635140698259E-2</c:v>
                </c:pt>
                <c:pt idx="2704">
                  <c:v>2.0592333200779578E-2</c:v>
                </c:pt>
                <c:pt idx="2705">
                  <c:v>2.0590040944474808E-2</c:v>
                </c:pt>
                <c:pt idx="2706">
                  <c:v>2.0587758371943821E-2</c:v>
                </c:pt>
                <c:pt idx="2707">
                  <c:v>2.0585485483026744E-2</c:v>
                </c:pt>
                <c:pt idx="2708">
                  <c:v>2.0583222277723578E-2</c:v>
                </c:pt>
                <c:pt idx="2709">
                  <c:v>2.0580968756194196E-2</c:v>
                </c:pt>
                <c:pt idx="2710">
                  <c:v>2.0578724918438596E-2</c:v>
                </c:pt>
                <c:pt idx="2711">
                  <c:v>2.0576490764296906E-2</c:v>
                </c:pt>
                <c:pt idx="2712">
                  <c:v>2.0574266293689192E-2</c:v>
                </c:pt>
                <c:pt idx="2713">
                  <c:v>2.0572051506935196E-2</c:v>
                </c:pt>
                <c:pt idx="2714">
                  <c:v>2.0569846403715175E-2</c:v>
                </c:pt>
                <c:pt idx="2715">
                  <c:v>2.0567650984268937E-2</c:v>
                </c:pt>
                <c:pt idx="2716">
                  <c:v>2.0565585548886212E-2</c:v>
                </c:pt>
                <c:pt idx="2717">
                  <c:v>2.0562979122331626E-2</c:v>
                </c:pt>
                <c:pt idx="2718">
                  <c:v>2.0560814137340344E-2</c:v>
                </c:pt>
                <c:pt idx="2719">
                  <c:v>2.0558658836042909E-2</c:v>
                </c:pt>
                <c:pt idx="2720">
                  <c:v>2.0556513218359385E-2</c:v>
                </c:pt>
                <c:pt idx="2721">
                  <c:v>2.0554377284369707E-2</c:v>
                </c:pt>
                <c:pt idx="2722">
                  <c:v>2.0552251034073876E-2</c:v>
                </c:pt>
                <c:pt idx="2723">
                  <c:v>2.0550134467471892E-2</c:v>
                </c:pt>
                <c:pt idx="2724">
                  <c:v>2.0548027584483819E-2</c:v>
                </c:pt>
                <c:pt idx="2725">
                  <c:v>2.0545930385189592E-2</c:v>
                </c:pt>
                <c:pt idx="2726">
                  <c:v>2.0543842869669149E-2</c:v>
                </c:pt>
                <c:pt idx="2727">
                  <c:v>2.054176503768268E-2</c:v>
                </c:pt>
                <c:pt idx="2728">
                  <c:v>2.0539696889469994E-2</c:v>
                </c:pt>
                <c:pt idx="2729">
                  <c:v>2.0537052070865869E-2</c:v>
                </c:pt>
                <c:pt idx="2730">
                  <c:v>2.0535006056707772E-2</c:v>
                </c:pt>
                <c:pt idx="2731">
                  <c:v>2.0532969726243522E-2</c:v>
                </c:pt>
                <c:pt idx="2732">
                  <c:v>2.0530943079473118E-2</c:v>
                </c:pt>
                <c:pt idx="2733">
                  <c:v>2.0529522300325453E-2</c:v>
                </c:pt>
                <c:pt idx="2734">
                  <c:v>2.0526918837013852E-2</c:v>
                </c:pt>
                <c:pt idx="2735">
                  <c:v>2.0524921241245053E-2</c:v>
                </c:pt>
                <c:pt idx="2736">
                  <c:v>2.0522933329329973E-2</c:v>
                </c:pt>
                <c:pt idx="2737">
                  <c:v>2.0520955100948868E-2</c:v>
                </c:pt>
                <c:pt idx="2738">
                  <c:v>2.0518986556181673E-2</c:v>
                </c:pt>
                <c:pt idx="2739">
                  <c:v>2.0517027695188261E-2</c:v>
                </c:pt>
                <c:pt idx="2740">
                  <c:v>2.0515078517888696E-2</c:v>
                </c:pt>
                <c:pt idx="2741">
                  <c:v>2.0513139024203042E-2</c:v>
                </c:pt>
                <c:pt idx="2742">
                  <c:v>2.0511209214211235E-2</c:v>
                </c:pt>
                <c:pt idx="2743">
                  <c:v>2.0509289087913274E-2</c:v>
                </c:pt>
                <c:pt idx="2744">
                  <c:v>2.050737864530916E-2</c:v>
                </c:pt>
                <c:pt idx="2745">
                  <c:v>2.0505477886318957E-2</c:v>
                </c:pt>
                <c:pt idx="2746">
                  <c:v>2.0503586811022601E-2</c:v>
                </c:pt>
                <c:pt idx="2747">
                  <c:v>2.0501705419500027E-2</c:v>
                </c:pt>
                <c:pt idx="2748">
                  <c:v>2.0499833711591364E-2</c:v>
                </c:pt>
                <c:pt idx="2749">
                  <c:v>2.0497971687216676E-2</c:v>
                </c:pt>
                <c:pt idx="2750">
                  <c:v>2.0496119346775643E-2</c:v>
                </c:pt>
                <c:pt idx="2751">
                  <c:v>2.0494276689868585E-2</c:v>
                </c:pt>
                <c:pt idx="2752">
                  <c:v>2.0492443716495501E-2</c:v>
                </c:pt>
                <c:pt idx="2753">
                  <c:v>2.0490620426976136E-2</c:v>
                </c:pt>
                <c:pt idx="2754">
                  <c:v>2.0488806821150618E-2</c:v>
                </c:pt>
                <c:pt idx="2755">
                  <c:v>2.0487002898939011E-2</c:v>
                </c:pt>
                <c:pt idx="2756">
                  <c:v>2.048520866042125E-2</c:v>
                </c:pt>
                <c:pt idx="2757">
                  <c:v>2.04834241055174E-2</c:v>
                </c:pt>
                <c:pt idx="2758">
                  <c:v>2.0481649234387334E-2</c:v>
                </c:pt>
                <c:pt idx="2759">
                  <c:v>2.0479884046871177E-2</c:v>
                </c:pt>
                <c:pt idx="2760">
                  <c:v>2.0478128542968932E-2</c:v>
                </c:pt>
                <c:pt idx="2761">
                  <c:v>2.0476382722840469E-2</c:v>
                </c:pt>
                <c:pt idx="2762">
                  <c:v>2.0474646586405854E-2</c:v>
                </c:pt>
                <c:pt idx="2763">
                  <c:v>2.0472920133505212E-2</c:v>
                </c:pt>
                <c:pt idx="2764">
                  <c:v>2.047120336445829E-2</c:v>
                </c:pt>
                <c:pt idx="2765">
                  <c:v>2.0469496278945343E-2</c:v>
                </c:pt>
                <c:pt idx="2766">
                  <c:v>2.0467798877206178E-2</c:v>
                </c:pt>
                <c:pt idx="2767">
                  <c:v>2.0465151096491496E-2</c:v>
                </c:pt>
                <c:pt idx="2768">
                  <c:v>2.0465118812369454E-2</c:v>
                </c:pt>
                <c:pt idx="2769">
                  <c:v>2.0462764773832021E-2</c:v>
                </c:pt>
                <c:pt idx="2770">
                  <c:v>2.0461106106628435E-2</c:v>
                </c:pt>
                <c:pt idx="2771">
                  <c:v>2.0459457123278568E-2</c:v>
                </c:pt>
                <c:pt idx="2772">
                  <c:v>2.0457817823542612E-2</c:v>
                </c:pt>
                <c:pt idx="2773">
                  <c:v>2.0456188207500503E-2</c:v>
                </c:pt>
                <c:pt idx="2774">
                  <c:v>2.0454568274992369E-2</c:v>
                </c:pt>
                <c:pt idx="2775">
                  <c:v>2.0452958026337953E-2</c:v>
                </c:pt>
                <c:pt idx="2776">
                  <c:v>2.0451357461217512E-2</c:v>
                </c:pt>
                <c:pt idx="2777">
                  <c:v>2.0449766579790918E-2</c:v>
                </c:pt>
                <c:pt idx="2778">
                  <c:v>2.0448185381978234E-2</c:v>
                </c:pt>
                <c:pt idx="2779">
                  <c:v>2.044661386801927E-2</c:v>
                </c:pt>
                <c:pt idx="2780">
                  <c:v>2.044505203759428E-2</c:v>
                </c:pt>
                <c:pt idx="2781">
                  <c:v>2.0443499890863137E-2</c:v>
                </c:pt>
                <c:pt idx="2782">
                  <c:v>2.0441957427825841E-2</c:v>
                </c:pt>
                <c:pt idx="2783">
                  <c:v>2.0442309892523269E-2</c:v>
                </c:pt>
                <c:pt idx="2784">
                  <c:v>2.0438901552752853E-2</c:v>
                </c:pt>
                <c:pt idx="2785">
                  <c:v>2.0437388140717161E-2</c:v>
                </c:pt>
                <c:pt idx="2786">
                  <c:v>2.0435884412375316E-2</c:v>
                </c:pt>
                <c:pt idx="2787">
                  <c:v>2.0434390367727318E-2</c:v>
                </c:pt>
                <c:pt idx="2788">
                  <c:v>2.0432906006613294E-2</c:v>
                </c:pt>
                <c:pt idx="2789">
                  <c:v>2.0431431329193117E-2</c:v>
                </c:pt>
                <c:pt idx="2790">
                  <c:v>2.0429966335626659E-2</c:v>
                </c:pt>
                <c:pt idx="2791">
                  <c:v>2.0428511025594176E-2</c:v>
                </c:pt>
                <c:pt idx="2792">
                  <c:v>2.0427065399175603E-2</c:v>
                </c:pt>
                <c:pt idx="2793">
                  <c:v>2.042562945661075E-2</c:v>
                </c:pt>
                <c:pt idx="2794">
                  <c:v>2.0424203197579871E-2</c:v>
                </c:pt>
                <c:pt idx="2795">
                  <c:v>2.0422786622242839E-2</c:v>
                </c:pt>
                <c:pt idx="2796">
                  <c:v>2.0421379730519718E-2</c:v>
                </c:pt>
                <c:pt idx="2797">
                  <c:v>2.0419982522570379E-2</c:v>
                </c:pt>
                <c:pt idx="2798">
                  <c:v>2.0418594998234951E-2</c:v>
                </c:pt>
                <c:pt idx="2799">
                  <c:v>2.0417217157513434E-2</c:v>
                </c:pt>
                <c:pt idx="2800">
                  <c:v>2.0415849000485764E-2</c:v>
                </c:pt>
                <c:pt idx="2801">
                  <c:v>2.0414490527231877E-2</c:v>
                </c:pt>
                <c:pt idx="2802">
                  <c:v>2.04131417375919E-2</c:v>
                </c:pt>
                <c:pt idx="2803">
                  <c:v>2.0411802631485898E-2</c:v>
                </c:pt>
                <c:pt idx="2804">
                  <c:v>2.0410473209233615E-2</c:v>
                </c:pt>
                <c:pt idx="2805">
                  <c:v>2.0409153470595243E-2</c:v>
                </c:pt>
                <c:pt idx="2806">
                  <c:v>2.0407843415650717E-2</c:v>
                </c:pt>
                <c:pt idx="2807">
                  <c:v>2.0406543044240166E-2</c:v>
                </c:pt>
                <c:pt idx="2808">
                  <c:v>2.0405252356603398E-2</c:v>
                </c:pt>
                <c:pt idx="2809">
                  <c:v>2.0403971352660477E-2</c:v>
                </c:pt>
                <c:pt idx="2810">
                  <c:v>2.0402700032331467E-2</c:v>
                </c:pt>
                <c:pt idx="2811">
                  <c:v>2.0401438395696303E-2</c:v>
                </c:pt>
                <c:pt idx="2812">
                  <c:v>2.0400186442754986E-2</c:v>
                </c:pt>
                <c:pt idx="2813">
                  <c:v>2.039894417342758E-2</c:v>
                </c:pt>
                <c:pt idx="2814">
                  <c:v>2.0397711587714085E-2</c:v>
                </c:pt>
                <c:pt idx="2815">
                  <c:v>2.0396488685774372E-2</c:v>
                </c:pt>
                <c:pt idx="2816">
                  <c:v>2.039527546744857E-2</c:v>
                </c:pt>
                <c:pt idx="2817">
                  <c:v>2.0394071932736679E-2</c:v>
                </c:pt>
                <c:pt idx="2818">
                  <c:v>2.0392878081798571E-2</c:v>
                </c:pt>
                <c:pt idx="2819">
                  <c:v>2.039169391455431E-2</c:v>
                </c:pt>
                <c:pt idx="2820">
                  <c:v>2.0390519430923959E-2</c:v>
                </c:pt>
                <c:pt idx="2821">
                  <c:v>2.0389354630827583E-2</c:v>
                </c:pt>
                <c:pt idx="2822">
                  <c:v>2.0388199514584926E-2</c:v>
                </c:pt>
                <c:pt idx="2823">
                  <c:v>2.0387054081876244E-2</c:v>
                </c:pt>
                <c:pt idx="2824">
                  <c:v>2.0385918332941344E-2</c:v>
                </c:pt>
                <c:pt idx="2825">
                  <c:v>2.0384792267620355E-2</c:v>
                </c:pt>
                <c:pt idx="2826">
                  <c:v>2.0383675885993213E-2</c:v>
                </c:pt>
                <c:pt idx="2827">
                  <c:v>2.0382569187979982E-2</c:v>
                </c:pt>
                <c:pt idx="2828">
                  <c:v>2.0381472173740534E-2</c:v>
                </c:pt>
                <c:pt idx="2829">
                  <c:v>2.038038484303506E-2</c:v>
                </c:pt>
                <c:pt idx="2830">
                  <c:v>2.0379307196103369E-2</c:v>
                </c:pt>
                <c:pt idx="2831">
                  <c:v>2.0378239232865525E-2</c:v>
                </c:pt>
                <c:pt idx="2832">
                  <c:v>2.0377180953001783E-2</c:v>
                </c:pt>
                <c:pt idx="2833">
                  <c:v>2.0376132357151633E-2</c:v>
                </c:pt>
                <c:pt idx="2834">
                  <c:v>2.0377105010709329E-2</c:v>
                </c:pt>
                <c:pt idx="2835">
                  <c:v>2.0374064216133192E-2</c:v>
                </c:pt>
                <c:pt idx="2836">
                  <c:v>2.0373044671124774E-2</c:v>
                </c:pt>
                <c:pt idx="2837">
                  <c:v>2.0372034809810202E-2</c:v>
                </c:pt>
                <c:pt idx="2838">
                  <c:v>2.0371034632189478E-2</c:v>
                </c:pt>
                <c:pt idx="2839">
                  <c:v>2.0370044138102728E-2</c:v>
                </c:pt>
                <c:pt idx="2840">
                  <c:v>2.0369063327869696E-2</c:v>
                </c:pt>
                <c:pt idx="2841">
                  <c:v>2.036809220117064E-2</c:v>
                </c:pt>
                <c:pt idx="2842">
                  <c:v>2.036713075816543E-2</c:v>
                </c:pt>
                <c:pt idx="2843">
                  <c:v>2.0366178998774132E-2</c:v>
                </c:pt>
                <c:pt idx="2844">
                  <c:v>2.0365236923156615E-2</c:v>
                </c:pt>
                <c:pt idx="2845">
                  <c:v>2.036430453115301E-2</c:v>
                </c:pt>
                <c:pt idx="2846">
                  <c:v>2.0363381822763316E-2</c:v>
                </c:pt>
                <c:pt idx="2847">
                  <c:v>2.0362468798067468E-2</c:v>
                </c:pt>
                <c:pt idx="2848">
                  <c:v>2.0361565457145403E-2</c:v>
                </c:pt>
                <c:pt idx="2849">
                  <c:v>2.0360671799837249E-2</c:v>
                </c:pt>
                <c:pt idx="2850">
                  <c:v>2.0359787825983133E-2</c:v>
                </c:pt>
                <c:pt idx="2851">
                  <c:v>2.0358913536062673E-2</c:v>
                </c:pt>
                <c:pt idx="2852">
                  <c:v>2.0358048929676187E-2</c:v>
                </c:pt>
                <c:pt idx="2853">
                  <c:v>2.0357194006983548E-2</c:v>
                </c:pt>
                <c:pt idx="2854">
                  <c:v>2.0356348767984755E-2</c:v>
                </c:pt>
                <c:pt idx="2855">
                  <c:v>2.0355513212599874E-2</c:v>
                </c:pt>
                <c:pt idx="2856">
                  <c:v>2.0354687340908839E-2</c:v>
                </c:pt>
                <c:pt idx="2857">
                  <c:v>2.0353871152751779E-2</c:v>
                </c:pt>
                <c:pt idx="2858">
                  <c:v>2.0353064648368502E-2</c:v>
                </c:pt>
                <c:pt idx="2859">
                  <c:v>2.0352267827759007E-2</c:v>
                </c:pt>
                <c:pt idx="2860">
                  <c:v>2.0351480690683488E-2</c:v>
                </c:pt>
                <c:pt idx="2861">
                  <c:v>2.0350703237301815E-2</c:v>
                </c:pt>
                <c:pt idx="2862">
                  <c:v>2.0349935467613989E-2</c:v>
                </c:pt>
                <c:pt idx="2863">
                  <c:v>2.0349177381540073E-2</c:v>
                </c:pt>
                <c:pt idx="2864">
                  <c:v>2.0348428979080069E-2</c:v>
                </c:pt>
                <c:pt idx="2865">
                  <c:v>2.0347690260393847E-2</c:v>
                </c:pt>
                <c:pt idx="2866">
                  <c:v>2.0346961225321536E-2</c:v>
                </c:pt>
                <c:pt idx="2867">
                  <c:v>2.0346241873943072E-2</c:v>
                </c:pt>
                <c:pt idx="2868">
                  <c:v>2.0345532206178518E-2</c:v>
                </c:pt>
                <c:pt idx="2869">
                  <c:v>2.0344832222107812E-2</c:v>
                </c:pt>
                <c:pt idx="2870">
                  <c:v>2.0344141921730952E-2</c:v>
                </c:pt>
                <c:pt idx="2871">
                  <c:v>2.0343461304888066E-2</c:v>
                </c:pt>
                <c:pt idx="2872">
                  <c:v>2.0342790371739028E-2</c:v>
                </c:pt>
                <c:pt idx="2873">
                  <c:v>2.0342129122363772E-2</c:v>
                </c:pt>
                <c:pt idx="2874">
                  <c:v>2.0341477556602428E-2</c:v>
                </c:pt>
                <c:pt idx="2875">
                  <c:v>2.0340835674454993E-2</c:v>
                </c:pt>
                <c:pt idx="2876">
                  <c:v>2.0340203476001406E-2</c:v>
                </c:pt>
                <c:pt idx="2877">
                  <c:v>2.0339580961241666E-2</c:v>
                </c:pt>
                <c:pt idx="2878">
                  <c:v>2.0338968130175772E-2</c:v>
                </c:pt>
                <c:pt idx="2879">
                  <c:v>2.0338364982643853E-2</c:v>
                </c:pt>
                <c:pt idx="2880">
                  <c:v>2.0337771518885717E-2</c:v>
                </c:pt>
                <c:pt idx="2881">
                  <c:v>2.0337187738741491E-2</c:v>
                </c:pt>
                <c:pt idx="2882">
                  <c:v>2.0336613642211177E-2</c:v>
                </c:pt>
                <c:pt idx="2883">
                  <c:v>2.0336049229454645E-2</c:v>
                </c:pt>
                <c:pt idx="2884">
                  <c:v>2.0337635478810512E-2</c:v>
                </c:pt>
                <c:pt idx="2885">
                  <c:v>2.0334949454783313E-2</c:v>
                </c:pt>
                <c:pt idx="2886">
                  <c:v>2.033441409294845E-2</c:v>
                </c:pt>
                <c:pt idx="2887">
                  <c:v>2.0333888414887369E-2</c:v>
                </c:pt>
                <c:pt idx="2888">
                  <c:v>2.0333372420360263E-2</c:v>
                </c:pt>
                <c:pt idx="2889">
                  <c:v>2.033286610960694E-2</c:v>
                </c:pt>
                <c:pt idx="2890">
                  <c:v>2.0332369482387591E-2</c:v>
                </c:pt>
                <c:pt idx="2891">
                  <c:v>2.0331882538782153E-2</c:v>
                </c:pt>
                <c:pt idx="2892">
                  <c:v>2.0331405279030434E-2</c:v>
                </c:pt>
                <c:pt idx="2893">
                  <c:v>2.0330937702732754E-2</c:v>
                </c:pt>
                <c:pt idx="2894">
                  <c:v>2.0330479810288793E-2</c:v>
                </c:pt>
                <c:pt idx="2895">
                  <c:v>2.0330031601378806E-2</c:v>
                </c:pt>
                <c:pt idx="2896">
                  <c:v>2.0329593076162666E-2</c:v>
                </c:pt>
                <c:pt idx="2897">
                  <c:v>2.0329164234640373E-2</c:v>
                </c:pt>
                <c:pt idx="2898">
                  <c:v>2.0328745076811927E-2</c:v>
                </c:pt>
                <c:pt idx="2899">
                  <c:v>2.0328335602517456E-2</c:v>
                </c:pt>
                <c:pt idx="2900">
                  <c:v>2.0327935811916831E-2</c:v>
                </c:pt>
                <c:pt idx="2901">
                  <c:v>2.0327545705010053E-2</c:v>
                </c:pt>
                <c:pt idx="2902">
                  <c:v>2.0327165281877058E-2</c:v>
                </c:pt>
                <c:pt idx="2903">
                  <c:v>2.0326794542278037E-2</c:v>
                </c:pt>
                <c:pt idx="2904">
                  <c:v>2.0326433486292927E-2</c:v>
                </c:pt>
                <c:pt idx="2905">
                  <c:v>2.0326082114161537E-2</c:v>
                </c:pt>
                <c:pt idx="2906">
                  <c:v>2.0325740425484184E-2</c:v>
                </c:pt>
                <c:pt idx="2907">
                  <c:v>2.0325408420580615E-2</c:v>
                </c:pt>
                <c:pt idx="2908">
                  <c:v>2.0325086099290957E-2</c:v>
                </c:pt>
                <c:pt idx="2909">
                  <c:v>2.0324773461775081E-2</c:v>
                </c:pt>
                <c:pt idx="2910">
                  <c:v>2.032447050779318E-2</c:v>
                </c:pt>
                <c:pt idx="2911">
                  <c:v>2.0324177237425189E-2</c:v>
                </c:pt>
                <c:pt idx="2912">
                  <c:v>2.0323893650830982E-2</c:v>
                </c:pt>
                <c:pt idx="2913">
                  <c:v>2.0323619747930621E-2</c:v>
                </c:pt>
                <c:pt idx="2914">
                  <c:v>2.0323355528564235E-2</c:v>
                </c:pt>
                <c:pt idx="2915">
                  <c:v>2.0323100992891696E-2</c:v>
                </c:pt>
                <c:pt idx="2916">
                  <c:v>2.0322856140913004E-2</c:v>
                </c:pt>
                <c:pt idx="2917">
                  <c:v>2.0322620972628158E-2</c:v>
                </c:pt>
                <c:pt idx="2918">
                  <c:v>2.0322395487957223E-2</c:v>
                </c:pt>
                <c:pt idx="2919">
                  <c:v>2.0322179686900199E-2</c:v>
                </c:pt>
                <c:pt idx="2920">
                  <c:v>2.0321973569616958E-2</c:v>
                </c:pt>
                <c:pt idx="2921">
                  <c:v>2.0321777135947627E-2</c:v>
                </c:pt>
                <c:pt idx="2922">
                  <c:v>2.0321590385892208E-2</c:v>
                </c:pt>
                <c:pt idx="2923">
                  <c:v>2.0321413319530635E-2</c:v>
                </c:pt>
                <c:pt idx="2924">
                  <c:v>2.0322909320353855E-2</c:v>
                </c:pt>
                <c:pt idx="2925">
                  <c:v>2.0322192116184468E-2</c:v>
                </c:pt>
                <c:pt idx="2926">
                  <c:v>2.0322046851157793E-2</c:v>
                </c:pt>
                <c:pt idx="2927">
                  <c:v>2.032191127089078E-2</c:v>
                </c:pt>
                <c:pt idx="2928">
                  <c:v>2.0321785375410073E-2</c:v>
                </c:pt>
                <c:pt idx="2929">
                  <c:v>2.0321669164662381E-2</c:v>
                </c:pt>
                <c:pt idx="2930">
                  <c:v>2.0321562638647706E-2</c:v>
                </c:pt>
                <c:pt idx="2931">
                  <c:v>2.0321465797419336E-2</c:v>
                </c:pt>
                <c:pt idx="2932">
                  <c:v>2.0321378640950627E-2</c:v>
                </c:pt>
                <c:pt idx="2933">
                  <c:v>2.0321301169188288E-2</c:v>
                </c:pt>
                <c:pt idx="2934">
                  <c:v>2.0321233382212256E-2</c:v>
                </c:pt>
                <c:pt idx="2935">
                  <c:v>2.032117528002253E-2</c:v>
                </c:pt>
                <c:pt idx="2936">
                  <c:v>2.0321126862565819E-2</c:v>
                </c:pt>
                <c:pt idx="2937">
                  <c:v>2.0321088129815479E-2</c:v>
                </c:pt>
                <c:pt idx="2938">
                  <c:v>2.0321059081851445E-2</c:v>
                </c:pt>
                <c:pt idx="2939">
                  <c:v>2.0319887358972721E-2</c:v>
                </c:pt>
                <c:pt idx="2940">
                  <c:v>2.0321030040229004E-2</c:v>
                </c:pt>
                <c:pt idx="2941">
                  <c:v>2.0321030046490662E-2</c:v>
                </c:pt>
                <c:pt idx="2942">
                  <c:v>2.0321039737565272E-2</c:v>
                </c:pt>
                <c:pt idx="2943">
                  <c:v>2.0321059113372897E-2</c:v>
                </c:pt>
                <c:pt idx="2944">
                  <c:v>2.0321088173940183E-2</c:v>
                </c:pt>
                <c:pt idx="2945">
                  <c:v>2.0321126919240484E-2</c:v>
                </c:pt>
                <c:pt idx="2946">
                  <c:v>2.0321175349327092E-2</c:v>
                </c:pt>
                <c:pt idx="2947">
                  <c:v>2.0321233464146715E-2</c:v>
                </c:pt>
                <c:pt idx="2948">
                  <c:v>2.0321301263725999E-2</c:v>
                </c:pt>
                <c:pt idx="2949">
                  <c:v>2.0321378748064944E-2</c:v>
                </c:pt>
                <c:pt idx="2950">
                  <c:v>2.032146591716355E-2</c:v>
                </c:pt>
                <c:pt idx="2951">
                  <c:v>2.0321562771021817E-2</c:v>
                </c:pt>
                <c:pt idx="2952">
                  <c:v>2.0321669309586454E-2</c:v>
                </c:pt>
                <c:pt idx="2953">
                  <c:v>2.0321785532964043E-2</c:v>
                </c:pt>
                <c:pt idx="2954">
                  <c:v>2.0321911441048002E-2</c:v>
                </c:pt>
                <c:pt idx="2955">
                  <c:v>2.0322047033918267E-2</c:v>
                </c:pt>
                <c:pt idx="2956">
                  <c:v>2.0322192311494902E-2</c:v>
                </c:pt>
                <c:pt idx="2957">
                  <c:v>2.0322347273884489E-2</c:v>
                </c:pt>
                <c:pt idx="2958">
                  <c:v>2.0322511921007091E-2</c:v>
                </c:pt>
                <c:pt idx="2959">
                  <c:v>2.0322686252889355E-2</c:v>
                </c:pt>
                <c:pt idx="2960">
                  <c:v>2.0322870269531279E-2</c:v>
                </c:pt>
                <c:pt idx="2961">
                  <c:v>2.0323063970906219E-2</c:v>
                </c:pt>
                <c:pt idx="2962">
                  <c:v>2.0323267357067465E-2</c:v>
                </c:pt>
                <c:pt idx="2963">
                  <c:v>2.0323480427908436E-2</c:v>
                </c:pt>
                <c:pt idx="2964">
                  <c:v>2.0323703183589004E-2</c:v>
                </c:pt>
                <c:pt idx="2965">
                  <c:v>2.0323935624002587E-2</c:v>
                </c:pt>
                <c:pt idx="2966">
                  <c:v>2.0324177749149186E-2</c:v>
                </c:pt>
                <c:pt idx="2967">
                  <c:v>2.0324429559055446E-2</c:v>
                </c:pt>
                <c:pt idx="2968">
                  <c:v>2.0324691053721367E-2</c:v>
                </c:pt>
                <c:pt idx="2969">
                  <c:v>2.0324962233146948E-2</c:v>
                </c:pt>
                <c:pt idx="2970">
                  <c:v>2.0325243097332191E-2</c:v>
                </c:pt>
                <c:pt idx="2971">
                  <c:v>2.0325533646250449E-2</c:v>
                </c:pt>
                <c:pt idx="2972">
                  <c:v>2.0325833879928368E-2</c:v>
                </c:pt>
                <c:pt idx="2973">
                  <c:v>2.0326143798392593E-2</c:v>
                </c:pt>
                <c:pt idx="2974">
                  <c:v>2.0326463401563188E-2</c:v>
                </c:pt>
                <c:pt idx="2975">
                  <c:v>2.0326792689546735E-2</c:v>
                </c:pt>
                <c:pt idx="2976">
                  <c:v>2.0326681187872175E-2</c:v>
                </c:pt>
                <c:pt idx="2977">
                  <c:v>2.0326433949922063E-2</c:v>
                </c:pt>
                <c:pt idx="2978">
                  <c:v>2.0326795018457133E-2</c:v>
                </c:pt>
                <c:pt idx="2979">
                  <c:v>2.0327165770606115E-2</c:v>
                </c:pt>
                <c:pt idx="2980">
                  <c:v>2.0327546206448943E-2</c:v>
                </c:pt>
                <c:pt idx="2981">
                  <c:v>2.0327936325985618E-2</c:v>
                </c:pt>
                <c:pt idx="2982">
                  <c:v>2.0328336129136204E-2</c:v>
                </c:pt>
                <c:pt idx="2983">
                  <c:v>2.0328745615980637E-2</c:v>
                </c:pt>
                <c:pt idx="2984">
                  <c:v>2.0329164786518916E-2</c:v>
                </c:pt>
                <c:pt idx="2985">
                  <c:v>2.0329593640671106E-2</c:v>
                </c:pt>
                <c:pt idx="2986">
                  <c:v>2.0330032178357271E-2</c:v>
                </c:pt>
                <c:pt idx="2987">
                  <c:v>2.0330480399897155E-2</c:v>
                </c:pt>
                <c:pt idx="2988">
                  <c:v>2.0330938304971014E-2</c:v>
                </c:pt>
                <c:pt idx="2989">
                  <c:v>2.0331405893738719E-2</c:v>
                </c:pt>
                <c:pt idx="2990">
                  <c:v>2.0332021308417936E-2</c:v>
                </c:pt>
                <c:pt idx="2991">
                  <c:v>2.033237012235567E-2</c:v>
                </c:pt>
                <c:pt idx="2992">
                  <c:v>2.0332866762204915E-2</c:v>
                </c:pt>
                <c:pt idx="2993">
                  <c:v>2.03333730855082E-2</c:v>
                </c:pt>
                <c:pt idx="2994">
                  <c:v>2.0333963598426763E-2</c:v>
                </c:pt>
                <c:pt idx="2995">
                  <c:v>2.0334490672571093E-2</c:v>
                </c:pt>
                <c:pt idx="2996">
                  <c:v>2.0335027430489205E-2</c:v>
                </c:pt>
                <c:pt idx="2997">
                  <c:v>2.0335573871941293E-2</c:v>
                </c:pt>
                <c:pt idx="2998">
                  <c:v>2.0336129997007291E-2</c:v>
                </c:pt>
                <c:pt idx="2999">
                  <c:v>2.0336695805847071E-2</c:v>
                </c:pt>
                <c:pt idx="3000">
                  <c:v>2.0337271298300763E-2</c:v>
                </c:pt>
                <c:pt idx="3001">
                  <c:v>2.0337856474368365E-2</c:v>
                </c:pt>
                <c:pt idx="3002">
                  <c:v>2.0338451334129815E-2</c:v>
                </c:pt>
                <c:pt idx="3003">
                  <c:v>2.033905587758511E-2</c:v>
                </c:pt>
                <c:pt idx="3004">
                  <c:v>2.0339670104734253E-2</c:v>
                </c:pt>
                <c:pt idx="3005">
                  <c:v>2.0340294015497307E-2</c:v>
                </c:pt>
                <c:pt idx="3006">
                  <c:v>2.0340927609954207E-2</c:v>
                </c:pt>
                <c:pt idx="3007">
                  <c:v>2.0341570887945082E-2</c:v>
                </c:pt>
                <c:pt idx="3008">
                  <c:v>2.034222384970974E-2</c:v>
                </c:pt>
                <c:pt idx="3009">
                  <c:v>2.0342886495088308E-2</c:v>
                </c:pt>
                <c:pt idx="3010">
                  <c:v>2.034355882424066E-2</c:v>
                </c:pt>
                <c:pt idx="3011">
                  <c:v>2.0344240837006922E-2</c:v>
                </c:pt>
                <c:pt idx="3012">
                  <c:v>2.0344932271196825E-2</c:v>
                </c:pt>
                <c:pt idx="3013">
                  <c:v>2.0345625783964039E-2</c:v>
                </c:pt>
                <c:pt idx="3014">
                  <c:v>2.0346317966595251E-2</c:v>
                </c:pt>
                <c:pt idx="3015">
                  <c:v>2.0347008818690782E-2</c:v>
                </c:pt>
                <c:pt idx="3016">
                  <c:v>2.0347698340330567E-2</c:v>
                </c:pt>
                <c:pt idx="3017">
                  <c:v>2.0348386531674478E-2</c:v>
                </c:pt>
                <c:pt idx="3018">
                  <c:v>2.0349073392722516E-2</c:v>
                </c:pt>
                <c:pt idx="3019">
                  <c:v>2.0349758923234873E-2</c:v>
                </c:pt>
                <c:pt idx="3020">
                  <c:v>2.035044312337142E-2</c:v>
                </c:pt>
                <c:pt idx="3021">
                  <c:v>2.0351125993212094E-2</c:v>
                </c:pt>
                <c:pt idx="3022">
                  <c:v>2.0351807532597022E-2</c:v>
                </c:pt>
                <c:pt idx="3023">
                  <c:v>2.0352487741526204E-2</c:v>
                </c:pt>
                <c:pt idx="3024">
                  <c:v>2.0353166620159513E-2</c:v>
                </c:pt>
                <c:pt idx="3025">
                  <c:v>2.0353844168417012E-2</c:v>
                </c:pt>
                <c:pt idx="3026">
                  <c:v>2.0354520386298702E-2</c:v>
                </c:pt>
                <c:pt idx="3027">
                  <c:v>2.0355195273724647E-2</c:v>
                </c:pt>
                <c:pt idx="3028">
                  <c:v>2.0356588498060546E-2</c:v>
                </c:pt>
                <c:pt idx="3029">
                  <c:v>2.0356636981198051E-2</c:v>
                </c:pt>
                <c:pt idx="3030">
                  <c:v>2.0357307687488557E-2</c:v>
                </c:pt>
                <c:pt idx="3031">
                  <c:v>2.0357977063403254E-2</c:v>
                </c:pt>
                <c:pt idx="3032">
                  <c:v>2.035864510878227E-2</c:v>
                </c:pt>
                <c:pt idx="3033">
                  <c:v>2.0359311823945347E-2</c:v>
                </c:pt>
                <c:pt idx="3034">
                  <c:v>2.0359977208572744E-2</c:v>
                </c:pt>
                <c:pt idx="3035">
                  <c:v>2.0360641262824331E-2</c:v>
                </c:pt>
                <c:pt idx="3036">
                  <c:v>2.0361303986780044E-2</c:v>
                </c:pt>
                <c:pt idx="3037">
                  <c:v>2.0361965380359948E-2</c:v>
                </c:pt>
                <c:pt idx="3038">
                  <c:v>2.0362625443484106E-2</c:v>
                </c:pt>
                <c:pt idx="3039">
                  <c:v>2.0363284176152519E-2</c:v>
                </c:pt>
                <c:pt idx="3040">
                  <c:v>2.0363941578525058E-2</c:v>
                </c:pt>
                <c:pt idx="3041">
                  <c:v>2.0364691266516743E-2</c:v>
                </c:pt>
                <c:pt idx="3042">
                  <c:v>2.0365345817969782E-2</c:v>
                </c:pt>
                <c:pt idx="3043">
                  <c:v>2.0365999039126947E-2</c:v>
                </c:pt>
                <c:pt idx="3044">
                  <c:v>2.0366650929828367E-2</c:v>
                </c:pt>
                <c:pt idx="3045">
                  <c:v>2.0369169240488372E-2</c:v>
                </c:pt>
                <c:pt idx="3046">
                  <c:v>2.0367950720183714E-2</c:v>
                </c:pt>
                <c:pt idx="3047">
                  <c:v>2.0368598619837641E-2</c:v>
                </c:pt>
                <c:pt idx="3048">
                  <c:v>2.0369245188955887E-2</c:v>
                </c:pt>
                <c:pt idx="3049">
                  <c:v>2.0369890427858195E-2</c:v>
                </c:pt>
                <c:pt idx="3050">
                  <c:v>2.0370534336224821E-2</c:v>
                </c:pt>
                <c:pt idx="3051">
                  <c:v>2.0371176914135702E-2</c:v>
                </c:pt>
                <c:pt idx="3052">
                  <c:v>2.0371818161910582E-2</c:v>
                </c:pt>
                <c:pt idx="3053">
                  <c:v>2.037245807914978E-2</c:v>
                </c:pt>
                <c:pt idx="3054">
                  <c:v>2.0373096666013168E-2</c:v>
                </c:pt>
                <c:pt idx="3055">
                  <c:v>2.0373733922420811E-2</c:v>
                </c:pt>
                <c:pt idx="3056">
                  <c:v>2.0374369848612517E-2</c:v>
                </c:pt>
                <c:pt idx="3057">
                  <c:v>2.0375004444348477E-2</c:v>
                </c:pt>
                <c:pt idx="3058">
                  <c:v>2.0375637709548755E-2</c:v>
                </c:pt>
                <c:pt idx="3059">
                  <c:v>2.037626964445316E-2</c:v>
                </c:pt>
                <c:pt idx="3060">
                  <c:v>2.0376900249061691E-2</c:v>
                </c:pt>
                <c:pt idx="3061">
                  <c:v>2.0377529523294413E-2</c:v>
                </c:pt>
                <c:pt idx="3062">
                  <c:v>2.0378157466991453E-2</c:v>
                </c:pt>
                <c:pt idx="3063">
                  <c:v>2.0378784080312684E-2</c:v>
                </c:pt>
                <c:pt idx="3064">
                  <c:v>2.0379409363417977E-2</c:v>
                </c:pt>
                <c:pt idx="3065">
                  <c:v>2.0380033315987589E-2</c:v>
                </c:pt>
                <c:pt idx="3066">
                  <c:v>2.0380655938101455E-2</c:v>
                </c:pt>
                <c:pt idx="3067">
                  <c:v>2.0381277229999384E-2</c:v>
                </c:pt>
                <c:pt idx="3068">
                  <c:v>2.0381897191361631E-2</c:v>
                </c:pt>
                <c:pt idx="3069">
                  <c:v>2.0382515822348068E-2</c:v>
                </c:pt>
                <c:pt idx="3070">
                  <c:v>2.0383133123038633E-2</c:v>
                </c:pt>
                <c:pt idx="3071">
                  <c:v>2.0383749093353387E-2</c:v>
                </c:pt>
                <c:pt idx="3072">
                  <c:v>2.0384363733292332E-2</c:v>
                </c:pt>
                <c:pt idx="3073">
                  <c:v>2.0384977042695596E-2</c:v>
                </c:pt>
                <c:pt idx="3074">
                  <c:v>2.0385589021802986E-2</c:v>
                </c:pt>
                <c:pt idx="3075">
                  <c:v>2.0386199670614502E-2</c:v>
                </c:pt>
                <c:pt idx="3076">
                  <c:v>2.0386808988890337E-2</c:v>
                </c:pt>
                <c:pt idx="3077">
                  <c:v>2.0387416976790362E-2</c:v>
                </c:pt>
                <c:pt idx="3078">
                  <c:v>2.0388023634314578E-2</c:v>
                </c:pt>
                <c:pt idx="3079">
                  <c:v>2.0390490639314862E-2</c:v>
                </c:pt>
                <c:pt idx="3080">
                  <c:v>2.0391094453573455E-2</c:v>
                </c:pt>
                <c:pt idx="3081">
                  <c:v>2.0389835624632369E-2</c:v>
                </c:pt>
                <c:pt idx="3082">
                  <c:v>2.0390436960733282E-2</c:v>
                </c:pt>
                <c:pt idx="3083">
                  <c:v>2.0391036966298515E-2</c:v>
                </c:pt>
                <c:pt idx="3084">
                  <c:v>2.0391635641487937E-2</c:v>
                </c:pt>
                <c:pt idx="3085">
                  <c:v>2.0392232986381487E-2</c:v>
                </c:pt>
                <c:pt idx="3086">
                  <c:v>2.0392829000739354E-2</c:v>
                </c:pt>
                <c:pt idx="3087">
                  <c:v>2.0393423684881284E-2</c:v>
                </c:pt>
                <c:pt idx="3088">
                  <c:v>2.0394017038487533E-2</c:v>
                </c:pt>
                <c:pt idx="3089">
                  <c:v>2.0394609061797908E-2</c:v>
                </c:pt>
                <c:pt idx="3090">
                  <c:v>2.0395199754732474E-2</c:v>
                </c:pt>
                <c:pt idx="3091">
                  <c:v>2.0395789117051422E-2</c:v>
                </c:pt>
                <c:pt idx="3092">
                  <c:v>2.0396377149314304E-2</c:v>
                </c:pt>
                <c:pt idx="3093">
                  <c:v>2.0396963850961569E-2</c:v>
                </c:pt>
                <c:pt idx="3094">
                  <c:v>2.0400027813133548E-2</c:v>
                </c:pt>
                <c:pt idx="3095">
                  <c:v>2.0398133263208607E-2</c:v>
                </c:pt>
                <c:pt idx="3096">
                  <c:v>2.0398715973888315E-2</c:v>
                </c:pt>
                <c:pt idx="3097">
                  <c:v>2.0399297353952406E-2</c:v>
                </c:pt>
                <c:pt idx="3098">
                  <c:v>2.0399877403720623E-2</c:v>
                </c:pt>
                <c:pt idx="3099">
                  <c:v>2.0400456123113031E-2</c:v>
                </c:pt>
                <c:pt idx="3100">
                  <c:v>2.0401033512129629E-2</c:v>
                </c:pt>
                <c:pt idx="3101">
                  <c:v>2.040160957093029E-2</c:v>
                </c:pt>
                <c:pt idx="3102">
                  <c:v>2.0402184299035397E-2</c:v>
                </c:pt>
                <c:pt idx="3103">
                  <c:v>2.0402757696924567E-2</c:v>
                </c:pt>
                <c:pt idx="3104">
                  <c:v>2.0403329764357991E-2</c:v>
                </c:pt>
                <c:pt idx="3105">
                  <c:v>2.040390050133567E-2</c:v>
                </c:pt>
                <c:pt idx="3106">
                  <c:v>2.0404469908017475E-2</c:v>
                </c:pt>
                <c:pt idx="3107">
                  <c:v>2.0405037984323471E-2</c:v>
                </c:pt>
                <c:pt idx="3108">
                  <c:v>2.0405604730253657E-2</c:v>
                </c:pt>
                <c:pt idx="3109">
                  <c:v>2.0406170145728098E-2</c:v>
                </c:pt>
                <c:pt idx="3110">
                  <c:v>2.0406734230826729E-2</c:v>
                </c:pt>
                <c:pt idx="3111">
                  <c:v>2.0407296985629486E-2</c:v>
                </c:pt>
                <c:pt idx="3112">
                  <c:v>2.0407858409976498E-2</c:v>
                </c:pt>
                <c:pt idx="3113">
                  <c:v>2.0408418503867765E-2</c:v>
                </c:pt>
                <c:pt idx="3114">
                  <c:v>2.0408977267463158E-2</c:v>
                </c:pt>
                <c:pt idx="3115">
                  <c:v>2.0409534700682741E-2</c:v>
                </c:pt>
                <c:pt idx="3116">
                  <c:v>2.0410090803366643E-2</c:v>
                </c:pt>
                <c:pt idx="3117">
                  <c:v>2.0410645575754671E-2</c:v>
                </c:pt>
                <c:pt idx="3118">
                  <c:v>2.0411199017846826E-2</c:v>
                </c:pt>
                <c:pt idx="3119">
                  <c:v>2.0411751129403299E-2</c:v>
                </c:pt>
                <c:pt idx="3120">
                  <c:v>2.0412301910743835E-2</c:v>
                </c:pt>
                <c:pt idx="3121">
                  <c:v>2.041285136154869E-2</c:v>
                </c:pt>
                <c:pt idx="3122">
                  <c:v>2.0413399481977734E-2</c:v>
                </c:pt>
                <c:pt idx="3123">
                  <c:v>2.0413946272030969E-2</c:v>
                </c:pt>
                <c:pt idx="3124">
                  <c:v>2.0414491731708395E-2</c:v>
                </c:pt>
                <c:pt idx="3125">
                  <c:v>2.0415035861010011E-2</c:v>
                </c:pt>
                <c:pt idx="3126">
                  <c:v>2.0415578660015754E-2</c:v>
                </c:pt>
                <c:pt idx="3127">
                  <c:v>2.0416120128405879E-2</c:v>
                </c:pt>
                <c:pt idx="3128">
                  <c:v>2.0416660266580067E-2</c:v>
                </c:pt>
                <c:pt idx="3129">
                  <c:v>2.0417199074298509E-2</c:v>
                </c:pt>
                <c:pt idx="3130">
                  <c:v>2.0417736551561205E-2</c:v>
                </c:pt>
                <c:pt idx="3131">
                  <c:v>2.0418272698448092E-2</c:v>
                </c:pt>
                <c:pt idx="3132">
                  <c:v>2.0418807515198978E-2</c:v>
                </c:pt>
                <c:pt idx="3133">
                  <c:v>2.0419341001414182E-2</c:v>
                </c:pt>
                <c:pt idx="3134">
                  <c:v>2.0419873157093704E-2</c:v>
                </c:pt>
                <c:pt idx="3135">
                  <c:v>2.0420403982477353E-2</c:v>
                </c:pt>
                <c:pt idx="3136">
                  <c:v>2.0420933477485192E-2</c:v>
                </c:pt>
                <c:pt idx="3137">
                  <c:v>2.0421461642197158E-2</c:v>
                </c:pt>
                <c:pt idx="3138">
                  <c:v>2.0421988476293507E-2</c:v>
                </c:pt>
                <c:pt idx="3139">
                  <c:v>2.0422513980253854E-2</c:v>
                </c:pt>
                <c:pt idx="3140">
                  <c:v>2.0423038153758455E-2</c:v>
                </c:pt>
                <c:pt idx="3141">
                  <c:v>2.0423560996887247E-2</c:v>
                </c:pt>
                <c:pt idx="3142">
                  <c:v>2.0424082509480357E-2</c:v>
                </c:pt>
                <c:pt idx="3143">
                  <c:v>2.0424602691697658E-2</c:v>
                </c:pt>
                <c:pt idx="3144">
                  <c:v>2.0425121543619085E-2</c:v>
                </c:pt>
                <c:pt idx="3145">
                  <c:v>2.0428104637167266E-2</c:v>
                </c:pt>
                <c:pt idx="3146">
                  <c:v>2.0426155256334511E-2</c:v>
                </c:pt>
                <c:pt idx="3147">
                  <c:v>2.0426670117048573E-2</c:v>
                </c:pt>
                <c:pt idx="3148">
                  <c:v>2.0427183647386826E-2</c:v>
                </c:pt>
                <c:pt idx="3149">
                  <c:v>2.042769584734927E-2</c:v>
                </c:pt>
                <c:pt idx="3150">
                  <c:v>2.0428206716935904E-2</c:v>
                </c:pt>
                <c:pt idx="3151">
                  <c:v>2.0428716256146728E-2</c:v>
                </c:pt>
                <c:pt idx="3152">
                  <c:v>2.0429224464901807E-2</c:v>
                </c:pt>
                <c:pt idx="3153">
                  <c:v>2.0429731343361013E-2</c:v>
                </c:pt>
                <c:pt idx="3154">
                  <c:v>2.0430236891364473E-2</c:v>
                </c:pt>
                <c:pt idx="3155">
                  <c:v>2.0430741108992123E-2</c:v>
                </c:pt>
                <c:pt idx="3156">
                  <c:v>2.0431243996164028E-2</c:v>
                </c:pt>
                <c:pt idx="3157">
                  <c:v>2.0431745553119995E-2</c:v>
                </c:pt>
                <c:pt idx="3158">
                  <c:v>2.0432245779540281E-2</c:v>
                </c:pt>
                <c:pt idx="3159">
                  <c:v>2.0432744675584757E-2</c:v>
                </c:pt>
                <c:pt idx="3160">
                  <c:v>2.0433242241173488E-2</c:v>
                </c:pt>
                <c:pt idx="3161">
                  <c:v>2.0433738476626218E-2</c:v>
                </c:pt>
                <c:pt idx="3162">
                  <c:v>2.0434233381463329E-2</c:v>
                </c:pt>
                <c:pt idx="3163">
                  <c:v>2.0434726955924631E-2</c:v>
                </c:pt>
                <c:pt idx="3164">
                  <c:v>2.043521920009006E-2</c:v>
                </c:pt>
                <c:pt idx="3165">
                  <c:v>2.0435710113959615E-2</c:v>
                </c:pt>
                <c:pt idx="3166">
                  <c:v>2.0436199697293489E-2</c:v>
                </c:pt>
                <c:pt idx="3167">
                  <c:v>2.0436687950171617E-2</c:v>
                </c:pt>
                <c:pt idx="3168">
                  <c:v>2.0437174872913744E-2</c:v>
                </c:pt>
                <c:pt idx="3169">
                  <c:v>2.0437660464960317E-2</c:v>
                </c:pt>
                <c:pt idx="3170">
                  <c:v>2.0438144726790952E-2</c:v>
                </c:pt>
                <c:pt idx="3171">
                  <c:v>2.043862765800597E-2</c:v>
                </c:pt>
                <c:pt idx="3172">
                  <c:v>2.0439109259164923E-2</c:v>
                </c:pt>
                <c:pt idx="3173">
                  <c:v>2.043958952986813E-2</c:v>
                </c:pt>
                <c:pt idx="3174">
                  <c:v>2.0440068469955719E-2</c:v>
                </c:pt>
                <c:pt idx="3175">
                  <c:v>2.0440546079827371E-2</c:v>
                </c:pt>
                <c:pt idx="3176">
                  <c:v>2.0441022359403149E-2</c:v>
                </c:pt>
                <c:pt idx="3177">
                  <c:v>2.0441497308603118E-2</c:v>
                </c:pt>
                <c:pt idx="3178">
                  <c:v>2.0441970927107533E-2</c:v>
                </c:pt>
                <c:pt idx="3179">
                  <c:v>2.0442443215396011E-2</c:v>
                </c:pt>
                <c:pt idx="3180">
                  <c:v>2.0442914173308679E-2</c:v>
                </c:pt>
                <c:pt idx="3181">
                  <c:v>2.0443383800845538E-2</c:v>
                </c:pt>
                <c:pt idx="3182">
                  <c:v>2.0443852098006587E-2</c:v>
                </c:pt>
                <c:pt idx="3183">
                  <c:v>2.0444319064711891E-2</c:v>
                </c:pt>
                <c:pt idx="3184">
                  <c:v>2.0444784701041385E-2</c:v>
                </c:pt>
                <c:pt idx="3185">
                  <c:v>2.044524900699507E-2</c:v>
                </c:pt>
                <c:pt idx="3186">
                  <c:v>2.0445711982652881E-2</c:v>
                </c:pt>
                <c:pt idx="3187">
                  <c:v>2.0446173627775011E-2</c:v>
                </c:pt>
                <c:pt idx="3188">
                  <c:v>2.0446633942521331E-2</c:v>
                </c:pt>
                <c:pt idx="3189">
                  <c:v>2.0447092926891841E-2</c:v>
                </c:pt>
                <c:pt idx="3190">
                  <c:v>2.0447550580966478E-2</c:v>
                </c:pt>
                <c:pt idx="3191">
                  <c:v>2.044800690458537E-2</c:v>
                </c:pt>
                <c:pt idx="3192">
                  <c:v>2.0448461897908388E-2</c:v>
                </c:pt>
                <c:pt idx="3193">
                  <c:v>2.0448915560695724E-2</c:v>
                </c:pt>
                <c:pt idx="3194">
                  <c:v>2.0449367893107251E-2</c:v>
                </c:pt>
                <c:pt idx="3195">
                  <c:v>2.0449818895222904E-2</c:v>
                </c:pt>
                <c:pt idx="3196">
                  <c:v>2.0450268566802876E-2</c:v>
                </c:pt>
                <c:pt idx="3197">
                  <c:v>2.0450716908246847E-2</c:v>
                </c:pt>
                <c:pt idx="3198">
                  <c:v>2.0451163919155135E-2</c:v>
                </c:pt>
                <c:pt idx="3199">
                  <c:v>2.0451609599527742E-2</c:v>
                </c:pt>
                <c:pt idx="3200">
                  <c:v>2.0454504610190938E-2</c:v>
                </c:pt>
                <c:pt idx="3201">
                  <c:v>2.0452496969465273E-2</c:v>
                </c:pt>
                <c:pt idx="3202">
                  <c:v>2.0454226646187124E-2</c:v>
                </c:pt>
                <c:pt idx="3203">
                  <c:v>2.0454666675053801E-2</c:v>
                </c:pt>
                <c:pt idx="3204">
                  <c:v>2.0455105373331506E-2</c:v>
                </c:pt>
                <c:pt idx="3205">
                  <c:v>2.0455542741100174E-2</c:v>
                </c:pt>
                <c:pt idx="3206">
                  <c:v>2.0455978778359807E-2</c:v>
                </c:pt>
                <c:pt idx="3207">
                  <c:v>2.0456413485030467E-2</c:v>
                </c:pt>
                <c:pt idx="3208">
                  <c:v>2.04568468611388E-2</c:v>
                </c:pt>
                <c:pt idx="3209">
                  <c:v>2.0457278906791387E-2</c:v>
                </c:pt>
                <c:pt idx="3210">
                  <c:v>2.0457709621828357E-2</c:v>
                </c:pt>
                <c:pt idx="3211">
                  <c:v>2.0458139006382936E-2</c:v>
                </c:pt>
                <c:pt idx="3212">
                  <c:v>2.0458567060401833E-2</c:v>
                </c:pt>
                <c:pt idx="3213">
                  <c:v>2.0458993783831758E-2</c:v>
                </c:pt>
                <c:pt idx="3214">
                  <c:v>2.0459419176726001E-2</c:v>
                </c:pt>
                <c:pt idx="3215">
                  <c:v>2.0459843239111208E-2</c:v>
                </c:pt>
                <c:pt idx="3216">
                  <c:v>2.0460265970960734E-2</c:v>
                </c:pt>
                <c:pt idx="3217">
                  <c:v>2.0460687372274577E-2</c:v>
                </c:pt>
                <c:pt idx="3218">
                  <c:v>2.0461107442972803E-2</c:v>
                </c:pt>
                <c:pt idx="3219">
                  <c:v>2.0461526183215284E-2</c:v>
                </c:pt>
                <c:pt idx="3220">
                  <c:v>2.0461943592922083E-2</c:v>
                </c:pt>
                <c:pt idx="3221">
                  <c:v>2.0462359672039909E-2</c:v>
                </c:pt>
                <c:pt idx="3222">
                  <c:v>2.0462774420622054E-2</c:v>
                </c:pt>
                <c:pt idx="3223">
                  <c:v>2.0463187838668517E-2</c:v>
                </c:pt>
                <c:pt idx="3224">
                  <c:v>2.0463599926179299E-2</c:v>
                </c:pt>
                <c:pt idx="3225">
                  <c:v>2.0464010683154399E-2</c:v>
                </c:pt>
                <c:pt idx="3226">
                  <c:v>2.0464420109620463E-2</c:v>
                </c:pt>
                <c:pt idx="3227">
                  <c:v>2.0464828205497554E-2</c:v>
                </c:pt>
                <c:pt idx="3228">
                  <c:v>2.0465234970892254E-2</c:v>
                </c:pt>
                <c:pt idx="3229">
                  <c:v>2.0465640405724628E-2</c:v>
                </c:pt>
                <c:pt idx="3230">
                  <c:v>2.0466044509968029E-2</c:v>
                </c:pt>
                <c:pt idx="3231">
                  <c:v>2.0466447283755684E-2</c:v>
                </c:pt>
                <c:pt idx="3232">
                  <c:v>2.0466848726901077E-2</c:v>
                </c:pt>
                <c:pt idx="3233">
                  <c:v>2.0467248839564078E-2</c:v>
                </c:pt>
                <c:pt idx="3234">
                  <c:v>2.0467647621718044E-2</c:v>
                </c:pt>
                <c:pt idx="3235">
                  <c:v>2.0468045073309682E-2</c:v>
                </c:pt>
                <c:pt idx="3236">
                  <c:v>2.0468000500604155E-2</c:v>
                </c:pt>
                <c:pt idx="3237">
                  <c:v>2.0467784829723001E-2</c:v>
                </c:pt>
                <c:pt idx="3238">
                  <c:v>2.0468177864767512E-2</c:v>
                </c:pt>
                <c:pt idx="3239">
                  <c:v>2.0468569569596085E-2</c:v>
                </c:pt>
                <c:pt idx="3240">
                  <c:v>2.0468959943888976E-2</c:v>
                </c:pt>
                <c:pt idx="3241">
                  <c:v>2.0469348987806057E-2</c:v>
                </c:pt>
                <c:pt idx="3242">
                  <c:v>2.046973670134733E-2</c:v>
                </c:pt>
                <c:pt idx="3243">
                  <c:v>2.0470123084592728E-2</c:v>
                </c:pt>
                <c:pt idx="3244">
                  <c:v>2.0470508137302446E-2</c:v>
                </c:pt>
                <c:pt idx="3245">
                  <c:v>2.0470891859716289E-2</c:v>
                </c:pt>
                <c:pt idx="3246">
                  <c:v>2.0471274251754323E-2</c:v>
                </c:pt>
                <c:pt idx="3247">
                  <c:v>2.0471655313416548E-2</c:v>
                </c:pt>
                <c:pt idx="3248">
                  <c:v>2.0472035044543091E-2</c:v>
                </c:pt>
                <c:pt idx="3249">
                  <c:v>2.0472413445293824E-2</c:v>
                </c:pt>
                <c:pt idx="3250">
                  <c:v>2.0472790515908557E-2</c:v>
                </c:pt>
                <c:pt idx="3251">
                  <c:v>2.0473273365828604E-2</c:v>
                </c:pt>
                <c:pt idx="3252">
                  <c:v>2.0473540665530976E-2</c:v>
                </c:pt>
                <c:pt idx="3253">
                  <c:v>2.0473913744858407E-2</c:v>
                </c:pt>
                <c:pt idx="3254">
                  <c:v>2.0474285493730093E-2</c:v>
                </c:pt>
                <c:pt idx="3255">
                  <c:v>2.0474655912146034E-2</c:v>
                </c:pt>
                <c:pt idx="3256">
                  <c:v>2.0475025000266101E-2</c:v>
                </c:pt>
                <c:pt idx="3257">
                  <c:v>2.0475392758090294E-2</c:v>
                </c:pt>
                <c:pt idx="3258">
                  <c:v>2.0475759185378806E-2</c:v>
                </c:pt>
                <c:pt idx="3259">
                  <c:v>2.0476124282371444E-2</c:v>
                </c:pt>
                <c:pt idx="3260">
                  <c:v>2.0476488048828401E-2</c:v>
                </c:pt>
                <c:pt idx="3261">
                  <c:v>2.047685048506942E-2</c:v>
                </c:pt>
                <c:pt idx="3262">
                  <c:v>2.0477211590774758E-2</c:v>
                </c:pt>
                <c:pt idx="3263">
                  <c:v>2.0477571366184222E-2</c:v>
                </c:pt>
                <c:pt idx="3264">
                  <c:v>2.0477929811217876E-2</c:v>
                </c:pt>
                <c:pt idx="3265">
                  <c:v>2.0478286925795786E-2</c:v>
                </c:pt>
                <c:pt idx="3266">
                  <c:v>2.0478642709997885E-2</c:v>
                </c:pt>
                <c:pt idx="3267">
                  <c:v>2.0478997163904111E-2</c:v>
                </c:pt>
                <c:pt idx="3268">
                  <c:v>2.0479350287354592E-2</c:v>
                </c:pt>
                <c:pt idx="3269">
                  <c:v>2.0479702080349327E-2</c:v>
                </c:pt>
                <c:pt idx="3270">
                  <c:v>2.0480052542968252E-2</c:v>
                </c:pt>
                <c:pt idx="3271">
                  <c:v>2.0480401675211368E-2</c:v>
                </c:pt>
                <c:pt idx="3272">
                  <c:v>2.0480749477078675E-2</c:v>
                </c:pt>
                <c:pt idx="3273">
                  <c:v>2.0481095948650108E-2</c:v>
                </c:pt>
                <c:pt idx="3274">
                  <c:v>2.0481441089605923E-2</c:v>
                </c:pt>
                <c:pt idx="3275">
                  <c:v>2.0481784900505673E-2</c:v>
                </c:pt>
                <c:pt idx="3276">
                  <c:v>2.0482127380869741E-2</c:v>
                </c:pt>
                <c:pt idx="3277">
                  <c:v>2.0482468530698128E-2</c:v>
                </c:pt>
                <c:pt idx="3278">
                  <c:v>2.0482808350310577E-2</c:v>
                </c:pt>
                <c:pt idx="3279">
                  <c:v>2.0483146839467281E-2</c:v>
                </c:pt>
                <c:pt idx="3280">
                  <c:v>2.0483483998088303E-2</c:v>
                </c:pt>
                <c:pt idx="3281">
                  <c:v>2.0483819826413452E-2</c:v>
                </c:pt>
                <c:pt idx="3282">
                  <c:v>2.0484154324522663E-2</c:v>
                </c:pt>
                <c:pt idx="3283">
                  <c:v>2.0484487492176129E-2</c:v>
                </c:pt>
                <c:pt idx="3284">
                  <c:v>2.0484819329373849E-2</c:v>
                </c:pt>
                <c:pt idx="3285">
                  <c:v>2.0485149836115824E-2</c:v>
                </c:pt>
                <c:pt idx="3286">
                  <c:v>2.0485479012641861E-2</c:v>
                </c:pt>
                <c:pt idx="3287">
                  <c:v>2.0485806858632216E-2</c:v>
                </c:pt>
                <c:pt idx="3288">
                  <c:v>2.0486786060591733E-2</c:v>
                </c:pt>
                <c:pt idx="3289">
                  <c:v>2.0486504906012115E-2</c:v>
                </c:pt>
                <c:pt idx="3290">
                  <c:v>2.0486828570707161E-2</c:v>
                </c:pt>
                <c:pt idx="3291">
                  <c:v>2.0487150905266205E-2</c:v>
                </c:pt>
                <c:pt idx="3292">
                  <c:v>2.0487471909289567E-2</c:v>
                </c:pt>
                <c:pt idx="3293">
                  <c:v>2.0487791582857184E-2</c:v>
                </c:pt>
                <c:pt idx="3294">
                  <c:v>2.0488109926128928E-2</c:v>
                </c:pt>
                <c:pt idx="3295">
                  <c:v>2.0488426939024862E-2</c:v>
                </c:pt>
                <c:pt idx="3296">
                  <c:v>2.0488742621544986E-2</c:v>
                </c:pt>
                <c:pt idx="3297">
                  <c:v>2.0489056973529429E-2</c:v>
                </c:pt>
                <c:pt idx="3298">
                  <c:v>2.0489369995297935E-2</c:v>
                </c:pt>
                <c:pt idx="3299">
                  <c:v>2.0489681686690631E-2</c:v>
                </c:pt>
                <c:pt idx="3300">
                  <c:v>2.0489992047547645E-2</c:v>
                </c:pt>
                <c:pt idx="3301">
                  <c:v>2.0490389128235975E-2</c:v>
                </c:pt>
                <c:pt idx="3302">
                  <c:v>2.0490696448245416E-2</c:v>
                </c:pt>
                <c:pt idx="3303">
                  <c:v>2.0491002437799111E-2</c:v>
                </c:pt>
                <c:pt idx="3304">
                  <c:v>2.0491307096976996E-2</c:v>
                </c:pt>
                <c:pt idx="3305">
                  <c:v>2.0492863275709539E-2</c:v>
                </c:pt>
                <c:pt idx="3306">
                  <c:v>2.0491912424445147E-2</c:v>
                </c:pt>
                <c:pt idx="3307">
                  <c:v>2.0492213092415668E-2</c:v>
                </c:pt>
                <c:pt idx="3308">
                  <c:v>2.0492512430170251E-2</c:v>
                </c:pt>
                <c:pt idx="3309">
                  <c:v>2.0492810437469089E-2</c:v>
                </c:pt>
                <c:pt idx="3310">
                  <c:v>2.0493107114392117E-2</c:v>
                </c:pt>
                <c:pt idx="3311">
                  <c:v>2.0493402460939336E-2</c:v>
                </c:pt>
                <c:pt idx="3312">
                  <c:v>2.0493696477110745E-2</c:v>
                </c:pt>
                <c:pt idx="3313">
                  <c:v>2.0493989162826409E-2</c:v>
                </c:pt>
                <c:pt idx="3314">
                  <c:v>2.0494280518086327E-2</c:v>
                </c:pt>
                <c:pt idx="3315">
                  <c:v>2.0494570543210244E-2</c:v>
                </c:pt>
                <c:pt idx="3316">
                  <c:v>2.0494859237718543E-2</c:v>
                </c:pt>
                <c:pt idx="3317">
                  <c:v>2.0495146601851033E-2</c:v>
                </c:pt>
                <c:pt idx="3318">
                  <c:v>2.0495432635687649E-2</c:v>
                </c:pt>
                <c:pt idx="3319">
                  <c:v>2.0495717339148456E-2</c:v>
                </c:pt>
                <c:pt idx="3320">
                  <c:v>2.0496000712153517E-2</c:v>
                </c:pt>
                <c:pt idx="3321">
                  <c:v>2.0496282754702833E-2</c:v>
                </c:pt>
                <c:pt idx="3322">
                  <c:v>2.0496563466956275E-2</c:v>
                </c:pt>
                <c:pt idx="3323">
                  <c:v>2.0496842848833907E-2</c:v>
                </c:pt>
                <c:pt idx="3324">
                  <c:v>2.0497120900255794E-2</c:v>
                </c:pt>
                <c:pt idx="3325">
                  <c:v>2.0497397621301872E-2</c:v>
                </c:pt>
                <c:pt idx="3326">
                  <c:v>2.0497673012132012E-2</c:v>
                </c:pt>
                <c:pt idx="3327">
                  <c:v>2.049794707242647E-2</c:v>
                </c:pt>
                <c:pt idx="3328">
                  <c:v>2.0498219802265183E-2</c:v>
                </c:pt>
                <c:pt idx="3329">
                  <c:v>2.049849120164815E-2</c:v>
                </c:pt>
                <c:pt idx="3330">
                  <c:v>2.0498761270975052E-2</c:v>
                </c:pt>
                <c:pt idx="3331">
                  <c:v>2.04990300096064E-2</c:v>
                </c:pt>
                <c:pt idx="3332">
                  <c:v>2.0499297418021811E-2</c:v>
                </c:pt>
                <c:pt idx="3333">
                  <c:v>2.0499563495981477E-2</c:v>
                </c:pt>
                <c:pt idx="3334">
                  <c:v>2.049982824340546E-2</c:v>
                </c:pt>
                <c:pt idx="3335">
                  <c:v>2.0500091660693442E-2</c:v>
                </c:pt>
                <c:pt idx="3336">
                  <c:v>2.0500353747445743E-2</c:v>
                </c:pt>
                <c:pt idx="3337">
                  <c:v>2.050061450390217E-2</c:v>
                </c:pt>
                <c:pt idx="3338">
                  <c:v>2.0500873929902852E-2</c:v>
                </c:pt>
                <c:pt idx="3339">
                  <c:v>2.050127891131126E-2</c:v>
                </c:pt>
                <c:pt idx="3340">
                  <c:v>2.0502629448566623E-2</c:v>
                </c:pt>
                <c:pt idx="3341">
                  <c:v>2.0501644225570104E-2</c:v>
                </c:pt>
                <c:pt idx="3342">
                  <c:v>2.0501898329987611E-2</c:v>
                </c:pt>
                <c:pt idx="3343">
                  <c:v>2.0502151104029309E-2</c:v>
                </c:pt>
                <c:pt idx="3344">
                  <c:v>2.0502402547695198E-2</c:v>
                </c:pt>
                <c:pt idx="3345">
                  <c:v>2.0502652660985277E-2</c:v>
                </c:pt>
                <c:pt idx="3346">
                  <c:v>2.0502901443899546E-2</c:v>
                </c:pt>
                <c:pt idx="3347">
                  <c:v>2.050314889635807E-2</c:v>
                </c:pt>
                <c:pt idx="3348">
                  <c:v>2.0503395018440784E-2</c:v>
                </c:pt>
                <c:pt idx="3349">
                  <c:v>2.0503639810227625E-2</c:v>
                </c:pt>
                <c:pt idx="3350">
                  <c:v>2.050388327155872E-2</c:v>
                </c:pt>
                <c:pt idx="3351">
                  <c:v>2.050412540243407E-2</c:v>
                </c:pt>
                <c:pt idx="3352">
                  <c:v>2.0504366203093483E-2</c:v>
                </c:pt>
                <c:pt idx="3353">
                  <c:v>2.0504605673217213E-2</c:v>
                </c:pt>
                <c:pt idx="3354">
                  <c:v>2.0504843812885198E-2</c:v>
                </c:pt>
                <c:pt idx="3355">
                  <c:v>2.0507484038699175E-2</c:v>
                </c:pt>
                <c:pt idx="3356">
                  <c:v>2.0505316101413484E-2</c:v>
                </c:pt>
                <c:pt idx="3357">
                  <c:v>2.0507352299623527E-2</c:v>
                </c:pt>
                <c:pt idx="3358">
                  <c:v>2.0505783068118788E-2</c:v>
                </c:pt>
                <c:pt idx="3359">
                  <c:v>2.0506014555907726E-2</c:v>
                </c:pt>
                <c:pt idx="3360">
                  <c:v>2.0506244713480726E-2</c:v>
                </c:pt>
                <c:pt idx="3361">
                  <c:v>2.0506473540518044E-2</c:v>
                </c:pt>
                <c:pt idx="3362">
                  <c:v>2.0506701037099617E-2</c:v>
                </c:pt>
                <c:pt idx="3363">
                  <c:v>2.0506927203385317E-2</c:v>
                </c:pt>
                <c:pt idx="3364">
                  <c:v>2.0507152039215271E-2</c:v>
                </c:pt>
                <c:pt idx="3365">
                  <c:v>2.0507375544669415E-2</c:v>
                </c:pt>
                <c:pt idx="3366">
                  <c:v>2.0507597719907622E-2</c:v>
                </c:pt>
                <c:pt idx="3367">
                  <c:v>2.0507818564610147E-2</c:v>
                </c:pt>
                <c:pt idx="3368">
                  <c:v>2.0508038078856927E-2</c:v>
                </c:pt>
                <c:pt idx="3369">
                  <c:v>2.0508256262727897E-2</c:v>
                </c:pt>
                <c:pt idx="3370">
                  <c:v>2.050847311638293E-2</c:v>
                </c:pt>
                <c:pt idx="3371">
                  <c:v>2.0508688639502282E-2</c:v>
                </c:pt>
                <c:pt idx="3372">
                  <c:v>2.0508902832245823E-2</c:v>
                </c:pt>
                <c:pt idx="3373">
                  <c:v>2.0509115694613556E-2</c:v>
                </c:pt>
                <c:pt idx="3374">
                  <c:v>2.0509327226605478E-2</c:v>
                </c:pt>
                <c:pt idx="3375">
                  <c:v>2.0509537428301527E-2</c:v>
                </c:pt>
                <c:pt idx="3376">
                  <c:v>2.0509746299381959E-2</c:v>
                </c:pt>
                <c:pt idx="3377">
                  <c:v>2.0509953840166517E-2</c:v>
                </c:pt>
                <c:pt idx="3378">
                  <c:v>2.0510160050655202E-2</c:v>
                </c:pt>
                <c:pt idx="3379">
                  <c:v>2.0510364930608205E-2</c:v>
                </c:pt>
                <c:pt idx="3380">
                  <c:v>2.0510568480265334E-2</c:v>
                </c:pt>
                <c:pt idx="3381">
                  <c:v>2.051077069962659E-2</c:v>
                </c:pt>
                <c:pt idx="3382">
                  <c:v>2.0510971588372229E-2</c:v>
                </c:pt>
                <c:pt idx="3383">
                  <c:v>2.051117114690193E-2</c:v>
                </c:pt>
                <c:pt idx="3384">
                  <c:v>2.0511369375055821E-2</c:v>
                </c:pt>
                <c:pt idx="3385">
                  <c:v>2.0511566272674031E-2</c:v>
                </c:pt>
                <c:pt idx="3386">
                  <c:v>2.0511761839996367E-2</c:v>
                </c:pt>
                <c:pt idx="3387">
                  <c:v>2.0511956076862958E-2</c:v>
                </c:pt>
                <c:pt idx="3388">
                  <c:v>2.0512148983433676E-2</c:v>
                </c:pt>
                <c:pt idx="3389">
                  <c:v>2.0512340559628583E-2</c:v>
                </c:pt>
                <c:pt idx="3390">
                  <c:v>2.051253080528781E-2</c:v>
                </c:pt>
                <c:pt idx="3391">
                  <c:v>2.0514513301215231E-2</c:v>
                </c:pt>
                <c:pt idx="3392">
                  <c:v>2.05147006331452E-2</c:v>
                </c:pt>
                <c:pt idx="3393">
                  <c:v>2.0513093560170503E-2</c:v>
                </c:pt>
                <c:pt idx="3394">
                  <c:v>2.0513278484326491E-2</c:v>
                </c:pt>
                <c:pt idx="3395">
                  <c:v>2.0513462078186606E-2</c:v>
                </c:pt>
                <c:pt idx="3396">
                  <c:v>2.0513644341511039E-2</c:v>
                </c:pt>
                <c:pt idx="3397">
                  <c:v>2.0513825274539599E-2</c:v>
                </c:pt>
                <c:pt idx="3398">
                  <c:v>2.0514004877192349E-2</c:v>
                </c:pt>
                <c:pt idx="3399">
                  <c:v>2.0514183149549226E-2</c:v>
                </c:pt>
                <c:pt idx="3400">
                  <c:v>2.051436009137042E-2</c:v>
                </c:pt>
                <c:pt idx="3401">
                  <c:v>2.0514535702815806E-2</c:v>
                </c:pt>
                <c:pt idx="3402">
                  <c:v>2.0514709983965318E-2</c:v>
                </c:pt>
                <c:pt idx="3403">
                  <c:v>2.0514882934579148E-2</c:v>
                </c:pt>
                <c:pt idx="3404">
                  <c:v>2.0515054554737233E-2</c:v>
                </c:pt>
                <c:pt idx="3405">
                  <c:v>2.0515224844759317E-2</c:v>
                </c:pt>
                <c:pt idx="3406">
                  <c:v>2.0517780180941969E-2</c:v>
                </c:pt>
                <c:pt idx="3407">
                  <c:v>2.0515561433436247E-2</c:v>
                </c:pt>
                <c:pt idx="3408">
                  <c:v>2.0515727732091094E-2</c:v>
                </c:pt>
                <c:pt idx="3409">
                  <c:v>2.0515892700450067E-2</c:v>
                </c:pt>
                <c:pt idx="3410">
                  <c:v>2.0516056338433231E-2</c:v>
                </c:pt>
                <c:pt idx="3411">
                  <c:v>2.0516218645880713E-2</c:v>
                </c:pt>
                <c:pt idx="3412">
                  <c:v>2.0516379622952385E-2</c:v>
                </c:pt>
                <c:pt idx="3413">
                  <c:v>2.0516539269888057E-2</c:v>
                </c:pt>
                <c:pt idx="3414">
                  <c:v>2.0516697586288046E-2</c:v>
                </c:pt>
                <c:pt idx="3415">
                  <c:v>2.0516854572152354E-2</c:v>
                </c:pt>
                <c:pt idx="3416">
                  <c:v>2.0517010227800725E-2</c:v>
                </c:pt>
                <c:pt idx="3417">
                  <c:v>2.0517164553153222E-2</c:v>
                </c:pt>
                <c:pt idx="3418">
                  <c:v>2.0517317547970038E-2</c:v>
                </c:pt>
                <c:pt idx="3419">
                  <c:v>2.0517469212331108E-2</c:v>
                </c:pt>
                <c:pt idx="3420">
                  <c:v>2.0517619546396304E-2</c:v>
                </c:pt>
                <c:pt idx="3421">
                  <c:v>2.0517768550085691E-2</c:v>
                </c:pt>
                <c:pt idx="3422">
                  <c:v>2.0517916223239396E-2</c:v>
                </c:pt>
                <c:pt idx="3423">
                  <c:v>2.0518062566177164E-2</c:v>
                </c:pt>
                <c:pt idx="3424">
                  <c:v>2.0518207578659187E-2</c:v>
                </c:pt>
                <c:pt idx="3425">
                  <c:v>2.0518351260845336E-2</c:v>
                </c:pt>
                <c:pt idx="3426">
                  <c:v>2.0518493612575739E-2</c:v>
                </c:pt>
                <c:pt idx="3427">
                  <c:v>2.0518634633850397E-2</c:v>
                </c:pt>
                <c:pt idx="3428">
                  <c:v>2.0518774324829181E-2</c:v>
                </c:pt>
                <c:pt idx="3429">
                  <c:v>2.051891268535222E-2</c:v>
                </c:pt>
                <c:pt idx="3430">
                  <c:v>2.0519049715499449E-2</c:v>
                </c:pt>
                <c:pt idx="3431">
                  <c:v>2.0519185415350805E-2</c:v>
                </c:pt>
                <c:pt idx="3432">
                  <c:v>2.0519319784666479E-2</c:v>
                </c:pt>
                <c:pt idx="3433">
                  <c:v>2.0519452823526407E-2</c:v>
                </c:pt>
                <c:pt idx="3434">
                  <c:v>2.0519584532250335E-2</c:v>
                </c:pt>
                <c:pt idx="3435">
                  <c:v>2.0519714910358644E-2</c:v>
                </c:pt>
                <c:pt idx="3436">
                  <c:v>2.0519843958251016E-2</c:v>
                </c:pt>
                <c:pt idx="3437">
                  <c:v>2.0519971675687643E-2</c:v>
                </c:pt>
                <c:pt idx="3438">
                  <c:v>2.052009806274846E-2</c:v>
                </c:pt>
                <c:pt idx="3439">
                  <c:v>2.0520223119353531E-2</c:v>
                </c:pt>
                <c:pt idx="3440">
                  <c:v>2.0520346845502857E-2</c:v>
                </c:pt>
                <c:pt idx="3441">
                  <c:v>2.0520469241436246E-2</c:v>
                </c:pt>
                <c:pt idx="3442">
                  <c:v>2.0520590306993824E-2</c:v>
                </c:pt>
                <c:pt idx="3443">
                  <c:v>2.0520710042015722E-2</c:v>
                </c:pt>
                <c:pt idx="3444">
                  <c:v>2.052082844666181E-2</c:v>
                </c:pt>
                <c:pt idx="3445">
                  <c:v>2.0520945521012024E-2</c:v>
                </c:pt>
                <c:pt idx="3446">
                  <c:v>2.0521061265066365E-2</c:v>
                </c:pt>
                <c:pt idx="3447">
                  <c:v>2.0521175678505088E-2</c:v>
                </c:pt>
                <c:pt idx="3448">
                  <c:v>2.0521288761568002E-2</c:v>
                </c:pt>
                <c:pt idx="3449">
                  <c:v>2.0521400514414978E-2</c:v>
                </c:pt>
                <c:pt idx="3450">
                  <c:v>2.0521510936726273E-2</c:v>
                </c:pt>
                <c:pt idx="3451">
                  <c:v>2.0521620028581822E-2</c:v>
                </c:pt>
                <c:pt idx="3452">
                  <c:v>2.0521727790221433E-2</c:v>
                </c:pt>
                <c:pt idx="3453">
                  <c:v>2.05218342214053E-2</c:v>
                </c:pt>
                <c:pt idx="3454">
                  <c:v>2.0521939322293292E-2</c:v>
                </c:pt>
                <c:pt idx="3455">
                  <c:v>2.0522043092565667E-2</c:v>
                </c:pt>
                <c:pt idx="3456">
                  <c:v>2.0524514438957198E-2</c:v>
                </c:pt>
                <c:pt idx="3457">
                  <c:v>2.0522246642382669E-2</c:v>
                </c:pt>
                <c:pt idx="3458">
                  <c:v>2.0522346421527615E-2</c:v>
                </c:pt>
                <c:pt idx="3459">
                  <c:v>2.0522444870296752E-2</c:v>
                </c:pt>
                <c:pt idx="3460">
                  <c:v>2.0522541988849952E-2</c:v>
                </c:pt>
                <c:pt idx="3461">
                  <c:v>2.0522637776947406E-2</c:v>
                </c:pt>
                <c:pt idx="3462">
                  <c:v>2.0522732234589114E-2</c:v>
                </c:pt>
                <c:pt idx="3463">
                  <c:v>2.0522825361855013E-2</c:v>
                </c:pt>
                <c:pt idx="3464">
                  <c:v>2.0522917158825038E-2</c:v>
                </c:pt>
                <c:pt idx="3465">
                  <c:v>2.0523007625339318E-2</c:v>
                </c:pt>
                <c:pt idx="3466">
                  <c:v>2.0523096761477788E-2</c:v>
                </c:pt>
                <c:pt idx="3467">
                  <c:v>2.0523184567160513E-2</c:v>
                </c:pt>
                <c:pt idx="3468">
                  <c:v>2.0523271042467428E-2</c:v>
                </c:pt>
                <c:pt idx="3469">
                  <c:v>2.0523356187398534E-2</c:v>
                </c:pt>
                <c:pt idx="3470">
                  <c:v>2.0523440002033766E-2</c:v>
                </c:pt>
                <c:pt idx="3471">
                  <c:v>2.0523522486133317E-2</c:v>
                </c:pt>
                <c:pt idx="3472">
                  <c:v>2.052360364001693E-2</c:v>
                </c:pt>
                <c:pt idx="3473">
                  <c:v>2.0523683463364861E-2</c:v>
                </c:pt>
                <c:pt idx="3474">
                  <c:v>2.0523761956496855E-2</c:v>
                </c:pt>
                <c:pt idx="3475">
                  <c:v>2.0523839119013232E-2</c:v>
                </c:pt>
                <c:pt idx="3476">
                  <c:v>2.0523914951153799E-2</c:v>
                </c:pt>
                <c:pt idx="3477">
                  <c:v>2.0523989453078428E-2</c:v>
                </c:pt>
                <c:pt idx="3478">
                  <c:v>2.0524062624467376E-2</c:v>
                </c:pt>
                <c:pt idx="3479">
                  <c:v>2.0524134465560451E-2</c:v>
                </c:pt>
                <c:pt idx="3480">
                  <c:v>2.0524204976117844E-2</c:v>
                </c:pt>
                <c:pt idx="3481">
                  <c:v>2.0524274156379363E-2</c:v>
                </c:pt>
                <c:pt idx="3482">
                  <c:v>2.0524342006265073E-2</c:v>
                </c:pt>
                <c:pt idx="3483">
                  <c:v>2.0524408525934845E-2</c:v>
                </c:pt>
                <c:pt idx="3484">
                  <c:v>2.0524473714829128E-2</c:v>
                </c:pt>
                <c:pt idx="3485">
                  <c:v>2.0524537573587409E-2</c:v>
                </c:pt>
                <c:pt idx="3486">
                  <c:v>2.0524600101969881E-2</c:v>
                </c:pt>
                <c:pt idx="3487">
                  <c:v>2.0524661299976543E-2</c:v>
                </c:pt>
                <c:pt idx="3488">
                  <c:v>2.0524721167367588E-2</c:v>
                </c:pt>
                <c:pt idx="3489">
                  <c:v>2.0524779704622631E-2</c:v>
                </c:pt>
                <c:pt idx="3490">
                  <c:v>2.0524836911421929E-2</c:v>
                </c:pt>
                <c:pt idx="3491">
                  <c:v>2.0524892787765481E-2</c:v>
                </c:pt>
                <c:pt idx="3492">
                  <c:v>2.0524947333653287E-2</c:v>
                </c:pt>
                <c:pt idx="3493">
                  <c:v>2.052500054924522E-2</c:v>
                </c:pt>
                <c:pt idx="3494">
                  <c:v>2.052505243454128E-2</c:v>
                </c:pt>
                <c:pt idx="3495">
                  <c:v>2.0525102989301658E-2</c:v>
                </c:pt>
                <c:pt idx="3496">
                  <c:v>2.0526924865331697E-2</c:v>
                </c:pt>
                <c:pt idx="3497">
                  <c:v>2.0526383795056447E-2</c:v>
                </c:pt>
                <c:pt idx="3498">
                  <c:v>2.0526429983869221E-2</c:v>
                </c:pt>
                <c:pt idx="3499">
                  <c:v>2.0526474842119669E-2</c:v>
                </c:pt>
                <c:pt idx="3500">
                  <c:v>2.052651836986108E-2</c:v>
                </c:pt>
                <c:pt idx="3501">
                  <c:v>2.0526560567013519E-2</c:v>
                </c:pt>
                <c:pt idx="3502">
                  <c:v>2.0526601433656921E-2</c:v>
                </c:pt>
                <c:pt idx="3503">
                  <c:v>2.0526640969737997E-2</c:v>
                </c:pt>
                <c:pt idx="3504">
                  <c:v>2.0526679175283391E-2</c:v>
                </c:pt>
                <c:pt idx="3505">
                  <c:v>2.0526716050319749E-2</c:v>
                </c:pt>
                <c:pt idx="3506">
                  <c:v>2.0526751594740489E-2</c:v>
                </c:pt>
                <c:pt idx="3507">
                  <c:v>2.0526785808678838E-2</c:v>
                </c:pt>
                <c:pt idx="3508">
                  <c:v>2.0526818692081505E-2</c:v>
                </c:pt>
                <c:pt idx="3509">
                  <c:v>2.0526850244948491E-2</c:v>
                </c:pt>
                <c:pt idx="3510">
                  <c:v>2.0526880467226505E-2</c:v>
                </c:pt>
                <c:pt idx="3511">
                  <c:v>2.0525751025006755E-2</c:v>
                </c:pt>
                <c:pt idx="3512">
                  <c:v>2.0526936920202132E-2</c:v>
                </c:pt>
                <c:pt idx="3513">
                  <c:v>2.0526963150899746E-2</c:v>
                </c:pt>
                <c:pt idx="3514">
                  <c:v>2.0526988051008388E-2</c:v>
                </c:pt>
                <c:pt idx="3515">
                  <c:v>2.0527011620607993E-2</c:v>
                </c:pt>
                <c:pt idx="3516">
                  <c:v>2.0527033859671917E-2</c:v>
                </c:pt>
                <c:pt idx="3517">
                  <c:v>2.0527054768173514E-2</c:v>
                </c:pt>
                <c:pt idx="3518">
                  <c:v>2.0527074346139429E-2</c:v>
                </c:pt>
                <c:pt idx="3519">
                  <c:v>2.0527092593543017E-2</c:v>
                </c:pt>
                <c:pt idx="3520">
                  <c:v>2.052710951049086E-2</c:v>
                </c:pt>
                <c:pt idx="3521">
                  <c:v>2.0527125096796439E-2</c:v>
                </c:pt>
                <c:pt idx="3522">
                  <c:v>2.0527139352619628E-2</c:v>
                </c:pt>
                <c:pt idx="3523">
                  <c:v>2.0527152277880489E-2</c:v>
                </c:pt>
                <c:pt idx="3524">
                  <c:v>2.0527163872605669E-2</c:v>
                </c:pt>
                <c:pt idx="3525">
                  <c:v>2.0527174136741877E-2</c:v>
                </c:pt>
                <c:pt idx="3526">
                  <c:v>2.0527183070395694E-2</c:v>
                </c:pt>
                <c:pt idx="3527">
                  <c:v>2.0527190673487183E-2</c:v>
                </c:pt>
                <c:pt idx="3528">
                  <c:v>2.0527196946042991E-2</c:v>
                </c:pt>
                <c:pt idx="3529">
                  <c:v>2.0527201888063118E-2</c:v>
                </c:pt>
                <c:pt idx="3530">
                  <c:v>2.0527205499520917E-2</c:v>
                </c:pt>
                <c:pt idx="3531">
                  <c:v>2.0527207780496326E-2</c:v>
                </c:pt>
                <c:pt idx="3532">
                  <c:v>2.0527208730829472E-2</c:v>
                </c:pt>
                <c:pt idx="3533">
                  <c:v>#N/A</c:v>
                </c:pt>
              </c:numCache>
            </c:numRef>
          </c:val>
          <c:smooth val="0"/>
        </c:ser>
        <c:dLbls>
          <c:showLegendKey val="0"/>
          <c:showVal val="0"/>
          <c:showCatName val="0"/>
          <c:showSerName val="0"/>
          <c:showPercent val="0"/>
          <c:showBubbleSize val="0"/>
        </c:dLbls>
        <c:marker val="1"/>
        <c:smooth val="0"/>
        <c:axId val="78282112"/>
        <c:axId val="78292480"/>
      </c:lineChart>
      <c:dateAx>
        <c:axId val="78282112"/>
        <c:scaling>
          <c:orientation val="minMax"/>
          <c:max val="42621"/>
          <c:min val="41820"/>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8292480"/>
        <c:crosses val="autoZero"/>
        <c:auto val="1"/>
        <c:lblOffset val="100"/>
        <c:baseTimeUnit val="days"/>
        <c:majorUnit val="3"/>
        <c:majorTimeUnit val="months"/>
      </c:dateAx>
      <c:valAx>
        <c:axId val="78292480"/>
        <c:scaling>
          <c:orientation val="minMax"/>
          <c:max val="2E-3"/>
          <c:min val="-1E-3"/>
        </c:scaling>
        <c:delete val="0"/>
        <c:axPos val="l"/>
        <c:majorGridlines/>
        <c:numFmt formatCode="0.00%" sourceLinked="0"/>
        <c:majorTickMark val="out"/>
        <c:minorTickMark val="none"/>
        <c:tickLblPos val="nextTo"/>
        <c:crossAx val="7828211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186689</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381000</xdr:colOff>
          <xdr:row>36</xdr:row>
          <xdr:rowOff>28575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381000</xdr:colOff>
          <xdr:row>28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381000</xdr:colOff>
          <xdr:row>44</xdr:row>
          <xdr:rowOff>57150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177165</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381000</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381000</xdr:colOff>
          <xdr:row>30</xdr:row>
          <xdr:rowOff>104775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381000</xdr:colOff>
          <xdr:row>33</xdr:row>
          <xdr:rowOff>66675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381000</xdr:colOff>
          <xdr:row>38</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381000</xdr:colOff>
          <xdr:row>41</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57" customWidth="1"/>
    <col min="3" max="3" width="18" style="157" bestFit="1" customWidth="1"/>
    <col min="4" max="4" width="23.85546875" style="157" bestFit="1" customWidth="1"/>
    <col min="5" max="5" width="22" style="157" bestFit="1" customWidth="1"/>
    <col min="6" max="7" width="2.7109375" style="157" customWidth="1"/>
    <col min="8" max="8" width="4" style="157" bestFit="1" customWidth="1"/>
    <col min="9" max="9" width="3.28515625" style="157" bestFit="1" customWidth="1"/>
    <col min="10" max="11" width="2.7109375" style="157" customWidth="1"/>
    <col min="12" max="12" width="18.5703125" style="157" bestFit="1" customWidth="1"/>
    <col min="13" max="13" width="53.7109375" style="157" bestFit="1" customWidth="1"/>
    <col min="14" max="14" width="2.7109375" style="157" customWidth="1"/>
    <col min="15" max="16384" width="8" style="157"/>
  </cols>
  <sheetData>
    <row r="1" spans="2:14" ht="12" thickBot="1" x14ac:dyDescent="0.25">
      <c r="B1" s="157" t="str">
        <f>_xll.qlxlVersion(TRUE,Trigger)</f>
        <v>QuantLibXL 1.5.0 - MS VC++ 9.0 - Multithreaded Dynamic Runtime library - Release Configuration - Aug  6 2014 11:45:43</v>
      </c>
    </row>
    <row r="2" spans="2:14" ht="18.75" thickBot="1" x14ac:dyDescent="0.3">
      <c r="B2" s="251" t="s">
        <v>111</v>
      </c>
      <c r="C2" s="252"/>
      <c r="D2" s="252"/>
      <c r="E2" s="252"/>
      <c r="F2" s="253"/>
      <c r="K2" s="251" t="s">
        <v>126</v>
      </c>
      <c r="L2" s="252"/>
      <c r="M2" s="252"/>
      <c r="N2" s="254"/>
    </row>
    <row r="3" spans="2:14" ht="12" thickBot="1" x14ac:dyDescent="0.25">
      <c r="B3" s="55"/>
      <c r="C3" s="84"/>
      <c r="D3" s="54"/>
      <c r="E3" s="54"/>
      <c r="F3" s="53"/>
      <c r="K3" s="118"/>
      <c r="L3" s="121"/>
      <c r="M3" s="121"/>
      <c r="N3" s="120"/>
    </row>
    <row r="4" spans="2:14" x14ac:dyDescent="0.2">
      <c r="B4" s="55"/>
      <c r="C4" s="83" t="s">
        <v>110</v>
      </c>
      <c r="D4" s="70" t="s">
        <v>107</v>
      </c>
      <c r="E4" s="54"/>
      <c r="F4" s="53"/>
      <c r="H4" s="159" t="s">
        <v>109</v>
      </c>
      <c r="I4" s="160"/>
      <c r="K4" s="118"/>
      <c r="L4" s="117" t="s">
        <v>125</v>
      </c>
      <c r="M4" s="111" t="b">
        <v>0</v>
      </c>
      <c r="N4" s="116"/>
    </row>
    <row r="5" spans="2:14" x14ac:dyDescent="0.2">
      <c r="B5" s="55"/>
      <c r="C5" s="82" t="s">
        <v>108</v>
      </c>
      <c r="D5" s="56">
        <v>1</v>
      </c>
      <c r="E5" s="54"/>
      <c r="F5" s="53"/>
      <c r="H5" s="161" t="s">
        <v>107</v>
      </c>
      <c r="I5" s="162" t="s">
        <v>106</v>
      </c>
      <c r="K5" s="118"/>
      <c r="L5" s="117" t="s">
        <v>124</v>
      </c>
      <c r="M5" s="119"/>
      <c r="N5" s="116"/>
    </row>
    <row r="6" spans="2:14" x14ac:dyDescent="0.2">
      <c r="B6" s="55"/>
      <c r="C6" s="82" t="s">
        <v>105</v>
      </c>
      <c r="D6" s="56" t="str">
        <f>_xll.qlPeriodEquivalent(D5&amp;"M")</f>
        <v>1M</v>
      </c>
      <c r="E6" s="54"/>
      <c r="F6" s="53"/>
      <c r="H6" s="161" t="s">
        <v>104</v>
      </c>
      <c r="I6" s="162"/>
      <c r="K6" s="118"/>
      <c r="L6" s="117" t="s">
        <v>123</v>
      </c>
      <c r="M6" s="108" t="b">
        <v>1</v>
      </c>
      <c r="N6" s="116"/>
    </row>
    <row r="7" spans="2:14" ht="12" thickBot="1" x14ac:dyDescent="0.25">
      <c r="B7" s="55"/>
      <c r="C7" s="82" t="s">
        <v>103</v>
      </c>
      <c r="D7" s="56" t="str">
        <f>Months&amp;IF(UPPER(Currency)="EUR","E","L")</f>
        <v>1E</v>
      </c>
      <c r="E7" s="54"/>
      <c r="F7" s="53"/>
      <c r="H7" s="161" t="s">
        <v>102</v>
      </c>
      <c r="I7" s="162"/>
      <c r="K7" s="115"/>
      <c r="L7" s="114"/>
      <c r="M7" s="114"/>
      <c r="N7" s="113"/>
    </row>
    <row r="8" spans="2:14" ht="12" thickBot="1" x14ac:dyDescent="0.25">
      <c r="B8" s="55"/>
      <c r="C8" s="82" t="s">
        <v>101</v>
      </c>
      <c r="D8" s="56" t="str">
        <f>VLOOKUP(Currency,H4:I8,2)</f>
        <v>AB</v>
      </c>
      <c r="E8" s="54"/>
      <c r="F8" s="53"/>
      <c r="H8" s="163" t="s">
        <v>100</v>
      </c>
      <c r="I8" s="164" t="s">
        <v>99</v>
      </c>
      <c r="K8" s="158"/>
      <c r="L8" s="158"/>
      <c r="M8" s="158"/>
      <c r="N8" s="158"/>
    </row>
    <row r="9" spans="2:14" ht="18.75" thickBot="1" x14ac:dyDescent="0.3">
      <c r="B9" s="55"/>
      <c r="C9" s="82" t="s">
        <v>98</v>
      </c>
      <c r="D9" s="56" t="str">
        <f>Currency&amp;"_YC"&amp;IndexTenor&amp;"RH"</f>
        <v>EUR_YC1MRH</v>
      </c>
      <c r="E9" s="54"/>
      <c r="F9" s="53"/>
      <c r="K9" s="251" t="s">
        <v>122</v>
      </c>
      <c r="L9" s="252"/>
      <c r="M9" s="252"/>
      <c r="N9" s="254"/>
    </row>
    <row r="10" spans="2:14" ht="12.75" x14ac:dyDescent="0.2">
      <c r="B10" s="55"/>
      <c r="C10" s="81" t="s">
        <v>97</v>
      </c>
      <c r="D10" s="56" t="b">
        <v>1</v>
      </c>
      <c r="E10" s="54"/>
      <c r="F10" s="53"/>
      <c r="K10" s="110"/>
      <c r="L10" s="112"/>
      <c r="M10" s="112"/>
      <c r="N10" s="107"/>
    </row>
    <row r="11" spans="2:14" ht="12.75" x14ac:dyDescent="0.2">
      <c r="B11" s="55"/>
      <c r="C11" s="81" t="s">
        <v>96</v>
      </c>
      <c r="D11" s="80"/>
      <c r="E11" s="54"/>
      <c r="F11" s="53"/>
      <c r="K11" s="110"/>
      <c r="L11" s="109" t="s">
        <v>121</v>
      </c>
      <c r="M11" s="111" t="s">
        <v>120</v>
      </c>
      <c r="N11" s="107"/>
    </row>
    <row r="12" spans="2:14" ht="12.75" x14ac:dyDescent="0.2">
      <c r="B12" s="55"/>
      <c r="C12" s="79" t="s">
        <v>95</v>
      </c>
      <c r="D12" s="78" t="b">
        <v>1</v>
      </c>
      <c r="E12" s="54"/>
      <c r="F12" s="53"/>
      <c r="K12" s="110"/>
      <c r="L12" s="109" t="s">
        <v>119</v>
      </c>
      <c r="M12" s="108" t="s">
        <v>118</v>
      </c>
      <c r="N12" s="107"/>
    </row>
    <row r="13" spans="2:14" ht="12.75" x14ac:dyDescent="0.2">
      <c r="B13" s="55"/>
      <c r="C13" s="60"/>
      <c r="D13" s="60"/>
      <c r="E13" s="54"/>
      <c r="F13" s="53"/>
      <c r="K13" s="110"/>
      <c r="L13" s="109" t="s">
        <v>147</v>
      </c>
      <c r="M13" s="111" t="str">
        <f>PROPER(Currency)&amp;"ON"</f>
        <v>EurON</v>
      </c>
      <c r="N13" s="107"/>
    </row>
    <row r="14" spans="2:14" ht="12.75" x14ac:dyDescent="0.2">
      <c r="B14" s="55"/>
      <c r="C14" s="75" t="s">
        <v>94</v>
      </c>
      <c r="D14" s="77" t="str">
        <f>_xll.qlPiecewiseYieldCurve(D16,NDays,Calendar,_xll.ohPack(Selected!D2:D126),DayCounter,,,Accuracy,TraitsID,InterpolatorID,Permanent,,ObjectOverwrite)</f>
        <v>_EURYC1M#0002</v>
      </c>
      <c r="E14" s="54"/>
      <c r="F14" s="53"/>
      <c r="K14" s="152"/>
      <c r="L14" s="153" t="s">
        <v>151</v>
      </c>
      <c r="M14" s="154" t="s">
        <v>152</v>
      </c>
      <c r="N14" s="155"/>
    </row>
    <row r="15" spans="2:14" ht="12.75" x14ac:dyDescent="0.2">
      <c r="B15" s="55"/>
      <c r="C15" s="62" t="s">
        <v>72</v>
      </c>
      <c r="D15" s="76" t="str">
        <f>_xll.ohRangeRetrieveError(YieldCurve)</f>
        <v/>
      </c>
      <c r="E15" s="156" t="s">
        <v>155</v>
      </c>
      <c r="F15" s="53"/>
      <c r="K15" s="152"/>
      <c r="L15" s="153" t="s">
        <v>153</v>
      </c>
      <c r="M15" s="154" t="s">
        <v>154</v>
      </c>
      <c r="N15" s="155"/>
    </row>
    <row r="16" spans="2:14" ht="13.5" thickBot="1" x14ac:dyDescent="0.25">
      <c r="B16" s="55"/>
      <c r="C16" s="75" t="s">
        <v>93</v>
      </c>
      <c r="D16" s="74" t="str">
        <f>"_"&amp;Currency&amp;"YC"&amp;IndexTenor</f>
        <v>_EURYC1M</v>
      </c>
      <c r="E16" s="54"/>
      <c r="F16" s="53"/>
      <c r="K16" s="106"/>
      <c r="L16" s="105"/>
      <c r="M16" s="105"/>
      <c r="N16" s="104"/>
    </row>
    <row r="17" spans="2:6" x14ac:dyDescent="0.2">
      <c r="B17" s="55"/>
      <c r="C17" s="64" t="s">
        <v>92</v>
      </c>
      <c r="D17" s="73">
        <v>2</v>
      </c>
      <c r="E17" s="54"/>
      <c r="F17" s="53"/>
    </row>
    <row r="18" spans="2:6" x14ac:dyDescent="0.2">
      <c r="B18" s="55"/>
      <c r="C18" s="64" t="s">
        <v>91</v>
      </c>
      <c r="D18" s="72" t="s">
        <v>90</v>
      </c>
      <c r="E18" s="54"/>
      <c r="F18" s="53"/>
    </row>
    <row r="19" spans="2:6" x14ac:dyDescent="0.2">
      <c r="B19" s="55"/>
      <c r="C19" s="64" t="s">
        <v>89</v>
      </c>
      <c r="D19" s="72"/>
      <c r="E19" s="54"/>
      <c r="F19" s="53"/>
    </row>
    <row r="20" spans="2:6" x14ac:dyDescent="0.2">
      <c r="B20" s="55"/>
      <c r="C20" s="64" t="s">
        <v>88</v>
      </c>
      <c r="D20" s="71" t="str">
        <f>Currency&amp;"TOY_SYNTH"&amp;IndexTenor&amp;"_Quote"</f>
        <v>EURTOY_SYNTH1M_Quote</v>
      </c>
      <c r="E20" s="70" t="str">
        <f>Currency&amp;"TOY2_SYNTH"&amp;IndexTenor&amp;"_Quote"</f>
        <v>EURTOY2_SYNTH1M_Quote</v>
      </c>
      <c r="F20" s="53"/>
    </row>
    <row r="21" spans="2:6" x14ac:dyDescent="0.2">
      <c r="B21" s="55"/>
      <c r="C21" s="64" t="s">
        <v>87</v>
      </c>
      <c r="D21" s="69">
        <f>DATE(YEAR(_xll.qlCalendarAdvance(Calendar,_xll.qlSettingsEvaluationDate(Trigger),NDays&amp;"D")),12,31)</f>
        <v>42004</v>
      </c>
      <c r="E21" s="68">
        <f>DATE(YEAR(D21+1),12,31)</f>
        <v>42369</v>
      </c>
      <c r="F21" s="53"/>
    </row>
    <row r="22" spans="2:6" x14ac:dyDescent="0.2">
      <c r="B22" s="55"/>
      <c r="C22" s="64" t="s">
        <v>86</v>
      </c>
      <c r="D22" s="67"/>
      <c r="E22" s="66"/>
      <c r="F22" s="53"/>
    </row>
    <row r="23" spans="2:6" x14ac:dyDescent="0.2">
      <c r="B23" s="55"/>
      <c r="C23" s="64" t="s">
        <v>85</v>
      </c>
      <c r="D23" s="65" t="e">
        <f>NA()</f>
        <v>#N/A</v>
      </c>
      <c r="E23" s="54"/>
      <c r="F23" s="53"/>
    </row>
    <row r="24" spans="2:6" x14ac:dyDescent="0.2">
      <c r="B24" s="55"/>
      <c r="C24" s="64" t="s">
        <v>84</v>
      </c>
      <c r="D24" s="63" t="s">
        <v>83</v>
      </c>
      <c r="E24" s="54"/>
      <c r="F24" s="53"/>
    </row>
    <row r="25" spans="2:6" x14ac:dyDescent="0.2">
      <c r="B25" s="55"/>
      <c r="C25" s="62" t="s">
        <v>82</v>
      </c>
      <c r="D25" s="61" t="s">
        <v>81</v>
      </c>
      <c r="E25" s="54"/>
      <c r="F25" s="53"/>
    </row>
    <row r="26" spans="2:6" x14ac:dyDescent="0.2">
      <c r="B26" s="55"/>
      <c r="C26" s="60"/>
      <c r="D26" s="60"/>
      <c r="E26" s="54"/>
      <c r="F26" s="53"/>
    </row>
    <row r="27" spans="2:6" x14ac:dyDescent="0.2">
      <c r="B27" s="55"/>
      <c r="C27" s="59">
        <f>_xll.qlTermStructureReferenceDate(YieldCurve)</f>
        <v>41890</v>
      </c>
      <c r="D27" s="58">
        <f>MAX(_xll.ohPack(Selected!J1:J126))</f>
        <v>1.0003401126402878</v>
      </c>
      <c r="E27" s="54"/>
      <c r="F27" s="53"/>
    </row>
    <row r="28" spans="2:6" x14ac:dyDescent="0.2">
      <c r="B28" s="55"/>
      <c r="C28" s="57">
        <f>MAX(_xll.ohPack(Selected!I2:I126))</f>
        <v>63807</v>
      </c>
      <c r="D28" s="56">
        <f>MIN(_xll.ohPack(Selected!J1:J126))</f>
        <v>0.30812170528744776</v>
      </c>
      <c r="E28" s="54"/>
      <c r="F28" s="53"/>
    </row>
    <row r="29" spans="2:6" x14ac:dyDescent="0.2">
      <c r="B29" s="55"/>
      <c r="C29" s="168" t="s">
        <v>72</v>
      </c>
      <c r="D29" s="169" t="str">
        <f>_xll.ohRangeRetrieveError(Selected!J1)</f>
        <v/>
      </c>
      <c r="E29" s="54"/>
      <c r="F29" s="53"/>
    </row>
    <row r="30" spans="2:6" ht="11.25" customHeight="1" x14ac:dyDescent="0.2">
      <c r="B30" s="55"/>
      <c r="C30" s="233" t="s">
        <v>156</v>
      </c>
      <c r="D30" s="234" t="b">
        <f>_xll.qlRelinkableHandleLinkTo(C30,YieldCurve)</f>
        <v>1</v>
      </c>
      <c r="E30" s="54"/>
      <c r="F30" s="53"/>
    </row>
    <row r="31" spans="2:6" x14ac:dyDescent="0.2">
      <c r="B31" s="55"/>
      <c r="C31" s="170" t="s">
        <v>187</v>
      </c>
      <c r="D31" s="167" t="b">
        <v>0</v>
      </c>
      <c r="E31" s="54"/>
      <c r="F31" s="53"/>
    </row>
    <row r="32" spans="2:6" ht="12" thickBot="1" x14ac:dyDescent="0.25">
      <c r="B32" s="52"/>
      <c r="C32" s="166"/>
      <c r="D32" s="227"/>
      <c r="E32" s="51"/>
      <c r="F32" s="5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8"/>
  <sheetViews>
    <sheetView topLeftCell="F1" workbookViewId="0">
      <selection activeCell="F1" sqref="F1"/>
    </sheetView>
  </sheetViews>
  <sheetFormatPr defaultRowHeight="11.25" x14ac:dyDescent="0.2"/>
  <cols>
    <col min="1" max="1" width="4.85546875" style="1" hidden="1" customWidth="1"/>
    <col min="2" max="2" width="5.28515625" style="2" hidden="1" customWidth="1"/>
    <col min="3" max="3" width="7.7109375" style="2" hidden="1" customWidth="1"/>
    <col min="4" max="4" width="17.42578125" style="2" hidden="1" customWidth="1"/>
    <col min="5" max="5" width="27.7109375" style="2" hidden="1" customWidth="1"/>
    <col min="6" max="6" width="27.7109375" style="2" customWidth="1"/>
    <col min="7" max="7" width="8" style="2" bestFit="1" customWidth="1"/>
    <col min="8" max="8" width="7.140625" style="2" bestFit="1" customWidth="1"/>
    <col min="9" max="10" width="6.7109375" style="2" bestFit="1" customWidth="1"/>
    <col min="11" max="11" width="7.7109375" style="2" bestFit="1" customWidth="1"/>
    <col min="12" max="12" width="14.28515625" style="2" bestFit="1" customWidth="1"/>
    <col min="13" max="13" width="14.140625" style="2" bestFit="1" customWidth="1"/>
    <col min="14" max="14" width="2.7109375" style="1" bestFit="1" customWidth="1"/>
    <col min="15" max="15" width="13.5703125" style="1" bestFit="1" customWidth="1"/>
    <col min="16" max="16" width="19.28515625" style="1" customWidth="1"/>
    <col min="17" max="17" width="3.5703125" style="1" customWidth="1"/>
    <col min="18" max="16384" width="9.140625" style="1"/>
  </cols>
  <sheetData>
    <row r="1" spans="2:15" ht="33.75" x14ac:dyDescent="0.2">
      <c r="B1" s="255" t="s">
        <v>71</v>
      </c>
      <c r="C1" s="256"/>
      <c r="D1" s="257"/>
      <c r="E1" s="31" t="s">
        <v>70</v>
      </c>
      <c r="F1" s="31" t="s">
        <v>191</v>
      </c>
      <c r="G1" s="31" t="s">
        <v>69</v>
      </c>
      <c r="H1" s="31" t="s">
        <v>68</v>
      </c>
      <c r="I1" s="31" t="s">
        <v>67</v>
      </c>
      <c r="J1" s="31" t="s">
        <v>66</v>
      </c>
      <c r="K1" s="31" t="s">
        <v>65</v>
      </c>
      <c r="L1" s="31" t="s">
        <v>64</v>
      </c>
      <c r="M1" s="31" t="s">
        <v>63</v>
      </c>
    </row>
    <row r="2" spans="2:15" x14ac:dyDescent="0.2">
      <c r="B2" s="30"/>
      <c r="C2" s="15"/>
      <c r="D2" s="14" t="s">
        <v>62</v>
      </c>
      <c r="E2" s="14" t="str">
        <f>Deposits!J3</f>
        <v>obj_00723#0002</v>
      </c>
      <c r="F2" s="14" t="str">
        <f>_xll.qlRateHelperQuoteName(E2)</f>
        <v>EURSND_SYNTH1M_Quote</v>
      </c>
      <c r="G2" s="13">
        <f>_xll.qlRateHelperQuoteValue($E2,Trigger)</f>
        <v>1.6670000000000001E-3</v>
      </c>
      <c r="H2" s="13"/>
      <c r="I2" s="12" t="b">
        <v>1</v>
      </c>
      <c r="J2" s="12">
        <v>10</v>
      </c>
      <c r="K2" s="12">
        <v>1</v>
      </c>
      <c r="L2" s="11">
        <f>_xll.qlRateHelperEarliestDate($E2,Trigger)</f>
        <v>41890</v>
      </c>
      <c r="M2" s="10">
        <f>_xll.qlRateHelperLatestDate($E2,Trigger)</f>
        <v>41891</v>
      </c>
      <c r="N2" s="1">
        <v>30</v>
      </c>
      <c r="O2" s="1" t="s">
        <v>61</v>
      </c>
    </row>
    <row r="3" spans="2:15" x14ac:dyDescent="0.2">
      <c r="B3" s="30"/>
      <c r="C3" s="15"/>
      <c r="D3" s="14" t="s">
        <v>60</v>
      </c>
      <c r="E3" s="14" t="str">
        <f>Deposits!J4</f>
        <v>obj_00725#0002</v>
      </c>
      <c r="F3" s="14" t="str">
        <f>_xll.qlRateHelperQuoteName(E3)</f>
        <v>EURSWD_SYNTH1M_Quote</v>
      </c>
      <c r="G3" s="13">
        <f>_xll.qlRateHelperQuoteValue($E3,Trigger)</f>
        <v>9.1200000000000005E-4</v>
      </c>
      <c r="H3" s="13"/>
      <c r="I3" s="12" t="b">
        <v>1</v>
      </c>
      <c r="J3" s="12">
        <v>10</v>
      </c>
      <c r="K3" s="12">
        <v>1</v>
      </c>
      <c r="L3" s="11">
        <f>_xll.qlRateHelperEarliestDate($E3,Trigger)</f>
        <v>41890</v>
      </c>
      <c r="M3" s="10">
        <f>_xll.qlRateHelperLatestDate($E3,Trigger)</f>
        <v>41897</v>
      </c>
      <c r="N3" s="1">
        <v>40</v>
      </c>
      <c r="O3" s="1" t="s">
        <v>59</v>
      </c>
    </row>
    <row r="4" spans="2:15" x14ac:dyDescent="0.2">
      <c r="B4" s="30"/>
      <c r="C4" s="15"/>
      <c r="D4" s="14" t="s">
        <v>58</v>
      </c>
      <c r="E4" s="14" t="str">
        <f>Deposits!J5</f>
        <v>obj_00727#0002</v>
      </c>
      <c r="F4" s="14" t="str">
        <f>_xll.qlRateHelperQuoteName(E4)</f>
        <v>EUR2WD_SYNTH1M_Quote</v>
      </c>
      <c r="G4" s="13">
        <f>_xll.qlRateHelperQuoteValue($E4,Trigger)</f>
        <v>7.9799999999999999E-4</v>
      </c>
      <c r="H4" s="13"/>
      <c r="I4" s="12" t="b">
        <v>1</v>
      </c>
      <c r="J4" s="12">
        <v>10</v>
      </c>
      <c r="K4" s="12">
        <v>1</v>
      </c>
      <c r="L4" s="11">
        <f>_xll.qlRateHelperEarliestDate($E4,Trigger)</f>
        <v>41890</v>
      </c>
      <c r="M4" s="10">
        <f>_xll.qlRateHelperLatestDate($E4,Trigger)</f>
        <v>41904</v>
      </c>
      <c r="N4" s="1">
        <v>50</v>
      </c>
      <c r="O4" s="1" t="s">
        <v>57</v>
      </c>
    </row>
    <row r="5" spans="2:15" x14ac:dyDescent="0.2">
      <c r="B5" s="30"/>
      <c r="C5" s="15"/>
      <c r="D5" s="14" t="s">
        <v>56</v>
      </c>
      <c r="E5" s="14" t="str">
        <f>Deposits!J6</f>
        <v>obj_00724#0002</v>
      </c>
      <c r="F5" s="14" t="str">
        <f>_xll.qlRateHelperQuoteName(E5)</f>
        <v>EUR3WD_SYNTH1M_Quote</v>
      </c>
      <c r="G5" s="13">
        <f>_xll.qlRateHelperQuoteValue($E5,Trigger)</f>
        <v>6.5399999999999996E-4</v>
      </c>
      <c r="H5" s="13"/>
      <c r="I5" s="12" t="b">
        <v>1</v>
      </c>
      <c r="J5" s="12">
        <v>10</v>
      </c>
      <c r="K5" s="12">
        <v>1</v>
      </c>
      <c r="L5" s="11">
        <f>_xll.qlRateHelperEarliestDate($E5,Trigger)</f>
        <v>41890</v>
      </c>
      <c r="M5" s="10">
        <f>_xll.qlRateHelperLatestDate($E5,Trigger)</f>
        <v>41911</v>
      </c>
      <c r="N5" s="1">
        <v>60</v>
      </c>
      <c r="O5" s="1" t="s">
        <v>55</v>
      </c>
    </row>
    <row r="6" spans="2:15" x14ac:dyDescent="0.2">
      <c r="B6" s="30"/>
      <c r="C6" s="15"/>
      <c r="D6" s="14" t="s">
        <v>54</v>
      </c>
      <c r="E6" s="14" t="str">
        <f>Deposits!J7</f>
        <v>obj_00726#0002</v>
      </c>
      <c r="F6" s="14" t="str">
        <f>_xll.qlRateHelperQuoteName(E6)</f>
        <v>EUR1MD_SYNTH1M_Quote</v>
      </c>
      <c r="G6" s="13">
        <f>_xll.qlRateHelperQuoteValue($E6,Trigger)</f>
        <v>5.9000000000000003E-4</v>
      </c>
      <c r="H6" s="13"/>
      <c r="I6" s="12" t="b">
        <v>1</v>
      </c>
      <c r="J6" s="12">
        <v>10</v>
      </c>
      <c r="K6" s="12">
        <v>1</v>
      </c>
      <c r="L6" s="11">
        <f>_xll.qlRateHelperEarliestDate($E6,Trigger)</f>
        <v>41890</v>
      </c>
      <c r="M6" s="10">
        <f>_xll.qlRateHelperLatestDate($E6,Trigger)</f>
        <v>41920</v>
      </c>
      <c r="N6" s="1">
        <v>70</v>
      </c>
      <c r="O6" s="1" t="s">
        <v>53</v>
      </c>
    </row>
    <row r="7" spans="2:15" hidden="1" x14ac:dyDescent="0.2">
      <c r="B7" s="30"/>
      <c r="C7" s="15"/>
      <c r="D7" s="14" t="s">
        <v>52</v>
      </c>
      <c r="E7" s="14" t="str">
        <f t="shared" ref="E7:E31" si="0">RateHelperPrefix&amp;"_"&amp;$B7&amp;$C7&amp;$D7</f>
        <v>EUR_YC1MRH_2MD</v>
      </c>
      <c r="F7" s="14" t="e">
        <f>_xll.qlRateHelperQuoteName(E7)</f>
        <v>#NUM!</v>
      </c>
      <c r="G7" s="13" t="e">
        <f>_xll.qlRateHelperQuoteValue($E7,Trigger)</f>
        <v>#NUM!</v>
      </c>
      <c r="H7" s="13"/>
      <c r="I7" s="12" t="b">
        <v>0</v>
      </c>
      <c r="J7" s="12">
        <v>10</v>
      </c>
      <c r="K7" s="12">
        <v>1</v>
      </c>
      <c r="L7" s="11" t="e">
        <f>_xll.qlRateHelperEarliestDate($E7,Trigger)</f>
        <v>#NUM!</v>
      </c>
      <c r="M7" s="10" t="e">
        <f>_xll.qlRateHelperLatestDate($E7,Trigger)</f>
        <v>#NUM!</v>
      </c>
    </row>
    <row r="8" spans="2:15" hidden="1" x14ac:dyDescent="0.2">
      <c r="B8" s="30"/>
      <c r="C8" s="15"/>
      <c r="D8" s="14" t="s">
        <v>51</v>
      </c>
      <c r="E8" s="14" t="str">
        <f t="shared" si="0"/>
        <v>EUR_YC1MRH_3MD</v>
      </c>
      <c r="F8" s="14" t="e">
        <f>_xll.qlRateHelperQuoteName(E8)</f>
        <v>#NUM!</v>
      </c>
      <c r="G8" s="13" t="e">
        <f>_xll.qlRateHelperQuoteValue($E8,Trigger)</f>
        <v>#NUM!</v>
      </c>
      <c r="H8" s="13"/>
      <c r="I8" s="12" t="b">
        <v>0</v>
      </c>
      <c r="J8" s="12">
        <v>10</v>
      </c>
      <c r="K8" s="12">
        <v>1</v>
      </c>
      <c r="L8" s="11" t="e">
        <f>_xll.qlRateHelperEarliestDate($E8,Trigger)</f>
        <v>#NUM!</v>
      </c>
      <c r="M8" s="10" t="e">
        <f>_xll.qlRateHelperLatestDate($E8,Trigger)</f>
        <v>#NUM!</v>
      </c>
    </row>
    <row r="9" spans="2:15" hidden="1" x14ac:dyDescent="0.2">
      <c r="B9" s="30"/>
      <c r="C9" s="15"/>
      <c r="D9" s="14" t="s">
        <v>50</v>
      </c>
      <c r="E9" s="14" t="str">
        <f t="shared" si="0"/>
        <v>EUR_YC1MRH_4MD</v>
      </c>
      <c r="F9" s="14" t="e">
        <f>_xll.qlRateHelperQuoteName(E9)</f>
        <v>#NUM!</v>
      </c>
      <c r="G9" s="13" t="e">
        <f>_xll.qlRateHelperQuoteValue($E9,Trigger)</f>
        <v>#NUM!</v>
      </c>
      <c r="H9" s="13"/>
      <c r="I9" s="12" t="b">
        <v>0</v>
      </c>
      <c r="J9" s="12">
        <v>10</v>
      </c>
      <c r="K9" s="12">
        <v>1</v>
      </c>
      <c r="L9" s="11" t="e">
        <f>_xll.qlRateHelperEarliestDate($E9,Trigger)</f>
        <v>#NUM!</v>
      </c>
      <c r="M9" s="10" t="e">
        <f>_xll.qlRateHelperLatestDate($E9,Trigger)</f>
        <v>#NUM!</v>
      </c>
      <c r="N9" s="1">
        <v>7</v>
      </c>
    </row>
    <row r="10" spans="2:15" hidden="1" x14ac:dyDescent="0.2">
      <c r="B10" s="30"/>
      <c r="C10" s="15"/>
      <c r="D10" s="14" t="s">
        <v>49</v>
      </c>
      <c r="E10" s="14" t="str">
        <f t="shared" si="0"/>
        <v>EUR_YC1MRH_5MD</v>
      </c>
      <c r="F10" s="14" t="e">
        <f>_xll.qlRateHelperQuoteName(E10)</f>
        <v>#NUM!</v>
      </c>
      <c r="G10" s="13" t="e">
        <f>_xll.qlRateHelperQuoteValue($E10,Trigger)</f>
        <v>#NUM!</v>
      </c>
      <c r="H10" s="13"/>
      <c r="I10" s="12" t="b">
        <v>0</v>
      </c>
      <c r="J10" s="12">
        <v>10</v>
      </c>
      <c r="K10" s="12">
        <v>1</v>
      </c>
      <c r="L10" s="11" t="e">
        <f>_xll.qlRateHelperEarliestDate($E10,Trigger)</f>
        <v>#NUM!</v>
      </c>
      <c r="M10" s="10" t="e">
        <f>_xll.qlRateHelperLatestDate($E10,Trigger)</f>
        <v>#NUM!</v>
      </c>
    </row>
    <row r="11" spans="2:15" hidden="1" x14ac:dyDescent="0.2">
      <c r="B11" s="30"/>
      <c r="C11" s="15"/>
      <c r="D11" s="14" t="s">
        <v>48</v>
      </c>
      <c r="E11" s="14" t="str">
        <f t="shared" si="0"/>
        <v>EUR_YC1MRH_6MD</v>
      </c>
      <c r="F11" s="14" t="e">
        <f>_xll.qlRateHelperQuoteName(E11)</f>
        <v>#NUM!</v>
      </c>
      <c r="G11" s="13" t="e">
        <f>_xll.qlRateHelperQuoteValue($E11,Trigger)</f>
        <v>#NUM!</v>
      </c>
      <c r="H11" s="13"/>
      <c r="I11" s="12" t="b">
        <v>0</v>
      </c>
      <c r="J11" s="12">
        <v>70</v>
      </c>
      <c r="K11" s="12">
        <v>1</v>
      </c>
      <c r="L11" s="11" t="e">
        <f>_xll.qlRateHelperEarliestDate($E11,Trigger)</f>
        <v>#NUM!</v>
      </c>
      <c r="M11" s="10" t="e">
        <f>_xll.qlRateHelperLatestDate($E11,Trigger)</f>
        <v>#NUM!</v>
      </c>
    </row>
    <row r="12" spans="2:15" hidden="1" x14ac:dyDescent="0.2">
      <c r="B12" s="30"/>
      <c r="C12" s="15"/>
      <c r="D12" s="14" t="s">
        <v>47</v>
      </c>
      <c r="E12" s="14" t="str">
        <f t="shared" si="0"/>
        <v>EUR_YC1MRH_9MD</v>
      </c>
      <c r="F12" s="14" t="e">
        <f>_xll.qlRateHelperQuoteName(E12)</f>
        <v>#NUM!</v>
      </c>
      <c r="G12" s="13" t="e">
        <f>_xll.qlRateHelperQuoteValue($E12,Trigger)</f>
        <v>#NUM!</v>
      </c>
      <c r="H12" s="13"/>
      <c r="I12" s="12" t="b">
        <v>0</v>
      </c>
      <c r="J12" s="12">
        <v>10</v>
      </c>
      <c r="K12" s="12">
        <v>1</v>
      </c>
      <c r="L12" s="11" t="e">
        <f>_xll.qlRateHelperEarliestDate($E12,Trigger)</f>
        <v>#NUM!</v>
      </c>
      <c r="M12" s="10" t="e">
        <f>_xll.qlRateHelperLatestDate($E12,Trigger)</f>
        <v>#NUM!</v>
      </c>
    </row>
    <row r="13" spans="2:15" hidden="1" x14ac:dyDescent="0.2">
      <c r="B13" s="29"/>
      <c r="C13" s="8"/>
      <c r="D13" s="7" t="s">
        <v>46</v>
      </c>
      <c r="E13" s="7" t="str">
        <f t="shared" si="0"/>
        <v>EUR_YC1MRH_1YD</v>
      </c>
      <c r="F13" s="14" t="e">
        <f>_xll.qlRateHelperQuoteName(E13)</f>
        <v>#NUM!</v>
      </c>
      <c r="G13" s="6" t="e">
        <f>_xll.qlRateHelperQuoteValue($E13,Trigger)</f>
        <v>#NUM!</v>
      </c>
      <c r="H13" s="6"/>
      <c r="I13" s="5" t="b">
        <v>0</v>
      </c>
      <c r="J13" s="5">
        <v>10</v>
      </c>
      <c r="K13" s="5">
        <v>1</v>
      </c>
      <c r="L13" s="4" t="e">
        <f>_xll.qlRateHelperEarliestDate($E13,Trigger)</f>
        <v>#NUM!</v>
      </c>
      <c r="M13" s="3" t="e">
        <f>_xll.qlRateHelperLatestDate($E13,Trigger)</f>
        <v>#NUM!</v>
      </c>
    </row>
    <row r="14" spans="2:15" hidden="1" x14ac:dyDescent="0.2">
      <c r="B14" s="24" t="s">
        <v>45</v>
      </c>
      <c r="C14" s="23">
        <f>Months</f>
        <v>1</v>
      </c>
      <c r="D14" s="21" t="s">
        <v>43</v>
      </c>
      <c r="E14" s="21" t="str">
        <f t="shared" si="0"/>
        <v>EUR_YC1MRH_T1F1</v>
      </c>
      <c r="F14" s="14" t="e">
        <f>_xll.qlRateHelperQuoteName(E14)</f>
        <v>#NUM!</v>
      </c>
      <c r="G14" s="20" t="e">
        <f>_xll.qlRateHelperQuoteValue($E14,Trigger)</f>
        <v>#NUM!</v>
      </c>
      <c r="H14" s="20"/>
      <c r="I14" s="19" t="b">
        <v>0</v>
      </c>
      <c r="J14" s="19">
        <v>20</v>
      </c>
      <c r="K14" s="19">
        <v>7</v>
      </c>
      <c r="L14" s="18" t="e">
        <f>_xll.qlRateHelperEarliestDate($E14,Trigger)</f>
        <v>#NUM!</v>
      </c>
      <c r="M14" s="17" t="e">
        <f>_xll.qlRateHelperLatestDate($E14,Trigger)</f>
        <v>#NUM!</v>
      </c>
    </row>
    <row r="15" spans="2:15" hidden="1" x14ac:dyDescent="0.2">
      <c r="B15" s="9" t="s">
        <v>44</v>
      </c>
      <c r="C15" s="8">
        <f>Months</f>
        <v>1</v>
      </c>
      <c r="D15" s="7" t="s">
        <v>43</v>
      </c>
      <c r="E15" s="7" t="str">
        <f t="shared" si="0"/>
        <v>EUR_YC1MRH_TOM1F1</v>
      </c>
      <c r="F15" s="14" t="e">
        <f>_xll.qlRateHelperQuoteName(E15)</f>
        <v>#NUM!</v>
      </c>
      <c r="G15" s="6" t="e">
        <f>_xll.qlRateHelperQuoteValue($E15,Trigger)</f>
        <v>#NUM!</v>
      </c>
      <c r="H15" s="6"/>
      <c r="I15" s="5" t="b">
        <v>0</v>
      </c>
      <c r="J15" s="5">
        <v>20</v>
      </c>
      <c r="K15" s="5">
        <v>7</v>
      </c>
      <c r="L15" s="4" t="e">
        <f>_xll.qlRateHelperEarliestDate($E15,Trigger)</f>
        <v>#NUM!</v>
      </c>
      <c r="M15" s="3" t="e">
        <f>_xll.qlRateHelperLatestDate($E15,Trigger)</f>
        <v>#NUM!</v>
      </c>
    </row>
    <row r="16" spans="2:15" hidden="1" x14ac:dyDescent="0.2">
      <c r="B16" s="16">
        <v>1</v>
      </c>
      <c r="C16" s="15" t="s">
        <v>42</v>
      </c>
      <c r="D16" s="14" t="str">
        <f t="shared" ref="D16:D33" si="1">(B16+Months)&amp;"F"</f>
        <v>2F</v>
      </c>
      <c r="E16" s="14" t="str">
        <f t="shared" si="0"/>
        <v>EUR_YC1MRH_1x2F</v>
      </c>
      <c r="F16" s="14" t="e">
        <f>_xll.qlRateHelperQuoteName(E16)</f>
        <v>#NUM!</v>
      </c>
      <c r="G16" s="13" t="e">
        <f>_xll.qlRateHelperQuoteValue($E16,Trigger)</f>
        <v>#NUM!</v>
      </c>
      <c r="H16" s="13"/>
      <c r="I16" s="12" t="b">
        <v>0</v>
      </c>
      <c r="J16" s="12">
        <v>20</v>
      </c>
      <c r="K16" s="12">
        <v>7</v>
      </c>
      <c r="L16" s="11" t="e">
        <f>_xll.qlRateHelperEarliestDate($E16,Trigger)</f>
        <v>#NUM!</v>
      </c>
      <c r="M16" s="10" t="e">
        <f>_xll.qlRateHelperLatestDate($E16,Trigger)</f>
        <v>#NUM!</v>
      </c>
    </row>
    <row r="17" spans="2:13" hidden="1" x14ac:dyDescent="0.2">
      <c r="B17" s="16">
        <v>2</v>
      </c>
      <c r="C17" s="15" t="s">
        <v>42</v>
      </c>
      <c r="D17" s="14" t="str">
        <f t="shared" si="1"/>
        <v>3F</v>
      </c>
      <c r="E17" s="14" t="str">
        <f t="shared" si="0"/>
        <v>EUR_YC1MRH_2x3F</v>
      </c>
      <c r="F17" s="14" t="e">
        <f>_xll.qlRateHelperQuoteName(E17)</f>
        <v>#NUM!</v>
      </c>
      <c r="G17" s="13" t="e">
        <f>_xll.qlRateHelperQuoteValue($E17,Trigger)</f>
        <v>#NUM!</v>
      </c>
      <c r="H17" s="13"/>
      <c r="I17" s="12" t="b">
        <v>0</v>
      </c>
      <c r="J17" s="12">
        <v>20</v>
      </c>
      <c r="K17" s="12">
        <v>7</v>
      </c>
      <c r="L17" s="11" t="e">
        <f>_xll.qlRateHelperEarliestDate($E17,Trigger)</f>
        <v>#NUM!</v>
      </c>
      <c r="M17" s="10" t="e">
        <f>_xll.qlRateHelperLatestDate($E17,Trigger)</f>
        <v>#NUM!</v>
      </c>
    </row>
    <row r="18" spans="2:13" hidden="1" x14ac:dyDescent="0.2">
      <c r="B18" s="16">
        <v>3</v>
      </c>
      <c r="C18" s="15" t="s">
        <v>42</v>
      </c>
      <c r="D18" s="14" t="str">
        <f t="shared" si="1"/>
        <v>4F</v>
      </c>
      <c r="E18" s="14" t="str">
        <f t="shared" si="0"/>
        <v>EUR_YC1MRH_3x4F</v>
      </c>
      <c r="F18" s="14" t="e">
        <f>_xll.qlRateHelperQuoteName(E18)</f>
        <v>#NUM!</v>
      </c>
      <c r="G18" s="13" t="e">
        <f>_xll.qlRateHelperQuoteValue($E18,Trigger)</f>
        <v>#NUM!</v>
      </c>
      <c r="H18" s="13"/>
      <c r="I18" s="12" t="b">
        <v>0</v>
      </c>
      <c r="J18" s="12">
        <v>20</v>
      </c>
      <c r="K18" s="12">
        <v>7</v>
      </c>
      <c r="L18" s="11" t="e">
        <f>_xll.qlRateHelperEarliestDate($E18,Trigger)</f>
        <v>#NUM!</v>
      </c>
      <c r="M18" s="10" t="e">
        <f>_xll.qlRateHelperLatestDate($E18,Trigger)</f>
        <v>#NUM!</v>
      </c>
    </row>
    <row r="19" spans="2:13" hidden="1" x14ac:dyDescent="0.2">
      <c r="B19" s="16">
        <v>4</v>
      </c>
      <c r="C19" s="15" t="s">
        <v>42</v>
      </c>
      <c r="D19" s="14" t="str">
        <f t="shared" si="1"/>
        <v>5F</v>
      </c>
      <c r="E19" s="14" t="str">
        <f t="shared" si="0"/>
        <v>EUR_YC1MRH_4x5F</v>
      </c>
      <c r="F19" s="14" t="e">
        <f>_xll.qlRateHelperQuoteName(E19)</f>
        <v>#NUM!</v>
      </c>
      <c r="G19" s="13" t="e">
        <f>_xll.qlRateHelperQuoteValue($E19,Trigger)</f>
        <v>#NUM!</v>
      </c>
      <c r="H19" s="13"/>
      <c r="I19" s="12" t="b">
        <v>0</v>
      </c>
      <c r="J19" s="12">
        <v>20</v>
      </c>
      <c r="K19" s="12">
        <v>7</v>
      </c>
      <c r="L19" s="11" t="e">
        <f>_xll.qlRateHelperEarliestDate($E19,Trigger)</f>
        <v>#NUM!</v>
      </c>
      <c r="M19" s="10" t="e">
        <f>_xll.qlRateHelperLatestDate($E19,Trigger)</f>
        <v>#NUM!</v>
      </c>
    </row>
    <row r="20" spans="2:13" hidden="1" x14ac:dyDescent="0.2">
      <c r="B20" s="16">
        <v>5</v>
      </c>
      <c r="C20" s="15" t="s">
        <v>42</v>
      </c>
      <c r="D20" s="14" t="str">
        <f t="shared" si="1"/>
        <v>6F</v>
      </c>
      <c r="E20" s="14" t="str">
        <f t="shared" si="0"/>
        <v>EUR_YC1MRH_5x6F</v>
      </c>
      <c r="F20" s="14" t="e">
        <f>_xll.qlRateHelperQuoteName(E20)</f>
        <v>#NUM!</v>
      </c>
      <c r="G20" s="13" t="e">
        <f>_xll.qlRateHelperQuoteValue($E20,Trigger)</f>
        <v>#NUM!</v>
      </c>
      <c r="H20" s="13"/>
      <c r="I20" s="12" t="b">
        <v>0</v>
      </c>
      <c r="J20" s="12">
        <v>20</v>
      </c>
      <c r="K20" s="12">
        <v>7</v>
      </c>
      <c r="L20" s="11" t="e">
        <f>_xll.qlRateHelperEarliestDate($E20,Trigger)</f>
        <v>#NUM!</v>
      </c>
      <c r="M20" s="10" t="e">
        <f>_xll.qlRateHelperLatestDate($E20,Trigger)</f>
        <v>#NUM!</v>
      </c>
    </row>
    <row r="21" spans="2:13" hidden="1" x14ac:dyDescent="0.2">
      <c r="B21" s="16">
        <v>6</v>
      </c>
      <c r="C21" s="15" t="s">
        <v>42</v>
      </c>
      <c r="D21" s="14" t="str">
        <f t="shared" si="1"/>
        <v>7F</v>
      </c>
      <c r="E21" s="14" t="str">
        <f t="shared" si="0"/>
        <v>EUR_YC1MRH_6x7F</v>
      </c>
      <c r="F21" s="14" t="e">
        <f>_xll.qlRateHelperQuoteName(E21)</f>
        <v>#NUM!</v>
      </c>
      <c r="G21" s="13" t="e">
        <f>_xll.qlRateHelperQuoteValue($E21,Trigger)</f>
        <v>#NUM!</v>
      </c>
      <c r="H21" s="13"/>
      <c r="I21" s="12" t="b">
        <v>0</v>
      </c>
      <c r="J21" s="12">
        <v>20</v>
      </c>
      <c r="K21" s="12">
        <v>7</v>
      </c>
      <c r="L21" s="11" t="e">
        <f>_xll.qlRateHelperEarliestDate($E21,Trigger)</f>
        <v>#NUM!</v>
      </c>
      <c r="M21" s="10" t="e">
        <f>_xll.qlRateHelperLatestDate($E21,Trigger)</f>
        <v>#NUM!</v>
      </c>
    </row>
    <row r="22" spans="2:13" hidden="1" x14ac:dyDescent="0.2">
      <c r="B22" s="16">
        <v>7</v>
      </c>
      <c r="C22" s="15" t="s">
        <v>42</v>
      </c>
      <c r="D22" s="14" t="str">
        <f t="shared" si="1"/>
        <v>8F</v>
      </c>
      <c r="E22" s="14" t="str">
        <f t="shared" si="0"/>
        <v>EUR_YC1MRH_7x8F</v>
      </c>
      <c r="F22" s="14" t="e">
        <f>_xll.qlRateHelperQuoteName(E22)</f>
        <v>#NUM!</v>
      </c>
      <c r="G22" s="13" t="e">
        <f>_xll.qlRateHelperQuoteValue($E22,Trigger)</f>
        <v>#NUM!</v>
      </c>
      <c r="H22" s="13"/>
      <c r="I22" s="12" t="b">
        <v>0</v>
      </c>
      <c r="J22" s="12">
        <v>20</v>
      </c>
      <c r="K22" s="12">
        <v>7</v>
      </c>
      <c r="L22" s="11" t="e">
        <f>_xll.qlRateHelperEarliestDate($E22,Trigger)</f>
        <v>#NUM!</v>
      </c>
      <c r="M22" s="10" t="e">
        <f>_xll.qlRateHelperLatestDate($E22,Trigger)</f>
        <v>#NUM!</v>
      </c>
    </row>
    <row r="23" spans="2:13" hidden="1" x14ac:dyDescent="0.2">
      <c r="B23" s="16">
        <v>8</v>
      </c>
      <c r="C23" s="15" t="s">
        <v>42</v>
      </c>
      <c r="D23" s="14" t="str">
        <f t="shared" si="1"/>
        <v>9F</v>
      </c>
      <c r="E23" s="14" t="str">
        <f t="shared" si="0"/>
        <v>EUR_YC1MRH_8x9F</v>
      </c>
      <c r="F23" s="14" t="e">
        <f>_xll.qlRateHelperQuoteName(E23)</f>
        <v>#NUM!</v>
      </c>
      <c r="G23" s="13" t="e">
        <f>_xll.qlRateHelperQuoteValue($E23,Trigger)</f>
        <v>#NUM!</v>
      </c>
      <c r="H23" s="13"/>
      <c r="I23" s="12" t="b">
        <v>0</v>
      </c>
      <c r="J23" s="12">
        <v>20</v>
      </c>
      <c r="K23" s="12">
        <v>7</v>
      </c>
      <c r="L23" s="11" t="e">
        <f>_xll.qlRateHelperEarliestDate($E23,Trigger)</f>
        <v>#NUM!</v>
      </c>
      <c r="M23" s="10" t="e">
        <f>_xll.qlRateHelperLatestDate($E23,Trigger)</f>
        <v>#NUM!</v>
      </c>
    </row>
    <row r="24" spans="2:13" hidden="1" x14ac:dyDescent="0.2">
      <c r="B24" s="16">
        <v>9</v>
      </c>
      <c r="C24" s="15" t="s">
        <v>42</v>
      </c>
      <c r="D24" s="14" t="str">
        <f t="shared" si="1"/>
        <v>10F</v>
      </c>
      <c r="E24" s="14" t="str">
        <f t="shared" si="0"/>
        <v>EUR_YC1MRH_9x10F</v>
      </c>
      <c r="F24" s="14" t="e">
        <f>_xll.qlRateHelperQuoteName(E24)</f>
        <v>#NUM!</v>
      </c>
      <c r="G24" s="13" t="e">
        <f>_xll.qlRateHelperQuoteValue($E24,Trigger)</f>
        <v>#NUM!</v>
      </c>
      <c r="H24" s="13"/>
      <c r="I24" s="12" t="b">
        <v>0</v>
      </c>
      <c r="J24" s="12">
        <v>20</v>
      </c>
      <c r="K24" s="12">
        <v>7</v>
      </c>
      <c r="L24" s="11" t="e">
        <f>_xll.qlRateHelperEarliestDate($E24,Trigger)</f>
        <v>#NUM!</v>
      </c>
      <c r="M24" s="10" t="e">
        <f>_xll.qlRateHelperLatestDate($E24,Trigger)</f>
        <v>#NUM!</v>
      </c>
    </row>
    <row r="25" spans="2:13" hidden="1" x14ac:dyDescent="0.2">
      <c r="B25" s="16">
        <v>10</v>
      </c>
      <c r="C25" s="15" t="s">
        <v>42</v>
      </c>
      <c r="D25" s="14" t="str">
        <f t="shared" si="1"/>
        <v>11F</v>
      </c>
      <c r="E25" s="14" t="str">
        <f t="shared" si="0"/>
        <v>EUR_YC1MRH_10x11F</v>
      </c>
      <c r="F25" s="14" t="e">
        <f>_xll.qlRateHelperQuoteName(E25)</f>
        <v>#NUM!</v>
      </c>
      <c r="G25" s="13" t="e">
        <f>_xll.qlRateHelperQuoteValue($E25,Trigger)</f>
        <v>#NUM!</v>
      </c>
      <c r="H25" s="13"/>
      <c r="I25" s="12" t="b">
        <v>0</v>
      </c>
      <c r="J25" s="12">
        <v>20</v>
      </c>
      <c r="K25" s="12">
        <v>7</v>
      </c>
      <c r="L25" s="11" t="e">
        <f>_xll.qlRateHelperEarliestDate($E25,Trigger)</f>
        <v>#NUM!</v>
      </c>
      <c r="M25" s="10" t="e">
        <f>_xll.qlRateHelperLatestDate($E25,Trigger)</f>
        <v>#NUM!</v>
      </c>
    </row>
    <row r="26" spans="2:13" hidden="1" x14ac:dyDescent="0.2">
      <c r="B26" s="16">
        <v>11</v>
      </c>
      <c r="C26" s="15" t="s">
        <v>42</v>
      </c>
      <c r="D26" s="14" t="str">
        <f t="shared" si="1"/>
        <v>12F</v>
      </c>
      <c r="E26" s="14" t="str">
        <f t="shared" si="0"/>
        <v>EUR_YC1MRH_11x12F</v>
      </c>
      <c r="F26" s="14" t="e">
        <f>_xll.qlRateHelperQuoteName(E26)</f>
        <v>#NUM!</v>
      </c>
      <c r="G26" s="13" t="e">
        <f>_xll.qlRateHelperQuoteValue($E26,Trigger)</f>
        <v>#NUM!</v>
      </c>
      <c r="H26" s="13"/>
      <c r="I26" s="12" t="b">
        <v>0</v>
      </c>
      <c r="J26" s="12">
        <v>20</v>
      </c>
      <c r="K26" s="12">
        <v>7</v>
      </c>
      <c r="L26" s="11" t="e">
        <f>_xll.qlRateHelperEarliestDate($E26,Trigger)</f>
        <v>#NUM!</v>
      </c>
      <c r="M26" s="10" t="e">
        <f>_xll.qlRateHelperLatestDate($E26,Trigger)</f>
        <v>#NUM!</v>
      </c>
    </row>
    <row r="27" spans="2:13" hidden="1" x14ac:dyDescent="0.2">
      <c r="B27" s="16">
        <v>12</v>
      </c>
      <c r="C27" s="15" t="s">
        <v>42</v>
      </c>
      <c r="D27" s="14" t="str">
        <f t="shared" si="1"/>
        <v>13F</v>
      </c>
      <c r="E27" s="14" t="str">
        <f t="shared" si="0"/>
        <v>EUR_YC1MRH_12x13F</v>
      </c>
      <c r="F27" s="14" t="e">
        <f>_xll.qlRateHelperQuoteName(E27)</f>
        <v>#NUM!</v>
      </c>
      <c r="G27" s="13" t="e">
        <f>_xll.qlRateHelperQuoteValue($E27,Trigger)</f>
        <v>#NUM!</v>
      </c>
      <c r="H27" s="13"/>
      <c r="I27" s="12" t="b">
        <v>0</v>
      </c>
      <c r="J27" s="12">
        <v>20</v>
      </c>
      <c r="K27" s="12">
        <v>7</v>
      </c>
      <c r="L27" s="11" t="e">
        <f>_xll.qlRateHelperEarliestDate($E27,Trigger)</f>
        <v>#NUM!</v>
      </c>
      <c r="M27" s="10" t="e">
        <f>_xll.qlRateHelperLatestDate($E27,Trigger)</f>
        <v>#NUM!</v>
      </c>
    </row>
    <row r="28" spans="2:13" hidden="1" x14ac:dyDescent="0.2">
      <c r="B28" s="16">
        <v>13</v>
      </c>
      <c r="C28" s="15" t="s">
        <v>42</v>
      </c>
      <c r="D28" s="14" t="str">
        <f t="shared" si="1"/>
        <v>14F</v>
      </c>
      <c r="E28" s="14" t="str">
        <f t="shared" si="0"/>
        <v>EUR_YC1MRH_13x14F</v>
      </c>
      <c r="F28" s="14" t="e">
        <f>_xll.qlRateHelperQuoteName(E28)</f>
        <v>#NUM!</v>
      </c>
      <c r="G28" s="13" t="e">
        <f>_xll.qlRateHelperQuoteValue($E28,Trigger)</f>
        <v>#NUM!</v>
      </c>
      <c r="H28" s="13"/>
      <c r="I28" s="12" t="b">
        <v>0</v>
      </c>
      <c r="J28" s="12">
        <v>20</v>
      </c>
      <c r="K28" s="12">
        <v>7</v>
      </c>
      <c r="L28" s="11" t="e">
        <f>_xll.qlRateHelperEarliestDate($E28,Trigger)</f>
        <v>#NUM!</v>
      </c>
      <c r="M28" s="10" t="e">
        <f>_xll.qlRateHelperLatestDate($E28,Trigger)</f>
        <v>#NUM!</v>
      </c>
    </row>
    <row r="29" spans="2:13" hidden="1" x14ac:dyDescent="0.2">
      <c r="B29" s="16">
        <v>14</v>
      </c>
      <c r="C29" s="15" t="s">
        <v>42</v>
      </c>
      <c r="D29" s="14" t="str">
        <f t="shared" si="1"/>
        <v>15F</v>
      </c>
      <c r="E29" s="14" t="str">
        <f t="shared" si="0"/>
        <v>EUR_YC1MRH_14x15F</v>
      </c>
      <c r="F29" s="14" t="e">
        <f>_xll.qlRateHelperQuoteName(E29)</f>
        <v>#NUM!</v>
      </c>
      <c r="G29" s="13" t="e">
        <f>_xll.qlRateHelperQuoteValue($E29,Trigger)</f>
        <v>#NUM!</v>
      </c>
      <c r="H29" s="13"/>
      <c r="I29" s="12" t="b">
        <v>0</v>
      </c>
      <c r="J29" s="12">
        <v>20</v>
      </c>
      <c r="K29" s="12">
        <v>7</v>
      </c>
      <c r="L29" s="11" t="e">
        <f>_xll.qlRateHelperEarliestDate($E29,Trigger)</f>
        <v>#NUM!</v>
      </c>
      <c r="M29" s="10" t="e">
        <f>_xll.qlRateHelperLatestDate($E29,Trigger)</f>
        <v>#NUM!</v>
      </c>
    </row>
    <row r="30" spans="2:13" hidden="1" x14ac:dyDescent="0.2">
      <c r="B30" s="16">
        <v>15</v>
      </c>
      <c r="C30" s="15" t="s">
        <v>42</v>
      </c>
      <c r="D30" s="14" t="str">
        <f t="shared" si="1"/>
        <v>16F</v>
      </c>
      <c r="E30" s="14" t="str">
        <f t="shared" si="0"/>
        <v>EUR_YC1MRH_15x16F</v>
      </c>
      <c r="F30" s="14" t="e">
        <f>_xll.qlRateHelperQuoteName(E30)</f>
        <v>#NUM!</v>
      </c>
      <c r="G30" s="13" t="e">
        <f>_xll.qlRateHelperQuoteValue($E30,Trigger)</f>
        <v>#NUM!</v>
      </c>
      <c r="H30" s="13"/>
      <c r="I30" s="12" t="b">
        <v>0</v>
      </c>
      <c r="J30" s="12">
        <v>20</v>
      </c>
      <c r="K30" s="12">
        <v>7</v>
      </c>
      <c r="L30" s="11" t="e">
        <f>_xll.qlRateHelperEarliestDate($E30,Trigger)</f>
        <v>#NUM!</v>
      </c>
      <c r="M30" s="10" t="e">
        <f>_xll.qlRateHelperLatestDate($E30,Trigger)</f>
        <v>#NUM!</v>
      </c>
    </row>
    <row r="31" spans="2:13" hidden="1" x14ac:dyDescent="0.2">
      <c r="B31" s="16">
        <v>16</v>
      </c>
      <c r="C31" s="15" t="s">
        <v>42</v>
      </c>
      <c r="D31" s="14" t="str">
        <f t="shared" si="1"/>
        <v>17F</v>
      </c>
      <c r="E31" s="14" t="str">
        <f t="shared" si="0"/>
        <v>EUR_YC1MRH_16x17F</v>
      </c>
      <c r="F31" s="14" t="e">
        <f>_xll.qlRateHelperQuoteName(E31)</f>
        <v>#NUM!</v>
      </c>
      <c r="G31" s="13" t="e">
        <f>_xll.qlRateHelperQuoteValue($E31,Trigger)</f>
        <v>#NUM!</v>
      </c>
      <c r="H31" s="13"/>
      <c r="I31" s="12" t="b">
        <v>0</v>
      </c>
      <c r="J31" s="12">
        <v>20</v>
      </c>
      <c r="K31" s="12">
        <v>7</v>
      </c>
      <c r="L31" s="11" t="e">
        <f>_xll.qlRateHelperEarliestDate($E31,Trigger)</f>
        <v>#NUM!</v>
      </c>
      <c r="M31" s="10" t="e">
        <f>_xll.qlRateHelperLatestDate($E31,Trigger)</f>
        <v>#NUM!</v>
      </c>
    </row>
    <row r="32" spans="2:13" hidden="1" x14ac:dyDescent="0.2">
      <c r="B32" s="16">
        <v>17</v>
      </c>
      <c r="C32" s="15" t="s">
        <v>42</v>
      </c>
      <c r="D32" s="14" t="str">
        <f t="shared" si="1"/>
        <v>18F</v>
      </c>
      <c r="E32" s="14" t="str">
        <f t="shared" ref="E32:E63" si="2">RateHelperPrefix&amp;"_"&amp;$B32&amp;$C32&amp;$D32</f>
        <v>EUR_YC1MRH_17x18F</v>
      </c>
      <c r="F32" s="14" t="e">
        <f>_xll.qlRateHelperQuoteName(E32)</f>
        <v>#NUM!</v>
      </c>
      <c r="G32" s="13" t="e">
        <f>_xll.qlRateHelperQuoteValue($E32,Trigger)</f>
        <v>#NUM!</v>
      </c>
      <c r="H32" s="13"/>
      <c r="I32" s="12" t="b">
        <v>0</v>
      </c>
      <c r="J32" s="12">
        <v>20</v>
      </c>
      <c r="K32" s="12">
        <v>7</v>
      </c>
      <c r="L32" s="11" t="e">
        <f>_xll.qlRateHelperEarliestDate($E32,Trigger)</f>
        <v>#NUM!</v>
      </c>
      <c r="M32" s="10" t="e">
        <f>_xll.qlRateHelperLatestDate($E32,Trigger)</f>
        <v>#NUM!</v>
      </c>
    </row>
    <row r="33" spans="1:13" hidden="1" x14ac:dyDescent="0.2">
      <c r="B33" s="9">
        <v>18</v>
      </c>
      <c r="C33" s="8" t="s">
        <v>42</v>
      </c>
      <c r="D33" s="7" t="str">
        <f t="shared" si="1"/>
        <v>19F</v>
      </c>
      <c r="E33" s="7" t="str">
        <f t="shared" si="2"/>
        <v>EUR_YC1MRH_18x19F</v>
      </c>
      <c r="F33" s="14" t="e">
        <f>_xll.qlRateHelperQuoteName(E33)</f>
        <v>#NUM!</v>
      </c>
      <c r="G33" s="6" t="e">
        <f>_xll.qlRateHelperQuoteValue($E33,Trigger)</f>
        <v>#NUM!</v>
      </c>
      <c r="H33" s="6"/>
      <c r="I33" s="5" t="b">
        <v>0</v>
      </c>
      <c r="J33" s="5">
        <v>20</v>
      </c>
      <c r="K33" s="5">
        <v>7</v>
      </c>
      <c r="L33" s="4" t="e">
        <f>_xll.qlRateHelperEarliestDate($E33,Trigger)</f>
        <v>#NUM!</v>
      </c>
      <c r="M33" s="3" t="e">
        <f>_xll.qlRateHelperLatestDate($E33,Trigger)</f>
        <v>#NUM!</v>
      </c>
    </row>
    <row r="34" spans="1:13" ht="11.25" hidden="1" customHeight="1" x14ac:dyDescent="0.2">
      <c r="A34" s="23" t="b">
        <v>0</v>
      </c>
      <c r="B34" s="16"/>
      <c r="C34" s="15" t="str">
        <f t="shared" ref="C34:C75" si="3">IF(IndexTenor="6M","IMMFRA","FUT")&amp;IndexTenor</f>
        <v>FUT1M</v>
      </c>
      <c r="D34" s="14" t="str">
        <f t="array" ref="D34:D75">_xll.qlIMMNextCodes(_xll.qlSettingsEvaluationDate(Trigger)-1,$A34:$A75)</f>
        <v>U4</v>
      </c>
      <c r="E34" s="14" t="str">
        <f t="shared" si="2"/>
        <v>EUR_YC1MRH_FUT1MU4</v>
      </c>
      <c r="F34" s="14" t="e">
        <f>_xll.qlRateHelperQuoteName(E34)</f>
        <v>#NUM!</v>
      </c>
      <c r="G34" s="28" t="e">
        <f>_xll.qlRateHelperQuoteValue($E34,Trigger)</f>
        <v>#NUM!</v>
      </c>
      <c r="H34" s="13" t="e">
        <f>_xll.qlFuturesRateHelperConvexityAdjustment($E34,Trigger)</f>
        <v>#NUM!</v>
      </c>
      <c r="I34" s="12" t="b">
        <v>0</v>
      </c>
      <c r="J34" s="12">
        <v>60</v>
      </c>
      <c r="K34" s="12">
        <v>1</v>
      </c>
      <c r="L34" s="11" t="e">
        <f>_xll.qlRateHelperEarliestDate($E34,Trigger)</f>
        <v>#NUM!</v>
      </c>
      <c r="M34" s="10" t="e">
        <f>_xll.qlRateHelperLatestDate($E34,Trigger)</f>
        <v>#NUM!</v>
      </c>
    </row>
    <row r="35" spans="1:13" hidden="1" x14ac:dyDescent="0.2">
      <c r="A35" s="15" t="b">
        <v>0</v>
      </c>
      <c r="B35" s="16"/>
      <c r="C35" s="15" t="str">
        <f t="shared" si="3"/>
        <v>FUT1M</v>
      </c>
      <c r="D35" s="14" t="str">
        <v>V4</v>
      </c>
      <c r="E35" s="14" t="str">
        <f t="shared" si="2"/>
        <v>EUR_YC1MRH_FUT1MV4</v>
      </c>
      <c r="F35" s="14" t="e">
        <f>_xll.qlRateHelperQuoteName(E35)</f>
        <v>#NUM!</v>
      </c>
      <c r="G35" s="28" t="e">
        <f>_xll.qlRateHelperQuoteValue($E35,Trigger)</f>
        <v>#NUM!</v>
      </c>
      <c r="H35" s="13" t="e">
        <f>_xll.qlFuturesRateHelperConvexityAdjustment($E35,Trigger)</f>
        <v>#NUM!</v>
      </c>
      <c r="I35" s="12" t="b">
        <v>0</v>
      </c>
      <c r="J35" s="12">
        <v>60</v>
      </c>
      <c r="K35" s="12">
        <v>1</v>
      </c>
      <c r="L35" s="11" t="e">
        <f>_xll.qlRateHelperEarliestDate($E35,Trigger)</f>
        <v>#NUM!</v>
      </c>
      <c r="M35" s="10" t="e">
        <f>_xll.qlRateHelperLatestDate($E35,Trigger)</f>
        <v>#NUM!</v>
      </c>
    </row>
    <row r="36" spans="1:13" hidden="1" x14ac:dyDescent="0.2">
      <c r="A36" s="15" t="b">
        <v>0</v>
      </c>
      <c r="B36" s="16"/>
      <c r="C36" s="15" t="str">
        <f t="shared" si="3"/>
        <v>FUT1M</v>
      </c>
      <c r="D36" s="14" t="str">
        <v>X4</v>
      </c>
      <c r="E36" s="14" t="str">
        <f t="shared" si="2"/>
        <v>EUR_YC1MRH_FUT1MX4</v>
      </c>
      <c r="F36" s="14" t="e">
        <f>_xll.qlRateHelperQuoteName(E36)</f>
        <v>#NUM!</v>
      </c>
      <c r="G36" s="28" t="e">
        <f>_xll.qlRateHelperQuoteValue($E36,Trigger)</f>
        <v>#NUM!</v>
      </c>
      <c r="H36" s="13" t="e">
        <f>_xll.qlFuturesRateHelperConvexityAdjustment($E36,Trigger)</f>
        <v>#NUM!</v>
      </c>
      <c r="I36" s="12" t="b">
        <v>0</v>
      </c>
      <c r="J36" s="12">
        <v>60</v>
      </c>
      <c r="K36" s="12">
        <v>1</v>
      </c>
      <c r="L36" s="11" t="e">
        <f>_xll.qlRateHelperEarliestDate($E36,Trigger)</f>
        <v>#NUM!</v>
      </c>
      <c r="M36" s="10" t="e">
        <f>_xll.qlRateHelperLatestDate($E36,Trigger)</f>
        <v>#NUM!</v>
      </c>
    </row>
    <row r="37" spans="1:13" hidden="1" x14ac:dyDescent="0.2">
      <c r="A37" s="15" t="b">
        <v>0</v>
      </c>
      <c r="B37" s="16"/>
      <c r="C37" s="15" t="str">
        <f t="shared" si="3"/>
        <v>FUT1M</v>
      </c>
      <c r="D37" s="14" t="str">
        <v>Z4</v>
      </c>
      <c r="E37" s="14" t="str">
        <f t="shared" si="2"/>
        <v>EUR_YC1MRH_FUT1MZ4</v>
      </c>
      <c r="F37" s="14" t="e">
        <f>_xll.qlRateHelperQuoteName(E37)</f>
        <v>#NUM!</v>
      </c>
      <c r="G37" s="28" t="e">
        <f>_xll.qlRateHelperQuoteValue($E37,Trigger)</f>
        <v>#NUM!</v>
      </c>
      <c r="H37" s="13" t="e">
        <f>_xll.qlFuturesRateHelperConvexityAdjustment($E37,Trigger)</f>
        <v>#NUM!</v>
      </c>
      <c r="I37" s="12" t="b">
        <v>0</v>
      </c>
      <c r="J37" s="12">
        <v>60</v>
      </c>
      <c r="K37" s="12">
        <v>1</v>
      </c>
      <c r="L37" s="11" t="e">
        <f>_xll.qlRateHelperEarliestDate($E37,Trigger)</f>
        <v>#NUM!</v>
      </c>
      <c r="M37" s="10" t="e">
        <f>_xll.qlRateHelperLatestDate($E37,Trigger)</f>
        <v>#NUM!</v>
      </c>
    </row>
    <row r="38" spans="1:13" hidden="1" x14ac:dyDescent="0.2">
      <c r="A38" s="15" t="b">
        <v>0</v>
      </c>
      <c r="B38" s="16"/>
      <c r="C38" s="15" t="str">
        <f t="shared" si="3"/>
        <v>FUT1M</v>
      </c>
      <c r="D38" s="14" t="str">
        <v>F5</v>
      </c>
      <c r="E38" s="14" t="str">
        <f t="shared" si="2"/>
        <v>EUR_YC1MRH_FUT1MF5</v>
      </c>
      <c r="F38" s="14" t="e">
        <f>_xll.qlRateHelperQuoteName(E38)</f>
        <v>#NUM!</v>
      </c>
      <c r="G38" s="28" t="e">
        <f>_xll.qlRateHelperQuoteValue($E38,Trigger)</f>
        <v>#NUM!</v>
      </c>
      <c r="H38" s="13" t="e">
        <f>_xll.qlFuturesRateHelperConvexityAdjustment($E38,Trigger)</f>
        <v>#NUM!</v>
      </c>
      <c r="I38" s="12" t="b">
        <v>0</v>
      </c>
      <c r="J38" s="12">
        <v>60</v>
      </c>
      <c r="K38" s="12">
        <v>1</v>
      </c>
      <c r="L38" s="11" t="e">
        <f>_xll.qlRateHelperEarliestDate($E38,Trigger)</f>
        <v>#NUM!</v>
      </c>
      <c r="M38" s="10" t="e">
        <f>_xll.qlRateHelperLatestDate($E38,Trigger)</f>
        <v>#NUM!</v>
      </c>
    </row>
    <row r="39" spans="1:13" hidden="1" x14ac:dyDescent="0.2">
      <c r="A39" s="15" t="b">
        <v>0</v>
      </c>
      <c r="B39" s="16"/>
      <c r="C39" s="15" t="str">
        <f t="shared" si="3"/>
        <v>FUT1M</v>
      </c>
      <c r="D39" s="14" t="str">
        <v>G5</v>
      </c>
      <c r="E39" s="14" t="str">
        <f t="shared" si="2"/>
        <v>EUR_YC1MRH_FUT1MG5</v>
      </c>
      <c r="F39" s="14" t="e">
        <f>_xll.qlRateHelperQuoteName(E39)</f>
        <v>#NUM!</v>
      </c>
      <c r="G39" s="28" t="e">
        <f>_xll.qlRateHelperQuoteValue($E39,Trigger)</f>
        <v>#NUM!</v>
      </c>
      <c r="H39" s="13" t="e">
        <f>_xll.qlFuturesRateHelperConvexityAdjustment($E39,Trigger)</f>
        <v>#NUM!</v>
      </c>
      <c r="I39" s="12" t="b">
        <v>0</v>
      </c>
      <c r="J39" s="12">
        <v>60</v>
      </c>
      <c r="K39" s="12">
        <v>1</v>
      </c>
      <c r="L39" s="11" t="e">
        <f>_xll.qlRateHelperEarliestDate($E39,Trigger)</f>
        <v>#NUM!</v>
      </c>
      <c r="M39" s="10" t="e">
        <f>_xll.qlRateHelperLatestDate($E39,Trigger)</f>
        <v>#NUM!</v>
      </c>
    </row>
    <row r="40" spans="1:13" hidden="1" x14ac:dyDescent="0.2">
      <c r="A40" s="15" t="b">
        <v>0</v>
      </c>
      <c r="B40" s="16"/>
      <c r="C40" s="15" t="str">
        <f t="shared" si="3"/>
        <v>FUT1M</v>
      </c>
      <c r="D40" s="14" t="str">
        <v>H5</v>
      </c>
      <c r="E40" s="14" t="str">
        <f t="shared" si="2"/>
        <v>EUR_YC1MRH_FUT1MH5</v>
      </c>
      <c r="F40" s="14" t="e">
        <f>_xll.qlRateHelperQuoteName(E40)</f>
        <v>#NUM!</v>
      </c>
      <c r="G40" s="28" t="e">
        <f>_xll.qlRateHelperQuoteValue($E40,Trigger)</f>
        <v>#NUM!</v>
      </c>
      <c r="H40" s="13" t="e">
        <f>_xll.qlFuturesRateHelperConvexityAdjustment($E40,Trigger)</f>
        <v>#NUM!</v>
      </c>
      <c r="I40" s="12" t="b">
        <v>0</v>
      </c>
      <c r="J40" s="12">
        <v>60</v>
      </c>
      <c r="K40" s="12">
        <v>1</v>
      </c>
      <c r="L40" s="11" t="e">
        <f>_xll.qlRateHelperEarliestDate($E40,Trigger)</f>
        <v>#NUM!</v>
      </c>
      <c r="M40" s="10" t="e">
        <f>_xll.qlRateHelperLatestDate($E40,Trigger)</f>
        <v>#NUM!</v>
      </c>
    </row>
    <row r="41" spans="1:13" hidden="1" x14ac:dyDescent="0.2">
      <c r="A41" s="15" t="b">
        <v>0</v>
      </c>
      <c r="B41" s="16"/>
      <c r="C41" s="15" t="str">
        <f t="shared" si="3"/>
        <v>FUT1M</v>
      </c>
      <c r="D41" s="14" t="str">
        <v>J5</v>
      </c>
      <c r="E41" s="14" t="str">
        <f t="shared" si="2"/>
        <v>EUR_YC1MRH_FUT1MJ5</v>
      </c>
      <c r="F41" s="14" t="e">
        <f>_xll.qlRateHelperQuoteName(E41)</f>
        <v>#NUM!</v>
      </c>
      <c r="G41" s="28" t="e">
        <f>_xll.qlRateHelperQuoteValue($E41,Trigger)</f>
        <v>#NUM!</v>
      </c>
      <c r="H41" s="13" t="e">
        <f>_xll.qlFuturesRateHelperConvexityAdjustment($E41,Trigger)</f>
        <v>#NUM!</v>
      </c>
      <c r="I41" s="12" t="b">
        <v>0</v>
      </c>
      <c r="J41" s="12">
        <v>60</v>
      </c>
      <c r="K41" s="12">
        <v>1</v>
      </c>
      <c r="L41" s="11" t="e">
        <f>_xll.qlRateHelperEarliestDate($E41,Trigger)</f>
        <v>#NUM!</v>
      </c>
      <c r="M41" s="10" t="e">
        <f>_xll.qlRateHelperLatestDate($E41,Trigger)</f>
        <v>#NUM!</v>
      </c>
    </row>
    <row r="42" spans="1:13" hidden="1" x14ac:dyDescent="0.2">
      <c r="A42" s="15" t="b">
        <v>0</v>
      </c>
      <c r="B42" s="16"/>
      <c r="C42" s="15" t="str">
        <f t="shared" si="3"/>
        <v>FUT1M</v>
      </c>
      <c r="D42" s="14" t="str">
        <v>K5</v>
      </c>
      <c r="E42" s="14" t="str">
        <f t="shared" si="2"/>
        <v>EUR_YC1MRH_FUT1MK5</v>
      </c>
      <c r="F42" s="14" t="e">
        <f>_xll.qlRateHelperQuoteName(E42)</f>
        <v>#NUM!</v>
      </c>
      <c r="G42" s="28" t="e">
        <f>_xll.qlRateHelperQuoteValue($E42,Trigger)</f>
        <v>#NUM!</v>
      </c>
      <c r="H42" s="13" t="e">
        <f>_xll.qlFuturesRateHelperConvexityAdjustment($E42,Trigger)</f>
        <v>#NUM!</v>
      </c>
      <c r="I42" s="12" t="b">
        <v>0</v>
      </c>
      <c r="J42" s="12">
        <v>60</v>
      </c>
      <c r="K42" s="12">
        <v>1</v>
      </c>
      <c r="L42" s="11" t="e">
        <f>_xll.qlRateHelperEarliestDate($E42,Trigger)</f>
        <v>#NUM!</v>
      </c>
      <c r="M42" s="10" t="e">
        <f>_xll.qlRateHelperLatestDate($E42,Trigger)</f>
        <v>#NUM!</v>
      </c>
    </row>
    <row r="43" spans="1:13" hidden="1" x14ac:dyDescent="0.2">
      <c r="A43" s="15" t="b">
        <v>0</v>
      </c>
      <c r="B43" s="16"/>
      <c r="C43" s="15" t="str">
        <f t="shared" si="3"/>
        <v>FUT1M</v>
      </c>
      <c r="D43" s="14" t="str">
        <v>M5</v>
      </c>
      <c r="E43" s="14" t="str">
        <f t="shared" si="2"/>
        <v>EUR_YC1MRH_FUT1MM5</v>
      </c>
      <c r="F43" s="14" t="e">
        <f>_xll.qlRateHelperQuoteName(E43)</f>
        <v>#NUM!</v>
      </c>
      <c r="G43" s="28" t="e">
        <f>_xll.qlRateHelperQuoteValue($E43,Trigger)</f>
        <v>#NUM!</v>
      </c>
      <c r="H43" s="13" t="e">
        <f>_xll.qlFuturesRateHelperConvexityAdjustment($E43,Trigger)</f>
        <v>#NUM!</v>
      </c>
      <c r="I43" s="12" t="b">
        <v>0</v>
      </c>
      <c r="J43" s="12">
        <v>60</v>
      </c>
      <c r="K43" s="12">
        <v>1</v>
      </c>
      <c r="L43" s="11" t="e">
        <f>_xll.qlRateHelperEarliestDate($E43,Trigger)</f>
        <v>#NUM!</v>
      </c>
      <c r="M43" s="10" t="e">
        <f>_xll.qlRateHelperLatestDate($E43,Trigger)</f>
        <v>#NUM!</v>
      </c>
    </row>
    <row r="44" spans="1:13" hidden="1" x14ac:dyDescent="0.2">
      <c r="A44" s="15" t="b">
        <v>0</v>
      </c>
      <c r="B44" s="16"/>
      <c r="C44" s="15" t="str">
        <f t="shared" si="3"/>
        <v>FUT1M</v>
      </c>
      <c r="D44" s="14" t="str">
        <v>N5</v>
      </c>
      <c r="E44" s="14" t="str">
        <f t="shared" si="2"/>
        <v>EUR_YC1MRH_FUT1MN5</v>
      </c>
      <c r="F44" s="14" t="e">
        <f>_xll.qlRateHelperQuoteName(E44)</f>
        <v>#NUM!</v>
      </c>
      <c r="G44" s="28" t="e">
        <f>_xll.qlRateHelperQuoteValue($E44,Trigger)</f>
        <v>#NUM!</v>
      </c>
      <c r="H44" s="13" t="e">
        <f>_xll.qlFuturesRateHelperConvexityAdjustment($E44,Trigger)</f>
        <v>#NUM!</v>
      </c>
      <c r="I44" s="12" t="b">
        <v>0</v>
      </c>
      <c r="J44" s="12">
        <v>60</v>
      </c>
      <c r="K44" s="12">
        <v>1</v>
      </c>
      <c r="L44" s="11" t="e">
        <f>_xll.qlRateHelperEarliestDate($E44,Trigger)</f>
        <v>#NUM!</v>
      </c>
      <c r="M44" s="10" t="e">
        <f>_xll.qlRateHelperLatestDate($E44,Trigger)</f>
        <v>#NUM!</v>
      </c>
    </row>
    <row r="45" spans="1:13" hidden="1" x14ac:dyDescent="0.2">
      <c r="A45" s="15" t="b">
        <v>0</v>
      </c>
      <c r="B45" s="16"/>
      <c r="C45" s="15" t="str">
        <f t="shared" si="3"/>
        <v>FUT1M</v>
      </c>
      <c r="D45" s="14" t="str">
        <v>Q5</v>
      </c>
      <c r="E45" s="14" t="str">
        <f t="shared" si="2"/>
        <v>EUR_YC1MRH_FUT1MQ5</v>
      </c>
      <c r="F45" s="14" t="e">
        <f>_xll.qlRateHelperQuoteName(E45)</f>
        <v>#NUM!</v>
      </c>
      <c r="G45" s="28" t="e">
        <f>_xll.qlRateHelperQuoteValue($E45,Trigger)</f>
        <v>#NUM!</v>
      </c>
      <c r="H45" s="13" t="e">
        <f>_xll.qlFuturesRateHelperConvexityAdjustment($E45,Trigger)</f>
        <v>#NUM!</v>
      </c>
      <c r="I45" s="12" t="b">
        <v>0</v>
      </c>
      <c r="J45" s="12">
        <v>60</v>
      </c>
      <c r="K45" s="12">
        <v>1</v>
      </c>
      <c r="L45" s="11" t="e">
        <f>_xll.qlRateHelperEarliestDate($E45,Trigger)</f>
        <v>#NUM!</v>
      </c>
      <c r="M45" s="10" t="e">
        <f>_xll.qlRateHelperLatestDate($E45,Trigger)</f>
        <v>#NUM!</v>
      </c>
    </row>
    <row r="46" spans="1:13" hidden="1" x14ac:dyDescent="0.2">
      <c r="A46" s="15" t="b">
        <v>1</v>
      </c>
      <c r="B46" s="16"/>
      <c r="C46" s="15" t="str">
        <f t="shared" si="3"/>
        <v>FUT1M</v>
      </c>
      <c r="D46" s="14" t="str">
        <v>U5</v>
      </c>
      <c r="E46" s="14" t="str">
        <f t="shared" si="2"/>
        <v>EUR_YC1MRH_FUT1MU5</v>
      </c>
      <c r="F46" s="14" t="e">
        <f>_xll.qlRateHelperQuoteName(E46)</f>
        <v>#NUM!</v>
      </c>
      <c r="G46" s="28" t="e">
        <f>_xll.qlRateHelperQuoteValue($E46,Trigger)</f>
        <v>#NUM!</v>
      </c>
      <c r="H46" s="13" t="e">
        <f>_xll.qlFuturesRateHelperConvexityAdjustment($E46,Trigger)</f>
        <v>#NUM!</v>
      </c>
      <c r="I46" s="12" t="b">
        <v>0</v>
      </c>
      <c r="J46" s="12">
        <v>60</v>
      </c>
      <c r="K46" s="12">
        <v>1</v>
      </c>
      <c r="L46" s="11" t="e">
        <f>_xll.qlRateHelperEarliestDate($E46,Trigger)</f>
        <v>#NUM!</v>
      </c>
      <c r="M46" s="10" t="e">
        <f>_xll.qlRateHelperLatestDate($E46,Trigger)</f>
        <v>#NUM!</v>
      </c>
    </row>
    <row r="47" spans="1:13" hidden="1" x14ac:dyDescent="0.2">
      <c r="A47" s="15" t="b">
        <v>1</v>
      </c>
      <c r="B47" s="16"/>
      <c r="C47" s="15" t="str">
        <f t="shared" si="3"/>
        <v>FUT1M</v>
      </c>
      <c r="D47" s="14" t="str">
        <v>Z5</v>
      </c>
      <c r="E47" s="14" t="str">
        <f t="shared" si="2"/>
        <v>EUR_YC1MRH_FUT1MZ5</v>
      </c>
      <c r="F47" s="14" t="e">
        <f>_xll.qlRateHelperQuoteName(E47)</f>
        <v>#NUM!</v>
      </c>
      <c r="G47" s="28" t="e">
        <f>_xll.qlRateHelperQuoteValue($E47,Trigger)</f>
        <v>#NUM!</v>
      </c>
      <c r="H47" s="13" t="e">
        <f>_xll.qlFuturesRateHelperConvexityAdjustment($E47,Trigger)</f>
        <v>#NUM!</v>
      </c>
      <c r="I47" s="12" t="b">
        <v>0</v>
      </c>
      <c r="J47" s="12">
        <v>60</v>
      </c>
      <c r="K47" s="12">
        <v>1</v>
      </c>
      <c r="L47" s="11" t="e">
        <f>_xll.qlRateHelperEarliestDate($E47,Trigger)</f>
        <v>#NUM!</v>
      </c>
      <c r="M47" s="10" t="e">
        <f>_xll.qlRateHelperLatestDate($E47,Trigger)</f>
        <v>#NUM!</v>
      </c>
    </row>
    <row r="48" spans="1:13" hidden="1" x14ac:dyDescent="0.2">
      <c r="A48" s="15" t="b">
        <v>1</v>
      </c>
      <c r="B48" s="16"/>
      <c r="C48" s="15" t="str">
        <f t="shared" si="3"/>
        <v>FUT1M</v>
      </c>
      <c r="D48" s="14" t="str">
        <v>H6</v>
      </c>
      <c r="E48" s="14" t="str">
        <f t="shared" si="2"/>
        <v>EUR_YC1MRH_FUT1MH6</v>
      </c>
      <c r="F48" s="14" t="e">
        <f>_xll.qlRateHelperQuoteName(E48)</f>
        <v>#NUM!</v>
      </c>
      <c r="G48" s="28" t="e">
        <f>_xll.qlRateHelperQuoteValue($E48,Trigger)</f>
        <v>#NUM!</v>
      </c>
      <c r="H48" s="13" t="e">
        <f>_xll.qlFuturesRateHelperConvexityAdjustment($E48,Trigger)</f>
        <v>#NUM!</v>
      </c>
      <c r="I48" s="12" t="b">
        <v>0</v>
      </c>
      <c r="J48" s="12">
        <v>60</v>
      </c>
      <c r="K48" s="12">
        <v>1</v>
      </c>
      <c r="L48" s="11" t="e">
        <f>_xll.qlRateHelperEarliestDate($E48,Trigger)</f>
        <v>#NUM!</v>
      </c>
      <c r="M48" s="10" t="e">
        <f>_xll.qlRateHelperLatestDate($E48,Trigger)</f>
        <v>#NUM!</v>
      </c>
    </row>
    <row r="49" spans="1:13" hidden="1" x14ac:dyDescent="0.2">
      <c r="A49" s="15" t="b">
        <v>1</v>
      </c>
      <c r="B49" s="16"/>
      <c r="C49" s="15" t="str">
        <f t="shared" si="3"/>
        <v>FUT1M</v>
      </c>
      <c r="D49" s="14" t="str">
        <v>M6</v>
      </c>
      <c r="E49" s="14" t="str">
        <f t="shared" si="2"/>
        <v>EUR_YC1MRH_FUT1MM6</v>
      </c>
      <c r="F49" s="14" t="e">
        <f>_xll.qlRateHelperQuoteName(E49)</f>
        <v>#NUM!</v>
      </c>
      <c r="G49" s="28" t="e">
        <f>_xll.qlRateHelperQuoteValue($E49,Trigger)</f>
        <v>#NUM!</v>
      </c>
      <c r="H49" s="13" t="e">
        <f>_xll.qlFuturesRateHelperConvexityAdjustment($E49,Trigger)</f>
        <v>#NUM!</v>
      </c>
      <c r="I49" s="12" t="b">
        <v>0</v>
      </c>
      <c r="J49" s="12">
        <v>60</v>
      </c>
      <c r="K49" s="12">
        <v>1</v>
      </c>
      <c r="L49" s="11" t="e">
        <f>_xll.qlRateHelperEarliestDate($E49,Trigger)</f>
        <v>#NUM!</v>
      </c>
      <c r="M49" s="10" t="e">
        <f>_xll.qlRateHelperLatestDate($E49,Trigger)</f>
        <v>#NUM!</v>
      </c>
    </row>
    <row r="50" spans="1:13" hidden="1" x14ac:dyDescent="0.2">
      <c r="A50" s="15" t="b">
        <v>1</v>
      </c>
      <c r="B50" s="16"/>
      <c r="C50" s="15" t="str">
        <f t="shared" si="3"/>
        <v>FUT1M</v>
      </c>
      <c r="D50" s="14" t="str">
        <v>U6</v>
      </c>
      <c r="E50" s="14" t="str">
        <f t="shared" si="2"/>
        <v>EUR_YC1MRH_FUT1MU6</v>
      </c>
      <c r="F50" s="14" t="e">
        <f>_xll.qlRateHelperQuoteName(E50)</f>
        <v>#NUM!</v>
      </c>
      <c r="G50" s="28" t="e">
        <f>_xll.qlRateHelperQuoteValue($E50,Trigger)</f>
        <v>#NUM!</v>
      </c>
      <c r="H50" s="13" t="e">
        <f>_xll.qlFuturesRateHelperConvexityAdjustment($E50,Trigger)</f>
        <v>#NUM!</v>
      </c>
      <c r="I50" s="12" t="b">
        <v>0</v>
      </c>
      <c r="J50" s="12">
        <v>60</v>
      </c>
      <c r="K50" s="12">
        <v>1</v>
      </c>
      <c r="L50" s="11" t="e">
        <f>_xll.qlRateHelperEarliestDate($E50,Trigger)</f>
        <v>#NUM!</v>
      </c>
      <c r="M50" s="10" t="e">
        <f>_xll.qlRateHelperLatestDate($E50,Trigger)</f>
        <v>#NUM!</v>
      </c>
    </row>
    <row r="51" spans="1:13" hidden="1" x14ac:dyDescent="0.2">
      <c r="A51" s="15" t="b">
        <v>1</v>
      </c>
      <c r="B51" s="16"/>
      <c r="C51" s="15" t="str">
        <f t="shared" si="3"/>
        <v>FUT1M</v>
      </c>
      <c r="D51" s="14" t="str">
        <v>Z6</v>
      </c>
      <c r="E51" s="14" t="str">
        <f t="shared" si="2"/>
        <v>EUR_YC1MRH_FUT1MZ6</v>
      </c>
      <c r="F51" s="14" t="e">
        <f>_xll.qlRateHelperQuoteName(E51)</f>
        <v>#NUM!</v>
      </c>
      <c r="G51" s="28" t="e">
        <f>_xll.qlRateHelperQuoteValue($E51,Trigger)</f>
        <v>#NUM!</v>
      </c>
      <c r="H51" s="13" t="e">
        <f>_xll.qlFuturesRateHelperConvexityAdjustment($E51,Trigger)</f>
        <v>#NUM!</v>
      </c>
      <c r="I51" s="12" t="b">
        <v>0</v>
      </c>
      <c r="J51" s="12">
        <v>30</v>
      </c>
      <c r="K51" s="12">
        <v>1</v>
      </c>
      <c r="L51" s="11" t="e">
        <f>_xll.qlRateHelperEarliestDate($E51,Trigger)</f>
        <v>#NUM!</v>
      </c>
      <c r="M51" s="10" t="e">
        <f>_xll.qlRateHelperLatestDate($E51,Trigger)</f>
        <v>#NUM!</v>
      </c>
    </row>
    <row r="52" spans="1:13" hidden="1" x14ac:dyDescent="0.2">
      <c r="A52" s="15" t="b">
        <v>1</v>
      </c>
      <c r="B52" s="16"/>
      <c r="C52" s="15" t="str">
        <f t="shared" si="3"/>
        <v>FUT1M</v>
      </c>
      <c r="D52" s="14" t="str">
        <v>H7</v>
      </c>
      <c r="E52" s="14" t="str">
        <f t="shared" si="2"/>
        <v>EUR_YC1MRH_FUT1MH7</v>
      </c>
      <c r="F52" s="14" t="e">
        <f>_xll.qlRateHelperQuoteName(E52)</f>
        <v>#NUM!</v>
      </c>
      <c r="G52" s="28" t="e">
        <f>_xll.qlRateHelperQuoteValue($E52,Trigger)</f>
        <v>#NUM!</v>
      </c>
      <c r="H52" s="13" t="e">
        <f>_xll.qlFuturesRateHelperConvexityAdjustment($E52,Trigger)</f>
        <v>#NUM!</v>
      </c>
      <c r="I52" s="12" t="b">
        <v>0</v>
      </c>
      <c r="J52" s="12">
        <v>30</v>
      </c>
      <c r="K52" s="12">
        <v>1</v>
      </c>
      <c r="L52" s="11" t="e">
        <f>_xll.qlRateHelperEarliestDate($E52,Trigger)</f>
        <v>#NUM!</v>
      </c>
      <c r="M52" s="10" t="e">
        <f>_xll.qlRateHelperLatestDate($E52,Trigger)</f>
        <v>#NUM!</v>
      </c>
    </row>
    <row r="53" spans="1:13" hidden="1" x14ac:dyDescent="0.2">
      <c r="A53" s="15" t="b">
        <v>1</v>
      </c>
      <c r="B53" s="16"/>
      <c r="C53" s="15" t="str">
        <f t="shared" si="3"/>
        <v>FUT1M</v>
      </c>
      <c r="D53" s="14" t="str">
        <v>M7</v>
      </c>
      <c r="E53" s="14" t="str">
        <f t="shared" si="2"/>
        <v>EUR_YC1MRH_FUT1MM7</v>
      </c>
      <c r="F53" s="14" t="e">
        <f>_xll.qlRateHelperQuoteName(E53)</f>
        <v>#NUM!</v>
      </c>
      <c r="G53" s="28" t="e">
        <f>_xll.qlRateHelperQuoteValue($E53,Trigger)</f>
        <v>#NUM!</v>
      </c>
      <c r="H53" s="13" t="e">
        <f>_xll.qlFuturesRateHelperConvexityAdjustment($E53,Trigger)</f>
        <v>#NUM!</v>
      </c>
      <c r="I53" s="12" t="b">
        <v>0</v>
      </c>
      <c r="J53" s="12">
        <v>30</v>
      </c>
      <c r="K53" s="12">
        <v>1</v>
      </c>
      <c r="L53" s="11" t="e">
        <f>_xll.qlRateHelperEarliestDate($E53,Trigger)</f>
        <v>#NUM!</v>
      </c>
      <c r="M53" s="10" t="e">
        <f>_xll.qlRateHelperLatestDate($E53,Trigger)</f>
        <v>#NUM!</v>
      </c>
    </row>
    <row r="54" spans="1:13" hidden="1" x14ac:dyDescent="0.2">
      <c r="A54" s="15" t="b">
        <v>1</v>
      </c>
      <c r="B54" s="16"/>
      <c r="C54" s="15" t="str">
        <f t="shared" si="3"/>
        <v>FUT1M</v>
      </c>
      <c r="D54" s="14" t="str">
        <v>U7</v>
      </c>
      <c r="E54" s="14" t="str">
        <f t="shared" si="2"/>
        <v>EUR_YC1MRH_FUT1MU7</v>
      </c>
      <c r="F54" s="14" t="e">
        <f>_xll.qlRateHelperQuoteName(E54)</f>
        <v>#NUM!</v>
      </c>
      <c r="G54" s="28" t="e">
        <f>_xll.qlRateHelperQuoteValue($E54,Trigger)</f>
        <v>#NUM!</v>
      </c>
      <c r="H54" s="13" t="e">
        <f>_xll.qlFuturesRateHelperConvexityAdjustment($E54,Trigger)</f>
        <v>#NUM!</v>
      </c>
      <c r="I54" s="12" t="b">
        <v>0</v>
      </c>
      <c r="J54" s="12">
        <v>30</v>
      </c>
      <c r="K54" s="12">
        <v>1</v>
      </c>
      <c r="L54" s="11" t="e">
        <f>_xll.qlRateHelperEarliestDate($E54,Trigger)</f>
        <v>#NUM!</v>
      </c>
      <c r="M54" s="10" t="e">
        <f>_xll.qlRateHelperLatestDate($E54,Trigger)</f>
        <v>#NUM!</v>
      </c>
    </row>
    <row r="55" spans="1:13" hidden="1" x14ac:dyDescent="0.2">
      <c r="A55" s="15" t="b">
        <v>1</v>
      </c>
      <c r="B55" s="16"/>
      <c r="C55" s="15" t="str">
        <f t="shared" si="3"/>
        <v>FUT1M</v>
      </c>
      <c r="D55" s="14" t="str">
        <v>Z7</v>
      </c>
      <c r="E55" s="14" t="str">
        <f t="shared" si="2"/>
        <v>EUR_YC1MRH_FUT1MZ7</v>
      </c>
      <c r="F55" s="14" t="e">
        <f>_xll.qlRateHelperQuoteName(E55)</f>
        <v>#NUM!</v>
      </c>
      <c r="G55" s="28" t="e">
        <f>_xll.qlRateHelperQuoteValue($E55,Trigger)</f>
        <v>#NUM!</v>
      </c>
      <c r="H55" s="13" t="e">
        <f>_xll.qlFuturesRateHelperConvexityAdjustment($E55,Trigger)</f>
        <v>#NUM!</v>
      </c>
      <c r="I55" s="12" t="b">
        <v>0</v>
      </c>
      <c r="J55" s="12">
        <v>30</v>
      </c>
      <c r="K55" s="12">
        <v>1</v>
      </c>
      <c r="L55" s="11" t="e">
        <f>_xll.qlRateHelperEarliestDate($E55,Trigger)</f>
        <v>#NUM!</v>
      </c>
      <c r="M55" s="10" t="e">
        <f>_xll.qlRateHelperLatestDate($E55,Trigger)</f>
        <v>#NUM!</v>
      </c>
    </row>
    <row r="56" spans="1:13" hidden="1" x14ac:dyDescent="0.2">
      <c r="A56" s="15" t="b">
        <v>1</v>
      </c>
      <c r="B56" s="16"/>
      <c r="C56" s="15" t="str">
        <f t="shared" si="3"/>
        <v>FUT1M</v>
      </c>
      <c r="D56" s="14" t="str">
        <v>H8</v>
      </c>
      <c r="E56" s="14" t="str">
        <f t="shared" si="2"/>
        <v>EUR_YC1MRH_FUT1MH8</v>
      </c>
      <c r="F56" s="14" t="e">
        <f>_xll.qlRateHelperQuoteName(E56)</f>
        <v>#NUM!</v>
      </c>
      <c r="G56" s="28" t="e">
        <f>_xll.qlRateHelperQuoteValue($E56,Trigger)</f>
        <v>#NUM!</v>
      </c>
      <c r="H56" s="13" t="e">
        <f>_xll.qlFuturesRateHelperConvexityAdjustment($E56,Trigger)</f>
        <v>#NUM!</v>
      </c>
      <c r="I56" s="12" t="b">
        <v>0</v>
      </c>
      <c r="J56" s="12">
        <v>30</v>
      </c>
      <c r="K56" s="12">
        <v>1</v>
      </c>
      <c r="L56" s="11" t="e">
        <f>_xll.qlRateHelperEarliestDate($E56,Trigger)</f>
        <v>#NUM!</v>
      </c>
      <c r="M56" s="10" t="e">
        <f>_xll.qlRateHelperLatestDate($E56,Trigger)</f>
        <v>#NUM!</v>
      </c>
    </row>
    <row r="57" spans="1:13" hidden="1" x14ac:dyDescent="0.2">
      <c r="A57" s="15" t="b">
        <v>1</v>
      </c>
      <c r="B57" s="16"/>
      <c r="C57" s="15" t="str">
        <f t="shared" si="3"/>
        <v>FUT1M</v>
      </c>
      <c r="D57" s="14" t="str">
        <v>M8</v>
      </c>
      <c r="E57" s="14" t="str">
        <f t="shared" si="2"/>
        <v>EUR_YC1MRH_FUT1MM8</v>
      </c>
      <c r="F57" s="14" t="e">
        <f>_xll.qlRateHelperQuoteName(E57)</f>
        <v>#NUM!</v>
      </c>
      <c r="G57" s="28" t="e">
        <f>_xll.qlRateHelperQuoteValue($E57,Trigger)</f>
        <v>#NUM!</v>
      </c>
      <c r="H57" s="13" t="e">
        <f>_xll.qlFuturesRateHelperConvexityAdjustment($E57,Trigger)</f>
        <v>#NUM!</v>
      </c>
      <c r="I57" s="12" t="b">
        <v>0</v>
      </c>
      <c r="J57" s="12">
        <v>30</v>
      </c>
      <c r="K57" s="12">
        <v>1</v>
      </c>
      <c r="L57" s="11" t="e">
        <f>_xll.qlRateHelperEarliestDate($E57,Trigger)</f>
        <v>#NUM!</v>
      </c>
      <c r="M57" s="10" t="e">
        <f>_xll.qlRateHelperLatestDate($E57,Trigger)</f>
        <v>#NUM!</v>
      </c>
    </row>
    <row r="58" spans="1:13" hidden="1" x14ac:dyDescent="0.2">
      <c r="A58" s="15" t="b">
        <v>1</v>
      </c>
      <c r="B58" s="16"/>
      <c r="C58" s="15" t="str">
        <f t="shared" si="3"/>
        <v>FUT1M</v>
      </c>
      <c r="D58" s="14" t="str">
        <v>U8</v>
      </c>
      <c r="E58" s="14" t="str">
        <f t="shared" si="2"/>
        <v>EUR_YC1MRH_FUT1MU8</v>
      </c>
      <c r="F58" s="14" t="e">
        <f>_xll.qlRateHelperQuoteName(E58)</f>
        <v>#NUM!</v>
      </c>
      <c r="G58" s="28" t="e">
        <f>_xll.qlRateHelperQuoteValue($E58,Trigger)</f>
        <v>#NUM!</v>
      </c>
      <c r="H58" s="13" t="e">
        <f>_xll.qlFuturesRateHelperConvexityAdjustment($E58,Trigger)</f>
        <v>#NUM!</v>
      </c>
      <c r="I58" s="12" t="b">
        <v>0</v>
      </c>
      <c r="J58" s="12">
        <v>30</v>
      </c>
      <c r="K58" s="12">
        <v>1</v>
      </c>
      <c r="L58" s="11" t="e">
        <f>_xll.qlRateHelperEarliestDate($E58,Trigger)</f>
        <v>#NUM!</v>
      </c>
      <c r="M58" s="10" t="e">
        <f>_xll.qlRateHelperLatestDate($E58,Trigger)</f>
        <v>#NUM!</v>
      </c>
    </row>
    <row r="59" spans="1:13" hidden="1" x14ac:dyDescent="0.2">
      <c r="A59" s="15" t="b">
        <v>1</v>
      </c>
      <c r="B59" s="16"/>
      <c r="C59" s="15" t="str">
        <f t="shared" si="3"/>
        <v>FUT1M</v>
      </c>
      <c r="D59" s="14" t="str">
        <v>Z8</v>
      </c>
      <c r="E59" s="14" t="str">
        <f t="shared" si="2"/>
        <v>EUR_YC1MRH_FUT1MZ8</v>
      </c>
      <c r="F59" s="14" t="e">
        <f>_xll.qlRateHelperQuoteName(E59)</f>
        <v>#NUM!</v>
      </c>
      <c r="G59" s="28" t="e">
        <f>_xll.qlRateHelperQuoteValue($E59,Trigger)</f>
        <v>#NUM!</v>
      </c>
      <c r="H59" s="13" t="e">
        <f>_xll.qlFuturesRateHelperConvexityAdjustment($E59,Trigger)</f>
        <v>#NUM!</v>
      </c>
      <c r="I59" s="12" t="b">
        <v>0</v>
      </c>
      <c r="J59" s="12">
        <v>30</v>
      </c>
      <c r="K59" s="12">
        <v>1</v>
      </c>
      <c r="L59" s="11" t="e">
        <f>_xll.qlRateHelperEarliestDate($E59,Trigger)</f>
        <v>#NUM!</v>
      </c>
      <c r="M59" s="10" t="e">
        <f>_xll.qlRateHelperLatestDate($E59,Trigger)</f>
        <v>#NUM!</v>
      </c>
    </row>
    <row r="60" spans="1:13" hidden="1" x14ac:dyDescent="0.2">
      <c r="A60" s="15" t="b">
        <v>1</v>
      </c>
      <c r="B60" s="16"/>
      <c r="C60" s="15" t="str">
        <f t="shared" si="3"/>
        <v>FUT1M</v>
      </c>
      <c r="D60" s="14" t="str">
        <v>H9</v>
      </c>
      <c r="E60" s="14" t="str">
        <f t="shared" si="2"/>
        <v>EUR_YC1MRH_FUT1MH9</v>
      </c>
      <c r="F60" s="14" t="e">
        <f>_xll.qlRateHelperQuoteName(E60)</f>
        <v>#NUM!</v>
      </c>
      <c r="G60" s="28" t="e">
        <f>_xll.qlRateHelperQuoteValue($E60,Trigger)</f>
        <v>#NUM!</v>
      </c>
      <c r="H60" s="13" t="e">
        <f>_xll.qlFuturesRateHelperConvexityAdjustment($E60,Trigger)</f>
        <v>#NUM!</v>
      </c>
      <c r="I60" s="12" t="b">
        <v>0</v>
      </c>
      <c r="J60" s="12">
        <v>30</v>
      </c>
      <c r="K60" s="12">
        <v>1</v>
      </c>
      <c r="L60" s="11" t="e">
        <f>_xll.qlRateHelperEarliestDate($E60,Trigger)</f>
        <v>#NUM!</v>
      </c>
      <c r="M60" s="10" t="e">
        <f>_xll.qlRateHelperLatestDate($E60,Trigger)</f>
        <v>#NUM!</v>
      </c>
    </row>
    <row r="61" spans="1:13" hidden="1" x14ac:dyDescent="0.2">
      <c r="A61" s="15" t="b">
        <v>1</v>
      </c>
      <c r="B61" s="16"/>
      <c r="C61" s="15" t="str">
        <f t="shared" si="3"/>
        <v>FUT1M</v>
      </c>
      <c r="D61" s="14" t="str">
        <v>M9</v>
      </c>
      <c r="E61" s="14" t="str">
        <f t="shared" si="2"/>
        <v>EUR_YC1MRH_FUT1MM9</v>
      </c>
      <c r="F61" s="14" t="e">
        <f>_xll.qlRateHelperQuoteName(E61)</f>
        <v>#NUM!</v>
      </c>
      <c r="G61" s="28" t="e">
        <f>_xll.qlRateHelperQuoteValue($E61,Trigger)</f>
        <v>#NUM!</v>
      </c>
      <c r="H61" s="13" t="e">
        <f>_xll.qlFuturesRateHelperConvexityAdjustment($E61,Trigger)</f>
        <v>#NUM!</v>
      </c>
      <c r="I61" s="12" t="b">
        <v>0</v>
      </c>
      <c r="J61" s="12">
        <v>30</v>
      </c>
      <c r="K61" s="12">
        <v>1</v>
      </c>
      <c r="L61" s="11" t="e">
        <f>_xll.qlRateHelperEarliestDate($E61,Trigger)</f>
        <v>#NUM!</v>
      </c>
      <c r="M61" s="10" t="e">
        <f>_xll.qlRateHelperLatestDate($E61,Trigger)</f>
        <v>#NUM!</v>
      </c>
    </row>
    <row r="62" spans="1:13" hidden="1" x14ac:dyDescent="0.2">
      <c r="A62" s="15" t="b">
        <v>1</v>
      </c>
      <c r="B62" s="16"/>
      <c r="C62" s="15" t="str">
        <f t="shared" si="3"/>
        <v>FUT1M</v>
      </c>
      <c r="D62" s="14" t="str">
        <v>U9</v>
      </c>
      <c r="E62" s="14" t="str">
        <f t="shared" si="2"/>
        <v>EUR_YC1MRH_FUT1MU9</v>
      </c>
      <c r="F62" s="14" t="e">
        <f>_xll.qlRateHelperQuoteName(E62)</f>
        <v>#NUM!</v>
      </c>
      <c r="G62" s="28" t="e">
        <f>_xll.qlRateHelperQuoteValue($E62,Trigger)</f>
        <v>#NUM!</v>
      </c>
      <c r="H62" s="13" t="e">
        <f>_xll.qlFuturesRateHelperConvexityAdjustment($E62,Trigger)</f>
        <v>#NUM!</v>
      </c>
      <c r="I62" s="12" t="b">
        <v>0</v>
      </c>
      <c r="J62" s="12">
        <v>30</v>
      </c>
      <c r="K62" s="12">
        <v>1</v>
      </c>
      <c r="L62" s="11" t="e">
        <f>_xll.qlRateHelperEarliestDate($E62,Trigger)</f>
        <v>#NUM!</v>
      </c>
      <c r="M62" s="10" t="e">
        <f>_xll.qlRateHelperLatestDate($E62,Trigger)</f>
        <v>#NUM!</v>
      </c>
    </row>
    <row r="63" spans="1:13" hidden="1" x14ac:dyDescent="0.2">
      <c r="A63" s="15" t="b">
        <v>1</v>
      </c>
      <c r="B63" s="16"/>
      <c r="C63" s="15" t="str">
        <f t="shared" si="3"/>
        <v>FUT1M</v>
      </c>
      <c r="D63" s="14" t="str">
        <v>Z9</v>
      </c>
      <c r="E63" s="14" t="str">
        <f t="shared" si="2"/>
        <v>EUR_YC1MRH_FUT1MZ9</v>
      </c>
      <c r="F63" s="14" t="e">
        <f>_xll.qlRateHelperQuoteName(E63)</f>
        <v>#NUM!</v>
      </c>
      <c r="G63" s="28" t="e">
        <f>_xll.qlRateHelperQuoteValue($E63,Trigger)</f>
        <v>#NUM!</v>
      </c>
      <c r="H63" s="13" t="e">
        <f>_xll.qlFuturesRateHelperConvexityAdjustment($E63,Trigger)</f>
        <v>#NUM!</v>
      </c>
      <c r="I63" s="12" t="b">
        <v>0</v>
      </c>
      <c r="J63" s="12">
        <v>30</v>
      </c>
      <c r="K63" s="12">
        <v>1</v>
      </c>
      <c r="L63" s="11" t="e">
        <f>_xll.qlRateHelperEarliestDate($E63,Trigger)</f>
        <v>#NUM!</v>
      </c>
      <c r="M63" s="10" t="e">
        <f>_xll.qlRateHelperLatestDate($E63,Trigger)</f>
        <v>#NUM!</v>
      </c>
    </row>
    <row r="64" spans="1:13" hidden="1" x14ac:dyDescent="0.2">
      <c r="A64" s="15" t="b">
        <v>1</v>
      </c>
      <c r="B64" s="16"/>
      <c r="C64" s="15" t="str">
        <f t="shared" si="3"/>
        <v>FUT1M</v>
      </c>
      <c r="D64" s="14" t="str">
        <v>H0</v>
      </c>
      <c r="E64" s="14" t="str">
        <f t="shared" ref="E64:E95" si="4">RateHelperPrefix&amp;"_"&amp;$B64&amp;$C64&amp;$D64</f>
        <v>EUR_YC1MRH_FUT1MH0</v>
      </c>
      <c r="F64" s="14" t="e">
        <f>_xll.qlRateHelperQuoteName(E64)</f>
        <v>#NUM!</v>
      </c>
      <c r="G64" s="28" t="e">
        <f>_xll.qlRateHelperQuoteValue($E64,Trigger)</f>
        <v>#NUM!</v>
      </c>
      <c r="H64" s="13" t="e">
        <f>_xll.qlFuturesRateHelperConvexityAdjustment($E64,Trigger)</f>
        <v>#NUM!</v>
      </c>
      <c r="I64" s="12" t="b">
        <v>0</v>
      </c>
      <c r="J64" s="12">
        <v>30</v>
      </c>
      <c r="K64" s="12">
        <v>1</v>
      </c>
      <c r="L64" s="11" t="e">
        <f>_xll.qlRateHelperEarliestDate($E64,Trigger)</f>
        <v>#NUM!</v>
      </c>
      <c r="M64" s="10" t="e">
        <f>_xll.qlRateHelperLatestDate($E64,Trigger)</f>
        <v>#NUM!</v>
      </c>
    </row>
    <row r="65" spans="1:14" hidden="1" x14ac:dyDescent="0.2">
      <c r="A65" s="15" t="b">
        <v>1</v>
      </c>
      <c r="B65" s="16"/>
      <c r="C65" s="15" t="str">
        <f t="shared" si="3"/>
        <v>FUT1M</v>
      </c>
      <c r="D65" s="14" t="str">
        <v>M0</v>
      </c>
      <c r="E65" s="14" t="str">
        <f t="shared" si="4"/>
        <v>EUR_YC1MRH_FUT1MM0</v>
      </c>
      <c r="F65" s="14" t="e">
        <f>_xll.qlRateHelperQuoteName(E65)</f>
        <v>#NUM!</v>
      </c>
      <c r="G65" s="28" t="e">
        <f>_xll.qlRateHelperQuoteValue($E65,Trigger)</f>
        <v>#NUM!</v>
      </c>
      <c r="H65" s="13" t="e">
        <f>_xll.qlFuturesRateHelperConvexityAdjustment($E65,Trigger)</f>
        <v>#NUM!</v>
      </c>
      <c r="I65" s="12" t="b">
        <v>0</v>
      </c>
      <c r="J65" s="12">
        <v>30</v>
      </c>
      <c r="K65" s="12">
        <v>1</v>
      </c>
      <c r="L65" s="11" t="e">
        <f>_xll.qlRateHelperEarliestDate($E65,Trigger)</f>
        <v>#NUM!</v>
      </c>
      <c r="M65" s="10" t="e">
        <f>_xll.qlRateHelperLatestDate($E65,Trigger)</f>
        <v>#NUM!</v>
      </c>
    </row>
    <row r="66" spans="1:14" hidden="1" x14ac:dyDescent="0.2">
      <c r="A66" s="15" t="b">
        <v>1</v>
      </c>
      <c r="B66" s="16"/>
      <c r="C66" s="15" t="str">
        <f t="shared" si="3"/>
        <v>FUT1M</v>
      </c>
      <c r="D66" s="14" t="str">
        <v>U0</v>
      </c>
      <c r="E66" s="14" t="str">
        <f t="shared" si="4"/>
        <v>EUR_YC1MRH_FUT1MU0</v>
      </c>
      <c r="F66" s="14" t="e">
        <f>_xll.qlRateHelperQuoteName(E66)</f>
        <v>#NUM!</v>
      </c>
      <c r="G66" s="28" t="e">
        <f>_xll.qlRateHelperQuoteValue($E66,Trigger)</f>
        <v>#NUM!</v>
      </c>
      <c r="H66" s="13" t="e">
        <f>_xll.qlFuturesRateHelperConvexityAdjustment($E66,Trigger)</f>
        <v>#NUM!</v>
      </c>
      <c r="I66" s="12" t="b">
        <v>0</v>
      </c>
      <c r="J66" s="12">
        <v>30</v>
      </c>
      <c r="K66" s="12">
        <v>1</v>
      </c>
      <c r="L66" s="11" t="e">
        <f>_xll.qlRateHelperEarliestDate($E66,Trigger)</f>
        <v>#NUM!</v>
      </c>
      <c r="M66" s="10" t="e">
        <f>_xll.qlRateHelperLatestDate($E66,Trigger)</f>
        <v>#NUM!</v>
      </c>
    </row>
    <row r="67" spans="1:14" hidden="1" x14ac:dyDescent="0.2">
      <c r="A67" s="15" t="b">
        <v>1</v>
      </c>
      <c r="B67" s="16"/>
      <c r="C67" s="15" t="str">
        <f t="shared" si="3"/>
        <v>FUT1M</v>
      </c>
      <c r="D67" s="14" t="str">
        <v>Z0</v>
      </c>
      <c r="E67" s="14" t="str">
        <f t="shared" si="4"/>
        <v>EUR_YC1MRH_FUT1MZ0</v>
      </c>
      <c r="F67" s="14" t="e">
        <f>_xll.qlRateHelperQuoteName(E67)</f>
        <v>#NUM!</v>
      </c>
      <c r="G67" s="28" t="e">
        <f>_xll.qlRateHelperQuoteValue($E67,Trigger)</f>
        <v>#NUM!</v>
      </c>
      <c r="H67" s="13" t="e">
        <f>_xll.qlFuturesRateHelperConvexityAdjustment($E67,Trigger)</f>
        <v>#NUM!</v>
      </c>
      <c r="I67" s="12" t="b">
        <v>0</v>
      </c>
      <c r="J67" s="12">
        <v>30</v>
      </c>
      <c r="K67" s="12">
        <v>1</v>
      </c>
      <c r="L67" s="11" t="e">
        <f>_xll.qlRateHelperEarliestDate($E67,Trigger)</f>
        <v>#NUM!</v>
      </c>
      <c r="M67" s="10" t="e">
        <f>_xll.qlRateHelperLatestDate($E67,Trigger)</f>
        <v>#NUM!</v>
      </c>
    </row>
    <row r="68" spans="1:14" hidden="1" x14ac:dyDescent="0.2">
      <c r="A68" s="15" t="b">
        <v>1</v>
      </c>
      <c r="B68" s="16"/>
      <c r="C68" s="15" t="str">
        <f t="shared" si="3"/>
        <v>FUT1M</v>
      </c>
      <c r="D68" s="14" t="str">
        <v>H1</v>
      </c>
      <c r="E68" s="14" t="str">
        <f t="shared" si="4"/>
        <v>EUR_YC1MRH_FUT1MH1</v>
      </c>
      <c r="F68" s="14" t="e">
        <f>_xll.qlRateHelperQuoteName(E68)</f>
        <v>#NUM!</v>
      </c>
      <c r="G68" s="28" t="e">
        <f>_xll.qlRateHelperQuoteValue($E68,Trigger)</f>
        <v>#NUM!</v>
      </c>
      <c r="H68" s="13" t="e">
        <f>_xll.qlFuturesRateHelperConvexityAdjustment($E68,Trigger)</f>
        <v>#NUM!</v>
      </c>
      <c r="I68" s="12" t="b">
        <v>0</v>
      </c>
      <c r="J68" s="12">
        <v>30</v>
      </c>
      <c r="K68" s="12">
        <v>1</v>
      </c>
      <c r="L68" s="11" t="e">
        <f>_xll.qlRateHelperEarliestDate($E68,Trigger)</f>
        <v>#NUM!</v>
      </c>
      <c r="M68" s="10" t="e">
        <f>_xll.qlRateHelperLatestDate($E68,Trigger)</f>
        <v>#NUM!</v>
      </c>
    </row>
    <row r="69" spans="1:14" hidden="1" x14ac:dyDescent="0.2">
      <c r="A69" s="15" t="b">
        <v>1</v>
      </c>
      <c r="B69" s="16"/>
      <c r="C69" s="15" t="str">
        <f t="shared" si="3"/>
        <v>FUT1M</v>
      </c>
      <c r="D69" s="14" t="str">
        <v>M1</v>
      </c>
      <c r="E69" s="14" t="str">
        <f t="shared" si="4"/>
        <v>EUR_YC1MRH_FUT1MM1</v>
      </c>
      <c r="F69" s="14" t="e">
        <f>_xll.qlRateHelperQuoteName(E69)</f>
        <v>#NUM!</v>
      </c>
      <c r="G69" s="28" t="e">
        <f>_xll.qlRateHelperQuoteValue($E69,Trigger)</f>
        <v>#NUM!</v>
      </c>
      <c r="H69" s="13" t="e">
        <f>_xll.qlFuturesRateHelperConvexityAdjustment($E69,Trigger)</f>
        <v>#NUM!</v>
      </c>
      <c r="I69" s="12" t="b">
        <v>0</v>
      </c>
      <c r="J69" s="12">
        <v>30</v>
      </c>
      <c r="K69" s="12">
        <v>1</v>
      </c>
      <c r="L69" s="11" t="e">
        <f>_xll.qlRateHelperEarliestDate($E69,Trigger)</f>
        <v>#NUM!</v>
      </c>
      <c r="M69" s="10" t="e">
        <f>_xll.qlRateHelperLatestDate($E69,Trigger)</f>
        <v>#NUM!</v>
      </c>
    </row>
    <row r="70" spans="1:14" hidden="1" x14ac:dyDescent="0.2">
      <c r="A70" s="15" t="b">
        <v>1</v>
      </c>
      <c r="B70" s="16"/>
      <c r="C70" s="15" t="str">
        <f t="shared" si="3"/>
        <v>FUT1M</v>
      </c>
      <c r="D70" s="14" t="str">
        <v>U1</v>
      </c>
      <c r="E70" s="14" t="str">
        <f t="shared" si="4"/>
        <v>EUR_YC1MRH_FUT1MU1</v>
      </c>
      <c r="F70" s="14" t="e">
        <f>_xll.qlRateHelperQuoteName(E70)</f>
        <v>#NUM!</v>
      </c>
      <c r="G70" s="28" t="e">
        <f>_xll.qlRateHelperQuoteValue($E70,Trigger)</f>
        <v>#NUM!</v>
      </c>
      <c r="H70" s="13" t="e">
        <f>_xll.qlFuturesRateHelperConvexityAdjustment($E70,Trigger)</f>
        <v>#NUM!</v>
      </c>
      <c r="I70" s="12" t="b">
        <v>0</v>
      </c>
      <c r="J70" s="12">
        <v>30</v>
      </c>
      <c r="K70" s="12">
        <v>1</v>
      </c>
      <c r="L70" s="11" t="e">
        <f>_xll.qlRateHelperEarliestDate($E70,Trigger)</f>
        <v>#NUM!</v>
      </c>
      <c r="M70" s="10" t="e">
        <f>_xll.qlRateHelperLatestDate($E70,Trigger)</f>
        <v>#NUM!</v>
      </c>
    </row>
    <row r="71" spans="1:14" hidden="1" x14ac:dyDescent="0.2">
      <c r="A71" s="15" t="b">
        <v>1</v>
      </c>
      <c r="B71" s="16"/>
      <c r="C71" s="15" t="str">
        <f t="shared" si="3"/>
        <v>FUT1M</v>
      </c>
      <c r="D71" s="14" t="str">
        <v>Z1</v>
      </c>
      <c r="E71" s="14" t="str">
        <f t="shared" si="4"/>
        <v>EUR_YC1MRH_FUT1MZ1</v>
      </c>
      <c r="F71" s="14" t="e">
        <f>_xll.qlRateHelperQuoteName(E71)</f>
        <v>#NUM!</v>
      </c>
      <c r="G71" s="28" t="e">
        <f>_xll.qlRateHelperQuoteValue($E71,Trigger)</f>
        <v>#NUM!</v>
      </c>
      <c r="H71" s="13" t="e">
        <f>_xll.qlFuturesRateHelperConvexityAdjustment($E71,Trigger)</f>
        <v>#NUM!</v>
      </c>
      <c r="I71" s="12" t="b">
        <v>0</v>
      </c>
      <c r="J71" s="12">
        <v>30</v>
      </c>
      <c r="K71" s="12">
        <v>1</v>
      </c>
      <c r="L71" s="11" t="e">
        <f>_xll.qlRateHelperEarliestDate($E71,Trigger)</f>
        <v>#NUM!</v>
      </c>
      <c r="M71" s="10" t="e">
        <f>_xll.qlRateHelperLatestDate($E71,Trigger)</f>
        <v>#NUM!</v>
      </c>
    </row>
    <row r="72" spans="1:14" hidden="1" x14ac:dyDescent="0.2">
      <c r="A72" s="15" t="b">
        <v>1</v>
      </c>
      <c r="B72" s="16"/>
      <c r="C72" s="15" t="str">
        <f t="shared" si="3"/>
        <v>FUT1M</v>
      </c>
      <c r="D72" s="14" t="str">
        <v>H2</v>
      </c>
      <c r="E72" s="14" t="str">
        <f t="shared" si="4"/>
        <v>EUR_YC1MRH_FUT1MH2</v>
      </c>
      <c r="F72" s="14" t="e">
        <f>_xll.qlRateHelperQuoteName(E72)</f>
        <v>#NUM!</v>
      </c>
      <c r="G72" s="28" t="e">
        <f>_xll.qlRateHelperQuoteValue($E72,Trigger)</f>
        <v>#NUM!</v>
      </c>
      <c r="H72" s="13" t="e">
        <f>_xll.qlFuturesRateHelperConvexityAdjustment($E72,Trigger)</f>
        <v>#NUM!</v>
      </c>
      <c r="I72" s="12" t="b">
        <v>0</v>
      </c>
      <c r="J72" s="12">
        <v>30</v>
      </c>
      <c r="K72" s="12">
        <v>1</v>
      </c>
      <c r="L72" s="11" t="e">
        <f>_xll.qlRateHelperEarliestDate($E72,Trigger)</f>
        <v>#NUM!</v>
      </c>
      <c r="M72" s="10" t="e">
        <f>_xll.qlRateHelperLatestDate($E72,Trigger)</f>
        <v>#NUM!</v>
      </c>
    </row>
    <row r="73" spans="1:14" hidden="1" x14ac:dyDescent="0.2">
      <c r="A73" s="15" t="b">
        <v>1</v>
      </c>
      <c r="B73" s="16"/>
      <c r="C73" s="15" t="str">
        <f t="shared" si="3"/>
        <v>FUT1M</v>
      </c>
      <c r="D73" s="14" t="str">
        <v>M2</v>
      </c>
      <c r="E73" s="14" t="str">
        <f t="shared" si="4"/>
        <v>EUR_YC1MRH_FUT1MM2</v>
      </c>
      <c r="F73" s="14" t="e">
        <f>_xll.qlRateHelperQuoteName(E73)</f>
        <v>#NUM!</v>
      </c>
      <c r="G73" s="28" t="e">
        <f>_xll.qlRateHelperQuoteValue($E73,Trigger)</f>
        <v>#NUM!</v>
      </c>
      <c r="H73" s="13" t="e">
        <f>_xll.qlFuturesRateHelperConvexityAdjustment($E73,Trigger)</f>
        <v>#NUM!</v>
      </c>
      <c r="I73" s="12" t="b">
        <v>0</v>
      </c>
      <c r="J73" s="12">
        <v>30</v>
      </c>
      <c r="K73" s="12">
        <v>1</v>
      </c>
      <c r="L73" s="11" t="e">
        <f>_xll.qlRateHelperEarliestDate($E73,Trigger)</f>
        <v>#NUM!</v>
      </c>
      <c r="M73" s="10" t="e">
        <f>_xll.qlRateHelperLatestDate($E73,Trigger)</f>
        <v>#NUM!</v>
      </c>
    </row>
    <row r="74" spans="1:14" hidden="1" x14ac:dyDescent="0.2">
      <c r="A74" s="15" t="b">
        <v>1</v>
      </c>
      <c r="B74" s="16"/>
      <c r="C74" s="15" t="str">
        <f t="shared" si="3"/>
        <v>FUT1M</v>
      </c>
      <c r="D74" s="14" t="str">
        <v>U2</v>
      </c>
      <c r="E74" s="14" t="str">
        <f t="shared" si="4"/>
        <v>EUR_YC1MRH_FUT1MU2</v>
      </c>
      <c r="F74" s="14" t="e">
        <f>_xll.qlRateHelperQuoteName(E74)</f>
        <v>#NUM!</v>
      </c>
      <c r="G74" s="28" t="e">
        <f>_xll.qlRateHelperQuoteValue($E74,Trigger)</f>
        <v>#NUM!</v>
      </c>
      <c r="H74" s="13" t="e">
        <f>_xll.qlFuturesRateHelperConvexityAdjustment($E74,Trigger)</f>
        <v>#NUM!</v>
      </c>
      <c r="I74" s="12" t="b">
        <v>0</v>
      </c>
      <c r="J74" s="12">
        <v>30</v>
      </c>
      <c r="K74" s="12">
        <v>1</v>
      </c>
      <c r="L74" s="11" t="e">
        <f>_xll.qlRateHelperEarliestDate($E74,Trigger)</f>
        <v>#NUM!</v>
      </c>
      <c r="M74" s="10" t="e">
        <f>_xll.qlRateHelperLatestDate($E74,Trigger)</f>
        <v>#NUM!</v>
      </c>
    </row>
    <row r="75" spans="1:14" hidden="1" x14ac:dyDescent="0.2">
      <c r="A75" s="8" t="b">
        <v>1</v>
      </c>
      <c r="B75" s="9"/>
      <c r="C75" s="8" t="str">
        <f t="shared" si="3"/>
        <v>FUT1M</v>
      </c>
      <c r="D75" s="7" t="str">
        <v>Z2</v>
      </c>
      <c r="E75" s="7" t="str">
        <f t="shared" si="4"/>
        <v>EUR_YC1MRH_FUT1MZ2</v>
      </c>
      <c r="F75" s="14" t="e">
        <f>_xll.qlRateHelperQuoteName(E75)</f>
        <v>#NUM!</v>
      </c>
      <c r="G75" s="27" t="e">
        <f>_xll.qlRateHelperQuoteValue($E75,Trigger)</f>
        <v>#NUM!</v>
      </c>
      <c r="H75" s="6" t="e">
        <f>_xll.qlFuturesRateHelperConvexityAdjustment($E75,Trigger)</f>
        <v>#NUM!</v>
      </c>
      <c r="I75" s="5" t="b">
        <v>0</v>
      </c>
      <c r="J75" s="5">
        <v>30</v>
      </c>
      <c r="K75" s="12">
        <v>1</v>
      </c>
      <c r="L75" s="4" t="e">
        <f>_xll.qlRateHelperEarliestDate($E75,Trigger)</f>
        <v>#NUM!</v>
      </c>
      <c r="M75" s="3" t="e">
        <f>_xll.qlRateHelperLatestDate($E75,Trigger)</f>
        <v>#NUM!</v>
      </c>
      <c r="N75" s="26"/>
    </row>
    <row r="76" spans="1:14" ht="11.25" customHeight="1" x14ac:dyDescent="0.2">
      <c r="B76" s="24">
        <v>2</v>
      </c>
      <c r="C76" s="23"/>
      <c r="D76" s="21" t="s">
        <v>41</v>
      </c>
      <c r="E76" s="21" t="str">
        <f>Swaps!K6</f>
        <v>obj_00721#0002</v>
      </c>
      <c r="F76" s="21" t="str">
        <f>_xll.qlRateHelperQuoteName(E76)</f>
        <v>EUR2X1S_Quote</v>
      </c>
      <c r="G76" s="20">
        <f>_xll.qlRateHelperQuoteValue($E76,Trigger)</f>
        <v>2.1999999999999998E-4</v>
      </c>
      <c r="H76" s="20">
        <f>_xll.qlSwapRateHelperSpread($E76,Trigger)</f>
        <v>0</v>
      </c>
      <c r="I76" s="19" t="b">
        <v>1</v>
      </c>
      <c r="J76" s="19">
        <v>40</v>
      </c>
      <c r="K76" s="19">
        <v>1</v>
      </c>
      <c r="L76" s="18">
        <f>_xll.qlRateHelperEarliestDate($E76,Trigger)</f>
        <v>41890</v>
      </c>
      <c r="M76" s="17">
        <f>_xll.qlRateHelperLatestDate($E76,Trigger)</f>
        <v>41953</v>
      </c>
      <c r="N76" s="22"/>
    </row>
    <row r="77" spans="1:14" x14ac:dyDescent="0.2">
      <c r="B77" s="16">
        <v>3</v>
      </c>
      <c r="C77" s="15"/>
      <c r="D77" s="14" t="s">
        <v>41</v>
      </c>
      <c r="E77" s="14" t="str">
        <f>Swaps!K7</f>
        <v>obj_0071f#0002</v>
      </c>
      <c r="F77" s="14" t="str">
        <f>_xll.qlRateHelperQuoteName(E77)</f>
        <v>EUR3X1S_Quote</v>
      </c>
      <c r="G77" s="13">
        <f>_xll.qlRateHelperQuoteValue($E77,Trigger)</f>
        <v>1.4000000000000001E-4</v>
      </c>
      <c r="H77" s="13">
        <f>_xll.qlSwapRateHelperSpread($E77,Trigger)</f>
        <v>0</v>
      </c>
      <c r="I77" s="12" t="b">
        <v>1</v>
      </c>
      <c r="J77" s="12">
        <v>40</v>
      </c>
      <c r="K77" s="12">
        <v>1</v>
      </c>
      <c r="L77" s="11">
        <f>_xll.qlRateHelperEarliestDate($E77,Trigger)</f>
        <v>41890</v>
      </c>
      <c r="M77" s="10">
        <f>_xll.qlRateHelperLatestDate($E77,Trigger)</f>
        <v>41981</v>
      </c>
      <c r="N77" s="25"/>
    </row>
    <row r="78" spans="1:14" x14ac:dyDescent="0.2">
      <c r="B78" s="16">
        <v>4</v>
      </c>
      <c r="C78" s="15"/>
      <c r="D78" s="14" t="s">
        <v>41</v>
      </c>
      <c r="E78" s="14" t="str">
        <f>Swaps!K8</f>
        <v>obj_00719#0002</v>
      </c>
      <c r="F78" s="14" t="str">
        <f>_xll.qlRateHelperQuoteName(E78)</f>
        <v>EUR4X1S_Quote</v>
      </c>
      <c r="G78" s="13">
        <f>_xll.qlRateHelperQuoteValue($E78,Trigger)</f>
        <v>1.2E-4</v>
      </c>
      <c r="H78" s="13">
        <f>_xll.qlSwapRateHelperSpread($E78,Trigger)</f>
        <v>0</v>
      </c>
      <c r="I78" s="12" t="b">
        <v>1</v>
      </c>
      <c r="J78" s="12">
        <v>40</v>
      </c>
      <c r="K78" s="12">
        <v>1</v>
      </c>
      <c r="L78" s="11">
        <f>_xll.qlRateHelperEarliestDate($E78,Trigger)</f>
        <v>41890</v>
      </c>
      <c r="M78" s="10">
        <f>_xll.qlRateHelperLatestDate($E78,Trigger)</f>
        <v>42012</v>
      </c>
    </row>
    <row r="79" spans="1:14" x14ac:dyDescent="0.2">
      <c r="B79" s="16">
        <v>5</v>
      </c>
      <c r="C79" s="15"/>
      <c r="D79" s="14" t="s">
        <v>41</v>
      </c>
      <c r="E79" s="14" t="str">
        <f>Swaps!K9</f>
        <v>obj_00722#0002</v>
      </c>
      <c r="F79" s="14" t="str">
        <f>_xll.qlRateHelperQuoteName(E79)</f>
        <v>EUR5X1S_Quote</v>
      </c>
      <c r="G79" s="13">
        <f>_xll.qlRateHelperQuoteValue($E79,Trigger)</f>
        <v>8.0000000000000007E-5</v>
      </c>
      <c r="H79" s="13">
        <f>_xll.qlSwapRateHelperSpread($E79,Trigger)</f>
        <v>0</v>
      </c>
      <c r="I79" s="12" t="b">
        <v>1</v>
      </c>
      <c r="J79" s="12">
        <v>40</v>
      </c>
      <c r="K79" s="12">
        <v>1</v>
      </c>
      <c r="L79" s="11">
        <f>_xll.qlRateHelperEarliestDate($E79,Trigger)</f>
        <v>41890</v>
      </c>
      <c r="M79" s="10">
        <f>_xll.qlRateHelperLatestDate($E79,Trigger)</f>
        <v>42044</v>
      </c>
    </row>
    <row r="80" spans="1:14" ht="11.25" customHeight="1" x14ac:dyDescent="0.2">
      <c r="B80" s="16">
        <v>6</v>
      </c>
      <c r="C80" s="15"/>
      <c r="D80" s="14" t="s">
        <v>41</v>
      </c>
      <c r="E80" s="14" t="str">
        <f>Swaps!K10</f>
        <v>obj_00720#0002</v>
      </c>
      <c r="F80" s="14" t="str">
        <f>_xll.qlRateHelperQuoteName(E80)</f>
        <v>EUR6X1S_Quote</v>
      </c>
      <c r="G80" s="13">
        <f>_xll.qlRateHelperQuoteValue($E80,Trigger)</f>
        <v>3.0000000000000011E-5</v>
      </c>
      <c r="H80" s="13">
        <f>_xll.qlSwapRateHelperSpread($E80,Trigger)</f>
        <v>0</v>
      </c>
      <c r="I80" s="12" t="b">
        <v>1</v>
      </c>
      <c r="J80" s="12">
        <v>40</v>
      </c>
      <c r="K80" s="12">
        <v>1</v>
      </c>
      <c r="L80" s="11">
        <f>_xll.qlRateHelperEarliestDate($E80,Trigger)</f>
        <v>41890</v>
      </c>
      <c r="M80" s="10">
        <f>_xll.qlRateHelperLatestDate($E80,Trigger)</f>
        <v>42072</v>
      </c>
    </row>
    <row r="81" spans="2:15" x14ac:dyDescent="0.2">
      <c r="B81" s="16">
        <v>7</v>
      </c>
      <c r="C81" s="15"/>
      <c r="D81" s="14" t="s">
        <v>41</v>
      </c>
      <c r="E81" s="14" t="str">
        <f>Swaps!K11</f>
        <v>obj_0071c#0002</v>
      </c>
      <c r="F81" s="14" t="str">
        <f>_xll.qlRateHelperQuoteName(E81)</f>
        <v>EUR7X1S_Quote</v>
      </c>
      <c r="G81" s="13">
        <f>_xll.qlRateHelperQuoteValue($E81,Trigger)</f>
        <v>0</v>
      </c>
      <c r="H81" s="13">
        <f>_xll.qlSwapRateHelperSpread($E81,Trigger)</f>
        <v>0</v>
      </c>
      <c r="I81" s="12" t="b">
        <v>1</v>
      </c>
      <c r="J81" s="12">
        <v>40</v>
      </c>
      <c r="K81" s="12">
        <v>1</v>
      </c>
      <c r="L81" s="11">
        <f>_xll.qlRateHelperEarliestDate($E81,Trigger)</f>
        <v>41890</v>
      </c>
      <c r="M81" s="10">
        <f>_xll.qlRateHelperLatestDate($E81,Trigger)</f>
        <v>42102</v>
      </c>
    </row>
    <row r="82" spans="2:15" x14ac:dyDescent="0.2">
      <c r="B82" s="16">
        <v>8</v>
      </c>
      <c r="C82" s="15"/>
      <c r="D82" s="14" t="s">
        <v>41</v>
      </c>
      <c r="E82" s="14" t="str">
        <f>Swaps!K12</f>
        <v>obj_0071e#0002</v>
      </c>
      <c r="F82" s="14" t="str">
        <f>_xll.qlRateHelperQuoteName(E82)</f>
        <v>EUR8X1S_Quote</v>
      </c>
      <c r="G82" s="13">
        <f>_xll.qlRateHelperQuoteValue($E82,Trigger)</f>
        <v>-3.0000000000000011E-5</v>
      </c>
      <c r="H82" s="13">
        <f>_xll.qlSwapRateHelperSpread($E82,Trigger)</f>
        <v>0</v>
      </c>
      <c r="I82" s="12" t="b">
        <v>1</v>
      </c>
      <c r="J82" s="12">
        <v>40</v>
      </c>
      <c r="K82" s="12">
        <v>1</v>
      </c>
      <c r="L82" s="11">
        <f>_xll.qlRateHelperEarliestDate($E82,Trigger)</f>
        <v>41890</v>
      </c>
      <c r="M82" s="10">
        <f>_xll.qlRateHelperLatestDate($E82,Trigger)</f>
        <v>42132</v>
      </c>
    </row>
    <row r="83" spans="2:15" ht="11.25" customHeight="1" x14ac:dyDescent="0.2">
      <c r="B83" s="16">
        <v>9</v>
      </c>
      <c r="C83" s="15"/>
      <c r="D83" s="14" t="s">
        <v>41</v>
      </c>
      <c r="E83" s="14" t="str">
        <f>Swaps!K13</f>
        <v>obj_0071d#0002</v>
      </c>
      <c r="F83" s="14" t="str">
        <f>_xll.qlRateHelperQuoteName(E83)</f>
        <v>EUR9X1S_Quote</v>
      </c>
      <c r="G83" s="13">
        <f>_xll.qlRateHelperQuoteValue($E83,Trigger)</f>
        <v>-6.0000000000000002E-5</v>
      </c>
      <c r="H83" s="13">
        <f>_xll.qlSwapRateHelperSpread($E83,Trigger)</f>
        <v>0</v>
      </c>
      <c r="I83" s="12" t="b">
        <v>1</v>
      </c>
      <c r="J83" s="12">
        <v>40</v>
      </c>
      <c r="K83" s="12">
        <v>1</v>
      </c>
      <c r="L83" s="11">
        <f>_xll.qlRateHelperEarliestDate($E83,Trigger)</f>
        <v>41890</v>
      </c>
      <c r="M83" s="10">
        <f>_xll.qlRateHelperLatestDate($E83,Trigger)</f>
        <v>42163</v>
      </c>
    </row>
    <row r="84" spans="2:15" x14ac:dyDescent="0.2">
      <c r="B84" s="16">
        <v>10</v>
      </c>
      <c r="C84" s="15"/>
      <c r="D84" s="14" t="s">
        <v>41</v>
      </c>
      <c r="E84" s="14" t="str">
        <f>Swaps!K14</f>
        <v>obj_0071b#0002</v>
      </c>
      <c r="F84" s="14" t="str">
        <f>_xll.qlRateHelperQuoteName(E84)</f>
        <v>EUR10X1S_Quote</v>
      </c>
      <c r="G84" s="13">
        <f>_xll.qlRateHelperQuoteValue($E84,Trigger)</f>
        <v>-8.0000000000000007E-5</v>
      </c>
      <c r="H84" s="13">
        <f>_xll.qlSwapRateHelperSpread($E84,Trigger)</f>
        <v>0</v>
      </c>
      <c r="I84" s="12" t="b">
        <v>1</v>
      </c>
      <c r="J84" s="12">
        <v>40</v>
      </c>
      <c r="K84" s="12">
        <v>1</v>
      </c>
      <c r="L84" s="11">
        <f>_xll.qlRateHelperEarliestDate($E84,Trigger)</f>
        <v>41890</v>
      </c>
      <c r="M84" s="10">
        <f>_xll.qlRateHelperLatestDate($E84,Trigger)</f>
        <v>42193</v>
      </c>
    </row>
    <row r="85" spans="2:15" x14ac:dyDescent="0.2">
      <c r="B85" s="16">
        <v>11</v>
      </c>
      <c r="C85" s="15"/>
      <c r="D85" s="14" t="s">
        <v>41</v>
      </c>
      <c r="E85" s="14" t="str">
        <f>Swaps!K15</f>
        <v>obj_00718#0002</v>
      </c>
      <c r="F85" s="14" t="str">
        <f>_xll.qlRateHelperQuoteName(E85)</f>
        <v>EUR11X1S_Quote</v>
      </c>
      <c r="G85" s="13">
        <f>_xll.qlRateHelperQuoteValue($E85,Trigger)</f>
        <v>-8.0000000000000007E-5</v>
      </c>
      <c r="H85" s="13">
        <f>_xll.qlSwapRateHelperSpread($E85,Trigger)</f>
        <v>0</v>
      </c>
      <c r="I85" s="12" t="b">
        <v>1</v>
      </c>
      <c r="J85" s="12">
        <v>40</v>
      </c>
      <c r="K85" s="12">
        <v>1</v>
      </c>
      <c r="L85" s="11">
        <f>_xll.qlRateHelperEarliestDate($E85,Trigger)</f>
        <v>41890</v>
      </c>
      <c r="M85" s="10">
        <f>_xll.qlRateHelperLatestDate($E85,Trigger)</f>
        <v>42226</v>
      </c>
    </row>
    <row r="86" spans="2:15" x14ac:dyDescent="0.2">
      <c r="B86" s="9">
        <v>12</v>
      </c>
      <c r="C86" s="8"/>
      <c r="D86" s="7" t="s">
        <v>41</v>
      </c>
      <c r="E86" s="7" t="str">
        <f>Swaps!K16</f>
        <v>obj_0071a#0002</v>
      </c>
      <c r="F86" s="14" t="str">
        <f>_xll.qlRateHelperQuoteName(E86)</f>
        <v>EUR12X1S_Quote</v>
      </c>
      <c r="G86" s="6">
        <f>_xll.qlRateHelperQuoteValue($E86,Trigger)</f>
        <v>-1.0000000000000002E-4</v>
      </c>
      <c r="H86" s="6">
        <f>_xll.qlSwapRateHelperSpread($E86,Trigger)</f>
        <v>0</v>
      </c>
      <c r="I86" s="5" t="b">
        <v>1</v>
      </c>
      <c r="J86" s="5">
        <v>40</v>
      </c>
      <c r="K86" s="12">
        <v>1</v>
      </c>
      <c r="L86" s="4">
        <f>_xll.qlRateHelperEarliestDate($E86,Trigger)</f>
        <v>41890</v>
      </c>
      <c r="M86" s="3">
        <f>_xll.qlRateHelperLatestDate($E86,Trigger)</f>
        <v>42255</v>
      </c>
    </row>
    <row r="87" spans="2:15" hidden="1" x14ac:dyDescent="0.2">
      <c r="B87" s="24" t="s">
        <v>37</v>
      </c>
      <c r="C87" s="23">
        <v>12</v>
      </c>
      <c r="D87" s="21"/>
      <c r="E87" s="21" t="str">
        <f t="shared" si="4"/>
        <v>EUR_YC1MRH_1S12</v>
      </c>
      <c r="F87" s="14" t="e">
        <f>_xll.qlRateHelperQuoteName(E87)</f>
        <v>#NUM!</v>
      </c>
      <c r="G87" s="20" t="e">
        <f>_xll.qlRateHelperQuoteValue($E87,Trigger)</f>
        <v>#NUM!</v>
      </c>
      <c r="H87" s="20" t="e">
        <f>_xll.qlSwapRateHelperSpread($E87,Trigger)</f>
        <v>#NUM!</v>
      </c>
      <c r="I87" s="19" t="b">
        <v>0</v>
      </c>
      <c r="J87" s="19">
        <v>40</v>
      </c>
      <c r="K87" s="19">
        <v>1</v>
      </c>
      <c r="L87" s="18" t="e">
        <f>_xll.qlRateHelperEarliestDate($E87,Trigger)</f>
        <v>#NUM!</v>
      </c>
      <c r="M87" s="17" t="e">
        <f>_xll.qlRateHelperLatestDate($E87,Trigger)</f>
        <v>#NUM!</v>
      </c>
    </row>
    <row r="88" spans="2:15" hidden="1" x14ac:dyDescent="0.2">
      <c r="B88" s="16" t="s">
        <v>38</v>
      </c>
      <c r="C88" s="15">
        <v>12</v>
      </c>
      <c r="D88" s="14"/>
      <c r="E88" s="14" t="str">
        <f t="shared" si="4"/>
        <v>EUR_YC1MRH_2S12</v>
      </c>
      <c r="F88" s="14" t="e">
        <f>_xll.qlRateHelperQuoteName(E88)</f>
        <v>#NUM!</v>
      </c>
      <c r="G88" s="13" t="e">
        <f>_xll.qlRateHelperQuoteValue($E88,Trigger)</f>
        <v>#NUM!</v>
      </c>
      <c r="H88" s="13" t="e">
        <f>_xll.qlSwapRateHelperSpread($E88,Trigger)</f>
        <v>#NUM!</v>
      </c>
      <c r="I88" s="12" t="b">
        <v>0</v>
      </c>
      <c r="J88" s="12">
        <v>40</v>
      </c>
      <c r="K88" s="12">
        <v>1</v>
      </c>
      <c r="L88" s="11" t="e">
        <f>_xll.qlRateHelperEarliestDate($E88,Trigger)</f>
        <v>#NUM!</v>
      </c>
      <c r="M88" s="10" t="e">
        <f>_xll.qlRateHelperLatestDate($E88,Trigger)</f>
        <v>#NUM!</v>
      </c>
    </row>
    <row r="89" spans="2:15" hidden="1" x14ac:dyDescent="0.2">
      <c r="B89" s="16" t="s">
        <v>40</v>
      </c>
      <c r="C89" s="15">
        <v>12</v>
      </c>
      <c r="D89" s="14"/>
      <c r="E89" s="14" t="str">
        <f t="shared" si="4"/>
        <v>EUR_YC1MRH_3S12</v>
      </c>
      <c r="F89" s="14" t="e">
        <f>_xll.qlRateHelperQuoteName(E89)</f>
        <v>#NUM!</v>
      </c>
      <c r="G89" s="13" t="e">
        <f>_xll.qlRateHelperQuoteValue($E89,Trigger)</f>
        <v>#NUM!</v>
      </c>
      <c r="H89" s="13" t="e">
        <f>_xll.qlSwapRateHelperSpread($E89,Trigger)</f>
        <v>#NUM!</v>
      </c>
      <c r="I89" s="12" t="b">
        <v>0</v>
      </c>
      <c r="J89" s="12">
        <v>40</v>
      </c>
      <c r="K89" s="12">
        <v>1</v>
      </c>
      <c r="L89" s="11" t="e">
        <f>_xll.qlRateHelperEarliestDate($E89,Trigger)</f>
        <v>#NUM!</v>
      </c>
      <c r="M89" s="10" t="e">
        <f>_xll.qlRateHelperLatestDate($E89,Trigger)</f>
        <v>#NUM!</v>
      </c>
    </row>
    <row r="90" spans="2:15" hidden="1" x14ac:dyDescent="0.2">
      <c r="B90" s="16" t="s">
        <v>39</v>
      </c>
      <c r="C90" s="15">
        <v>12</v>
      </c>
      <c r="D90" s="14"/>
      <c r="E90" s="14" t="str">
        <f t="shared" si="4"/>
        <v>EUR_YC1MRH_4S12</v>
      </c>
      <c r="F90" s="14" t="e">
        <f>_xll.qlRateHelperQuoteName(E90)</f>
        <v>#NUM!</v>
      </c>
      <c r="G90" s="13" t="e">
        <f>_xll.qlRateHelperQuoteValue($E90,Trigger)</f>
        <v>#NUM!</v>
      </c>
      <c r="H90" s="13" t="e">
        <f>_xll.qlSwapRateHelperSpread($E90,Trigger)</f>
        <v>#NUM!</v>
      </c>
      <c r="I90" s="12" t="b">
        <v>0</v>
      </c>
      <c r="J90" s="12">
        <v>40</v>
      </c>
      <c r="K90" s="12">
        <v>1</v>
      </c>
      <c r="L90" s="11" t="e">
        <f>_xll.qlRateHelperEarliestDate($E90,Trigger)</f>
        <v>#NUM!</v>
      </c>
      <c r="M90" s="10" t="e">
        <f>_xll.qlRateHelperLatestDate($E90,Trigger)</f>
        <v>#NUM!</v>
      </c>
    </row>
    <row r="91" spans="2:15" hidden="1" x14ac:dyDescent="0.2">
      <c r="B91" s="16" t="s">
        <v>37</v>
      </c>
      <c r="C91" s="15">
        <v>24</v>
      </c>
      <c r="D91" s="14"/>
      <c r="E91" s="14" t="str">
        <f t="shared" si="4"/>
        <v>EUR_YC1MRH_1S24</v>
      </c>
      <c r="F91" s="14" t="e">
        <f>_xll.qlRateHelperQuoteName(E91)</f>
        <v>#NUM!</v>
      </c>
      <c r="G91" s="13" t="e">
        <f>_xll.qlRateHelperQuoteValue($E91,Trigger)</f>
        <v>#NUM!</v>
      </c>
      <c r="H91" s="13" t="e">
        <f>_xll.qlSwapRateHelperSpread($E91,Trigger)</f>
        <v>#NUM!</v>
      </c>
      <c r="I91" s="12" t="b">
        <v>0</v>
      </c>
      <c r="J91" s="12">
        <v>40</v>
      </c>
      <c r="K91" s="12">
        <v>1</v>
      </c>
      <c r="L91" s="11" t="e">
        <f>_xll.qlRateHelperEarliestDate($E91,Trigger)</f>
        <v>#NUM!</v>
      </c>
      <c r="M91" s="10" t="e">
        <f>_xll.qlRateHelperLatestDate($E91,Trigger)</f>
        <v>#NUM!</v>
      </c>
    </row>
    <row r="92" spans="2:15" hidden="1" x14ac:dyDescent="0.2">
      <c r="B92" s="16" t="s">
        <v>38</v>
      </c>
      <c r="C92" s="15">
        <v>24</v>
      </c>
      <c r="D92" s="14"/>
      <c r="E92" s="14" t="str">
        <f t="shared" si="4"/>
        <v>EUR_YC1MRH_2S24</v>
      </c>
      <c r="F92" s="14" t="e">
        <f>_xll.qlRateHelperQuoteName(E92)</f>
        <v>#NUM!</v>
      </c>
      <c r="G92" s="13" t="e">
        <f>_xll.qlRateHelperQuoteValue($E92,Trigger)</f>
        <v>#NUM!</v>
      </c>
      <c r="H92" s="13" t="e">
        <f>_xll.qlSwapRateHelperSpread($E92,Trigger)</f>
        <v>#NUM!</v>
      </c>
      <c r="I92" s="12" t="b">
        <v>0</v>
      </c>
      <c r="J92" s="12">
        <v>40</v>
      </c>
      <c r="K92" s="12">
        <v>1</v>
      </c>
      <c r="L92" s="11" t="e">
        <f>_xll.qlRateHelperEarliestDate($E92,Trigger)</f>
        <v>#NUM!</v>
      </c>
      <c r="M92" s="10" t="e">
        <f>_xll.qlRateHelperLatestDate($E92,Trigger)</f>
        <v>#NUM!</v>
      </c>
    </row>
    <row r="93" spans="2:15" hidden="1" x14ac:dyDescent="0.2">
      <c r="B93" s="9" t="s">
        <v>37</v>
      </c>
      <c r="C93" s="8">
        <v>36</v>
      </c>
      <c r="D93" s="7"/>
      <c r="E93" s="7" t="str">
        <f t="shared" si="4"/>
        <v>EUR_YC1MRH_1S36</v>
      </c>
      <c r="F93" s="14" t="e">
        <f>_xll.qlRateHelperQuoteName(E93)</f>
        <v>#NUM!</v>
      </c>
      <c r="G93" s="6" t="e">
        <f>_xll.qlRateHelperQuoteValue($E93,Trigger)</f>
        <v>#NUM!</v>
      </c>
      <c r="H93" s="6" t="e">
        <f>_xll.qlSwapRateHelperSpread($E93,Trigger)</f>
        <v>#NUM!</v>
      </c>
      <c r="I93" s="5" t="b">
        <v>0</v>
      </c>
      <c r="J93" s="5">
        <v>40</v>
      </c>
      <c r="K93" s="5">
        <v>1</v>
      </c>
      <c r="L93" s="4" t="e">
        <f>_xll.qlRateHelperEarliestDate($E93,Trigger)</f>
        <v>#NUM!</v>
      </c>
      <c r="M93" s="3" t="e">
        <f>_xll.qlRateHelperLatestDate($E93,Trigger)</f>
        <v>#NUM!</v>
      </c>
    </row>
    <row r="94" spans="2:15" hidden="1" x14ac:dyDescent="0.2">
      <c r="B94" s="16" t="str">
        <f t="shared" ref="B94:B125" si="5">SwapFixedFreq</f>
        <v>AB</v>
      </c>
      <c r="C94" s="15" t="str">
        <f t="shared" ref="C94:C130" si="6">IborType</f>
        <v>1E</v>
      </c>
      <c r="D94" s="14" t="s">
        <v>36</v>
      </c>
      <c r="E94" s="14" t="str">
        <f t="shared" si="4"/>
        <v>EUR_YC1MRH_AB1E1Y</v>
      </c>
      <c r="F94" s="14" t="e">
        <f>_xll.qlRateHelperQuoteName(E94)</f>
        <v>#NUM!</v>
      </c>
      <c r="G94" s="13" t="e">
        <f>_xll.qlRateHelperQuoteValue($E94,Trigger)</f>
        <v>#NUM!</v>
      </c>
      <c r="H94" s="13" t="e">
        <f>_xll.qlSwapRateHelperSpread($E94,Trigger)</f>
        <v>#NUM!</v>
      </c>
      <c r="I94" s="12" t="b">
        <v>0</v>
      </c>
      <c r="J94" s="12">
        <v>50</v>
      </c>
      <c r="K94" s="12">
        <v>1</v>
      </c>
      <c r="L94" s="11" t="e">
        <f>_xll.qlRateHelperEarliestDate($E94,Trigger)</f>
        <v>#NUM!</v>
      </c>
      <c r="M94" s="10" t="e">
        <f>_xll.qlRateHelperLatestDate($E94,Trigger)</f>
        <v>#NUM!</v>
      </c>
      <c r="O94" s="22" t="e">
        <f t="shared" ref="O94:O130" si="7">IF(H94=H131,G94-G131,"--")</f>
        <v>#NUM!</v>
      </c>
    </row>
    <row r="95" spans="2:15" hidden="1" x14ac:dyDescent="0.2">
      <c r="B95" s="16" t="str">
        <f t="shared" si="5"/>
        <v>AB</v>
      </c>
      <c r="C95" s="15" t="str">
        <f t="shared" si="6"/>
        <v>1E</v>
      </c>
      <c r="D95" s="14" t="s">
        <v>35</v>
      </c>
      <c r="E95" s="14" t="str">
        <f t="shared" si="4"/>
        <v>EUR_YC1MRH_AB1E15M</v>
      </c>
      <c r="F95" s="14" t="e">
        <f>_xll.qlRateHelperQuoteName(E95)</f>
        <v>#NUM!</v>
      </c>
      <c r="G95" s="13" t="e">
        <f>_xll.qlRateHelperQuoteValue($E95,Trigger)</f>
        <v>#NUM!</v>
      </c>
      <c r="H95" s="13" t="e">
        <f>_xll.qlSwapRateHelperSpread($E95,Trigger)</f>
        <v>#NUM!</v>
      </c>
      <c r="I95" s="12" t="b">
        <v>0</v>
      </c>
      <c r="J95" s="12">
        <v>50</v>
      </c>
      <c r="K95" s="12">
        <v>1</v>
      </c>
      <c r="L95" s="11" t="e">
        <f>_xll.qlRateHelperEarliestDate($E95,Trigger)</f>
        <v>#NUM!</v>
      </c>
      <c r="M95" s="10" t="e">
        <f>_xll.qlRateHelperLatestDate($E95,Trigger)</f>
        <v>#NUM!</v>
      </c>
      <c r="O95" s="22" t="e">
        <f t="shared" si="7"/>
        <v>#NUM!</v>
      </c>
    </row>
    <row r="96" spans="2:15" hidden="1" x14ac:dyDescent="0.2">
      <c r="B96" s="16" t="str">
        <f t="shared" si="5"/>
        <v>AB</v>
      </c>
      <c r="C96" s="15" t="str">
        <f t="shared" si="6"/>
        <v>1E</v>
      </c>
      <c r="D96" s="14" t="s">
        <v>34</v>
      </c>
      <c r="E96" s="14" t="str">
        <f t="shared" ref="E96:E127" si="8">RateHelperPrefix&amp;"_"&amp;$B96&amp;$C96&amp;$D96</f>
        <v>EUR_YC1MRH_AB1E18M</v>
      </c>
      <c r="F96" s="14" t="e">
        <f>_xll.qlRateHelperQuoteName(E96)</f>
        <v>#NUM!</v>
      </c>
      <c r="G96" s="13" t="e">
        <f>_xll.qlRateHelperQuoteValue($E96,Trigger)</f>
        <v>#NUM!</v>
      </c>
      <c r="H96" s="13" t="e">
        <f>_xll.qlSwapRateHelperSpread($E96,Trigger)</f>
        <v>#NUM!</v>
      </c>
      <c r="I96" s="12" t="b">
        <v>0</v>
      </c>
      <c r="J96" s="12">
        <v>50</v>
      </c>
      <c r="K96" s="12">
        <v>1</v>
      </c>
      <c r="L96" s="11" t="e">
        <f>_xll.qlRateHelperEarliestDate($E96,Trigger)</f>
        <v>#NUM!</v>
      </c>
      <c r="M96" s="10" t="e">
        <f>_xll.qlRateHelperLatestDate($E96,Trigger)</f>
        <v>#NUM!</v>
      </c>
      <c r="O96" s="22" t="e">
        <f t="shared" si="7"/>
        <v>#NUM!</v>
      </c>
    </row>
    <row r="97" spans="2:15" hidden="1" x14ac:dyDescent="0.2">
      <c r="B97" s="16" t="str">
        <f t="shared" si="5"/>
        <v>AB</v>
      </c>
      <c r="C97" s="15" t="str">
        <f t="shared" si="6"/>
        <v>1E</v>
      </c>
      <c r="D97" s="14" t="s">
        <v>33</v>
      </c>
      <c r="E97" s="14" t="str">
        <f t="shared" si="8"/>
        <v>EUR_YC1MRH_AB1E21M</v>
      </c>
      <c r="F97" s="14" t="e">
        <f>_xll.qlRateHelperQuoteName(E97)</f>
        <v>#NUM!</v>
      </c>
      <c r="G97" s="13" t="e">
        <f>_xll.qlRateHelperQuoteValue($E97,Trigger)</f>
        <v>#NUM!</v>
      </c>
      <c r="H97" s="13" t="e">
        <f>_xll.qlSwapRateHelperSpread($E97,Trigger)</f>
        <v>#NUM!</v>
      </c>
      <c r="I97" s="12" t="b">
        <v>0</v>
      </c>
      <c r="J97" s="12">
        <v>50</v>
      </c>
      <c r="K97" s="12">
        <v>1</v>
      </c>
      <c r="L97" s="11" t="e">
        <f>_xll.qlRateHelperEarliestDate($E97,Trigger)</f>
        <v>#NUM!</v>
      </c>
      <c r="M97" s="10" t="e">
        <f>_xll.qlRateHelperLatestDate($E97,Trigger)</f>
        <v>#NUM!</v>
      </c>
      <c r="O97" s="22" t="e">
        <f t="shared" si="7"/>
        <v>#NUM!</v>
      </c>
    </row>
    <row r="98" spans="2:15" hidden="1" x14ac:dyDescent="0.2">
      <c r="B98" s="16" t="str">
        <f t="shared" si="5"/>
        <v>AB</v>
      </c>
      <c r="C98" s="15" t="str">
        <f t="shared" si="6"/>
        <v>1E</v>
      </c>
      <c r="D98" s="14" t="s">
        <v>32</v>
      </c>
      <c r="E98" s="14" t="str">
        <f t="shared" si="8"/>
        <v>EUR_YC1MRH_AB1E2Y</v>
      </c>
      <c r="F98" s="14" t="e">
        <f>_xll.qlRateHelperQuoteName(E98)</f>
        <v>#NUM!</v>
      </c>
      <c r="G98" s="13" t="e">
        <f>_xll.qlRateHelperQuoteValue($E98,Trigger)</f>
        <v>#NUM!</v>
      </c>
      <c r="H98" s="13" t="e">
        <f>_xll.qlSwapRateHelperSpread($E98,Trigger)</f>
        <v>#NUM!</v>
      </c>
      <c r="I98" s="12" t="b">
        <v>0</v>
      </c>
      <c r="J98" s="12">
        <v>50</v>
      </c>
      <c r="K98" s="12">
        <v>1</v>
      </c>
      <c r="L98" s="11" t="e">
        <f>_xll.qlRateHelperEarliestDate($E98,Trigger)</f>
        <v>#NUM!</v>
      </c>
      <c r="M98" s="10" t="e">
        <f>_xll.qlRateHelperLatestDate($E98,Trigger)</f>
        <v>#NUM!</v>
      </c>
      <c r="O98" s="22" t="e">
        <f t="shared" si="7"/>
        <v>#NUM!</v>
      </c>
    </row>
    <row r="99" spans="2:15" hidden="1" x14ac:dyDescent="0.2">
      <c r="B99" s="16" t="str">
        <f t="shared" si="5"/>
        <v>AB</v>
      </c>
      <c r="C99" s="15" t="str">
        <f t="shared" si="6"/>
        <v>1E</v>
      </c>
      <c r="D99" s="14" t="s">
        <v>31</v>
      </c>
      <c r="E99" s="14" t="str">
        <f t="shared" si="8"/>
        <v>EUR_YC1MRH_AB1E3Y</v>
      </c>
      <c r="F99" s="14" t="e">
        <f>_xll.qlRateHelperQuoteName(E99)</f>
        <v>#NUM!</v>
      </c>
      <c r="G99" s="13" t="e">
        <f>_xll.qlRateHelperQuoteValue($E99,Trigger)</f>
        <v>#NUM!</v>
      </c>
      <c r="H99" s="13" t="e">
        <f>_xll.qlSwapRateHelperSpread($E99,Trigger)</f>
        <v>#NUM!</v>
      </c>
      <c r="I99" s="12" t="b">
        <v>0</v>
      </c>
      <c r="J99" s="12">
        <v>50</v>
      </c>
      <c r="K99" s="12">
        <v>1</v>
      </c>
      <c r="L99" s="11" t="e">
        <f>_xll.qlRateHelperEarliestDate($E99,Trigger)</f>
        <v>#NUM!</v>
      </c>
      <c r="M99" s="10" t="e">
        <f>_xll.qlRateHelperLatestDate($E99,Trigger)</f>
        <v>#NUM!</v>
      </c>
      <c r="O99" s="22" t="e">
        <f t="shared" si="7"/>
        <v>#NUM!</v>
      </c>
    </row>
    <row r="100" spans="2:15" hidden="1" x14ac:dyDescent="0.2">
      <c r="B100" s="16" t="str">
        <f t="shared" si="5"/>
        <v>AB</v>
      </c>
      <c r="C100" s="15" t="str">
        <f t="shared" si="6"/>
        <v>1E</v>
      </c>
      <c r="D100" s="14" t="s">
        <v>30</v>
      </c>
      <c r="E100" s="14" t="str">
        <f t="shared" si="8"/>
        <v>EUR_YC1MRH_AB1E4Y</v>
      </c>
      <c r="F100" s="14" t="e">
        <f>_xll.qlRateHelperQuoteName(E100)</f>
        <v>#NUM!</v>
      </c>
      <c r="G100" s="13" t="e">
        <f>_xll.qlRateHelperQuoteValue($E100,Trigger)</f>
        <v>#NUM!</v>
      </c>
      <c r="H100" s="13" t="e">
        <f>_xll.qlSwapRateHelperSpread($E100,Trigger)</f>
        <v>#NUM!</v>
      </c>
      <c r="I100" s="12" t="b">
        <v>0</v>
      </c>
      <c r="J100" s="12">
        <v>50</v>
      </c>
      <c r="K100" s="12">
        <v>1</v>
      </c>
      <c r="L100" s="11" t="e">
        <f>_xll.qlRateHelperEarliestDate($E100,Trigger)</f>
        <v>#NUM!</v>
      </c>
      <c r="M100" s="10" t="e">
        <f>_xll.qlRateHelperLatestDate($E100,Trigger)</f>
        <v>#NUM!</v>
      </c>
      <c r="O100" s="22" t="e">
        <f t="shared" si="7"/>
        <v>#NUM!</v>
      </c>
    </row>
    <row r="101" spans="2:15" hidden="1" x14ac:dyDescent="0.2">
      <c r="B101" s="16" t="str">
        <f t="shared" si="5"/>
        <v>AB</v>
      </c>
      <c r="C101" s="15" t="str">
        <f t="shared" si="6"/>
        <v>1E</v>
      </c>
      <c r="D101" s="14" t="s">
        <v>29</v>
      </c>
      <c r="E101" s="14" t="str">
        <f t="shared" si="8"/>
        <v>EUR_YC1MRH_AB1E5Y</v>
      </c>
      <c r="F101" s="14" t="e">
        <f>_xll.qlRateHelperQuoteName(E101)</f>
        <v>#NUM!</v>
      </c>
      <c r="G101" s="13" t="e">
        <f>_xll.qlRateHelperQuoteValue($E101,Trigger)</f>
        <v>#NUM!</v>
      </c>
      <c r="H101" s="13" t="e">
        <f>_xll.qlSwapRateHelperSpread($E101,Trigger)</f>
        <v>#NUM!</v>
      </c>
      <c r="I101" s="12" t="b">
        <v>0</v>
      </c>
      <c r="J101" s="12">
        <v>50</v>
      </c>
      <c r="K101" s="12">
        <v>1</v>
      </c>
      <c r="L101" s="11" t="e">
        <f>_xll.qlRateHelperEarliestDate($E101,Trigger)</f>
        <v>#NUM!</v>
      </c>
      <c r="M101" s="10" t="e">
        <f>_xll.qlRateHelperLatestDate($E101,Trigger)</f>
        <v>#NUM!</v>
      </c>
      <c r="O101" s="22" t="e">
        <f t="shared" si="7"/>
        <v>#NUM!</v>
      </c>
    </row>
    <row r="102" spans="2:15" hidden="1" x14ac:dyDescent="0.2">
      <c r="B102" s="16" t="str">
        <f t="shared" si="5"/>
        <v>AB</v>
      </c>
      <c r="C102" s="15" t="str">
        <f t="shared" si="6"/>
        <v>1E</v>
      </c>
      <c r="D102" s="14" t="s">
        <v>28</v>
      </c>
      <c r="E102" s="14" t="str">
        <f t="shared" si="8"/>
        <v>EUR_YC1MRH_AB1E6Y</v>
      </c>
      <c r="F102" s="14" t="e">
        <f>_xll.qlRateHelperQuoteName(E102)</f>
        <v>#NUM!</v>
      </c>
      <c r="G102" s="13" t="e">
        <f>_xll.qlRateHelperQuoteValue($E102,Trigger)</f>
        <v>#NUM!</v>
      </c>
      <c r="H102" s="13" t="e">
        <f>_xll.qlSwapRateHelperSpread($E102,Trigger)</f>
        <v>#NUM!</v>
      </c>
      <c r="I102" s="12" t="b">
        <v>0</v>
      </c>
      <c r="J102" s="12">
        <v>50</v>
      </c>
      <c r="K102" s="12">
        <v>1</v>
      </c>
      <c r="L102" s="11" t="e">
        <f>_xll.qlRateHelperEarliestDate($E102,Trigger)</f>
        <v>#NUM!</v>
      </c>
      <c r="M102" s="10" t="e">
        <f>_xll.qlRateHelperLatestDate($E102,Trigger)</f>
        <v>#NUM!</v>
      </c>
      <c r="O102" s="22" t="e">
        <f t="shared" si="7"/>
        <v>#NUM!</v>
      </c>
    </row>
    <row r="103" spans="2:15" hidden="1" x14ac:dyDescent="0.2">
      <c r="B103" s="16" t="str">
        <f t="shared" si="5"/>
        <v>AB</v>
      </c>
      <c r="C103" s="15" t="str">
        <f t="shared" si="6"/>
        <v>1E</v>
      </c>
      <c r="D103" s="14" t="s">
        <v>27</v>
      </c>
      <c r="E103" s="14" t="str">
        <f t="shared" si="8"/>
        <v>EUR_YC1MRH_AB1E7Y</v>
      </c>
      <c r="F103" s="14" t="e">
        <f>_xll.qlRateHelperQuoteName(E103)</f>
        <v>#NUM!</v>
      </c>
      <c r="G103" s="13" t="e">
        <f>_xll.qlRateHelperQuoteValue($E103,Trigger)</f>
        <v>#NUM!</v>
      </c>
      <c r="H103" s="13" t="e">
        <f>_xll.qlSwapRateHelperSpread($E103,Trigger)</f>
        <v>#NUM!</v>
      </c>
      <c r="I103" s="12" t="b">
        <v>0</v>
      </c>
      <c r="J103" s="12">
        <v>50</v>
      </c>
      <c r="K103" s="12">
        <v>1</v>
      </c>
      <c r="L103" s="11" t="e">
        <f>_xll.qlRateHelperEarliestDate($E103,Trigger)</f>
        <v>#NUM!</v>
      </c>
      <c r="M103" s="10" t="e">
        <f>_xll.qlRateHelperLatestDate($E103,Trigger)</f>
        <v>#NUM!</v>
      </c>
      <c r="O103" s="22" t="e">
        <f t="shared" si="7"/>
        <v>#NUM!</v>
      </c>
    </row>
    <row r="104" spans="2:15" hidden="1" x14ac:dyDescent="0.2">
      <c r="B104" s="16" t="str">
        <f t="shared" si="5"/>
        <v>AB</v>
      </c>
      <c r="C104" s="15" t="str">
        <f t="shared" si="6"/>
        <v>1E</v>
      </c>
      <c r="D104" s="14" t="s">
        <v>26</v>
      </c>
      <c r="E104" s="14" t="str">
        <f t="shared" si="8"/>
        <v>EUR_YC1MRH_AB1E8Y</v>
      </c>
      <c r="F104" s="14" t="e">
        <f>_xll.qlRateHelperQuoteName(E104)</f>
        <v>#NUM!</v>
      </c>
      <c r="G104" s="13" t="e">
        <f>_xll.qlRateHelperQuoteValue($E104,Trigger)</f>
        <v>#NUM!</v>
      </c>
      <c r="H104" s="13" t="e">
        <f>_xll.qlSwapRateHelperSpread($E104,Trigger)</f>
        <v>#NUM!</v>
      </c>
      <c r="I104" s="12" t="b">
        <v>0</v>
      </c>
      <c r="J104" s="12">
        <v>50</v>
      </c>
      <c r="K104" s="12">
        <v>1</v>
      </c>
      <c r="L104" s="11" t="e">
        <f>_xll.qlRateHelperEarliestDate($E104,Trigger)</f>
        <v>#NUM!</v>
      </c>
      <c r="M104" s="10" t="e">
        <f>_xll.qlRateHelperLatestDate($E104,Trigger)</f>
        <v>#NUM!</v>
      </c>
      <c r="O104" s="22" t="e">
        <f t="shared" si="7"/>
        <v>#NUM!</v>
      </c>
    </row>
    <row r="105" spans="2:15" hidden="1" x14ac:dyDescent="0.2">
      <c r="B105" s="16" t="str">
        <f t="shared" si="5"/>
        <v>AB</v>
      </c>
      <c r="C105" s="15" t="str">
        <f t="shared" si="6"/>
        <v>1E</v>
      </c>
      <c r="D105" s="14" t="s">
        <v>25</v>
      </c>
      <c r="E105" s="14" t="str">
        <f t="shared" si="8"/>
        <v>EUR_YC1MRH_AB1E9Y</v>
      </c>
      <c r="F105" s="14" t="e">
        <f>_xll.qlRateHelperQuoteName(E105)</f>
        <v>#NUM!</v>
      </c>
      <c r="G105" s="13" t="e">
        <f>_xll.qlRateHelperQuoteValue($E105,Trigger)</f>
        <v>#NUM!</v>
      </c>
      <c r="H105" s="13" t="e">
        <f>_xll.qlSwapRateHelperSpread($E105,Trigger)</f>
        <v>#NUM!</v>
      </c>
      <c r="I105" s="12" t="b">
        <v>0</v>
      </c>
      <c r="J105" s="12">
        <v>50</v>
      </c>
      <c r="K105" s="12">
        <v>1</v>
      </c>
      <c r="L105" s="11" t="e">
        <f>_xll.qlRateHelperEarliestDate($E105,Trigger)</f>
        <v>#NUM!</v>
      </c>
      <c r="M105" s="10" t="e">
        <f>_xll.qlRateHelperLatestDate($E105,Trigger)</f>
        <v>#NUM!</v>
      </c>
      <c r="O105" s="22" t="e">
        <f t="shared" si="7"/>
        <v>#NUM!</v>
      </c>
    </row>
    <row r="106" spans="2:15" hidden="1" x14ac:dyDescent="0.2">
      <c r="B106" s="16" t="str">
        <f t="shared" si="5"/>
        <v>AB</v>
      </c>
      <c r="C106" s="15" t="str">
        <f t="shared" si="6"/>
        <v>1E</v>
      </c>
      <c r="D106" s="14" t="s">
        <v>24</v>
      </c>
      <c r="E106" s="14" t="str">
        <f t="shared" si="8"/>
        <v>EUR_YC1MRH_AB1E10Y</v>
      </c>
      <c r="F106" s="14" t="e">
        <f>_xll.qlRateHelperQuoteName(E106)</f>
        <v>#NUM!</v>
      </c>
      <c r="G106" s="13" t="e">
        <f>_xll.qlRateHelperQuoteValue($E106,Trigger)</f>
        <v>#NUM!</v>
      </c>
      <c r="H106" s="13" t="e">
        <f>_xll.qlSwapRateHelperSpread($E106,Trigger)</f>
        <v>#NUM!</v>
      </c>
      <c r="I106" s="12" t="b">
        <v>0</v>
      </c>
      <c r="J106" s="12">
        <v>50</v>
      </c>
      <c r="K106" s="12">
        <v>1</v>
      </c>
      <c r="L106" s="11" t="e">
        <f>_xll.qlRateHelperEarliestDate($E106,Trigger)</f>
        <v>#NUM!</v>
      </c>
      <c r="M106" s="10" t="e">
        <f>_xll.qlRateHelperLatestDate($E106,Trigger)</f>
        <v>#NUM!</v>
      </c>
      <c r="O106" s="22" t="e">
        <f t="shared" si="7"/>
        <v>#NUM!</v>
      </c>
    </row>
    <row r="107" spans="2:15" hidden="1" x14ac:dyDescent="0.2">
      <c r="B107" s="16" t="str">
        <f t="shared" si="5"/>
        <v>AB</v>
      </c>
      <c r="C107" s="15" t="str">
        <f t="shared" si="6"/>
        <v>1E</v>
      </c>
      <c r="D107" s="14" t="s">
        <v>23</v>
      </c>
      <c r="E107" s="14" t="str">
        <f t="shared" si="8"/>
        <v>EUR_YC1MRH_AB1E11Y</v>
      </c>
      <c r="F107" s="14" t="e">
        <f>_xll.qlRateHelperQuoteName(E107)</f>
        <v>#NUM!</v>
      </c>
      <c r="G107" s="13" t="e">
        <f>_xll.qlRateHelperQuoteValue($E107,Trigger)</f>
        <v>#NUM!</v>
      </c>
      <c r="H107" s="13" t="e">
        <f>_xll.qlSwapRateHelperSpread($E107,Trigger)</f>
        <v>#NUM!</v>
      </c>
      <c r="I107" s="12" t="b">
        <v>0</v>
      </c>
      <c r="J107" s="12">
        <v>50</v>
      </c>
      <c r="K107" s="12">
        <v>1</v>
      </c>
      <c r="L107" s="11" t="e">
        <f>_xll.qlRateHelperEarliestDate($E107,Trigger)</f>
        <v>#NUM!</v>
      </c>
      <c r="M107" s="10" t="e">
        <f>_xll.qlRateHelperLatestDate($E107,Trigger)</f>
        <v>#NUM!</v>
      </c>
      <c r="O107" s="22" t="e">
        <f t="shared" si="7"/>
        <v>#NUM!</v>
      </c>
    </row>
    <row r="108" spans="2:15" hidden="1" x14ac:dyDescent="0.2">
      <c r="B108" s="16" t="str">
        <f t="shared" si="5"/>
        <v>AB</v>
      </c>
      <c r="C108" s="15" t="str">
        <f t="shared" si="6"/>
        <v>1E</v>
      </c>
      <c r="D108" s="14" t="s">
        <v>22</v>
      </c>
      <c r="E108" s="14" t="str">
        <f t="shared" si="8"/>
        <v>EUR_YC1MRH_AB1E12Y</v>
      </c>
      <c r="F108" s="14" t="e">
        <f>_xll.qlRateHelperQuoteName(E108)</f>
        <v>#NUM!</v>
      </c>
      <c r="G108" s="13" t="e">
        <f>_xll.qlRateHelperQuoteValue($E108,Trigger)</f>
        <v>#NUM!</v>
      </c>
      <c r="H108" s="13" t="e">
        <f>_xll.qlSwapRateHelperSpread($E108,Trigger)</f>
        <v>#NUM!</v>
      </c>
      <c r="I108" s="12" t="b">
        <v>0</v>
      </c>
      <c r="J108" s="12">
        <v>50</v>
      </c>
      <c r="K108" s="12">
        <v>1</v>
      </c>
      <c r="L108" s="11" t="e">
        <f>_xll.qlRateHelperEarliestDate($E108,Trigger)</f>
        <v>#NUM!</v>
      </c>
      <c r="M108" s="10" t="e">
        <f>_xll.qlRateHelperLatestDate($E108,Trigger)</f>
        <v>#NUM!</v>
      </c>
      <c r="O108" s="22" t="e">
        <f t="shared" si="7"/>
        <v>#NUM!</v>
      </c>
    </row>
    <row r="109" spans="2:15" hidden="1" x14ac:dyDescent="0.2">
      <c r="B109" s="16" t="str">
        <f t="shared" si="5"/>
        <v>AB</v>
      </c>
      <c r="C109" s="15" t="str">
        <f t="shared" si="6"/>
        <v>1E</v>
      </c>
      <c r="D109" s="14" t="s">
        <v>21</v>
      </c>
      <c r="E109" s="14" t="str">
        <f t="shared" si="8"/>
        <v>EUR_YC1MRH_AB1E13Y</v>
      </c>
      <c r="F109" s="14" t="e">
        <f>_xll.qlRateHelperQuoteName(E109)</f>
        <v>#NUM!</v>
      </c>
      <c r="G109" s="13" t="e">
        <f>_xll.qlRateHelperQuoteValue($E109,Trigger)</f>
        <v>#NUM!</v>
      </c>
      <c r="H109" s="13" t="e">
        <f>_xll.qlSwapRateHelperSpread($E109,Trigger)</f>
        <v>#NUM!</v>
      </c>
      <c r="I109" s="12" t="b">
        <v>0</v>
      </c>
      <c r="J109" s="12">
        <v>50</v>
      </c>
      <c r="K109" s="12">
        <v>1</v>
      </c>
      <c r="L109" s="11" t="e">
        <f>_xll.qlRateHelperEarliestDate($E109,Trigger)</f>
        <v>#NUM!</v>
      </c>
      <c r="M109" s="10" t="e">
        <f>_xll.qlRateHelperLatestDate($E109,Trigger)</f>
        <v>#NUM!</v>
      </c>
      <c r="O109" s="22" t="e">
        <f t="shared" si="7"/>
        <v>#NUM!</v>
      </c>
    </row>
    <row r="110" spans="2:15" hidden="1" x14ac:dyDescent="0.2">
      <c r="B110" s="16" t="str">
        <f t="shared" si="5"/>
        <v>AB</v>
      </c>
      <c r="C110" s="15" t="str">
        <f t="shared" si="6"/>
        <v>1E</v>
      </c>
      <c r="D110" s="14" t="s">
        <v>20</v>
      </c>
      <c r="E110" s="14" t="str">
        <f t="shared" si="8"/>
        <v>EUR_YC1MRH_AB1E14Y</v>
      </c>
      <c r="F110" s="14" t="e">
        <f>_xll.qlRateHelperQuoteName(E110)</f>
        <v>#NUM!</v>
      </c>
      <c r="G110" s="13" t="e">
        <f>_xll.qlRateHelperQuoteValue($E110,Trigger)</f>
        <v>#NUM!</v>
      </c>
      <c r="H110" s="13" t="e">
        <f>_xll.qlSwapRateHelperSpread($E110,Trigger)</f>
        <v>#NUM!</v>
      </c>
      <c r="I110" s="12" t="b">
        <v>0</v>
      </c>
      <c r="J110" s="12">
        <v>50</v>
      </c>
      <c r="K110" s="12">
        <v>1</v>
      </c>
      <c r="L110" s="11" t="e">
        <f>_xll.qlRateHelperEarliestDate($E110,Trigger)</f>
        <v>#NUM!</v>
      </c>
      <c r="M110" s="10" t="e">
        <f>_xll.qlRateHelperLatestDate($E110,Trigger)</f>
        <v>#NUM!</v>
      </c>
      <c r="O110" s="22" t="e">
        <f t="shared" si="7"/>
        <v>#NUM!</v>
      </c>
    </row>
    <row r="111" spans="2:15" hidden="1" x14ac:dyDescent="0.2">
      <c r="B111" s="16" t="str">
        <f t="shared" si="5"/>
        <v>AB</v>
      </c>
      <c r="C111" s="15" t="str">
        <f t="shared" si="6"/>
        <v>1E</v>
      </c>
      <c r="D111" s="14" t="s">
        <v>19</v>
      </c>
      <c r="E111" s="14" t="str">
        <f t="shared" si="8"/>
        <v>EUR_YC1MRH_AB1E15Y</v>
      </c>
      <c r="F111" s="14" t="e">
        <f>_xll.qlRateHelperQuoteName(E111)</f>
        <v>#NUM!</v>
      </c>
      <c r="G111" s="13" t="e">
        <f>_xll.qlRateHelperQuoteValue($E111,Trigger)</f>
        <v>#NUM!</v>
      </c>
      <c r="H111" s="13" t="e">
        <f>_xll.qlSwapRateHelperSpread($E111,Trigger)</f>
        <v>#NUM!</v>
      </c>
      <c r="I111" s="12" t="b">
        <v>0</v>
      </c>
      <c r="J111" s="12">
        <v>50</v>
      </c>
      <c r="K111" s="12">
        <v>1</v>
      </c>
      <c r="L111" s="11" t="e">
        <f>_xll.qlRateHelperEarliestDate($E111,Trigger)</f>
        <v>#NUM!</v>
      </c>
      <c r="M111" s="10" t="e">
        <f>_xll.qlRateHelperLatestDate($E111,Trigger)</f>
        <v>#NUM!</v>
      </c>
      <c r="O111" s="22" t="e">
        <f t="shared" si="7"/>
        <v>#NUM!</v>
      </c>
    </row>
    <row r="112" spans="2:15" hidden="1" x14ac:dyDescent="0.2">
      <c r="B112" s="16" t="str">
        <f t="shared" si="5"/>
        <v>AB</v>
      </c>
      <c r="C112" s="15" t="str">
        <f t="shared" si="6"/>
        <v>1E</v>
      </c>
      <c r="D112" s="14" t="s">
        <v>18</v>
      </c>
      <c r="E112" s="14" t="str">
        <f t="shared" si="8"/>
        <v>EUR_YC1MRH_AB1E16Y</v>
      </c>
      <c r="F112" s="14" t="e">
        <f>_xll.qlRateHelperQuoteName(E112)</f>
        <v>#NUM!</v>
      </c>
      <c r="G112" s="13" t="e">
        <f>_xll.qlRateHelperQuoteValue($E112,Trigger)</f>
        <v>#NUM!</v>
      </c>
      <c r="H112" s="13" t="e">
        <f>_xll.qlSwapRateHelperSpread($E112,Trigger)</f>
        <v>#NUM!</v>
      </c>
      <c r="I112" s="12" t="b">
        <v>0</v>
      </c>
      <c r="J112" s="12">
        <v>50</v>
      </c>
      <c r="K112" s="12">
        <v>1</v>
      </c>
      <c r="L112" s="11" t="e">
        <f>_xll.qlRateHelperEarliestDate($E112,Trigger)</f>
        <v>#NUM!</v>
      </c>
      <c r="M112" s="10" t="e">
        <f>_xll.qlRateHelperLatestDate($E112,Trigger)</f>
        <v>#NUM!</v>
      </c>
      <c r="O112" s="22" t="e">
        <f t="shared" si="7"/>
        <v>#NUM!</v>
      </c>
    </row>
    <row r="113" spans="2:15" hidden="1" x14ac:dyDescent="0.2">
      <c r="B113" s="16" t="str">
        <f t="shared" si="5"/>
        <v>AB</v>
      </c>
      <c r="C113" s="15" t="str">
        <f t="shared" si="6"/>
        <v>1E</v>
      </c>
      <c r="D113" s="14" t="s">
        <v>17</v>
      </c>
      <c r="E113" s="14" t="str">
        <f t="shared" si="8"/>
        <v>EUR_YC1MRH_AB1E17Y</v>
      </c>
      <c r="F113" s="14" t="e">
        <f>_xll.qlRateHelperQuoteName(E113)</f>
        <v>#NUM!</v>
      </c>
      <c r="G113" s="13" t="e">
        <f>_xll.qlRateHelperQuoteValue($E113,Trigger)</f>
        <v>#NUM!</v>
      </c>
      <c r="H113" s="13" t="e">
        <f>_xll.qlSwapRateHelperSpread($E113,Trigger)</f>
        <v>#NUM!</v>
      </c>
      <c r="I113" s="12" t="b">
        <v>0</v>
      </c>
      <c r="J113" s="12">
        <v>50</v>
      </c>
      <c r="K113" s="12">
        <v>1</v>
      </c>
      <c r="L113" s="11" t="e">
        <f>_xll.qlRateHelperEarliestDate($E113,Trigger)</f>
        <v>#NUM!</v>
      </c>
      <c r="M113" s="10" t="e">
        <f>_xll.qlRateHelperLatestDate($E113,Trigger)</f>
        <v>#NUM!</v>
      </c>
      <c r="O113" s="22" t="e">
        <f t="shared" si="7"/>
        <v>#NUM!</v>
      </c>
    </row>
    <row r="114" spans="2:15" hidden="1" x14ac:dyDescent="0.2">
      <c r="B114" s="16" t="str">
        <f t="shared" si="5"/>
        <v>AB</v>
      </c>
      <c r="C114" s="15" t="str">
        <f t="shared" si="6"/>
        <v>1E</v>
      </c>
      <c r="D114" s="14" t="s">
        <v>16</v>
      </c>
      <c r="E114" s="14" t="str">
        <f t="shared" si="8"/>
        <v>EUR_YC1MRH_AB1E18Y</v>
      </c>
      <c r="F114" s="14" t="e">
        <f>_xll.qlRateHelperQuoteName(E114)</f>
        <v>#NUM!</v>
      </c>
      <c r="G114" s="13" t="e">
        <f>_xll.qlRateHelperQuoteValue($E114,Trigger)</f>
        <v>#NUM!</v>
      </c>
      <c r="H114" s="13" t="e">
        <f>_xll.qlSwapRateHelperSpread($E114,Trigger)</f>
        <v>#NUM!</v>
      </c>
      <c r="I114" s="12" t="b">
        <v>0</v>
      </c>
      <c r="J114" s="12">
        <v>50</v>
      </c>
      <c r="K114" s="12">
        <v>1</v>
      </c>
      <c r="L114" s="11" t="e">
        <f>_xll.qlRateHelperEarliestDate($E114,Trigger)</f>
        <v>#NUM!</v>
      </c>
      <c r="M114" s="10" t="e">
        <f>_xll.qlRateHelperLatestDate($E114,Trigger)</f>
        <v>#NUM!</v>
      </c>
      <c r="O114" s="22" t="e">
        <f t="shared" si="7"/>
        <v>#NUM!</v>
      </c>
    </row>
    <row r="115" spans="2:15" hidden="1" x14ac:dyDescent="0.2">
      <c r="B115" s="16" t="str">
        <f t="shared" si="5"/>
        <v>AB</v>
      </c>
      <c r="C115" s="15" t="str">
        <f t="shared" si="6"/>
        <v>1E</v>
      </c>
      <c r="D115" s="14" t="s">
        <v>15</v>
      </c>
      <c r="E115" s="14" t="str">
        <f t="shared" si="8"/>
        <v>EUR_YC1MRH_AB1E19Y</v>
      </c>
      <c r="F115" s="14" t="e">
        <f>_xll.qlRateHelperQuoteName(E115)</f>
        <v>#NUM!</v>
      </c>
      <c r="G115" s="13" t="e">
        <f>_xll.qlRateHelperQuoteValue($E115,Trigger)</f>
        <v>#NUM!</v>
      </c>
      <c r="H115" s="13" t="e">
        <f>_xll.qlSwapRateHelperSpread($E115,Trigger)</f>
        <v>#NUM!</v>
      </c>
      <c r="I115" s="12" t="b">
        <v>0</v>
      </c>
      <c r="J115" s="12">
        <v>50</v>
      </c>
      <c r="K115" s="12">
        <v>1</v>
      </c>
      <c r="L115" s="11" t="e">
        <f>_xll.qlRateHelperEarliestDate($E115,Trigger)</f>
        <v>#NUM!</v>
      </c>
      <c r="M115" s="10" t="e">
        <f>_xll.qlRateHelperLatestDate($E115,Trigger)</f>
        <v>#NUM!</v>
      </c>
      <c r="O115" s="22" t="e">
        <f t="shared" si="7"/>
        <v>#NUM!</v>
      </c>
    </row>
    <row r="116" spans="2:15" hidden="1" x14ac:dyDescent="0.2">
      <c r="B116" s="16" t="str">
        <f t="shared" si="5"/>
        <v>AB</v>
      </c>
      <c r="C116" s="15" t="str">
        <f t="shared" si="6"/>
        <v>1E</v>
      </c>
      <c r="D116" s="14" t="s">
        <v>14</v>
      </c>
      <c r="E116" s="14" t="str">
        <f t="shared" si="8"/>
        <v>EUR_YC1MRH_AB1E20Y</v>
      </c>
      <c r="F116" s="14" t="e">
        <f>_xll.qlRateHelperQuoteName(E116)</f>
        <v>#NUM!</v>
      </c>
      <c r="G116" s="13" t="e">
        <f>_xll.qlRateHelperQuoteValue($E116,Trigger)</f>
        <v>#NUM!</v>
      </c>
      <c r="H116" s="13" t="e">
        <f>_xll.qlSwapRateHelperSpread($E116,Trigger)</f>
        <v>#NUM!</v>
      </c>
      <c r="I116" s="12" t="b">
        <v>0</v>
      </c>
      <c r="J116" s="12">
        <v>50</v>
      </c>
      <c r="K116" s="12">
        <v>1</v>
      </c>
      <c r="L116" s="11" t="e">
        <f>_xll.qlRateHelperEarliestDate($E116,Trigger)</f>
        <v>#NUM!</v>
      </c>
      <c r="M116" s="10" t="e">
        <f>_xll.qlRateHelperLatestDate($E116,Trigger)</f>
        <v>#NUM!</v>
      </c>
      <c r="O116" s="22" t="e">
        <f t="shared" si="7"/>
        <v>#NUM!</v>
      </c>
    </row>
    <row r="117" spans="2:15" hidden="1" x14ac:dyDescent="0.2">
      <c r="B117" s="16" t="str">
        <f t="shared" si="5"/>
        <v>AB</v>
      </c>
      <c r="C117" s="15" t="str">
        <f t="shared" si="6"/>
        <v>1E</v>
      </c>
      <c r="D117" s="14" t="s">
        <v>13</v>
      </c>
      <c r="E117" s="14" t="str">
        <f t="shared" si="8"/>
        <v>EUR_YC1MRH_AB1E21Y</v>
      </c>
      <c r="F117" s="14" t="e">
        <f>_xll.qlRateHelperQuoteName(E117)</f>
        <v>#NUM!</v>
      </c>
      <c r="G117" s="13" t="e">
        <f>_xll.qlRateHelperQuoteValue($E117,Trigger)</f>
        <v>#NUM!</v>
      </c>
      <c r="H117" s="13" t="e">
        <f>_xll.qlSwapRateHelperSpread($E117,Trigger)</f>
        <v>#NUM!</v>
      </c>
      <c r="I117" s="12" t="b">
        <v>0</v>
      </c>
      <c r="J117" s="12">
        <v>50</v>
      </c>
      <c r="K117" s="12">
        <v>1</v>
      </c>
      <c r="L117" s="11" t="e">
        <f>_xll.qlRateHelperEarliestDate($E117,Trigger)</f>
        <v>#NUM!</v>
      </c>
      <c r="M117" s="10" t="e">
        <f>_xll.qlRateHelperLatestDate($E117,Trigger)</f>
        <v>#NUM!</v>
      </c>
      <c r="O117" s="22" t="e">
        <f t="shared" si="7"/>
        <v>#NUM!</v>
      </c>
    </row>
    <row r="118" spans="2:15" hidden="1" x14ac:dyDescent="0.2">
      <c r="B118" s="16" t="str">
        <f t="shared" si="5"/>
        <v>AB</v>
      </c>
      <c r="C118" s="15" t="str">
        <f t="shared" si="6"/>
        <v>1E</v>
      </c>
      <c r="D118" s="14" t="s">
        <v>12</v>
      </c>
      <c r="E118" s="14" t="str">
        <f t="shared" si="8"/>
        <v>EUR_YC1MRH_AB1E22Y</v>
      </c>
      <c r="F118" s="14" t="e">
        <f>_xll.qlRateHelperQuoteName(E118)</f>
        <v>#NUM!</v>
      </c>
      <c r="G118" s="13" t="e">
        <f>_xll.qlRateHelperQuoteValue($E118,Trigger)</f>
        <v>#NUM!</v>
      </c>
      <c r="H118" s="13" t="e">
        <f>_xll.qlSwapRateHelperSpread($E118,Trigger)</f>
        <v>#NUM!</v>
      </c>
      <c r="I118" s="12" t="b">
        <v>0</v>
      </c>
      <c r="J118" s="12">
        <v>50</v>
      </c>
      <c r="K118" s="12">
        <v>1</v>
      </c>
      <c r="L118" s="11" t="e">
        <f>_xll.qlRateHelperEarliestDate($E118,Trigger)</f>
        <v>#NUM!</v>
      </c>
      <c r="M118" s="10" t="e">
        <f>_xll.qlRateHelperLatestDate($E118,Trigger)</f>
        <v>#NUM!</v>
      </c>
      <c r="O118" s="22" t="e">
        <f t="shared" si="7"/>
        <v>#NUM!</v>
      </c>
    </row>
    <row r="119" spans="2:15" hidden="1" x14ac:dyDescent="0.2">
      <c r="B119" s="16" t="str">
        <f t="shared" si="5"/>
        <v>AB</v>
      </c>
      <c r="C119" s="15" t="str">
        <f t="shared" si="6"/>
        <v>1E</v>
      </c>
      <c r="D119" s="14" t="s">
        <v>11</v>
      </c>
      <c r="E119" s="14" t="str">
        <f t="shared" si="8"/>
        <v>EUR_YC1MRH_AB1E23Y</v>
      </c>
      <c r="F119" s="14" t="e">
        <f>_xll.qlRateHelperQuoteName(E119)</f>
        <v>#NUM!</v>
      </c>
      <c r="G119" s="13" t="e">
        <f>_xll.qlRateHelperQuoteValue($E119,Trigger)</f>
        <v>#NUM!</v>
      </c>
      <c r="H119" s="13" t="e">
        <f>_xll.qlSwapRateHelperSpread($E119,Trigger)</f>
        <v>#NUM!</v>
      </c>
      <c r="I119" s="12" t="b">
        <v>0</v>
      </c>
      <c r="J119" s="12">
        <v>50</v>
      </c>
      <c r="K119" s="12">
        <v>1</v>
      </c>
      <c r="L119" s="11" t="e">
        <f>_xll.qlRateHelperEarliestDate($E119,Trigger)</f>
        <v>#NUM!</v>
      </c>
      <c r="M119" s="10" t="e">
        <f>_xll.qlRateHelperLatestDate($E119,Trigger)</f>
        <v>#NUM!</v>
      </c>
      <c r="O119" s="22" t="e">
        <f t="shared" si="7"/>
        <v>#NUM!</v>
      </c>
    </row>
    <row r="120" spans="2:15" hidden="1" x14ac:dyDescent="0.2">
      <c r="B120" s="16" t="str">
        <f t="shared" si="5"/>
        <v>AB</v>
      </c>
      <c r="C120" s="15" t="str">
        <f t="shared" si="6"/>
        <v>1E</v>
      </c>
      <c r="D120" s="14" t="s">
        <v>10</v>
      </c>
      <c r="E120" s="14" t="str">
        <f t="shared" si="8"/>
        <v>EUR_YC1MRH_AB1E24Y</v>
      </c>
      <c r="F120" s="14" t="e">
        <f>_xll.qlRateHelperQuoteName(E120)</f>
        <v>#NUM!</v>
      </c>
      <c r="G120" s="13" t="e">
        <f>_xll.qlRateHelperQuoteValue($E120,Trigger)</f>
        <v>#NUM!</v>
      </c>
      <c r="H120" s="13" t="e">
        <f>_xll.qlSwapRateHelperSpread($E120,Trigger)</f>
        <v>#NUM!</v>
      </c>
      <c r="I120" s="12" t="b">
        <v>0</v>
      </c>
      <c r="J120" s="12">
        <v>50</v>
      </c>
      <c r="K120" s="12">
        <v>1</v>
      </c>
      <c r="L120" s="11" t="e">
        <f>_xll.qlRateHelperEarliestDate($E120,Trigger)</f>
        <v>#NUM!</v>
      </c>
      <c r="M120" s="10" t="e">
        <f>_xll.qlRateHelperLatestDate($E120,Trigger)</f>
        <v>#NUM!</v>
      </c>
      <c r="O120" s="22" t="e">
        <f t="shared" si="7"/>
        <v>#NUM!</v>
      </c>
    </row>
    <row r="121" spans="2:15" hidden="1" x14ac:dyDescent="0.2">
      <c r="B121" s="16" t="str">
        <f t="shared" si="5"/>
        <v>AB</v>
      </c>
      <c r="C121" s="15" t="str">
        <f t="shared" si="6"/>
        <v>1E</v>
      </c>
      <c r="D121" s="14" t="s">
        <v>9</v>
      </c>
      <c r="E121" s="14" t="str">
        <f t="shared" si="8"/>
        <v>EUR_YC1MRH_AB1E25Y</v>
      </c>
      <c r="F121" s="14" t="e">
        <f>_xll.qlRateHelperQuoteName(E121)</f>
        <v>#NUM!</v>
      </c>
      <c r="G121" s="13" t="e">
        <f>_xll.qlRateHelperQuoteValue($E121,Trigger)</f>
        <v>#NUM!</v>
      </c>
      <c r="H121" s="13" t="e">
        <f>_xll.qlSwapRateHelperSpread($E121,Trigger)</f>
        <v>#NUM!</v>
      </c>
      <c r="I121" s="12" t="b">
        <v>0</v>
      </c>
      <c r="J121" s="12">
        <v>50</v>
      </c>
      <c r="K121" s="12">
        <v>1</v>
      </c>
      <c r="L121" s="11" t="e">
        <f>_xll.qlRateHelperEarliestDate($E121,Trigger)</f>
        <v>#NUM!</v>
      </c>
      <c r="M121" s="10" t="e">
        <f>_xll.qlRateHelperLatestDate($E121,Trigger)</f>
        <v>#NUM!</v>
      </c>
      <c r="O121" s="22" t="e">
        <f t="shared" si="7"/>
        <v>#NUM!</v>
      </c>
    </row>
    <row r="122" spans="2:15" hidden="1" x14ac:dyDescent="0.2">
      <c r="B122" s="16" t="str">
        <f t="shared" si="5"/>
        <v>AB</v>
      </c>
      <c r="C122" s="15" t="str">
        <f t="shared" si="6"/>
        <v>1E</v>
      </c>
      <c r="D122" s="14" t="s">
        <v>8</v>
      </c>
      <c r="E122" s="14" t="str">
        <f t="shared" si="8"/>
        <v>EUR_YC1MRH_AB1E26Y</v>
      </c>
      <c r="F122" s="14" t="e">
        <f>_xll.qlRateHelperQuoteName(E122)</f>
        <v>#NUM!</v>
      </c>
      <c r="G122" s="13" t="e">
        <f>_xll.qlRateHelperQuoteValue($E122,Trigger)</f>
        <v>#NUM!</v>
      </c>
      <c r="H122" s="13" t="e">
        <f>_xll.qlSwapRateHelperSpread($E122,Trigger)</f>
        <v>#NUM!</v>
      </c>
      <c r="I122" s="12" t="b">
        <v>0</v>
      </c>
      <c r="J122" s="12">
        <v>50</v>
      </c>
      <c r="K122" s="12">
        <v>1</v>
      </c>
      <c r="L122" s="11" t="e">
        <f>_xll.qlRateHelperEarliestDate($E122,Trigger)</f>
        <v>#NUM!</v>
      </c>
      <c r="M122" s="10" t="e">
        <f>_xll.qlRateHelperLatestDate($E122,Trigger)</f>
        <v>#NUM!</v>
      </c>
      <c r="O122" s="22" t="e">
        <f t="shared" si="7"/>
        <v>#NUM!</v>
      </c>
    </row>
    <row r="123" spans="2:15" hidden="1" x14ac:dyDescent="0.2">
      <c r="B123" s="16" t="str">
        <f t="shared" si="5"/>
        <v>AB</v>
      </c>
      <c r="C123" s="15" t="str">
        <f t="shared" si="6"/>
        <v>1E</v>
      </c>
      <c r="D123" s="14" t="s">
        <v>7</v>
      </c>
      <c r="E123" s="14" t="str">
        <f t="shared" si="8"/>
        <v>EUR_YC1MRH_AB1E27Y</v>
      </c>
      <c r="F123" s="14" t="e">
        <f>_xll.qlRateHelperQuoteName(E123)</f>
        <v>#NUM!</v>
      </c>
      <c r="G123" s="13" t="e">
        <f>_xll.qlRateHelperQuoteValue($E123,Trigger)</f>
        <v>#NUM!</v>
      </c>
      <c r="H123" s="13" t="e">
        <f>_xll.qlSwapRateHelperSpread($E123,Trigger)</f>
        <v>#NUM!</v>
      </c>
      <c r="I123" s="12" t="b">
        <v>0</v>
      </c>
      <c r="J123" s="12">
        <v>50</v>
      </c>
      <c r="K123" s="12">
        <v>1</v>
      </c>
      <c r="L123" s="11" t="e">
        <f>_xll.qlRateHelperEarliestDate($E123,Trigger)</f>
        <v>#NUM!</v>
      </c>
      <c r="M123" s="10" t="e">
        <f>_xll.qlRateHelperLatestDate($E123,Trigger)</f>
        <v>#NUM!</v>
      </c>
      <c r="O123" s="22" t="e">
        <f t="shared" si="7"/>
        <v>#NUM!</v>
      </c>
    </row>
    <row r="124" spans="2:15" hidden="1" x14ac:dyDescent="0.2">
      <c r="B124" s="16" t="str">
        <f t="shared" si="5"/>
        <v>AB</v>
      </c>
      <c r="C124" s="15" t="str">
        <f t="shared" si="6"/>
        <v>1E</v>
      </c>
      <c r="D124" s="14" t="s">
        <v>6</v>
      </c>
      <c r="E124" s="14" t="str">
        <f t="shared" si="8"/>
        <v>EUR_YC1MRH_AB1E28Y</v>
      </c>
      <c r="F124" s="14" t="e">
        <f>_xll.qlRateHelperQuoteName(E124)</f>
        <v>#NUM!</v>
      </c>
      <c r="G124" s="13" t="e">
        <f>_xll.qlRateHelperQuoteValue($E124,Trigger)</f>
        <v>#NUM!</v>
      </c>
      <c r="H124" s="13" t="e">
        <f>_xll.qlSwapRateHelperSpread($E124,Trigger)</f>
        <v>#NUM!</v>
      </c>
      <c r="I124" s="12" t="b">
        <v>0</v>
      </c>
      <c r="J124" s="12">
        <v>50</v>
      </c>
      <c r="K124" s="12">
        <v>1</v>
      </c>
      <c r="L124" s="11" t="e">
        <f>_xll.qlRateHelperEarliestDate($E124,Trigger)</f>
        <v>#NUM!</v>
      </c>
      <c r="M124" s="10" t="e">
        <f>_xll.qlRateHelperLatestDate($E124,Trigger)</f>
        <v>#NUM!</v>
      </c>
      <c r="O124" s="22" t="e">
        <f t="shared" si="7"/>
        <v>#NUM!</v>
      </c>
    </row>
    <row r="125" spans="2:15" hidden="1" x14ac:dyDescent="0.2">
      <c r="B125" s="16" t="str">
        <f t="shared" si="5"/>
        <v>AB</v>
      </c>
      <c r="C125" s="15" t="str">
        <f t="shared" si="6"/>
        <v>1E</v>
      </c>
      <c r="D125" s="14" t="s">
        <v>5</v>
      </c>
      <c r="E125" s="14" t="str">
        <f t="shared" si="8"/>
        <v>EUR_YC1MRH_AB1E29Y</v>
      </c>
      <c r="F125" s="14" t="e">
        <f>_xll.qlRateHelperQuoteName(E125)</f>
        <v>#NUM!</v>
      </c>
      <c r="G125" s="13" t="e">
        <f>_xll.qlRateHelperQuoteValue($E125,Trigger)</f>
        <v>#NUM!</v>
      </c>
      <c r="H125" s="13" t="e">
        <f>_xll.qlSwapRateHelperSpread($E125,Trigger)</f>
        <v>#NUM!</v>
      </c>
      <c r="I125" s="12" t="b">
        <v>0</v>
      </c>
      <c r="J125" s="12">
        <v>50</v>
      </c>
      <c r="K125" s="12">
        <v>1</v>
      </c>
      <c r="L125" s="11" t="e">
        <f>_xll.qlRateHelperEarliestDate($E125,Trigger)</f>
        <v>#NUM!</v>
      </c>
      <c r="M125" s="10" t="e">
        <f>_xll.qlRateHelperLatestDate($E125,Trigger)</f>
        <v>#NUM!</v>
      </c>
      <c r="O125" s="22" t="e">
        <f t="shared" si="7"/>
        <v>#NUM!</v>
      </c>
    </row>
    <row r="126" spans="2:15" hidden="1" x14ac:dyDescent="0.2">
      <c r="B126" s="16" t="str">
        <f t="shared" ref="B126:B157" si="9">SwapFixedFreq</f>
        <v>AB</v>
      </c>
      <c r="C126" s="15" t="str">
        <f t="shared" si="6"/>
        <v>1E</v>
      </c>
      <c r="D126" s="14" t="s">
        <v>4</v>
      </c>
      <c r="E126" s="14" t="str">
        <f t="shared" si="8"/>
        <v>EUR_YC1MRH_AB1E30Y</v>
      </c>
      <c r="F126" s="14" t="e">
        <f>_xll.qlRateHelperQuoteName(E126)</f>
        <v>#NUM!</v>
      </c>
      <c r="G126" s="13" t="e">
        <f>_xll.qlRateHelperQuoteValue($E126,Trigger)</f>
        <v>#NUM!</v>
      </c>
      <c r="H126" s="13" t="e">
        <f>_xll.qlSwapRateHelperSpread($E126,Trigger)</f>
        <v>#NUM!</v>
      </c>
      <c r="I126" s="12" t="b">
        <v>0</v>
      </c>
      <c r="J126" s="12">
        <v>50</v>
      </c>
      <c r="K126" s="12">
        <v>1</v>
      </c>
      <c r="L126" s="11" t="e">
        <f>_xll.qlRateHelperEarliestDate($E126,Trigger)</f>
        <v>#NUM!</v>
      </c>
      <c r="M126" s="10" t="e">
        <f>_xll.qlRateHelperLatestDate($E126,Trigger)</f>
        <v>#NUM!</v>
      </c>
      <c r="O126" s="22" t="e">
        <f t="shared" si="7"/>
        <v>#NUM!</v>
      </c>
    </row>
    <row r="127" spans="2:15" hidden="1" x14ac:dyDescent="0.2">
      <c r="B127" s="16" t="str">
        <f t="shared" si="9"/>
        <v>AB</v>
      </c>
      <c r="C127" s="15" t="str">
        <f t="shared" si="6"/>
        <v>1E</v>
      </c>
      <c r="D127" s="14" t="s">
        <v>3</v>
      </c>
      <c r="E127" s="14" t="str">
        <f t="shared" si="8"/>
        <v>EUR_YC1MRH_AB1E35Y</v>
      </c>
      <c r="F127" s="14" t="e">
        <f>_xll.qlRateHelperQuoteName(E127)</f>
        <v>#NUM!</v>
      </c>
      <c r="G127" s="13" t="e">
        <f>_xll.qlRateHelperQuoteValue($E127,Trigger)</f>
        <v>#NUM!</v>
      </c>
      <c r="H127" s="13" t="e">
        <f>_xll.qlSwapRateHelperSpread($E127,Trigger)</f>
        <v>#NUM!</v>
      </c>
      <c r="I127" s="12" t="b">
        <v>0</v>
      </c>
      <c r="J127" s="12">
        <v>50</v>
      </c>
      <c r="K127" s="12">
        <v>1</v>
      </c>
      <c r="L127" s="11" t="e">
        <f>_xll.qlRateHelperEarliestDate($E127,Trigger)</f>
        <v>#NUM!</v>
      </c>
      <c r="M127" s="10" t="e">
        <f>_xll.qlRateHelperLatestDate($E127,Trigger)</f>
        <v>#NUM!</v>
      </c>
      <c r="O127" s="22" t="e">
        <f t="shared" si="7"/>
        <v>#NUM!</v>
      </c>
    </row>
    <row r="128" spans="2:15" hidden="1" x14ac:dyDescent="0.2">
      <c r="B128" s="16" t="str">
        <f t="shared" si="9"/>
        <v>AB</v>
      </c>
      <c r="C128" s="15" t="str">
        <f t="shared" si="6"/>
        <v>1E</v>
      </c>
      <c r="D128" s="14" t="s">
        <v>2</v>
      </c>
      <c r="E128" s="14" t="str">
        <f t="shared" ref="E128:E130" si="10">RateHelperPrefix&amp;"_"&amp;$B128&amp;$C128&amp;$D128</f>
        <v>EUR_YC1MRH_AB1E40Y</v>
      </c>
      <c r="F128" s="14" t="e">
        <f>_xll.qlRateHelperQuoteName(E128)</f>
        <v>#NUM!</v>
      </c>
      <c r="G128" s="13" t="e">
        <f>_xll.qlRateHelperQuoteValue($E128,Trigger)</f>
        <v>#NUM!</v>
      </c>
      <c r="H128" s="13" t="e">
        <f>_xll.qlSwapRateHelperSpread($E128,Trigger)</f>
        <v>#NUM!</v>
      </c>
      <c r="I128" s="12" t="b">
        <v>0</v>
      </c>
      <c r="J128" s="12">
        <v>50</v>
      </c>
      <c r="K128" s="12">
        <v>1</v>
      </c>
      <c r="L128" s="11" t="e">
        <f>_xll.qlRateHelperEarliestDate($E128,Trigger)</f>
        <v>#NUM!</v>
      </c>
      <c r="M128" s="10" t="e">
        <f>_xll.qlRateHelperLatestDate($E128,Trigger)</f>
        <v>#NUM!</v>
      </c>
      <c r="O128" s="22" t="e">
        <f t="shared" si="7"/>
        <v>#NUM!</v>
      </c>
    </row>
    <row r="129" spans="2:15" hidden="1" x14ac:dyDescent="0.2">
      <c r="B129" s="16" t="str">
        <f t="shared" si="9"/>
        <v>AB</v>
      </c>
      <c r="C129" s="15" t="str">
        <f t="shared" si="6"/>
        <v>1E</v>
      </c>
      <c r="D129" s="14" t="s">
        <v>1</v>
      </c>
      <c r="E129" s="14" t="str">
        <f t="shared" si="10"/>
        <v>EUR_YC1MRH_AB1E50Y</v>
      </c>
      <c r="F129" s="14" t="e">
        <f>_xll.qlRateHelperQuoteName(E129)</f>
        <v>#NUM!</v>
      </c>
      <c r="G129" s="13" t="e">
        <f>_xll.qlRateHelperQuoteValue($E129,Trigger)</f>
        <v>#NUM!</v>
      </c>
      <c r="H129" s="13" t="e">
        <f>_xll.qlSwapRateHelperSpread($E129,Trigger)</f>
        <v>#NUM!</v>
      </c>
      <c r="I129" s="12" t="b">
        <v>0</v>
      </c>
      <c r="J129" s="12">
        <v>50</v>
      </c>
      <c r="K129" s="12">
        <v>1</v>
      </c>
      <c r="L129" s="11" t="e">
        <f>_xll.qlRateHelperEarliestDate($E129,Trigger)</f>
        <v>#NUM!</v>
      </c>
      <c r="M129" s="10" t="e">
        <f>_xll.qlRateHelperLatestDate($E129,Trigger)</f>
        <v>#NUM!</v>
      </c>
      <c r="O129" s="22" t="e">
        <f t="shared" si="7"/>
        <v>#NUM!</v>
      </c>
    </row>
    <row r="130" spans="2:15" hidden="1" x14ac:dyDescent="0.2">
      <c r="B130" s="9" t="str">
        <f t="shared" si="9"/>
        <v>AB</v>
      </c>
      <c r="C130" s="8" t="str">
        <f t="shared" si="6"/>
        <v>1E</v>
      </c>
      <c r="D130" s="7" t="s">
        <v>0</v>
      </c>
      <c r="E130" s="7" t="str">
        <f t="shared" si="10"/>
        <v>EUR_YC1MRH_AB1E60Y</v>
      </c>
      <c r="F130" s="14" t="e">
        <f>_xll.qlRateHelperQuoteName(E130)</f>
        <v>#NUM!</v>
      </c>
      <c r="G130" s="6" t="e">
        <f>_xll.qlRateHelperQuoteValue($E130,Trigger)</f>
        <v>#NUM!</v>
      </c>
      <c r="H130" s="6" t="e">
        <f>_xll.qlSwapRateHelperSpread($E130,Trigger)</f>
        <v>#NUM!</v>
      </c>
      <c r="I130" s="5" t="b">
        <v>0</v>
      </c>
      <c r="J130" s="5">
        <v>50</v>
      </c>
      <c r="K130" s="5">
        <v>1</v>
      </c>
      <c r="L130" s="4" t="e">
        <f>_xll.qlRateHelperEarliestDate($E130,Trigger)</f>
        <v>#NUM!</v>
      </c>
      <c r="M130" s="3" t="e">
        <f>_xll.qlRateHelperLatestDate($E130,Trigger)</f>
        <v>#NUM!</v>
      </c>
      <c r="O130" s="22" t="e">
        <f t="shared" si="7"/>
        <v>#NUM!</v>
      </c>
    </row>
    <row r="131" spans="2:15" x14ac:dyDescent="0.2">
      <c r="B131" s="16" t="str">
        <f t="shared" si="9"/>
        <v>AB</v>
      </c>
      <c r="C131" s="15" t="str">
        <f t="shared" ref="C131:C167" si="11">IborType&amp;"BASIS"</f>
        <v>1EBASIS</v>
      </c>
      <c r="D131" s="14" t="s">
        <v>36</v>
      </c>
      <c r="E131" s="21" t="str">
        <f>SwapsFromBasis!K6</f>
        <v>obj_006f3#0002</v>
      </c>
      <c r="F131" s="21" t="str">
        <f>_xll.qlRateHelperQuoteName(E131)</f>
        <v>EURAB1EBASIS1Y_Quote</v>
      </c>
      <c r="G131" s="13">
        <f>_xll.qlRateHelperQuoteValue($E131,Trigger)</f>
        <v>-1.0999999999999985E-4</v>
      </c>
      <c r="H131" s="20">
        <f>_xll.qlSwapRateHelperSpread($E131,Trigger)</f>
        <v>0</v>
      </c>
      <c r="I131" s="19" t="b">
        <v>0</v>
      </c>
      <c r="J131" s="19">
        <v>40</v>
      </c>
      <c r="K131" s="19">
        <v>1</v>
      </c>
      <c r="L131" s="18">
        <f>_xll.qlRateHelperEarliestDate($E131,Trigger)</f>
        <v>41890</v>
      </c>
      <c r="M131" s="17">
        <f>_xll.qlRateHelperLatestDate($E131,Trigger)</f>
        <v>42255</v>
      </c>
    </row>
    <row r="132" spans="2:15" x14ac:dyDescent="0.2">
      <c r="B132" s="16" t="str">
        <f t="shared" si="9"/>
        <v>AB</v>
      </c>
      <c r="C132" s="15" t="str">
        <f t="shared" si="11"/>
        <v>1EBASIS</v>
      </c>
      <c r="D132" s="14" t="s">
        <v>35</v>
      </c>
      <c r="E132" s="14" t="str">
        <f>SwapsFromBasis!K7</f>
        <v>obj_006f4#0002</v>
      </c>
      <c r="F132" s="14" t="str">
        <f>_xll.qlRateHelperQuoteName(E132)</f>
        <v>EURAB1EBASIS15M_Quote</v>
      </c>
      <c r="G132" s="13" t="e">
        <f>_xll.qlRateHelperQuoteValue($E132,Trigger)</f>
        <v>#NUM!</v>
      </c>
      <c r="H132" s="13">
        <f>_xll.qlSwapRateHelperSpread($E132,Trigger)</f>
        <v>0</v>
      </c>
      <c r="I132" s="12" t="b">
        <v>0</v>
      </c>
      <c r="J132" s="12">
        <v>40</v>
      </c>
      <c r="K132" s="12">
        <v>1</v>
      </c>
      <c r="L132" s="11">
        <f>_xll.qlRateHelperEarliestDate($E132,Trigger)</f>
        <v>41890</v>
      </c>
      <c r="M132" s="10">
        <f>_xll.qlRateHelperLatestDate($E132,Trigger)</f>
        <v>42346</v>
      </c>
    </row>
    <row r="133" spans="2:15" x14ac:dyDescent="0.2">
      <c r="B133" s="16" t="str">
        <f t="shared" si="9"/>
        <v>AB</v>
      </c>
      <c r="C133" s="15" t="str">
        <f t="shared" si="11"/>
        <v>1EBASIS</v>
      </c>
      <c r="D133" s="14" t="s">
        <v>34</v>
      </c>
      <c r="E133" s="14" t="str">
        <f>SwapsFromBasis!K8</f>
        <v>obj_006f5#0002</v>
      </c>
      <c r="F133" s="14" t="str">
        <f>_xll.qlRateHelperQuoteName(E133)</f>
        <v>EURAB1EBASIS18M_Quote</v>
      </c>
      <c r="G133" s="13" t="e">
        <f>_xll.qlRateHelperQuoteValue($E133,Trigger)</f>
        <v>#NUM!</v>
      </c>
      <c r="H133" s="13">
        <f>_xll.qlSwapRateHelperSpread($E133,Trigger)</f>
        <v>0</v>
      </c>
      <c r="I133" s="12" t="b">
        <v>0</v>
      </c>
      <c r="J133" s="12">
        <v>40</v>
      </c>
      <c r="K133" s="12">
        <v>1</v>
      </c>
      <c r="L133" s="11">
        <f>_xll.qlRateHelperEarliestDate($E133,Trigger)</f>
        <v>41890</v>
      </c>
      <c r="M133" s="10">
        <f>_xll.qlRateHelperLatestDate($E133,Trigger)</f>
        <v>42437</v>
      </c>
    </row>
    <row r="134" spans="2:15" x14ac:dyDescent="0.2">
      <c r="B134" s="16" t="str">
        <f t="shared" si="9"/>
        <v>AB</v>
      </c>
      <c r="C134" s="15" t="str">
        <f t="shared" si="11"/>
        <v>1EBASIS</v>
      </c>
      <c r="D134" s="14" t="s">
        <v>33</v>
      </c>
      <c r="E134" s="14" t="str">
        <f>SwapsFromBasis!K9</f>
        <v>obj_006f6#0002</v>
      </c>
      <c r="F134" s="14" t="str">
        <f>_xll.qlRateHelperQuoteName(E134)</f>
        <v>EURAB1EBASIS21M_Quote</v>
      </c>
      <c r="G134" s="13" t="e">
        <f>_xll.qlRateHelperQuoteValue($E134,Trigger)</f>
        <v>#NUM!</v>
      </c>
      <c r="H134" s="13">
        <f>_xll.qlSwapRateHelperSpread($E134,Trigger)</f>
        <v>0</v>
      </c>
      <c r="I134" s="12" t="b">
        <v>0</v>
      </c>
      <c r="J134" s="12">
        <v>40</v>
      </c>
      <c r="K134" s="12">
        <v>1</v>
      </c>
      <c r="L134" s="11">
        <f>_xll.qlRateHelperEarliestDate($E134,Trigger)</f>
        <v>41890</v>
      </c>
      <c r="M134" s="10">
        <f>_xll.qlRateHelperLatestDate($E134,Trigger)</f>
        <v>42529</v>
      </c>
    </row>
    <row r="135" spans="2:15" x14ac:dyDescent="0.2">
      <c r="B135" s="16" t="str">
        <f t="shared" si="9"/>
        <v>AB</v>
      </c>
      <c r="C135" s="15" t="str">
        <f t="shared" si="11"/>
        <v>1EBASIS</v>
      </c>
      <c r="D135" s="14" t="s">
        <v>32</v>
      </c>
      <c r="E135" s="14" t="str">
        <f>SwapsFromBasis!K10</f>
        <v>obj_006f7#0002</v>
      </c>
      <c r="F135" s="14" t="str">
        <f>_xll.qlRateHelperQuoteName(E135)</f>
        <v>EURAB1EBASIS2Y_Quote</v>
      </c>
      <c r="G135" s="13">
        <f>_xll.qlRateHelperQuoteValue($E135,Trigger)</f>
        <v>-1.7000000000000001E-4</v>
      </c>
      <c r="H135" s="13">
        <f>_xll.qlSwapRateHelperSpread($E135,Trigger)</f>
        <v>0</v>
      </c>
      <c r="I135" s="12" t="b">
        <v>1</v>
      </c>
      <c r="J135" s="12">
        <v>40</v>
      </c>
      <c r="K135" s="12">
        <v>1</v>
      </c>
      <c r="L135" s="11">
        <f>_xll.qlRateHelperEarliestDate($E135,Trigger)</f>
        <v>41890</v>
      </c>
      <c r="M135" s="10">
        <f>_xll.qlRateHelperLatestDate($E135,Trigger)</f>
        <v>42621</v>
      </c>
    </row>
    <row r="136" spans="2:15" x14ac:dyDescent="0.2">
      <c r="B136" s="16" t="str">
        <f t="shared" si="9"/>
        <v>AB</v>
      </c>
      <c r="C136" s="15" t="str">
        <f t="shared" si="11"/>
        <v>1EBASIS</v>
      </c>
      <c r="D136" s="14" t="s">
        <v>31</v>
      </c>
      <c r="E136" s="14" t="str">
        <f>SwapsFromBasis!K11</f>
        <v>obj_006f8#0002</v>
      </c>
      <c r="F136" s="14" t="str">
        <f>_xll.qlRateHelperQuoteName(E136)</f>
        <v>EURAB1EBASIS3Y_Quote</v>
      </c>
      <c r="G136" s="13">
        <f>_xll.qlRateHelperQuoteValue($E136,Trigger)</f>
        <v>1.3000000000000034E-4</v>
      </c>
      <c r="H136" s="13">
        <f>_xll.qlSwapRateHelperSpread($E136,Trigger)</f>
        <v>0</v>
      </c>
      <c r="I136" s="12" t="b">
        <v>1</v>
      </c>
      <c r="J136" s="12">
        <v>40</v>
      </c>
      <c r="K136" s="12">
        <v>1</v>
      </c>
      <c r="L136" s="11">
        <f>_xll.qlRateHelperEarliestDate($E136,Trigger)</f>
        <v>41890</v>
      </c>
      <c r="M136" s="10">
        <f>_xll.qlRateHelperLatestDate($E136,Trigger)</f>
        <v>42986</v>
      </c>
    </row>
    <row r="137" spans="2:15" x14ac:dyDescent="0.2">
      <c r="B137" s="16" t="str">
        <f t="shared" si="9"/>
        <v>AB</v>
      </c>
      <c r="C137" s="15" t="str">
        <f t="shared" si="11"/>
        <v>1EBASIS</v>
      </c>
      <c r="D137" s="14" t="s">
        <v>30</v>
      </c>
      <c r="E137" s="14" t="str">
        <f>SwapsFromBasis!K12</f>
        <v>obj_006f9#0002</v>
      </c>
      <c r="F137" s="14" t="str">
        <f>_xll.qlRateHelperQuoteName(E137)</f>
        <v>EURAB1EBASIS4Y_Quote</v>
      </c>
      <c r="G137" s="13">
        <f>_xll.qlRateHelperQuoteValue($E137,Trigger)</f>
        <v>8.1999999999999955E-4</v>
      </c>
      <c r="H137" s="13">
        <f>_xll.qlSwapRateHelperSpread($E137,Trigger)</f>
        <v>0</v>
      </c>
      <c r="I137" s="12" t="b">
        <v>1</v>
      </c>
      <c r="J137" s="12">
        <v>40</v>
      </c>
      <c r="K137" s="12">
        <v>1</v>
      </c>
      <c r="L137" s="11">
        <f>_xll.qlRateHelperEarliestDate($E137,Trigger)</f>
        <v>41890</v>
      </c>
      <c r="M137" s="10">
        <f>_xll.qlRateHelperLatestDate($E137,Trigger)</f>
        <v>43353</v>
      </c>
    </row>
    <row r="138" spans="2:15" x14ac:dyDescent="0.2">
      <c r="B138" s="16" t="str">
        <f t="shared" si="9"/>
        <v>AB</v>
      </c>
      <c r="C138" s="15" t="str">
        <f t="shared" si="11"/>
        <v>1EBASIS</v>
      </c>
      <c r="D138" s="14" t="s">
        <v>29</v>
      </c>
      <c r="E138" s="14" t="str">
        <f>SwapsFromBasis!K13</f>
        <v>obj_006fa#0002</v>
      </c>
      <c r="F138" s="14" t="str">
        <f>_xll.qlRateHelperQuoteName(E138)</f>
        <v>EURAB1EBASIS5Y_Quote</v>
      </c>
      <c r="G138" s="13">
        <f>_xll.qlRateHelperQuoteValue($E138,Trigger)</f>
        <v>1.7499999999999998E-3</v>
      </c>
      <c r="H138" s="13">
        <f>_xll.qlSwapRateHelperSpread($E138,Trigger)</f>
        <v>0</v>
      </c>
      <c r="I138" s="12" t="b">
        <v>1</v>
      </c>
      <c r="J138" s="12">
        <v>40</v>
      </c>
      <c r="K138" s="12">
        <v>1</v>
      </c>
      <c r="L138" s="11">
        <f>_xll.qlRateHelperEarliestDate($E138,Trigger)</f>
        <v>41890</v>
      </c>
      <c r="M138" s="10">
        <f>_xll.qlRateHelperLatestDate($E138,Trigger)</f>
        <v>43717</v>
      </c>
    </row>
    <row r="139" spans="2:15" x14ac:dyDescent="0.2">
      <c r="B139" s="16" t="str">
        <f t="shared" si="9"/>
        <v>AB</v>
      </c>
      <c r="C139" s="15" t="str">
        <f t="shared" si="11"/>
        <v>1EBASIS</v>
      </c>
      <c r="D139" s="14" t="s">
        <v>28</v>
      </c>
      <c r="E139" s="14" t="str">
        <f>SwapsFromBasis!K14</f>
        <v>obj_006fb#0002</v>
      </c>
      <c r="F139" s="14" t="str">
        <f>_xll.qlRateHelperQuoteName(E139)</f>
        <v>EURAB1EBASIS6Y_Quote</v>
      </c>
      <c r="G139" s="13">
        <f>_xll.qlRateHelperQuoteValue($E139,Trigger)</f>
        <v>2.9599999999999995E-3</v>
      </c>
      <c r="H139" s="13">
        <f>_xll.qlSwapRateHelperSpread($E139,Trigger)</f>
        <v>0</v>
      </c>
      <c r="I139" s="12" t="b">
        <v>1</v>
      </c>
      <c r="J139" s="12">
        <v>40</v>
      </c>
      <c r="K139" s="12">
        <v>1</v>
      </c>
      <c r="L139" s="11">
        <f>_xll.qlRateHelperEarliestDate($E139,Trigger)</f>
        <v>41890</v>
      </c>
      <c r="M139" s="10">
        <f>_xll.qlRateHelperLatestDate($E139,Trigger)</f>
        <v>44082</v>
      </c>
    </row>
    <row r="140" spans="2:15" x14ac:dyDescent="0.2">
      <c r="B140" s="16" t="str">
        <f t="shared" si="9"/>
        <v>AB</v>
      </c>
      <c r="C140" s="15" t="str">
        <f t="shared" si="11"/>
        <v>1EBASIS</v>
      </c>
      <c r="D140" s="14" t="s">
        <v>27</v>
      </c>
      <c r="E140" s="14" t="str">
        <f>SwapsFromBasis!K15</f>
        <v>obj_006fd#0002</v>
      </c>
      <c r="F140" s="14" t="str">
        <f>_xll.qlRateHelperQuoteName(E140)</f>
        <v>EURAB1EBASIS7Y_Quote</v>
      </c>
      <c r="G140" s="13">
        <f>_xll.qlRateHelperQuoteValue($E140,Trigger)</f>
        <v>4.3599999999999993E-3</v>
      </c>
      <c r="H140" s="13">
        <f>_xll.qlSwapRateHelperSpread($E140,Trigger)</f>
        <v>0</v>
      </c>
      <c r="I140" s="12" t="b">
        <v>1</v>
      </c>
      <c r="J140" s="12">
        <v>40</v>
      </c>
      <c r="K140" s="12">
        <v>1</v>
      </c>
      <c r="L140" s="11">
        <f>_xll.qlRateHelperEarliestDate($E140,Trigger)</f>
        <v>41890</v>
      </c>
      <c r="M140" s="10">
        <f>_xll.qlRateHelperLatestDate($E140,Trigger)</f>
        <v>44447</v>
      </c>
    </row>
    <row r="141" spans="2:15" x14ac:dyDescent="0.2">
      <c r="B141" s="16" t="str">
        <f t="shared" si="9"/>
        <v>AB</v>
      </c>
      <c r="C141" s="15" t="str">
        <f t="shared" si="11"/>
        <v>1EBASIS</v>
      </c>
      <c r="D141" s="14" t="s">
        <v>26</v>
      </c>
      <c r="E141" s="14" t="str">
        <f>SwapsFromBasis!K16</f>
        <v>obj_006fe#0002</v>
      </c>
      <c r="F141" s="14" t="str">
        <f>_xll.qlRateHelperQuoteName(E141)</f>
        <v>EURAB1EBASIS8Y_Quote</v>
      </c>
      <c r="G141" s="13">
        <f>_xll.qlRateHelperQuoteValue($E141,Trigger)</f>
        <v>5.8000000000000005E-3</v>
      </c>
      <c r="H141" s="13">
        <f>_xll.qlSwapRateHelperSpread($E141,Trigger)</f>
        <v>0</v>
      </c>
      <c r="I141" s="12" t="b">
        <v>1</v>
      </c>
      <c r="J141" s="12">
        <v>40</v>
      </c>
      <c r="K141" s="12">
        <v>1</v>
      </c>
      <c r="L141" s="11">
        <f>_xll.qlRateHelperEarliestDate($E141,Trigger)</f>
        <v>41890</v>
      </c>
      <c r="M141" s="10">
        <f>_xll.qlRateHelperLatestDate($E141,Trigger)</f>
        <v>44812</v>
      </c>
    </row>
    <row r="142" spans="2:15" x14ac:dyDescent="0.2">
      <c r="B142" s="16" t="str">
        <f t="shared" si="9"/>
        <v>AB</v>
      </c>
      <c r="C142" s="15" t="str">
        <f t="shared" si="11"/>
        <v>1EBASIS</v>
      </c>
      <c r="D142" s="14" t="s">
        <v>25</v>
      </c>
      <c r="E142" s="14" t="str">
        <f>SwapsFromBasis!K17</f>
        <v>obj_006ff#0002</v>
      </c>
      <c r="F142" s="14" t="str">
        <f>_xll.qlRateHelperQuoteName(E142)</f>
        <v>EURAB1EBASIS9Y_Quote</v>
      </c>
      <c r="G142" s="13">
        <f>_xll.qlRateHelperQuoteValue($E142,Trigger)</f>
        <v>7.1699999999999993E-3</v>
      </c>
      <c r="H142" s="13">
        <f>_xll.qlSwapRateHelperSpread($E142,Trigger)</f>
        <v>0</v>
      </c>
      <c r="I142" s="12" t="b">
        <v>1</v>
      </c>
      <c r="J142" s="12">
        <v>40</v>
      </c>
      <c r="K142" s="12">
        <v>1</v>
      </c>
      <c r="L142" s="11">
        <f>_xll.qlRateHelperEarliestDate($E142,Trigger)</f>
        <v>41890</v>
      </c>
      <c r="M142" s="10">
        <f>_xll.qlRateHelperLatestDate($E142,Trigger)</f>
        <v>45177</v>
      </c>
    </row>
    <row r="143" spans="2:15" x14ac:dyDescent="0.2">
      <c r="B143" s="16" t="str">
        <f t="shared" si="9"/>
        <v>AB</v>
      </c>
      <c r="C143" s="15" t="str">
        <f t="shared" si="11"/>
        <v>1EBASIS</v>
      </c>
      <c r="D143" s="14" t="s">
        <v>24</v>
      </c>
      <c r="E143" s="14" t="str">
        <f>SwapsFromBasis!K18</f>
        <v>obj_006fc#0002</v>
      </c>
      <c r="F143" s="14" t="str">
        <f>_xll.qlRateHelperQuoteName(E143)</f>
        <v>EURAB1EBASIS10Y_Quote</v>
      </c>
      <c r="G143" s="13">
        <f>_xll.qlRateHelperQuoteValue($E143,Trigger)</f>
        <v>8.4199999999999987E-3</v>
      </c>
      <c r="H143" s="13">
        <f>_xll.qlSwapRateHelperSpread($E143,Trigger)</f>
        <v>0</v>
      </c>
      <c r="I143" s="12" t="b">
        <v>1</v>
      </c>
      <c r="J143" s="12">
        <v>40</v>
      </c>
      <c r="K143" s="12">
        <v>1</v>
      </c>
      <c r="L143" s="11">
        <f>_xll.qlRateHelperEarliestDate($E143,Trigger)</f>
        <v>41890</v>
      </c>
      <c r="M143" s="10">
        <f>_xll.qlRateHelperLatestDate($E143,Trigger)</f>
        <v>45544</v>
      </c>
    </row>
    <row r="144" spans="2:15" x14ac:dyDescent="0.2">
      <c r="B144" s="16" t="str">
        <f t="shared" si="9"/>
        <v>AB</v>
      </c>
      <c r="C144" s="15" t="str">
        <f t="shared" si="11"/>
        <v>1EBASIS</v>
      </c>
      <c r="D144" s="14" t="s">
        <v>23</v>
      </c>
      <c r="E144" s="14" t="str">
        <f>SwapsFromBasis!K19</f>
        <v>obj_00700#0002</v>
      </c>
      <c r="F144" s="14" t="str">
        <f>_xll.qlRateHelperQuoteName(E144)</f>
        <v>EURAB1EBASIS11Y_Quote</v>
      </c>
      <c r="G144" s="13">
        <f>_xll.qlRateHelperQuoteValue($E144,Trigger)</f>
        <v>9.5499999999999995E-3</v>
      </c>
      <c r="H144" s="13">
        <f>_xll.qlSwapRateHelperSpread($E144,Trigger)</f>
        <v>0</v>
      </c>
      <c r="I144" s="12" t="b">
        <v>0</v>
      </c>
      <c r="J144" s="12">
        <v>40</v>
      </c>
      <c r="K144" s="12">
        <v>1</v>
      </c>
      <c r="L144" s="11">
        <f>_xll.qlRateHelperEarliestDate($E144,Trigger)</f>
        <v>41890</v>
      </c>
      <c r="M144" s="10">
        <f>_xll.qlRateHelperLatestDate($E144,Trigger)</f>
        <v>45908</v>
      </c>
    </row>
    <row r="145" spans="2:13" x14ac:dyDescent="0.2">
      <c r="B145" s="16" t="str">
        <f t="shared" si="9"/>
        <v>AB</v>
      </c>
      <c r="C145" s="15" t="str">
        <f t="shared" si="11"/>
        <v>1EBASIS</v>
      </c>
      <c r="D145" s="14" t="s">
        <v>22</v>
      </c>
      <c r="E145" s="14" t="str">
        <f>SwapsFromBasis!K20</f>
        <v>obj_00702#0002</v>
      </c>
      <c r="F145" s="14" t="str">
        <f>_xll.qlRateHelperQuoteName(E145)</f>
        <v>EURAB1EBASIS12Y_Quote</v>
      </c>
      <c r="G145" s="13">
        <f>_xll.qlRateHelperQuoteValue($E145,Trigger)</f>
        <v>1.0579999999999999E-2</v>
      </c>
      <c r="H145" s="13">
        <f>_xll.qlSwapRateHelperSpread($E145,Trigger)</f>
        <v>0</v>
      </c>
      <c r="I145" s="12" t="b">
        <v>1</v>
      </c>
      <c r="J145" s="12">
        <v>40</v>
      </c>
      <c r="K145" s="12">
        <v>1</v>
      </c>
      <c r="L145" s="11">
        <f>_xll.qlRateHelperEarliestDate($E145,Trigger)</f>
        <v>41890</v>
      </c>
      <c r="M145" s="10">
        <f>_xll.qlRateHelperLatestDate($E145,Trigger)</f>
        <v>46273</v>
      </c>
    </row>
    <row r="146" spans="2:13" x14ac:dyDescent="0.2">
      <c r="B146" s="16" t="str">
        <f t="shared" si="9"/>
        <v>AB</v>
      </c>
      <c r="C146" s="15" t="str">
        <f t="shared" si="11"/>
        <v>1EBASIS</v>
      </c>
      <c r="D146" s="14" t="s">
        <v>21</v>
      </c>
      <c r="E146" s="14" t="str">
        <f>SwapsFromBasis!K21</f>
        <v>obj_00701#0002</v>
      </c>
      <c r="F146" s="14" t="str">
        <f>_xll.qlRateHelperQuoteName(E146)</f>
        <v>EURAB1EBASIS13Y_Quote</v>
      </c>
      <c r="G146" s="13" t="e">
        <f>_xll.qlRateHelperQuoteValue($E146,Trigger)</f>
        <v>#NUM!</v>
      </c>
      <c r="H146" s="13">
        <f>_xll.qlSwapRateHelperSpread($E146,Trigger)</f>
        <v>0</v>
      </c>
      <c r="I146" s="12" t="b">
        <v>0</v>
      </c>
      <c r="J146" s="12">
        <v>40</v>
      </c>
      <c r="K146" s="12">
        <v>1</v>
      </c>
      <c r="L146" s="11">
        <f>_xll.qlRateHelperEarliestDate($E146,Trigger)</f>
        <v>41890</v>
      </c>
      <c r="M146" s="10">
        <f>_xll.qlRateHelperLatestDate($E146,Trigger)</f>
        <v>46638</v>
      </c>
    </row>
    <row r="147" spans="2:13" x14ac:dyDescent="0.2">
      <c r="B147" s="16" t="str">
        <f t="shared" si="9"/>
        <v>AB</v>
      </c>
      <c r="C147" s="15" t="str">
        <f t="shared" si="11"/>
        <v>1EBASIS</v>
      </c>
      <c r="D147" s="14" t="s">
        <v>20</v>
      </c>
      <c r="E147" s="14" t="str">
        <f>SwapsFromBasis!K22</f>
        <v>obj_00703#0002</v>
      </c>
      <c r="F147" s="14" t="str">
        <f>_xll.qlRateHelperQuoteName(E147)</f>
        <v>EURAB1EBASIS14Y_Quote</v>
      </c>
      <c r="G147" s="13" t="e">
        <f>_xll.qlRateHelperQuoteValue($E147,Trigger)</f>
        <v>#NUM!</v>
      </c>
      <c r="H147" s="13">
        <f>_xll.qlSwapRateHelperSpread($E147,Trigger)</f>
        <v>0</v>
      </c>
      <c r="I147" s="12" t="b">
        <v>0</v>
      </c>
      <c r="J147" s="12">
        <v>40</v>
      </c>
      <c r="K147" s="12">
        <v>1</v>
      </c>
      <c r="L147" s="11">
        <f>_xll.qlRateHelperEarliestDate($E147,Trigger)</f>
        <v>41890</v>
      </c>
      <c r="M147" s="10">
        <f>_xll.qlRateHelperLatestDate($E147,Trigger)</f>
        <v>47004</v>
      </c>
    </row>
    <row r="148" spans="2:13" x14ac:dyDescent="0.2">
      <c r="B148" s="16" t="str">
        <f t="shared" si="9"/>
        <v>AB</v>
      </c>
      <c r="C148" s="15" t="str">
        <f t="shared" si="11"/>
        <v>1EBASIS</v>
      </c>
      <c r="D148" s="14" t="s">
        <v>19</v>
      </c>
      <c r="E148" s="14" t="str">
        <f>SwapsFromBasis!K23</f>
        <v>obj_00704#0002</v>
      </c>
      <c r="F148" s="14" t="str">
        <f>_xll.qlRateHelperQuoteName(E148)</f>
        <v>EURAB1EBASIS15Y_Quote</v>
      </c>
      <c r="G148" s="13">
        <f>_xll.qlRateHelperQuoteValue($E148,Trigger)</f>
        <v>1.2970000000000001E-2</v>
      </c>
      <c r="H148" s="13">
        <f>_xll.qlSwapRateHelperSpread($E148,Trigger)</f>
        <v>0</v>
      </c>
      <c r="I148" s="12" t="b">
        <v>1</v>
      </c>
      <c r="J148" s="12">
        <v>40</v>
      </c>
      <c r="K148" s="12">
        <v>1</v>
      </c>
      <c r="L148" s="11">
        <f>_xll.qlRateHelperEarliestDate($E148,Trigger)</f>
        <v>41890</v>
      </c>
      <c r="M148" s="10">
        <f>_xll.qlRateHelperLatestDate($E148,Trigger)</f>
        <v>47371</v>
      </c>
    </row>
    <row r="149" spans="2:13" x14ac:dyDescent="0.2">
      <c r="B149" s="16" t="str">
        <f t="shared" si="9"/>
        <v>AB</v>
      </c>
      <c r="C149" s="15" t="str">
        <f t="shared" si="11"/>
        <v>1EBASIS</v>
      </c>
      <c r="D149" s="14" t="s">
        <v>18</v>
      </c>
      <c r="E149" s="14" t="str">
        <f>SwapsFromBasis!K24</f>
        <v>obj_00705#0002</v>
      </c>
      <c r="F149" s="14" t="str">
        <f>_xll.qlRateHelperQuoteName(E149)</f>
        <v>EURAB1EBASIS16Y_Quote</v>
      </c>
      <c r="G149" s="13" t="e">
        <f>_xll.qlRateHelperQuoteValue($E149,Trigger)</f>
        <v>#NUM!</v>
      </c>
      <c r="H149" s="13">
        <f>_xll.qlSwapRateHelperSpread($E149,Trigger)</f>
        <v>0</v>
      </c>
      <c r="I149" s="12" t="b">
        <v>0</v>
      </c>
      <c r="J149" s="12">
        <v>40</v>
      </c>
      <c r="K149" s="12">
        <v>1</v>
      </c>
      <c r="L149" s="11">
        <f>_xll.qlRateHelperEarliestDate($E149,Trigger)</f>
        <v>41890</v>
      </c>
      <c r="M149" s="10">
        <f>_xll.qlRateHelperLatestDate($E149,Trigger)</f>
        <v>47735</v>
      </c>
    </row>
    <row r="150" spans="2:13" x14ac:dyDescent="0.2">
      <c r="B150" s="16" t="str">
        <f t="shared" si="9"/>
        <v>AB</v>
      </c>
      <c r="C150" s="15" t="str">
        <f t="shared" si="11"/>
        <v>1EBASIS</v>
      </c>
      <c r="D150" s="14" t="s">
        <v>17</v>
      </c>
      <c r="E150" s="14" t="str">
        <f>SwapsFromBasis!K25</f>
        <v>obj_00706#0002</v>
      </c>
      <c r="F150" s="14" t="str">
        <f>_xll.qlRateHelperQuoteName(E150)</f>
        <v>EURAB1EBASIS17Y_Quote</v>
      </c>
      <c r="G150" s="13" t="e">
        <f>_xll.qlRateHelperQuoteValue($E150,Trigger)</f>
        <v>#NUM!</v>
      </c>
      <c r="H150" s="13">
        <f>_xll.qlSwapRateHelperSpread($E150,Trigger)</f>
        <v>0</v>
      </c>
      <c r="I150" s="12" t="b">
        <v>0</v>
      </c>
      <c r="J150" s="12">
        <v>40</v>
      </c>
      <c r="K150" s="12">
        <v>1</v>
      </c>
      <c r="L150" s="11">
        <f>_xll.qlRateHelperEarliestDate($E150,Trigger)</f>
        <v>41890</v>
      </c>
      <c r="M150" s="10">
        <f>_xll.qlRateHelperLatestDate($E150,Trigger)</f>
        <v>48099</v>
      </c>
    </row>
    <row r="151" spans="2:13" x14ac:dyDescent="0.2">
      <c r="B151" s="16" t="str">
        <f t="shared" si="9"/>
        <v>AB</v>
      </c>
      <c r="C151" s="15" t="str">
        <f t="shared" si="11"/>
        <v>1EBASIS</v>
      </c>
      <c r="D151" s="14" t="s">
        <v>16</v>
      </c>
      <c r="E151" s="14" t="str">
        <f>SwapsFromBasis!K26</f>
        <v>obj_00707#0002</v>
      </c>
      <c r="F151" s="14" t="str">
        <f>_xll.qlRateHelperQuoteName(E151)</f>
        <v>EURAB1EBASIS18Y_Quote</v>
      </c>
      <c r="G151" s="13" t="e">
        <f>_xll.qlRateHelperQuoteValue($E151,Trigger)</f>
        <v>#NUM!</v>
      </c>
      <c r="H151" s="13">
        <f>_xll.qlSwapRateHelperSpread($E151,Trigger)</f>
        <v>0</v>
      </c>
      <c r="I151" s="12" t="b">
        <v>0</v>
      </c>
      <c r="J151" s="12">
        <v>40</v>
      </c>
      <c r="K151" s="12">
        <v>1</v>
      </c>
      <c r="L151" s="11">
        <f>_xll.qlRateHelperEarliestDate($E151,Trigger)</f>
        <v>41890</v>
      </c>
      <c r="M151" s="10">
        <f>_xll.qlRateHelperLatestDate($E151,Trigger)</f>
        <v>48465</v>
      </c>
    </row>
    <row r="152" spans="2:13" x14ac:dyDescent="0.2">
      <c r="B152" s="16" t="str">
        <f t="shared" si="9"/>
        <v>AB</v>
      </c>
      <c r="C152" s="15" t="str">
        <f t="shared" si="11"/>
        <v>1EBASIS</v>
      </c>
      <c r="D152" s="14" t="s">
        <v>15</v>
      </c>
      <c r="E152" s="14" t="str">
        <f>SwapsFromBasis!K27</f>
        <v>obj_00708#0002</v>
      </c>
      <c r="F152" s="14" t="str">
        <f>_xll.qlRateHelperQuoteName(E152)</f>
        <v>EURAB1EBASIS19Y_Quote</v>
      </c>
      <c r="G152" s="13" t="e">
        <f>_xll.qlRateHelperQuoteValue($E152,Trigger)</f>
        <v>#NUM!</v>
      </c>
      <c r="H152" s="13">
        <f>_xll.qlSwapRateHelperSpread($E152,Trigger)</f>
        <v>0</v>
      </c>
      <c r="I152" s="12" t="b">
        <v>0</v>
      </c>
      <c r="J152" s="12">
        <v>40</v>
      </c>
      <c r="K152" s="12">
        <v>1</v>
      </c>
      <c r="L152" s="11">
        <f>_xll.qlRateHelperEarliestDate($E152,Trigger)</f>
        <v>41890</v>
      </c>
      <c r="M152" s="10">
        <f>_xll.qlRateHelperLatestDate($E152,Trigger)</f>
        <v>48830</v>
      </c>
    </row>
    <row r="153" spans="2:13" x14ac:dyDescent="0.2">
      <c r="B153" s="16" t="str">
        <f t="shared" si="9"/>
        <v>AB</v>
      </c>
      <c r="C153" s="15" t="str">
        <f t="shared" si="11"/>
        <v>1EBASIS</v>
      </c>
      <c r="D153" s="14" t="s">
        <v>14</v>
      </c>
      <c r="E153" s="14" t="str">
        <f>SwapsFromBasis!K28</f>
        <v>obj_00709#0002</v>
      </c>
      <c r="F153" s="14" t="str">
        <f>_xll.qlRateHelperQuoteName(E153)</f>
        <v>EURAB1EBASIS20Y_Quote</v>
      </c>
      <c r="G153" s="13">
        <f>_xll.qlRateHelperQuoteValue($E153,Trigger)</f>
        <v>1.5279999999999998E-2</v>
      </c>
      <c r="H153" s="13">
        <f>_xll.qlSwapRateHelperSpread($E153,Trigger)</f>
        <v>0</v>
      </c>
      <c r="I153" s="12" t="b">
        <v>1</v>
      </c>
      <c r="J153" s="12">
        <v>40</v>
      </c>
      <c r="K153" s="12">
        <v>1</v>
      </c>
      <c r="L153" s="11">
        <f>_xll.qlRateHelperEarliestDate($E153,Trigger)</f>
        <v>41890</v>
      </c>
      <c r="M153" s="10">
        <f>_xll.qlRateHelperLatestDate($E153,Trigger)</f>
        <v>49195</v>
      </c>
    </row>
    <row r="154" spans="2:13" x14ac:dyDescent="0.2">
      <c r="B154" s="16" t="str">
        <f t="shared" si="9"/>
        <v>AB</v>
      </c>
      <c r="C154" s="15" t="str">
        <f t="shared" si="11"/>
        <v>1EBASIS</v>
      </c>
      <c r="D154" s="14" t="s">
        <v>13</v>
      </c>
      <c r="E154" s="14" t="str">
        <f>SwapsFromBasis!K29</f>
        <v>obj_0070a#0002</v>
      </c>
      <c r="F154" s="14" t="str">
        <f>_xll.qlRateHelperQuoteName(E154)</f>
        <v>EURAB1EBASIS21Y_Quote</v>
      </c>
      <c r="G154" s="13" t="e">
        <f>_xll.qlRateHelperQuoteValue($E154,Trigger)</f>
        <v>#NUM!</v>
      </c>
      <c r="H154" s="13">
        <f>_xll.qlSwapRateHelperSpread($E154,Trigger)</f>
        <v>0</v>
      </c>
      <c r="I154" s="12" t="b">
        <v>0</v>
      </c>
      <c r="J154" s="12">
        <v>40</v>
      </c>
      <c r="K154" s="12">
        <v>1</v>
      </c>
      <c r="L154" s="11">
        <f>_xll.qlRateHelperEarliestDate($E154,Trigger)</f>
        <v>41890</v>
      </c>
      <c r="M154" s="10">
        <f>_xll.qlRateHelperLatestDate($E154,Trigger)</f>
        <v>49562</v>
      </c>
    </row>
    <row r="155" spans="2:13" x14ac:dyDescent="0.2">
      <c r="B155" s="16" t="str">
        <f t="shared" si="9"/>
        <v>AB</v>
      </c>
      <c r="C155" s="15" t="str">
        <f t="shared" si="11"/>
        <v>1EBASIS</v>
      </c>
      <c r="D155" s="14" t="s">
        <v>12</v>
      </c>
      <c r="E155" s="14" t="str">
        <f>SwapsFromBasis!K30</f>
        <v>obj_0070b#0002</v>
      </c>
      <c r="F155" s="14" t="str">
        <f>_xll.qlRateHelperQuoteName(E155)</f>
        <v>EURAB1EBASIS22Y_Quote</v>
      </c>
      <c r="G155" s="13" t="e">
        <f>_xll.qlRateHelperQuoteValue($E155,Trigger)</f>
        <v>#NUM!</v>
      </c>
      <c r="H155" s="13">
        <f>_xll.qlSwapRateHelperSpread($E155,Trigger)</f>
        <v>0</v>
      </c>
      <c r="I155" s="12" t="b">
        <v>0</v>
      </c>
      <c r="J155" s="12">
        <v>40</v>
      </c>
      <c r="K155" s="12">
        <v>1</v>
      </c>
      <c r="L155" s="11">
        <f>_xll.qlRateHelperEarliestDate($E155,Trigger)</f>
        <v>41890</v>
      </c>
      <c r="M155" s="10">
        <f>_xll.qlRateHelperLatestDate($E155,Trigger)</f>
        <v>49926</v>
      </c>
    </row>
    <row r="156" spans="2:13" x14ac:dyDescent="0.2">
      <c r="B156" s="16" t="str">
        <f t="shared" si="9"/>
        <v>AB</v>
      </c>
      <c r="C156" s="15" t="str">
        <f t="shared" si="11"/>
        <v>1EBASIS</v>
      </c>
      <c r="D156" s="14" t="s">
        <v>11</v>
      </c>
      <c r="E156" s="14" t="str">
        <f>SwapsFromBasis!K31</f>
        <v>obj_0070c#0002</v>
      </c>
      <c r="F156" s="14" t="str">
        <f>_xll.qlRateHelperQuoteName(E156)</f>
        <v>EURAB1EBASIS23Y_Quote</v>
      </c>
      <c r="G156" s="13" t="e">
        <f>_xll.qlRateHelperQuoteValue($E156,Trigger)</f>
        <v>#NUM!</v>
      </c>
      <c r="H156" s="13">
        <f>_xll.qlSwapRateHelperSpread($E156,Trigger)</f>
        <v>0</v>
      </c>
      <c r="I156" s="12" t="b">
        <v>0</v>
      </c>
      <c r="J156" s="12">
        <v>40</v>
      </c>
      <c r="K156" s="12">
        <v>1</v>
      </c>
      <c r="L156" s="11">
        <f>_xll.qlRateHelperEarliestDate($E156,Trigger)</f>
        <v>41890</v>
      </c>
      <c r="M156" s="10">
        <f>_xll.qlRateHelperLatestDate($E156,Trigger)</f>
        <v>50291</v>
      </c>
    </row>
    <row r="157" spans="2:13" x14ac:dyDescent="0.2">
      <c r="B157" s="16" t="str">
        <f t="shared" si="9"/>
        <v>AB</v>
      </c>
      <c r="C157" s="15" t="str">
        <f t="shared" si="11"/>
        <v>1EBASIS</v>
      </c>
      <c r="D157" s="14" t="s">
        <v>10</v>
      </c>
      <c r="E157" s="14" t="str">
        <f>SwapsFromBasis!K32</f>
        <v>obj_0070d#0002</v>
      </c>
      <c r="F157" s="14" t="str">
        <f>_xll.qlRateHelperQuoteName(E157)</f>
        <v>EURAB1EBASIS24Y_Quote</v>
      </c>
      <c r="G157" s="13" t="e">
        <f>_xll.qlRateHelperQuoteValue($E157,Trigger)</f>
        <v>#NUM!</v>
      </c>
      <c r="H157" s="13">
        <f>_xll.qlSwapRateHelperSpread($E157,Trigger)</f>
        <v>0</v>
      </c>
      <c r="I157" s="12" t="b">
        <v>0</v>
      </c>
      <c r="J157" s="12">
        <v>40</v>
      </c>
      <c r="K157" s="12">
        <v>1</v>
      </c>
      <c r="L157" s="11">
        <f>_xll.qlRateHelperEarliestDate($E157,Trigger)</f>
        <v>41890</v>
      </c>
      <c r="M157" s="10">
        <f>_xll.qlRateHelperLatestDate($E157,Trigger)</f>
        <v>50656</v>
      </c>
    </row>
    <row r="158" spans="2:13" x14ac:dyDescent="0.2">
      <c r="B158" s="16" t="str">
        <f t="shared" ref="B158:B167" si="12">SwapFixedFreq</f>
        <v>AB</v>
      </c>
      <c r="C158" s="15" t="str">
        <f t="shared" si="11"/>
        <v>1EBASIS</v>
      </c>
      <c r="D158" s="14" t="s">
        <v>9</v>
      </c>
      <c r="E158" s="14" t="str">
        <f>SwapsFromBasis!K33</f>
        <v>obj_0070e#0002</v>
      </c>
      <c r="F158" s="14" t="str">
        <f>_xll.qlRateHelperQuoteName(E158)</f>
        <v>EURAB1EBASIS25Y_Quote</v>
      </c>
      <c r="G158" s="13">
        <f>_xll.qlRateHelperQuoteValue($E158,Trigger)</f>
        <v>1.6480000000000002E-2</v>
      </c>
      <c r="H158" s="13">
        <f>_xll.qlSwapRateHelperSpread($E158,Trigger)</f>
        <v>0</v>
      </c>
      <c r="I158" s="12" t="b">
        <v>1</v>
      </c>
      <c r="J158" s="12">
        <v>40</v>
      </c>
      <c r="K158" s="12">
        <v>1</v>
      </c>
      <c r="L158" s="11">
        <f>_xll.qlRateHelperEarliestDate($E158,Trigger)</f>
        <v>41890</v>
      </c>
      <c r="M158" s="10">
        <f>_xll.qlRateHelperLatestDate($E158,Trigger)</f>
        <v>51021</v>
      </c>
    </row>
    <row r="159" spans="2:13" x14ac:dyDescent="0.2">
      <c r="B159" s="16" t="str">
        <f t="shared" si="12"/>
        <v>AB</v>
      </c>
      <c r="C159" s="15" t="str">
        <f t="shared" si="11"/>
        <v>1EBASIS</v>
      </c>
      <c r="D159" s="14" t="s">
        <v>8</v>
      </c>
      <c r="E159" s="14" t="str">
        <f>SwapsFromBasis!K34</f>
        <v>obj_0070f#0002</v>
      </c>
      <c r="F159" s="14" t="str">
        <f>_xll.qlRateHelperQuoteName(E159)</f>
        <v>EURAB1EBASIS26Y_Quote</v>
      </c>
      <c r="G159" s="13" t="e">
        <f>_xll.qlRateHelperQuoteValue($E159,Trigger)</f>
        <v>#NUM!</v>
      </c>
      <c r="H159" s="13">
        <f>_xll.qlSwapRateHelperSpread($E159,Trigger)</f>
        <v>0</v>
      </c>
      <c r="I159" s="12" t="b">
        <v>0</v>
      </c>
      <c r="J159" s="12">
        <v>40</v>
      </c>
      <c r="K159" s="12">
        <v>1</v>
      </c>
      <c r="L159" s="11">
        <f>_xll.qlRateHelperEarliestDate($E159,Trigger)</f>
        <v>41890</v>
      </c>
      <c r="M159" s="10">
        <f>_xll.qlRateHelperLatestDate($E159,Trigger)</f>
        <v>51389</v>
      </c>
    </row>
    <row r="160" spans="2:13" x14ac:dyDescent="0.2">
      <c r="B160" s="16" t="str">
        <f t="shared" si="12"/>
        <v>AB</v>
      </c>
      <c r="C160" s="15" t="str">
        <f t="shared" si="11"/>
        <v>1EBASIS</v>
      </c>
      <c r="D160" s="14" t="s">
        <v>7</v>
      </c>
      <c r="E160" s="14" t="str">
        <f>SwapsFromBasis!K35</f>
        <v>obj_00710#0002</v>
      </c>
      <c r="F160" s="14" t="str">
        <f>_xll.qlRateHelperQuoteName(E160)</f>
        <v>EURAB1EBASIS27Y_Quote</v>
      </c>
      <c r="G160" s="13" t="e">
        <f>_xll.qlRateHelperQuoteValue($E160,Trigger)</f>
        <v>#NUM!</v>
      </c>
      <c r="H160" s="13">
        <f>_xll.qlSwapRateHelperSpread($E160,Trigger)</f>
        <v>0</v>
      </c>
      <c r="I160" s="12" t="b">
        <v>0</v>
      </c>
      <c r="J160" s="12">
        <v>40</v>
      </c>
      <c r="K160" s="12">
        <v>1</v>
      </c>
      <c r="L160" s="11">
        <f>_xll.qlRateHelperEarliestDate($E160,Trigger)</f>
        <v>41890</v>
      </c>
      <c r="M160" s="10">
        <f>_xll.qlRateHelperLatestDate($E160,Trigger)</f>
        <v>51753</v>
      </c>
    </row>
    <row r="161" spans="2:13" x14ac:dyDescent="0.2">
      <c r="B161" s="16" t="str">
        <f t="shared" si="12"/>
        <v>AB</v>
      </c>
      <c r="C161" s="15" t="str">
        <f t="shared" si="11"/>
        <v>1EBASIS</v>
      </c>
      <c r="D161" s="14" t="s">
        <v>6</v>
      </c>
      <c r="E161" s="14" t="str">
        <f>SwapsFromBasis!K36</f>
        <v>obj_00711#0002</v>
      </c>
      <c r="F161" s="14" t="str">
        <f>_xll.qlRateHelperQuoteName(E161)</f>
        <v>EURAB1EBASIS28Y_Quote</v>
      </c>
      <c r="G161" s="13" t="e">
        <f>_xll.qlRateHelperQuoteValue($E161,Trigger)</f>
        <v>#NUM!</v>
      </c>
      <c r="H161" s="13">
        <f>_xll.qlSwapRateHelperSpread($E161,Trigger)</f>
        <v>0</v>
      </c>
      <c r="I161" s="12" t="b">
        <v>0</v>
      </c>
      <c r="J161" s="12">
        <v>40</v>
      </c>
      <c r="K161" s="12">
        <v>1</v>
      </c>
      <c r="L161" s="11">
        <f>_xll.qlRateHelperEarliestDate($E161,Trigger)</f>
        <v>41890</v>
      </c>
      <c r="M161" s="10">
        <f>_xll.qlRateHelperLatestDate($E161,Trigger)</f>
        <v>52117</v>
      </c>
    </row>
    <row r="162" spans="2:13" x14ac:dyDescent="0.2">
      <c r="B162" s="16" t="str">
        <f t="shared" si="12"/>
        <v>AB</v>
      </c>
      <c r="C162" s="15" t="str">
        <f t="shared" si="11"/>
        <v>1EBASIS</v>
      </c>
      <c r="D162" s="14" t="s">
        <v>5</v>
      </c>
      <c r="E162" s="14" t="str">
        <f>SwapsFromBasis!K37</f>
        <v>obj_00712#0002</v>
      </c>
      <c r="F162" s="14" t="str">
        <f>_xll.qlRateHelperQuoteName(E162)</f>
        <v>EURAB1EBASIS29Y_Quote</v>
      </c>
      <c r="G162" s="13" t="e">
        <f>_xll.qlRateHelperQuoteValue($E162,Trigger)</f>
        <v>#NUM!</v>
      </c>
      <c r="H162" s="13">
        <f>_xll.qlSwapRateHelperSpread($E162,Trigger)</f>
        <v>0</v>
      </c>
      <c r="I162" s="12" t="b">
        <v>0</v>
      </c>
      <c r="J162" s="12">
        <v>40</v>
      </c>
      <c r="K162" s="12">
        <v>1</v>
      </c>
      <c r="L162" s="11">
        <f>_xll.qlRateHelperEarliestDate($E162,Trigger)</f>
        <v>41890</v>
      </c>
      <c r="M162" s="10">
        <f>_xll.qlRateHelperLatestDate($E162,Trigger)</f>
        <v>52482</v>
      </c>
    </row>
    <row r="163" spans="2:13" x14ac:dyDescent="0.2">
      <c r="B163" s="16" t="str">
        <f t="shared" si="12"/>
        <v>AB</v>
      </c>
      <c r="C163" s="15" t="str">
        <f t="shared" si="11"/>
        <v>1EBASIS</v>
      </c>
      <c r="D163" s="14" t="s">
        <v>4</v>
      </c>
      <c r="E163" s="14" t="str">
        <f>SwapsFromBasis!K38</f>
        <v>obj_00713#0002</v>
      </c>
      <c r="F163" s="14" t="str">
        <f>_xll.qlRateHelperQuoteName(E163)</f>
        <v>EURAB1EBASIS30Y_Quote</v>
      </c>
      <c r="G163" s="13">
        <f>_xll.qlRateHelperQuoteValue($E163,Trigger)</f>
        <v>1.7180000000000001E-2</v>
      </c>
      <c r="H163" s="13">
        <f>_xll.qlSwapRateHelperSpread($E163,Trigger)</f>
        <v>0</v>
      </c>
      <c r="I163" s="12" t="b">
        <v>1</v>
      </c>
      <c r="J163" s="12">
        <v>40</v>
      </c>
      <c r="K163" s="12">
        <v>1</v>
      </c>
      <c r="L163" s="11">
        <f>_xll.qlRateHelperEarliestDate($E163,Trigger)</f>
        <v>41890</v>
      </c>
      <c r="M163" s="10">
        <f>_xll.qlRateHelperLatestDate($E163,Trigger)</f>
        <v>52848</v>
      </c>
    </row>
    <row r="164" spans="2:13" x14ac:dyDescent="0.2">
      <c r="B164" s="16" t="str">
        <f t="shared" si="12"/>
        <v>AB</v>
      </c>
      <c r="C164" s="15" t="str">
        <f t="shared" si="11"/>
        <v>1EBASIS</v>
      </c>
      <c r="D164" s="14" t="s">
        <v>3</v>
      </c>
      <c r="E164" s="14" t="str">
        <f>SwapsFromBasis!K39</f>
        <v>obj_00714#0002</v>
      </c>
      <c r="F164" s="14" t="str">
        <f>_xll.qlRateHelperQuoteName(E164)</f>
        <v>EURAB1EBASIS35Y_Quote</v>
      </c>
      <c r="G164" s="13" t="e">
        <f>_xll.qlRateHelperQuoteValue($E164,Trigger)</f>
        <v>#NUM!</v>
      </c>
      <c r="H164" s="13">
        <f>_xll.qlSwapRateHelperSpread($E164,Trigger)</f>
        <v>0</v>
      </c>
      <c r="I164" s="12" t="b">
        <v>0</v>
      </c>
      <c r="J164" s="12">
        <v>40</v>
      </c>
      <c r="K164" s="12">
        <v>1</v>
      </c>
      <c r="L164" s="11">
        <f>_xll.qlRateHelperEarliestDate($E164,Trigger)</f>
        <v>41890</v>
      </c>
      <c r="M164" s="10">
        <f>_xll.qlRateHelperLatestDate($E164,Trigger)</f>
        <v>54674</v>
      </c>
    </row>
    <row r="165" spans="2:13" x14ac:dyDescent="0.2">
      <c r="B165" s="16" t="str">
        <f t="shared" si="12"/>
        <v>AB</v>
      </c>
      <c r="C165" s="15" t="str">
        <f t="shared" si="11"/>
        <v>1EBASIS</v>
      </c>
      <c r="D165" s="14" t="s">
        <v>2</v>
      </c>
      <c r="E165" s="14" t="str">
        <f>SwapsFromBasis!K40</f>
        <v>obj_00715#0002</v>
      </c>
      <c r="F165" s="14" t="str">
        <f>_xll.qlRateHelperQuoteName(E165)</f>
        <v>EURAB1EBASIS40Y_Quote</v>
      </c>
      <c r="G165" s="13">
        <f>_xll.qlRateHelperQuoteValue($E165,Trigger)</f>
        <v>1.8089999999999998E-2</v>
      </c>
      <c r="H165" s="13">
        <f>_xll.qlSwapRateHelperSpread($E165,Trigger)</f>
        <v>0</v>
      </c>
      <c r="I165" s="12" t="b">
        <v>1</v>
      </c>
      <c r="J165" s="12">
        <v>40</v>
      </c>
      <c r="K165" s="12">
        <v>1</v>
      </c>
      <c r="L165" s="11">
        <f>_xll.qlRateHelperEarliestDate($E165,Trigger)</f>
        <v>41890</v>
      </c>
      <c r="M165" s="10">
        <f>_xll.qlRateHelperLatestDate($E165,Trigger)</f>
        <v>56500</v>
      </c>
    </row>
    <row r="166" spans="2:13" x14ac:dyDescent="0.2">
      <c r="B166" s="16" t="str">
        <f t="shared" si="12"/>
        <v>AB</v>
      </c>
      <c r="C166" s="15" t="str">
        <f t="shared" si="11"/>
        <v>1EBASIS</v>
      </c>
      <c r="D166" s="14" t="s">
        <v>1</v>
      </c>
      <c r="E166" s="14" t="str">
        <f>SwapsFromBasis!K41</f>
        <v>obj_00716#0002</v>
      </c>
      <c r="F166" s="14" t="str">
        <f>_xll.qlRateHelperQuoteName(E166)</f>
        <v>EURAB1EBASIS50Y_Quote</v>
      </c>
      <c r="G166" s="13">
        <f>_xll.qlRateHelperQuoteValue($E166,Trigger)</f>
        <v>1.847E-2</v>
      </c>
      <c r="H166" s="13">
        <f>_xll.qlSwapRateHelperSpread($E166,Trigger)</f>
        <v>0</v>
      </c>
      <c r="I166" s="12" t="b">
        <v>1</v>
      </c>
      <c r="J166" s="12">
        <v>40</v>
      </c>
      <c r="K166" s="12">
        <v>1</v>
      </c>
      <c r="L166" s="11">
        <f>_xll.qlRateHelperEarliestDate($E166,Trigger)</f>
        <v>41890</v>
      </c>
      <c r="M166" s="10">
        <f>_xll.qlRateHelperLatestDate($E166,Trigger)</f>
        <v>60153</v>
      </c>
    </row>
    <row r="167" spans="2:13" x14ac:dyDescent="0.2">
      <c r="B167" s="9" t="str">
        <f t="shared" si="12"/>
        <v>AB</v>
      </c>
      <c r="C167" s="8" t="str">
        <f t="shared" si="11"/>
        <v>1EBASIS</v>
      </c>
      <c r="D167" s="7" t="s">
        <v>0</v>
      </c>
      <c r="E167" s="7" t="str">
        <f>SwapsFromBasis!K42</f>
        <v>obj_00717#0002</v>
      </c>
      <c r="F167" s="14" t="str">
        <f>_xll.qlRateHelperQuoteName(E167)</f>
        <v>EURAB1EBASIS60Y_Quote</v>
      </c>
      <c r="G167" s="6">
        <f>_xll.qlRateHelperQuoteValue($E167,Trigger)</f>
        <v>1.8699999999999998E-2</v>
      </c>
      <c r="H167" s="6">
        <f>_xll.qlSwapRateHelperSpread($E167,Trigger)</f>
        <v>0</v>
      </c>
      <c r="I167" s="5" t="b">
        <v>1</v>
      </c>
      <c r="J167" s="5">
        <v>40</v>
      </c>
      <c r="K167" s="5">
        <v>1</v>
      </c>
      <c r="L167" s="4">
        <f>_xll.qlRateHelperEarliestDate($E167,Trigger)</f>
        <v>41890</v>
      </c>
      <c r="M167" s="3">
        <f>_xll.qlRateHelperLatestDate($E167,Trigger)</f>
        <v>63807</v>
      </c>
    </row>
    <row r="168" spans="2:13" x14ac:dyDescent="0.2">
      <c r="F168" s="247"/>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32" bestFit="1" customWidth="1"/>
    <col min="2" max="2" width="9" style="32" bestFit="1" customWidth="1"/>
    <col min="3" max="3" width="3.5703125" style="32" customWidth="1"/>
    <col min="4" max="4" width="24.42578125" style="33" hidden="1" customWidth="1"/>
    <col min="5" max="5" width="24.42578125" style="33" customWidth="1"/>
    <col min="6" max="6" width="9" style="33" bestFit="1" customWidth="1"/>
    <col min="7" max="7" width="8" style="33" bestFit="1" customWidth="1"/>
    <col min="8" max="9" width="17.28515625" style="33" bestFit="1" customWidth="1"/>
    <col min="10" max="10" width="12" style="32" bestFit="1" customWidth="1"/>
    <col min="11" max="11" width="3.5703125" style="32" customWidth="1"/>
    <col min="12" max="16384" width="9.140625" style="32"/>
  </cols>
  <sheetData>
    <row r="1" spans="1:10" ht="12" thickBot="1" x14ac:dyDescent="0.25">
      <c r="A1" s="258" t="s">
        <v>80</v>
      </c>
      <c r="B1" s="259"/>
      <c r="D1" s="235" t="s">
        <v>79</v>
      </c>
      <c r="E1" s="49" t="s">
        <v>191</v>
      </c>
      <c r="F1" s="48" t="s">
        <v>78</v>
      </c>
      <c r="G1" s="48"/>
      <c r="H1" s="48" t="s">
        <v>64</v>
      </c>
      <c r="I1" s="47" t="s">
        <v>63</v>
      </c>
      <c r="J1" s="34">
        <f t="array" ref="J1:J126">_xll.qlPiecewiseYieldCurveData(YieldCurve)</f>
        <v>1</v>
      </c>
    </row>
    <row r="2" spans="1:10" x14ac:dyDescent="0.2">
      <c r="A2" s="46" t="s">
        <v>77</v>
      </c>
      <c r="B2" s="45">
        <v>8</v>
      </c>
      <c r="D2" s="42" t="str">
        <f t="array" ref="D2:D126">_xll.qlRateHelperSelection(_xll.ohFilter(RateHelpers,RateHelpersIncluded),_xll.ohFilter(RateHelpersPriority,RateHelpersIncluded),nIMMFutures,nSerialFutures,FrontFuturesRollingDays,DepoInclusionCriteria,_xll.ohFilter(MinDistance,RateHelpersIncluded),Trigger)</f>
        <v>obj_00723</v>
      </c>
      <c r="E2" s="42" t="str">
        <f>_xll.qlRateHelperQuoteName(D2)</f>
        <v>EURSND_SYNTH1M_Quote</v>
      </c>
      <c r="F2" s="41">
        <f>_xll.qlRateHelperRate($D2)</f>
        <v>1.6670000000000001E-3</v>
      </c>
      <c r="G2" s="41" t="str">
        <f>IF(ISERROR(_xll.qlSwapRateHelperSpread($D2)),IF(ISERROR(_xll.qlFuturesRateHelperConvexityAdjustment($D2)),"--",_xll.qlFuturesRateHelperConvexityAdjustment($D2)),_xll.qlSwapRateHelperSpread($D2))</f>
        <v>--</v>
      </c>
      <c r="H2" s="40">
        <f>_xll.qlRateHelperEarliestDate($D2)</f>
        <v>41890</v>
      </c>
      <c r="I2" s="39">
        <f>_xll.qlRateHelperLatestDate($D2)</f>
        <v>41891</v>
      </c>
      <c r="J2" s="34">
        <v>0.9999953694658863</v>
      </c>
    </row>
    <row r="3" spans="1:10" x14ac:dyDescent="0.2">
      <c r="A3" s="43" t="s">
        <v>76</v>
      </c>
      <c r="B3" s="44">
        <v>1</v>
      </c>
      <c r="D3" s="42" t="str">
        <v>obj_00725</v>
      </c>
      <c r="E3" s="42" t="str">
        <f>_xll.qlRateHelperQuoteName(D3)</f>
        <v>EURSWD_SYNTH1M_Quote</v>
      </c>
      <c r="F3" s="41">
        <f>_xll.qlRateHelperRate($D3)</f>
        <v>9.1200000000000005E-4</v>
      </c>
      <c r="G3" s="41" t="str">
        <f>IF(ISERROR(_xll.qlSwapRateHelperSpread($D3)),IF(ISERROR(_xll.qlFuturesRateHelperConvexityAdjustment($D3)),"--",_xll.qlFuturesRateHelperConvexityAdjustment($D3)),_xll.qlSwapRateHelperSpread($D3))</f>
        <v>--</v>
      </c>
      <c r="H3" s="40">
        <f>_xll.qlRateHelperEarliestDate($D3)</f>
        <v>41890</v>
      </c>
      <c r="I3" s="39">
        <f>_xll.qlRateHelperLatestDate($D3)</f>
        <v>41897</v>
      </c>
      <c r="J3" s="34">
        <v>0.99998226698113224</v>
      </c>
    </row>
    <row r="4" spans="1:10" x14ac:dyDescent="0.2">
      <c r="A4" s="43" t="s">
        <v>75</v>
      </c>
      <c r="B4" s="44">
        <v>2</v>
      </c>
      <c r="D4" s="42" t="str">
        <v>obj_00727</v>
      </c>
      <c r="E4" s="42" t="str">
        <f>_xll.qlRateHelperQuoteName(D4)</f>
        <v>EUR2WD_SYNTH1M_Quote</v>
      </c>
      <c r="F4" s="41">
        <f>_xll.qlRateHelperRate($D4)</f>
        <v>7.9799999999999999E-4</v>
      </c>
      <c r="G4" s="41" t="str">
        <f>IF(ISERROR(_xll.qlSwapRateHelperSpread($D4)),IF(ISERROR(_xll.qlFuturesRateHelperConvexityAdjustment($D4)),"--",_xll.qlFuturesRateHelperConvexityAdjustment($D4)),_xll.qlSwapRateHelperSpread($D4))</f>
        <v>--</v>
      </c>
      <c r="H4" s="40">
        <f>_xll.qlRateHelperEarliestDate($D4)</f>
        <v>41890</v>
      </c>
      <c r="I4" s="39">
        <f>_xll.qlRateHelperLatestDate($D4)</f>
        <v>41904</v>
      </c>
      <c r="J4" s="34">
        <v>0.99996896762958498</v>
      </c>
    </row>
    <row r="5" spans="1:10" ht="12" thickBot="1" x14ac:dyDescent="0.25">
      <c r="A5" s="248" t="s">
        <v>74</v>
      </c>
      <c r="B5" s="249" t="s">
        <v>73</v>
      </c>
      <c r="D5" s="42" t="str">
        <v>obj_00724</v>
      </c>
      <c r="E5" s="42" t="str">
        <f>_xll.qlRateHelperQuoteName(D5)</f>
        <v>EUR3WD_SYNTH1M_Quote</v>
      </c>
      <c r="F5" s="41">
        <f>_xll.qlRateHelperRate($D5)</f>
        <v>6.5399999999999996E-4</v>
      </c>
      <c r="G5" s="41" t="str">
        <f>IF(ISERROR(_xll.qlSwapRateHelperSpread($D5)),IF(ISERROR(_xll.qlFuturesRateHelperConvexityAdjustment($D5)),"--",_xll.qlFuturesRateHelperConvexityAdjustment($D5)),_xll.qlSwapRateHelperSpread($D5))</f>
        <v>--</v>
      </c>
      <c r="H5" s="40">
        <f>_xll.qlRateHelperEarliestDate($D5)</f>
        <v>41890</v>
      </c>
      <c r="I5" s="39">
        <f>_xll.qlRateHelperLatestDate($D5)</f>
        <v>41911</v>
      </c>
      <c r="J5" s="34">
        <v>0.99996185145536698</v>
      </c>
    </row>
    <row r="6" spans="1:10" x14ac:dyDescent="0.2">
      <c r="D6" s="42" t="str">
        <v>obj_00726</v>
      </c>
      <c r="E6" s="42" t="str">
        <f>_xll.qlRateHelperQuoteName(D6)</f>
        <v>EUR1MD_SYNTH1M_Quote</v>
      </c>
      <c r="F6" s="41">
        <f>_xll.qlRateHelperRate($D6)</f>
        <v>5.9000000000000003E-4</v>
      </c>
      <c r="G6" s="41" t="str">
        <f>IF(ISERROR(_xll.qlSwapRateHelperSpread($D6)),IF(ISERROR(_xll.qlFuturesRateHelperConvexityAdjustment($D6)),"--",_xll.qlFuturesRateHelperConvexityAdjustment($D6)),_xll.qlSwapRateHelperSpread($D6))</f>
        <v>--</v>
      </c>
      <c r="H6" s="40">
        <f>_xll.qlRateHelperEarliestDate($D6)</f>
        <v>41890</v>
      </c>
      <c r="I6" s="39">
        <f>_xll.qlRateHelperLatestDate($D6)</f>
        <v>41920</v>
      </c>
      <c r="J6" s="34">
        <v>0.99995083575057575</v>
      </c>
    </row>
    <row r="7" spans="1:10" x14ac:dyDescent="0.2">
      <c r="D7" s="42" t="str">
        <v>obj_00721</v>
      </c>
      <c r="E7" s="42" t="str">
        <f>_xll.qlRateHelperQuoteName(D7)</f>
        <v>EUR2X1S_Quote</v>
      </c>
      <c r="F7" s="41">
        <f>_xll.qlRateHelperRate($D7)</f>
        <v>2.1999999999999998E-4</v>
      </c>
      <c r="G7" s="41">
        <f>IF(ISERROR(_xll.qlSwapRateHelperSpread($D7)),IF(ISERROR(_xll.qlFuturesRateHelperConvexityAdjustment($D7)),"--",_xll.qlFuturesRateHelperConvexityAdjustment($D7)),_xll.qlSwapRateHelperSpread($D7))</f>
        <v>0</v>
      </c>
      <c r="H7" s="40">
        <f>_xll.qlRateHelperEarliestDate($D7)</f>
        <v>41890</v>
      </c>
      <c r="I7" s="39">
        <f>_xll.qlRateHelperLatestDate($D7)</f>
        <v>41953</v>
      </c>
      <c r="J7" s="34">
        <v>0.99996149867154427</v>
      </c>
    </row>
    <row r="8" spans="1:10" x14ac:dyDescent="0.2">
      <c r="D8" s="42" t="str">
        <v>obj_0071f</v>
      </c>
      <c r="E8" s="42" t="str">
        <f>_xll.qlRateHelperQuoteName(D8)</f>
        <v>EUR3X1S_Quote</v>
      </c>
      <c r="F8" s="41">
        <f>_xll.qlRateHelperRate($D8)</f>
        <v>1.4000000000000001E-4</v>
      </c>
      <c r="G8" s="41">
        <f>IF(ISERROR(_xll.qlSwapRateHelperSpread($D8)),IF(ISERROR(_xll.qlFuturesRateHelperConvexityAdjustment($D8)),"--",_xll.qlFuturesRateHelperConvexityAdjustment($D8)),_xll.qlSwapRateHelperSpread($D8))</f>
        <v>0</v>
      </c>
      <c r="H8" s="40">
        <f>_xll.qlRateHelperEarliestDate($D8)</f>
        <v>41890</v>
      </c>
      <c r="I8" s="39">
        <f>_xll.qlRateHelperLatestDate($D8)</f>
        <v>41981</v>
      </c>
      <c r="J8" s="34">
        <v>0.99996460759575689</v>
      </c>
    </row>
    <row r="9" spans="1:10" x14ac:dyDescent="0.2">
      <c r="D9" s="42" t="str">
        <v>obj_00719</v>
      </c>
      <c r="E9" s="42" t="str">
        <f>_xll.qlRateHelperQuoteName(D9)</f>
        <v>EUR4X1S_Quote</v>
      </c>
      <c r="F9" s="41">
        <f>_xll.qlRateHelperRate($D9)</f>
        <v>1.2E-4</v>
      </c>
      <c r="G9" s="41">
        <f>IF(ISERROR(_xll.qlSwapRateHelperSpread($D9)),IF(ISERROR(_xll.qlFuturesRateHelperConvexityAdjustment($D9)),"--",_xll.qlFuturesRateHelperConvexityAdjustment($D9)),_xll.qlSwapRateHelperSpread($D9))</f>
        <v>0</v>
      </c>
      <c r="H9" s="40">
        <f>_xll.qlRateHelperEarliestDate($D9)</f>
        <v>41890</v>
      </c>
      <c r="I9" s="39">
        <f>_xll.qlRateHelperLatestDate($D9)</f>
        <v>42012</v>
      </c>
      <c r="J9" s="34">
        <v>0.99995932801552134</v>
      </c>
    </row>
    <row r="10" spans="1:10" x14ac:dyDescent="0.2">
      <c r="D10" s="42" t="str">
        <v>obj_00722</v>
      </c>
      <c r="E10" s="42" t="str">
        <f>_xll.qlRateHelperQuoteName(D10)</f>
        <v>EUR5X1S_Quote</v>
      </c>
      <c r="F10" s="41">
        <f>_xll.qlRateHelperRate($D10)</f>
        <v>8.0000000000000007E-5</v>
      </c>
      <c r="G10" s="41">
        <f>IF(ISERROR(_xll.qlSwapRateHelperSpread($D10)),IF(ISERROR(_xll.qlFuturesRateHelperConvexityAdjustment($D10)),"--",_xll.qlFuturesRateHelperConvexityAdjustment($D10)),_xll.qlSwapRateHelperSpread($D10))</f>
        <v>0</v>
      </c>
      <c r="H10" s="40">
        <f>_xll.qlRateHelperEarliestDate($D10)</f>
        <v>41890</v>
      </c>
      <c r="I10" s="39">
        <f>_xll.qlRateHelperLatestDate($D10)</f>
        <v>42044</v>
      </c>
      <c r="J10" s="34">
        <v>0.99996576982653318</v>
      </c>
    </row>
    <row r="11" spans="1:10" x14ac:dyDescent="0.2">
      <c r="D11" s="42" t="str">
        <v>obj_00720</v>
      </c>
      <c r="E11" s="42" t="str">
        <f>_xll.qlRateHelperQuoteName(D11)</f>
        <v>EUR6X1S_Quote</v>
      </c>
      <c r="F11" s="41">
        <f>_xll.qlRateHelperRate($D11)</f>
        <v>3.0000000000000011E-5</v>
      </c>
      <c r="G11" s="41">
        <f>IF(ISERROR(_xll.qlSwapRateHelperSpread($D11)),IF(ISERROR(_xll.qlFuturesRateHelperConvexityAdjustment($D11)),"--",_xll.qlFuturesRateHelperConvexityAdjustment($D11)),_xll.qlSwapRateHelperSpread($D11))</f>
        <v>0</v>
      </c>
      <c r="H11" s="40">
        <f>_xll.qlRateHelperEarliestDate($D11)</f>
        <v>41890</v>
      </c>
      <c r="I11" s="39">
        <f>_xll.qlRateHelperLatestDate($D11)</f>
        <v>42072</v>
      </c>
      <c r="J11" s="34">
        <v>0.99998482328291616</v>
      </c>
    </row>
    <row r="12" spans="1:10" x14ac:dyDescent="0.2">
      <c r="D12" s="42" t="str">
        <v>obj_0071c</v>
      </c>
      <c r="E12" s="42" t="str">
        <f>_xll.qlRateHelperQuoteName(D12)</f>
        <v>EUR7X1S_Quote</v>
      </c>
      <c r="F12" s="41">
        <f>_xll.qlRateHelperRate($D12)</f>
        <v>0</v>
      </c>
      <c r="G12" s="41">
        <f>IF(ISERROR(_xll.qlSwapRateHelperSpread($D12)),IF(ISERROR(_xll.qlFuturesRateHelperConvexityAdjustment($D12)),"--",_xll.qlFuturesRateHelperConvexityAdjustment($D12)),_xll.qlSwapRateHelperSpread($D12))</f>
        <v>0</v>
      </c>
      <c r="H12" s="40">
        <f>_xll.qlRateHelperEarliestDate($D12)</f>
        <v>41890</v>
      </c>
      <c r="I12" s="39">
        <f>_xll.qlRateHelperLatestDate($D12)</f>
        <v>42102</v>
      </c>
      <c r="J12" s="34">
        <v>0.99999998888941788</v>
      </c>
    </row>
    <row r="13" spans="1:10" x14ac:dyDescent="0.2">
      <c r="D13" s="42" t="str">
        <v>obj_0071e</v>
      </c>
      <c r="E13" s="42" t="str">
        <f>_xll.qlRateHelperQuoteName(D13)</f>
        <v>EUR8X1S_Quote</v>
      </c>
      <c r="F13" s="41">
        <f>_xll.qlRateHelperRate($D13)</f>
        <v>-3.0000000000000011E-5</v>
      </c>
      <c r="G13" s="41">
        <f>IF(ISERROR(_xll.qlSwapRateHelperSpread($D13)),IF(ISERROR(_xll.qlFuturesRateHelperConvexityAdjustment($D13)),"--",_xll.qlFuturesRateHelperConvexityAdjustment($D13)),_xll.qlSwapRateHelperSpread($D13))</f>
        <v>0</v>
      </c>
      <c r="H13" s="40">
        <f>_xll.qlRateHelperEarliestDate($D13)</f>
        <v>41890</v>
      </c>
      <c r="I13" s="39">
        <f>_xll.qlRateHelperLatestDate($D13)</f>
        <v>42132</v>
      </c>
      <c r="J13" s="34">
        <v>1.000020155962563</v>
      </c>
    </row>
    <row r="14" spans="1:10" x14ac:dyDescent="0.2">
      <c r="D14" s="42" t="str">
        <v>obj_0071d</v>
      </c>
      <c r="E14" s="42" t="str">
        <f>_xll.qlRateHelperQuoteName(D14)</f>
        <v>EUR9X1S_Quote</v>
      </c>
      <c r="F14" s="41">
        <f>_xll.qlRateHelperRate($D14)</f>
        <v>-6.0000000000000002E-5</v>
      </c>
      <c r="G14" s="41">
        <f>IF(ISERROR(_xll.qlSwapRateHelperSpread($D14)),IF(ISERROR(_xll.qlFuturesRateHelperConvexityAdjustment($D14)),"--",_xll.qlFuturesRateHelperConvexityAdjustment($D14)),_xll.qlSwapRateHelperSpread($D14))</f>
        <v>0</v>
      </c>
      <c r="H14" s="40">
        <f>_xll.qlRateHelperEarliestDate($D14)</f>
        <v>41890</v>
      </c>
      <c r="I14" s="39">
        <f>_xll.qlRateHelperLatestDate($D14)</f>
        <v>42163</v>
      </c>
      <c r="J14" s="34">
        <v>1.0000454917951682</v>
      </c>
    </row>
    <row r="15" spans="1:10" x14ac:dyDescent="0.2">
      <c r="D15" s="42" t="str">
        <v>obj_0071b</v>
      </c>
      <c r="E15" s="42" t="str">
        <f>_xll.qlRateHelperQuoteName(D15)</f>
        <v>EUR10X1S_Quote</v>
      </c>
      <c r="F15" s="41">
        <f>_xll.qlRateHelperRate($D15)</f>
        <v>-8.0000000000000007E-5</v>
      </c>
      <c r="G15" s="41">
        <f>IF(ISERROR(_xll.qlSwapRateHelperSpread($D15)),IF(ISERROR(_xll.qlFuturesRateHelperConvexityAdjustment($D15)),"--",_xll.qlFuturesRateHelperConvexityAdjustment($D15)),_xll.qlSwapRateHelperSpread($D15))</f>
        <v>0</v>
      </c>
      <c r="H15" s="40">
        <f>_xll.qlRateHelperEarliestDate($D15)</f>
        <v>41890</v>
      </c>
      <c r="I15" s="39">
        <f>_xll.qlRateHelperLatestDate($D15)</f>
        <v>42193</v>
      </c>
      <c r="J15" s="34">
        <v>1.0000673297134022</v>
      </c>
    </row>
    <row r="16" spans="1:10" x14ac:dyDescent="0.2">
      <c r="D16" s="42" t="str">
        <v>obj_00718</v>
      </c>
      <c r="E16" s="42" t="str">
        <f>_xll.qlRateHelperQuoteName(D16)</f>
        <v>EUR11X1S_Quote</v>
      </c>
      <c r="F16" s="41">
        <f>_xll.qlRateHelperRate($D16)</f>
        <v>-8.0000000000000007E-5</v>
      </c>
      <c r="G16" s="41">
        <f>IF(ISERROR(_xll.qlSwapRateHelperSpread($D16)),IF(ISERROR(_xll.qlFuturesRateHelperConvexityAdjustment($D16)),"--",_xll.qlFuturesRateHelperConvexityAdjustment($D16)),_xll.qlSwapRateHelperSpread($D16))</f>
        <v>0</v>
      </c>
      <c r="H16" s="40">
        <f>_xll.qlRateHelperEarliestDate($D16)</f>
        <v>41890</v>
      </c>
      <c r="I16" s="39">
        <f>_xll.qlRateHelperLatestDate($D16)</f>
        <v>42226</v>
      </c>
      <c r="J16" s="34">
        <v>1.0000746681031307</v>
      </c>
    </row>
    <row r="17" spans="4:10" x14ac:dyDescent="0.2">
      <c r="D17" s="42" t="str">
        <v>obj_0071a</v>
      </c>
      <c r="E17" s="42" t="str">
        <f>_xll.qlRateHelperQuoteName(D17)</f>
        <v>EUR12X1S_Quote</v>
      </c>
      <c r="F17" s="41">
        <f>_xll.qlRateHelperRate($D17)</f>
        <v>-1.0000000000000002E-4</v>
      </c>
      <c r="G17" s="41">
        <f>IF(ISERROR(_xll.qlSwapRateHelperSpread($D17)),IF(ISERROR(_xll.qlFuturesRateHelperConvexityAdjustment($D17)),"--",_xll.qlFuturesRateHelperConvexityAdjustment($D17)),_xll.qlSwapRateHelperSpread($D17))</f>
        <v>0</v>
      </c>
      <c r="H17" s="40">
        <f>_xll.qlRateHelperEarliestDate($D17)</f>
        <v>41890</v>
      </c>
      <c r="I17" s="39">
        <f>_xll.qlRateHelperLatestDate($D17)</f>
        <v>42255</v>
      </c>
      <c r="J17" s="34">
        <v>1.000101398944472</v>
      </c>
    </row>
    <row r="18" spans="4:10" x14ac:dyDescent="0.2">
      <c r="D18" s="42" t="str">
        <v>obj_006f7</v>
      </c>
      <c r="E18" s="42" t="str">
        <f>_xll.qlRateHelperQuoteName(D18)</f>
        <v>EURAB1EBASIS2Y_Quote</v>
      </c>
      <c r="F18" s="41">
        <f>_xll.qlRateHelperRate($D18)</f>
        <v>-1.7000000000000001E-4</v>
      </c>
      <c r="G18" s="41">
        <f>IF(ISERROR(_xll.qlSwapRateHelperSpread($D18)),IF(ISERROR(_xll.qlFuturesRateHelperConvexityAdjustment($D18)),"--",_xll.qlFuturesRateHelperConvexityAdjustment($D18)),_xll.qlSwapRateHelperSpread($D18))</f>
        <v>0</v>
      </c>
      <c r="H18" s="40">
        <f>_xll.qlRateHelperEarliestDate($D18)</f>
        <v>41890</v>
      </c>
      <c r="I18" s="39">
        <f>_xll.qlRateHelperLatestDate($D18)</f>
        <v>42621</v>
      </c>
      <c r="J18" s="34">
        <v>1.0003401126402878</v>
      </c>
    </row>
    <row r="19" spans="4:10" x14ac:dyDescent="0.2">
      <c r="D19" s="42" t="str">
        <v>obj_006f8</v>
      </c>
      <c r="E19" s="42" t="str">
        <f>_xll.qlRateHelperQuoteName(D19)</f>
        <v>EURAB1EBASIS3Y_Quote</v>
      </c>
      <c r="F19" s="41">
        <f>_xll.qlRateHelperRate($D19)</f>
        <v>1.3000000000000034E-4</v>
      </c>
      <c r="G19" s="41">
        <f>IF(ISERROR(_xll.qlSwapRateHelperSpread($D19)),IF(ISERROR(_xll.qlFuturesRateHelperConvexityAdjustment($D19)),"--",_xll.qlFuturesRateHelperConvexityAdjustment($D19)),_xll.qlSwapRateHelperSpread($D19))</f>
        <v>0</v>
      </c>
      <c r="H19" s="40">
        <f>_xll.qlRateHelperEarliestDate($D19)</f>
        <v>41890</v>
      </c>
      <c r="I19" s="39">
        <f>_xll.qlRateHelperLatestDate($D19)</f>
        <v>42986</v>
      </c>
      <c r="J19" s="34">
        <v>0.99961031575771109</v>
      </c>
    </row>
    <row r="20" spans="4:10" x14ac:dyDescent="0.2">
      <c r="D20" s="42" t="str">
        <v>obj_006f9</v>
      </c>
      <c r="E20" s="42" t="str">
        <f>_xll.qlRateHelperQuoteName(D20)</f>
        <v>EURAB1EBASIS4Y_Quote</v>
      </c>
      <c r="F20" s="41">
        <f>_xll.qlRateHelperRate($D20)</f>
        <v>8.1999999999999955E-4</v>
      </c>
      <c r="G20" s="41">
        <f>IF(ISERROR(_xll.qlSwapRateHelperSpread($D20)),IF(ISERROR(_xll.qlFuturesRateHelperConvexityAdjustment($D20)),"--",_xll.qlFuturesRateHelperConvexityAdjustment($D20)),_xll.qlSwapRateHelperSpread($D20))</f>
        <v>0</v>
      </c>
      <c r="H20" s="40">
        <f>_xll.qlRateHelperEarliestDate($D20)</f>
        <v>41890</v>
      </c>
      <c r="I20" s="39">
        <f>_xll.qlRateHelperLatestDate($D20)</f>
        <v>43353</v>
      </c>
      <c r="J20" s="34">
        <v>0.99671962839332273</v>
      </c>
    </row>
    <row r="21" spans="4:10" x14ac:dyDescent="0.2">
      <c r="D21" s="42" t="str">
        <v>obj_006fa</v>
      </c>
      <c r="E21" s="42" t="str">
        <f>_xll.qlRateHelperQuoteName(D21)</f>
        <v>EURAB1EBASIS5Y_Quote</v>
      </c>
      <c r="F21" s="41">
        <f>_xll.qlRateHelperRate($D21)</f>
        <v>1.7499999999999998E-3</v>
      </c>
      <c r="G21" s="41">
        <f>IF(ISERROR(_xll.qlSwapRateHelperSpread($D21)),IF(ISERROR(_xll.qlFuturesRateHelperConvexityAdjustment($D21)),"--",_xll.qlFuturesRateHelperConvexityAdjustment($D21)),_xll.qlSwapRateHelperSpread($D21))</f>
        <v>0</v>
      </c>
      <c r="H21" s="40">
        <f>_xll.qlRateHelperEarliestDate($D21)</f>
        <v>41890</v>
      </c>
      <c r="I21" s="39">
        <f>_xll.qlRateHelperLatestDate($D21)</f>
        <v>43717</v>
      </c>
      <c r="J21" s="34">
        <v>0.99127057787937201</v>
      </c>
    </row>
    <row r="22" spans="4:10" x14ac:dyDescent="0.2">
      <c r="D22" s="42" t="str">
        <v>obj_006fb</v>
      </c>
      <c r="E22" s="42" t="str">
        <f>_xll.qlRateHelperQuoteName(D22)</f>
        <v>EURAB1EBASIS6Y_Quote</v>
      </c>
      <c r="F22" s="41">
        <f>_xll.qlRateHelperRate($D22)</f>
        <v>2.9599999999999995E-3</v>
      </c>
      <c r="G22" s="41">
        <f>IF(ISERROR(_xll.qlSwapRateHelperSpread($D22)),IF(ISERROR(_xll.qlFuturesRateHelperConvexityAdjustment($D22)),"--",_xll.qlFuturesRateHelperConvexityAdjustment($D22)),_xll.qlSwapRateHelperSpread($D22))</f>
        <v>0</v>
      </c>
      <c r="H22" s="40">
        <f>_xll.qlRateHelperEarliestDate($D22)</f>
        <v>41890</v>
      </c>
      <c r="I22" s="39">
        <f>_xll.qlRateHelperLatestDate($D22)</f>
        <v>44082</v>
      </c>
      <c r="J22" s="34">
        <v>0.98233793447410367</v>
      </c>
    </row>
    <row r="23" spans="4:10" x14ac:dyDescent="0.2">
      <c r="D23" s="42" t="str">
        <v>obj_006fd</v>
      </c>
      <c r="E23" s="42" t="str">
        <f>_xll.qlRateHelperQuoteName(D23)</f>
        <v>EURAB1EBASIS7Y_Quote</v>
      </c>
      <c r="F23" s="41">
        <f>_xll.qlRateHelperRate($D23)</f>
        <v>4.3599999999999993E-3</v>
      </c>
      <c r="G23" s="41">
        <f>IF(ISERROR(_xll.qlSwapRateHelperSpread($D23)),IF(ISERROR(_xll.qlFuturesRateHelperConvexityAdjustment($D23)),"--",_xll.qlFuturesRateHelperConvexityAdjustment($D23)),_xll.qlSwapRateHelperSpread($D23))</f>
        <v>0</v>
      </c>
      <c r="H23" s="40">
        <f>_xll.qlRateHelperEarliestDate($D23)</f>
        <v>41890</v>
      </c>
      <c r="I23" s="39">
        <f>_xll.qlRateHelperLatestDate($D23)</f>
        <v>44447</v>
      </c>
      <c r="J23" s="34">
        <v>0.96976113132668695</v>
      </c>
    </row>
    <row r="24" spans="4:10" x14ac:dyDescent="0.2">
      <c r="D24" s="42" t="str">
        <v>obj_006fe</v>
      </c>
      <c r="E24" s="42" t="str">
        <f>_xll.qlRateHelperQuoteName(D24)</f>
        <v>EURAB1EBASIS8Y_Quote</v>
      </c>
      <c r="F24" s="41">
        <f>_xll.qlRateHelperRate($D24)</f>
        <v>5.8000000000000005E-3</v>
      </c>
      <c r="G24" s="41">
        <f>IF(ISERROR(_xll.qlSwapRateHelperSpread($D24)),IF(ISERROR(_xll.qlFuturesRateHelperConvexityAdjustment($D24)),"--",_xll.qlFuturesRateHelperConvexityAdjustment($D24)),_xll.qlSwapRateHelperSpread($D24))</f>
        <v>0</v>
      </c>
      <c r="H24" s="40">
        <f>_xll.qlRateHelperEarliestDate($D24)</f>
        <v>41890</v>
      </c>
      <c r="I24" s="39">
        <f>_xll.qlRateHelperLatestDate($D24)</f>
        <v>44812</v>
      </c>
      <c r="J24" s="34">
        <v>0.95424746931663984</v>
      </c>
    </row>
    <row r="25" spans="4:10" x14ac:dyDescent="0.2">
      <c r="D25" s="42" t="str">
        <v>obj_006ff</v>
      </c>
      <c r="E25" s="42" t="str">
        <f>_xll.qlRateHelperQuoteName(D25)</f>
        <v>EURAB1EBASIS9Y_Quote</v>
      </c>
      <c r="F25" s="41">
        <f>_xll.qlRateHelperRate($D25)</f>
        <v>7.1699999999999993E-3</v>
      </c>
      <c r="G25" s="41">
        <f>IF(ISERROR(_xll.qlSwapRateHelperSpread($D25)),IF(ISERROR(_xll.qlFuturesRateHelperConvexityAdjustment($D25)),"--",_xll.qlFuturesRateHelperConvexityAdjustment($D25)),_xll.qlSwapRateHelperSpread($D25))</f>
        <v>0</v>
      </c>
      <c r="H25" s="40">
        <f>_xll.qlRateHelperEarliestDate($D25)</f>
        <v>41890</v>
      </c>
      <c r="I25" s="39">
        <f>_xll.qlRateHelperLatestDate($D25)</f>
        <v>45177</v>
      </c>
      <c r="J25" s="34">
        <v>0.93673482332407187</v>
      </c>
    </row>
    <row r="26" spans="4:10" x14ac:dyDescent="0.2">
      <c r="D26" s="42" t="str">
        <v>obj_006fc</v>
      </c>
      <c r="E26" s="42" t="str">
        <f>_xll.qlRateHelperQuoteName(D26)</f>
        <v>EURAB1EBASIS10Y_Quote</v>
      </c>
      <c r="F26" s="41">
        <f>_xll.qlRateHelperRate($D26)</f>
        <v>8.4199999999999987E-3</v>
      </c>
      <c r="G26" s="41">
        <f>IF(ISERROR(_xll.qlSwapRateHelperSpread($D26)),IF(ISERROR(_xll.qlFuturesRateHelperConvexityAdjustment($D26)),"--",_xll.qlFuturesRateHelperConvexityAdjustment($D26)),_xll.qlSwapRateHelperSpread($D26))</f>
        <v>0</v>
      </c>
      <c r="H26" s="40">
        <f>_xll.qlRateHelperEarliestDate($D26)</f>
        <v>41890</v>
      </c>
      <c r="I26" s="39">
        <f>_xll.qlRateHelperLatestDate($D26)</f>
        <v>45544</v>
      </c>
      <c r="J26" s="34">
        <v>0.91796708398998406</v>
      </c>
    </row>
    <row r="27" spans="4:10" x14ac:dyDescent="0.2">
      <c r="D27" s="42" t="str">
        <v>obj_00702</v>
      </c>
      <c r="E27" s="42" t="str">
        <f>_xll.qlRateHelperQuoteName(D27)</f>
        <v>EURAB1EBASIS12Y_Quote</v>
      </c>
      <c r="F27" s="41">
        <f>_xll.qlRateHelperRate($D27)</f>
        <v>1.0579999999999999E-2</v>
      </c>
      <c r="G27" s="41">
        <f>IF(ISERROR(_xll.qlSwapRateHelperSpread($D27)),IF(ISERROR(_xll.qlFuturesRateHelperConvexityAdjustment($D27)),"--",_xll.qlFuturesRateHelperConvexityAdjustment($D27)),_xll.qlSwapRateHelperSpread($D27))</f>
        <v>0</v>
      </c>
      <c r="H27" s="40">
        <f>_xll.qlRateHelperEarliestDate($D27)</f>
        <v>41890</v>
      </c>
      <c r="I27" s="39">
        <f>_xll.qlRateHelperLatestDate($D27)</f>
        <v>46273</v>
      </c>
      <c r="J27" s="34">
        <v>0.87818917107821115</v>
      </c>
    </row>
    <row r="28" spans="4:10" x14ac:dyDescent="0.2">
      <c r="D28" s="42" t="str">
        <v>obj_00704</v>
      </c>
      <c r="E28" s="42" t="str">
        <f>_xll.qlRateHelperQuoteName(D28)</f>
        <v>EURAB1EBASIS15Y_Quote</v>
      </c>
      <c r="F28" s="41">
        <f>_xll.qlRateHelperRate($D28)</f>
        <v>1.2970000000000001E-2</v>
      </c>
      <c r="G28" s="41">
        <f>IF(ISERROR(_xll.qlSwapRateHelperSpread($D28)),IF(ISERROR(_xll.qlFuturesRateHelperConvexityAdjustment($D28)),"--",_xll.qlFuturesRateHelperConvexityAdjustment($D28)),_xll.qlSwapRateHelperSpread($D28))</f>
        <v>0</v>
      </c>
      <c r="H28" s="40">
        <f>_xll.qlRateHelperEarliestDate($D28)</f>
        <v>41890</v>
      </c>
      <c r="I28" s="39">
        <f>_xll.qlRateHelperLatestDate($D28)</f>
        <v>47371</v>
      </c>
      <c r="J28" s="34">
        <v>0.81806509398296234</v>
      </c>
    </row>
    <row r="29" spans="4:10" x14ac:dyDescent="0.2">
      <c r="D29" s="42" t="str">
        <v>obj_00709</v>
      </c>
      <c r="E29" s="42" t="str">
        <f>_xll.qlRateHelperQuoteName(D29)</f>
        <v>EURAB1EBASIS20Y_Quote</v>
      </c>
      <c r="F29" s="41">
        <f>_xll.qlRateHelperRate($D29)</f>
        <v>1.5279999999999998E-2</v>
      </c>
      <c r="G29" s="41">
        <f>IF(ISERROR(_xll.qlSwapRateHelperSpread($D29)),IF(ISERROR(_xll.qlFuturesRateHelperConvexityAdjustment($D29)),"--",_xll.qlFuturesRateHelperConvexityAdjustment($D29)),_xll.qlSwapRateHelperSpread($D29))</f>
        <v>0</v>
      </c>
      <c r="H29" s="40">
        <f>_xll.qlRateHelperEarliestDate($D29)</f>
        <v>41890</v>
      </c>
      <c r="I29" s="39">
        <f>_xll.qlRateHelperLatestDate($D29)</f>
        <v>49195</v>
      </c>
      <c r="J29" s="34">
        <v>0.72755207842686709</v>
      </c>
    </row>
    <row r="30" spans="4:10" x14ac:dyDescent="0.2">
      <c r="D30" s="42" t="str">
        <v>obj_0070e</v>
      </c>
      <c r="E30" s="42" t="str">
        <f>_xll.qlRateHelperQuoteName(D30)</f>
        <v>EURAB1EBASIS25Y_Quote</v>
      </c>
      <c r="F30" s="41">
        <f>_xll.qlRateHelperRate($D30)</f>
        <v>1.6480000000000002E-2</v>
      </c>
      <c r="G30" s="41">
        <f>IF(ISERROR(_xll.qlSwapRateHelperSpread($D30)),IF(ISERROR(_xll.qlFuturesRateHelperConvexityAdjustment($D30)),"--",_xll.qlFuturesRateHelperConvexityAdjustment($D30)),_xll.qlSwapRateHelperSpread($D30))</f>
        <v>0</v>
      </c>
      <c r="H30" s="40">
        <f>_xll.qlRateHelperEarliestDate($D30)</f>
        <v>41890</v>
      </c>
      <c r="I30" s="39">
        <f>_xll.qlRateHelperLatestDate($D30)</f>
        <v>51021</v>
      </c>
      <c r="J30" s="34">
        <v>0.6501739492614419</v>
      </c>
    </row>
    <row r="31" spans="4:10" x14ac:dyDescent="0.2">
      <c r="D31" s="42" t="str">
        <v>obj_00713</v>
      </c>
      <c r="E31" s="42" t="str">
        <f>_xll.qlRateHelperQuoteName(D31)</f>
        <v>EURAB1EBASIS30Y_Quote</v>
      </c>
      <c r="F31" s="41">
        <f>_xll.qlRateHelperRate($D31)</f>
        <v>1.7180000000000001E-2</v>
      </c>
      <c r="G31" s="41">
        <f>IF(ISERROR(_xll.qlSwapRateHelperSpread($D31)),IF(ISERROR(_xll.qlFuturesRateHelperConvexityAdjustment($D31)),"--",_xll.qlFuturesRateHelperConvexityAdjustment($D31)),_xll.qlSwapRateHelperSpread($D31))</f>
        <v>0</v>
      </c>
      <c r="H31" s="40">
        <f>_xll.qlRateHelperEarliestDate($D31)</f>
        <v>41890</v>
      </c>
      <c r="I31" s="39">
        <f>_xll.qlRateHelperLatestDate($D31)</f>
        <v>52848</v>
      </c>
      <c r="J31" s="34">
        <v>0.58301771733488827</v>
      </c>
    </row>
    <row r="32" spans="4:10" x14ac:dyDescent="0.2">
      <c r="D32" s="42" t="str">
        <v>obj_00715</v>
      </c>
      <c r="E32" s="42" t="str">
        <f>_xll.qlRateHelperQuoteName(D32)</f>
        <v>EURAB1EBASIS40Y_Quote</v>
      </c>
      <c r="F32" s="41">
        <f>_xll.qlRateHelperRate($D32)</f>
        <v>1.8089999999999998E-2</v>
      </c>
      <c r="G32" s="41">
        <f>IF(ISERROR(_xll.qlSwapRateHelperSpread($D32)),IF(ISERROR(_xll.qlFuturesRateHelperConvexityAdjustment($D32)),"--",_xll.qlFuturesRateHelperConvexityAdjustment($D32)),_xll.qlSwapRateHelperSpread($D32))</f>
        <v>0</v>
      </c>
      <c r="H32" s="40">
        <f>_xll.qlRateHelperEarliestDate($D32)</f>
        <v>41890</v>
      </c>
      <c r="I32" s="39">
        <f>_xll.qlRateHelperLatestDate($D32)</f>
        <v>56500</v>
      </c>
      <c r="J32" s="34">
        <v>0.46744110377773473</v>
      </c>
    </row>
    <row r="33" spans="4:10" x14ac:dyDescent="0.2">
      <c r="D33" s="42" t="str">
        <v>obj_00716</v>
      </c>
      <c r="E33" s="42" t="str">
        <f>_xll.qlRateHelperQuoteName(D33)</f>
        <v>EURAB1EBASIS50Y_Quote</v>
      </c>
      <c r="F33" s="41">
        <f>_xll.qlRateHelperRate($D33)</f>
        <v>1.847E-2</v>
      </c>
      <c r="G33" s="41">
        <f>IF(ISERROR(_xll.qlSwapRateHelperSpread($D33)),IF(ISERROR(_xll.qlFuturesRateHelperConvexityAdjustment($D33)),"--",_xll.qlFuturesRateHelperConvexityAdjustment($D33)),_xll.qlSwapRateHelperSpread($D33))</f>
        <v>0</v>
      </c>
      <c r="H33" s="40">
        <f>_xll.qlRateHelperEarliestDate($D33)</f>
        <v>41890</v>
      </c>
      <c r="I33" s="39">
        <f>_xll.qlRateHelperLatestDate($D33)</f>
        <v>60153</v>
      </c>
      <c r="J33" s="34">
        <v>0.37925734745952472</v>
      </c>
    </row>
    <row r="34" spans="4:10" x14ac:dyDescent="0.2">
      <c r="D34" s="42" t="str">
        <v>obj_00717</v>
      </c>
      <c r="E34" s="42" t="str">
        <f>_xll.qlRateHelperQuoteName(D34)</f>
        <v>EURAB1EBASIS60Y_Quote</v>
      </c>
      <c r="F34" s="41">
        <f>_xll.qlRateHelperRate($D34)</f>
        <v>1.8699999999999998E-2</v>
      </c>
      <c r="G34" s="41">
        <f>IF(ISERROR(_xll.qlSwapRateHelperSpread($D34)),IF(ISERROR(_xll.qlFuturesRateHelperConvexityAdjustment($D34)),"--",_xll.qlFuturesRateHelperConvexityAdjustment($D34)),_xll.qlSwapRateHelperSpread($D34))</f>
        <v>0</v>
      </c>
      <c r="H34" s="40">
        <f>_xll.qlRateHelperEarliestDate($D34)</f>
        <v>41890</v>
      </c>
      <c r="I34" s="39">
        <f>_xll.qlRateHelperLatestDate($D34)</f>
        <v>63807</v>
      </c>
      <c r="J34" s="34">
        <v>0.30812170528744776</v>
      </c>
    </row>
    <row r="35" spans="4:10" x14ac:dyDescent="0.2">
      <c r="D35" s="42" t="e">
        <v>#N/A</v>
      </c>
      <c r="E35" s="42" t="e">
        <f>_xll.qlRateHelperQuoteName(D35)</f>
        <v>#VALUE!</v>
      </c>
      <c r="F35" s="41" t="e">
        <f>_xll.qlRateHelperRate($D35)</f>
        <v>#VALUE!</v>
      </c>
      <c r="G35" s="41" t="str">
        <f>IF(ISERROR(_xll.qlSwapRateHelperSpread($D35)),IF(ISERROR(_xll.qlFuturesRateHelperConvexityAdjustment($D35)),"--",_xll.qlFuturesRateHelperConvexityAdjustment($D35)),_xll.qlSwapRateHelperSpread($D35))</f>
        <v>--</v>
      </c>
      <c r="H35" s="40" t="e">
        <f>_xll.qlRateHelperEarliestDate($D35)</f>
        <v>#VALUE!</v>
      </c>
      <c r="I35" s="39" t="e">
        <f>_xll.qlRateHelperLatestDate($D35)</f>
        <v>#VALUE!</v>
      </c>
      <c r="J35" s="34" t="e">
        <v>#N/A</v>
      </c>
    </row>
    <row r="36" spans="4:10" x14ac:dyDescent="0.2">
      <c r="D36" s="42" t="e">
        <v>#N/A</v>
      </c>
      <c r="E36" s="42" t="e">
        <f>_xll.qlRateHelperQuoteName(D36)</f>
        <v>#VALUE!</v>
      </c>
      <c r="F36" s="41" t="e">
        <f>_xll.qlRateHelperRate($D36)</f>
        <v>#VALUE!</v>
      </c>
      <c r="G36" s="41" t="str">
        <f>IF(ISERROR(_xll.qlSwapRateHelperSpread($D36)),IF(ISERROR(_xll.qlFuturesRateHelperConvexityAdjustment($D36)),"--",_xll.qlFuturesRateHelperConvexityAdjustment($D36)),_xll.qlSwapRateHelperSpread($D36))</f>
        <v>--</v>
      </c>
      <c r="H36" s="40" t="e">
        <f>_xll.qlRateHelperEarliestDate($D36)</f>
        <v>#VALUE!</v>
      </c>
      <c r="I36" s="39" t="e">
        <f>_xll.qlRateHelperLatestDate($D36)</f>
        <v>#VALUE!</v>
      </c>
      <c r="J36" s="34" t="e">
        <v>#N/A</v>
      </c>
    </row>
    <row r="37" spans="4:10" x14ac:dyDescent="0.2">
      <c r="D37" s="42" t="e">
        <v>#N/A</v>
      </c>
      <c r="E37" s="42" t="e">
        <f>_xll.qlRateHelperQuoteName(D37)</f>
        <v>#VALUE!</v>
      </c>
      <c r="F37" s="41" t="e">
        <f>_xll.qlRateHelperRate($D37)</f>
        <v>#VALUE!</v>
      </c>
      <c r="G37" s="41" t="str">
        <f>IF(ISERROR(_xll.qlSwapRateHelperSpread($D37)),IF(ISERROR(_xll.qlFuturesRateHelperConvexityAdjustment($D37)),"--",_xll.qlFuturesRateHelperConvexityAdjustment($D37)),_xll.qlSwapRateHelperSpread($D37))</f>
        <v>--</v>
      </c>
      <c r="H37" s="40" t="e">
        <f>_xll.qlRateHelperEarliestDate($D37)</f>
        <v>#VALUE!</v>
      </c>
      <c r="I37" s="39" t="e">
        <f>_xll.qlRateHelperLatestDate($D37)</f>
        <v>#VALUE!</v>
      </c>
      <c r="J37" s="34" t="e">
        <v>#N/A</v>
      </c>
    </row>
    <row r="38" spans="4:10" x14ac:dyDescent="0.2">
      <c r="D38" s="42" t="e">
        <v>#N/A</v>
      </c>
      <c r="E38" s="42" t="e">
        <f>_xll.qlRateHelperQuoteName(D38)</f>
        <v>#VALUE!</v>
      </c>
      <c r="F38" s="41" t="e">
        <f>_xll.qlRateHelperRate($D38)</f>
        <v>#VALUE!</v>
      </c>
      <c r="G38" s="41" t="str">
        <f>IF(ISERROR(_xll.qlSwapRateHelperSpread($D38)),IF(ISERROR(_xll.qlFuturesRateHelperConvexityAdjustment($D38)),"--",_xll.qlFuturesRateHelperConvexityAdjustment($D38)),_xll.qlSwapRateHelperSpread($D38))</f>
        <v>--</v>
      </c>
      <c r="H38" s="40" t="e">
        <f>_xll.qlRateHelperEarliestDate($D38)</f>
        <v>#VALUE!</v>
      </c>
      <c r="I38" s="39" t="e">
        <f>_xll.qlRateHelperLatestDate($D38)</f>
        <v>#VALUE!</v>
      </c>
      <c r="J38" s="34" t="e">
        <v>#N/A</v>
      </c>
    </row>
    <row r="39" spans="4:10" x14ac:dyDescent="0.2">
      <c r="D39" s="42" t="e">
        <v>#N/A</v>
      </c>
      <c r="E39" s="42" t="e">
        <f>_xll.qlRateHelperQuoteName(D39)</f>
        <v>#VALUE!</v>
      </c>
      <c r="F39" s="41" t="e">
        <f>_xll.qlRateHelperRate($D39)</f>
        <v>#VALUE!</v>
      </c>
      <c r="G39" s="41" t="str">
        <f>IF(ISERROR(_xll.qlSwapRateHelperSpread($D39)),IF(ISERROR(_xll.qlFuturesRateHelperConvexityAdjustment($D39)),"--",_xll.qlFuturesRateHelperConvexityAdjustment($D39)),_xll.qlSwapRateHelperSpread($D39))</f>
        <v>--</v>
      </c>
      <c r="H39" s="40" t="e">
        <f>_xll.qlRateHelperEarliestDate($D39)</f>
        <v>#VALUE!</v>
      </c>
      <c r="I39" s="39" t="e">
        <f>_xll.qlRateHelperLatestDate($D39)</f>
        <v>#VALUE!</v>
      </c>
      <c r="J39" s="34" t="e">
        <v>#N/A</v>
      </c>
    </row>
    <row r="40" spans="4:10" x14ac:dyDescent="0.2">
      <c r="D40" s="42" t="e">
        <v>#N/A</v>
      </c>
      <c r="E40" s="42" t="e">
        <f>_xll.qlRateHelperQuoteName(D40)</f>
        <v>#VALUE!</v>
      </c>
      <c r="F40" s="41" t="e">
        <f>_xll.qlRateHelperRate($D40)</f>
        <v>#VALUE!</v>
      </c>
      <c r="G40" s="41" t="str">
        <f>IF(ISERROR(_xll.qlSwapRateHelperSpread($D40)),IF(ISERROR(_xll.qlFuturesRateHelperConvexityAdjustment($D40)),"--",_xll.qlFuturesRateHelperConvexityAdjustment($D40)),_xll.qlSwapRateHelperSpread($D40))</f>
        <v>--</v>
      </c>
      <c r="H40" s="40" t="e">
        <f>_xll.qlRateHelperEarliestDate($D40)</f>
        <v>#VALUE!</v>
      </c>
      <c r="I40" s="39" t="e">
        <f>_xll.qlRateHelperLatestDate($D40)</f>
        <v>#VALUE!</v>
      </c>
      <c r="J40" s="34" t="e">
        <v>#N/A</v>
      </c>
    </row>
    <row r="41" spans="4:10" x14ac:dyDescent="0.2">
      <c r="D41" s="42" t="e">
        <v>#N/A</v>
      </c>
      <c r="E41" s="42" t="e">
        <f>_xll.qlRateHelperQuoteName(D41)</f>
        <v>#VALUE!</v>
      </c>
      <c r="F41" s="41" t="e">
        <f>_xll.qlRateHelperRate($D41)</f>
        <v>#VALUE!</v>
      </c>
      <c r="G41" s="41" t="str">
        <f>IF(ISERROR(_xll.qlSwapRateHelperSpread($D41)),IF(ISERROR(_xll.qlFuturesRateHelperConvexityAdjustment($D41)),"--",_xll.qlFuturesRateHelperConvexityAdjustment($D41)),_xll.qlSwapRateHelperSpread($D41))</f>
        <v>--</v>
      </c>
      <c r="H41" s="40" t="e">
        <f>_xll.qlRateHelperEarliestDate($D41)</f>
        <v>#VALUE!</v>
      </c>
      <c r="I41" s="39" t="e">
        <f>_xll.qlRateHelperLatestDate($D41)</f>
        <v>#VALUE!</v>
      </c>
      <c r="J41" s="34" t="e">
        <v>#N/A</v>
      </c>
    </row>
    <row r="42" spans="4:10" x14ac:dyDescent="0.2">
      <c r="D42" s="42" t="e">
        <v>#N/A</v>
      </c>
      <c r="E42" s="42" t="e">
        <f>_xll.qlRateHelperQuoteName(D42)</f>
        <v>#VALUE!</v>
      </c>
      <c r="F42" s="41" t="e">
        <f>_xll.qlRateHelperRate($D42)</f>
        <v>#VALUE!</v>
      </c>
      <c r="G42" s="41" t="str">
        <f>IF(ISERROR(_xll.qlSwapRateHelperSpread($D42)),IF(ISERROR(_xll.qlFuturesRateHelperConvexityAdjustment($D42)),"--",_xll.qlFuturesRateHelperConvexityAdjustment($D42)),_xll.qlSwapRateHelperSpread($D42))</f>
        <v>--</v>
      </c>
      <c r="H42" s="40" t="e">
        <f>_xll.qlRateHelperEarliestDate($D42)</f>
        <v>#VALUE!</v>
      </c>
      <c r="I42" s="39" t="e">
        <f>_xll.qlRateHelperLatestDate($D42)</f>
        <v>#VALUE!</v>
      </c>
      <c r="J42" s="34" t="e">
        <v>#N/A</v>
      </c>
    </row>
    <row r="43" spans="4:10" x14ac:dyDescent="0.2">
      <c r="D43" s="42" t="e">
        <v>#N/A</v>
      </c>
      <c r="E43" s="42" t="e">
        <f>_xll.qlRateHelperQuoteName(D43)</f>
        <v>#VALUE!</v>
      </c>
      <c r="F43" s="41" t="e">
        <f>_xll.qlRateHelperRate($D43)</f>
        <v>#VALUE!</v>
      </c>
      <c r="G43" s="41" t="str">
        <f>IF(ISERROR(_xll.qlSwapRateHelperSpread($D43)),IF(ISERROR(_xll.qlFuturesRateHelperConvexityAdjustment($D43)),"--",_xll.qlFuturesRateHelperConvexityAdjustment($D43)),_xll.qlSwapRateHelperSpread($D43))</f>
        <v>--</v>
      </c>
      <c r="H43" s="40" t="e">
        <f>_xll.qlRateHelperEarliestDate($D43)</f>
        <v>#VALUE!</v>
      </c>
      <c r="I43" s="39" t="e">
        <f>_xll.qlRateHelperLatestDate($D43)</f>
        <v>#VALUE!</v>
      </c>
      <c r="J43" s="34" t="e">
        <v>#N/A</v>
      </c>
    </row>
    <row r="44" spans="4:10" x14ac:dyDescent="0.2">
      <c r="D44" s="42" t="e">
        <v>#N/A</v>
      </c>
      <c r="E44" s="42" t="e">
        <f>_xll.qlRateHelperQuoteName(D44)</f>
        <v>#VALUE!</v>
      </c>
      <c r="F44" s="41" t="e">
        <f>_xll.qlRateHelperRate($D44)</f>
        <v>#VALUE!</v>
      </c>
      <c r="G44" s="41" t="str">
        <f>IF(ISERROR(_xll.qlSwapRateHelperSpread($D44)),IF(ISERROR(_xll.qlFuturesRateHelperConvexityAdjustment($D44)),"--",_xll.qlFuturesRateHelperConvexityAdjustment($D44)),_xll.qlSwapRateHelperSpread($D44))</f>
        <v>--</v>
      </c>
      <c r="H44" s="40" t="e">
        <f>_xll.qlRateHelperEarliestDate($D44)</f>
        <v>#VALUE!</v>
      </c>
      <c r="I44" s="39" t="e">
        <f>_xll.qlRateHelperLatestDate($D44)</f>
        <v>#VALUE!</v>
      </c>
      <c r="J44" s="34" t="e">
        <v>#N/A</v>
      </c>
    </row>
    <row r="45" spans="4:10" x14ac:dyDescent="0.2">
      <c r="D45" s="42" t="e">
        <v>#N/A</v>
      </c>
      <c r="E45" s="42" t="e">
        <f>_xll.qlRateHelperQuoteName(D45)</f>
        <v>#VALUE!</v>
      </c>
      <c r="F45" s="41" t="e">
        <f>_xll.qlRateHelperRate($D45)</f>
        <v>#VALUE!</v>
      </c>
      <c r="G45" s="41" t="str">
        <f>IF(ISERROR(_xll.qlSwapRateHelperSpread($D45)),IF(ISERROR(_xll.qlFuturesRateHelperConvexityAdjustment($D45)),"--",_xll.qlFuturesRateHelperConvexityAdjustment($D45)),_xll.qlSwapRateHelperSpread($D45))</f>
        <v>--</v>
      </c>
      <c r="H45" s="40" t="e">
        <f>_xll.qlRateHelperEarliestDate($D45)</f>
        <v>#VALUE!</v>
      </c>
      <c r="I45" s="39" t="e">
        <f>_xll.qlRateHelperLatestDate($D45)</f>
        <v>#VALUE!</v>
      </c>
      <c r="J45" s="34" t="e">
        <v>#N/A</v>
      </c>
    </row>
    <row r="46" spans="4:10" x14ac:dyDescent="0.2">
      <c r="D46" s="42" t="e">
        <v>#N/A</v>
      </c>
      <c r="E46" s="42" t="e">
        <f>_xll.qlRateHelperQuoteName(D46)</f>
        <v>#VALUE!</v>
      </c>
      <c r="F46" s="41" t="e">
        <f>_xll.qlRateHelperRate($D46)</f>
        <v>#VALUE!</v>
      </c>
      <c r="G46" s="41" t="str">
        <f>IF(ISERROR(_xll.qlSwapRateHelperSpread($D46)),IF(ISERROR(_xll.qlFuturesRateHelperConvexityAdjustment($D46)),"--",_xll.qlFuturesRateHelperConvexityAdjustment($D46)),_xll.qlSwapRateHelperSpread($D46))</f>
        <v>--</v>
      </c>
      <c r="H46" s="40" t="e">
        <f>_xll.qlRateHelperEarliestDate($D46)</f>
        <v>#VALUE!</v>
      </c>
      <c r="I46" s="39" t="e">
        <f>_xll.qlRateHelperLatestDate($D46)</f>
        <v>#VALUE!</v>
      </c>
      <c r="J46" s="34" t="e">
        <v>#N/A</v>
      </c>
    </row>
    <row r="47" spans="4:10" x14ac:dyDescent="0.2">
      <c r="D47" s="42" t="e">
        <v>#N/A</v>
      </c>
      <c r="E47" s="42" t="e">
        <f>_xll.qlRateHelperQuoteName(D47)</f>
        <v>#VALUE!</v>
      </c>
      <c r="F47" s="41" t="e">
        <f>_xll.qlRateHelperRate($D47)</f>
        <v>#VALUE!</v>
      </c>
      <c r="G47" s="41" t="str">
        <f>IF(ISERROR(_xll.qlSwapRateHelperSpread($D47)),IF(ISERROR(_xll.qlFuturesRateHelperConvexityAdjustment($D47)),"--",_xll.qlFuturesRateHelperConvexityAdjustment($D47)),_xll.qlSwapRateHelperSpread($D47))</f>
        <v>--</v>
      </c>
      <c r="H47" s="40" t="e">
        <f>_xll.qlRateHelperEarliestDate($D47)</f>
        <v>#VALUE!</v>
      </c>
      <c r="I47" s="39" t="e">
        <f>_xll.qlRateHelperLatestDate($D47)</f>
        <v>#VALUE!</v>
      </c>
      <c r="J47" s="34" t="e">
        <v>#N/A</v>
      </c>
    </row>
    <row r="48" spans="4:10" x14ac:dyDescent="0.2">
      <c r="D48" s="42" t="e">
        <v>#N/A</v>
      </c>
      <c r="E48" s="42" t="e">
        <f>_xll.qlRateHelperQuoteName(D48)</f>
        <v>#VALUE!</v>
      </c>
      <c r="F48" s="41" t="e">
        <f>_xll.qlRateHelperRate($D48)</f>
        <v>#VALUE!</v>
      </c>
      <c r="G48" s="41" t="str">
        <f>IF(ISERROR(_xll.qlSwapRateHelperSpread($D48)),IF(ISERROR(_xll.qlFuturesRateHelperConvexityAdjustment($D48)),"--",_xll.qlFuturesRateHelperConvexityAdjustment($D48)),_xll.qlSwapRateHelperSpread($D48))</f>
        <v>--</v>
      </c>
      <c r="H48" s="40" t="e">
        <f>_xll.qlRateHelperEarliestDate($D48)</f>
        <v>#VALUE!</v>
      </c>
      <c r="I48" s="39" t="e">
        <f>_xll.qlRateHelperLatestDate($D48)</f>
        <v>#VALUE!</v>
      </c>
      <c r="J48" s="34" t="e">
        <v>#N/A</v>
      </c>
    </row>
    <row r="49" spans="4:10" x14ac:dyDescent="0.2">
      <c r="D49" s="42" t="e">
        <v>#N/A</v>
      </c>
      <c r="E49" s="42" t="e">
        <f>_xll.qlRateHelperQuoteName(D49)</f>
        <v>#VALUE!</v>
      </c>
      <c r="F49" s="41" t="e">
        <f>_xll.qlRateHelperRate($D49)</f>
        <v>#VALUE!</v>
      </c>
      <c r="G49" s="41" t="str">
        <f>IF(ISERROR(_xll.qlSwapRateHelperSpread($D49)),IF(ISERROR(_xll.qlFuturesRateHelperConvexityAdjustment($D49)),"--",_xll.qlFuturesRateHelperConvexityAdjustment($D49)),_xll.qlSwapRateHelperSpread($D49))</f>
        <v>--</v>
      </c>
      <c r="H49" s="40" t="e">
        <f>_xll.qlRateHelperEarliestDate($D49)</f>
        <v>#VALUE!</v>
      </c>
      <c r="I49" s="39" t="e">
        <f>_xll.qlRateHelperLatestDate($D49)</f>
        <v>#VALUE!</v>
      </c>
      <c r="J49" s="34" t="e">
        <v>#N/A</v>
      </c>
    </row>
    <row r="50" spans="4:10" x14ac:dyDescent="0.2">
      <c r="D50" s="42" t="e">
        <v>#N/A</v>
      </c>
      <c r="E50" s="42" t="e">
        <f>_xll.qlRateHelperQuoteName(D50)</f>
        <v>#VALUE!</v>
      </c>
      <c r="F50" s="41" t="e">
        <f>_xll.qlRateHelperRate($D50)</f>
        <v>#VALUE!</v>
      </c>
      <c r="G50" s="41" t="str">
        <f>IF(ISERROR(_xll.qlSwapRateHelperSpread($D50)),IF(ISERROR(_xll.qlFuturesRateHelperConvexityAdjustment($D50)),"--",_xll.qlFuturesRateHelperConvexityAdjustment($D50)),_xll.qlSwapRateHelperSpread($D50))</f>
        <v>--</v>
      </c>
      <c r="H50" s="40" t="e">
        <f>_xll.qlRateHelperEarliestDate($D50)</f>
        <v>#VALUE!</v>
      </c>
      <c r="I50" s="39" t="e">
        <f>_xll.qlRateHelperLatestDate($D50)</f>
        <v>#VALUE!</v>
      </c>
      <c r="J50" s="34" t="e">
        <v>#N/A</v>
      </c>
    </row>
    <row r="51" spans="4:10" x14ac:dyDescent="0.2">
      <c r="D51" s="42" t="e">
        <v>#N/A</v>
      </c>
      <c r="E51" s="42" t="e">
        <f>_xll.qlRateHelperQuoteName(D51)</f>
        <v>#VALUE!</v>
      </c>
      <c r="F51" s="41" t="e">
        <f>_xll.qlRateHelperRate($D51)</f>
        <v>#VALUE!</v>
      </c>
      <c r="G51" s="41" t="str">
        <f>IF(ISERROR(_xll.qlSwapRateHelperSpread($D51)),IF(ISERROR(_xll.qlFuturesRateHelperConvexityAdjustment($D51)),"--",_xll.qlFuturesRateHelperConvexityAdjustment($D51)),_xll.qlSwapRateHelperSpread($D51))</f>
        <v>--</v>
      </c>
      <c r="H51" s="40" t="e">
        <f>_xll.qlRateHelperEarliestDate($D51)</f>
        <v>#VALUE!</v>
      </c>
      <c r="I51" s="39" t="e">
        <f>_xll.qlRateHelperLatestDate($D51)</f>
        <v>#VALUE!</v>
      </c>
      <c r="J51" s="34" t="e">
        <v>#N/A</v>
      </c>
    </row>
    <row r="52" spans="4:10" x14ac:dyDescent="0.2">
      <c r="D52" s="42" t="e">
        <v>#N/A</v>
      </c>
      <c r="E52" s="42" t="e">
        <f>_xll.qlRateHelperQuoteName(D52)</f>
        <v>#VALUE!</v>
      </c>
      <c r="F52" s="41" t="e">
        <f>_xll.qlRateHelperRate($D52)</f>
        <v>#VALUE!</v>
      </c>
      <c r="G52" s="41" t="str">
        <f>IF(ISERROR(_xll.qlSwapRateHelperSpread($D52)),IF(ISERROR(_xll.qlFuturesRateHelperConvexityAdjustment($D52)),"--",_xll.qlFuturesRateHelperConvexityAdjustment($D52)),_xll.qlSwapRateHelperSpread($D52))</f>
        <v>--</v>
      </c>
      <c r="H52" s="40" t="e">
        <f>_xll.qlRateHelperEarliestDate($D52)</f>
        <v>#VALUE!</v>
      </c>
      <c r="I52" s="39" t="e">
        <f>_xll.qlRateHelperLatestDate($D52)</f>
        <v>#VALUE!</v>
      </c>
      <c r="J52" s="34" t="e">
        <v>#N/A</v>
      </c>
    </row>
    <row r="53" spans="4:10" x14ac:dyDescent="0.2">
      <c r="D53" s="42" t="e">
        <v>#N/A</v>
      </c>
      <c r="E53" s="42" t="e">
        <f>_xll.qlRateHelperQuoteName(D53)</f>
        <v>#VALUE!</v>
      </c>
      <c r="F53" s="41" t="e">
        <f>_xll.qlRateHelperRate($D53)</f>
        <v>#VALUE!</v>
      </c>
      <c r="G53" s="41" t="str">
        <f>IF(ISERROR(_xll.qlSwapRateHelperSpread($D53)),IF(ISERROR(_xll.qlFuturesRateHelperConvexityAdjustment($D53)),"--",_xll.qlFuturesRateHelperConvexityAdjustment($D53)),_xll.qlSwapRateHelperSpread($D53))</f>
        <v>--</v>
      </c>
      <c r="H53" s="40" t="e">
        <f>_xll.qlRateHelperEarliestDate($D53)</f>
        <v>#VALUE!</v>
      </c>
      <c r="I53" s="39" t="e">
        <f>_xll.qlRateHelperLatestDate($D53)</f>
        <v>#VALUE!</v>
      </c>
      <c r="J53" s="34" t="e">
        <v>#N/A</v>
      </c>
    </row>
    <row r="54" spans="4:10" x14ac:dyDescent="0.2">
      <c r="D54" s="42" t="e">
        <v>#N/A</v>
      </c>
      <c r="E54" s="42" t="e">
        <f>_xll.qlRateHelperQuoteName(D54)</f>
        <v>#VALUE!</v>
      </c>
      <c r="F54" s="41" t="e">
        <f>_xll.qlRateHelperRate($D54)</f>
        <v>#VALUE!</v>
      </c>
      <c r="G54" s="41" t="str">
        <f>IF(ISERROR(_xll.qlSwapRateHelperSpread($D54)),IF(ISERROR(_xll.qlFuturesRateHelperConvexityAdjustment($D54)),"--",_xll.qlFuturesRateHelperConvexityAdjustment($D54)),_xll.qlSwapRateHelperSpread($D54))</f>
        <v>--</v>
      </c>
      <c r="H54" s="40" t="e">
        <f>_xll.qlRateHelperEarliestDate($D54)</f>
        <v>#VALUE!</v>
      </c>
      <c r="I54" s="39" t="e">
        <f>_xll.qlRateHelperLatestDate($D54)</f>
        <v>#VALUE!</v>
      </c>
      <c r="J54" s="34" t="e">
        <v>#N/A</v>
      </c>
    </row>
    <row r="55" spans="4:10" x14ac:dyDescent="0.2">
      <c r="D55" s="42" t="e">
        <v>#N/A</v>
      </c>
      <c r="E55" s="42" t="e">
        <f>_xll.qlRateHelperQuoteName(D55)</f>
        <v>#VALUE!</v>
      </c>
      <c r="F55" s="41" t="e">
        <f>_xll.qlRateHelperRate($D55)</f>
        <v>#VALUE!</v>
      </c>
      <c r="G55" s="41" t="str">
        <f>IF(ISERROR(_xll.qlSwapRateHelperSpread($D55)),IF(ISERROR(_xll.qlFuturesRateHelperConvexityAdjustment($D55)),"--",_xll.qlFuturesRateHelperConvexityAdjustment($D55)),_xll.qlSwapRateHelperSpread($D55))</f>
        <v>--</v>
      </c>
      <c r="H55" s="40" t="e">
        <f>_xll.qlRateHelperEarliestDate($D55)</f>
        <v>#VALUE!</v>
      </c>
      <c r="I55" s="39" t="e">
        <f>_xll.qlRateHelperLatestDate($D55)</f>
        <v>#VALUE!</v>
      </c>
      <c r="J55" s="34" t="e">
        <v>#N/A</v>
      </c>
    </row>
    <row r="56" spans="4:10" x14ac:dyDescent="0.2">
      <c r="D56" s="42" t="e">
        <v>#N/A</v>
      </c>
      <c r="E56" s="42" t="e">
        <f>_xll.qlRateHelperQuoteName(D56)</f>
        <v>#VALUE!</v>
      </c>
      <c r="F56" s="41" t="e">
        <f>_xll.qlRateHelperRate($D56)</f>
        <v>#VALUE!</v>
      </c>
      <c r="G56" s="41" t="str">
        <f>IF(ISERROR(_xll.qlSwapRateHelperSpread($D56)),IF(ISERROR(_xll.qlFuturesRateHelperConvexityAdjustment($D56)),"--",_xll.qlFuturesRateHelperConvexityAdjustment($D56)),_xll.qlSwapRateHelperSpread($D56))</f>
        <v>--</v>
      </c>
      <c r="H56" s="40" t="e">
        <f>_xll.qlRateHelperEarliestDate($D56)</f>
        <v>#VALUE!</v>
      </c>
      <c r="I56" s="39" t="e">
        <f>_xll.qlRateHelperLatestDate($D56)</f>
        <v>#VALUE!</v>
      </c>
      <c r="J56" s="34" t="e">
        <v>#N/A</v>
      </c>
    </row>
    <row r="57" spans="4:10" x14ac:dyDescent="0.2">
      <c r="D57" s="42" t="e">
        <v>#N/A</v>
      </c>
      <c r="E57" s="42" t="e">
        <f>_xll.qlRateHelperQuoteName(D57)</f>
        <v>#VALUE!</v>
      </c>
      <c r="F57" s="41" t="e">
        <f>_xll.qlRateHelperRate($D57)</f>
        <v>#VALUE!</v>
      </c>
      <c r="G57" s="41" t="str">
        <f>IF(ISERROR(_xll.qlSwapRateHelperSpread($D57)),IF(ISERROR(_xll.qlFuturesRateHelperConvexityAdjustment($D57)),"--",_xll.qlFuturesRateHelperConvexityAdjustment($D57)),_xll.qlSwapRateHelperSpread($D57))</f>
        <v>--</v>
      </c>
      <c r="H57" s="40" t="e">
        <f>_xll.qlRateHelperEarliestDate($D57)</f>
        <v>#VALUE!</v>
      </c>
      <c r="I57" s="39" t="e">
        <f>_xll.qlRateHelperLatestDate($D57)</f>
        <v>#VALUE!</v>
      </c>
      <c r="J57" s="34" t="e">
        <v>#N/A</v>
      </c>
    </row>
    <row r="58" spans="4:10" x14ac:dyDescent="0.2">
      <c r="D58" s="42" t="e">
        <v>#N/A</v>
      </c>
      <c r="E58" s="42" t="e">
        <f>_xll.qlRateHelperQuoteName(D58)</f>
        <v>#VALUE!</v>
      </c>
      <c r="F58" s="41" t="e">
        <f>_xll.qlRateHelperRate($D58)</f>
        <v>#VALUE!</v>
      </c>
      <c r="G58" s="41" t="str">
        <f>IF(ISERROR(_xll.qlSwapRateHelperSpread($D58)),IF(ISERROR(_xll.qlFuturesRateHelperConvexityAdjustment($D58)),"--",_xll.qlFuturesRateHelperConvexityAdjustment($D58)),_xll.qlSwapRateHelperSpread($D58))</f>
        <v>--</v>
      </c>
      <c r="H58" s="40" t="e">
        <f>_xll.qlRateHelperEarliestDate($D58)</f>
        <v>#VALUE!</v>
      </c>
      <c r="I58" s="39" t="e">
        <f>_xll.qlRateHelperLatestDate($D58)</f>
        <v>#VALUE!</v>
      </c>
      <c r="J58" s="34" t="e">
        <v>#N/A</v>
      </c>
    </row>
    <row r="59" spans="4:10" x14ac:dyDescent="0.2">
      <c r="D59" s="42" t="e">
        <v>#N/A</v>
      </c>
      <c r="E59" s="42" t="e">
        <f>_xll.qlRateHelperQuoteName(D59)</f>
        <v>#VALUE!</v>
      </c>
      <c r="F59" s="41" t="e">
        <f>_xll.qlRateHelperRate($D59)</f>
        <v>#VALUE!</v>
      </c>
      <c r="G59" s="41" t="str">
        <f>IF(ISERROR(_xll.qlSwapRateHelperSpread($D59)),IF(ISERROR(_xll.qlFuturesRateHelperConvexityAdjustment($D59)),"--",_xll.qlFuturesRateHelperConvexityAdjustment($D59)),_xll.qlSwapRateHelperSpread($D59))</f>
        <v>--</v>
      </c>
      <c r="H59" s="40" t="e">
        <f>_xll.qlRateHelperEarliestDate($D59)</f>
        <v>#VALUE!</v>
      </c>
      <c r="I59" s="39" t="e">
        <f>_xll.qlRateHelperLatestDate($D59)</f>
        <v>#VALUE!</v>
      </c>
      <c r="J59" s="34" t="e">
        <v>#N/A</v>
      </c>
    </row>
    <row r="60" spans="4:10" x14ac:dyDescent="0.2">
      <c r="D60" s="42" t="e">
        <v>#N/A</v>
      </c>
      <c r="E60" s="42" t="e">
        <f>_xll.qlRateHelperQuoteName(D60)</f>
        <v>#VALUE!</v>
      </c>
      <c r="F60" s="41" t="e">
        <f>_xll.qlRateHelperRate($D60)</f>
        <v>#VALUE!</v>
      </c>
      <c r="G60" s="41" t="str">
        <f>IF(ISERROR(_xll.qlSwapRateHelperSpread($D60)),IF(ISERROR(_xll.qlFuturesRateHelperConvexityAdjustment($D60)),"--",_xll.qlFuturesRateHelperConvexityAdjustment($D60)),_xll.qlSwapRateHelperSpread($D60))</f>
        <v>--</v>
      </c>
      <c r="H60" s="40" t="e">
        <f>_xll.qlRateHelperEarliestDate($D60)</f>
        <v>#VALUE!</v>
      </c>
      <c r="I60" s="39" t="e">
        <f>_xll.qlRateHelperLatestDate($D60)</f>
        <v>#VALUE!</v>
      </c>
      <c r="J60" s="34" t="e">
        <v>#N/A</v>
      </c>
    </row>
    <row r="61" spans="4:10" x14ac:dyDescent="0.2">
      <c r="D61" s="42" t="e">
        <v>#N/A</v>
      </c>
      <c r="E61" s="42" t="e">
        <f>_xll.qlRateHelperQuoteName(D61)</f>
        <v>#VALUE!</v>
      </c>
      <c r="F61" s="41" t="e">
        <f>_xll.qlRateHelperRate($D61)</f>
        <v>#VALUE!</v>
      </c>
      <c r="G61" s="41" t="str">
        <f>IF(ISERROR(_xll.qlSwapRateHelperSpread($D61)),IF(ISERROR(_xll.qlFuturesRateHelperConvexityAdjustment($D61)),"--",_xll.qlFuturesRateHelperConvexityAdjustment($D61)),_xll.qlSwapRateHelperSpread($D61))</f>
        <v>--</v>
      </c>
      <c r="H61" s="40" t="e">
        <f>_xll.qlRateHelperEarliestDate($D61)</f>
        <v>#VALUE!</v>
      </c>
      <c r="I61" s="39" t="e">
        <f>_xll.qlRateHelperLatestDate($D61)</f>
        <v>#VALUE!</v>
      </c>
      <c r="J61" s="34" t="e">
        <v>#N/A</v>
      </c>
    </row>
    <row r="62" spans="4:10" x14ac:dyDescent="0.2">
      <c r="D62" s="42" t="e">
        <v>#N/A</v>
      </c>
      <c r="E62" s="42" t="e">
        <f>_xll.qlRateHelperQuoteName(D62)</f>
        <v>#VALUE!</v>
      </c>
      <c r="F62" s="41" t="e">
        <f>_xll.qlRateHelperRate($D62)</f>
        <v>#VALUE!</v>
      </c>
      <c r="G62" s="41" t="str">
        <f>IF(ISERROR(_xll.qlSwapRateHelperSpread($D62)),IF(ISERROR(_xll.qlFuturesRateHelperConvexityAdjustment($D62)),"--",_xll.qlFuturesRateHelperConvexityAdjustment($D62)),_xll.qlSwapRateHelperSpread($D62))</f>
        <v>--</v>
      </c>
      <c r="H62" s="40" t="e">
        <f>_xll.qlRateHelperEarliestDate($D62)</f>
        <v>#VALUE!</v>
      </c>
      <c r="I62" s="39" t="e">
        <f>_xll.qlRateHelperLatestDate($D62)</f>
        <v>#VALUE!</v>
      </c>
      <c r="J62" s="34" t="e">
        <v>#N/A</v>
      </c>
    </row>
    <row r="63" spans="4:10" x14ac:dyDescent="0.2">
      <c r="D63" s="42" t="e">
        <v>#N/A</v>
      </c>
      <c r="E63" s="42" t="e">
        <f>_xll.qlRateHelperQuoteName(D63)</f>
        <v>#VALUE!</v>
      </c>
      <c r="F63" s="41" t="e">
        <f>_xll.qlRateHelperRate($D63)</f>
        <v>#VALUE!</v>
      </c>
      <c r="G63" s="41" t="str">
        <f>IF(ISERROR(_xll.qlSwapRateHelperSpread($D63)),IF(ISERROR(_xll.qlFuturesRateHelperConvexityAdjustment($D63)),"--",_xll.qlFuturesRateHelperConvexityAdjustment($D63)),_xll.qlSwapRateHelperSpread($D63))</f>
        <v>--</v>
      </c>
      <c r="H63" s="40" t="e">
        <f>_xll.qlRateHelperEarliestDate($D63)</f>
        <v>#VALUE!</v>
      </c>
      <c r="I63" s="39" t="e">
        <f>_xll.qlRateHelperLatestDate($D63)</f>
        <v>#VALUE!</v>
      </c>
      <c r="J63" s="34" t="e">
        <v>#N/A</v>
      </c>
    </row>
    <row r="64" spans="4:10" x14ac:dyDescent="0.2">
      <c r="D64" s="42" t="e">
        <v>#N/A</v>
      </c>
      <c r="E64" s="42" t="e">
        <f>_xll.qlRateHelperQuoteName(D64)</f>
        <v>#VALUE!</v>
      </c>
      <c r="F64" s="41" t="e">
        <f>_xll.qlRateHelperRate($D64)</f>
        <v>#VALUE!</v>
      </c>
      <c r="G64" s="41" t="str">
        <f>IF(ISERROR(_xll.qlSwapRateHelperSpread($D64)),IF(ISERROR(_xll.qlFuturesRateHelperConvexityAdjustment($D64)),"--",_xll.qlFuturesRateHelperConvexityAdjustment($D64)),_xll.qlSwapRateHelperSpread($D64))</f>
        <v>--</v>
      </c>
      <c r="H64" s="40" t="e">
        <f>_xll.qlRateHelperEarliestDate($D64)</f>
        <v>#VALUE!</v>
      </c>
      <c r="I64" s="39" t="e">
        <f>_xll.qlRateHelperLatestDate($D64)</f>
        <v>#VALUE!</v>
      </c>
      <c r="J64" s="34" t="e">
        <v>#N/A</v>
      </c>
    </row>
    <row r="65" spans="4:10" x14ac:dyDescent="0.2">
      <c r="D65" s="42" t="e">
        <v>#N/A</v>
      </c>
      <c r="E65" s="42" t="e">
        <f>_xll.qlRateHelperQuoteName(D65)</f>
        <v>#VALUE!</v>
      </c>
      <c r="F65" s="41" t="e">
        <f>_xll.qlRateHelperRate($D65)</f>
        <v>#VALUE!</v>
      </c>
      <c r="G65" s="41" t="str">
        <f>IF(ISERROR(_xll.qlSwapRateHelperSpread($D65)),IF(ISERROR(_xll.qlFuturesRateHelperConvexityAdjustment($D65)),"--",_xll.qlFuturesRateHelperConvexityAdjustment($D65)),_xll.qlSwapRateHelperSpread($D65))</f>
        <v>--</v>
      </c>
      <c r="H65" s="40" t="e">
        <f>_xll.qlRateHelperEarliestDate($D65)</f>
        <v>#VALUE!</v>
      </c>
      <c r="I65" s="39" t="e">
        <f>_xll.qlRateHelperLatestDate($D65)</f>
        <v>#VALUE!</v>
      </c>
      <c r="J65" s="34" t="e">
        <v>#N/A</v>
      </c>
    </row>
    <row r="66" spans="4:10" x14ac:dyDescent="0.2">
      <c r="D66" s="42" t="e">
        <v>#N/A</v>
      </c>
      <c r="E66" s="42" t="e">
        <f>_xll.qlRateHelperQuoteName(D66)</f>
        <v>#VALUE!</v>
      </c>
      <c r="F66" s="41" t="e">
        <f>_xll.qlRateHelperRate($D66)</f>
        <v>#VALUE!</v>
      </c>
      <c r="G66" s="41" t="str">
        <f>IF(ISERROR(_xll.qlSwapRateHelperSpread($D66)),IF(ISERROR(_xll.qlFuturesRateHelperConvexityAdjustment($D66)),"--",_xll.qlFuturesRateHelperConvexityAdjustment($D66)),_xll.qlSwapRateHelperSpread($D66))</f>
        <v>--</v>
      </c>
      <c r="H66" s="40" t="e">
        <f>_xll.qlRateHelperEarliestDate($D66)</f>
        <v>#VALUE!</v>
      </c>
      <c r="I66" s="39" t="e">
        <f>_xll.qlRateHelperLatestDate($D66)</f>
        <v>#VALUE!</v>
      </c>
      <c r="J66" s="34" t="e">
        <v>#N/A</v>
      </c>
    </row>
    <row r="67" spans="4:10" x14ac:dyDescent="0.2">
      <c r="D67" s="42" t="e">
        <v>#N/A</v>
      </c>
      <c r="E67" s="42" t="e">
        <f>_xll.qlRateHelperQuoteName(D67)</f>
        <v>#VALUE!</v>
      </c>
      <c r="F67" s="41" t="e">
        <f>_xll.qlRateHelperRate($D67)</f>
        <v>#VALUE!</v>
      </c>
      <c r="G67" s="41" t="str">
        <f>IF(ISERROR(_xll.qlSwapRateHelperSpread($D67)),IF(ISERROR(_xll.qlFuturesRateHelperConvexityAdjustment($D67)),"--",_xll.qlFuturesRateHelperConvexityAdjustment($D67)),_xll.qlSwapRateHelperSpread($D67))</f>
        <v>--</v>
      </c>
      <c r="H67" s="40" t="e">
        <f>_xll.qlRateHelperEarliestDate($D67)</f>
        <v>#VALUE!</v>
      </c>
      <c r="I67" s="39" t="e">
        <f>_xll.qlRateHelperLatestDate($D67)</f>
        <v>#VALUE!</v>
      </c>
      <c r="J67" s="34" t="e">
        <v>#N/A</v>
      </c>
    </row>
    <row r="68" spans="4:10" x14ac:dyDescent="0.2">
      <c r="D68" s="42" t="e">
        <v>#N/A</v>
      </c>
      <c r="E68" s="42" t="e">
        <f>_xll.qlRateHelperQuoteName(D68)</f>
        <v>#VALUE!</v>
      </c>
      <c r="F68" s="41" t="e">
        <f>_xll.qlRateHelperRate($D68)</f>
        <v>#VALUE!</v>
      </c>
      <c r="G68" s="41" t="str">
        <f>IF(ISERROR(_xll.qlSwapRateHelperSpread($D68)),IF(ISERROR(_xll.qlFuturesRateHelperConvexityAdjustment($D68)),"--",_xll.qlFuturesRateHelperConvexityAdjustment($D68)),_xll.qlSwapRateHelperSpread($D68))</f>
        <v>--</v>
      </c>
      <c r="H68" s="40" t="e">
        <f>_xll.qlRateHelperEarliestDate($D68)</f>
        <v>#VALUE!</v>
      </c>
      <c r="I68" s="39" t="e">
        <f>_xll.qlRateHelperLatestDate($D68)</f>
        <v>#VALUE!</v>
      </c>
      <c r="J68" s="34" t="e">
        <v>#N/A</v>
      </c>
    </row>
    <row r="69" spans="4:10" x14ac:dyDescent="0.2">
      <c r="D69" s="42" t="e">
        <v>#N/A</v>
      </c>
      <c r="E69" s="42" t="e">
        <f>_xll.qlRateHelperQuoteName(D69)</f>
        <v>#VALUE!</v>
      </c>
      <c r="F69" s="41" t="e">
        <f>_xll.qlRateHelperRate($D69)</f>
        <v>#VALUE!</v>
      </c>
      <c r="G69" s="41" t="str">
        <f>IF(ISERROR(_xll.qlSwapRateHelperSpread($D69)),IF(ISERROR(_xll.qlFuturesRateHelperConvexityAdjustment($D69)),"--",_xll.qlFuturesRateHelperConvexityAdjustment($D69)),_xll.qlSwapRateHelperSpread($D69))</f>
        <v>--</v>
      </c>
      <c r="H69" s="40" t="e">
        <f>_xll.qlRateHelperEarliestDate($D69)</f>
        <v>#VALUE!</v>
      </c>
      <c r="I69" s="39" t="e">
        <f>_xll.qlRateHelperLatestDate($D69)</f>
        <v>#VALUE!</v>
      </c>
      <c r="J69" s="34" t="e">
        <v>#N/A</v>
      </c>
    </row>
    <row r="70" spans="4:10" x14ac:dyDescent="0.2">
      <c r="D70" s="42" t="e">
        <v>#N/A</v>
      </c>
      <c r="E70" s="42" t="e">
        <f>_xll.qlRateHelperQuoteName(D70)</f>
        <v>#VALUE!</v>
      </c>
      <c r="F70" s="41" t="e">
        <f>_xll.qlRateHelperRate($D70)</f>
        <v>#VALUE!</v>
      </c>
      <c r="G70" s="41" t="str">
        <f>IF(ISERROR(_xll.qlSwapRateHelperSpread($D70)),IF(ISERROR(_xll.qlFuturesRateHelperConvexityAdjustment($D70)),"--",_xll.qlFuturesRateHelperConvexityAdjustment($D70)),_xll.qlSwapRateHelperSpread($D70))</f>
        <v>--</v>
      </c>
      <c r="H70" s="40" t="e">
        <f>_xll.qlRateHelperEarliestDate($D70)</f>
        <v>#VALUE!</v>
      </c>
      <c r="I70" s="39" t="e">
        <f>_xll.qlRateHelperLatestDate($D70)</f>
        <v>#VALUE!</v>
      </c>
      <c r="J70" s="34" t="e">
        <v>#N/A</v>
      </c>
    </row>
    <row r="71" spans="4:10" x14ac:dyDescent="0.2">
      <c r="D71" s="42" t="e">
        <v>#N/A</v>
      </c>
      <c r="E71" s="42" t="e">
        <f>_xll.qlRateHelperQuoteName(D71)</f>
        <v>#VALUE!</v>
      </c>
      <c r="F71" s="41" t="e">
        <f>_xll.qlRateHelperRate($D71)</f>
        <v>#VALUE!</v>
      </c>
      <c r="G71" s="41" t="str">
        <f>IF(ISERROR(_xll.qlSwapRateHelperSpread($D71)),IF(ISERROR(_xll.qlFuturesRateHelperConvexityAdjustment($D71)),"--",_xll.qlFuturesRateHelperConvexityAdjustment($D71)),_xll.qlSwapRateHelperSpread($D71))</f>
        <v>--</v>
      </c>
      <c r="H71" s="40" t="e">
        <f>_xll.qlRateHelperEarliestDate($D71)</f>
        <v>#VALUE!</v>
      </c>
      <c r="I71" s="39" t="e">
        <f>_xll.qlRateHelperLatestDate($D71)</f>
        <v>#VALUE!</v>
      </c>
      <c r="J71" s="34" t="e">
        <v>#N/A</v>
      </c>
    </row>
    <row r="72" spans="4:10" x14ac:dyDescent="0.2">
      <c r="D72" s="42" t="e">
        <v>#N/A</v>
      </c>
      <c r="E72" s="42" t="e">
        <f>_xll.qlRateHelperQuoteName(D72)</f>
        <v>#VALUE!</v>
      </c>
      <c r="F72" s="41" t="e">
        <f>_xll.qlRateHelperRate($D72)</f>
        <v>#VALUE!</v>
      </c>
      <c r="G72" s="41" t="str">
        <f>IF(ISERROR(_xll.qlSwapRateHelperSpread($D72)),IF(ISERROR(_xll.qlFuturesRateHelperConvexityAdjustment($D72)),"--",_xll.qlFuturesRateHelperConvexityAdjustment($D72)),_xll.qlSwapRateHelperSpread($D72))</f>
        <v>--</v>
      </c>
      <c r="H72" s="40" t="e">
        <f>_xll.qlRateHelperEarliestDate($D72)</f>
        <v>#VALUE!</v>
      </c>
      <c r="I72" s="39" t="e">
        <f>_xll.qlRateHelperLatestDate($D72)</f>
        <v>#VALUE!</v>
      </c>
      <c r="J72" s="34" t="e">
        <v>#N/A</v>
      </c>
    </row>
    <row r="73" spans="4:10" x14ac:dyDescent="0.2">
      <c r="D73" s="42" t="e">
        <v>#N/A</v>
      </c>
      <c r="E73" s="42" t="e">
        <f>_xll.qlRateHelperQuoteName(D73)</f>
        <v>#VALUE!</v>
      </c>
      <c r="F73" s="41" t="e">
        <f>_xll.qlRateHelperRate($D73)</f>
        <v>#VALUE!</v>
      </c>
      <c r="G73" s="41" t="str">
        <f>IF(ISERROR(_xll.qlSwapRateHelperSpread($D73)),IF(ISERROR(_xll.qlFuturesRateHelperConvexityAdjustment($D73)),"--",_xll.qlFuturesRateHelperConvexityAdjustment($D73)),_xll.qlSwapRateHelperSpread($D73))</f>
        <v>--</v>
      </c>
      <c r="H73" s="40" t="e">
        <f>_xll.qlRateHelperEarliestDate($D73)</f>
        <v>#VALUE!</v>
      </c>
      <c r="I73" s="39" t="e">
        <f>_xll.qlRateHelperLatestDate($D73)</f>
        <v>#VALUE!</v>
      </c>
      <c r="J73" s="34" t="e">
        <v>#N/A</v>
      </c>
    </row>
    <row r="74" spans="4:10" x14ac:dyDescent="0.2">
      <c r="D74" s="42" t="e">
        <v>#N/A</v>
      </c>
      <c r="E74" s="42" t="e">
        <f>_xll.qlRateHelperQuoteName(D74)</f>
        <v>#VALUE!</v>
      </c>
      <c r="F74" s="41" t="e">
        <f>_xll.qlRateHelperRate($D74)</f>
        <v>#VALUE!</v>
      </c>
      <c r="G74" s="41" t="str">
        <f>IF(ISERROR(_xll.qlSwapRateHelperSpread($D74)),IF(ISERROR(_xll.qlFuturesRateHelperConvexityAdjustment($D74)),"--",_xll.qlFuturesRateHelperConvexityAdjustment($D74)),_xll.qlSwapRateHelperSpread($D74))</f>
        <v>--</v>
      </c>
      <c r="H74" s="40" t="e">
        <f>_xll.qlRateHelperEarliestDate($D74)</f>
        <v>#VALUE!</v>
      </c>
      <c r="I74" s="39" t="e">
        <f>_xll.qlRateHelperLatestDate($D74)</f>
        <v>#VALUE!</v>
      </c>
      <c r="J74" s="34" t="e">
        <v>#N/A</v>
      </c>
    </row>
    <row r="75" spans="4:10" x14ac:dyDescent="0.2">
      <c r="D75" s="42" t="e">
        <v>#N/A</v>
      </c>
      <c r="E75" s="42" t="e">
        <f>_xll.qlRateHelperQuoteName(D75)</f>
        <v>#VALUE!</v>
      </c>
      <c r="F75" s="41" t="e">
        <f>_xll.qlRateHelperRate($D75)</f>
        <v>#VALUE!</v>
      </c>
      <c r="G75" s="41" t="str">
        <f>IF(ISERROR(_xll.qlSwapRateHelperSpread($D75)),IF(ISERROR(_xll.qlFuturesRateHelperConvexityAdjustment($D75)),"--",_xll.qlFuturesRateHelperConvexityAdjustment($D75)),_xll.qlSwapRateHelperSpread($D75))</f>
        <v>--</v>
      </c>
      <c r="H75" s="40" t="e">
        <f>_xll.qlRateHelperEarliestDate($D75)</f>
        <v>#VALUE!</v>
      </c>
      <c r="I75" s="39" t="e">
        <f>_xll.qlRateHelperLatestDate($D75)</f>
        <v>#VALUE!</v>
      </c>
      <c r="J75" s="34" t="e">
        <v>#N/A</v>
      </c>
    </row>
    <row r="76" spans="4:10" x14ac:dyDescent="0.2">
      <c r="D76" s="42" t="e">
        <v>#N/A</v>
      </c>
      <c r="E76" s="42" t="e">
        <f>_xll.qlRateHelperQuoteName(D76)</f>
        <v>#VALUE!</v>
      </c>
      <c r="F76" s="41" t="e">
        <f>_xll.qlRateHelperRate($D76)</f>
        <v>#VALUE!</v>
      </c>
      <c r="G76" s="41" t="str">
        <f>IF(ISERROR(_xll.qlSwapRateHelperSpread($D76)),IF(ISERROR(_xll.qlFuturesRateHelperConvexityAdjustment($D76)),"--",_xll.qlFuturesRateHelperConvexityAdjustment($D76)),_xll.qlSwapRateHelperSpread($D76))</f>
        <v>--</v>
      </c>
      <c r="H76" s="40" t="e">
        <f>_xll.qlRateHelperEarliestDate($D76)</f>
        <v>#VALUE!</v>
      </c>
      <c r="I76" s="39" t="e">
        <f>_xll.qlRateHelperLatestDate($D76)</f>
        <v>#VALUE!</v>
      </c>
      <c r="J76" s="34" t="e">
        <v>#N/A</v>
      </c>
    </row>
    <row r="77" spans="4:10" x14ac:dyDescent="0.2">
      <c r="D77" s="42" t="e">
        <v>#N/A</v>
      </c>
      <c r="E77" s="42" t="e">
        <f>_xll.qlRateHelperQuoteName(D77)</f>
        <v>#VALUE!</v>
      </c>
      <c r="F77" s="41" t="e">
        <f>_xll.qlRateHelperRate($D77)</f>
        <v>#VALUE!</v>
      </c>
      <c r="G77" s="41" t="str">
        <f>IF(ISERROR(_xll.qlSwapRateHelperSpread($D77)),IF(ISERROR(_xll.qlFuturesRateHelperConvexityAdjustment($D77)),"--",_xll.qlFuturesRateHelperConvexityAdjustment($D77)),_xll.qlSwapRateHelperSpread($D77))</f>
        <v>--</v>
      </c>
      <c r="H77" s="40" t="e">
        <f>_xll.qlRateHelperEarliestDate($D77)</f>
        <v>#VALUE!</v>
      </c>
      <c r="I77" s="39" t="e">
        <f>_xll.qlRateHelperLatestDate($D77)</f>
        <v>#VALUE!</v>
      </c>
      <c r="J77" s="34" t="e">
        <v>#N/A</v>
      </c>
    </row>
    <row r="78" spans="4:10" x14ac:dyDescent="0.2">
      <c r="D78" s="42" t="e">
        <v>#N/A</v>
      </c>
      <c r="E78" s="42" t="e">
        <f>_xll.qlRateHelperQuoteName(D78)</f>
        <v>#VALUE!</v>
      </c>
      <c r="F78" s="41" t="e">
        <f>_xll.qlRateHelperRate($D78)</f>
        <v>#VALUE!</v>
      </c>
      <c r="G78" s="41" t="str">
        <f>IF(ISERROR(_xll.qlSwapRateHelperSpread($D78)),IF(ISERROR(_xll.qlFuturesRateHelperConvexityAdjustment($D78)),"--",_xll.qlFuturesRateHelperConvexityAdjustment($D78)),_xll.qlSwapRateHelperSpread($D78))</f>
        <v>--</v>
      </c>
      <c r="H78" s="40" t="e">
        <f>_xll.qlRateHelperEarliestDate($D78)</f>
        <v>#VALUE!</v>
      </c>
      <c r="I78" s="39" t="e">
        <f>_xll.qlRateHelperLatestDate($D78)</f>
        <v>#VALUE!</v>
      </c>
      <c r="J78" s="34" t="e">
        <v>#N/A</v>
      </c>
    </row>
    <row r="79" spans="4:10" x14ac:dyDescent="0.2">
      <c r="D79" s="42" t="e">
        <v>#N/A</v>
      </c>
      <c r="E79" s="42" t="e">
        <f>_xll.qlRateHelperQuoteName(D79)</f>
        <v>#VALUE!</v>
      </c>
      <c r="F79" s="41" t="e">
        <f>_xll.qlRateHelperRate($D79)</f>
        <v>#VALUE!</v>
      </c>
      <c r="G79" s="41" t="str">
        <f>IF(ISERROR(_xll.qlSwapRateHelperSpread($D79)),IF(ISERROR(_xll.qlFuturesRateHelperConvexityAdjustment($D79)),"--",_xll.qlFuturesRateHelperConvexityAdjustment($D79)),_xll.qlSwapRateHelperSpread($D79))</f>
        <v>--</v>
      </c>
      <c r="H79" s="40" t="e">
        <f>_xll.qlRateHelperEarliestDate($D79)</f>
        <v>#VALUE!</v>
      </c>
      <c r="I79" s="39" t="e">
        <f>_xll.qlRateHelperLatestDate($D79)</f>
        <v>#VALUE!</v>
      </c>
      <c r="J79" s="34" t="e">
        <v>#N/A</v>
      </c>
    </row>
    <row r="80" spans="4:10" x14ac:dyDescent="0.2">
      <c r="D80" s="42" t="e">
        <v>#N/A</v>
      </c>
      <c r="E80" s="42" t="e">
        <f>_xll.qlRateHelperQuoteName(D80)</f>
        <v>#VALUE!</v>
      </c>
      <c r="F80" s="41" t="e">
        <f>_xll.qlRateHelperRate($D80)</f>
        <v>#VALUE!</v>
      </c>
      <c r="G80" s="41" t="str">
        <f>IF(ISERROR(_xll.qlSwapRateHelperSpread($D80)),IF(ISERROR(_xll.qlFuturesRateHelperConvexityAdjustment($D80)),"--",_xll.qlFuturesRateHelperConvexityAdjustment($D80)),_xll.qlSwapRateHelperSpread($D80))</f>
        <v>--</v>
      </c>
      <c r="H80" s="40" t="e">
        <f>_xll.qlRateHelperEarliestDate($D80)</f>
        <v>#VALUE!</v>
      </c>
      <c r="I80" s="39" t="e">
        <f>_xll.qlRateHelperLatestDate($D80)</f>
        <v>#VALUE!</v>
      </c>
      <c r="J80" s="34" t="e">
        <v>#N/A</v>
      </c>
    </row>
    <row r="81" spans="4:10" x14ac:dyDescent="0.2">
      <c r="D81" s="42" t="e">
        <v>#N/A</v>
      </c>
      <c r="E81" s="42" t="e">
        <f>_xll.qlRateHelperQuoteName(D81)</f>
        <v>#VALUE!</v>
      </c>
      <c r="F81" s="41" t="e">
        <f>_xll.qlRateHelperRate($D81)</f>
        <v>#VALUE!</v>
      </c>
      <c r="G81" s="41" t="str">
        <f>IF(ISERROR(_xll.qlSwapRateHelperSpread($D81)),IF(ISERROR(_xll.qlFuturesRateHelperConvexityAdjustment($D81)),"--",_xll.qlFuturesRateHelperConvexityAdjustment($D81)),_xll.qlSwapRateHelperSpread($D81))</f>
        <v>--</v>
      </c>
      <c r="H81" s="40" t="e">
        <f>_xll.qlRateHelperEarliestDate($D81)</f>
        <v>#VALUE!</v>
      </c>
      <c r="I81" s="39" t="e">
        <f>_xll.qlRateHelperLatestDate($D81)</f>
        <v>#VALUE!</v>
      </c>
      <c r="J81" s="34" t="e">
        <v>#N/A</v>
      </c>
    </row>
    <row r="82" spans="4:10" x14ac:dyDescent="0.2">
      <c r="D82" s="42" t="e">
        <v>#N/A</v>
      </c>
      <c r="E82" s="42" t="e">
        <f>_xll.qlRateHelperQuoteName(D82)</f>
        <v>#VALUE!</v>
      </c>
      <c r="F82" s="41" t="e">
        <f>_xll.qlRateHelperRate($D82)</f>
        <v>#VALUE!</v>
      </c>
      <c r="G82" s="41" t="str">
        <f>IF(ISERROR(_xll.qlSwapRateHelperSpread($D82)),IF(ISERROR(_xll.qlFuturesRateHelperConvexityAdjustment($D82)),"--",_xll.qlFuturesRateHelperConvexityAdjustment($D82)),_xll.qlSwapRateHelperSpread($D82))</f>
        <v>--</v>
      </c>
      <c r="H82" s="40" t="e">
        <f>_xll.qlRateHelperEarliestDate($D82)</f>
        <v>#VALUE!</v>
      </c>
      <c r="I82" s="39" t="e">
        <f>_xll.qlRateHelperLatestDate($D82)</f>
        <v>#VALUE!</v>
      </c>
      <c r="J82" s="34" t="e">
        <v>#N/A</v>
      </c>
    </row>
    <row r="83" spans="4:10" x14ac:dyDescent="0.2">
      <c r="D83" s="42" t="e">
        <v>#N/A</v>
      </c>
      <c r="E83" s="42" t="e">
        <f>_xll.qlRateHelperQuoteName(D83)</f>
        <v>#VALUE!</v>
      </c>
      <c r="F83" s="41" t="e">
        <f>_xll.qlRateHelperRate($D83)</f>
        <v>#VALUE!</v>
      </c>
      <c r="G83" s="41" t="str">
        <f>IF(ISERROR(_xll.qlSwapRateHelperSpread($D83)),IF(ISERROR(_xll.qlFuturesRateHelperConvexityAdjustment($D83)),"--",_xll.qlFuturesRateHelperConvexityAdjustment($D83)),_xll.qlSwapRateHelperSpread($D83))</f>
        <v>--</v>
      </c>
      <c r="H83" s="40" t="e">
        <f>_xll.qlRateHelperEarliestDate($D83)</f>
        <v>#VALUE!</v>
      </c>
      <c r="I83" s="39" t="e">
        <f>_xll.qlRateHelperLatestDate($D83)</f>
        <v>#VALUE!</v>
      </c>
      <c r="J83" s="34" t="e">
        <v>#N/A</v>
      </c>
    </row>
    <row r="84" spans="4:10" x14ac:dyDescent="0.2">
      <c r="D84" s="42" t="e">
        <v>#N/A</v>
      </c>
      <c r="E84" s="42" t="e">
        <f>_xll.qlRateHelperQuoteName(D84)</f>
        <v>#VALUE!</v>
      </c>
      <c r="F84" s="41" t="e">
        <f>_xll.qlRateHelperRate($D84)</f>
        <v>#VALUE!</v>
      </c>
      <c r="G84" s="41" t="str">
        <f>IF(ISERROR(_xll.qlSwapRateHelperSpread($D84)),IF(ISERROR(_xll.qlFuturesRateHelperConvexityAdjustment($D84)),"--",_xll.qlFuturesRateHelperConvexityAdjustment($D84)),_xll.qlSwapRateHelperSpread($D84))</f>
        <v>--</v>
      </c>
      <c r="H84" s="40" t="e">
        <f>_xll.qlRateHelperEarliestDate($D84)</f>
        <v>#VALUE!</v>
      </c>
      <c r="I84" s="39" t="e">
        <f>_xll.qlRateHelperLatestDate($D84)</f>
        <v>#VALUE!</v>
      </c>
      <c r="J84" s="34" t="e">
        <v>#N/A</v>
      </c>
    </row>
    <row r="85" spans="4:10" x14ac:dyDescent="0.2">
      <c r="D85" s="42" t="e">
        <v>#N/A</v>
      </c>
      <c r="E85" s="42" t="e">
        <f>_xll.qlRateHelperQuoteName(D85)</f>
        <v>#VALUE!</v>
      </c>
      <c r="F85" s="41" t="e">
        <f>_xll.qlRateHelperRate($D85)</f>
        <v>#VALUE!</v>
      </c>
      <c r="G85" s="41" t="str">
        <f>IF(ISERROR(_xll.qlSwapRateHelperSpread($D85)),IF(ISERROR(_xll.qlFuturesRateHelperConvexityAdjustment($D85)),"--",_xll.qlFuturesRateHelperConvexityAdjustment($D85)),_xll.qlSwapRateHelperSpread($D85))</f>
        <v>--</v>
      </c>
      <c r="H85" s="40" t="e">
        <f>_xll.qlRateHelperEarliestDate($D85)</f>
        <v>#VALUE!</v>
      </c>
      <c r="I85" s="39" t="e">
        <f>_xll.qlRateHelperLatestDate($D85)</f>
        <v>#VALUE!</v>
      </c>
      <c r="J85" s="34" t="e">
        <v>#N/A</v>
      </c>
    </row>
    <row r="86" spans="4:10" x14ac:dyDescent="0.2">
      <c r="D86" s="42" t="e">
        <v>#N/A</v>
      </c>
      <c r="E86" s="42" t="e">
        <f>_xll.qlRateHelperQuoteName(D86)</f>
        <v>#VALUE!</v>
      </c>
      <c r="F86" s="41" t="e">
        <f>_xll.qlRateHelperRate($D86)</f>
        <v>#VALUE!</v>
      </c>
      <c r="G86" s="41" t="str">
        <f>IF(ISERROR(_xll.qlSwapRateHelperSpread($D86)),IF(ISERROR(_xll.qlFuturesRateHelperConvexityAdjustment($D86)),"--",_xll.qlFuturesRateHelperConvexityAdjustment($D86)),_xll.qlSwapRateHelperSpread($D86))</f>
        <v>--</v>
      </c>
      <c r="H86" s="40" t="e">
        <f>_xll.qlRateHelperEarliestDate($D86)</f>
        <v>#VALUE!</v>
      </c>
      <c r="I86" s="39" t="e">
        <f>_xll.qlRateHelperLatestDate($D86)</f>
        <v>#VALUE!</v>
      </c>
      <c r="J86" s="34" t="e">
        <v>#N/A</v>
      </c>
    </row>
    <row r="87" spans="4:10" x14ac:dyDescent="0.2">
      <c r="D87" s="42" t="e">
        <v>#N/A</v>
      </c>
      <c r="E87" s="42" t="e">
        <f>_xll.qlRateHelperQuoteName(D87)</f>
        <v>#VALUE!</v>
      </c>
      <c r="F87" s="41" t="e">
        <f>_xll.qlRateHelperRate($D87)</f>
        <v>#VALUE!</v>
      </c>
      <c r="G87" s="41" t="str">
        <f>IF(ISERROR(_xll.qlSwapRateHelperSpread($D87)),IF(ISERROR(_xll.qlFuturesRateHelperConvexityAdjustment($D87)),"--",_xll.qlFuturesRateHelperConvexityAdjustment($D87)),_xll.qlSwapRateHelperSpread($D87))</f>
        <v>--</v>
      </c>
      <c r="H87" s="40" t="e">
        <f>_xll.qlRateHelperEarliestDate($D87)</f>
        <v>#VALUE!</v>
      </c>
      <c r="I87" s="39" t="e">
        <f>_xll.qlRateHelperLatestDate($D87)</f>
        <v>#VALUE!</v>
      </c>
      <c r="J87" s="34" t="e">
        <v>#N/A</v>
      </c>
    </row>
    <row r="88" spans="4:10" x14ac:dyDescent="0.2">
      <c r="D88" s="42" t="e">
        <v>#N/A</v>
      </c>
      <c r="E88" s="42" t="e">
        <f>_xll.qlRateHelperQuoteName(D88)</f>
        <v>#VALUE!</v>
      </c>
      <c r="F88" s="41" t="e">
        <f>_xll.qlRateHelperRate($D88)</f>
        <v>#VALUE!</v>
      </c>
      <c r="G88" s="41" t="str">
        <f>IF(ISERROR(_xll.qlSwapRateHelperSpread($D88)),IF(ISERROR(_xll.qlFuturesRateHelperConvexityAdjustment($D88)),"--",_xll.qlFuturesRateHelperConvexityAdjustment($D88)),_xll.qlSwapRateHelperSpread($D88))</f>
        <v>--</v>
      </c>
      <c r="H88" s="40" t="e">
        <f>_xll.qlRateHelperEarliestDate($D88)</f>
        <v>#VALUE!</v>
      </c>
      <c r="I88" s="39" t="e">
        <f>_xll.qlRateHelperLatestDate($D88)</f>
        <v>#VALUE!</v>
      </c>
      <c r="J88" s="34" t="e">
        <v>#N/A</v>
      </c>
    </row>
    <row r="89" spans="4:10" x14ac:dyDescent="0.2">
      <c r="D89" s="42" t="e">
        <v>#N/A</v>
      </c>
      <c r="E89" s="42" t="e">
        <f>_xll.qlRateHelperQuoteName(D89)</f>
        <v>#VALUE!</v>
      </c>
      <c r="F89" s="41" t="e">
        <f>_xll.qlRateHelperRate($D89)</f>
        <v>#VALUE!</v>
      </c>
      <c r="G89" s="41" t="str">
        <f>IF(ISERROR(_xll.qlSwapRateHelperSpread($D89)),IF(ISERROR(_xll.qlFuturesRateHelperConvexityAdjustment($D89)),"--",_xll.qlFuturesRateHelperConvexityAdjustment($D89)),_xll.qlSwapRateHelperSpread($D89))</f>
        <v>--</v>
      </c>
      <c r="H89" s="40" t="e">
        <f>_xll.qlRateHelperEarliestDate($D89)</f>
        <v>#VALUE!</v>
      </c>
      <c r="I89" s="39" t="e">
        <f>_xll.qlRateHelperLatestDate($D89)</f>
        <v>#VALUE!</v>
      </c>
      <c r="J89" s="34" t="e">
        <v>#N/A</v>
      </c>
    </row>
    <row r="90" spans="4:10" x14ac:dyDescent="0.2">
      <c r="D90" s="42" t="e">
        <v>#N/A</v>
      </c>
      <c r="E90" s="42" t="e">
        <f>_xll.qlRateHelperQuoteName(D90)</f>
        <v>#VALUE!</v>
      </c>
      <c r="F90" s="41" t="e">
        <f>_xll.qlRateHelperRate($D90)</f>
        <v>#VALUE!</v>
      </c>
      <c r="G90" s="41" t="str">
        <f>IF(ISERROR(_xll.qlSwapRateHelperSpread($D90)),IF(ISERROR(_xll.qlFuturesRateHelperConvexityAdjustment($D90)),"--",_xll.qlFuturesRateHelperConvexityAdjustment($D90)),_xll.qlSwapRateHelperSpread($D90))</f>
        <v>--</v>
      </c>
      <c r="H90" s="40" t="e">
        <f>_xll.qlRateHelperEarliestDate($D90)</f>
        <v>#VALUE!</v>
      </c>
      <c r="I90" s="39" t="e">
        <f>_xll.qlRateHelperLatestDate($D90)</f>
        <v>#VALUE!</v>
      </c>
      <c r="J90" s="34" t="e">
        <v>#N/A</v>
      </c>
    </row>
    <row r="91" spans="4:10" x14ac:dyDescent="0.2">
      <c r="D91" s="42" t="e">
        <v>#N/A</v>
      </c>
      <c r="E91" s="42" t="e">
        <f>_xll.qlRateHelperQuoteName(D91)</f>
        <v>#VALUE!</v>
      </c>
      <c r="F91" s="41" t="e">
        <f>_xll.qlRateHelperRate($D91)</f>
        <v>#VALUE!</v>
      </c>
      <c r="G91" s="41" t="str">
        <f>IF(ISERROR(_xll.qlSwapRateHelperSpread($D91)),IF(ISERROR(_xll.qlFuturesRateHelperConvexityAdjustment($D91)),"--",_xll.qlFuturesRateHelperConvexityAdjustment($D91)),_xll.qlSwapRateHelperSpread($D91))</f>
        <v>--</v>
      </c>
      <c r="H91" s="40" t="e">
        <f>_xll.qlRateHelperEarliestDate($D91)</f>
        <v>#VALUE!</v>
      </c>
      <c r="I91" s="39" t="e">
        <f>_xll.qlRateHelperLatestDate($D91)</f>
        <v>#VALUE!</v>
      </c>
      <c r="J91" s="34" t="e">
        <v>#N/A</v>
      </c>
    </row>
    <row r="92" spans="4:10" x14ac:dyDescent="0.2">
      <c r="D92" s="42" t="e">
        <v>#N/A</v>
      </c>
      <c r="E92" s="42" t="e">
        <f>_xll.qlRateHelperQuoteName(D92)</f>
        <v>#VALUE!</v>
      </c>
      <c r="F92" s="41" t="e">
        <f>_xll.qlRateHelperRate($D92)</f>
        <v>#VALUE!</v>
      </c>
      <c r="G92" s="41" t="str">
        <f>IF(ISERROR(_xll.qlSwapRateHelperSpread($D92)),IF(ISERROR(_xll.qlFuturesRateHelperConvexityAdjustment($D92)),"--",_xll.qlFuturesRateHelperConvexityAdjustment($D92)),_xll.qlSwapRateHelperSpread($D92))</f>
        <v>--</v>
      </c>
      <c r="H92" s="40" t="e">
        <f>_xll.qlRateHelperEarliestDate($D92)</f>
        <v>#VALUE!</v>
      </c>
      <c r="I92" s="39" t="e">
        <f>_xll.qlRateHelperLatestDate($D92)</f>
        <v>#VALUE!</v>
      </c>
      <c r="J92" s="34" t="e">
        <v>#N/A</v>
      </c>
    </row>
    <row r="93" spans="4:10" x14ac:dyDescent="0.2">
      <c r="D93" s="42" t="e">
        <v>#N/A</v>
      </c>
      <c r="E93" s="42" t="e">
        <f>_xll.qlRateHelperQuoteName(D93)</f>
        <v>#VALUE!</v>
      </c>
      <c r="F93" s="41" t="e">
        <f>_xll.qlRateHelperRate($D93)</f>
        <v>#VALUE!</v>
      </c>
      <c r="G93" s="41" t="str">
        <f>IF(ISERROR(_xll.qlSwapRateHelperSpread($D93)),IF(ISERROR(_xll.qlFuturesRateHelperConvexityAdjustment($D93)),"--",_xll.qlFuturesRateHelperConvexityAdjustment($D93)),_xll.qlSwapRateHelperSpread($D93))</f>
        <v>--</v>
      </c>
      <c r="H93" s="40" t="e">
        <f>_xll.qlRateHelperEarliestDate($D93)</f>
        <v>#VALUE!</v>
      </c>
      <c r="I93" s="39" t="e">
        <f>_xll.qlRateHelperLatestDate($D93)</f>
        <v>#VALUE!</v>
      </c>
      <c r="J93" s="34" t="e">
        <v>#N/A</v>
      </c>
    </row>
    <row r="94" spans="4:10" x14ac:dyDescent="0.2">
      <c r="D94" s="42" t="e">
        <v>#N/A</v>
      </c>
      <c r="E94" s="42" t="e">
        <f>_xll.qlRateHelperQuoteName(D94)</f>
        <v>#VALUE!</v>
      </c>
      <c r="F94" s="41" t="e">
        <f>_xll.qlRateHelperRate($D94)</f>
        <v>#VALUE!</v>
      </c>
      <c r="G94" s="41" t="str">
        <f>IF(ISERROR(_xll.qlSwapRateHelperSpread($D94)),IF(ISERROR(_xll.qlFuturesRateHelperConvexityAdjustment($D94)),"--",_xll.qlFuturesRateHelperConvexityAdjustment($D94)),_xll.qlSwapRateHelperSpread($D94))</f>
        <v>--</v>
      </c>
      <c r="H94" s="40" t="e">
        <f>_xll.qlRateHelperEarliestDate($D94)</f>
        <v>#VALUE!</v>
      </c>
      <c r="I94" s="39" t="e">
        <f>_xll.qlRateHelperLatestDate($D94)</f>
        <v>#VALUE!</v>
      </c>
      <c r="J94" s="34" t="e">
        <v>#N/A</v>
      </c>
    </row>
    <row r="95" spans="4:10" x14ac:dyDescent="0.2">
      <c r="D95" s="42" t="e">
        <v>#N/A</v>
      </c>
      <c r="E95" s="42" t="e">
        <f>_xll.qlRateHelperQuoteName(D95)</f>
        <v>#VALUE!</v>
      </c>
      <c r="F95" s="41" t="e">
        <f>_xll.qlRateHelperRate($D95)</f>
        <v>#VALUE!</v>
      </c>
      <c r="G95" s="41" t="str">
        <f>IF(ISERROR(_xll.qlSwapRateHelperSpread($D95)),IF(ISERROR(_xll.qlFuturesRateHelperConvexityAdjustment($D95)),"--",_xll.qlFuturesRateHelperConvexityAdjustment($D95)),_xll.qlSwapRateHelperSpread($D95))</f>
        <v>--</v>
      </c>
      <c r="H95" s="40" t="e">
        <f>_xll.qlRateHelperEarliestDate($D95)</f>
        <v>#VALUE!</v>
      </c>
      <c r="I95" s="39" t="e">
        <f>_xll.qlRateHelperLatestDate($D95)</f>
        <v>#VALUE!</v>
      </c>
      <c r="J95" s="34" t="e">
        <v>#N/A</v>
      </c>
    </row>
    <row r="96" spans="4:10" x14ac:dyDescent="0.2">
      <c r="D96" s="42" t="e">
        <v>#N/A</v>
      </c>
      <c r="E96" s="42" t="e">
        <f>_xll.qlRateHelperQuoteName(D96)</f>
        <v>#VALUE!</v>
      </c>
      <c r="F96" s="41" t="e">
        <f>_xll.qlRateHelperRate($D96)</f>
        <v>#VALUE!</v>
      </c>
      <c r="G96" s="41" t="str">
        <f>IF(ISERROR(_xll.qlSwapRateHelperSpread($D96)),IF(ISERROR(_xll.qlFuturesRateHelperConvexityAdjustment($D96)),"--",_xll.qlFuturesRateHelperConvexityAdjustment($D96)),_xll.qlSwapRateHelperSpread($D96))</f>
        <v>--</v>
      </c>
      <c r="H96" s="40" t="e">
        <f>_xll.qlRateHelperEarliestDate($D96)</f>
        <v>#VALUE!</v>
      </c>
      <c r="I96" s="39" t="e">
        <f>_xll.qlRateHelperLatestDate($D96)</f>
        <v>#VALUE!</v>
      </c>
      <c r="J96" s="34" t="e">
        <v>#N/A</v>
      </c>
    </row>
    <row r="97" spans="4:10" x14ac:dyDescent="0.2">
      <c r="D97" s="42" t="e">
        <v>#N/A</v>
      </c>
      <c r="E97" s="42" t="e">
        <f>_xll.qlRateHelperQuoteName(D97)</f>
        <v>#VALUE!</v>
      </c>
      <c r="F97" s="41" t="e">
        <f>_xll.qlRateHelperRate($D97)</f>
        <v>#VALUE!</v>
      </c>
      <c r="G97" s="41" t="str">
        <f>IF(ISERROR(_xll.qlSwapRateHelperSpread($D97)),IF(ISERROR(_xll.qlFuturesRateHelperConvexityAdjustment($D97)),"--",_xll.qlFuturesRateHelperConvexityAdjustment($D97)),_xll.qlSwapRateHelperSpread($D97))</f>
        <v>--</v>
      </c>
      <c r="H97" s="40" t="e">
        <f>_xll.qlRateHelperEarliestDate($D97)</f>
        <v>#VALUE!</v>
      </c>
      <c r="I97" s="39" t="e">
        <f>_xll.qlRateHelperLatestDate($D97)</f>
        <v>#VALUE!</v>
      </c>
      <c r="J97" s="34" t="e">
        <v>#N/A</v>
      </c>
    </row>
    <row r="98" spans="4:10" x14ac:dyDescent="0.2">
      <c r="D98" s="42" t="e">
        <v>#N/A</v>
      </c>
      <c r="E98" s="42" t="e">
        <f>_xll.qlRateHelperQuoteName(D98)</f>
        <v>#VALUE!</v>
      </c>
      <c r="F98" s="41" t="e">
        <f>_xll.qlRateHelperRate($D98)</f>
        <v>#VALUE!</v>
      </c>
      <c r="G98" s="41" t="str">
        <f>IF(ISERROR(_xll.qlSwapRateHelperSpread($D98)),IF(ISERROR(_xll.qlFuturesRateHelperConvexityAdjustment($D98)),"--",_xll.qlFuturesRateHelperConvexityAdjustment($D98)),_xll.qlSwapRateHelperSpread($D98))</f>
        <v>--</v>
      </c>
      <c r="H98" s="40" t="e">
        <f>_xll.qlRateHelperEarliestDate($D98)</f>
        <v>#VALUE!</v>
      </c>
      <c r="I98" s="39" t="e">
        <f>_xll.qlRateHelperLatestDate($D98)</f>
        <v>#VALUE!</v>
      </c>
      <c r="J98" s="34" t="e">
        <v>#N/A</v>
      </c>
    </row>
    <row r="99" spans="4:10" x14ac:dyDescent="0.2">
      <c r="D99" s="42" t="e">
        <v>#N/A</v>
      </c>
      <c r="E99" s="42" t="e">
        <f>_xll.qlRateHelperQuoteName(D99)</f>
        <v>#VALUE!</v>
      </c>
      <c r="F99" s="41" t="e">
        <f>_xll.qlRateHelperRate($D99)</f>
        <v>#VALUE!</v>
      </c>
      <c r="G99" s="41" t="str">
        <f>IF(ISERROR(_xll.qlSwapRateHelperSpread($D99)),IF(ISERROR(_xll.qlFuturesRateHelperConvexityAdjustment($D99)),"--",_xll.qlFuturesRateHelperConvexityAdjustment($D99)),_xll.qlSwapRateHelperSpread($D99))</f>
        <v>--</v>
      </c>
      <c r="H99" s="40" t="e">
        <f>_xll.qlRateHelperEarliestDate($D99)</f>
        <v>#VALUE!</v>
      </c>
      <c r="I99" s="39" t="e">
        <f>_xll.qlRateHelperLatestDate($D99)</f>
        <v>#VALUE!</v>
      </c>
      <c r="J99" s="34" t="e">
        <v>#N/A</v>
      </c>
    </row>
    <row r="100" spans="4:10" x14ac:dyDescent="0.2">
      <c r="D100" s="42" t="e">
        <v>#N/A</v>
      </c>
      <c r="E100" s="42" t="e">
        <f>_xll.qlRateHelperQuoteName(D100)</f>
        <v>#VALUE!</v>
      </c>
      <c r="F100" s="41" t="e">
        <f>_xll.qlRateHelperRate($D100)</f>
        <v>#VALUE!</v>
      </c>
      <c r="G100" s="41" t="str">
        <f>IF(ISERROR(_xll.qlSwapRateHelperSpread($D100)),IF(ISERROR(_xll.qlFuturesRateHelperConvexityAdjustment($D100)),"--",_xll.qlFuturesRateHelperConvexityAdjustment($D100)),_xll.qlSwapRateHelperSpread($D100))</f>
        <v>--</v>
      </c>
      <c r="H100" s="40" t="e">
        <f>_xll.qlRateHelperEarliestDate($D100)</f>
        <v>#VALUE!</v>
      </c>
      <c r="I100" s="39" t="e">
        <f>_xll.qlRateHelperLatestDate($D100)</f>
        <v>#VALUE!</v>
      </c>
      <c r="J100" s="34" t="e">
        <v>#N/A</v>
      </c>
    </row>
    <row r="101" spans="4:10" x14ac:dyDescent="0.2">
      <c r="D101" s="42" t="e">
        <v>#N/A</v>
      </c>
      <c r="E101" s="42" t="e">
        <f>_xll.qlRateHelperQuoteName(D101)</f>
        <v>#VALUE!</v>
      </c>
      <c r="F101" s="41" t="e">
        <f>_xll.qlRateHelperRate($D101)</f>
        <v>#VALUE!</v>
      </c>
      <c r="G101" s="41" t="str">
        <f>IF(ISERROR(_xll.qlSwapRateHelperSpread($D101)),IF(ISERROR(_xll.qlFuturesRateHelperConvexityAdjustment($D101)),"--",_xll.qlFuturesRateHelperConvexityAdjustment($D101)),_xll.qlSwapRateHelperSpread($D101))</f>
        <v>--</v>
      </c>
      <c r="H101" s="40" t="e">
        <f>_xll.qlRateHelperEarliestDate($D101)</f>
        <v>#VALUE!</v>
      </c>
      <c r="I101" s="39" t="e">
        <f>_xll.qlRateHelperLatestDate($D101)</f>
        <v>#VALUE!</v>
      </c>
      <c r="J101" s="34" t="e">
        <v>#N/A</v>
      </c>
    </row>
    <row r="102" spans="4:10" x14ac:dyDescent="0.2">
      <c r="D102" s="42" t="e">
        <v>#N/A</v>
      </c>
      <c r="E102" s="42" t="e">
        <f>_xll.qlRateHelperQuoteName(D102)</f>
        <v>#VALUE!</v>
      </c>
      <c r="F102" s="41" t="e">
        <f>_xll.qlRateHelperRate($D102)</f>
        <v>#VALUE!</v>
      </c>
      <c r="G102" s="41" t="str">
        <f>IF(ISERROR(_xll.qlSwapRateHelperSpread($D102)),IF(ISERROR(_xll.qlFuturesRateHelperConvexityAdjustment($D102)),"--",_xll.qlFuturesRateHelperConvexityAdjustment($D102)),_xll.qlSwapRateHelperSpread($D102))</f>
        <v>--</v>
      </c>
      <c r="H102" s="40" t="e">
        <f>_xll.qlRateHelperEarliestDate($D102)</f>
        <v>#VALUE!</v>
      </c>
      <c r="I102" s="39" t="e">
        <f>_xll.qlRateHelperLatestDate($D102)</f>
        <v>#VALUE!</v>
      </c>
      <c r="J102" s="34" t="e">
        <v>#N/A</v>
      </c>
    </row>
    <row r="103" spans="4:10" x14ac:dyDescent="0.2">
      <c r="D103" s="42" t="e">
        <v>#N/A</v>
      </c>
      <c r="E103" s="42" t="e">
        <f>_xll.qlRateHelperQuoteName(D103)</f>
        <v>#VALUE!</v>
      </c>
      <c r="F103" s="41" t="e">
        <f>_xll.qlRateHelperRate($D103)</f>
        <v>#VALUE!</v>
      </c>
      <c r="G103" s="41" t="str">
        <f>IF(ISERROR(_xll.qlSwapRateHelperSpread($D103)),IF(ISERROR(_xll.qlFuturesRateHelperConvexityAdjustment($D103)),"--",_xll.qlFuturesRateHelperConvexityAdjustment($D103)),_xll.qlSwapRateHelperSpread($D103))</f>
        <v>--</v>
      </c>
      <c r="H103" s="40" t="e">
        <f>_xll.qlRateHelperEarliestDate($D103)</f>
        <v>#VALUE!</v>
      </c>
      <c r="I103" s="39" t="e">
        <f>_xll.qlRateHelperLatestDate($D103)</f>
        <v>#VALUE!</v>
      </c>
      <c r="J103" s="34" t="e">
        <v>#N/A</v>
      </c>
    </row>
    <row r="104" spans="4:10" x14ac:dyDescent="0.2">
      <c r="D104" s="42" t="e">
        <v>#N/A</v>
      </c>
      <c r="E104" s="42" t="e">
        <f>_xll.qlRateHelperQuoteName(D104)</f>
        <v>#VALUE!</v>
      </c>
      <c r="F104" s="41" t="e">
        <f>_xll.qlRateHelperRate($D104)</f>
        <v>#VALUE!</v>
      </c>
      <c r="G104" s="41" t="str">
        <f>IF(ISERROR(_xll.qlSwapRateHelperSpread($D104)),IF(ISERROR(_xll.qlFuturesRateHelperConvexityAdjustment($D104)),"--",_xll.qlFuturesRateHelperConvexityAdjustment($D104)),_xll.qlSwapRateHelperSpread($D104))</f>
        <v>--</v>
      </c>
      <c r="H104" s="40" t="e">
        <f>_xll.qlRateHelperEarliestDate($D104)</f>
        <v>#VALUE!</v>
      </c>
      <c r="I104" s="39" t="e">
        <f>_xll.qlRateHelperLatestDate($D104)</f>
        <v>#VALUE!</v>
      </c>
      <c r="J104" s="34" t="e">
        <v>#N/A</v>
      </c>
    </row>
    <row r="105" spans="4:10" x14ac:dyDescent="0.2">
      <c r="D105" s="42" t="e">
        <v>#N/A</v>
      </c>
      <c r="E105" s="42" t="e">
        <f>_xll.qlRateHelperQuoteName(D105)</f>
        <v>#VALUE!</v>
      </c>
      <c r="F105" s="41" t="e">
        <f>_xll.qlRateHelperRate($D105)</f>
        <v>#VALUE!</v>
      </c>
      <c r="G105" s="41" t="str">
        <f>IF(ISERROR(_xll.qlSwapRateHelperSpread($D105)),IF(ISERROR(_xll.qlFuturesRateHelperConvexityAdjustment($D105)),"--",_xll.qlFuturesRateHelperConvexityAdjustment($D105)),_xll.qlSwapRateHelperSpread($D105))</f>
        <v>--</v>
      </c>
      <c r="H105" s="40" t="e">
        <f>_xll.qlRateHelperEarliestDate($D105)</f>
        <v>#VALUE!</v>
      </c>
      <c r="I105" s="39" t="e">
        <f>_xll.qlRateHelperLatestDate($D105)</f>
        <v>#VALUE!</v>
      </c>
      <c r="J105" s="34" t="e">
        <v>#N/A</v>
      </c>
    </row>
    <row r="106" spans="4:10" x14ac:dyDescent="0.2">
      <c r="D106" s="42" t="e">
        <v>#N/A</v>
      </c>
      <c r="E106" s="42" t="e">
        <f>_xll.qlRateHelperQuoteName(D106)</f>
        <v>#VALUE!</v>
      </c>
      <c r="F106" s="41" t="e">
        <f>_xll.qlRateHelperRate($D106)</f>
        <v>#VALUE!</v>
      </c>
      <c r="G106" s="41" t="str">
        <f>IF(ISERROR(_xll.qlSwapRateHelperSpread($D106)),IF(ISERROR(_xll.qlFuturesRateHelperConvexityAdjustment($D106)),"--",_xll.qlFuturesRateHelperConvexityAdjustment($D106)),_xll.qlSwapRateHelperSpread($D106))</f>
        <v>--</v>
      </c>
      <c r="H106" s="40" t="e">
        <f>_xll.qlRateHelperEarliestDate($D106)</f>
        <v>#VALUE!</v>
      </c>
      <c r="I106" s="39" t="e">
        <f>_xll.qlRateHelperLatestDate($D106)</f>
        <v>#VALUE!</v>
      </c>
      <c r="J106" s="34" t="e">
        <v>#N/A</v>
      </c>
    </row>
    <row r="107" spans="4:10" x14ac:dyDescent="0.2">
      <c r="D107" s="42" t="e">
        <v>#N/A</v>
      </c>
      <c r="E107" s="42" t="e">
        <f>_xll.qlRateHelperQuoteName(D107)</f>
        <v>#VALUE!</v>
      </c>
      <c r="F107" s="41" t="e">
        <f>_xll.qlRateHelperRate($D107)</f>
        <v>#VALUE!</v>
      </c>
      <c r="G107" s="41" t="str">
        <f>IF(ISERROR(_xll.qlSwapRateHelperSpread($D107)),IF(ISERROR(_xll.qlFuturesRateHelperConvexityAdjustment($D107)),"--",_xll.qlFuturesRateHelperConvexityAdjustment($D107)),_xll.qlSwapRateHelperSpread($D107))</f>
        <v>--</v>
      </c>
      <c r="H107" s="40" t="e">
        <f>_xll.qlRateHelperEarliestDate($D107)</f>
        <v>#VALUE!</v>
      </c>
      <c r="I107" s="39" t="e">
        <f>_xll.qlRateHelperLatestDate($D107)</f>
        <v>#VALUE!</v>
      </c>
      <c r="J107" s="34" t="e">
        <v>#N/A</v>
      </c>
    </row>
    <row r="108" spans="4:10" x14ac:dyDescent="0.2">
      <c r="D108" s="42" t="e">
        <v>#N/A</v>
      </c>
      <c r="E108" s="42" t="e">
        <f>_xll.qlRateHelperQuoteName(D108)</f>
        <v>#VALUE!</v>
      </c>
      <c r="F108" s="41" t="e">
        <f>_xll.qlRateHelperRate($D108)</f>
        <v>#VALUE!</v>
      </c>
      <c r="G108" s="41" t="str">
        <f>IF(ISERROR(_xll.qlSwapRateHelperSpread($D108)),IF(ISERROR(_xll.qlFuturesRateHelperConvexityAdjustment($D108)),"--",_xll.qlFuturesRateHelperConvexityAdjustment($D108)),_xll.qlSwapRateHelperSpread($D108))</f>
        <v>--</v>
      </c>
      <c r="H108" s="40" t="e">
        <f>_xll.qlRateHelperEarliestDate($D108)</f>
        <v>#VALUE!</v>
      </c>
      <c r="I108" s="39" t="e">
        <f>_xll.qlRateHelperLatestDate($D108)</f>
        <v>#VALUE!</v>
      </c>
      <c r="J108" s="34" t="e">
        <v>#N/A</v>
      </c>
    </row>
    <row r="109" spans="4:10" x14ac:dyDescent="0.2">
      <c r="D109" s="42" t="e">
        <v>#N/A</v>
      </c>
      <c r="E109" s="42" t="e">
        <f>_xll.qlRateHelperQuoteName(D109)</f>
        <v>#VALUE!</v>
      </c>
      <c r="F109" s="41" t="e">
        <f>_xll.qlRateHelperRate($D109)</f>
        <v>#VALUE!</v>
      </c>
      <c r="G109" s="41" t="str">
        <f>IF(ISERROR(_xll.qlSwapRateHelperSpread($D109)),IF(ISERROR(_xll.qlFuturesRateHelperConvexityAdjustment($D109)),"--",_xll.qlFuturesRateHelperConvexityAdjustment($D109)),_xll.qlSwapRateHelperSpread($D109))</f>
        <v>--</v>
      </c>
      <c r="H109" s="40" t="e">
        <f>_xll.qlRateHelperEarliestDate($D109)</f>
        <v>#VALUE!</v>
      </c>
      <c r="I109" s="39" t="e">
        <f>_xll.qlRateHelperLatestDate($D109)</f>
        <v>#VALUE!</v>
      </c>
      <c r="J109" s="34" t="e">
        <v>#N/A</v>
      </c>
    </row>
    <row r="110" spans="4:10" x14ac:dyDescent="0.2">
      <c r="D110" s="42" t="e">
        <v>#N/A</v>
      </c>
      <c r="E110" s="42" t="e">
        <f>_xll.qlRateHelperQuoteName(D110)</f>
        <v>#VALUE!</v>
      </c>
      <c r="F110" s="41" t="e">
        <f>_xll.qlRateHelperRate($D110)</f>
        <v>#VALUE!</v>
      </c>
      <c r="G110" s="41" t="str">
        <f>IF(ISERROR(_xll.qlSwapRateHelperSpread($D110)),IF(ISERROR(_xll.qlFuturesRateHelperConvexityAdjustment($D110)),"--",_xll.qlFuturesRateHelperConvexityAdjustment($D110)),_xll.qlSwapRateHelperSpread($D110))</f>
        <v>--</v>
      </c>
      <c r="H110" s="40" t="e">
        <f>_xll.qlRateHelperEarliestDate($D110)</f>
        <v>#VALUE!</v>
      </c>
      <c r="I110" s="39" t="e">
        <f>_xll.qlRateHelperLatestDate($D110)</f>
        <v>#VALUE!</v>
      </c>
      <c r="J110" s="34" t="e">
        <v>#N/A</v>
      </c>
    </row>
    <row r="111" spans="4:10" x14ac:dyDescent="0.2">
      <c r="D111" s="42" t="e">
        <v>#N/A</v>
      </c>
      <c r="E111" s="42" t="e">
        <f>_xll.qlRateHelperQuoteName(D111)</f>
        <v>#VALUE!</v>
      </c>
      <c r="F111" s="41" t="e">
        <f>_xll.qlRateHelperRate($D111)</f>
        <v>#VALUE!</v>
      </c>
      <c r="G111" s="41" t="str">
        <f>IF(ISERROR(_xll.qlSwapRateHelperSpread($D111)),IF(ISERROR(_xll.qlFuturesRateHelperConvexityAdjustment($D111)),"--",_xll.qlFuturesRateHelperConvexityAdjustment($D111)),_xll.qlSwapRateHelperSpread($D111))</f>
        <v>--</v>
      </c>
      <c r="H111" s="40" t="e">
        <f>_xll.qlRateHelperEarliestDate($D111)</f>
        <v>#VALUE!</v>
      </c>
      <c r="I111" s="39" t="e">
        <f>_xll.qlRateHelperLatestDate($D111)</f>
        <v>#VALUE!</v>
      </c>
      <c r="J111" s="34" t="e">
        <v>#N/A</v>
      </c>
    </row>
    <row r="112" spans="4:10" x14ac:dyDescent="0.2">
      <c r="D112" s="42" t="e">
        <v>#N/A</v>
      </c>
      <c r="E112" s="42" t="e">
        <f>_xll.qlRateHelperQuoteName(D112)</f>
        <v>#VALUE!</v>
      </c>
      <c r="F112" s="41" t="e">
        <f>_xll.qlRateHelperRate($D112)</f>
        <v>#VALUE!</v>
      </c>
      <c r="G112" s="41" t="str">
        <f>IF(ISERROR(_xll.qlSwapRateHelperSpread($D112)),IF(ISERROR(_xll.qlFuturesRateHelperConvexityAdjustment($D112)),"--",_xll.qlFuturesRateHelperConvexityAdjustment($D112)),_xll.qlSwapRateHelperSpread($D112))</f>
        <v>--</v>
      </c>
      <c r="H112" s="40" t="e">
        <f>_xll.qlRateHelperEarliestDate($D112)</f>
        <v>#VALUE!</v>
      </c>
      <c r="I112" s="39" t="e">
        <f>_xll.qlRateHelperLatestDate($D112)</f>
        <v>#VALUE!</v>
      </c>
      <c r="J112" s="34" t="e">
        <v>#N/A</v>
      </c>
    </row>
    <row r="113" spans="4:10" x14ac:dyDescent="0.2">
      <c r="D113" s="42" t="e">
        <v>#N/A</v>
      </c>
      <c r="E113" s="42" t="e">
        <f>_xll.qlRateHelperQuoteName(D113)</f>
        <v>#VALUE!</v>
      </c>
      <c r="F113" s="41" t="e">
        <f>_xll.qlRateHelperRate($D113)</f>
        <v>#VALUE!</v>
      </c>
      <c r="G113" s="41" t="str">
        <f>IF(ISERROR(_xll.qlSwapRateHelperSpread($D113)),IF(ISERROR(_xll.qlFuturesRateHelperConvexityAdjustment($D113)),"--",_xll.qlFuturesRateHelperConvexityAdjustment($D113)),_xll.qlSwapRateHelperSpread($D113))</f>
        <v>--</v>
      </c>
      <c r="H113" s="40" t="e">
        <f>_xll.qlRateHelperEarliestDate($D113)</f>
        <v>#VALUE!</v>
      </c>
      <c r="I113" s="39" t="e">
        <f>_xll.qlRateHelperLatestDate($D113)</f>
        <v>#VALUE!</v>
      </c>
      <c r="J113" s="34" t="e">
        <v>#N/A</v>
      </c>
    </row>
    <row r="114" spans="4:10" x14ac:dyDescent="0.2">
      <c r="D114" s="42" t="e">
        <v>#N/A</v>
      </c>
      <c r="E114" s="42" t="e">
        <f>_xll.qlRateHelperQuoteName(D114)</f>
        <v>#VALUE!</v>
      </c>
      <c r="F114" s="41" t="e">
        <f>_xll.qlRateHelperRate($D114)</f>
        <v>#VALUE!</v>
      </c>
      <c r="G114" s="41" t="str">
        <f>IF(ISERROR(_xll.qlSwapRateHelperSpread($D114)),IF(ISERROR(_xll.qlFuturesRateHelperConvexityAdjustment($D114)),"--",_xll.qlFuturesRateHelperConvexityAdjustment($D114)),_xll.qlSwapRateHelperSpread($D114))</f>
        <v>--</v>
      </c>
      <c r="H114" s="40" t="e">
        <f>_xll.qlRateHelperEarliestDate($D114)</f>
        <v>#VALUE!</v>
      </c>
      <c r="I114" s="39" t="e">
        <f>_xll.qlRateHelperLatestDate($D114)</f>
        <v>#VALUE!</v>
      </c>
      <c r="J114" s="34" t="e">
        <v>#N/A</v>
      </c>
    </row>
    <row r="115" spans="4:10" x14ac:dyDescent="0.2">
      <c r="D115" s="42" t="e">
        <v>#N/A</v>
      </c>
      <c r="E115" s="42" t="e">
        <f>_xll.qlRateHelperQuoteName(D115)</f>
        <v>#VALUE!</v>
      </c>
      <c r="F115" s="41" t="e">
        <f>_xll.qlRateHelperRate($D115)</f>
        <v>#VALUE!</v>
      </c>
      <c r="G115" s="41" t="str">
        <f>IF(ISERROR(_xll.qlSwapRateHelperSpread($D115)),IF(ISERROR(_xll.qlFuturesRateHelperConvexityAdjustment($D115)),"--",_xll.qlFuturesRateHelperConvexityAdjustment($D115)),_xll.qlSwapRateHelperSpread($D115))</f>
        <v>--</v>
      </c>
      <c r="H115" s="40" t="e">
        <f>_xll.qlRateHelperEarliestDate($D115)</f>
        <v>#VALUE!</v>
      </c>
      <c r="I115" s="39" t="e">
        <f>_xll.qlRateHelperLatestDate($D115)</f>
        <v>#VALUE!</v>
      </c>
      <c r="J115" s="34" t="e">
        <v>#N/A</v>
      </c>
    </row>
    <row r="116" spans="4:10" x14ac:dyDescent="0.2">
      <c r="D116" s="42" t="e">
        <v>#N/A</v>
      </c>
      <c r="E116" s="42" t="e">
        <f>_xll.qlRateHelperQuoteName(D116)</f>
        <v>#VALUE!</v>
      </c>
      <c r="F116" s="41" t="e">
        <f>_xll.qlRateHelperRate($D116)</f>
        <v>#VALUE!</v>
      </c>
      <c r="G116" s="41" t="str">
        <f>IF(ISERROR(_xll.qlSwapRateHelperSpread($D116)),IF(ISERROR(_xll.qlFuturesRateHelperConvexityAdjustment($D116)),"--",_xll.qlFuturesRateHelperConvexityAdjustment($D116)),_xll.qlSwapRateHelperSpread($D116))</f>
        <v>--</v>
      </c>
      <c r="H116" s="40" t="e">
        <f>_xll.qlRateHelperEarliestDate($D116)</f>
        <v>#VALUE!</v>
      </c>
      <c r="I116" s="39" t="e">
        <f>_xll.qlRateHelperLatestDate($D116)</f>
        <v>#VALUE!</v>
      </c>
      <c r="J116" s="34" t="e">
        <v>#N/A</v>
      </c>
    </row>
    <row r="117" spans="4:10" x14ac:dyDescent="0.2">
      <c r="D117" s="42" t="e">
        <v>#N/A</v>
      </c>
      <c r="E117" s="42" t="e">
        <f>_xll.qlRateHelperQuoteName(D117)</f>
        <v>#VALUE!</v>
      </c>
      <c r="F117" s="41" t="e">
        <f>_xll.qlRateHelperRate($D117)</f>
        <v>#VALUE!</v>
      </c>
      <c r="G117" s="41" t="str">
        <f>IF(ISERROR(_xll.qlSwapRateHelperSpread($D117)),IF(ISERROR(_xll.qlFuturesRateHelperConvexityAdjustment($D117)),"--",_xll.qlFuturesRateHelperConvexityAdjustment($D117)),_xll.qlSwapRateHelperSpread($D117))</f>
        <v>--</v>
      </c>
      <c r="H117" s="40" t="e">
        <f>_xll.qlRateHelperEarliestDate($D117)</f>
        <v>#VALUE!</v>
      </c>
      <c r="I117" s="39" t="e">
        <f>_xll.qlRateHelperLatestDate($D117)</f>
        <v>#VALUE!</v>
      </c>
      <c r="J117" s="34" t="e">
        <v>#N/A</v>
      </c>
    </row>
    <row r="118" spans="4:10" x14ac:dyDescent="0.2">
      <c r="D118" s="42" t="e">
        <v>#N/A</v>
      </c>
      <c r="E118" s="42" t="e">
        <f>_xll.qlRateHelperQuoteName(D118)</f>
        <v>#VALUE!</v>
      </c>
      <c r="F118" s="41" t="e">
        <f>_xll.qlRateHelperRate($D118)</f>
        <v>#VALUE!</v>
      </c>
      <c r="G118" s="41" t="str">
        <f>IF(ISERROR(_xll.qlSwapRateHelperSpread($D118)),IF(ISERROR(_xll.qlFuturesRateHelperConvexityAdjustment($D118)),"--",_xll.qlFuturesRateHelperConvexityAdjustment($D118)),_xll.qlSwapRateHelperSpread($D118))</f>
        <v>--</v>
      </c>
      <c r="H118" s="40" t="e">
        <f>_xll.qlRateHelperEarliestDate($D118)</f>
        <v>#VALUE!</v>
      </c>
      <c r="I118" s="39" t="e">
        <f>_xll.qlRateHelperLatestDate($D118)</f>
        <v>#VALUE!</v>
      </c>
      <c r="J118" s="34" t="e">
        <v>#N/A</v>
      </c>
    </row>
    <row r="119" spans="4:10" x14ac:dyDescent="0.2">
      <c r="D119" s="42" t="e">
        <v>#N/A</v>
      </c>
      <c r="E119" s="42" t="e">
        <f>_xll.qlRateHelperQuoteName(D119)</f>
        <v>#VALUE!</v>
      </c>
      <c r="F119" s="41" t="e">
        <f>_xll.qlRateHelperRate($D119)</f>
        <v>#VALUE!</v>
      </c>
      <c r="G119" s="41" t="str">
        <f>IF(ISERROR(_xll.qlSwapRateHelperSpread($D119)),IF(ISERROR(_xll.qlFuturesRateHelperConvexityAdjustment($D119)),"--",_xll.qlFuturesRateHelperConvexityAdjustment($D119)),_xll.qlSwapRateHelperSpread($D119))</f>
        <v>--</v>
      </c>
      <c r="H119" s="40" t="e">
        <f>_xll.qlRateHelperEarliestDate($D119)</f>
        <v>#VALUE!</v>
      </c>
      <c r="I119" s="39" t="e">
        <f>_xll.qlRateHelperLatestDate($D119)</f>
        <v>#VALUE!</v>
      </c>
      <c r="J119" s="34" t="e">
        <v>#N/A</v>
      </c>
    </row>
    <row r="120" spans="4:10" x14ac:dyDescent="0.2">
      <c r="D120" s="42" t="e">
        <v>#N/A</v>
      </c>
      <c r="E120" s="42" t="e">
        <f>_xll.qlRateHelperQuoteName(D120)</f>
        <v>#VALUE!</v>
      </c>
      <c r="F120" s="41" t="e">
        <f>_xll.qlRateHelperRate($D120)</f>
        <v>#VALUE!</v>
      </c>
      <c r="G120" s="41" t="str">
        <f>IF(ISERROR(_xll.qlSwapRateHelperSpread($D120)),IF(ISERROR(_xll.qlFuturesRateHelperConvexityAdjustment($D120)),"--",_xll.qlFuturesRateHelperConvexityAdjustment($D120)),_xll.qlSwapRateHelperSpread($D120))</f>
        <v>--</v>
      </c>
      <c r="H120" s="40" t="e">
        <f>_xll.qlRateHelperEarliestDate($D120)</f>
        <v>#VALUE!</v>
      </c>
      <c r="I120" s="39" t="e">
        <f>_xll.qlRateHelperLatestDate($D120)</f>
        <v>#VALUE!</v>
      </c>
      <c r="J120" s="34" t="e">
        <v>#N/A</v>
      </c>
    </row>
    <row r="121" spans="4:10" x14ac:dyDescent="0.2">
      <c r="D121" s="42" t="e">
        <v>#N/A</v>
      </c>
      <c r="E121" s="42" t="e">
        <f>_xll.qlRateHelperQuoteName(D121)</f>
        <v>#VALUE!</v>
      </c>
      <c r="F121" s="41" t="e">
        <f>_xll.qlRateHelperRate($D121)</f>
        <v>#VALUE!</v>
      </c>
      <c r="G121" s="41" t="str">
        <f>IF(ISERROR(_xll.qlSwapRateHelperSpread($D121)),IF(ISERROR(_xll.qlFuturesRateHelperConvexityAdjustment($D121)),"--",_xll.qlFuturesRateHelperConvexityAdjustment($D121)),_xll.qlSwapRateHelperSpread($D121))</f>
        <v>--</v>
      </c>
      <c r="H121" s="40" t="e">
        <f>_xll.qlRateHelperEarliestDate($D121)</f>
        <v>#VALUE!</v>
      </c>
      <c r="I121" s="39" t="e">
        <f>_xll.qlRateHelperLatestDate($D121)</f>
        <v>#VALUE!</v>
      </c>
      <c r="J121" s="34" t="e">
        <v>#N/A</v>
      </c>
    </row>
    <row r="122" spans="4:10" x14ac:dyDescent="0.2">
      <c r="D122" s="42" t="e">
        <v>#N/A</v>
      </c>
      <c r="E122" s="42" t="e">
        <f>_xll.qlRateHelperQuoteName(D122)</f>
        <v>#VALUE!</v>
      </c>
      <c r="F122" s="41" t="e">
        <f>_xll.qlRateHelperRate($D122)</f>
        <v>#VALUE!</v>
      </c>
      <c r="G122" s="41" t="str">
        <f>IF(ISERROR(_xll.qlSwapRateHelperSpread($D122)),IF(ISERROR(_xll.qlFuturesRateHelperConvexityAdjustment($D122)),"--",_xll.qlFuturesRateHelperConvexityAdjustment($D122)),_xll.qlSwapRateHelperSpread($D122))</f>
        <v>--</v>
      </c>
      <c r="H122" s="40" t="e">
        <f>_xll.qlRateHelperEarliestDate($D122)</f>
        <v>#VALUE!</v>
      </c>
      <c r="I122" s="39" t="e">
        <f>_xll.qlRateHelperLatestDate($D122)</f>
        <v>#VALUE!</v>
      </c>
      <c r="J122" s="34" t="e">
        <v>#N/A</v>
      </c>
    </row>
    <row r="123" spans="4:10" x14ac:dyDescent="0.2">
      <c r="D123" s="42" t="e">
        <v>#N/A</v>
      </c>
      <c r="E123" s="42" t="e">
        <f>_xll.qlRateHelperQuoteName(D123)</f>
        <v>#VALUE!</v>
      </c>
      <c r="F123" s="41" t="e">
        <f>_xll.qlRateHelperRate($D123)</f>
        <v>#VALUE!</v>
      </c>
      <c r="G123" s="41" t="str">
        <f>IF(ISERROR(_xll.qlSwapRateHelperSpread($D123)),IF(ISERROR(_xll.qlFuturesRateHelperConvexityAdjustment($D123)),"--",_xll.qlFuturesRateHelperConvexityAdjustment($D123)),_xll.qlSwapRateHelperSpread($D123))</f>
        <v>--</v>
      </c>
      <c r="H123" s="40" t="e">
        <f>_xll.qlRateHelperEarliestDate($D123)</f>
        <v>#VALUE!</v>
      </c>
      <c r="I123" s="39" t="e">
        <f>_xll.qlRateHelperLatestDate($D123)</f>
        <v>#VALUE!</v>
      </c>
      <c r="J123" s="34" t="e">
        <v>#N/A</v>
      </c>
    </row>
    <row r="124" spans="4:10" x14ac:dyDescent="0.2">
      <c r="D124" s="42" t="e">
        <v>#N/A</v>
      </c>
      <c r="E124" s="42" t="e">
        <f>_xll.qlRateHelperQuoteName(D124)</f>
        <v>#VALUE!</v>
      </c>
      <c r="F124" s="41" t="e">
        <f>_xll.qlRateHelperRate($D124)</f>
        <v>#VALUE!</v>
      </c>
      <c r="G124" s="41" t="str">
        <f>IF(ISERROR(_xll.qlSwapRateHelperSpread($D124)),IF(ISERROR(_xll.qlFuturesRateHelperConvexityAdjustment($D124)),"--",_xll.qlFuturesRateHelperConvexityAdjustment($D124)),_xll.qlSwapRateHelperSpread($D124))</f>
        <v>--</v>
      </c>
      <c r="H124" s="40" t="e">
        <f>_xll.qlRateHelperEarliestDate($D124)</f>
        <v>#VALUE!</v>
      </c>
      <c r="I124" s="39" t="e">
        <f>_xll.qlRateHelperLatestDate($D124)</f>
        <v>#VALUE!</v>
      </c>
      <c r="J124" s="34" t="e">
        <v>#N/A</v>
      </c>
    </row>
    <row r="125" spans="4:10" x14ac:dyDescent="0.2">
      <c r="D125" s="42" t="e">
        <v>#N/A</v>
      </c>
      <c r="E125" s="42" t="e">
        <f>_xll.qlRateHelperQuoteName(D125)</f>
        <v>#VALUE!</v>
      </c>
      <c r="F125" s="41" t="e">
        <f>_xll.qlRateHelperRate($D125)</f>
        <v>#VALUE!</v>
      </c>
      <c r="G125" s="41" t="str">
        <f>IF(ISERROR(_xll.qlSwapRateHelperSpread($D125)),IF(ISERROR(_xll.qlFuturesRateHelperConvexityAdjustment($D125)),"--",_xll.qlFuturesRateHelperConvexityAdjustment($D125)),_xll.qlSwapRateHelperSpread($D125))</f>
        <v>--</v>
      </c>
      <c r="H125" s="40" t="e">
        <f>_xll.qlRateHelperEarliestDate($D125)</f>
        <v>#VALUE!</v>
      </c>
      <c r="I125" s="39" t="e">
        <f>_xll.qlRateHelperLatestDate($D125)</f>
        <v>#VALUE!</v>
      </c>
      <c r="J125" s="34" t="e">
        <v>#N/A</v>
      </c>
    </row>
    <row r="126" spans="4:10" ht="12" thickBot="1" x14ac:dyDescent="0.25">
      <c r="D126" s="38" t="e">
        <v>#N/A</v>
      </c>
      <c r="E126" s="38" t="e">
        <f>_xll.qlRateHelperQuoteName(D126)</f>
        <v>#VALUE!</v>
      </c>
      <c r="F126" s="37" t="e">
        <f>_xll.qlRateHelperRate($D126)</f>
        <v>#VALUE!</v>
      </c>
      <c r="G126" s="37" t="str">
        <f>IF(ISERROR(_xll.qlSwapRateHelperSpread($D126)),IF(ISERROR(_xll.qlFuturesRateHelperConvexityAdjustment($D126)),"--",_xll.qlFuturesRateHelperConvexityAdjustment($D126)),_xll.qlSwapRateHelperSpread($D126))</f>
        <v>--</v>
      </c>
      <c r="H126" s="36" t="e">
        <f>_xll.qlRateHelperEarliestDate($D126)</f>
        <v>#VALUE!</v>
      </c>
      <c r="I126" s="35" t="e">
        <f>_xll.qlRateHelperLatestDate($D126)</f>
        <v>#VALUE!</v>
      </c>
      <c r="J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3" style="85" customWidth="1"/>
    <col min="2" max="2" width="3.42578125" style="85" bestFit="1" customWidth="1"/>
    <col min="3" max="3" width="9.5703125" style="85" customWidth="1"/>
    <col min="4" max="4" width="5.28515625" style="85" bestFit="1" customWidth="1"/>
    <col min="5" max="5" width="7.7109375" style="85" bestFit="1" customWidth="1"/>
    <col min="6" max="6" width="13.85546875" style="85" bestFit="1" customWidth="1"/>
    <col min="7" max="7" width="5.7109375" style="85" bestFit="1" customWidth="1"/>
    <col min="8" max="8" width="9.5703125" style="85" customWidth="1"/>
    <col min="9" max="9" width="20.42578125" style="85" bestFit="1" customWidth="1"/>
    <col min="10" max="10" width="21.85546875" style="85" bestFit="1" customWidth="1"/>
    <col min="11" max="11" width="23.5703125" style="85" customWidth="1"/>
    <col min="12" max="12" width="4.7109375" style="85" customWidth="1"/>
    <col min="13" max="16384" width="9.140625" style="85"/>
  </cols>
  <sheetData>
    <row r="1" spans="1:12" x14ac:dyDescent="0.2">
      <c r="A1" s="103"/>
      <c r="B1" s="102"/>
      <c r="C1" s="102"/>
      <c r="D1" s="102"/>
      <c r="E1" s="102"/>
      <c r="F1" s="93" t="str">
        <f>PROPER(Currency)&amp;FamilyName&amp;$B7</f>
        <v>Euribor1M</v>
      </c>
      <c r="G1" s="102"/>
      <c r="H1" s="12" t="s">
        <v>112</v>
      </c>
      <c r="I1" s="101" t="str">
        <f>Currency&amp;"_YC"&amp;$H$1&amp;"RH"</f>
        <v>EUR_YC1MRH</v>
      </c>
      <c r="J1" s="99" t="str">
        <f>$I$1&amp;"_Deposits.xml"</f>
        <v>EUR_YC1MRH_Deposits.xml</v>
      </c>
      <c r="L1" s="89"/>
    </row>
    <row r="2" spans="1:12" ht="23.25" customHeight="1" x14ac:dyDescent="0.2">
      <c r="A2" s="95"/>
      <c r="B2" s="100"/>
      <c r="C2" s="100" t="s">
        <v>157</v>
      </c>
      <c r="D2" s="100" t="s">
        <v>158</v>
      </c>
      <c r="E2" s="100" t="s">
        <v>159</v>
      </c>
      <c r="F2" s="100" t="s">
        <v>160</v>
      </c>
      <c r="G2" s="100" t="s">
        <v>161</v>
      </c>
      <c r="H2" s="100" t="s">
        <v>162</v>
      </c>
      <c r="I2" s="100" t="s">
        <v>117</v>
      </c>
      <c r="J2" s="98" t="str">
        <f>IF(Serialize,_xll.ohObjectSave(J3:J7,SerializationPath&amp;J1,FileOverwrite,Serialize),"---")</f>
        <v>---</v>
      </c>
      <c r="K2" s="97" t="str">
        <f>_xll.ohRangeRetrieveError(J2)</f>
        <v/>
      </c>
      <c r="L2" s="89"/>
    </row>
    <row r="3" spans="1:12" x14ac:dyDescent="0.2">
      <c r="A3" s="95"/>
      <c r="B3" s="96" t="s">
        <v>116</v>
      </c>
      <c r="C3" s="165" t="s">
        <v>163</v>
      </c>
      <c r="D3" s="165">
        <f>_xll.qlInterestRateIndexFixingDays($F$1,Trigger)</f>
        <v>2</v>
      </c>
      <c r="E3" s="165" t="str">
        <f>_xll.qlIndexFixingCalendar($F$1,Trigger)</f>
        <v>TARGET</v>
      </c>
      <c r="F3" s="165" t="s">
        <v>165</v>
      </c>
      <c r="G3" s="165" t="b">
        <v>0</v>
      </c>
      <c r="H3" s="165" t="str">
        <f>_xll.qlInterestRateIndexDayCounter($F$1,Trigger)</f>
        <v>Actual/360</v>
      </c>
      <c r="I3" s="92" t="str">
        <f>Currency&amp;B3&amp;"D_SYNTH"&amp;$H$1&amp;QuoteSuffix</f>
        <v>EURSND_SYNTH1M_Quote</v>
      </c>
      <c r="J3" s="91" t="str">
        <f>_xll.qlDepositRateHelper2(,I3,C3,D3,E3,F3,G3,H3,Permanent,Trigger,ObjectOverwrite)</f>
        <v>obj_00723#0002</v>
      </c>
      <c r="K3" s="90" t="str">
        <f>_xll.ohRangeRetrieveError(J3)</f>
        <v/>
      </c>
      <c r="L3" s="89"/>
    </row>
    <row r="4" spans="1:12" x14ac:dyDescent="0.2">
      <c r="A4" s="95"/>
      <c r="B4" s="94" t="s">
        <v>115</v>
      </c>
      <c r="C4" s="165" t="s">
        <v>164</v>
      </c>
      <c r="D4" s="165">
        <f>_xll.qlInterestRateIndexFixingDays($F$1,Trigger)</f>
        <v>2</v>
      </c>
      <c r="E4" s="165" t="str">
        <f>_xll.qlIndexFixingCalendar($F$1,Trigger)</f>
        <v>TARGET</v>
      </c>
      <c r="F4" s="165" t="s">
        <v>165</v>
      </c>
      <c r="G4" s="165" t="b">
        <v>0</v>
      </c>
      <c r="H4" s="165" t="str">
        <f>_xll.qlInterestRateIndexDayCounter($F$1,Trigger)</f>
        <v>Actual/360</v>
      </c>
      <c r="I4" s="92" t="str">
        <f>Currency&amp;B4&amp;"D_SYNTH"&amp;$H$1&amp;QuoteSuffix</f>
        <v>EURSWD_SYNTH1M_Quote</v>
      </c>
      <c r="J4" s="91" t="str">
        <f>_xll.qlDepositRateHelper2(,I4,C4,D4,E4,F4,G4,H4,Permanent,Trigger,ObjectOverwrite)</f>
        <v>obj_00725#0002</v>
      </c>
      <c r="K4" s="90" t="str">
        <f>_xll.ohRangeRetrieveError(J4)</f>
        <v/>
      </c>
      <c r="L4" s="89"/>
    </row>
    <row r="5" spans="1:12" x14ac:dyDescent="0.2">
      <c r="A5" s="95"/>
      <c r="B5" s="94" t="s">
        <v>114</v>
      </c>
      <c r="C5" s="165" t="s">
        <v>114</v>
      </c>
      <c r="D5" s="165">
        <f>_xll.qlInterestRateIndexFixingDays($F$1,Trigger)</f>
        <v>2</v>
      </c>
      <c r="E5" s="165" t="str">
        <f>_xll.qlIndexFixingCalendar($F$1,Trigger)</f>
        <v>TARGET</v>
      </c>
      <c r="F5" s="165" t="s">
        <v>165</v>
      </c>
      <c r="G5" s="165" t="b">
        <v>0</v>
      </c>
      <c r="H5" s="165" t="str">
        <f>_xll.qlInterestRateIndexDayCounter($F$1,Trigger)</f>
        <v>Actual/360</v>
      </c>
      <c r="I5" s="92" t="str">
        <f>Currency&amp;B5&amp;"D_SYNTH"&amp;$H$1&amp;QuoteSuffix</f>
        <v>EUR2WD_SYNTH1M_Quote</v>
      </c>
      <c r="J5" s="91" t="str">
        <f>_xll.qlDepositRateHelper2(,I5,C5,D5,E5,F5,G5,H5,Permanent,Trigger,ObjectOverwrite)</f>
        <v>obj_00727#0002</v>
      </c>
      <c r="K5" s="90" t="str">
        <f>_xll.ohRangeRetrieveError(J5)</f>
        <v/>
      </c>
      <c r="L5" s="89"/>
    </row>
    <row r="6" spans="1:12" x14ac:dyDescent="0.2">
      <c r="A6" s="95"/>
      <c r="B6" s="94" t="s">
        <v>113</v>
      </c>
      <c r="C6" s="165" t="s">
        <v>113</v>
      </c>
      <c r="D6" s="165">
        <f>_xll.qlInterestRateIndexFixingDays($F$1,Trigger)</f>
        <v>2</v>
      </c>
      <c r="E6" s="165" t="str">
        <f>_xll.qlIndexFixingCalendar($F$1,Trigger)</f>
        <v>TARGET</v>
      </c>
      <c r="F6" s="165" t="s">
        <v>165</v>
      </c>
      <c r="G6" s="165" t="b">
        <v>0</v>
      </c>
      <c r="H6" s="165" t="str">
        <f>_xll.qlInterestRateIndexDayCounter($F$1,Trigger)</f>
        <v>Actual/360</v>
      </c>
      <c r="I6" s="92" t="str">
        <f>Currency&amp;B6&amp;"D_SYNTH"&amp;$H$1&amp;QuoteSuffix</f>
        <v>EUR3WD_SYNTH1M_Quote</v>
      </c>
      <c r="J6" s="91" t="str">
        <f>_xll.qlDepositRateHelper2(,I6,C6,D6,E6,F6,G6,H6,Permanent,Trigger,ObjectOverwrite)</f>
        <v>obj_00724#0002</v>
      </c>
      <c r="K6" s="90" t="str">
        <f>_xll.ohRangeRetrieveError(J6)</f>
        <v/>
      </c>
      <c r="L6" s="89"/>
    </row>
    <row r="7" spans="1:12" x14ac:dyDescent="0.2">
      <c r="A7" s="95"/>
      <c r="B7" s="94" t="s">
        <v>112</v>
      </c>
      <c r="C7" s="165" t="s">
        <v>112</v>
      </c>
      <c r="D7" s="165">
        <f>_xll.qlInterestRateIndexFixingDays($F$1,Trigger)</f>
        <v>2</v>
      </c>
      <c r="E7" s="165" t="str">
        <f>_xll.qlIndexFixingCalendar($F$1,Trigger)</f>
        <v>TARGET</v>
      </c>
      <c r="F7" s="165" t="str">
        <f>_xll.qlIborIndexBusinessDayConv($F$1,Trigger)</f>
        <v>Modified Following</v>
      </c>
      <c r="G7" s="165" t="b">
        <f>_xll.qlIborIndexEndOfMonth($F$1,Trigger)</f>
        <v>1</v>
      </c>
      <c r="H7" s="165" t="str">
        <f>_xll.qlInterestRateIndexDayCounter($F$1,Trigger)</f>
        <v>Actual/360</v>
      </c>
      <c r="I7" s="92" t="str">
        <f>Currency&amp;B7&amp;"D_SYNTH"&amp;$H$1&amp;QuoteSuffix</f>
        <v>EUR1MD_SYNTH1M_Quote</v>
      </c>
      <c r="J7" s="91" t="str">
        <f>_xll.qlDepositRateHelper2(,I7,C7,D7,E7,F7,G7,H7,Permanent,Trigger,ObjectOverwrite)</f>
        <v>obj_00726#0002</v>
      </c>
      <c r="K7" s="90" t="str">
        <f>_xll.ohRangeRetrieveError(J7)</f>
        <v/>
      </c>
      <c r="L7" s="89"/>
    </row>
    <row r="8" spans="1:12" ht="12" thickBot="1" x14ac:dyDescent="0.25">
      <c r="A8" s="88"/>
      <c r="B8" s="87"/>
      <c r="C8" s="87"/>
      <c r="D8" s="87"/>
      <c r="E8" s="87"/>
      <c r="F8" s="87"/>
      <c r="G8" s="87"/>
      <c r="H8" s="87"/>
      <c r="I8" s="87"/>
      <c r="J8" s="87"/>
      <c r="K8" s="87"/>
      <c r="L8"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18"/>
  <sheetViews>
    <sheetView workbookViewId="0">
      <selection activeCell="K3" sqref="K3"/>
    </sheetView>
  </sheetViews>
  <sheetFormatPr defaultRowHeight="11.25" x14ac:dyDescent="0.2"/>
  <cols>
    <col min="1" max="1" width="1.7109375" style="85" customWidth="1"/>
    <col min="2" max="2" width="4.7109375" style="85" bestFit="1" customWidth="1"/>
    <col min="3" max="3" width="6.5703125" style="85" bestFit="1" customWidth="1"/>
    <col min="4" max="4" width="2.7109375" style="85" bestFit="1" customWidth="1"/>
    <col min="5" max="5" width="3.85546875" style="85" bestFit="1" customWidth="1"/>
    <col min="6" max="6" width="5.85546875" style="85" bestFit="1" customWidth="1"/>
    <col min="7" max="7" width="13.85546875" style="85" bestFit="1" customWidth="1"/>
    <col min="8" max="8" width="10" style="85" bestFit="1" customWidth="1"/>
    <col min="9" max="9" width="7.140625" style="85" bestFit="1" customWidth="1"/>
    <col min="10" max="10" width="13.5703125" style="85" bestFit="1" customWidth="1"/>
    <col min="11" max="11" width="25.7109375" style="122" bestFit="1" customWidth="1"/>
    <col min="12" max="12" width="21" style="85" customWidth="1"/>
    <col min="13" max="13" width="3.7109375" style="85" customWidth="1"/>
    <col min="14" max="16384" width="9.140625" style="85"/>
  </cols>
  <sheetData>
    <row r="1" spans="1:13" x14ac:dyDescent="0.2">
      <c r="A1" s="140"/>
      <c r="B1" s="139"/>
      <c r="C1" s="139"/>
      <c r="D1" s="139"/>
      <c r="E1" s="139"/>
      <c r="F1" s="139"/>
      <c r="G1" s="139"/>
      <c r="H1" s="139"/>
      <c r="I1" s="139"/>
      <c r="J1" s="139"/>
      <c r="K1" s="139"/>
      <c r="L1" s="139"/>
      <c r="M1" s="138"/>
    </row>
    <row r="2" spans="1:13" x14ac:dyDescent="0.2">
      <c r="A2" s="95"/>
      <c r="B2" s="102"/>
      <c r="C2" s="102"/>
      <c r="D2" s="102"/>
      <c r="E2" s="102"/>
      <c r="F2" s="102"/>
      <c r="G2" s="102"/>
      <c r="H2" s="102"/>
      <c r="I2" s="12" t="s">
        <v>112</v>
      </c>
      <c r="J2" s="12" t="str">
        <f>Currency&amp;"_YC"&amp;$I$2&amp;"RH"</f>
        <v>EUR_YC1MRH</v>
      </c>
      <c r="K2" s="137" t="str">
        <f>J2&amp;"_Swaps.xml"</f>
        <v>EUR_YC1MRH_Swaps.xml</v>
      </c>
      <c r="L2" s="102"/>
      <c r="M2" s="125"/>
    </row>
    <row r="3" spans="1:13" ht="36" customHeight="1" x14ac:dyDescent="0.2">
      <c r="A3" s="95"/>
      <c r="B3" s="100" t="s">
        <v>146</v>
      </c>
      <c r="C3" s="100" t="s">
        <v>145</v>
      </c>
      <c r="D3" s="100"/>
      <c r="E3" s="100"/>
      <c r="F3" s="100" t="s">
        <v>144</v>
      </c>
      <c r="G3" s="100" t="s">
        <v>143</v>
      </c>
      <c r="H3" s="100" t="s">
        <v>142</v>
      </c>
      <c r="I3" s="100" t="s">
        <v>141</v>
      </c>
      <c r="J3" s="100" t="s">
        <v>117</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obj_006f2#0002</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5"/>
      <c r="B6" s="133" t="s">
        <v>130</v>
      </c>
      <c r="C6" s="133" t="s">
        <v>140</v>
      </c>
      <c r="D6" s="133">
        <v>2</v>
      </c>
      <c r="E6" s="133" t="s">
        <v>41</v>
      </c>
      <c r="F6" s="132" t="s">
        <v>128</v>
      </c>
      <c r="G6" s="132" t="s">
        <v>127</v>
      </c>
      <c r="H6" s="132" t="str">
        <f t="shared" ref="H6:H16" si="0">MoneyMarketDayCounter</f>
        <v>Actual/360</v>
      </c>
      <c r="I6" s="130">
        <v>0</v>
      </c>
      <c r="J6" s="129" t="str">
        <f t="shared" ref="J6:J16" si="1">Currency&amp;$D6&amp;$E6&amp;QuoteSuffix</f>
        <v>EUR2X1S_Quote</v>
      </c>
      <c r="K6" s="128" t="str">
        <f>_xll.qlSwapRateHelper2(,$J6,$C6,Calendar,$F6,$G6,$H6,$K$4,$I6,B6,Discounting,Permanent,,ObjectOverwrite)</f>
        <v>obj_00721#0002</v>
      </c>
      <c r="L6" s="97" t="str">
        <f>_xll.ohRangeRetrieveError(K6)</f>
        <v/>
      </c>
      <c r="M6" s="125"/>
    </row>
    <row r="7" spans="1:13" x14ac:dyDescent="0.2">
      <c r="A7" s="95"/>
      <c r="B7" s="133" t="s">
        <v>130</v>
      </c>
      <c r="C7" s="133" t="s">
        <v>139</v>
      </c>
      <c r="D7" s="133">
        <v>3</v>
      </c>
      <c r="E7" s="133" t="s">
        <v>41</v>
      </c>
      <c r="F7" s="132" t="s">
        <v>128</v>
      </c>
      <c r="G7" s="132" t="s">
        <v>127</v>
      </c>
      <c r="H7" s="131" t="str">
        <f t="shared" si="0"/>
        <v>Actual/360</v>
      </c>
      <c r="I7" s="130">
        <v>0</v>
      </c>
      <c r="J7" s="129" t="str">
        <f t="shared" si="1"/>
        <v>EUR3X1S_Quote</v>
      </c>
      <c r="K7" s="128" t="str">
        <f>_xll.qlSwapRateHelper2(,$J7,$C7,Calendar,$F7,$G7,$H7,$K$4,$I7,B7,Discounting,Permanent,,ObjectOverwrite)</f>
        <v>obj_0071f#0002</v>
      </c>
      <c r="L7" s="97" t="str">
        <f>_xll.ohRangeRetrieveError(K7)</f>
        <v/>
      </c>
      <c r="M7" s="125"/>
    </row>
    <row r="8" spans="1:13" x14ac:dyDescent="0.2">
      <c r="A8" s="95"/>
      <c r="B8" s="133" t="s">
        <v>130</v>
      </c>
      <c r="C8" s="133" t="s">
        <v>138</v>
      </c>
      <c r="D8" s="133">
        <v>4</v>
      </c>
      <c r="E8" s="133" t="s">
        <v>41</v>
      </c>
      <c r="F8" s="132" t="s">
        <v>128</v>
      </c>
      <c r="G8" s="132" t="s">
        <v>127</v>
      </c>
      <c r="H8" s="131" t="str">
        <f t="shared" si="0"/>
        <v>Actual/360</v>
      </c>
      <c r="I8" s="130">
        <v>0</v>
      </c>
      <c r="J8" s="129" t="str">
        <f t="shared" si="1"/>
        <v>EUR4X1S_Quote</v>
      </c>
      <c r="K8" s="128" t="str">
        <f>_xll.qlSwapRateHelper2(,$J8,$C8,Calendar,$F8,$G8,$H8,$K$4,$I8,B8,Discounting,Permanent,,ObjectOverwrite)</f>
        <v>obj_00719#0002</v>
      </c>
      <c r="L8" s="97" t="str">
        <f>_xll.ohRangeRetrieveError(K8)</f>
        <v/>
      </c>
      <c r="M8" s="125"/>
    </row>
    <row r="9" spans="1:13" x14ac:dyDescent="0.2">
      <c r="A9" s="95"/>
      <c r="B9" s="133" t="s">
        <v>130</v>
      </c>
      <c r="C9" s="133" t="s">
        <v>137</v>
      </c>
      <c r="D9" s="133">
        <v>5</v>
      </c>
      <c r="E9" s="133" t="s">
        <v>41</v>
      </c>
      <c r="F9" s="132" t="s">
        <v>128</v>
      </c>
      <c r="G9" s="132" t="s">
        <v>127</v>
      </c>
      <c r="H9" s="131" t="str">
        <f t="shared" si="0"/>
        <v>Actual/360</v>
      </c>
      <c r="I9" s="130">
        <v>0</v>
      </c>
      <c r="J9" s="129" t="str">
        <f t="shared" si="1"/>
        <v>EUR5X1S_Quote</v>
      </c>
      <c r="K9" s="128" t="str">
        <f>_xll.qlSwapRateHelper2(,$J9,$C9,Calendar,$F9,$G9,$H9,$K$4,$I9,B9,Discounting,Permanent,,ObjectOverwrite)</f>
        <v>obj_00722#0002</v>
      </c>
      <c r="L9" s="97" t="str">
        <f>_xll.ohRangeRetrieveError(K9)</f>
        <v/>
      </c>
      <c r="M9" s="125"/>
    </row>
    <row r="10" spans="1:13" x14ac:dyDescent="0.2">
      <c r="A10" s="95"/>
      <c r="B10" s="133" t="s">
        <v>130</v>
      </c>
      <c r="C10" s="133" t="s">
        <v>136</v>
      </c>
      <c r="D10" s="133">
        <v>6</v>
      </c>
      <c r="E10" s="133" t="s">
        <v>41</v>
      </c>
      <c r="F10" s="132" t="s">
        <v>128</v>
      </c>
      <c r="G10" s="132" t="s">
        <v>127</v>
      </c>
      <c r="H10" s="131" t="str">
        <f t="shared" si="0"/>
        <v>Actual/360</v>
      </c>
      <c r="I10" s="130">
        <v>0</v>
      </c>
      <c r="J10" s="129" t="str">
        <f t="shared" si="1"/>
        <v>EUR6X1S_Quote</v>
      </c>
      <c r="K10" s="128" t="str">
        <f>_xll.qlSwapRateHelper2(,$J10,$C10,Calendar,$F10,$G10,$H10,$K$4,$I10,B10,Discounting,Permanent,,ObjectOverwrite)</f>
        <v>obj_00720#0002</v>
      </c>
      <c r="L10" s="97" t="str">
        <f>_xll.ohRangeRetrieveError(K10)</f>
        <v/>
      </c>
      <c r="M10" s="125"/>
    </row>
    <row r="11" spans="1:13" x14ac:dyDescent="0.2">
      <c r="A11" s="95"/>
      <c r="B11" s="133" t="s">
        <v>130</v>
      </c>
      <c r="C11" s="133" t="s">
        <v>135</v>
      </c>
      <c r="D11" s="133">
        <v>7</v>
      </c>
      <c r="E11" s="133" t="s">
        <v>41</v>
      </c>
      <c r="F11" s="132" t="s">
        <v>128</v>
      </c>
      <c r="G11" s="132" t="s">
        <v>127</v>
      </c>
      <c r="H11" s="131" t="str">
        <f t="shared" si="0"/>
        <v>Actual/360</v>
      </c>
      <c r="I11" s="130">
        <v>0</v>
      </c>
      <c r="J11" s="129" t="str">
        <f t="shared" si="1"/>
        <v>EUR7X1S_Quote</v>
      </c>
      <c r="K11" s="128" t="str">
        <f>_xll.qlSwapRateHelper2(,$J11,$C11,Calendar,$F11,$G11,$H11,$K$4,$I11,B11,Discounting,Permanent,,ObjectOverwrite)</f>
        <v>obj_0071c#0002</v>
      </c>
      <c r="L11" s="97" t="str">
        <f>_xll.ohRangeRetrieveError(K11)</f>
        <v/>
      </c>
      <c r="M11" s="125"/>
    </row>
    <row r="12" spans="1:13" x14ac:dyDescent="0.2">
      <c r="A12" s="95"/>
      <c r="B12" s="133" t="s">
        <v>130</v>
      </c>
      <c r="C12" s="133" t="s">
        <v>134</v>
      </c>
      <c r="D12" s="133">
        <v>8</v>
      </c>
      <c r="E12" s="133" t="s">
        <v>41</v>
      </c>
      <c r="F12" s="132" t="s">
        <v>128</v>
      </c>
      <c r="G12" s="132" t="s">
        <v>127</v>
      </c>
      <c r="H12" s="131" t="str">
        <f t="shared" si="0"/>
        <v>Actual/360</v>
      </c>
      <c r="I12" s="130">
        <v>0</v>
      </c>
      <c r="J12" s="129" t="str">
        <f t="shared" si="1"/>
        <v>EUR8X1S_Quote</v>
      </c>
      <c r="K12" s="128" t="str">
        <f>_xll.qlSwapRateHelper2(,$J12,$C12,Calendar,$F12,$G12,$H12,$K$4,$I12,B12,Discounting,Permanent,,ObjectOverwrite)</f>
        <v>obj_0071e#0002</v>
      </c>
      <c r="L12" s="97" t="str">
        <f>_xll.ohRangeRetrieveError(K12)</f>
        <v/>
      </c>
      <c r="M12" s="125"/>
    </row>
    <row r="13" spans="1:13" x14ac:dyDescent="0.2">
      <c r="A13" s="95"/>
      <c r="B13" s="133" t="s">
        <v>130</v>
      </c>
      <c r="C13" s="133" t="s">
        <v>133</v>
      </c>
      <c r="D13" s="133">
        <v>9</v>
      </c>
      <c r="E13" s="133" t="s">
        <v>41</v>
      </c>
      <c r="F13" s="132" t="s">
        <v>128</v>
      </c>
      <c r="G13" s="132" t="s">
        <v>127</v>
      </c>
      <c r="H13" s="131" t="str">
        <f t="shared" si="0"/>
        <v>Actual/360</v>
      </c>
      <c r="I13" s="130">
        <v>0</v>
      </c>
      <c r="J13" s="129" t="str">
        <f t="shared" si="1"/>
        <v>EUR9X1S_Quote</v>
      </c>
      <c r="K13" s="128" t="str">
        <f>_xll.qlSwapRateHelper2(,$J13,$C13,Calendar,$F13,$G13,$H13,$K$4,$I13,B13,Discounting,Permanent,,ObjectOverwrite)</f>
        <v>obj_0071d#0002</v>
      </c>
      <c r="L13" s="97" t="str">
        <f>_xll.ohRangeRetrieveError(K13)</f>
        <v/>
      </c>
      <c r="M13" s="125"/>
    </row>
    <row r="14" spans="1:13" x14ac:dyDescent="0.2">
      <c r="A14" s="95"/>
      <c r="B14" s="133" t="s">
        <v>130</v>
      </c>
      <c r="C14" s="133" t="s">
        <v>132</v>
      </c>
      <c r="D14" s="133">
        <v>10</v>
      </c>
      <c r="E14" s="133" t="s">
        <v>41</v>
      </c>
      <c r="F14" s="132" t="s">
        <v>128</v>
      </c>
      <c r="G14" s="132" t="s">
        <v>127</v>
      </c>
      <c r="H14" s="131" t="str">
        <f t="shared" si="0"/>
        <v>Actual/360</v>
      </c>
      <c r="I14" s="130">
        <v>0</v>
      </c>
      <c r="J14" s="129" t="str">
        <f t="shared" si="1"/>
        <v>EUR10X1S_Quote</v>
      </c>
      <c r="K14" s="128" t="str">
        <f>_xll.qlSwapRateHelper2(,$J14,$C14,Calendar,$F14,$G14,$H14,$K$4,$I14,B14,Discounting,Permanent,,ObjectOverwrite)</f>
        <v>obj_0071b#0002</v>
      </c>
      <c r="L14" s="97" t="str">
        <f>_xll.ohRangeRetrieveError(K14)</f>
        <v/>
      </c>
      <c r="M14" s="125"/>
    </row>
    <row r="15" spans="1:13" x14ac:dyDescent="0.2">
      <c r="A15" s="95"/>
      <c r="B15" s="133" t="s">
        <v>130</v>
      </c>
      <c r="C15" s="133" t="s">
        <v>131</v>
      </c>
      <c r="D15" s="133">
        <v>11</v>
      </c>
      <c r="E15" s="133" t="s">
        <v>41</v>
      </c>
      <c r="F15" s="132" t="s">
        <v>128</v>
      </c>
      <c r="G15" s="132" t="s">
        <v>127</v>
      </c>
      <c r="H15" s="131" t="str">
        <f t="shared" si="0"/>
        <v>Actual/360</v>
      </c>
      <c r="I15" s="130">
        <v>0</v>
      </c>
      <c r="J15" s="129" t="str">
        <f t="shared" si="1"/>
        <v>EUR11X1S_Quote</v>
      </c>
      <c r="K15" s="128" t="str">
        <f>_xll.qlSwapRateHelper2(,$J15,$C15,Calendar,$F15,$G15,$H15,$K$4,$I15,B15,Discounting,Permanent,,ObjectOverwrite)</f>
        <v>obj_00718#0002</v>
      </c>
      <c r="L15" s="97" t="str">
        <f>_xll.ohRangeRetrieveError(K15)</f>
        <v/>
      </c>
      <c r="M15" s="125"/>
    </row>
    <row r="16" spans="1:13" x14ac:dyDescent="0.2">
      <c r="A16" s="95"/>
      <c r="B16" s="133" t="s">
        <v>130</v>
      </c>
      <c r="C16" s="133" t="s">
        <v>129</v>
      </c>
      <c r="D16" s="133">
        <v>12</v>
      </c>
      <c r="E16" s="133" t="s">
        <v>41</v>
      </c>
      <c r="F16" s="132" t="s">
        <v>128</v>
      </c>
      <c r="G16" s="132" t="s">
        <v>127</v>
      </c>
      <c r="H16" s="131" t="str">
        <f t="shared" si="0"/>
        <v>Actual/360</v>
      </c>
      <c r="I16" s="130">
        <v>0</v>
      </c>
      <c r="J16" s="129" t="str">
        <f t="shared" si="1"/>
        <v>EUR12X1S_Quote</v>
      </c>
      <c r="K16" s="128" t="str">
        <f>_xll.qlSwapRateHelper2(,$J16,$C16,Calendar,$F16,$G16,$H16,$K$4,$I16,B16,Discounting,Permanent,,ObjectOverwrite)</f>
        <v>obj_0071a#0002</v>
      </c>
      <c r="L16" s="97" t="str">
        <f>_xll.ohRangeRetrieveError(K16)</f>
        <v/>
      </c>
      <c r="M16" s="125"/>
    </row>
    <row r="17" spans="1:13" x14ac:dyDescent="0.2">
      <c r="A17" s="95"/>
      <c r="B17" s="15"/>
      <c r="C17" s="15"/>
      <c r="D17" s="15"/>
      <c r="E17" s="15"/>
      <c r="F17" s="12"/>
      <c r="G17" s="12"/>
      <c r="H17" s="12"/>
      <c r="I17" s="127"/>
      <c r="J17" s="126"/>
      <c r="K17" s="126"/>
      <c r="L17" s="126"/>
      <c r="M17" s="125"/>
    </row>
    <row r="18" spans="1:13" ht="12" thickBot="1" x14ac:dyDescent="0.25">
      <c r="A18" s="88"/>
      <c r="B18" s="87"/>
      <c r="C18" s="87"/>
      <c r="D18" s="87"/>
      <c r="E18" s="87"/>
      <c r="F18" s="87"/>
      <c r="G18" s="87"/>
      <c r="H18" s="87"/>
      <c r="I18" s="87"/>
      <c r="J18" s="87"/>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election activeCell="K3" sqref="K3"/>
    </sheetView>
  </sheetViews>
  <sheetFormatPr defaultRowHeight="11.25" x14ac:dyDescent="0.2"/>
  <cols>
    <col min="1" max="1" width="1.7109375" style="85" customWidth="1"/>
    <col min="2" max="2" width="4.7109375" style="85" bestFit="1" customWidth="1"/>
    <col min="3" max="3" width="3.85546875" style="85" bestFit="1" customWidth="1"/>
    <col min="4" max="4" width="3.140625" style="85" bestFit="1" customWidth="1"/>
    <col min="5" max="5" width="2.7109375" style="85" bestFit="1" customWidth="1"/>
    <col min="6" max="6" width="5.85546875" style="85" bestFit="1" customWidth="1"/>
    <col min="7" max="7" width="13.85546875" style="85" bestFit="1" customWidth="1"/>
    <col min="8" max="8" width="15.28515625" style="85" bestFit="1" customWidth="1"/>
    <col min="9" max="9" width="7.140625" style="85" bestFit="1" customWidth="1"/>
    <col min="10" max="10" width="20.28515625" style="85" bestFit="1" customWidth="1"/>
    <col min="11" max="11" width="30.42578125" style="122" bestFit="1" customWidth="1"/>
    <col min="12" max="12" width="16.5703125" style="85" customWidth="1"/>
    <col min="13" max="13" width="3.85546875" style="85" customWidth="1"/>
    <col min="14" max="14" width="2.5703125" style="85" customWidth="1"/>
    <col min="15" max="15" width="4" style="85" bestFit="1" customWidth="1"/>
    <col min="16" max="16" width="3.28515625" style="85" bestFit="1" customWidth="1"/>
    <col min="17" max="17" width="2.7109375" style="85" bestFit="1" customWidth="1"/>
    <col min="18" max="16384" width="9.140625" style="85"/>
  </cols>
  <sheetData>
    <row r="1" spans="1:17" x14ac:dyDescent="0.2">
      <c r="A1" s="140"/>
      <c r="B1" s="139"/>
      <c r="C1" s="139"/>
      <c r="D1" s="139"/>
      <c r="E1" s="139"/>
      <c r="F1" s="139"/>
      <c r="G1" s="139"/>
      <c r="H1" s="139"/>
      <c r="I1" s="139"/>
      <c r="J1" s="139"/>
      <c r="K1" s="139"/>
      <c r="L1" s="139"/>
      <c r="M1" s="138"/>
    </row>
    <row r="2" spans="1:17" x14ac:dyDescent="0.2">
      <c r="A2" s="95"/>
      <c r="B2" s="102"/>
      <c r="C2" s="102"/>
      <c r="D2" s="102"/>
      <c r="E2" s="102"/>
      <c r="F2" s="102"/>
      <c r="G2" s="102"/>
      <c r="H2" s="102"/>
      <c r="I2" s="12" t="s">
        <v>112</v>
      </c>
      <c r="J2" s="12" t="str">
        <f>Currency&amp;"_YC"&amp;$I$2&amp;"RH"</f>
        <v>EUR_YC1MRH</v>
      </c>
      <c r="K2" s="137" t="str">
        <f>J2&amp;"_SwapsFromBasis.xml"</f>
        <v>EUR_YC1MRH_SwapsFromBasis.xml</v>
      </c>
      <c r="L2" s="102"/>
      <c r="M2" s="125"/>
    </row>
    <row r="3" spans="1:17" ht="22.5" x14ac:dyDescent="0.2">
      <c r="A3" s="95"/>
      <c r="B3" s="100" t="s">
        <v>146</v>
      </c>
      <c r="C3" s="100"/>
      <c r="D3" s="100"/>
      <c r="E3" s="100"/>
      <c r="F3" s="100" t="s">
        <v>144</v>
      </c>
      <c r="G3" s="100" t="s">
        <v>143</v>
      </c>
      <c r="H3" s="100" t="s">
        <v>142</v>
      </c>
      <c r="I3" s="100" t="s">
        <v>141</v>
      </c>
      <c r="J3" s="100" t="s">
        <v>117</v>
      </c>
      <c r="K3" s="136" t="str">
        <f>IF(Serialize,_xll.ohObjectSave(K4:K42,SerializationPath&amp;K2,FileOverwrite,Serialize),"---")</f>
        <v>---</v>
      </c>
      <c r="L3" s="141"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obj_006f1#0002</v>
      </c>
      <c r="L4" s="134" t="str">
        <f>_xll.ohRangeRetrieveError(K4)</f>
        <v/>
      </c>
      <c r="M4" s="125"/>
    </row>
    <row r="5" spans="1:17" x14ac:dyDescent="0.2">
      <c r="A5" s="103"/>
      <c r="B5" s="102"/>
      <c r="C5" s="102"/>
      <c r="D5" s="102"/>
      <c r="E5" s="102"/>
      <c r="F5" s="102"/>
      <c r="G5" s="102"/>
      <c r="H5" s="102"/>
      <c r="I5" s="102"/>
      <c r="J5" s="102"/>
      <c r="K5" s="102"/>
      <c r="L5" s="102"/>
      <c r="M5" s="125"/>
    </row>
    <row r="6" spans="1:17" x14ac:dyDescent="0.2">
      <c r="A6" s="95"/>
      <c r="B6" s="151" t="s">
        <v>130</v>
      </c>
      <c r="C6" s="133" t="s">
        <v>36</v>
      </c>
      <c r="D6" s="151" t="str">
        <f>VLOOKUP(Currency,Swap1MConventions,2)</f>
        <v>AB</v>
      </c>
      <c r="E6" s="151" t="str">
        <f>VLOOKUP(Currency,Swap1MConventions,3)</f>
        <v>1E</v>
      </c>
      <c r="F6" s="132" t="str">
        <f t="shared" ref="F6:F42" si="0">IF(UPPER(LEFT($D6))="A","Annual",IF(UPPER(LEFT($D6))="S","Semiannual","--"))</f>
        <v>Annual</v>
      </c>
      <c r="G6" s="132" t="s">
        <v>127</v>
      </c>
      <c r="H6" s="132" t="str">
        <f>IF(UPPER(RIGHT($D6))="B",BondBasisDayCounter,IF(UPPER(RIGHT($D6))="M",MoneyMarketDayCounter,"--"))</f>
        <v>30/360 (Bond Basis)</v>
      </c>
      <c r="I6" s="130">
        <v>0</v>
      </c>
      <c r="J6" s="129" t="str">
        <f t="shared" ref="J6:J42" si="1">Currency&amp;$D6&amp;$E6&amp;"BASIS"&amp;$C6&amp;"_Quote"</f>
        <v>EURAB1EBASIS1Y_Quote</v>
      </c>
      <c r="K6" s="128" t="str">
        <f>_xll.qlSwapRateHelper2(,$J6,$C6,Calendar,$F6,$G6,$H6,$K$4,$I6,B6,Discounting,Permanent,,ObjectOverwrite)</f>
        <v>obj_006f3#0002</v>
      </c>
      <c r="L6" s="141" t="str">
        <f>_xll.ohRangeRetrieveError(K6)</f>
        <v/>
      </c>
      <c r="M6" s="125"/>
    </row>
    <row r="7" spans="1:17" x14ac:dyDescent="0.2">
      <c r="A7" s="95"/>
      <c r="B7" s="133" t="str">
        <f t="shared" ref="B7:B42" si="2">B6</f>
        <v>0D</v>
      </c>
      <c r="C7" s="133" t="s">
        <v>35</v>
      </c>
      <c r="D7" s="133" t="str">
        <f t="shared" ref="D7:D42" si="3">D6</f>
        <v>AB</v>
      </c>
      <c r="E7" s="133" t="str">
        <f t="shared" ref="E7:E42" si="4">E6</f>
        <v>1E</v>
      </c>
      <c r="F7" s="131" t="str">
        <f t="shared" si="0"/>
        <v>Annual</v>
      </c>
      <c r="G7" s="131" t="s">
        <v>127</v>
      </c>
      <c r="H7" s="131" t="str">
        <f t="shared" ref="H7:H42" si="5">IF(UPPER(RIGHT($D7))="B",BondBasisDayCounter,IF(UPPER(RIGHT($D7))="M",MoneyMarketDayCounter,"--"))</f>
        <v>30/360 (Bond Basis)</v>
      </c>
      <c r="I7" s="130">
        <v>0</v>
      </c>
      <c r="J7" s="129" t="str">
        <f t="shared" si="1"/>
        <v>EURAB1EBASIS15M_Quote</v>
      </c>
      <c r="K7" s="128" t="str">
        <f>_xll.qlSwapRateHelper2(,$J7,$C7,Calendar,$F7,$G7,$H7,$K$4,$I7,B7,Discounting,Permanent,,ObjectOverwrite)</f>
        <v>obj_006f4#0002</v>
      </c>
      <c r="L7" s="141" t="str">
        <f>_xll.ohRangeRetrieveError(K7)</f>
        <v/>
      </c>
      <c r="M7" s="125"/>
    </row>
    <row r="8" spans="1:17" x14ac:dyDescent="0.2">
      <c r="A8" s="95"/>
      <c r="B8" s="133" t="str">
        <f t="shared" si="2"/>
        <v>0D</v>
      </c>
      <c r="C8" s="133" t="s">
        <v>34</v>
      </c>
      <c r="D8" s="133" t="str">
        <f t="shared" si="3"/>
        <v>AB</v>
      </c>
      <c r="E8" s="133" t="str">
        <f t="shared" si="4"/>
        <v>1E</v>
      </c>
      <c r="F8" s="131" t="str">
        <f t="shared" si="0"/>
        <v>Annual</v>
      </c>
      <c r="G8" s="131" t="s">
        <v>127</v>
      </c>
      <c r="H8" s="131" t="str">
        <f t="shared" si="5"/>
        <v>30/360 (Bond Basis)</v>
      </c>
      <c r="I8" s="130">
        <v>0</v>
      </c>
      <c r="J8" s="129" t="str">
        <f t="shared" si="1"/>
        <v>EURAB1EBASIS18M_Quote</v>
      </c>
      <c r="K8" s="128" t="str">
        <f>_xll.qlSwapRateHelper2(,$J8,$C8,Calendar,$F8,$G8,$H8,$K$4,$I8,B8,Discounting,Permanent,,ObjectOverwrite)</f>
        <v>obj_006f5#0002</v>
      </c>
      <c r="L8" s="141" t="str">
        <f>_xll.ohRangeRetrieveError(K8)</f>
        <v/>
      </c>
      <c r="M8" s="125"/>
    </row>
    <row r="9" spans="1:17" ht="12" thickBot="1" x14ac:dyDescent="0.25">
      <c r="A9" s="95"/>
      <c r="B9" s="133" t="str">
        <f t="shared" si="2"/>
        <v>0D</v>
      </c>
      <c r="C9" s="133" t="s">
        <v>33</v>
      </c>
      <c r="D9" s="133" t="str">
        <f t="shared" si="3"/>
        <v>AB</v>
      </c>
      <c r="E9" s="133" t="str">
        <f t="shared" si="4"/>
        <v>1E</v>
      </c>
      <c r="F9" s="131" t="str">
        <f t="shared" si="0"/>
        <v>Annual</v>
      </c>
      <c r="G9" s="131" t="s">
        <v>127</v>
      </c>
      <c r="H9" s="131" t="str">
        <f t="shared" si="5"/>
        <v>30/360 (Bond Basis)</v>
      </c>
      <c r="I9" s="130">
        <v>0</v>
      </c>
      <c r="J9" s="129" t="str">
        <f t="shared" si="1"/>
        <v>EURAB1EBASIS21M_Quote</v>
      </c>
      <c r="K9" s="128" t="str">
        <f>_xll.qlSwapRateHelper2(,$J9,$C9,Calendar,$F9,$G9,$H9,$K$4,$I9,B9,Discounting,Permanent,,ObjectOverwrite)</f>
        <v>obj_006f6#0002</v>
      </c>
      <c r="L9" s="141" t="str">
        <f>_xll.ohRangeRetrieveError(K9)</f>
        <v/>
      </c>
      <c r="M9" s="125"/>
    </row>
    <row r="10" spans="1:17" x14ac:dyDescent="0.2">
      <c r="A10" s="95"/>
      <c r="B10" s="133" t="str">
        <f t="shared" si="2"/>
        <v>0D</v>
      </c>
      <c r="C10" s="133" t="s">
        <v>32</v>
      </c>
      <c r="D10" s="133" t="str">
        <f t="shared" si="3"/>
        <v>AB</v>
      </c>
      <c r="E10" s="133" t="str">
        <f t="shared" si="4"/>
        <v>1E</v>
      </c>
      <c r="F10" s="131" t="str">
        <f t="shared" si="0"/>
        <v>Annual</v>
      </c>
      <c r="G10" s="131" t="s">
        <v>127</v>
      </c>
      <c r="H10" s="131" t="str">
        <f t="shared" si="5"/>
        <v>30/360 (Bond Basis)</v>
      </c>
      <c r="I10" s="130">
        <v>0</v>
      </c>
      <c r="J10" s="129" t="str">
        <f t="shared" si="1"/>
        <v>EURAB1EBASIS2Y_Quote</v>
      </c>
      <c r="K10" s="128" t="str">
        <f>_xll.qlSwapRateHelper2(,$J10,$C10,Calendar,$F10,$G10,$H10,$K$4,$I10,B10,Discounting,Permanent,,ObjectOverwrite)</f>
        <v>obj_006f7#0002</v>
      </c>
      <c r="L10" s="141" t="str">
        <f>_xll.ohRangeRetrieveError(K10)</f>
        <v/>
      </c>
      <c r="M10" s="125"/>
      <c r="O10" s="150" t="s">
        <v>109</v>
      </c>
      <c r="P10" s="149" t="s">
        <v>106</v>
      </c>
      <c r="Q10" s="148" t="s">
        <v>148</v>
      </c>
    </row>
    <row r="11" spans="1:17" x14ac:dyDescent="0.2">
      <c r="A11" s="95"/>
      <c r="B11" s="133" t="str">
        <f t="shared" si="2"/>
        <v>0D</v>
      </c>
      <c r="C11" s="133" t="s">
        <v>31</v>
      </c>
      <c r="D11" s="133" t="str">
        <f t="shared" si="3"/>
        <v>AB</v>
      </c>
      <c r="E11" s="133" t="str">
        <f t="shared" si="4"/>
        <v>1E</v>
      </c>
      <c r="F11" s="131" t="str">
        <f t="shared" si="0"/>
        <v>Annual</v>
      </c>
      <c r="G11" s="131" t="s">
        <v>127</v>
      </c>
      <c r="H11" s="131" t="str">
        <f t="shared" si="5"/>
        <v>30/360 (Bond Basis)</v>
      </c>
      <c r="I11" s="130">
        <v>0</v>
      </c>
      <c r="J11" s="129" t="str">
        <f t="shared" si="1"/>
        <v>EURAB1EBASIS3Y_Quote</v>
      </c>
      <c r="K11" s="128" t="str">
        <f>_xll.qlSwapRateHelper2(,$J11,$C11,Calendar,$F11,$G11,$H11,$K$4,$I11,B11,Discounting,Permanent,,ObjectOverwrite)</f>
        <v>obj_006f8#0002</v>
      </c>
      <c r="L11" s="141" t="str">
        <f>_xll.ohRangeRetrieveError(K11)</f>
        <v/>
      </c>
      <c r="M11" s="125"/>
      <c r="O11" s="147" t="s">
        <v>107</v>
      </c>
      <c r="P11" s="142" t="s">
        <v>106</v>
      </c>
      <c r="Q11" s="146" t="s">
        <v>150</v>
      </c>
    </row>
    <row r="12" spans="1:17" x14ac:dyDescent="0.2">
      <c r="A12" s="95"/>
      <c r="B12" s="133" t="str">
        <f t="shared" si="2"/>
        <v>0D</v>
      </c>
      <c r="C12" s="133" t="s">
        <v>30</v>
      </c>
      <c r="D12" s="133" t="str">
        <f t="shared" si="3"/>
        <v>AB</v>
      </c>
      <c r="E12" s="133" t="str">
        <f t="shared" si="4"/>
        <v>1E</v>
      </c>
      <c r="F12" s="131" t="str">
        <f t="shared" si="0"/>
        <v>Annual</v>
      </c>
      <c r="G12" s="131" t="s">
        <v>127</v>
      </c>
      <c r="H12" s="131" t="str">
        <f t="shared" si="5"/>
        <v>30/360 (Bond Basis)</v>
      </c>
      <c r="I12" s="130">
        <v>0</v>
      </c>
      <c r="J12" s="129" t="str">
        <f t="shared" si="1"/>
        <v>EURAB1EBASIS4Y_Quote</v>
      </c>
      <c r="K12" s="128" t="str">
        <f>_xll.qlSwapRateHelper2(,$J12,$C12,Calendar,$F12,$G12,$H12,$K$4,$I12,B12,Discounting,Permanent,,ObjectOverwrite)</f>
        <v>obj_006f9#0002</v>
      </c>
      <c r="L12" s="141" t="str">
        <f>_xll.ohRangeRetrieveError(K12)</f>
        <v/>
      </c>
      <c r="M12" s="125"/>
      <c r="O12" s="147" t="s">
        <v>104</v>
      </c>
      <c r="P12" s="142" t="s">
        <v>99</v>
      </c>
      <c r="Q12" s="146" t="s">
        <v>148</v>
      </c>
    </row>
    <row r="13" spans="1:17" x14ac:dyDescent="0.2">
      <c r="A13" s="95"/>
      <c r="B13" s="133" t="str">
        <f t="shared" si="2"/>
        <v>0D</v>
      </c>
      <c r="C13" s="133" t="s">
        <v>29</v>
      </c>
      <c r="D13" s="133" t="str">
        <f t="shared" si="3"/>
        <v>AB</v>
      </c>
      <c r="E13" s="133" t="str">
        <f t="shared" si="4"/>
        <v>1E</v>
      </c>
      <c r="F13" s="131" t="str">
        <f t="shared" si="0"/>
        <v>Annual</v>
      </c>
      <c r="G13" s="131" t="s">
        <v>127</v>
      </c>
      <c r="H13" s="131" t="str">
        <f t="shared" si="5"/>
        <v>30/360 (Bond Basis)</v>
      </c>
      <c r="I13" s="130">
        <v>0</v>
      </c>
      <c r="J13" s="129" t="str">
        <f t="shared" si="1"/>
        <v>EURAB1EBASIS5Y_Quote</v>
      </c>
      <c r="K13" s="128" t="str">
        <f>_xll.qlSwapRateHelper2(,$J13,$C13,Calendar,$F13,$G13,$H13,$K$4,$I13,B13,Discounting,Permanent,,ObjectOverwrite)</f>
        <v>obj_006fa#0002</v>
      </c>
      <c r="L13" s="141" t="str">
        <f>_xll.ohRangeRetrieveError(K13)</f>
        <v/>
      </c>
      <c r="M13" s="125"/>
      <c r="O13" s="147" t="s">
        <v>102</v>
      </c>
      <c r="P13" s="142" t="s">
        <v>149</v>
      </c>
      <c r="Q13" s="146" t="s">
        <v>148</v>
      </c>
    </row>
    <row r="14" spans="1:17" ht="12" thickBot="1" x14ac:dyDescent="0.25">
      <c r="A14" s="95"/>
      <c r="B14" s="133" t="str">
        <f t="shared" si="2"/>
        <v>0D</v>
      </c>
      <c r="C14" s="133" t="s">
        <v>28</v>
      </c>
      <c r="D14" s="133" t="str">
        <f t="shared" si="3"/>
        <v>AB</v>
      </c>
      <c r="E14" s="133" t="str">
        <f t="shared" si="4"/>
        <v>1E</v>
      </c>
      <c r="F14" s="131" t="str">
        <f t="shared" si="0"/>
        <v>Annual</v>
      </c>
      <c r="G14" s="131" t="s">
        <v>127</v>
      </c>
      <c r="H14" s="131" t="str">
        <f t="shared" si="5"/>
        <v>30/360 (Bond Basis)</v>
      </c>
      <c r="I14" s="130">
        <v>0</v>
      </c>
      <c r="J14" s="129" t="str">
        <f t="shared" si="1"/>
        <v>EURAB1EBASIS6Y_Quote</v>
      </c>
      <c r="K14" s="128" t="str">
        <f>_xll.qlSwapRateHelper2(,$J14,$C14,Calendar,$F14,$G14,$H14,$K$4,$I14,B14,Discounting,Permanent,,ObjectOverwrite)</f>
        <v>obj_006fb#0002</v>
      </c>
      <c r="L14" s="141" t="str">
        <f>_xll.ohRangeRetrieveError(K14)</f>
        <v/>
      </c>
      <c r="M14" s="125"/>
      <c r="O14" s="145" t="s">
        <v>100</v>
      </c>
      <c r="P14" s="144" t="s">
        <v>99</v>
      </c>
      <c r="Q14" s="143" t="s">
        <v>148</v>
      </c>
    </row>
    <row r="15" spans="1:17" x14ac:dyDescent="0.2">
      <c r="A15" s="95"/>
      <c r="B15" s="133" t="str">
        <f t="shared" si="2"/>
        <v>0D</v>
      </c>
      <c r="C15" s="133" t="s">
        <v>27</v>
      </c>
      <c r="D15" s="133" t="str">
        <f t="shared" si="3"/>
        <v>AB</v>
      </c>
      <c r="E15" s="133" t="str">
        <f t="shared" si="4"/>
        <v>1E</v>
      </c>
      <c r="F15" s="131" t="str">
        <f t="shared" si="0"/>
        <v>Annual</v>
      </c>
      <c r="G15" s="131" t="s">
        <v>127</v>
      </c>
      <c r="H15" s="131" t="str">
        <f t="shared" si="5"/>
        <v>30/360 (Bond Basis)</v>
      </c>
      <c r="I15" s="130">
        <v>0</v>
      </c>
      <c r="J15" s="129" t="str">
        <f t="shared" si="1"/>
        <v>EURAB1EBASIS7Y_Quote</v>
      </c>
      <c r="K15" s="128" t="str">
        <f>_xll.qlSwapRateHelper2(,$J15,$C15,Calendar,$F15,$G15,$H15,$K$4,$I15,B15,Discounting,Permanent,,ObjectOverwrite)</f>
        <v>obj_006fd#0002</v>
      </c>
      <c r="L15" s="141" t="str">
        <f>_xll.ohRangeRetrieveError(K15)</f>
        <v/>
      </c>
      <c r="M15" s="125"/>
      <c r="O15" s="142"/>
      <c r="P15" s="142"/>
      <c r="Q15" s="142"/>
    </row>
    <row r="16" spans="1:17" x14ac:dyDescent="0.2">
      <c r="A16" s="95"/>
      <c r="B16" s="133" t="str">
        <f t="shared" si="2"/>
        <v>0D</v>
      </c>
      <c r="C16" s="133" t="s">
        <v>26</v>
      </c>
      <c r="D16" s="133" t="str">
        <f t="shared" si="3"/>
        <v>AB</v>
      </c>
      <c r="E16" s="133" t="str">
        <f t="shared" si="4"/>
        <v>1E</v>
      </c>
      <c r="F16" s="131" t="str">
        <f t="shared" si="0"/>
        <v>Annual</v>
      </c>
      <c r="G16" s="131" t="s">
        <v>127</v>
      </c>
      <c r="H16" s="131" t="str">
        <f t="shared" si="5"/>
        <v>30/360 (Bond Basis)</v>
      </c>
      <c r="I16" s="130">
        <v>0</v>
      </c>
      <c r="J16" s="129" t="str">
        <f t="shared" si="1"/>
        <v>EURAB1EBASIS8Y_Quote</v>
      </c>
      <c r="K16" s="128" t="str">
        <f>_xll.qlSwapRateHelper2(,$J16,$C16,Calendar,$F16,$G16,$H16,$K$4,$I16,B16,Discounting,Permanent,,ObjectOverwrite)</f>
        <v>obj_006fe#0002</v>
      </c>
      <c r="L16" s="141" t="str">
        <f>_xll.ohRangeRetrieveError(K16)</f>
        <v/>
      </c>
      <c r="M16" s="125"/>
    </row>
    <row r="17" spans="1:13" x14ac:dyDescent="0.2">
      <c r="A17" s="95"/>
      <c r="B17" s="133" t="str">
        <f t="shared" si="2"/>
        <v>0D</v>
      </c>
      <c r="C17" s="133" t="s">
        <v>25</v>
      </c>
      <c r="D17" s="133" t="str">
        <f t="shared" si="3"/>
        <v>AB</v>
      </c>
      <c r="E17" s="133" t="str">
        <f t="shared" si="4"/>
        <v>1E</v>
      </c>
      <c r="F17" s="131" t="str">
        <f t="shared" si="0"/>
        <v>Annual</v>
      </c>
      <c r="G17" s="131" t="s">
        <v>127</v>
      </c>
      <c r="H17" s="131" t="str">
        <f t="shared" si="5"/>
        <v>30/360 (Bond Basis)</v>
      </c>
      <c r="I17" s="130">
        <v>0</v>
      </c>
      <c r="J17" s="129" t="str">
        <f t="shared" si="1"/>
        <v>EURAB1EBASIS9Y_Quote</v>
      </c>
      <c r="K17" s="128" t="str">
        <f>_xll.qlSwapRateHelper2(,$J17,$C17,Calendar,$F17,$G17,$H17,$K$4,$I17,B17,Discounting,Permanent,,ObjectOverwrite)</f>
        <v>obj_006ff#0002</v>
      </c>
      <c r="L17" s="141" t="str">
        <f>_xll.ohRangeRetrieveError(K17)</f>
        <v/>
      </c>
      <c r="M17" s="125"/>
    </row>
    <row r="18" spans="1:13" x14ac:dyDescent="0.2">
      <c r="A18" s="95"/>
      <c r="B18" s="133" t="str">
        <f t="shared" si="2"/>
        <v>0D</v>
      </c>
      <c r="C18" s="133" t="s">
        <v>24</v>
      </c>
      <c r="D18" s="133" t="str">
        <f t="shared" si="3"/>
        <v>AB</v>
      </c>
      <c r="E18" s="133" t="str">
        <f t="shared" si="4"/>
        <v>1E</v>
      </c>
      <c r="F18" s="131" t="str">
        <f t="shared" si="0"/>
        <v>Annual</v>
      </c>
      <c r="G18" s="131" t="s">
        <v>127</v>
      </c>
      <c r="H18" s="131" t="str">
        <f t="shared" si="5"/>
        <v>30/360 (Bond Basis)</v>
      </c>
      <c r="I18" s="130">
        <v>0</v>
      </c>
      <c r="J18" s="129" t="str">
        <f t="shared" si="1"/>
        <v>EURAB1EBASIS10Y_Quote</v>
      </c>
      <c r="K18" s="128" t="str">
        <f>_xll.qlSwapRateHelper2(,$J18,$C18,Calendar,$F18,$G18,$H18,$K$4,$I18,B18,Discounting,Permanent,,ObjectOverwrite)</f>
        <v>obj_006fc#0002</v>
      </c>
      <c r="L18" s="141" t="str">
        <f>_xll.ohRangeRetrieveError(K18)</f>
        <v/>
      </c>
      <c r="M18" s="125"/>
    </row>
    <row r="19" spans="1:13" x14ac:dyDescent="0.2">
      <c r="A19" s="95"/>
      <c r="B19" s="133" t="str">
        <f t="shared" si="2"/>
        <v>0D</v>
      </c>
      <c r="C19" s="133" t="s">
        <v>23</v>
      </c>
      <c r="D19" s="133" t="str">
        <f t="shared" si="3"/>
        <v>AB</v>
      </c>
      <c r="E19" s="133" t="str">
        <f t="shared" si="4"/>
        <v>1E</v>
      </c>
      <c r="F19" s="131" t="str">
        <f t="shared" si="0"/>
        <v>Annual</v>
      </c>
      <c r="G19" s="131" t="s">
        <v>127</v>
      </c>
      <c r="H19" s="131" t="str">
        <f t="shared" si="5"/>
        <v>30/360 (Bond Basis)</v>
      </c>
      <c r="I19" s="130">
        <v>0</v>
      </c>
      <c r="J19" s="129" t="str">
        <f t="shared" si="1"/>
        <v>EURAB1EBASIS11Y_Quote</v>
      </c>
      <c r="K19" s="128" t="str">
        <f>_xll.qlSwapRateHelper2(,$J19,$C19,Calendar,$F19,$G19,$H19,$K$4,$I19,B19,Discounting,Permanent,,ObjectOverwrite)</f>
        <v>obj_00700#0002</v>
      </c>
      <c r="L19" s="141" t="str">
        <f>_xll.ohRangeRetrieveError(K19)</f>
        <v/>
      </c>
      <c r="M19" s="125"/>
    </row>
    <row r="20" spans="1:13" x14ac:dyDescent="0.2">
      <c r="A20" s="95"/>
      <c r="B20" s="133" t="str">
        <f t="shared" si="2"/>
        <v>0D</v>
      </c>
      <c r="C20" s="133" t="s">
        <v>22</v>
      </c>
      <c r="D20" s="133" t="str">
        <f t="shared" si="3"/>
        <v>AB</v>
      </c>
      <c r="E20" s="133" t="str">
        <f t="shared" si="4"/>
        <v>1E</v>
      </c>
      <c r="F20" s="131" t="str">
        <f t="shared" si="0"/>
        <v>Annual</v>
      </c>
      <c r="G20" s="131" t="s">
        <v>127</v>
      </c>
      <c r="H20" s="131" t="str">
        <f t="shared" si="5"/>
        <v>30/360 (Bond Basis)</v>
      </c>
      <c r="I20" s="130">
        <v>0</v>
      </c>
      <c r="J20" s="129" t="str">
        <f t="shared" si="1"/>
        <v>EURAB1EBASIS12Y_Quote</v>
      </c>
      <c r="K20" s="128" t="str">
        <f>_xll.qlSwapRateHelper2(,$J20,$C20,Calendar,$F20,$G20,$H20,$K$4,$I20,B20,Discounting,Permanent,,ObjectOverwrite)</f>
        <v>obj_00702#0002</v>
      </c>
      <c r="L20" s="141" t="str">
        <f>_xll.ohRangeRetrieveError(K20)</f>
        <v/>
      </c>
      <c r="M20" s="125"/>
    </row>
    <row r="21" spans="1:13" x14ac:dyDescent="0.2">
      <c r="A21" s="95"/>
      <c r="B21" s="133" t="str">
        <f t="shared" si="2"/>
        <v>0D</v>
      </c>
      <c r="C21" s="133" t="s">
        <v>21</v>
      </c>
      <c r="D21" s="133" t="str">
        <f t="shared" si="3"/>
        <v>AB</v>
      </c>
      <c r="E21" s="133" t="str">
        <f t="shared" si="4"/>
        <v>1E</v>
      </c>
      <c r="F21" s="131" t="str">
        <f t="shared" si="0"/>
        <v>Annual</v>
      </c>
      <c r="G21" s="131" t="s">
        <v>127</v>
      </c>
      <c r="H21" s="131" t="str">
        <f t="shared" si="5"/>
        <v>30/360 (Bond Basis)</v>
      </c>
      <c r="I21" s="130">
        <v>0</v>
      </c>
      <c r="J21" s="129" t="str">
        <f t="shared" si="1"/>
        <v>EURAB1EBASIS13Y_Quote</v>
      </c>
      <c r="K21" s="128" t="str">
        <f>_xll.qlSwapRateHelper2(,$J21,$C21,Calendar,$F21,$G21,$H21,$K$4,$I21,B21,Discounting,Permanent,,ObjectOverwrite)</f>
        <v>obj_00701#0002</v>
      </c>
      <c r="L21" s="141" t="str">
        <f>_xll.ohRangeRetrieveError(K21)</f>
        <v/>
      </c>
      <c r="M21" s="125"/>
    </row>
    <row r="22" spans="1:13" x14ac:dyDescent="0.2">
      <c r="A22" s="95"/>
      <c r="B22" s="133" t="str">
        <f t="shared" si="2"/>
        <v>0D</v>
      </c>
      <c r="C22" s="133" t="s">
        <v>20</v>
      </c>
      <c r="D22" s="133" t="str">
        <f t="shared" si="3"/>
        <v>AB</v>
      </c>
      <c r="E22" s="133" t="str">
        <f t="shared" si="4"/>
        <v>1E</v>
      </c>
      <c r="F22" s="131" t="str">
        <f t="shared" si="0"/>
        <v>Annual</v>
      </c>
      <c r="G22" s="131" t="s">
        <v>127</v>
      </c>
      <c r="H22" s="131" t="str">
        <f t="shared" si="5"/>
        <v>30/360 (Bond Basis)</v>
      </c>
      <c r="I22" s="130">
        <v>0</v>
      </c>
      <c r="J22" s="129" t="str">
        <f t="shared" si="1"/>
        <v>EURAB1EBASIS14Y_Quote</v>
      </c>
      <c r="K22" s="128" t="str">
        <f>_xll.qlSwapRateHelper2(,$J22,$C22,Calendar,$F22,$G22,$H22,$K$4,$I22,B22,Discounting,Permanent,,ObjectOverwrite)</f>
        <v>obj_00703#0002</v>
      </c>
      <c r="L22" s="141" t="str">
        <f>_xll.ohRangeRetrieveError(K22)</f>
        <v/>
      </c>
      <c r="M22" s="125"/>
    </row>
    <row r="23" spans="1:13" x14ac:dyDescent="0.2">
      <c r="A23" s="95"/>
      <c r="B23" s="133" t="str">
        <f t="shared" si="2"/>
        <v>0D</v>
      </c>
      <c r="C23" s="133" t="s">
        <v>19</v>
      </c>
      <c r="D23" s="133" t="str">
        <f t="shared" si="3"/>
        <v>AB</v>
      </c>
      <c r="E23" s="133" t="str">
        <f t="shared" si="4"/>
        <v>1E</v>
      </c>
      <c r="F23" s="131" t="str">
        <f t="shared" si="0"/>
        <v>Annual</v>
      </c>
      <c r="G23" s="131" t="s">
        <v>127</v>
      </c>
      <c r="H23" s="131" t="str">
        <f t="shared" si="5"/>
        <v>30/360 (Bond Basis)</v>
      </c>
      <c r="I23" s="130">
        <v>0</v>
      </c>
      <c r="J23" s="129" t="str">
        <f t="shared" si="1"/>
        <v>EURAB1EBASIS15Y_Quote</v>
      </c>
      <c r="K23" s="128" t="str">
        <f>_xll.qlSwapRateHelper2(,$J23,$C23,Calendar,$F23,$G23,$H23,$K$4,$I23,B23,Discounting,Permanent,,ObjectOverwrite)</f>
        <v>obj_00704#0002</v>
      </c>
      <c r="L23" s="141" t="str">
        <f>_xll.ohRangeRetrieveError(K23)</f>
        <v/>
      </c>
      <c r="M23" s="125"/>
    </row>
    <row r="24" spans="1:13" x14ac:dyDescent="0.2">
      <c r="A24" s="95"/>
      <c r="B24" s="133" t="str">
        <f t="shared" si="2"/>
        <v>0D</v>
      </c>
      <c r="C24" s="133" t="s">
        <v>18</v>
      </c>
      <c r="D24" s="133" t="str">
        <f t="shared" si="3"/>
        <v>AB</v>
      </c>
      <c r="E24" s="133" t="str">
        <f t="shared" si="4"/>
        <v>1E</v>
      </c>
      <c r="F24" s="131" t="str">
        <f t="shared" si="0"/>
        <v>Annual</v>
      </c>
      <c r="G24" s="131" t="s">
        <v>127</v>
      </c>
      <c r="H24" s="131" t="str">
        <f t="shared" si="5"/>
        <v>30/360 (Bond Basis)</v>
      </c>
      <c r="I24" s="130">
        <v>0</v>
      </c>
      <c r="J24" s="129" t="str">
        <f t="shared" si="1"/>
        <v>EURAB1EBASIS16Y_Quote</v>
      </c>
      <c r="K24" s="128" t="str">
        <f>_xll.qlSwapRateHelper2(,$J24,$C24,Calendar,$F24,$G24,$H24,$K$4,$I24,B24,Discounting,Permanent,,ObjectOverwrite)</f>
        <v>obj_00705#0002</v>
      </c>
      <c r="L24" s="141" t="str">
        <f>_xll.ohRangeRetrieveError(K24)</f>
        <v/>
      </c>
      <c r="M24" s="125"/>
    </row>
    <row r="25" spans="1:13" x14ac:dyDescent="0.2">
      <c r="A25" s="95"/>
      <c r="B25" s="133" t="str">
        <f t="shared" si="2"/>
        <v>0D</v>
      </c>
      <c r="C25" s="133" t="s">
        <v>17</v>
      </c>
      <c r="D25" s="133" t="str">
        <f t="shared" si="3"/>
        <v>AB</v>
      </c>
      <c r="E25" s="133" t="str">
        <f t="shared" si="4"/>
        <v>1E</v>
      </c>
      <c r="F25" s="131" t="str">
        <f t="shared" si="0"/>
        <v>Annual</v>
      </c>
      <c r="G25" s="131" t="s">
        <v>127</v>
      </c>
      <c r="H25" s="131" t="str">
        <f t="shared" si="5"/>
        <v>30/360 (Bond Basis)</v>
      </c>
      <c r="I25" s="130">
        <v>0</v>
      </c>
      <c r="J25" s="129" t="str">
        <f t="shared" si="1"/>
        <v>EURAB1EBASIS17Y_Quote</v>
      </c>
      <c r="K25" s="128" t="str">
        <f>_xll.qlSwapRateHelper2(,$J25,$C25,Calendar,$F25,$G25,$H25,$K$4,$I25,B25,Discounting,Permanent,,ObjectOverwrite)</f>
        <v>obj_00706#0002</v>
      </c>
      <c r="L25" s="141" t="str">
        <f>_xll.ohRangeRetrieveError(K25)</f>
        <v/>
      </c>
      <c r="M25" s="125"/>
    </row>
    <row r="26" spans="1:13" x14ac:dyDescent="0.2">
      <c r="A26" s="95"/>
      <c r="B26" s="133" t="str">
        <f t="shared" si="2"/>
        <v>0D</v>
      </c>
      <c r="C26" s="133" t="s">
        <v>16</v>
      </c>
      <c r="D26" s="133" t="str">
        <f t="shared" si="3"/>
        <v>AB</v>
      </c>
      <c r="E26" s="133" t="str">
        <f t="shared" si="4"/>
        <v>1E</v>
      </c>
      <c r="F26" s="131" t="str">
        <f t="shared" si="0"/>
        <v>Annual</v>
      </c>
      <c r="G26" s="131" t="s">
        <v>127</v>
      </c>
      <c r="H26" s="131" t="str">
        <f t="shared" si="5"/>
        <v>30/360 (Bond Basis)</v>
      </c>
      <c r="I26" s="130">
        <v>0</v>
      </c>
      <c r="J26" s="129" t="str">
        <f t="shared" si="1"/>
        <v>EURAB1EBASIS18Y_Quote</v>
      </c>
      <c r="K26" s="128" t="str">
        <f>_xll.qlSwapRateHelper2(,$J26,$C26,Calendar,$F26,$G26,$H26,$K$4,$I26,B26,Discounting,Permanent,,ObjectOverwrite)</f>
        <v>obj_00707#0002</v>
      </c>
      <c r="L26" s="141" t="str">
        <f>_xll.ohRangeRetrieveError(K26)</f>
        <v/>
      </c>
      <c r="M26" s="125"/>
    </row>
    <row r="27" spans="1:13" x14ac:dyDescent="0.2">
      <c r="A27" s="95"/>
      <c r="B27" s="133" t="str">
        <f t="shared" si="2"/>
        <v>0D</v>
      </c>
      <c r="C27" s="133" t="s">
        <v>15</v>
      </c>
      <c r="D27" s="133" t="str">
        <f t="shared" si="3"/>
        <v>AB</v>
      </c>
      <c r="E27" s="133" t="str">
        <f t="shared" si="4"/>
        <v>1E</v>
      </c>
      <c r="F27" s="131" t="str">
        <f t="shared" si="0"/>
        <v>Annual</v>
      </c>
      <c r="G27" s="131" t="s">
        <v>127</v>
      </c>
      <c r="H27" s="131" t="str">
        <f t="shared" si="5"/>
        <v>30/360 (Bond Basis)</v>
      </c>
      <c r="I27" s="130">
        <v>0</v>
      </c>
      <c r="J27" s="129" t="str">
        <f t="shared" si="1"/>
        <v>EURAB1EBASIS19Y_Quote</v>
      </c>
      <c r="K27" s="128" t="str">
        <f>_xll.qlSwapRateHelper2(,$J27,$C27,Calendar,$F27,$G27,$H27,$K$4,$I27,B27,Discounting,Permanent,,ObjectOverwrite)</f>
        <v>obj_00708#0002</v>
      </c>
      <c r="L27" s="141" t="str">
        <f>_xll.ohRangeRetrieveError(K27)</f>
        <v/>
      </c>
      <c r="M27" s="125"/>
    </row>
    <row r="28" spans="1:13" x14ac:dyDescent="0.2">
      <c r="A28" s="95"/>
      <c r="B28" s="133" t="str">
        <f t="shared" si="2"/>
        <v>0D</v>
      </c>
      <c r="C28" s="133" t="s">
        <v>14</v>
      </c>
      <c r="D28" s="133" t="str">
        <f t="shared" si="3"/>
        <v>AB</v>
      </c>
      <c r="E28" s="133" t="str">
        <f t="shared" si="4"/>
        <v>1E</v>
      </c>
      <c r="F28" s="131" t="str">
        <f t="shared" si="0"/>
        <v>Annual</v>
      </c>
      <c r="G28" s="131" t="s">
        <v>127</v>
      </c>
      <c r="H28" s="131" t="str">
        <f t="shared" si="5"/>
        <v>30/360 (Bond Basis)</v>
      </c>
      <c r="I28" s="130">
        <v>0</v>
      </c>
      <c r="J28" s="129" t="str">
        <f t="shared" si="1"/>
        <v>EURAB1EBASIS20Y_Quote</v>
      </c>
      <c r="K28" s="128" t="str">
        <f>_xll.qlSwapRateHelper2(,$J28,$C28,Calendar,$F28,$G28,$H28,$K$4,$I28,B28,Discounting,Permanent,,ObjectOverwrite)</f>
        <v>obj_00709#0002</v>
      </c>
      <c r="L28" s="141" t="str">
        <f>_xll.ohRangeRetrieveError(K28)</f>
        <v/>
      </c>
      <c r="M28" s="125"/>
    </row>
    <row r="29" spans="1:13" x14ac:dyDescent="0.2">
      <c r="A29" s="95"/>
      <c r="B29" s="133" t="str">
        <f t="shared" si="2"/>
        <v>0D</v>
      </c>
      <c r="C29" s="133" t="s">
        <v>13</v>
      </c>
      <c r="D29" s="133" t="str">
        <f t="shared" si="3"/>
        <v>AB</v>
      </c>
      <c r="E29" s="133" t="str">
        <f t="shared" si="4"/>
        <v>1E</v>
      </c>
      <c r="F29" s="131" t="str">
        <f t="shared" si="0"/>
        <v>Annual</v>
      </c>
      <c r="G29" s="131" t="s">
        <v>127</v>
      </c>
      <c r="H29" s="131" t="str">
        <f t="shared" si="5"/>
        <v>30/360 (Bond Basis)</v>
      </c>
      <c r="I29" s="130">
        <v>0</v>
      </c>
      <c r="J29" s="129" t="str">
        <f t="shared" si="1"/>
        <v>EURAB1EBASIS21Y_Quote</v>
      </c>
      <c r="K29" s="128" t="str">
        <f>_xll.qlSwapRateHelper2(,$J29,$C29,Calendar,$F29,$G29,$H29,$K$4,$I29,B29,Discounting,Permanent,,ObjectOverwrite)</f>
        <v>obj_0070a#0002</v>
      </c>
      <c r="L29" s="141" t="str">
        <f>_xll.ohRangeRetrieveError(K29)</f>
        <v/>
      </c>
      <c r="M29" s="125"/>
    </row>
    <row r="30" spans="1:13" x14ac:dyDescent="0.2">
      <c r="A30" s="95"/>
      <c r="B30" s="133" t="str">
        <f t="shared" si="2"/>
        <v>0D</v>
      </c>
      <c r="C30" s="133" t="s">
        <v>12</v>
      </c>
      <c r="D30" s="133" t="str">
        <f t="shared" si="3"/>
        <v>AB</v>
      </c>
      <c r="E30" s="133" t="str">
        <f t="shared" si="4"/>
        <v>1E</v>
      </c>
      <c r="F30" s="131" t="str">
        <f t="shared" si="0"/>
        <v>Annual</v>
      </c>
      <c r="G30" s="131" t="s">
        <v>127</v>
      </c>
      <c r="H30" s="131" t="str">
        <f t="shared" si="5"/>
        <v>30/360 (Bond Basis)</v>
      </c>
      <c r="I30" s="130">
        <v>0</v>
      </c>
      <c r="J30" s="129" t="str">
        <f t="shared" si="1"/>
        <v>EURAB1EBASIS22Y_Quote</v>
      </c>
      <c r="K30" s="128" t="str">
        <f>_xll.qlSwapRateHelper2(,$J30,$C30,Calendar,$F30,$G30,$H30,$K$4,$I30,B30,Discounting,Permanent,,ObjectOverwrite)</f>
        <v>obj_0070b#0002</v>
      </c>
      <c r="L30" s="141" t="str">
        <f>_xll.ohRangeRetrieveError(K30)</f>
        <v/>
      </c>
      <c r="M30" s="125"/>
    </row>
    <row r="31" spans="1:13" x14ac:dyDescent="0.2">
      <c r="A31" s="95"/>
      <c r="B31" s="133" t="str">
        <f t="shared" si="2"/>
        <v>0D</v>
      </c>
      <c r="C31" s="133" t="s">
        <v>11</v>
      </c>
      <c r="D31" s="133" t="str">
        <f t="shared" si="3"/>
        <v>AB</v>
      </c>
      <c r="E31" s="133" t="str">
        <f t="shared" si="4"/>
        <v>1E</v>
      </c>
      <c r="F31" s="131" t="str">
        <f t="shared" si="0"/>
        <v>Annual</v>
      </c>
      <c r="G31" s="131" t="s">
        <v>127</v>
      </c>
      <c r="H31" s="131" t="str">
        <f t="shared" si="5"/>
        <v>30/360 (Bond Basis)</v>
      </c>
      <c r="I31" s="130">
        <v>0</v>
      </c>
      <c r="J31" s="129" t="str">
        <f t="shared" si="1"/>
        <v>EURAB1EBASIS23Y_Quote</v>
      </c>
      <c r="K31" s="128" t="str">
        <f>_xll.qlSwapRateHelper2(,$J31,$C31,Calendar,$F31,$G31,$H31,$K$4,$I31,B31,Discounting,Permanent,,ObjectOverwrite)</f>
        <v>obj_0070c#0002</v>
      </c>
      <c r="L31" s="141" t="str">
        <f>_xll.ohRangeRetrieveError(K31)</f>
        <v/>
      </c>
      <c r="M31" s="125"/>
    </row>
    <row r="32" spans="1:13" x14ac:dyDescent="0.2">
      <c r="A32" s="95"/>
      <c r="B32" s="133" t="str">
        <f t="shared" si="2"/>
        <v>0D</v>
      </c>
      <c r="C32" s="133" t="s">
        <v>10</v>
      </c>
      <c r="D32" s="133" t="str">
        <f t="shared" si="3"/>
        <v>AB</v>
      </c>
      <c r="E32" s="133" t="str">
        <f t="shared" si="4"/>
        <v>1E</v>
      </c>
      <c r="F32" s="131" t="str">
        <f t="shared" si="0"/>
        <v>Annual</v>
      </c>
      <c r="G32" s="131" t="s">
        <v>127</v>
      </c>
      <c r="H32" s="131" t="str">
        <f t="shared" si="5"/>
        <v>30/360 (Bond Basis)</v>
      </c>
      <c r="I32" s="130">
        <v>0</v>
      </c>
      <c r="J32" s="129" t="str">
        <f t="shared" si="1"/>
        <v>EURAB1EBASIS24Y_Quote</v>
      </c>
      <c r="K32" s="128" t="str">
        <f>_xll.qlSwapRateHelper2(,$J32,$C32,Calendar,$F32,$G32,$H32,$K$4,$I32,B32,Discounting,Permanent,,ObjectOverwrite)</f>
        <v>obj_0070d#0002</v>
      </c>
      <c r="L32" s="141" t="str">
        <f>_xll.ohRangeRetrieveError(K32)</f>
        <v/>
      </c>
      <c r="M32" s="125"/>
    </row>
    <row r="33" spans="1:13" x14ac:dyDescent="0.2">
      <c r="A33" s="95"/>
      <c r="B33" s="133" t="str">
        <f t="shared" si="2"/>
        <v>0D</v>
      </c>
      <c r="C33" s="133" t="s">
        <v>9</v>
      </c>
      <c r="D33" s="133" t="str">
        <f t="shared" si="3"/>
        <v>AB</v>
      </c>
      <c r="E33" s="133" t="str">
        <f t="shared" si="4"/>
        <v>1E</v>
      </c>
      <c r="F33" s="131" t="str">
        <f t="shared" si="0"/>
        <v>Annual</v>
      </c>
      <c r="G33" s="131" t="s">
        <v>127</v>
      </c>
      <c r="H33" s="131" t="str">
        <f t="shared" si="5"/>
        <v>30/360 (Bond Basis)</v>
      </c>
      <c r="I33" s="130">
        <v>0</v>
      </c>
      <c r="J33" s="129" t="str">
        <f t="shared" si="1"/>
        <v>EURAB1EBASIS25Y_Quote</v>
      </c>
      <c r="K33" s="128" t="str">
        <f>_xll.qlSwapRateHelper2(,$J33,$C33,Calendar,$F33,$G33,$H33,$K$4,$I33,B33,Discounting,Permanent,,ObjectOverwrite)</f>
        <v>obj_0070e#0002</v>
      </c>
      <c r="L33" s="141" t="str">
        <f>_xll.ohRangeRetrieveError(K33)</f>
        <v/>
      </c>
      <c r="M33" s="125"/>
    </row>
    <row r="34" spans="1:13" x14ac:dyDescent="0.2">
      <c r="A34" s="95"/>
      <c r="B34" s="133" t="str">
        <f t="shared" si="2"/>
        <v>0D</v>
      </c>
      <c r="C34" s="133" t="s">
        <v>8</v>
      </c>
      <c r="D34" s="133" t="str">
        <f t="shared" si="3"/>
        <v>AB</v>
      </c>
      <c r="E34" s="133" t="str">
        <f t="shared" si="4"/>
        <v>1E</v>
      </c>
      <c r="F34" s="131" t="str">
        <f t="shared" si="0"/>
        <v>Annual</v>
      </c>
      <c r="G34" s="131" t="s">
        <v>127</v>
      </c>
      <c r="H34" s="131" t="str">
        <f t="shared" si="5"/>
        <v>30/360 (Bond Basis)</v>
      </c>
      <c r="I34" s="130">
        <v>0</v>
      </c>
      <c r="J34" s="129" t="str">
        <f t="shared" si="1"/>
        <v>EURAB1EBASIS26Y_Quote</v>
      </c>
      <c r="K34" s="128" t="str">
        <f>_xll.qlSwapRateHelper2(,$J34,$C34,Calendar,$F34,$G34,$H34,$K$4,$I34,B34,Discounting,Permanent,,ObjectOverwrite)</f>
        <v>obj_0070f#0002</v>
      </c>
      <c r="L34" s="141" t="str">
        <f>_xll.ohRangeRetrieveError(K34)</f>
        <v/>
      </c>
      <c r="M34" s="125"/>
    </row>
    <row r="35" spans="1:13" x14ac:dyDescent="0.2">
      <c r="A35" s="95"/>
      <c r="B35" s="133" t="str">
        <f t="shared" si="2"/>
        <v>0D</v>
      </c>
      <c r="C35" s="133" t="s">
        <v>7</v>
      </c>
      <c r="D35" s="133" t="str">
        <f t="shared" si="3"/>
        <v>AB</v>
      </c>
      <c r="E35" s="133" t="str">
        <f t="shared" si="4"/>
        <v>1E</v>
      </c>
      <c r="F35" s="131" t="str">
        <f t="shared" si="0"/>
        <v>Annual</v>
      </c>
      <c r="G35" s="131" t="s">
        <v>127</v>
      </c>
      <c r="H35" s="131" t="str">
        <f t="shared" si="5"/>
        <v>30/360 (Bond Basis)</v>
      </c>
      <c r="I35" s="130">
        <v>0</v>
      </c>
      <c r="J35" s="129" t="str">
        <f t="shared" si="1"/>
        <v>EURAB1EBASIS27Y_Quote</v>
      </c>
      <c r="K35" s="128" t="str">
        <f>_xll.qlSwapRateHelper2(,$J35,$C35,Calendar,$F35,$G35,$H35,$K$4,$I35,B35,Discounting,Permanent,,ObjectOverwrite)</f>
        <v>obj_00710#0002</v>
      </c>
      <c r="L35" s="141" t="str">
        <f>_xll.ohRangeRetrieveError(K35)</f>
        <v/>
      </c>
      <c r="M35" s="125"/>
    </row>
    <row r="36" spans="1:13" x14ac:dyDescent="0.2">
      <c r="A36" s="95"/>
      <c r="B36" s="133" t="str">
        <f t="shared" si="2"/>
        <v>0D</v>
      </c>
      <c r="C36" s="133" t="s">
        <v>6</v>
      </c>
      <c r="D36" s="133" t="str">
        <f t="shared" si="3"/>
        <v>AB</v>
      </c>
      <c r="E36" s="133" t="str">
        <f t="shared" si="4"/>
        <v>1E</v>
      </c>
      <c r="F36" s="131" t="str">
        <f t="shared" si="0"/>
        <v>Annual</v>
      </c>
      <c r="G36" s="131" t="s">
        <v>127</v>
      </c>
      <c r="H36" s="131" t="str">
        <f t="shared" si="5"/>
        <v>30/360 (Bond Basis)</v>
      </c>
      <c r="I36" s="130">
        <v>0</v>
      </c>
      <c r="J36" s="129" t="str">
        <f t="shared" si="1"/>
        <v>EURAB1EBASIS28Y_Quote</v>
      </c>
      <c r="K36" s="128" t="str">
        <f>_xll.qlSwapRateHelper2(,$J36,$C36,Calendar,$F36,$G36,$H36,$K$4,$I36,B36,Discounting,Permanent,,ObjectOverwrite)</f>
        <v>obj_00711#0002</v>
      </c>
      <c r="L36" s="141" t="str">
        <f>_xll.ohRangeRetrieveError(K36)</f>
        <v/>
      </c>
      <c r="M36" s="125"/>
    </row>
    <row r="37" spans="1:13" x14ac:dyDescent="0.2">
      <c r="A37" s="95"/>
      <c r="B37" s="133" t="str">
        <f t="shared" si="2"/>
        <v>0D</v>
      </c>
      <c r="C37" s="133" t="s">
        <v>5</v>
      </c>
      <c r="D37" s="133" t="str">
        <f t="shared" si="3"/>
        <v>AB</v>
      </c>
      <c r="E37" s="133" t="str">
        <f t="shared" si="4"/>
        <v>1E</v>
      </c>
      <c r="F37" s="131" t="str">
        <f t="shared" si="0"/>
        <v>Annual</v>
      </c>
      <c r="G37" s="131" t="s">
        <v>127</v>
      </c>
      <c r="H37" s="131" t="str">
        <f t="shared" si="5"/>
        <v>30/360 (Bond Basis)</v>
      </c>
      <c r="I37" s="130">
        <v>0</v>
      </c>
      <c r="J37" s="129" t="str">
        <f t="shared" si="1"/>
        <v>EURAB1EBASIS29Y_Quote</v>
      </c>
      <c r="K37" s="128" t="str">
        <f>_xll.qlSwapRateHelper2(,$J37,$C37,Calendar,$F37,$G37,$H37,$K$4,$I37,B37,Discounting,Permanent,,ObjectOverwrite)</f>
        <v>obj_00712#0002</v>
      </c>
      <c r="L37" s="141" t="str">
        <f>_xll.ohRangeRetrieveError(K37)</f>
        <v/>
      </c>
      <c r="M37" s="125"/>
    </row>
    <row r="38" spans="1:13" x14ac:dyDescent="0.2">
      <c r="A38" s="95"/>
      <c r="B38" s="133" t="str">
        <f t="shared" si="2"/>
        <v>0D</v>
      </c>
      <c r="C38" s="133" t="s">
        <v>4</v>
      </c>
      <c r="D38" s="133" t="str">
        <f t="shared" si="3"/>
        <v>AB</v>
      </c>
      <c r="E38" s="133" t="str">
        <f t="shared" si="4"/>
        <v>1E</v>
      </c>
      <c r="F38" s="131" t="str">
        <f t="shared" si="0"/>
        <v>Annual</v>
      </c>
      <c r="G38" s="131" t="s">
        <v>127</v>
      </c>
      <c r="H38" s="131" t="str">
        <f t="shared" si="5"/>
        <v>30/360 (Bond Basis)</v>
      </c>
      <c r="I38" s="130">
        <v>0</v>
      </c>
      <c r="J38" s="129" t="str">
        <f t="shared" si="1"/>
        <v>EURAB1EBASIS30Y_Quote</v>
      </c>
      <c r="K38" s="128" t="str">
        <f>_xll.qlSwapRateHelper2(,$J38,$C38,Calendar,$F38,$G38,$H38,$K$4,$I38,B38,Discounting,Permanent,,ObjectOverwrite)</f>
        <v>obj_00713#0002</v>
      </c>
      <c r="L38" s="141" t="str">
        <f>_xll.ohRangeRetrieveError(K38)</f>
        <v/>
      </c>
      <c r="M38" s="125"/>
    </row>
    <row r="39" spans="1:13" x14ac:dyDescent="0.2">
      <c r="A39" s="95"/>
      <c r="B39" s="133" t="str">
        <f t="shared" si="2"/>
        <v>0D</v>
      </c>
      <c r="C39" s="133" t="s">
        <v>3</v>
      </c>
      <c r="D39" s="133" t="str">
        <f t="shared" si="3"/>
        <v>AB</v>
      </c>
      <c r="E39" s="133" t="str">
        <f t="shared" si="4"/>
        <v>1E</v>
      </c>
      <c r="F39" s="131" t="str">
        <f t="shared" si="0"/>
        <v>Annual</v>
      </c>
      <c r="G39" s="131" t="s">
        <v>127</v>
      </c>
      <c r="H39" s="131" t="str">
        <f t="shared" si="5"/>
        <v>30/360 (Bond Basis)</v>
      </c>
      <c r="I39" s="130">
        <v>0</v>
      </c>
      <c r="J39" s="129" t="str">
        <f t="shared" si="1"/>
        <v>EURAB1EBASIS35Y_Quote</v>
      </c>
      <c r="K39" s="128" t="str">
        <f>_xll.qlSwapRateHelper2(,$J39,$C39,Calendar,$F39,$G39,$H39,$K$4,$I39,B39,Discounting,Permanent,,ObjectOverwrite)</f>
        <v>obj_00714#0002</v>
      </c>
      <c r="L39" s="141" t="str">
        <f>_xll.ohRangeRetrieveError(K39)</f>
        <v/>
      </c>
      <c r="M39" s="125"/>
    </row>
    <row r="40" spans="1:13" x14ac:dyDescent="0.2">
      <c r="A40" s="95"/>
      <c r="B40" s="133" t="str">
        <f t="shared" si="2"/>
        <v>0D</v>
      </c>
      <c r="C40" s="133" t="s">
        <v>2</v>
      </c>
      <c r="D40" s="133" t="str">
        <f t="shared" si="3"/>
        <v>AB</v>
      </c>
      <c r="E40" s="133" t="str">
        <f t="shared" si="4"/>
        <v>1E</v>
      </c>
      <c r="F40" s="131" t="str">
        <f t="shared" si="0"/>
        <v>Annual</v>
      </c>
      <c r="G40" s="131" t="s">
        <v>127</v>
      </c>
      <c r="H40" s="131" t="str">
        <f t="shared" si="5"/>
        <v>30/360 (Bond Basis)</v>
      </c>
      <c r="I40" s="130">
        <v>0</v>
      </c>
      <c r="J40" s="129" t="str">
        <f t="shared" si="1"/>
        <v>EURAB1EBASIS40Y_Quote</v>
      </c>
      <c r="K40" s="128" t="str">
        <f>_xll.qlSwapRateHelper2(,$J40,$C40,Calendar,$F40,$G40,$H40,$K$4,$I40,B40,Discounting,Permanent,,ObjectOverwrite)</f>
        <v>obj_00715#0002</v>
      </c>
      <c r="L40" s="141" t="str">
        <f>_xll.ohRangeRetrieveError(K40)</f>
        <v/>
      </c>
      <c r="M40" s="125"/>
    </row>
    <row r="41" spans="1:13" x14ac:dyDescent="0.2">
      <c r="A41" s="95"/>
      <c r="B41" s="133" t="str">
        <f t="shared" si="2"/>
        <v>0D</v>
      </c>
      <c r="C41" s="133" t="s">
        <v>1</v>
      </c>
      <c r="D41" s="133" t="str">
        <f t="shared" si="3"/>
        <v>AB</v>
      </c>
      <c r="E41" s="133" t="str">
        <f t="shared" si="4"/>
        <v>1E</v>
      </c>
      <c r="F41" s="131" t="str">
        <f t="shared" si="0"/>
        <v>Annual</v>
      </c>
      <c r="G41" s="131" t="s">
        <v>127</v>
      </c>
      <c r="H41" s="131" t="str">
        <f t="shared" si="5"/>
        <v>30/360 (Bond Basis)</v>
      </c>
      <c r="I41" s="130">
        <v>0</v>
      </c>
      <c r="J41" s="129" t="str">
        <f t="shared" si="1"/>
        <v>EURAB1EBASIS50Y_Quote</v>
      </c>
      <c r="K41" s="128" t="str">
        <f>_xll.qlSwapRateHelper2(,$J41,$C41,Calendar,$F41,$G41,$H41,$K$4,$I41,B41,Discounting,Permanent,,ObjectOverwrite)</f>
        <v>obj_00716#0002</v>
      </c>
      <c r="L41" s="141" t="str">
        <f>_xll.ohRangeRetrieveError(K41)</f>
        <v/>
      </c>
      <c r="M41" s="125"/>
    </row>
    <row r="42" spans="1:13" x14ac:dyDescent="0.2">
      <c r="A42" s="95"/>
      <c r="B42" s="133" t="str">
        <f t="shared" si="2"/>
        <v>0D</v>
      </c>
      <c r="C42" s="133" t="s">
        <v>0</v>
      </c>
      <c r="D42" s="133" t="str">
        <f t="shared" si="3"/>
        <v>AB</v>
      </c>
      <c r="E42" s="133" t="str">
        <f t="shared" si="4"/>
        <v>1E</v>
      </c>
      <c r="F42" s="131" t="str">
        <f t="shared" si="0"/>
        <v>Annual</v>
      </c>
      <c r="G42" s="131" t="s">
        <v>127</v>
      </c>
      <c r="H42" s="131" t="str">
        <f t="shared" si="5"/>
        <v>30/360 (Bond Basis)</v>
      </c>
      <c r="I42" s="130">
        <v>0</v>
      </c>
      <c r="J42" s="129" t="str">
        <f t="shared" si="1"/>
        <v>EURAB1EBASIS60Y_Quote</v>
      </c>
      <c r="K42" s="128" t="str">
        <f>_xll.qlSwapRateHelper2(,$J42,$C42,Calendar,$F42,$G42,$H42,$K$4,$I42,B42,Discounting,Permanent,,ObjectOverwrite)</f>
        <v>obj_00717#0002</v>
      </c>
      <c r="L42" s="141" t="str">
        <f>_xll.ohRangeRetrieveError(K42)</f>
        <v/>
      </c>
      <c r="M42" s="125"/>
    </row>
    <row r="43" spans="1:13" ht="12" thickBot="1" x14ac:dyDescent="0.25">
      <c r="A43" s="88"/>
      <c r="B43" s="87"/>
      <c r="C43" s="87"/>
      <c r="D43" s="87"/>
      <c r="E43" s="87"/>
      <c r="F43" s="87"/>
      <c r="G43" s="87"/>
      <c r="H43" s="87"/>
      <c r="I43" s="87"/>
      <c r="J43" s="87"/>
      <c r="K43" s="124"/>
      <c r="L43" s="124"/>
      <c r="M43" s="123"/>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8"/>
  <sheetViews>
    <sheetView topLeftCell="A17" workbookViewId="0">
      <selection activeCell="J20" sqref="J20"/>
    </sheetView>
  </sheetViews>
  <sheetFormatPr defaultRowHeight="11.25" outlineLevelRow="1" outlineLevelCol="1" x14ac:dyDescent="0.2"/>
  <cols>
    <col min="1" max="1" width="7" style="32" bestFit="1" customWidth="1"/>
    <col min="2" max="2" width="6" style="171" bestFit="1" customWidth="1"/>
    <col min="3" max="3" width="17.28515625" style="171" bestFit="1" customWidth="1"/>
    <col min="4" max="4" width="7" style="32" bestFit="1" customWidth="1"/>
    <col min="5" max="5" width="17.28515625" style="32" bestFit="1" customWidth="1"/>
    <col min="6" max="6" width="20.28515625" style="171" bestFit="1" customWidth="1"/>
    <col min="7" max="7" width="7" style="171" bestFit="1" customWidth="1"/>
    <col min="8" max="8" width="6" style="171" bestFit="1" customWidth="1"/>
    <col min="9" max="9" width="11" style="171" bestFit="1" customWidth="1"/>
    <col min="10" max="10" width="15.140625" style="171" bestFit="1" customWidth="1"/>
    <col min="11" max="11" width="10.42578125" style="171" customWidth="1"/>
    <col min="12" max="12" width="14" style="32" hidden="1" customWidth="1"/>
    <col min="13" max="13" width="22.42578125" style="32" bestFit="1" customWidth="1"/>
    <col min="14" max="14" width="17.28515625" style="32" bestFit="1" customWidth="1"/>
    <col min="15" max="15" width="12" style="32" bestFit="1" customWidth="1"/>
    <col min="16" max="16" width="6" style="32" hidden="1" customWidth="1" outlineLevel="1"/>
    <col min="17" max="17" width="15.140625" style="32" hidden="1" customWidth="1" outlineLevel="1"/>
    <col min="18" max="18" width="8" style="32" hidden="1" customWidth="1" outlineLevel="1"/>
    <col min="19" max="19" width="16.140625" style="173" bestFit="1" customWidth="1" collapsed="1"/>
    <col min="20" max="20" width="10" style="32" bestFit="1" customWidth="1"/>
    <col min="21" max="21" width="3.7109375" style="32" customWidth="1"/>
    <col min="22" max="22" width="19.28515625" style="32" customWidth="1"/>
    <col min="23" max="24" width="17.28515625" style="32" bestFit="1" customWidth="1"/>
    <col min="25" max="26" width="15.140625" style="32" bestFit="1" customWidth="1"/>
    <col min="27" max="27" width="22.42578125" style="32" bestFit="1" customWidth="1"/>
    <col min="28" max="16384" width="9.140625" style="32"/>
  </cols>
  <sheetData>
    <row r="1" spans="1:27" s="171" customFormat="1" ht="11.25" hidden="1" customHeight="1" outlineLevel="1" thickBot="1" x14ac:dyDescent="0.25">
      <c r="A1" s="175"/>
      <c r="B1" s="177" t="s">
        <v>167</v>
      </c>
      <c r="C1" s="176"/>
      <c r="D1" s="176"/>
      <c r="E1" s="176"/>
      <c r="F1" s="176"/>
      <c r="G1" s="177" t="s">
        <v>168</v>
      </c>
      <c r="H1" s="176"/>
      <c r="I1" s="178"/>
      <c r="J1" s="176"/>
      <c r="K1" s="178"/>
    </row>
    <row r="2" spans="1:27" ht="11.25" hidden="1" customHeight="1" outlineLevel="1" thickBot="1" x14ac:dyDescent="0.25">
      <c r="A2" s="179"/>
      <c r="B2" s="179" t="s">
        <v>169</v>
      </c>
      <c r="C2" s="179" t="s">
        <v>170</v>
      </c>
      <c r="D2" s="179" t="s">
        <v>108</v>
      </c>
      <c r="E2" s="179" t="s">
        <v>171</v>
      </c>
      <c r="F2" s="180" t="s">
        <v>190</v>
      </c>
      <c r="G2" s="179" t="s">
        <v>170</v>
      </c>
      <c r="H2" s="179" t="s">
        <v>171</v>
      </c>
      <c r="I2" s="180" t="s">
        <v>172</v>
      </c>
      <c r="J2" s="179" t="s">
        <v>188</v>
      </c>
      <c r="K2" s="180" t="s">
        <v>189</v>
      </c>
    </row>
    <row r="3" spans="1:27" ht="11.25" hidden="1" customHeight="1" outlineLevel="1" x14ac:dyDescent="0.2">
      <c r="A3" s="181"/>
      <c r="B3" s="182" t="str">
        <f>_xll.qlPeriodEquivalent(D3&amp;"M")</f>
        <v>1Y</v>
      </c>
      <c r="C3" s="183">
        <f>_xll.qlDateEndOfMonth(EDATE(_xll.qlSettingsEvaluationDate(Trigger),-1))</f>
        <v>41882</v>
      </c>
      <c r="D3" s="184">
        <v>12</v>
      </c>
      <c r="E3" s="183">
        <f t="shared" ref="E3:E16" si="0">EDATE($X$19,D3)</f>
        <v>42255</v>
      </c>
      <c r="F3" s="236">
        <f>IF(D3&lt;=12,1,IF(D3&lt;=24,3,IF(D3&lt;=120,6,IF(D3&lt;=240,12,IF(D3&lt;=360,36,60)))))</f>
        <v>1</v>
      </c>
      <c r="G3" s="237">
        <f>IF(J3&gt;=0,ROUNDDOWN(J3*10,2)/10,ROUNDUP(J3*10,2)/10)</f>
        <v>-1E-3</v>
      </c>
      <c r="H3" s="237">
        <f>IF(K3-J3&gt;1%,(QUOTIENT(K3*10000,50)+1)*0.5%,(QUOTIENT(K3*10000,10)+1)*0.1%)</f>
        <v>1E-3</v>
      </c>
      <c r="I3" s="238">
        <f>IF(H3-G3&lt;0.5%,0.05%,IF(H3-G3&lt;1%,0.1%,IF(H3-G3&lt;2%,0.25%,0.5%)))</f>
        <v>5.0000000000000001E-4</v>
      </c>
      <c r="J3" s="237">
        <f>MIN(_xll.ohPack($Y$19:INDEX($Y$19:$Y$3552,MATCH(E3+1,$X$19:$X$3552,1),1)))</f>
        <v>-4.0141246661429264E-4</v>
      </c>
      <c r="K3" s="237">
        <f>MAX(_xll.ohPack($Y$19:INDEX($Y$19:$Y$3552,MATCH(E3+1,$X$19:$X$3552,1),1)))</f>
        <v>5.8999999999720387E-4</v>
      </c>
    </row>
    <row r="4" spans="1:27" ht="11.25" hidden="1" customHeight="1" outlineLevel="1" x14ac:dyDescent="0.25">
      <c r="A4" s="185"/>
      <c r="B4" s="186" t="str">
        <f>_xll.qlPeriodEquivalent(D4&amp;"M")</f>
        <v>2Y</v>
      </c>
      <c r="C4" s="187">
        <f>_xll.qlDateEndOfMonth(EDATE(_xll.qlIMMNextDate(_xll.qlSettingsEvaluationDate(Trigger)-1,TRUE),-3))</f>
        <v>41820</v>
      </c>
      <c r="D4" s="188">
        <v>24</v>
      </c>
      <c r="E4" s="187">
        <f t="shared" si="0"/>
        <v>42621</v>
      </c>
      <c r="F4" s="239">
        <f t="shared" ref="F4:F16" si="1">IF(D4&lt;=12,1,IF(D4&lt;=24,3,IF(D4&lt;=120,6,IF(D4&lt;=240,12,IF(D4&lt;=360,36,60)))))</f>
        <v>3</v>
      </c>
      <c r="G4" s="240">
        <f t="shared" ref="G4:G16" si="2">IF(J4&gt;=0,ROUNDDOWN(J4*10,2)/10,ROUNDUP(J4*10,2)/10)</f>
        <v>-1E-3</v>
      </c>
      <c r="H4" s="240">
        <f t="shared" ref="H4:H16" si="3">IF(K4-J4&gt;1%,(QUOTIENT(K4*10000,50)+1)*0.5%,(QUOTIENT(K4*10000,10)+1)*0.1%)</f>
        <v>1E-3</v>
      </c>
      <c r="I4" s="241">
        <f t="shared" ref="I4:I16" si="4">IF(H4-G4&lt;0.5%,0.05%,IF(H4-G4&lt;1%,0.1%,IF(H4-G4&lt;2%,0.25%,0.5%)))</f>
        <v>5.0000000000000001E-4</v>
      </c>
      <c r="J4" s="240">
        <f>MIN(_xll.ohPack($Y$19:INDEX($Y$19:$Y$3552,MATCH(E4+1,$X$19:$X$3552,1),1)))</f>
        <v>-4.0141246661429264E-4</v>
      </c>
      <c r="K4" s="241">
        <f>MAX(_xll.ohPack($Y$19:INDEX($Y$19:$Y$3552,MATCH(E4+1,$X$19:$X$3552,1),1)))</f>
        <v>5.8999999999720387E-4</v>
      </c>
      <c r="L4"/>
      <c r="M4"/>
      <c r="N4"/>
      <c r="O4"/>
      <c r="P4"/>
      <c r="Q4"/>
      <c r="R4"/>
      <c r="S4"/>
      <c r="T4"/>
      <c r="U4"/>
      <c r="V4"/>
      <c r="W4"/>
      <c r="X4"/>
      <c r="Y4"/>
      <c r="Z4"/>
      <c r="AA4"/>
    </row>
    <row r="5" spans="1:27" ht="11.25" hidden="1" customHeight="1" outlineLevel="1" x14ac:dyDescent="0.2">
      <c r="A5" s="185"/>
      <c r="B5" s="186" t="str">
        <f>_xll.qlPeriodEquivalent(D5&amp;"M")</f>
        <v>5Y</v>
      </c>
      <c r="C5" s="18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88">
        <v>60</v>
      </c>
      <c r="E5" s="187">
        <f t="shared" si="0"/>
        <v>43716</v>
      </c>
      <c r="F5" s="239">
        <f t="shared" si="1"/>
        <v>6</v>
      </c>
      <c r="G5" s="240">
        <f t="shared" si="2"/>
        <v>-1E-3</v>
      </c>
      <c r="H5" s="240">
        <f t="shared" si="3"/>
        <v>8.0000000000000002E-3</v>
      </c>
      <c r="I5" s="241">
        <f t="shared" si="4"/>
        <v>1E-3</v>
      </c>
      <c r="J5" s="240">
        <f>MIN(_xll.ohPack($Y$19:INDEX($Y$19:$Y$3552,MATCH(E5+1,$X$19:$X$3552,1),1)))</f>
        <v>-4.0141246661429264E-4</v>
      </c>
      <c r="K5" s="241">
        <f>MAX(_xll.ohPack($Y$19:INDEX($Y$19:$Y$3552,MATCH(E5+1,$X$19:$X$3552,1),1)))</f>
        <v>7.1937949318385819E-3</v>
      </c>
    </row>
    <row r="6" spans="1:27" ht="11.25" hidden="1" customHeight="1" outlineLevel="1" x14ac:dyDescent="0.2">
      <c r="A6" s="190" t="s">
        <v>173</v>
      </c>
      <c r="B6" s="186" t="str">
        <f>_xll.qlPeriodEquivalent(D6&amp;"M")</f>
        <v>10Y</v>
      </c>
      <c r="C6" s="187">
        <f>C5</f>
        <v>41820</v>
      </c>
      <c r="D6" s="188">
        <v>120</v>
      </c>
      <c r="E6" s="187">
        <f t="shared" si="0"/>
        <v>45543</v>
      </c>
      <c r="F6" s="239">
        <f t="shared" si="1"/>
        <v>6</v>
      </c>
      <c r="G6" s="240">
        <f t="shared" si="2"/>
        <v>-1E-3</v>
      </c>
      <c r="H6" s="240">
        <f t="shared" si="3"/>
        <v>2.5000000000000001E-2</v>
      </c>
      <c r="I6" s="241">
        <f t="shared" si="4"/>
        <v>5.0000000000000001E-3</v>
      </c>
      <c r="J6" s="240">
        <f>MIN(_xll.ohPack($Y$19:INDEX($Y$19:$Y$3552,MATCH(E6+1,$X$19:$X$3552,1),1)))</f>
        <v>-4.0141246661429264E-4</v>
      </c>
      <c r="K6" s="241">
        <f>MAX(_xll.ohPack($Y$19:INDEX($Y$19:$Y$3552,MATCH(E6+1,$X$19:$X$3552,1),1)))</f>
        <v>2.0707929198249708E-2</v>
      </c>
    </row>
    <row r="7" spans="1:27" ht="11.25" hidden="1" customHeight="1" outlineLevel="1" x14ac:dyDescent="0.2">
      <c r="A7" s="185"/>
      <c r="B7" s="186" t="str">
        <f>_xll.qlPeriodEquivalent(D7&amp;"M")</f>
        <v>20Y</v>
      </c>
      <c r="C7" s="187">
        <f>IF(AND(MONTH(C6)=12),C6,_xll.qlDateEndOfMonth(EDATE(C6,-6)))</f>
        <v>41639</v>
      </c>
      <c r="D7" s="188">
        <v>240</v>
      </c>
      <c r="E7" s="187">
        <f t="shared" si="0"/>
        <v>49195</v>
      </c>
      <c r="F7" s="242">
        <f t="shared" si="1"/>
        <v>12</v>
      </c>
      <c r="G7" s="240">
        <f t="shared" si="2"/>
        <v>-1E-3</v>
      </c>
      <c r="H7" s="240">
        <f t="shared" si="3"/>
        <v>2.5000000000000001E-2</v>
      </c>
      <c r="I7" s="241">
        <f t="shared" si="4"/>
        <v>5.0000000000000001E-3</v>
      </c>
      <c r="J7" s="240">
        <f>MIN(_xll.ohPack($Y$19:INDEX($Y$19:$Y$3552,MATCH(E7+1,$X$19:$X$3552,1),1)))</f>
        <v>-4.0141246661429264E-4</v>
      </c>
      <c r="K7" s="241">
        <f>MAX(_xll.ohPack($Y$19:INDEX($Y$19:$Y$3552,MATCH(E7+1,$X$19:$X$3552,1),1)))</f>
        <v>2.3481352306912784E-2</v>
      </c>
    </row>
    <row r="8" spans="1:27" ht="11.25" hidden="1" customHeight="1" outlineLevel="1" x14ac:dyDescent="0.2">
      <c r="A8" s="185"/>
      <c r="B8" s="186" t="str">
        <f>_xll.qlPeriodEquivalent(D8&amp;"M")</f>
        <v>30Y</v>
      </c>
      <c r="C8" s="187">
        <f t="shared" ref="C8:C9" si="5">C7</f>
        <v>41639</v>
      </c>
      <c r="D8" s="188">
        <v>360</v>
      </c>
      <c r="E8" s="187">
        <f t="shared" si="0"/>
        <v>52848</v>
      </c>
      <c r="F8" s="242">
        <f t="shared" si="1"/>
        <v>36</v>
      </c>
      <c r="G8" s="240">
        <f t="shared" si="2"/>
        <v>-1E-3</v>
      </c>
      <c r="H8" s="240">
        <f t="shared" si="3"/>
        <v>2.5000000000000001E-2</v>
      </c>
      <c r="I8" s="241">
        <f t="shared" si="4"/>
        <v>5.0000000000000001E-3</v>
      </c>
      <c r="J8" s="240">
        <f>MIN(_xll.ohPack($Y$19:INDEX($Y$19:$Y$3552,MATCH(E8+1,$X$19:$X$3552,1),1)))</f>
        <v>-4.0141246661429264E-4</v>
      </c>
      <c r="K8" s="241">
        <f>MAX(_xll.ohPack($Y$19:INDEX($Y$19:$Y$3552,MATCH(E8+1,$X$19:$X$3552,1),1)))</f>
        <v>2.3481352306912784E-2</v>
      </c>
    </row>
    <row r="9" spans="1:27" ht="11.25" hidden="1" customHeight="1" outlineLevel="1" thickBot="1" x14ac:dyDescent="0.25">
      <c r="A9" s="229"/>
      <c r="B9" s="230" t="str">
        <f>_xll.qlPeriodEquivalent(D9&amp;"M")</f>
        <v>60Y</v>
      </c>
      <c r="C9" s="231">
        <f t="shared" si="5"/>
        <v>41639</v>
      </c>
      <c r="D9" s="232">
        <v>720</v>
      </c>
      <c r="E9" s="231">
        <f t="shared" si="0"/>
        <v>63805</v>
      </c>
      <c r="F9" s="243">
        <f t="shared" si="1"/>
        <v>60</v>
      </c>
      <c r="G9" s="244">
        <f t="shared" si="2"/>
        <v>-1E-3</v>
      </c>
      <c r="H9" s="244">
        <f t="shared" si="3"/>
        <v>2.5000000000000001E-2</v>
      </c>
      <c r="I9" s="245">
        <f t="shared" si="4"/>
        <v>5.0000000000000001E-3</v>
      </c>
      <c r="J9" s="244">
        <f>MIN(_xll.ohPack($Y$19:INDEX($Y$19:$Y$3552,MATCH(E9+1,$X$19:$X$3552,1),1)))</f>
        <v>-4.0141246661429264E-4</v>
      </c>
      <c r="K9" s="245">
        <f>MAX(_xll.ohPack($Y$19:INDEX($Y$19:$Y$3552,MATCH(E9+1,$X$19:$X$3552,1),1)))</f>
        <v>2.3481352306912784E-2</v>
      </c>
      <c r="AA9" s="189"/>
    </row>
    <row r="10" spans="1:27" ht="11.25" hidden="1" customHeight="1" outlineLevel="1" x14ac:dyDescent="0.2">
      <c r="A10" s="185"/>
      <c r="B10" s="186" t="s">
        <v>36</v>
      </c>
      <c r="C10" s="187">
        <f>C3</f>
        <v>41882</v>
      </c>
      <c r="D10" s="188">
        <v>12</v>
      </c>
      <c r="E10" s="187">
        <f t="shared" si="0"/>
        <v>42255</v>
      </c>
      <c r="F10" s="239">
        <f t="shared" si="1"/>
        <v>1</v>
      </c>
      <c r="G10" s="240">
        <f t="shared" si="2"/>
        <v>-1E-3</v>
      </c>
      <c r="H10" s="240">
        <f t="shared" si="3"/>
        <v>2E-3</v>
      </c>
      <c r="I10" s="241">
        <f t="shared" si="4"/>
        <v>5.0000000000000001E-4</v>
      </c>
      <c r="J10" s="240">
        <f>MIN(_xll.ohPack($Z$19:INDEX($Z$19:$Z$3552,MATCH(E10+1,$X$19:$X$3552,1),1)))</f>
        <v>-4.0513258332097735E-4</v>
      </c>
      <c r="K10" s="240">
        <f>MAX(_xll.ohPack($Z$19:INDEX($Z$19:$Z$3552,MATCH(E10+1,$X$19:$X$3552,1),1)))</f>
        <v>1.6670000000384988E-3</v>
      </c>
    </row>
    <row r="11" spans="1:27" ht="11.25" hidden="1" customHeight="1" outlineLevel="1" x14ac:dyDescent="0.2">
      <c r="A11" s="185"/>
      <c r="B11" s="186" t="s">
        <v>32</v>
      </c>
      <c r="C11" s="187">
        <f t="shared" ref="C11:C16" si="6">C4</f>
        <v>41820</v>
      </c>
      <c r="D11" s="188">
        <v>24</v>
      </c>
      <c r="E11" s="187">
        <f t="shared" si="0"/>
        <v>42621</v>
      </c>
      <c r="F11" s="239">
        <f t="shared" si="1"/>
        <v>3</v>
      </c>
      <c r="G11" s="240">
        <f t="shared" si="2"/>
        <v>-1E-3</v>
      </c>
      <c r="H11" s="240">
        <f t="shared" si="3"/>
        <v>2E-3</v>
      </c>
      <c r="I11" s="241">
        <f t="shared" si="4"/>
        <v>5.0000000000000001E-4</v>
      </c>
      <c r="J11" s="240">
        <f>MIN(_xll.ohPack($Z$19:INDEX($Z$19:$Z$3552,MATCH(E11+1,$X$19:$X$3552,1),1)))</f>
        <v>-4.0513258332097735E-4</v>
      </c>
      <c r="K11" s="241">
        <f>MAX(_xll.ohPack($Z$19:INDEX($Z$19:$Z$3552,MATCH(E11+1,$X$19:$X$3552,1),1)))</f>
        <v>1.6670000000384988E-3</v>
      </c>
    </row>
    <row r="12" spans="1:27" ht="11.25" hidden="1" customHeight="1" outlineLevel="1" x14ac:dyDescent="0.2">
      <c r="A12" s="185"/>
      <c r="B12" s="186" t="s">
        <v>29</v>
      </c>
      <c r="C12" s="187">
        <f t="shared" si="6"/>
        <v>41820</v>
      </c>
      <c r="D12" s="188">
        <v>60</v>
      </c>
      <c r="E12" s="187">
        <f t="shared" si="0"/>
        <v>43716</v>
      </c>
      <c r="F12" s="239">
        <f t="shared" si="1"/>
        <v>6</v>
      </c>
      <c r="G12" s="240">
        <f t="shared" si="2"/>
        <v>-1E-3</v>
      </c>
      <c r="H12" s="240">
        <f t="shared" si="3"/>
        <v>8.0000000000000002E-3</v>
      </c>
      <c r="I12" s="241">
        <f t="shared" si="4"/>
        <v>1E-3</v>
      </c>
      <c r="J12" s="240">
        <f>MIN(_xll.ohPack($Z$19:INDEX($Z$19:$Z$3552,MATCH(E12+1,$X$19:$X$3552,1),1)))</f>
        <v>-4.0513258332097735E-4</v>
      </c>
      <c r="K12" s="241">
        <f>MAX(_xll.ohPack($Z$19:INDEX($Z$19:$Z$3552,MATCH(E12+1,$X$19:$X$3552,1),1)))</f>
        <v>7.0447338075041444E-3</v>
      </c>
    </row>
    <row r="13" spans="1:27" ht="11.25" hidden="1" customHeight="1" outlineLevel="1" x14ac:dyDescent="0.2">
      <c r="A13" s="185" t="s">
        <v>174</v>
      </c>
      <c r="B13" s="186" t="s">
        <v>24</v>
      </c>
      <c r="C13" s="187">
        <f t="shared" si="6"/>
        <v>41820</v>
      </c>
      <c r="D13" s="188">
        <v>120</v>
      </c>
      <c r="E13" s="187">
        <f t="shared" si="0"/>
        <v>45543</v>
      </c>
      <c r="F13" s="239">
        <f t="shared" si="1"/>
        <v>6</v>
      </c>
      <c r="G13" s="240">
        <f t="shared" si="2"/>
        <v>-1E-3</v>
      </c>
      <c r="H13" s="240">
        <f t="shared" si="3"/>
        <v>2.5000000000000001E-2</v>
      </c>
      <c r="I13" s="241">
        <f t="shared" si="4"/>
        <v>5.0000000000000001E-3</v>
      </c>
      <c r="J13" s="240">
        <f>MIN(_xll.ohPack($Z$19:INDEX($Z$19:$Z$3552,MATCH(E13+1,$X$19:$X$3552,1),1)))</f>
        <v>-4.0513258332097735E-4</v>
      </c>
      <c r="K13" s="241">
        <f>MAX(_xll.ohPack($Z$19:INDEX($Z$19:$Z$3552,MATCH(E13+1,$X$19:$X$3552,1),1)))</f>
        <v>2.0626946007640257E-2</v>
      </c>
    </row>
    <row r="14" spans="1:27" ht="11.25" hidden="1" customHeight="1" outlineLevel="1" x14ac:dyDescent="0.2">
      <c r="A14" s="185"/>
      <c r="B14" s="186" t="s">
        <v>14</v>
      </c>
      <c r="C14" s="187">
        <f t="shared" si="6"/>
        <v>41639</v>
      </c>
      <c r="D14" s="188">
        <v>240</v>
      </c>
      <c r="E14" s="187">
        <f t="shared" si="0"/>
        <v>49195</v>
      </c>
      <c r="F14" s="239">
        <f t="shared" si="1"/>
        <v>12</v>
      </c>
      <c r="G14" s="240">
        <f t="shared" si="2"/>
        <v>-1E-3</v>
      </c>
      <c r="H14" s="240">
        <f t="shared" si="3"/>
        <v>2.5000000000000001E-2</v>
      </c>
      <c r="I14" s="241">
        <f t="shared" si="4"/>
        <v>5.0000000000000001E-3</v>
      </c>
      <c r="J14" s="240">
        <f>MIN(_xll.ohPack($Z$19:INDEX($Z$19:$Z$3552,MATCH(E14+1,$X$19:$X$3552,1),1)))</f>
        <v>-4.0513258332097735E-4</v>
      </c>
      <c r="K14" s="241">
        <f>MAX(_xll.ohPack($Z$19:INDEX($Z$19:$Z$3552,MATCH(E14+1,$X$19:$X$3552,1),1)))</f>
        <v>2.3459995909727027E-2</v>
      </c>
    </row>
    <row r="15" spans="1:27" ht="11.25" hidden="1" customHeight="1" outlineLevel="1" x14ac:dyDescent="0.2">
      <c r="A15" s="185"/>
      <c r="B15" s="186" t="s">
        <v>4</v>
      </c>
      <c r="C15" s="187">
        <f t="shared" si="6"/>
        <v>41639</v>
      </c>
      <c r="D15" s="188">
        <v>360</v>
      </c>
      <c r="E15" s="187">
        <f t="shared" si="0"/>
        <v>52848</v>
      </c>
      <c r="F15" s="239">
        <f t="shared" si="1"/>
        <v>36</v>
      </c>
      <c r="G15" s="240">
        <f t="shared" si="2"/>
        <v>-1E-3</v>
      </c>
      <c r="H15" s="240">
        <f t="shared" si="3"/>
        <v>2.5000000000000001E-2</v>
      </c>
      <c r="I15" s="241">
        <f t="shared" si="4"/>
        <v>5.0000000000000001E-3</v>
      </c>
      <c r="J15" s="240">
        <f>MIN(_xll.ohPack($Z$19:INDEX($Z$19:$Z$3552,MATCH(E15+1,$X$19:$X$3552,1),1)))</f>
        <v>-4.0513258332097735E-4</v>
      </c>
      <c r="K15" s="241">
        <f>MAX(_xll.ohPack($Z$19:INDEX($Z$19:$Z$3552,MATCH(E15+1,$X$19:$X$3552,1),1)))</f>
        <v>2.3459995909727027E-2</v>
      </c>
      <c r="Y15" s="191" t="s">
        <v>175</v>
      </c>
      <c r="Z15" s="191" t="s">
        <v>176</v>
      </c>
    </row>
    <row r="16" spans="1:27" ht="11.25" hidden="1" customHeight="1" outlineLevel="1" thickBot="1" x14ac:dyDescent="0.25">
      <c r="A16" s="229"/>
      <c r="B16" s="230" t="s">
        <v>0</v>
      </c>
      <c r="C16" s="231">
        <f t="shared" si="6"/>
        <v>41639</v>
      </c>
      <c r="D16" s="232">
        <v>720</v>
      </c>
      <c r="E16" s="231">
        <f t="shared" si="0"/>
        <v>63805</v>
      </c>
      <c r="F16" s="246">
        <f t="shared" si="1"/>
        <v>60</v>
      </c>
      <c r="G16" s="244">
        <f t="shared" si="2"/>
        <v>-1E-3</v>
      </c>
      <c r="H16" s="244">
        <f t="shared" si="3"/>
        <v>2.5000000000000001E-2</v>
      </c>
      <c r="I16" s="245">
        <f t="shared" si="4"/>
        <v>5.0000000000000001E-3</v>
      </c>
      <c r="J16" s="244">
        <f>MIN(_xll.ohPack($Z$19:INDEX($Z$19:$Z$3552,MATCH(E16+1,$X$19:$X$3552,1),1)))</f>
        <v>-4.0513258332097735E-4</v>
      </c>
      <c r="K16" s="245">
        <f>MAX(_xll.ohPack($Z$19:INDEX($Z$19:$Z$3552,MATCH(E16+1,$X$19:$X$3552,1),1)))</f>
        <v>2.3459995909727027E-2</v>
      </c>
      <c r="Y16" s="195" t="str">
        <f>_xll.qlEuribor(,IndexTenor,YieldCurve)</f>
        <v>obj_0072a#0002</v>
      </c>
      <c r="Z16" s="195" t="str">
        <f>_xll.qlEonia(,YieldCurve)</f>
        <v>obj_00729#0002</v>
      </c>
    </row>
    <row r="17" spans="10:26" ht="12" collapsed="1" thickBot="1" x14ac:dyDescent="0.25"/>
    <row r="18" spans="10:26" ht="12" thickBot="1" x14ac:dyDescent="0.25">
      <c r="L18" s="192" t="s">
        <v>70</v>
      </c>
      <c r="M18" s="192" t="s">
        <v>180</v>
      </c>
      <c r="N18" s="193" t="s">
        <v>177</v>
      </c>
      <c r="O18" s="193" t="s">
        <v>69</v>
      </c>
      <c r="P18" s="208" t="s">
        <v>181</v>
      </c>
      <c r="Q18" s="193" t="s">
        <v>182</v>
      </c>
      <c r="R18" s="193"/>
      <c r="S18" s="209" t="s">
        <v>183</v>
      </c>
      <c r="T18" s="191" t="s">
        <v>184</v>
      </c>
      <c r="U18" s="171"/>
      <c r="V18" s="196" t="s">
        <v>178</v>
      </c>
      <c r="W18" s="197" t="s">
        <v>179</v>
      </c>
      <c r="X18" s="197" t="s">
        <v>177</v>
      </c>
      <c r="Y18" s="198" t="s">
        <v>186</v>
      </c>
      <c r="Z18" s="199" t="s">
        <v>174</v>
      </c>
    </row>
    <row r="19" spans="10:26" ht="12" thickBot="1" x14ac:dyDescent="0.25">
      <c r="J19" s="172" t="s">
        <v>166</v>
      </c>
      <c r="L19" s="202" t="str">
        <f t="array" ref="L19:L29">_xll.ohFilter(RateHelpers!E76:E86,IF(ISERROR(RateHelpers!G76:G86),FALSE,TRUE))</f>
        <v>obj_00721#0002</v>
      </c>
      <c r="M19" s="202" t="str">
        <f>_xll.qlRateHelperQuoteName(L19)</f>
        <v>EUR2X1S_Quote</v>
      </c>
      <c r="N19" s="200">
        <f>_xll.qlRateHelperLatestDate(L19,Trigger)</f>
        <v>41953</v>
      </c>
      <c r="O19" s="210">
        <f>_xll.qlRateHelperQuoteValue(L19,_xll.ohTrigger(RecalcTrigger,YieldCurve))</f>
        <v>2.1999999999999998E-4</v>
      </c>
      <c r="P19" s="211" t="str">
        <f t="array" ref="P19:P29">_xll.ohFilter(RateHelpers!B76:B86,IF(ISERROR(RateHelpers!G76:G86),FALSE,TRUE))&amp;"M"</f>
        <v>2M</v>
      </c>
      <c r="Q19" s="212" t="str">
        <f>_xll.qlSwapIndex(,"Euribor",P19,NDays,Currency,Calendar,"1Y","mf","Actual/360",IborIndex,Discounting,,_xll.ohTrigger(Trigger,RecalcTrigger))</f>
        <v>obj_0073f#0004</v>
      </c>
      <c r="R19" s="213">
        <f>_xll.qlIndexFixing(Q19,$W$19,TRUE,Trigger)</f>
        <v>2.1999999999955909E-4</v>
      </c>
      <c r="S19" s="214">
        <f t="shared" ref="S19:S29" si="7">R19-O19</f>
        <v>-4.4089081344123038E-16</v>
      </c>
      <c r="T19" s="218">
        <f t="array" ref="T19">MAX(ABS(S19:S29))</f>
        <v>4.4089081344123038E-16</v>
      </c>
      <c r="U19" s="194"/>
      <c r="V19" s="202" t="s">
        <v>163</v>
      </c>
      <c r="W19" s="203">
        <f>_xll.qlSettingsEvaluationDate(Trigger)</f>
        <v>41886</v>
      </c>
      <c r="X19" s="203">
        <f>_xll.qlCalendarAdvance(Calendar,W19,NDays&amp;"D")</f>
        <v>41890</v>
      </c>
      <c r="Y19" s="204">
        <f t="array" ref="Y19:Y3552">IFERROR(_xll.qlIndexFixing(IborIndex,W19:W3552,TRUE,RecalcTrigger),NA())</f>
        <v>5.8999999999720387E-4</v>
      </c>
      <c r="Z19" s="201">
        <f t="array" ref="Z19:Z3552">IFERROR(_xll.qlIndexFixing(OverNightIndex,X19:X3552,TRUE,RecalcTrigger),NA())</f>
        <v>1.6670000000384988E-3</v>
      </c>
    </row>
    <row r="20" spans="10:26" ht="12" thickBot="1" x14ac:dyDescent="0.25">
      <c r="J20" s="174"/>
      <c r="L20" s="202" t="str">
        <v>obj_0071f#0002</v>
      </c>
      <c r="M20" s="202" t="str">
        <f>_xll.qlRateHelperQuoteName(L20)</f>
        <v>EUR3X1S_Quote</v>
      </c>
      <c r="N20" s="200">
        <f>_xll.qlRateHelperLatestDate(L20,Trigger)</f>
        <v>41981</v>
      </c>
      <c r="O20" s="210">
        <f>_xll.qlRateHelperQuoteValue(L20,_xll.ohTrigger(RecalcTrigger,YieldCurve))</f>
        <v>1.4000000000000001E-4</v>
      </c>
      <c r="P20" s="215" t="str">
        <v>3M</v>
      </c>
      <c r="Q20" s="212" t="str">
        <f>_xll.qlSwapIndex(,"Euribor",P20,NDays,Currency,Calendar,"1Y","mf","Actual/360",IborIndex,Discounting,,_xll.ohTrigger(Trigger,RecalcTrigger))</f>
        <v>obj_0072d#0004</v>
      </c>
      <c r="R20" s="213">
        <f>_xll.qlIndexFixing(Q20,$W$19,TRUE,Trigger)</f>
        <v>1.3999999999975325E-4</v>
      </c>
      <c r="S20" s="214">
        <f t="shared" si="7"/>
        <v>-2.4676441445770081E-16</v>
      </c>
      <c r="T20" s="216"/>
      <c r="V20" s="202" t="str">
        <f>V19</f>
        <v>1D</v>
      </c>
      <c r="W20" s="200">
        <f>_xll.qlCalendarAdvance(Calendar,W19,V20,"f",FALSE)</f>
        <v>41887</v>
      </c>
      <c r="X20" s="203">
        <f>_xll.qlCalendarAdvance(Calendar,W20,NDays&amp;"D")</f>
        <v>41891</v>
      </c>
      <c r="Y20" s="204">
        <v>5.4514186581400281E-4</v>
      </c>
      <c r="Z20" s="201">
        <v>1.3303900422911852E-3</v>
      </c>
    </row>
    <row r="21" spans="10:26" x14ac:dyDescent="0.2">
      <c r="L21" s="202" t="str">
        <v>obj_00719#0002</v>
      </c>
      <c r="M21" s="202" t="str">
        <f>_xll.qlRateHelperQuoteName(L21)</f>
        <v>EUR4X1S_Quote</v>
      </c>
      <c r="N21" s="200">
        <f>_xll.qlRateHelperLatestDate(L21,Trigger)</f>
        <v>42012</v>
      </c>
      <c r="O21" s="210">
        <f>_xll.qlRateHelperQuoteValue(L21,_xll.ohTrigger(RecalcTrigger,YieldCurve))</f>
        <v>1.2E-4</v>
      </c>
      <c r="P21" s="215" t="str">
        <v>4M</v>
      </c>
      <c r="Q21" s="212" t="str">
        <f>_xll.qlSwapIndex(,"Euribor",P21,NDays,Currency,Calendar,"1Y","mf","Actual/360",IborIndex,Discounting,,_xll.ohTrigger(Trigger,RecalcTrigger))</f>
        <v>obj_00747#0004</v>
      </c>
      <c r="R21" s="213">
        <f>_xll.qlIndexFixing(Q21,$W$19,TRUE,Trigger)</f>
        <v>1.200000000001516E-4</v>
      </c>
      <c r="S21" s="214">
        <f t="shared" si="7"/>
        <v>1.5159856876778566E-16</v>
      </c>
      <c r="T21" s="216"/>
      <c r="V21" s="202" t="str">
        <f t="shared" ref="V21:V84" si="8">V20</f>
        <v>1D</v>
      </c>
      <c r="W21" s="200">
        <f>_xll.qlCalendarAdvance(Calendar,W20,V21,"f",FALSE)</f>
        <v>41890</v>
      </c>
      <c r="X21" s="203">
        <f>_xll.qlCalendarAdvance(Calendar,W21,NDays&amp;"D")</f>
        <v>41892</v>
      </c>
      <c r="Y21" s="204">
        <v>5.0971658894205518E-4</v>
      </c>
      <c r="Z21" s="201">
        <v>9.96298089148695E-4</v>
      </c>
    </row>
    <row r="22" spans="10:26" x14ac:dyDescent="0.2">
      <c r="L22" s="202" t="str">
        <v>obj_00722#0002</v>
      </c>
      <c r="M22" s="202" t="str">
        <f>_xll.qlRateHelperQuoteName(L22)</f>
        <v>EUR5X1S_Quote</v>
      </c>
      <c r="N22" s="200">
        <f>_xll.qlRateHelperLatestDate(L22,Trigger)</f>
        <v>42044</v>
      </c>
      <c r="O22" s="210">
        <f>_xll.qlRateHelperQuoteValue(L22,_xll.ohTrigger(RecalcTrigger,YieldCurve))</f>
        <v>8.0000000000000007E-5</v>
      </c>
      <c r="P22" s="215" t="str">
        <v>5M</v>
      </c>
      <c r="Q22" s="212" t="str">
        <f>_xll.qlSwapIndex(,"Euribor",P22,NDays,Currency,Calendar,"1Y","mf","Actual/360",IborIndex,Discounting,,_xll.ohTrigger(Trigger,RecalcTrigger))</f>
        <v>obj_00744#0004</v>
      </c>
      <c r="R22" s="213">
        <f>_xll.qlIndexFixing(Q22,$W$19,TRUE,Trigger)</f>
        <v>7.9999999999954484E-5</v>
      </c>
      <c r="S22" s="214">
        <f t="shared" si="7"/>
        <v>-4.5522938717235117E-17</v>
      </c>
      <c r="T22" s="216"/>
      <c r="V22" s="202" t="str">
        <f t="shared" si="8"/>
        <v>1D</v>
      </c>
      <c r="W22" s="200">
        <f>_xll.qlCalendarAdvance(Calendar,W21,V22,"f",FALSE)</f>
        <v>41891</v>
      </c>
      <c r="X22" s="203">
        <f>_xll.qlCalendarAdvance(Calendar,W22,NDays&amp;"D")</f>
        <v>41893</v>
      </c>
      <c r="Y22" s="204">
        <v>4.6255652738830255E-4</v>
      </c>
      <c r="Z22" s="201">
        <v>7.4950585993605046E-4</v>
      </c>
    </row>
    <row r="23" spans="10:26" x14ac:dyDescent="0.2">
      <c r="L23" s="202" t="str">
        <v>obj_00720#0002</v>
      </c>
      <c r="M23" s="202" t="str">
        <f>_xll.qlRateHelperQuoteName(L23)</f>
        <v>EUR6X1S_Quote</v>
      </c>
      <c r="N23" s="200">
        <f>_xll.qlRateHelperLatestDate(L23,Trigger)</f>
        <v>42072</v>
      </c>
      <c r="O23" s="210">
        <f>_xll.qlRateHelperQuoteValue(L23,_xll.ohTrigger(RecalcTrigger,YieldCurve))</f>
        <v>3.0000000000000011E-5</v>
      </c>
      <c r="P23" s="215" t="str">
        <v>6M</v>
      </c>
      <c r="Q23" s="212" t="str">
        <f>_xll.qlSwapIndex(,"Euribor",P23,NDays,Currency,Calendar,"1Y","mf","Actual/360",IborIndex,Discounting,,_xll.ohTrigger(Trigger,RecalcTrigger))</f>
        <v>obj_00736#0004</v>
      </c>
      <c r="R23" s="213">
        <f>_xll.qlIndexFixing(Q23,$W$19,TRUE,Trigger)</f>
        <v>2.9999999999930215E-5</v>
      </c>
      <c r="S23" s="214">
        <f t="shared" si="7"/>
        <v>-6.9795514853754348E-17</v>
      </c>
      <c r="V23" s="202" t="str">
        <f t="shared" si="8"/>
        <v>1D</v>
      </c>
      <c r="W23" s="200">
        <f>_xll.qlCalendarAdvance(Calendar,W22,V23,"f",FALSE)</f>
        <v>41892</v>
      </c>
      <c r="X23" s="203">
        <f>_xll.qlCalendarAdvance(Calendar,W23,NDays&amp;"D")</f>
        <v>41894</v>
      </c>
      <c r="Y23" s="204">
        <v>4.5329915355523325E-4</v>
      </c>
      <c r="Z23" s="201">
        <v>5.4692054002991597E-4</v>
      </c>
    </row>
    <row r="24" spans="10:26" x14ac:dyDescent="0.2">
      <c r="L24" s="202" t="str">
        <v>obj_0071c#0002</v>
      </c>
      <c r="M24" s="202" t="str">
        <f>_xll.qlRateHelperQuoteName(L24)</f>
        <v>EUR7X1S_Quote</v>
      </c>
      <c r="N24" s="200">
        <f>_xll.qlRateHelperLatestDate(L24,Trigger)</f>
        <v>42102</v>
      </c>
      <c r="O24" s="210">
        <f>_xll.qlRateHelperQuoteValue(L24,_xll.ohTrigger(RecalcTrigger,YieldCurve))</f>
        <v>0</v>
      </c>
      <c r="P24" s="215" t="str">
        <v>7M</v>
      </c>
      <c r="Q24" s="212" t="str">
        <f>_xll.qlSwapIndex(,"Euribor",P24,NDays,Currency,Calendar,"1Y","mf","Actual/360",IborIndex,Discounting,,_xll.ohTrigger(Trigger,RecalcTrigger))</f>
        <v>obj_00740#0004</v>
      </c>
      <c r="R24" s="213">
        <f>_xll.qlIndexFixing(Q24,$W$19,TRUE,Trigger)</f>
        <v>-8.9547139964339819E-17</v>
      </c>
      <c r="S24" s="214">
        <f t="shared" si="7"/>
        <v>-8.9547139964339819E-17</v>
      </c>
      <c r="V24" s="202" t="str">
        <f t="shared" si="8"/>
        <v>1D</v>
      </c>
      <c r="W24" s="200">
        <f>_xll.qlCalendarAdvance(Calendar,W23,V24,"f",FALSE)</f>
        <v>41893</v>
      </c>
      <c r="X24" s="203">
        <f>_xll.qlCalendarAdvance(Calendar,W24,NDays&amp;"D")</f>
        <v>41897</v>
      </c>
      <c r="Y24" s="204">
        <v>4.175883762460586E-4</v>
      </c>
      <c r="Z24" s="201">
        <v>6.1580176270226161E-4</v>
      </c>
    </row>
    <row r="25" spans="10:26" x14ac:dyDescent="0.2">
      <c r="L25" s="202" t="str">
        <v>obj_0071e#0002</v>
      </c>
      <c r="M25" s="202" t="str">
        <f>_xll.qlRateHelperQuoteName(L25)</f>
        <v>EUR8X1S_Quote</v>
      </c>
      <c r="N25" s="200">
        <f>_xll.qlRateHelperLatestDate(L25,Trigger)</f>
        <v>42132</v>
      </c>
      <c r="O25" s="210">
        <f>_xll.qlRateHelperQuoteValue(L25,_xll.ohTrigger(RecalcTrigger,YieldCurve))</f>
        <v>-3.0000000000000011E-5</v>
      </c>
      <c r="P25" s="215" t="str">
        <v>8M</v>
      </c>
      <c r="Q25" s="212" t="str">
        <f>_xll.qlSwapIndex(,"Euribor",P25,NDays,Currency,Calendar,"1Y","mf","Actual/360",IborIndex,Discounting,,_xll.ohTrigger(Trigger,RecalcTrigger))</f>
        <v>obj_0073d#0004</v>
      </c>
      <c r="R25" s="213">
        <f>_xll.qlIndexFixing(Q25,$W$19,TRUE,Trigger)</f>
        <v>-2.9999999999812532E-5</v>
      </c>
      <c r="S25" s="214">
        <f t="shared" si="7"/>
        <v>1.8747888441347782E-16</v>
      </c>
      <c r="T25" s="216"/>
      <c r="V25" s="202" t="str">
        <f t="shared" si="8"/>
        <v>1D</v>
      </c>
      <c r="W25" s="200">
        <f>_xll.qlCalendarAdvance(Calendar,W24,V25,"f",FALSE)</f>
        <v>41894</v>
      </c>
      <c r="X25" s="203">
        <f>_xll.qlCalendarAdvance(Calendar,W25,NDays&amp;"D")</f>
        <v>41898</v>
      </c>
      <c r="Y25" s="204">
        <v>3.9703628409792913E-4</v>
      </c>
      <c r="Z25" s="201">
        <v>6.8832799308360393E-4</v>
      </c>
    </row>
    <row r="26" spans="10:26" x14ac:dyDescent="0.2">
      <c r="L26" s="202" t="str">
        <v>obj_0071d#0002</v>
      </c>
      <c r="M26" s="202" t="str">
        <f>_xll.qlRateHelperQuoteName(L26)</f>
        <v>EUR9X1S_Quote</v>
      </c>
      <c r="N26" s="200">
        <f>_xll.qlRateHelperLatestDate(L26,Trigger)</f>
        <v>42163</v>
      </c>
      <c r="O26" s="210">
        <f>_xll.qlRateHelperQuoteValue(L26,_xll.ohTrigger(RecalcTrigger,YieldCurve))</f>
        <v>-6.0000000000000002E-5</v>
      </c>
      <c r="P26" s="215" t="str">
        <v>9M</v>
      </c>
      <c r="Q26" s="212" t="str">
        <f>_xll.qlSwapIndex(,"Euribor",P26,NDays,Currency,Calendar,"1Y","mf","Actual/360",IborIndex,Discounting,,_xll.ohTrigger(Trigger,RecalcTrigger))</f>
        <v>obj_0073a#0004</v>
      </c>
      <c r="R26" s="213">
        <f>_xll.qlIndexFixing(Q26,$W$19,TRUE,Trigger)</f>
        <v>-6.0000000000002055E-5</v>
      </c>
      <c r="S26" s="214">
        <f t="shared" si="7"/>
        <v>-2.053207864144424E-18</v>
      </c>
      <c r="T26" s="216"/>
      <c r="V26" s="202" t="str">
        <f t="shared" si="8"/>
        <v>1D</v>
      </c>
      <c r="W26" s="200">
        <f>_xll.qlCalendarAdvance(Calendar,W25,V26,"f",FALSE)</f>
        <v>41897</v>
      </c>
      <c r="X26" s="203">
        <f>_xll.qlCalendarAdvance(Calendar,W26,NDays&amp;"D")</f>
        <v>41899</v>
      </c>
      <c r="Y26" s="204">
        <v>3.7287216372927645E-4</v>
      </c>
      <c r="Z26" s="201">
        <v>7.3097493522134016E-4</v>
      </c>
    </row>
    <row r="27" spans="10:26" x14ac:dyDescent="0.2">
      <c r="L27" s="202" t="str">
        <v>obj_0071b#0002</v>
      </c>
      <c r="M27" s="202" t="str">
        <f>_xll.qlRateHelperQuoteName(L27)</f>
        <v>EUR10X1S_Quote</v>
      </c>
      <c r="N27" s="200">
        <f>_xll.qlRateHelperLatestDate(L27,Trigger)</f>
        <v>42193</v>
      </c>
      <c r="O27" s="210">
        <f>_xll.qlRateHelperQuoteValue(L27,_xll.ohTrigger(RecalcTrigger,YieldCurve))</f>
        <v>-8.0000000000000007E-5</v>
      </c>
      <c r="P27" s="215" t="str">
        <v>10M</v>
      </c>
      <c r="Q27" s="212" t="str">
        <f>_xll.qlSwapIndex(,"Euribor",P27,NDays,Currency,Calendar,"1Y","mf","Actual/360",IborIndex,Discounting,,_xll.ohTrigger(Trigger,RecalcTrigger))</f>
        <v>obj_00737#0004</v>
      </c>
      <c r="R27" s="213">
        <f>_xll.qlIndexFixing(Q27,$W$19,TRUE,Trigger)</f>
        <v>-7.999999999984769E-5</v>
      </c>
      <c r="S27" s="214">
        <f t="shared" si="7"/>
        <v>1.523168527070573E-16</v>
      </c>
      <c r="T27" s="216"/>
      <c r="V27" s="202" t="str">
        <f t="shared" si="8"/>
        <v>1D</v>
      </c>
      <c r="W27" s="200">
        <f>_xll.qlCalendarAdvance(Calendar,W26,V27,"f",FALSE)</f>
        <v>41898</v>
      </c>
      <c r="X27" s="203">
        <f>_xll.qlCalendarAdvance(Calendar,W27,NDays&amp;"D")</f>
        <v>41900</v>
      </c>
      <c r="Y27" s="204">
        <v>3.1737142728860412E-4</v>
      </c>
      <c r="Z27" s="201">
        <v>7.4374257848397463E-4</v>
      </c>
    </row>
    <row r="28" spans="10:26" x14ac:dyDescent="0.2">
      <c r="L28" s="202" t="str">
        <v>obj_00718#0002</v>
      </c>
      <c r="M28" s="202" t="str">
        <f>_xll.qlRateHelperQuoteName(L28)</f>
        <v>EUR11X1S_Quote</v>
      </c>
      <c r="N28" s="200">
        <f>_xll.qlRateHelperLatestDate(L28,Trigger)</f>
        <v>42226</v>
      </c>
      <c r="O28" s="210">
        <f>_xll.qlRateHelperQuoteValue(L28,_xll.ohTrigger(RecalcTrigger,YieldCurve))</f>
        <v>-8.0000000000000007E-5</v>
      </c>
      <c r="P28" s="215" t="str">
        <v>11M</v>
      </c>
      <c r="Q28" s="212" t="str">
        <f>_xll.qlSwapIndex(,"Euribor",P28,NDays,Currency,Calendar,"1Y","mf","Actual/360",IborIndex,Discounting,,_xll.ohTrigger(Trigger,RecalcTrigger))</f>
        <v>obj_00739#0004</v>
      </c>
      <c r="R28" s="213">
        <f>_xll.qlIndexFixing(Q28,$W$19,TRUE,Trigger)</f>
        <v>-8.0000000000045231E-5</v>
      </c>
      <c r="S28" s="214">
        <f t="shared" si="7"/>
        <v>-4.5224783119801604E-17</v>
      </c>
      <c r="T28" s="216"/>
      <c r="V28" s="202" t="str">
        <f t="shared" si="8"/>
        <v>1D</v>
      </c>
      <c r="W28" s="200">
        <f>_xll.qlCalendarAdvance(Calendar,W27,V28,"f",FALSE)</f>
        <v>41899</v>
      </c>
      <c r="X28" s="203">
        <f>_xll.qlCalendarAdvance(Calendar,W28,NDays&amp;"D")</f>
        <v>41901</v>
      </c>
      <c r="Y28" s="204">
        <v>3.0361689192728229E-4</v>
      </c>
      <c r="Z28" s="201">
        <v>6.6968144333934276E-4</v>
      </c>
    </row>
    <row r="29" spans="10:26" ht="12" thickBot="1" x14ac:dyDescent="0.25">
      <c r="L29" s="220" t="str">
        <v>obj_0071a#0002</v>
      </c>
      <c r="M29" s="220" t="str">
        <f>_xll.qlRateHelperQuoteName(L29)</f>
        <v>EUR12X1S_Quote</v>
      </c>
      <c r="N29" s="207">
        <f>_xll.qlRateHelperLatestDate(L29,Trigger)</f>
        <v>42255</v>
      </c>
      <c r="O29" s="221">
        <f>_xll.qlRateHelperQuoteValue(L29,_xll.ohTrigger(RecalcTrigger,YieldCurve))</f>
        <v>-1.0000000000000002E-4</v>
      </c>
      <c r="P29" s="222" t="str">
        <v>12M</v>
      </c>
      <c r="Q29" s="212" t="str">
        <f>_xll.qlSwapIndex(,"Euribor",P29,NDays,Currency,Calendar,"1Y","mf","Actual/360",IborIndex,Discounting,,_xll.ohTrigger(Trigger,RecalcTrigger))</f>
        <v>obj_0073e#0004</v>
      </c>
      <c r="R29" s="224">
        <f>_xll.qlIndexFixing(Q29,$W$19,TRUE,Trigger)</f>
        <v>-1.0000000000002131E-4</v>
      </c>
      <c r="S29" s="225">
        <f t="shared" si="7"/>
        <v>-2.1291020162184093E-17</v>
      </c>
      <c r="T29" s="216"/>
      <c r="V29" s="202" t="str">
        <f t="shared" si="8"/>
        <v>1D</v>
      </c>
      <c r="W29" s="200">
        <f>_xll.qlCalendarAdvance(Calendar,W28,V29,"f",FALSE)</f>
        <v>41900</v>
      </c>
      <c r="X29" s="203">
        <f>_xll.qlCalendarAdvance(Calendar,W29,NDays&amp;"D")</f>
        <v>41904</v>
      </c>
      <c r="Y29" s="204">
        <v>2.3569970677073115E-4</v>
      </c>
      <c r="Z29" s="201">
        <v>5.0478041570656274E-4</v>
      </c>
    </row>
    <row r="30" spans="10:26" ht="12" thickBot="1" x14ac:dyDescent="0.25">
      <c r="L30" s="212"/>
      <c r="M30" s="212"/>
      <c r="N30" s="200"/>
      <c r="O30" s="210"/>
      <c r="P30" s="215"/>
      <c r="Q30" s="250"/>
      <c r="R30" s="213"/>
      <c r="S30" s="217"/>
      <c r="T30" s="216"/>
      <c r="V30" s="202" t="str">
        <f t="shared" si="8"/>
        <v>1D</v>
      </c>
      <c r="W30" s="200">
        <f>_xll.qlCalendarAdvance(Calendar,W29,V30,"f",FALSE)</f>
        <v>41901</v>
      </c>
      <c r="X30" s="203">
        <f>_xll.qlCalendarAdvance(Calendar,W30,NDays&amp;"D")</f>
        <v>41905</v>
      </c>
      <c r="Y30" s="204">
        <v>2.1226841813071218E-4</v>
      </c>
      <c r="Z30" s="201">
        <v>4.2071287501777022E-4</v>
      </c>
    </row>
    <row r="31" spans="10:26" x14ac:dyDescent="0.2">
      <c r="L31" s="192" t="s">
        <v>70</v>
      </c>
      <c r="M31" s="192" t="s">
        <v>180</v>
      </c>
      <c r="N31" s="193" t="s">
        <v>63</v>
      </c>
      <c r="O31" s="193" t="s">
        <v>69</v>
      </c>
      <c r="P31" s="208" t="s">
        <v>181</v>
      </c>
      <c r="Q31" s="193" t="s">
        <v>182</v>
      </c>
      <c r="R31" s="193"/>
      <c r="S31" s="209" t="s">
        <v>183</v>
      </c>
      <c r="T31" s="191" t="s">
        <v>184</v>
      </c>
      <c r="V31" s="202" t="str">
        <f t="shared" si="8"/>
        <v>1D</v>
      </c>
      <c r="W31" s="200">
        <f>_xll.qlCalendarAdvance(Calendar,W30,V31,"f",FALSE)</f>
        <v>41904</v>
      </c>
      <c r="X31" s="203">
        <f>_xll.qlCalendarAdvance(Calendar,W31,NDays&amp;"D")</f>
        <v>41906</v>
      </c>
      <c r="Y31" s="204">
        <v>1.910386223480387E-4</v>
      </c>
      <c r="Z31" s="201">
        <v>3.5932728984278128E-4</v>
      </c>
    </row>
    <row r="32" spans="10:26" x14ac:dyDescent="0.2">
      <c r="L32" s="202" t="str">
        <f t="array" ref="L32:L68">_xll.ohFilter(RateHelpers!E131:E167,IF(ISERROR(RateHelpers!G131:G167),FALSE,TRUE))</f>
        <v>obj_006f3#0002</v>
      </c>
      <c r="M32" s="202" t="str">
        <f>_xll.qlRateHelperQuoteName(L32)</f>
        <v>EURAB1EBASIS1Y_Quote</v>
      </c>
      <c r="N32" s="200">
        <f>_xll.qlRateHelperLatestDate(L32,Trigger)</f>
        <v>42255</v>
      </c>
      <c r="O32" s="210">
        <f>_xll.qlRateHelperQuoteValue(L32,_xll.ohTrigger(RecalcTrigger,YieldCurve))</f>
        <v>-1.0999999999999985E-4</v>
      </c>
      <c r="P32" s="215" t="str">
        <f t="array" ref="P32:P68">_xll.ohFilter(RateHelpers!D131:D167,IF(ISERROR(RateHelpers!G131:G167),FALSE,TRUE))</f>
        <v>1Y</v>
      </c>
      <c r="Q32" s="212" t="str">
        <f>_xll.qlSwapIndex(,"Euribor",P32,NDays,Currency,Calendar,"1Y","mf",BondBasisDayCounter,IborIndex,Discounting,,_xll.ohTrigger(Trigger,RecalcTrigger))</f>
        <v>obj_00743#0004</v>
      </c>
      <c r="R32" s="213">
        <f>_xll.qlIndexFixing(Q32,$W$19,TRUE,Trigger)</f>
        <v>-1.0138888888891049E-4</v>
      </c>
      <c r="S32" s="214">
        <f>R32-O32</f>
        <v>8.6111111110893668E-6</v>
      </c>
      <c r="T32" s="228">
        <f t="array" ref="T32">MAX(ABS(S32:S50))</f>
        <v>8.6111111110893668E-6</v>
      </c>
      <c r="V32" s="202" t="str">
        <f t="shared" si="8"/>
        <v>1D</v>
      </c>
      <c r="W32" s="200">
        <f>_xll.qlCalendarAdvance(Calendar,W31,V32,"f",FALSE)</f>
        <v>41905</v>
      </c>
      <c r="X32" s="203">
        <f>_xll.qlCalendarAdvance(Calendar,W32,NDays&amp;"D")</f>
        <v>41907</v>
      </c>
      <c r="Y32" s="204">
        <v>1.4501852858811448E-4</v>
      </c>
      <c r="Z32" s="201">
        <v>3.2062364859086756E-4</v>
      </c>
    </row>
    <row r="33" spans="12:26" x14ac:dyDescent="0.2">
      <c r="L33" s="202" t="str">
        <v>obj_006f7#0002</v>
      </c>
      <c r="M33" s="202" t="str">
        <f>_xll.qlRateHelperQuoteName(L33)</f>
        <v>EURAB1EBASIS2Y_Quote</v>
      </c>
      <c r="N33" s="200">
        <f>_xll.qlRateHelperLatestDate(L33,Trigger)</f>
        <v>42621</v>
      </c>
      <c r="O33" s="210">
        <f>_xll.qlRateHelperQuoteValue(L33,_xll.ohTrigger(RecalcTrigger,YieldCurve))</f>
        <v>-1.7000000000000001E-4</v>
      </c>
      <c r="P33" s="215" t="str">
        <v>2Y</v>
      </c>
      <c r="Q33" s="212" t="str">
        <f>_xll.qlSwapIndex(,"Euribor",P33,NDays,Currency,Calendar,"1Y","mf",BondBasisDayCounter,IborIndex,Discounting,,_xll.ohTrigger(Trigger,RecalcTrigger))</f>
        <v>obj_0073b#0004</v>
      </c>
      <c r="R33" s="213">
        <f>_xll.qlIndexFixing(Q33,$W$19,TRUE,Trigger)</f>
        <v>-1.7000000018275909E-4</v>
      </c>
      <c r="S33" s="214">
        <f t="shared" ref="S33:S68" si="9">R33-O33</f>
        <v>-1.827590813061053E-13</v>
      </c>
      <c r="T33" s="216"/>
      <c r="V33" s="202" t="str">
        <f t="shared" si="8"/>
        <v>1D</v>
      </c>
      <c r="W33" s="200">
        <f>_xll.qlCalendarAdvance(Calendar,W32,V33,"f",FALSE)</f>
        <v>41906</v>
      </c>
      <c r="X33" s="203">
        <f>_xll.qlCalendarAdvance(Calendar,W33,NDays&amp;"D")</f>
        <v>41908</v>
      </c>
      <c r="Y33" s="204">
        <v>1.3935372318794837E-4</v>
      </c>
      <c r="Z33" s="201">
        <v>3.1882309981412504E-4</v>
      </c>
    </row>
    <row r="34" spans="12:26" x14ac:dyDescent="0.2">
      <c r="L34" s="202" t="str">
        <v>obj_006f8#0002</v>
      </c>
      <c r="M34" s="202" t="str">
        <f>_xll.qlRateHelperQuoteName(L34)</f>
        <v>EURAB1EBASIS3Y_Quote</v>
      </c>
      <c r="N34" s="200">
        <f>_xll.qlRateHelperLatestDate(L34,Trigger)</f>
        <v>42986</v>
      </c>
      <c r="O34" s="210">
        <f>_xll.qlRateHelperQuoteValue(L34,_xll.ohTrigger(RecalcTrigger,YieldCurve))</f>
        <v>1.3000000000000034E-4</v>
      </c>
      <c r="P34" s="215" t="str">
        <v>3Y</v>
      </c>
      <c r="Q34" s="212" t="str">
        <f>_xll.qlSwapIndex(,"Euribor",P34,NDays,Currency,Calendar,"1Y","mf",BondBasisDayCounter,IborIndex,Discounting,,_xll.ohTrigger(Trigger,RecalcTrigger))</f>
        <v>obj_00746#0004</v>
      </c>
      <c r="R34" s="213">
        <f>_xll.qlIndexFixing(Q34,$W$19,TRUE,Trigger)</f>
        <v>1.2999999977891338E-4</v>
      </c>
      <c r="S34" s="214">
        <f t="shared" si="9"/>
        <v>-2.2108695625112917E-13</v>
      </c>
      <c r="T34" s="216"/>
      <c r="V34" s="202" t="str">
        <f t="shared" si="8"/>
        <v>1D</v>
      </c>
      <c r="W34" s="200">
        <f>_xll.qlCalendarAdvance(Calendar,W33,V34,"f",FALSE)</f>
        <v>41907</v>
      </c>
      <c r="X34" s="203">
        <f>_xll.qlCalendarAdvance(Calendar,W34,NDays&amp;"D")</f>
        <v>41911</v>
      </c>
      <c r="Y34" s="204">
        <v>9.4417121478507227E-5</v>
      </c>
      <c r="Z34" s="201">
        <v>3.8822012556671837E-4</v>
      </c>
    </row>
    <row r="35" spans="12:26" x14ac:dyDescent="0.2">
      <c r="L35" s="202" t="str">
        <v>obj_006f9#0002</v>
      </c>
      <c r="M35" s="202" t="str">
        <f>_xll.qlRateHelperQuoteName(L35)</f>
        <v>EURAB1EBASIS4Y_Quote</v>
      </c>
      <c r="N35" s="200">
        <f>_xll.qlRateHelperLatestDate(L35,Trigger)</f>
        <v>43353</v>
      </c>
      <c r="O35" s="210">
        <f>_xll.qlRateHelperQuoteValue(L35,_xll.ohTrigger(RecalcTrigger,YieldCurve))</f>
        <v>8.1999999999999955E-4</v>
      </c>
      <c r="P35" s="215" t="str">
        <v>4Y</v>
      </c>
      <c r="Q35" s="212" t="str">
        <f>_xll.qlSwapIndex(,"Euribor",P35,NDays,Currency,Calendar,"1Y","mf",BondBasisDayCounter,IborIndex,Discounting,,_xll.ohTrigger(Trigger,RecalcTrigger))</f>
        <v>obj_00732#0004</v>
      </c>
      <c r="R35" s="213">
        <f>_xll.qlIndexFixing(Q35,$W$19,TRUE,Trigger)</f>
        <v>8.1999999999425057E-4</v>
      </c>
      <c r="S35" s="214">
        <f t="shared" si="9"/>
        <v>-5.7489820196043873E-15</v>
      </c>
      <c r="T35" s="216"/>
      <c r="V35" s="202" t="str">
        <f t="shared" si="8"/>
        <v>1D</v>
      </c>
      <c r="W35" s="200">
        <f>_xll.qlCalendarAdvance(Calendar,W34,V35,"f",FALSE)</f>
        <v>41908</v>
      </c>
      <c r="X35" s="203">
        <f>_xll.qlCalendarAdvance(Calendar,W35,NDays&amp;"D")</f>
        <v>41912</v>
      </c>
      <c r="Y35" s="204">
        <v>6.1363618449775917E-5</v>
      </c>
      <c r="Z35" s="201">
        <v>4.3061908870711818E-4</v>
      </c>
    </row>
    <row r="36" spans="12:26" x14ac:dyDescent="0.2">
      <c r="L36" s="202" t="str">
        <v>obj_006fa#0002</v>
      </c>
      <c r="M36" s="202" t="str">
        <f>_xll.qlRateHelperQuoteName(L36)</f>
        <v>EURAB1EBASIS5Y_Quote</v>
      </c>
      <c r="N36" s="200">
        <f>_xll.qlRateHelperLatestDate(L36,Trigger)</f>
        <v>43717</v>
      </c>
      <c r="O36" s="210">
        <f>_xll.qlRateHelperQuoteValue(L36,_xll.ohTrigger(RecalcTrigger,YieldCurve))</f>
        <v>1.7499999999999998E-3</v>
      </c>
      <c r="P36" s="215" t="str">
        <v>5Y</v>
      </c>
      <c r="Q36" s="212" t="str">
        <f>_xll.qlSwapIndex(,"Euribor",P36,NDays,Currency,Calendar,"1Y","mf",BondBasisDayCounter,IborIndex,Discounting,,_xll.ohTrigger(Trigger,RecalcTrigger))</f>
        <v>obj_00735#0004</v>
      </c>
      <c r="R36" s="213">
        <f>_xll.qlIndexFixing(Q36,$W$19,TRUE,Trigger)</f>
        <v>1.7499999999788761E-3</v>
      </c>
      <c r="S36" s="214">
        <f t="shared" si="9"/>
        <v>-2.112372776696958E-14</v>
      </c>
      <c r="T36" s="216"/>
      <c r="V36" s="202" t="str">
        <f t="shared" si="8"/>
        <v>1D</v>
      </c>
      <c r="W36" s="200">
        <f>_xll.qlCalendarAdvance(Calendar,W35,V36,"f",FALSE)</f>
        <v>41911</v>
      </c>
      <c r="X36" s="203">
        <f>_xll.qlCalendarAdvance(Calendar,W36,NDays&amp;"D")</f>
        <v>41913</v>
      </c>
      <c r="Y36" s="204">
        <v>2.0679759451525115E-5</v>
      </c>
      <c r="Z36" s="201">
        <v>4.6046431052104708E-4</v>
      </c>
    </row>
    <row r="37" spans="12:26" x14ac:dyDescent="0.2">
      <c r="L37" s="202" t="str">
        <v>obj_006fb#0002</v>
      </c>
      <c r="M37" s="202" t="str">
        <f>_xll.qlRateHelperQuoteName(L37)</f>
        <v>EURAB1EBASIS6Y_Quote</v>
      </c>
      <c r="N37" s="200">
        <f>_xll.qlRateHelperLatestDate(L37,Trigger)</f>
        <v>44082</v>
      </c>
      <c r="O37" s="210">
        <f>_xll.qlRateHelperQuoteValue(L37,_xll.ohTrigger(RecalcTrigger,YieldCurve))</f>
        <v>2.9599999999999995E-3</v>
      </c>
      <c r="P37" s="215" t="str">
        <v>6Y</v>
      </c>
      <c r="Q37" s="212" t="str">
        <f>_xll.qlSwapIndex(,"Euribor",P37,NDays,Currency,Calendar,"1Y","mf",BondBasisDayCounter,IborIndex,Discounting,,_xll.ohTrigger(Trigger,RecalcTrigger))</f>
        <v>obj_0072b#0004</v>
      </c>
      <c r="R37" s="213">
        <f>_xll.qlIndexFixing(Q37,$W$19,TRUE,Trigger)</f>
        <v>2.9599999999435989E-3</v>
      </c>
      <c r="S37" s="214">
        <f t="shared" si="9"/>
        <v>-5.6400630693564935E-14</v>
      </c>
      <c r="T37" s="216"/>
      <c r="V37" s="202" t="str">
        <f t="shared" si="8"/>
        <v>1D</v>
      </c>
      <c r="W37" s="200">
        <f>_xll.qlCalendarAdvance(Calendar,W36,V37,"f",FALSE)</f>
        <v>41912</v>
      </c>
      <c r="X37" s="203">
        <f>_xll.qlCalendarAdvance(Calendar,W37,NDays&amp;"D")</f>
        <v>41914</v>
      </c>
      <c r="Y37" s="204">
        <v>6.9364833577001406E-6</v>
      </c>
      <c r="Z37" s="201">
        <v>4.7775578789099882E-4</v>
      </c>
    </row>
    <row r="38" spans="12:26" x14ac:dyDescent="0.2">
      <c r="L38" s="202" t="str">
        <v>obj_006fd#0002</v>
      </c>
      <c r="M38" s="202" t="str">
        <f>_xll.qlRateHelperQuoteName(L38)</f>
        <v>EURAB1EBASIS7Y_Quote</v>
      </c>
      <c r="N38" s="200">
        <f>_xll.qlRateHelperLatestDate(L38,Trigger)</f>
        <v>44447</v>
      </c>
      <c r="O38" s="210">
        <f>_xll.qlRateHelperQuoteValue(L38,_xll.ohTrigger(RecalcTrigger,YieldCurve))</f>
        <v>4.3599999999999993E-3</v>
      </c>
      <c r="P38" s="219" t="str">
        <v>7Y</v>
      </c>
      <c r="Q38" s="212" t="str">
        <f>_xll.qlSwapIndex(,"Euribor",P38,NDays,Currency,Calendar,"1Y","mf",BondBasisDayCounter,IborIndex,Discounting,,_xll.ohTrigger(Trigger,RecalcTrigger))</f>
        <v>obj_0072e#0004</v>
      </c>
      <c r="R38" s="213">
        <f>_xll.qlIndexFixing(Q38,$W$19,TRUE,Trigger)</f>
        <v>4.3599999999545539E-3</v>
      </c>
      <c r="S38" s="214">
        <f t="shared" si="9"/>
        <v>-4.5445418261902404E-14</v>
      </c>
      <c r="T38" s="216"/>
      <c r="V38" s="202" t="str">
        <f t="shared" si="8"/>
        <v>1D</v>
      </c>
      <c r="W38" s="200">
        <f>_xll.qlCalendarAdvance(Calendar,W37,V38,"f",FALSE)</f>
        <v>41913</v>
      </c>
      <c r="X38" s="203">
        <f>_xll.qlCalendarAdvance(Calendar,W38,NDays&amp;"D")</f>
        <v>41915</v>
      </c>
      <c r="Y38" s="204">
        <v>-8.251225193423387E-6</v>
      </c>
      <c r="Z38" s="201">
        <v>4.7049353594452725E-4</v>
      </c>
    </row>
    <row r="39" spans="12:26" x14ac:dyDescent="0.2">
      <c r="L39" s="202" t="str">
        <v>obj_006fe#0002</v>
      </c>
      <c r="M39" s="202" t="str">
        <f>_xll.qlRateHelperQuoteName(L39)</f>
        <v>EURAB1EBASIS8Y_Quote</v>
      </c>
      <c r="N39" s="200">
        <f>_xll.qlRateHelperLatestDate(L39,Trigger)</f>
        <v>44812</v>
      </c>
      <c r="O39" s="210">
        <f>_xll.qlRateHelperQuoteValue(L39,_xll.ohTrigger(RecalcTrigger,YieldCurve))</f>
        <v>5.8000000000000005E-3</v>
      </c>
      <c r="P39" s="219" t="str">
        <v>8Y</v>
      </c>
      <c r="Q39" s="212" t="str">
        <f>_xll.qlSwapIndex(,"Euribor",P39,NDays,Currency,Calendar,"1Y","mf",BondBasisDayCounter,IborIndex,Discounting,,_xll.ohTrigger(Trigger,RecalcTrigger))</f>
        <v>obj_0072c#0004</v>
      </c>
      <c r="R39" s="213">
        <f>_xll.qlIndexFixing(Q39,$W$19,TRUE,Trigger)</f>
        <v>5.7999999999618981E-3</v>
      </c>
      <c r="S39" s="214">
        <f t="shared" si="9"/>
        <v>-3.8102333788092579E-14</v>
      </c>
      <c r="T39" s="216"/>
      <c r="V39" s="202" t="str">
        <f t="shared" si="8"/>
        <v>1D</v>
      </c>
      <c r="W39" s="200">
        <f>_xll.qlCalendarAdvance(Calendar,W38,V39,"f",FALSE)</f>
        <v>41914</v>
      </c>
      <c r="X39" s="203">
        <f>_xll.qlCalendarAdvance(Calendar,W39,NDays&amp;"D")</f>
        <v>41918</v>
      </c>
      <c r="Y39" s="204">
        <v>-7.6350120384692475E-5</v>
      </c>
      <c r="Z39" s="201">
        <v>4.2138423606452591E-4</v>
      </c>
    </row>
    <row r="40" spans="12:26" x14ac:dyDescent="0.2">
      <c r="L40" s="202" t="str">
        <v>obj_006ff#0002</v>
      </c>
      <c r="M40" s="202" t="str">
        <f>_xll.qlRateHelperQuoteName(L40)</f>
        <v>EURAB1EBASIS9Y_Quote</v>
      </c>
      <c r="N40" s="200">
        <f>_xll.qlRateHelperLatestDate(L40,Trigger)</f>
        <v>45177</v>
      </c>
      <c r="O40" s="210">
        <f>_xll.qlRateHelperQuoteValue(L40,_xll.ohTrigger(RecalcTrigger,YieldCurve))</f>
        <v>7.1699999999999993E-3</v>
      </c>
      <c r="P40" s="219" t="str">
        <v>9Y</v>
      </c>
      <c r="Q40" s="212" t="str">
        <f>_xll.qlSwapIndex(,"Euribor",P40,NDays,Currency,Calendar,"1Y","mf",BondBasisDayCounter,IborIndex,Discounting,,_xll.ohTrigger(Trigger,RecalcTrigger))</f>
        <v>obj_00748#0004</v>
      </c>
      <c r="R40" s="213">
        <f>_xll.qlIndexFixing(Q40,$W$19,TRUE,Trigger)</f>
        <v>7.1699999999255823E-3</v>
      </c>
      <c r="S40" s="214">
        <f t="shared" si="9"/>
        <v>-7.4417035034191059E-14</v>
      </c>
      <c r="T40" s="216"/>
      <c r="V40" s="202" t="str">
        <f t="shared" si="8"/>
        <v>1D</v>
      </c>
      <c r="W40" s="200">
        <f>_xll.qlCalendarAdvance(Calendar,W39,V40,"f",FALSE)</f>
        <v>41915</v>
      </c>
      <c r="X40" s="203">
        <f>_xll.qlCalendarAdvance(Calendar,W40,NDays&amp;"D")</f>
        <v>41919</v>
      </c>
      <c r="Y40" s="204">
        <v>-9.6440135695383754E-5</v>
      </c>
      <c r="Z40" s="201">
        <v>3.7590699025535912E-4</v>
      </c>
    </row>
    <row r="41" spans="12:26" x14ac:dyDescent="0.2">
      <c r="L41" s="202" t="str">
        <v>obj_006fc#0002</v>
      </c>
      <c r="M41" s="202" t="str">
        <f>_xll.qlRateHelperQuoteName(L41)</f>
        <v>EURAB1EBASIS10Y_Quote</v>
      </c>
      <c r="N41" s="200">
        <f>_xll.qlRateHelperLatestDate(L41,Trigger)</f>
        <v>45544</v>
      </c>
      <c r="O41" s="210">
        <f>_xll.qlRateHelperQuoteValue(L41,_xll.ohTrigger(RecalcTrigger,YieldCurve))</f>
        <v>8.4199999999999987E-3</v>
      </c>
      <c r="P41" s="219" t="str">
        <v>10Y</v>
      </c>
      <c r="Q41" s="212" t="str">
        <f>_xll.qlSwapIndex(,"Euribor",P41,NDays,Currency,Calendar,"1Y","mf",BondBasisDayCounter,IborIndex,Discounting,,_xll.ohTrigger(Trigger,RecalcTrigger))</f>
        <v>obj_00738#0004</v>
      </c>
      <c r="R41" s="213">
        <f>_xll.qlIndexFixing(Q41,$W$19,TRUE,Trigger)</f>
        <v>8.4199999999748521E-3</v>
      </c>
      <c r="S41" s="214">
        <f t="shared" si="9"/>
        <v>-2.5146551507759796E-14</v>
      </c>
      <c r="T41" s="216"/>
      <c r="V41" s="202" t="str">
        <f t="shared" si="8"/>
        <v>1D</v>
      </c>
      <c r="W41" s="200">
        <f>_xll.qlCalendarAdvance(Calendar,W40,V41,"f",FALSE)</f>
        <v>41918</v>
      </c>
      <c r="X41" s="203">
        <f>_xll.qlCalendarAdvance(Calendar,W41,NDays&amp;"D")</f>
        <v>41920</v>
      </c>
      <c r="Y41" s="204">
        <v>-1.1632725295635477E-4</v>
      </c>
      <c r="Z41" s="201">
        <v>3.2131590580242175E-4</v>
      </c>
    </row>
    <row r="42" spans="12:26" x14ac:dyDescent="0.2">
      <c r="L42" s="202" t="str">
        <v>obj_00700#0002</v>
      </c>
      <c r="M42" s="202" t="str">
        <f>_xll.qlRateHelperQuoteName(L42)</f>
        <v>EURAB1EBASIS11Y_Quote</v>
      </c>
      <c r="N42" s="200">
        <f>_xll.qlRateHelperLatestDate(L42,Trigger)</f>
        <v>45908</v>
      </c>
      <c r="O42" s="210">
        <f>_xll.qlRateHelperQuoteValue(L42,_xll.ohTrigger(RecalcTrigger,YieldCurve))</f>
        <v>9.5499999999999995E-3</v>
      </c>
      <c r="P42" s="219" t="str">
        <v>11Y</v>
      </c>
      <c r="Q42" s="212" t="str">
        <f>_xll.qlSwapIndex(,"Euribor",P42,NDays,Currency,Calendar,"1Y","mf",BondBasisDayCounter,IborIndex,Discounting,,_xll.ohTrigger(Trigger,RecalcTrigger))</f>
        <v>obj_0072f#0004</v>
      </c>
      <c r="R42" s="213">
        <f>_xll.qlIndexFixing(Q42,$W$19,TRUE,Trigger)</f>
        <v>9.5543784582517687E-3</v>
      </c>
      <c r="S42" s="214">
        <f t="shared" si="9"/>
        <v>4.3784582517691906E-6</v>
      </c>
      <c r="T42" s="216"/>
      <c r="V42" s="202" t="str">
        <f t="shared" si="8"/>
        <v>1D</v>
      </c>
      <c r="W42" s="200">
        <f>_xll.qlCalendarAdvance(Calendar,W41,V42,"f",FALSE)</f>
        <v>41919</v>
      </c>
      <c r="X42" s="203">
        <f>_xll.qlCalendarAdvance(Calendar,W42,NDays&amp;"D")</f>
        <v>41921</v>
      </c>
      <c r="Y42" s="204">
        <v>-1.3000348563288466E-4</v>
      </c>
      <c r="Z42" s="201">
        <v>2.6767608617639382E-4</v>
      </c>
    </row>
    <row r="43" spans="12:26" x14ac:dyDescent="0.2">
      <c r="L43" s="202" t="str">
        <v>obj_00702#0002</v>
      </c>
      <c r="M43" s="202" t="str">
        <f>_xll.qlRateHelperQuoteName(L43)</f>
        <v>EURAB1EBASIS12Y_Quote</v>
      </c>
      <c r="N43" s="200">
        <f>_xll.qlRateHelperLatestDate(L43,Trigger)</f>
        <v>46273</v>
      </c>
      <c r="O43" s="210">
        <f>_xll.qlRateHelperQuoteValue(L43,_xll.ohTrigger(RecalcTrigger,YieldCurve))</f>
        <v>1.0579999999999999E-2</v>
      </c>
      <c r="P43" s="215" t="str">
        <v>12Y</v>
      </c>
      <c r="Q43" s="212" t="str">
        <f>_xll.qlSwapIndex(,"Euribor",P43,NDays,Currency,Calendar,"1Y","mf",BondBasisDayCounter,IborIndex,Discounting,,_xll.ohTrigger(Trigger,RecalcTrigger))</f>
        <v>obj_0073c#0004</v>
      </c>
      <c r="R43" s="213">
        <f>_xll.qlIndexFixing(Q43,$W$19,TRUE,Trigger)</f>
        <v>1.0580000000021832E-2</v>
      </c>
      <c r="S43" s="214">
        <f t="shared" si="9"/>
        <v>2.1833229668644094E-14</v>
      </c>
      <c r="T43" s="216"/>
      <c r="V43" s="202" t="str">
        <f t="shared" si="8"/>
        <v>1D</v>
      </c>
      <c r="W43" s="200">
        <f>_xll.qlCalendarAdvance(Calendar,W42,V43,"f",FALSE)</f>
        <v>41920</v>
      </c>
      <c r="X43" s="203">
        <f>_xll.qlCalendarAdvance(Calendar,W43,NDays&amp;"D")</f>
        <v>41922</v>
      </c>
      <c r="Y43" s="204">
        <v>-1.4283175271555574E-4</v>
      </c>
      <c r="Z43" s="201">
        <v>1.6887624717298877E-4</v>
      </c>
    </row>
    <row r="44" spans="12:26" x14ac:dyDescent="0.2">
      <c r="L44" s="202" t="str">
        <v>obj_00704#0002</v>
      </c>
      <c r="M44" s="202" t="str">
        <f>_xll.qlRateHelperQuoteName(L44)</f>
        <v>EURAB1EBASIS15Y_Quote</v>
      </c>
      <c r="N44" s="200">
        <f>_xll.qlRateHelperLatestDate(L44,Trigger)</f>
        <v>47371</v>
      </c>
      <c r="O44" s="210">
        <f>_xll.qlRateHelperQuoteValue(L44,_xll.ohTrigger(RecalcTrigger,YieldCurve))</f>
        <v>1.2970000000000001E-2</v>
      </c>
      <c r="P44" s="215" t="str">
        <v>15Y</v>
      </c>
      <c r="Q44" s="212" t="str">
        <f>_xll.qlSwapIndex(,"Euribor",P44,NDays,Currency,Calendar,"1Y","mf",BondBasisDayCounter,IborIndex,Discounting,,_xll.ohTrigger(Trigger,RecalcTrigger))</f>
        <v>obj_00731#0004</v>
      </c>
      <c r="R44" s="213">
        <f>_xll.qlIndexFixing(Q44,$W$19,TRUE,Trigger)</f>
        <v>1.2970000000003905E-2</v>
      </c>
      <c r="S44" s="214">
        <f t="shared" si="9"/>
        <v>3.9048625444237928E-15</v>
      </c>
      <c r="T44" s="216"/>
      <c r="V44" s="202" t="str">
        <f t="shared" si="8"/>
        <v>1D</v>
      </c>
      <c r="W44" s="200">
        <f>_xll.qlCalendarAdvance(Calendar,W43,V44,"f",FALSE)</f>
        <v>41921</v>
      </c>
      <c r="X44" s="203">
        <f>_xll.qlCalendarAdvance(Calendar,W44,NDays&amp;"D")</f>
        <v>41925</v>
      </c>
      <c r="Y44" s="204">
        <v>-1.6980523095622146E-4</v>
      </c>
      <c r="Z44" s="201">
        <v>7.8555971567695337E-5</v>
      </c>
    </row>
    <row r="45" spans="12:26" x14ac:dyDescent="0.2">
      <c r="L45" s="202" t="str">
        <v>obj_00709#0002</v>
      </c>
      <c r="M45" s="202" t="str">
        <f>_xll.qlRateHelperQuoteName(L45)</f>
        <v>EURAB1EBASIS20Y_Quote</v>
      </c>
      <c r="N45" s="200">
        <f>_xll.qlRateHelperLatestDate(L45,Trigger)</f>
        <v>49195</v>
      </c>
      <c r="O45" s="210">
        <f>_xll.qlRateHelperQuoteValue(L45,_xll.ohTrigger(RecalcTrigger,YieldCurve))</f>
        <v>1.5279999999999998E-2</v>
      </c>
      <c r="P45" s="215" t="str">
        <v>20Y</v>
      </c>
      <c r="Q45" s="212" t="str">
        <f>_xll.qlSwapIndex(,"Euribor",P45,NDays,Currency,Calendar,"1Y","mf",BondBasisDayCounter,IborIndex,Discounting,,_xll.ohTrigger(Trigger,RecalcTrigger))</f>
        <v>obj_00733#0004</v>
      </c>
      <c r="R45" s="213">
        <f>_xll.qlIndexFixing(Q45,$W$19,TRUE,Trigger)</f>
        <v>1.5279999999996276E-2</v>
      </c>
      <c r="S45" s="214">
        <f t="shared" si="9"/>
        <v>-3.722716579446228E-15</v>
      </c>
      <c r="T45" s="216"/>
      <c r="V45" s="202" t="str">
        <f t="shared" si="8"/>
        <v>1D</v>
      </c>
      <c r="W45" s="200">
        <f>_xll.qlCalendarAdvance(Calendar,W44,V45,"f",FALSE)</f>
        <v>41922</v>
      </c>
      <c r="X45" s="203">
        <f>_xll.qlCalendarAdvance(Calendar,W45,NDays&amp;"D")</f>
        <v>41926</v>
      </c>
      <c r="Y45" s="204">
        <v>-1.7546023333355861E-4</v>
      </c>
      <c r="Z45" s="201">
        <v>3.7635728933338441E-5</v>
      </c>
    </row>
    <row r="46" spans="12:26" x14ac:dyDescent="0.2">
      <c r="L46" s="202" t="str">
        <v>obj_0070e#0002</v>
      </c>
      <c r="M46" s="202" t="str">
        <f>_xll.qlRateHelperQuoteName(L46)</f>
        <v>EURAB1EBASIS25Y_Quote</v>
      </c>
      <c r="N46" s="200">
        <f>_xll.qlRateHelperLatestDate(L46,Trigger)</f>
        <v>51021</v>
      </c>
      <c r="O46" s="210">
        <f>_xll.qlRateHelperQuoteValue(L46,_xll.ohTrigger(RecalcTrigger,YieldCurve))</f>
        <v>1.6480000000000002E-2</v>
      </c>
      <c r="P46" s="215" t="str">
        <v>25Y</v>
      </c>
      <c r="Q46" s="212" t="str">
        <f>_xll.qlSwapIndex(,"Euribor",P46,NDays,Currency,Calendar,"1Y","mf",BondBasisDayCounter,IborIndex,Discounting,,_xll.ohTrigger(Trigger,RecalcTrigger))</f>
        <v>obj_00734#0004</v>
      </c>
      <c r="R46" s="213">
        <f>_xll.qlIndexFixing(Q46,$W$19,TRUE,Trigger)</f>
        <v>1.6479999999998635E-2</v>
      </c>
      <c r="S46" s="214">
        <f t="shared" si="9"/>
        <v>-1.366962099069724E-15</v>
      </c>
      <c r="T46" s="216"/>
      <c r="V46" s="202" t="str">
        <f t="shared" si="8"/>
        <v>1D</v>
      </c>
      <c r="W46" s="200">
        <f>_xll.qlCalendarAdvance(Calendar,W45,V46,"f",FALSE)</f>
        <v>41925</v>
      </c>
      <c r="X46" s="203">
        <f>_xll.qlCalendarAdvance(Calendar,W46,NDays&amp;"D")</f>
        <v>41927</v>
      </c>
      <c r="Y46" s="204">
        <v>-1.7362208941218427E-4</v>
      </c>
      <c r="Z46" s="201">
        <v>-7.4060126031838536E-7</v>
      </c>
    </row>
    <row r="47" spans="12:26" x14ac:dyDescent="0.2">
      <c r="L47" s="202" t="str">
        <v>obj_00713#0002</v>
      </c>
      <c r="M47" s="202" t="str">
        <f>_xll.qlRateHelperQuoteName(L47)</f>
        <v>EURAB1EBASIS30Y_Quote</v>
      </c>
      <c r="N47" s="200">
        <f>_xll.qlRateHelperLatestDate(L47,Trigger)</f>
        <v>52848</v>
      </c>
      <c r="O47" s="210">
        <f>_xll.qlRateHelperQuoteValue(L47,_xll.ohTrigger(RecalcTrigger,YieldCurve))</f>
        <v>1.7180000000000001E-2</v>
      </c>
      <c r="P47" s="215" t="str">
        <v>30Y</v>
      </c>
      <c r="Q47" s="212" t="str">
        <f>_xll.qlSwapIndex(,"Euribor",P47,NDays,Currency,Calendar,"1Y","mf",BondBasisDayCounter,IborIndex,Discounting,,_xll.ohTrigger(Trigger,RecalcTrigger))</f>
        <v>obj_00745#0004</v>
      </c>
      <c r="R47" s="213">
        <f>_xll.qlIndexFixing(Q47,$W$19,TRUE,Trigger)</f>
        <v>1.7180000000020328E-2</v>
      </c>
      <c r="S47" s="214">
        <f t="shared" si="9"/>
        <v>2.0327489691496226E-14</v>
      </c>
      <c r="T47" s="216"/>
      <c r="V47" s="202" t="str">
        <f t="shared" si="8"/>
        <v>1D</v>
      </c>
      <c r="W47" s="200">
        <f>_xll.qlCalendarAdvance(Calendar,W46,V47,"f",FALSE)</f>
        <v>41926</v>
      </c>
      <c r="X47" s="203">
        <f>_xll.qlCalendarAdvance(Calendar,W47,NDays&amp;"D")</f>
        <v>41928</v>
      </c>
      <c r="Y47" s="204">
        <v>-1.7902463628413634E-4</v>
      </c>
      <c r="Z47" s="201">
        <v>-3.6573019692731634E-5</v>
      </c>
    </row>
    <row r="48" spans="12:26" x14ac:dyDescent="0.2">
      <c r="L48" s="202" t="str">
        <v>obj_00715#0002</v>
      </c>
      <c r="M48" s="202" t="str">
        <f>_xll.qlRateHelperQuoteName(L48)</f>
        <v>EURAB1EBASIS40Y_Quote</v>
      </c>
      <c r="N48" s="200">
        <f>_xll.qlRateHelperLatestDate(L48,Trigger)</f>
        <v>56500</v>
      </c>
      <c r="O48" s="210">
        <f>_xll.qlRateHelperQuoteValue(L48,_xll.ohTrigger(RecalcTrigger,YieldCurve))</f>
        <v>1.8089999999999998E-2</v>
      </c>
      <c r="P48" s="215" t="str">
        <v>40Y</v>
      </c>
      <c r="Q48" s="212" t="str">
        <f>_xll.qlSwapIndex(,"Euribor",P48,NDays,Currency,Calendar,"1Y","mf",BondBasisDayCounter,IborIndex,Discounting,,_xll.ohTrigger(Trigger,RecalcTrigger))</f>
        <v>obj_00730#0004</v>
      </c>
      <c r="R48" s="213">
        <f>_xll.qlIndexFixing(Q48,$W$19,TRUE,Trigger)</f>
        <v>1.80899999999607E-2</v>
      </c>
      <c r="S48" s="214">
        <f t="shared" si="9"/>
        <v>-3.9298425624778588E-14</v>
      </c>
      <c r="T48" s="216"/>
      <c r="V48" s="202" t="str">
        <f t="shared" si="8"/>
        <v>1D</v>
      </c>
      <c r="W48" s="200">
        <f>_xll.qlCalendarAdvance(Calendar,W47,V48,"f",FALSE)</f>
        <v>41927</v>
      </c>
      <c r="X48" s="203">
        <f>_xll.qlCalendarAdvance(Calendar,W48,NDays&amp;"D")</f>
        <v>41929</v>
      </c>
      <c r="Y48" s="204">
        <v>-1.8361986837732392E-4</v>
      </c>
      <c r="Z48" s="201">
        <v>-9.9758127598548185E-5</v>
      </c>
    </row>
    <row r="49" spans="12:26" x14ac:dyDescent="0.2">
      <c r="L49" s="202" t="str">
        <v>obj_00716#0002</v>
      </c>
      <c r="M49" s="202" t="str">
        <f>_xll.qlRateHelperQuoteName(L49)</f>
        <v>EURAB1EBASIS50Y_Quote</v>
      </c>
      <c r="N49" s="200">
        <f>_xll.qlRateHelperLatestDate(L49,Trigger)</f>
        <v>60153</v>
      </c>
      <c r="O49" s="210">
        <f>_xll.qlRateHelperQuoteValue(L49,_xll.ohTrigger(RecalcTrigger,YieldCurve))</f>
        <v>1.847E-2</v>
      </c>
      <c r="P49" s="215" t="str">
        <v>50Y</v>
      </c>
      <c r="Q49" s="212" t="str">
        <f>_xll.qlSwapIndex(,"Euribor",P49,NDays,Currency,Calendar,"1Y","mf",BondBasisDayCounter,IborIndex,Discounting,,_xll.ohTrigger(Trigger,RecalcTrigger))</f>
        <v>obj_00742#0004</v>
      </c>
      <c r="R49" s="213">
        <f>_xll.qlIndexFixing(Q49,$W$19,TRUE,Trigger)</f>
        <v>1.8470000000032148E-2</v>
      </c>
      <c r="S49" s="214">
        <f t="shared" si="9"/>
        <v>3.2147895456802189E-14</v>
      </c>
      <c r="T49" s="216"/>
      <c r="V49" s="202" t="str">
        <f t="shared" si="8"/>
        <v>1D</v>
      </c>
      <c r="W49" s="200">
        <f>_xll.qlCalendarAdvance(Calendar,W48,V49,"f",FALSE)</f>
        <v>41928</v>
      </c>
      <c r="X49" s="203">
        <f>_xll.qlCalendarAdvance(Calendar,W49,NDays&amp;"D")</f>
        <v>41932</v>
      </c>
      <c r="Y49" s="204">
        <v>-1.8037605899364154E-4</v>
      </c>
      <c r="Z49" s="201">
        <v>-1.5446359035831136E-4</v>
      </c>
    </row>
    <row r="50" spans="12:26" x14ac:dyDescent="0.2">
      <c r="L50" s="202" t="str">
        <v>obj_00717#0002</v>
      </c>
      <c r="M50" s="202" t="str">
        <f>_xll.qlRateHelperQuoteName(L50)</f>
        <v>EURAB1EBASIS60Y_Quote</v>
      </c>
      <c r="N50" s="200">
        <f>_xll.qlRateHelperLatestDate(L50,Trigger)</f>
        <v>63807</v>
      </c>
      <c r="O50" s="210">
        <f>_xll.qlRateHelperQuoteValue(L50,_xll.ohTrigger(RecalcTrigger,YieldCurve))</f>
        <v>1.8699999999999998E-2</v>
      </c>
      <c r="P50" s="215" t="str">
        <v>60Y</v>
      </c>
      <c r="Q50" s="212" t="str">
        <f>_xll.qlSwapIndex(,"Euribor",P50,NDays,Currency,Calendar,"1Y","mf",BondBasisDayCounter,IborIndex,Discounting,,_xll.ohTrigger(Trigger,RecalcTrigger))</f>
        <v>obj_00741#0004</v>
      </c>
      <c r="R50" s="213">
        <f>_xll.qlIndexFixing(Q50,$W$19,TRUE,Trigger)</f>
        <v>1.8699999999979042E-2</v>
      </c>
      <c r="S50" s="214">
        <f t="shared" si="9"/>
        <v>-2.095545958979983E-14</v>
      </c>
      <c r="T50" s="216"/>
      <c r="V50" s="202" t="str">
        <f t="shared" si="8"/>
        <v>1D</v>
      </c>
      <c r="W50" s="200">
        <f>_xll.qlCalendarAdvance(Calendar,W49,V50,"f",FALSE)</f>
        <v>41929</v>
      </c>
      <c r="X50" s="203">
        <f>_xll.qlCalendarAdvance(Calendar,W50,NDays&amp;"D")</f>
        <v>41933</v>
      </c>
      <c r="Y50" s="204">
        <v>-1.7716171159506877E-4</v>
      </c>
      <c r="Z50" s="201">
        <v>-1.7757646037619423E-4</v>
      </c>
    </row>
    <row r="51" spans="12:26" x14ac:dyDescent="0.2">
      <c r="L51" s="202" t="e">
        <v>#N/A</v>
      </c>
      <c r="M51" s="202" t="e">
        <f>_xll.qlRateHelperQuoteName(L51)</f>
        <v>#VALUE!</v>
      </c>
      <c r="N51" s="200" t="e">
        <f>_xll.qlRateHelperLatestDate(L51,Trigger)</f>
        <v>#VALUE!</v>
      </c>
      <c r="O51" s="210" t="e">
        <f>_xll.qlRateHelperQuoteValue(L51,_xll.ohTrigger(RecalcTrigger,YieldCurve))</f>
        <v>#VALUE!</v>
      </c>
      <c r="P51" s="215" t="e">
        <v>#N/A</v>
      </c>
      <c r="Q51" s="212" t="e">
        <f>_xll.qlSwapIndex(,"Euribor",P51,NDays,Currency,Calendar,"1Y","mf",BondBasisDayCounter,IborIndex,Discounting,,_xll.ohTrigger(Trigger,RecalcTrigger))</f>
        <v>#VALUE!</v>
      </c>
      <c r="R51" s="213" t="e">
        <f>_xll.qlIndexFixing(Q51,$W$19,TRUE,Trigger)</f>
        <v>#VALUE!</v>
      </c>
      <c r="S51" s="214" t="e">
        <f t="shared" si="9"/>
        <v>#VALUE!</v>
      </c>
      <c r="T51" s="216"/>
      <c r="V51" s="202" t="str">
        <f t="shared" si="8"/>
        <v>1D</v>
      </c>
      <c r="W51" s="200">
        <f>_xll.qlCalendarAdvance(Calendar,W50,V51,"f",FALSE)</f>
        <v>41932</v>
      </c>
      <c r="X51" s="203">
        <f>_xll.qlCalendarAdvance(Calendar,W51,NDays&amp;"D")</f>
        <v>41934</v>
      </c>
      <c r="Y51" s="204">
        <v>-1.6503961270831658E-4</v>
      </c>
      <c r="Z51" s="201">
        <v>-1.981454224697643E-4</v>
      </c>
    </row>
    <row r="52" spans="12:26" x14ac:dyDescent="0.2">
      <c r="L52" s="202" t="e">
        <v>#N/A</v>
      </c>
      <c r="M52" s="202" t="e">
        <f>_xll.qlRateHelperQuoteName(L52)</f>
        <v>#VALUE!</v>
      </c>
      <c r="N52" s="200" t="e">
        <f>_xll.qlRateHelperLatestDate(L52,Trigger)</f>
        <v>#VALUE!</v>
      </c>
      <c r="O52" s="210" t="e">
        <f>_xll.qlRateHelperQuoteValue(L52,_xll.ohTrigger(RecalcTrigger,YieldCurve))</f>
        <v>#VALUE!</v>
      </c>
      <c r="P52" s="215" t="e">
        <v>#N/A</v>
      </c>
      <c r="Q52" s="212" t="e">
        <f>_xll.qlSwapIndex(,"Euribor",P52,NDays,Currency,Calendar,"1Y","mf",BondBasisDayCounter,IborIndex,Discounting,,_xll.ohTrigger(Trigger,RecalcTrigger))</f>
        <v>#VALUE!</v>
      </c>
      <c r="R52" s="213" t="e">
        <f>_xll.qlIndexFixing(Q52,$W$19,TRUE,Trigger)</f>
        <v>#VALUE!</v>
      </c>
      <c r="S52" s="214" t="e">
        <f t="shared" si="9"/>
        <v>#VALUE!</v>
      </c>
      <c r="T52" s="216"/>
      <c r="V52" s="202" t="str">
        <f t="shared" si="8"/>
        <v>1D</v>
      </c>
      <c r="W52" s="200">
        <f>_xll.qlCalendarAdvance(Calendar,W51,V52,"f",FALSE)</f>
        <v>41933</v>
      </c>
      <c r="X52" s="203">
        <f>_xll.qlCalendarAdvance(Calendar,W52,NDays&amp;"D")</f>
        <v>41935</v>
      </c>
      <c r="Y52" s="204">
        <v>-1.6400514642231356E-4</v>
      </c>
      <c r="Z52" s="201">
        <v>-2.1617047691879776E-4</v>
      </c>
    </row>
    <row r="53" spans="12:26" x14ac:dyDescent="0.2">
      <c r="L53" s="202" t="e">
        <v>#N/A</v>
      </c>
      <c r="M53" s="202" t="e">
        <f>_xll.qlRateHelperQuoteName(L53)</f>
        <v>#VALUE!</v>
      </c>
      <c r="N53" s="200" t="e">
        <f>_xll.qlRateHelperLatestDate(L53,Trigger)</f>
        <v>#VALUE!</v>
      </c>
      <c r="O53" s="210" t="e">
        <f>_xll.qlRateHelperQuoteValue(L53,_xll.ohTrigger(RecalcTrigger,YieldCurve))</f>
        <v>#VALUE!</v>
      </c>
      <c r="P53" s="215" t="e">
        <v>#N/A</v>
      </c>
      <c r="Q53" s="212" t="e">
        <f>_xll.qlSwapIndex(,"Euribor",P53,NDays,Currency,Calendar,"1Y","mf",BondBasisDayCounter,IborIndex,Discounting,,_xll.ohTrigger(Trigger,RecalcTrigger))</f>
        <v>#VALUE!</v>
      </c>
      <c r="R53" s="213" t="e">
        <f>_xll.qlIndexFixing(Q53,$W$19,TRUE,Trigger)</f>
        <v>#VALUE!</v>
      </c>
      <c r="S53" s="214" t="e">
        <f t="shared" si="9"/>
        <v>#VALUE!</v>
      </c>
      <c r="T53" s="216"/>
      <c r="V53" s="202" t="str">
        <f t="shared" si="8"/>
        <v>1D</v>
      </c>
      <c r="W53" s="200">
        <f>_xll.qlCalendarAdvance(Calendar,W52,V53,"f",FALSE)</f>
        <v>41934</v>
      </c>
      <c r="X53" s="203">
        <f>_xll.qlCalendarAdvance(Calendar,W53,NDays&amp;"D")</f>
        <v>41936</v>
      </c>
      <c r="Y53" s="204">
        <v>-1.6232249129607162E-4</v>
      </c>
      <c r="Z53" s="201">
        <v>-2.4374073094524107E-4</v>
      </c>
    </row>
    <row r="54" spans="12:26" x14ac:dyDescent="0.2">
      <c r="L54" s="202" t="e">
        <v>#N/A</v>
      </c>
      <c r="M54" s="202" t="e">
        <f>_xll.qlRateHelperQuoteName(L54)</f>
        <v>#VALUE!</v>
      </c>
      <c r="N54" s="200" t="e">
        <f>_xll.qlRateHelperLatestDate(L54,Trigger)</f>
        <v>#VALUE!</v>
      </c>
      <c r="O54" s="210" t="e">
        <f>_xll.qlRateHelperQuoteValue(L54,_xll.ohTrigger(RecalcTrigger,YieldCurve))</f>
        <v>#VALUE!</v>
      </c>
      <c r="P54" s="215" t="e">
        <v>#N/A</v>
      </c>
      <c r="Q54" s="212" t="e">
        <f>_xll.qlSwapIndex(,"Euribor",P54,NDays,Currency,Calendar,"1Y","mf",BondBasisDayCounter,IborIndex,Discounting,,_xll.ohTrigger(Trigger,RecalcTrigger))</f>
        <v>#VALUE!</v>
      </c>
      <c r="R54" s="213" t="e">
        <f>_xll.qlIndexFixing(Q54,$W$19,TRUE,Trigger)</f>
        <v>#VALUE!</v>
      </c>
      <c r="S54" s="214" t="e">
        <f t="shared" si="9"/>
        <v>#VALUE!</v>
      </c>
      <c r="T54" s="216"/>
      <c r="V54" s="202" t="str">
        <f t="shared" si="8"/>
        <v>1D</v>
      </c>
      <c r="W54" s="200">
        <f>_xll.qlCalendarAdvance(Calendar,W53,V54,"f",FALSE)</f>
        <v>41935</v>
      </c>
      <c r="X54" s="203">
        <f>_xll.qlCalendarAdvance(Calendar,W54,NDays&amp;"D")</f>
        <v>41939</v>
      </c>
      <c r="Y54" s="204">
        <v>-1.4149358250478605E-4</v>
      </c>
      <c r="Z54" s="201">
        <v>-2.6283162614326727E-4</v>
      </c>
    </row>
    <row r="55" spans="12:26" x14ac:dyDescent="0.2">
      <c r="L55" s="202" t="e">
        <v>#N/A</v>
      </c>
      <c r="M55" s="202" t="e">
        <f>_xll.qlRateHelperQuoteName(L55)</f>
        <v>#VALUE!</v>
      </c>
      <c r="N55" s="200" t="e">
        <f>_xll.qlRateHelperLatestDate(L55,Trigger)</f>
        <v>#VALUE!</v>
      </c>
      <c r="O55" s="210" t="e">
        <f>_xll.qlRateHelperQuoteValue(L55,_xll.ohTrigger(RecalcTrigger,YieldCurve))</f>
        <v>#VALUE!</v>
      </c>
      <c r="P55" s="215" t="e">
        <v>#N/A</v>
      </c>
      <c r="Q55" s="212" t="e">
        <f>_xll.qlSwapIndex(,"Euribor",P55,NDays,Currency,Calendar,"1Y","mf",BondBasisDayCounter,IborIndex,Discounting,,_xll.ohTrigger(Trigger,RecalcTrigger))</f>
        <v>#VALUE!</v>
      </c>
      <c r="R55" s="213" t="e">
        <f>_xll.qlIndexFixing(Q55,$W$19,TRUE,Trigger)</f>
        <v>#VALUE!</v>
      </c>
      <c r="S55" s="214" t="e">
        <f t="shared" si="9"/>
        <v>#VALUE!</v>
      </c>
      <c r="T55" s="216"/>
      <c r="V55" s="202" t="str">
        <f t="shared" si="8"/>
        <v>1D</v>
      </c>
      <c r="W55" s="200">
        <f>_xll.qlCalendarAdvance(Calendar,W54,V55,"f",FALSE)</f>
        <v>41936</v>
      </c>
      <c r="X55" s="203">
        <f>_xll.qlCalendarAdvance(Calendar,W55,NDays&amp;"D")</f>
        <v>41940</v>
      </c>
      <c r="Y55" s="204">
        <v>-1.3362058906308779E-4</v>
      </c>
      <c r="Z55" s="201">
        <v>-2.6813714748552542E-4</v>
      </c>
    </row>
    <row r="56" spans="12:26" x14ac:dyDescent="0.2">
      <c r="L56" s="202" t="e">
        <v>#N/A</v>
      </c>
      <c r="M56" s="202" t="e">
        <f>_xll.qlRateHelperQuoteName(L56)</f>
        <v>#VALUE!</v>
      </c>
      <c r="N56" s="200" t="e">
        <f>_xll.qlRateHelperLatestDate(L56,Trigger)</f>
        <v>#VALUE!</v>
      </c>
      <c r="O56" s="210" t="e">
        <f>_xll.qlRateHelperQuoteValue(L56,_xll.ohTrigger(RecalcTrigger,YieldCurve))</f>
        <v>#VALUE!</v>
      </c>
      <c r="P56" s="212" t="e">
        <v>#N/A</v>
      </c>
      <c r="Q56" s="212" t="e">
        <f>_xll.qlSwapIndex(,"Euribor",P56,NDays,Currency,Calendar,"1Y","mf",BondBasisDayCounter,IborIndex,Discounting,,_xll.ohTrigger(Trigger,RecalcTrigger))</f>
        <v>#VALUE!</v>
      </c>
      <c r="R56" s="213" t="e">
        <f>_xll.qlIndexFixing(Q56,$W$19,TRUE,Trigger)</f>
        <v>#VALUE!</v>
      </c>
      <c r="S56" s="214" t="e">
        <f t="shared" si="9"/>
        <v>#VALUE!</v>
      </c>
      <c r="V56" s="202" t="str">
        <f t="shared" si="8"/>
        <v>1D</v>
      </c>
      <c r="W56" s="200">
        <f>_xll.qlCalendarAdvance(Calendar,W55,V56,"f",FALSE)</f>
        <v>41939</v>
      </c>
      <c r="X56" s="203">
        <f>_xll.qlCalendarAdvance(Calendar,W56,NDays&amp;"D")</f>
        <v>41941</v>
      </c>
      <c r="Y56" s="204">
        <v>-1.2913679996806593E-4</v>
      </c>
      <c r="Z56" s="201">
        <v>-2.7089876282193615E-4</v>
      </c>
    </row>
    <row r="57" spans="12:26" x14ac:dyDescent="0.2">
      <c r="L57" s="202" t="e">
        <v>#N/A</v>
      </c>
      <c r="M57" s="202" t="e">
        <f>_xll.qlRateHelperQuoteName(L57)</f>
        <v>#VALUE!</v>
      </c>
      <c r="N57" s="200" t="e">
        <f>_xll.qlRateHelperLatestDate(L57,Trigger)</f>
        <v>#VALUE!</v>
      </c>
      <c r="O57" s="210" t="e">
        <f>_xll.qlRateHelperQuoteValue(L57,_xll.ohTrigger(RecalcTrigger,YieldCurve))</f>
        <v>#VALUE!</v>
      </c>
      <c r="P57" s="212" t="e">
        <v>#N/A</v>
      </c>
      <c r="Q57" s="212" t="e">
        <f>_xll.qlSwapIndex(,"Euribor",P57,NDays,Currency,Calendar,"1Y","mf",BondBasisDayCounter,IborIndex,Discounting,,_xll.ohTrigger(Trigger,RecalcTrigger))</f>
        <v>#VALUE!</v>
      </c>
      <c r="R57" s="213" t="e">
        <f>_xll.qlIndexFixing(Q57,$W$19,TRUE,Trigger)</f>
        <v>#VALUE!</v>
      </c>
      <c r="S57" s="214" t="e">
        <f t="shared" si="9"/>
        <v>#VALUE!</v>
      </c>
      <c r="V57" s="202" t="str">
        <f t="shared" si="8"/>
        <v>1D</v>
      </c>
      <c r="W57" s="200">
        <f>_xll.qlCalendarAdvance(Calendar,W56,V57,"f",FALSE)</f>
        <v>41940</v>
      </c>
      <c r="X57" s="203">
        <f>_xll.qlCalendarAdvance(Calendar,W57,NDays&amp;"D")</f>
        <v>41942</v>
      </c>
      <c r="Y57" s="204">
        <v>-1.2424854991762598E-4</v>
      </c>
      <c r="Z57" s="201">
        <v>-2.7111647203259537E-4</v>
      </c>
    </row>
    <row r="58" spans="12:26" x14ac:dyDescent="0.2">
      <c r="L58" s="202" t="e">
        <v>#N/A</v>
      </c>
      <c r="M58" s="202" t="e">
        <f>_xll.qlRateHelperQuoteName(L58)</f>
        <v>#VALUE!</v>
      </c>
      <c r="N58" s="200" t="e">
        <f>_xll.qlRateHelperLatestDate(L58,Trigger)</f>
        <v>#VALUE!</v>
      </c>
      <c r="O58" s="210" t="e">
        <f>_xll.qlRateHelperQuoteValue(L58,_xll.ohTrigger(RecalcTrigger,YieldCurve))</f>
        <v>#VALUE!</v>
      </c>
      <c r="P58" s="212" t="e">
        <v>#N/A</v>
      </c>
      <c r="Q58" s="212" t="e">
        <f>_xll.qlSwapIndex(,"Euribor",P58,NDays,Currency,Calendar,"1Y","mf",BondBasisDayCounter,IborIndex,Discounting,,_xll.ohTrigger(Trigger,RecalcTrigger))</f>
        <v>#VALUE!</v>
      </c>
      <c r="R58" s="213" t="e">
        <f>_xll.qlIndexFixing(Q58,$W$19,TRUE,Trigger)</f>
        <v>#VALUE!</v>
      </c>
      <c r="S58" s="214" t="e">
        <f t="shared" si="9"/>
        <v>#VALUE!</v>
      </c>
      <c r="V58" s="202" t="str">
        <f t="shared" si="8"/>
        <v>1D</v>
      </c>
      <c r="W58" s="200">
        <f>_xll.qlCalendarAdvance(Calendar,W57,V58,"f",FALSE)</f>
        <v>41941</v>
      </c>
      <c r="X58" s="203">
        <f>_xll.qlCalendarAdvance(Calendar,W58,NDays&amp;"D")</f>
        <v>41943</v>
      </c>
      <c r="Y58" s="204">
        <v>-1.1900335660611612E-4</v>
      </c>
      <c r="Z58" s="201">
        <v>-2.6307201158815019E-4</v>
      </c>
    </row>
    <row r="59" spans="12:26" x14ac:dyDescent="0.2">
      <c r="L59" s="202" t="e">
        <v>#N/A</v>
      </c>
      <c r="M59" s="202" t="e">
        <f>_xll.qlRateHelperQuoteName(L59)</f>
        <v>#VALUE!</v>
      </c>
      <c r="N59" s="200" t="e">
        <f>_xll.qlRateHelperLatestDate(L59,Trigger)</f>
        <v>#VALUE!</v>
      </c>
      <c r="O59" s="210" t="e">
        <f>_xll.qlRateHelperQuoteValue(L59,_xll.ohTrigger(RecalcTrigger,YieldCurve))</f>
        <v>#VALUE!</v>
      </c>
      <c r="P59" s="212" t="e">
        <v>#N/A</v>
      </c>
      <c r="Q59" s="212" t="e">
        <f>_xll.qlSwapIndex(,"Euribor",P59,NDays,Currency,Calendar,"1Y","mf",BondBasisDayCounter,IborIndex,Discounting,,_xll.ohTrigger(Trigger,RecalcTrigger))</f>
        <v>#VALUE!</v>
      </c>
      <c r="R59" s="213" t="e">
        <f>_xll.qlIndexFixing(Q59,$W$19,TRUE,Trigger)</f>
        <v>#VALUE!</v>
      </c>
      <c r="S59" s="214" t="e">
        <f t="shared" si="9"/>
        <v>#VALUE!</v>
      </c>
      <c r="V59" s="202" t="str">
        <f t="shared" si="8"/>
        <v>1D</v>
      </c>
      <c r="W59" s="200">
        <f>_xll.qlCalendarAdvance(Calendar,W58,V59,"f",FALSE)</f>
        <v>41942</v>
      </c>
      <c r="X59" s="203">
        <f>_xll.qlCalendarAdvance(Calendar,W59,NDays&amp;"D")</f>
        <v>41946</v>
      </c>
      <c r="Y59" s="204">
        <v>-8.5635527810268286E-5</v>
      </c>
      <c r="Z59" s="201">
        <v>-2.465482482971737E-4</v>
      </c>
    </row>
    <row r="60" spans="12:26" x14ac:dyDescent="0.2">
      <c r="L60" s="202" t="e">
        <v>#N/A</v>
      </c>
      <c r="M60" s="202" t="e">
        <f>_xll.qlRateHelperQuoteName(L60)</f>
        <v>#VALUE!</v>
      </c>
      <c r="N60" s="200" t="e">
        <f>_xll.qlRateHelperLatestDate(L60,Trigger)</f>
        <v>#VALUE!</v>
      </c>
      <c r="O60" s="210" t="e">
        <f>_xll.qlRateHelperQuoteValue(L60,_xll.ohTrigger(RecalcTrigger,YieldCurve))</f>
        <v>#VALUE!</v>
      </c>
      <c r="P60" s="212" t="e">
        <v>#N/A</v>
      </c>
      <c r="Q60" s="212" t="e">
        <f>_xll.qlSwapIndex(,"Euribor",P60,NDays,Currency,Calendar,"1Y","mf",BondBasisDayCounter,IborIndex,Discounting,,_xll.ohTrigger(Trigger,RecalcTrigger))</f>
        <v>#VALUE!</v>
      </c>
      <c r="R60" s="213" t="e">
        <f>_xll.qlIndexFixing(Q60,$W$19,TRUE,Trigger)</f>
        <v>#VALUE!</v>
      </c>
      <c r="S60" s="214" t="e">
        <f t="shared" si="9"/>
        <v>#VALUE!</v>
      </c>
      <c r="V60" s="202" t="str">
        <f t="shared" si="8"/>
        <v>1D</v>
      </c>
      <c r="W60" s="200">
        <f>_xll.qlCalendarAdvance(Calendar,W59,V60,"f",FALSE)</f>
        <v>41943</v>
      </c>
      <c r="X60" s="203">
        <f>_xll.qlCalendarAdvance(Calendar,W60,NDays&amp;"D")</f>
        <v>41947</v>
      </c>
      <c r="Y60" s="204">
        <v>-7.7168887758549687E-5</v>
      </c>
      <c r="Z60" s="201">
        <v>-2.3404642647939511E-4</v>
      </c>
    </row>
    <row r="61" spans="12:26" x14ac:dyDescent="0.2">
      <c r="L61" s="202" t="e">
        <v>#N/A</v>
      </c>
      <c r="M61" s="202" t="e">
        <f>_xll.qlRateHelperQuoteName(L61)</f>
        <v>#VALUE!</v>
      </c>
      <c r="N61" s="200" t="e">
        <f>_xll.qlRateHelperLatestDate(L61,Trigger)</f>
        <v>#VALUE!</v>
      </c>
      <c r="O61" s="210" t="e">
        <f>_xll.qlRateHelperQuoteValue(L61,_xll.ohTrigger(RecalcTrigger,YieldCurve))</f>
        <v>#VALUE!</v>
      </c>
      <c r="P61" s="212" t="e">
        <v>#N/A</v>
      </c>
      <c r="Q61" s="212" t="e">
        <f>_xll.qlSwapIndex(,"Euribor",P61,NDays,Currency,Calendar,"1Y","mf",BondBasisDayCounter,IborIndex,Discounting,,_xll.ohTrigger(Trigger,RecalcTrigger))</f>
        <v>#VALUE!</v>
      </c>
      <c r="R61" s="213" t="e">
        <f>_xll.qlIndexFixing(Q61,$W$19,TRUE,Trigger)</f>
        <v>#VALUE!</v>
      </c>
      <c r="S61" s="214" t="e">
        <f t="shared" si="9"/>
        <v>#VALUE!</v>
      </c>
      <c r="V61" s="202" t="str">
        <f t="shared" si="8"/>
        <v>1D</v>
      </c>
      <c r="W61" s="200">
        <f>_xll.qlCalendarAdvance(Calendar,W60,V61,"f",FALSE)</f>
        <v>41946</v>
      </c>
      <c r="X61" s="203">
        <f>_xll.qlCalendarAdvance(Calendar,W61,NDays&amp;"D")</f>
        <v>41948</v>
      </c>
      <c r="Y61" s="204">
        <v>-6.8987316141022603E-5</v>
      </c>
      <c r="Z61" s="201">
        <v>-2.1900069789637655E-4</v>
      </c>
    </row>
    <row r="62" spans="12:26" x14ac:dyDescent="0.2">
      <c r="L62" s="202" t="e">
        <v>#N/A</v>
      </c>
      <c r="M62" s="202" t="e">
        <f>_xll.qlRateHelperQuoteName(L62)</f>
        <v>#VALUE!</v>
      </c>
      <c r="N62" s="200" t="e">
        <f>_xll.qlRateHelperLatestDate(L62,Trigger)</f>
        <v>#VALUE!</v>
      </c>
      <c r="O62" s="210" t="e">
        <f>_xll.qlRateHelperQuoteValue(L62,_xll.ohTrigger(RecalcTrigger,YieldCurve))</f>
        <v>#VALUE!</v>
      </c>
      <c r="P62" s="212" t="e">
        <v>#N/A</v>
      </c>
      <c r="Q62" s="212" t="e">
        <f>_xll.qlSwapIndex(,"Euribor",P62,NDays,Currency,Calendar,"1Y","mf",BondBasisDayCounter,IborIndex,Discounting,,_xll.ohTrigger(Trigger,RecalcTrigger))</f>
        <v>#VALUE!</v>
      </c>
      <c r="R62" s="213" t="e">
        <f>_xll.qlIndexFixing(Q62,$W$19,TRUE,Trigger)</f>
        <v>#VALUE!</v>
      </c>
      <c r="S62" s="214" t="e">
        <f t="shared" si="9"/>
        <v>#VALUE!</v>
      </c>
      <c r="V62" s="202" t="str">
        <f t="shared" si="8"/>
        <v>1D</v>
      </c>
      <c r="W62" s="200">
        <f>_xll.qlCalendarAdvance(Calendar,W61,V62,"f",FALSE)</f>
        <v>41947</v>
      </c>
      <c r="X62" s="203">
        <f>_xll.qlCalendarAdvance(Calendar,W62,NDays&amp;"D")</f>
        <v>41949</v>
      </c>
      <c r="Y62" s="204">
        <v>-5.6059909961658771E-5</v>
      </c>
      <c r="Z62" s="201">
        <v>-2.0141106214843774E-4</v>
      </c>
    </row>
    <row r="63" spans="12:26" x14ac:dyDescent="0.2">
      <c r="L63" s="202" t="e">
        <v>#N/A</v>
      </c>
      <c r="M63" s="202" t="e">
        <f>_xll.qlRateHelperQuoteName(L63)</f>
        <v>#VALUE!</v>
      </c>
      <c r="N63" s="200" t="e">
        <f>_xll.qlRateHelperLatestDate(L63,Trigger)</f>
        <v>#VALUE!</v>
      </c>
      <c r="O63" s="210" t="e">
        <f>_xll.qlRateHelperQuoteValue(L63,_xll.ohTrigger(RecalcTrigger,YieldCurve))</f>
        <v>#VALUE!</v>
      </c>
      <c r="P63" s="212" t="e">
        <v>#N/A</v>
      </c>
      <c r="Q63" s="212" t="e">
        <f>_xll.qlSwapIndex(,"Euribor",P63,NDays,Currency,Calendar,"1Y","mf",BondBasisDayCounter,IborIndex,Discounting,,_xll.ohTrigger(Trigger,RecalcTrigger))</f>
        <v>#VALUE!</v>
      </c>
      <c r="R63" s="213" t="e">
        <f>_xll.qlIndexFixing(Q63,$W$19,TRUE,Trigger)</f>
        <v>#VALUE!</v>
      </c>
      <c r="S63" s="214" t="e">
        <f t="shared" si="9"/>
        <v>#VALUE!</v>
      </c>
      <c r="V63" s="202" t="str">
        <f t="shared" si="8"/>
        <v>1D</v>
      </c>
      <c r="W63" s="200">
        <f>_xll.qlCalendarAdvance(Calendar,W62,V63,"f",FALSE)</f>
        <v>41948</v>
      </c>
      <c r="X63" s="203">
        <f>_xll.qlCalendarAdvance(Calendar,W63,NDays&amp;"D")</f>
        <v>41950</v>
      </c>
      <c r="Y63" s="204">
        <v>-5.1371191856515321E-5</v>
      </c>
      <c r="Z63" s="201">
        <v>-1.5775202978574043E-4</v>
      </c>
    </row>
    <row r="64" spans="12:26" x14ac:dyDescent="0.2">
      <c r="L64" s="202" t="e">
        <v>#N/A</v>
      </c>
      <c r="M64" s="202" t="e">
        <f>_xll.qlRateHelperQuoteName(L64)</f>
        <v>#VALUE!</v>
      </c>
      <c r="N64" s="200" t="e">
        <f>_xll.qlRateHelperLatestDate(L64,Trigger)</f>
        <v>#VALUE!</v>
      </c>
      <c r="O64" s="210" t="e">
        <f>_xll.qlRateHelperQuoteValue(L64,_xll.ohTrigger(RecalcTrigger,YieldCurve))</f>
        <v>#VALUE!</v>
      </c>
      <c r="P64" s="212" t="e">
        <v>#N/A</v>
      </c>
      <c r="Q64" s="212" t="e">
        <f>_xll.qlSwapIndex(,"Euribor",P64,NDays,Currency,Calendar,"1Y","mf",BondBasisDayCounter,IborIndex,Discounting,,_xll.ohTrigger(Trigger,RecalcTrigger))</f>
        <v>#VALUE!</v>
      </c>
      <c r="R64" s="213" t="e">
        <f>_xll.qlIndexFixing(Q64,$W$19,TRUE,Trigger)</f>
        <v>#VALUE!</v>
      </c>
      <c r="S64" s="214" t="e">
        <f t="shared" si="9"/>
        <v>#VALUE!</v>
      </c>
      <c r="V64" s="202" t="str">
        <f t="shared" si="8"/>
        <v>1D</v>
      </c>
      <c r="W64" s="200">
        <f>_xll.qlCalendarAdvance(Calendar,W63,V64,"f",FALSE)</f>
        <v>41949</v>
      </c>
      <c r="X64" s="203">
        <f>_xll.qlCalendarAdvance(Calendar,W64,NDays&amp;"D")</f>
        <v>41953</v>
      </c>
      <c r="Y64" s="204">
        <v>-3.5134462812447254E-5</v>
      </c>
      <c r="Z64" s="201">
        <v>-1.1652453438149024E-4</v>
      </c>
    </row>
    <row r="65" spans="12:26" x14ac:dyDescent="0.2">
      <c r="L65" s="202" t="e">
        <v>#N/A</v>
      </c>
      <c r="M65" s="202" t="e">
        <f>_xll.qlRateHelperQuoteName(L65)</f>
        <v>#VALUE!</v>
      </c>
      <c r="N65" s="200" t="e">
        <f>_xll.qlRateHelperLatestDate(L65,Trigger)</f>
        <v>#VALUE!</v>
      </c>
      <c r="O65" s="210" t="e">
        <f>_xll.qlRateHelperQuoteValue(L65,_xll.ohTrigger(RecalcTrigger,YieldCurve))</f>
        <v>#VALUE!</v>
      </c>
      <c r="P65" s="212" t="e">
        <v>#N/A</v>
      </c>
      <c r="Q65" s="212" t="e">
        <f>_xll.qlSwapIndex(,"Euribor",P65,NDays,Currency,Calendar,"1Y","mf",BondBasisDayCounter,IborIndex,Discounting,,_xll.ohTrigger(Trigger,RecalcTrigger))</f>
        <v>#VALUE!</v>
      </c>
      <c r="R65" s="213" t="e">
        <f>_xll.qlIndexFixing(Q65,$W$19,TRUE,Trigger)</f>
        <v>#VALUE!</v>
      </c>
      <c r="S65" s="214" t="e">
        <f t="shared" si="9"/>
        <v>#VALUE!</v>
      </c>
      <c r="V65" s="202" t="str">
        <f t="shared" si="8"/>
        <v>1D</v>
      </c>
      <c r="W65" s="200">
        <f>_xll.qlCalendarAdvance(Calendar,W64,V65,"f",FALSE)</f>
        <v>41950</v>
      </c>
      <c r="X65" s="203">
        <f>_xll.qlCalendarAdvance(Calendar,W65,NDays&amp;"D")</f>
        <v>41954</v>
      </c>
      <c r="Y65" s="204">
        <v>-2.9777835257593921E-5</v>
      </c>
      <c r="Z65" s="201">
        <v>-1.0981352747130302E-4</v>
      </c>
    </row>
    <row r="66" spans="12:26" x14ac:dyDescent="0.2">
      <c r="L66" s="202" t="e">
        <v>#N/A</v>
      </c>
      <c r="M66" s="202" t="e">
        <f>_xll.qlRateHelperQuoteName(L66)</f>
        <v>#VALUE!</v>
      </c>
      <c r="N66" s="200" t="e">
        <f>_xll.qlRateHelperLatestDate(L66,Trigger)</f>
        <v>#VALUE!</v>
      </c>
      <c r="O66" s="210" t="e">
        <f>_xll.qlRateHelperQuoteValue(L66,_xll.ohTrigger(RecalcTrigger,YieldCurve))</f>
        <v>#VALUE!</v>
      </c>
      <c r="P66" s="212" t="e">
        <v>#N/A</v>
      </c>
      <c r="Q66" s="212" t="e">
        <f>_xll.qlSwapIndex(,"Euribor",P66,NDays,Currency,Calendar,"1Y","mf",BondBasisDayCounter,IborIndex,Discounting,,_xll.ohTrigger(Trigger,RecalcTrigger))</f>
        <v>#VALUE!</v>
      </c>
      <c r="R66" s="213" t="e">
        <f>_xll.qlIndexFixing(Q66,$W$19,TRUE,Trigger)</f>
        <v>#VALUE!</v>
      </c>
      <c r="S66" s="214" t="e">
        <f t="shared" si="9"/>
        <v>#VALUE!</v>
      </c>
      <c r="V66" s="202" t="str">
        <f t="shared" si="8"/>
        <v>1D</v>
      </c>
      <c r="W66" s="200">
        <f>_xll.qlCalendarAdvance(Calendar,W65,V66,"f",FALSE)</f>
        <v>41953</v>
      </c>
      <c r="X66" s="203">
        <f>_xll.qlCalendarAdvance(Calendar,W66,NDays&amp;"D")</f>
        <v>41955</v>
      </c>
      <c r="Y66" s="204">
        <v>-2.4415185847725951E-5</v>
      </c>
      <c r="Z66" s="201">
        <v>-1.0322258392037043E-4</v>
      </c>
    </row>
    <row r="67" spans="12:26" x14ac:dyDescent="0.2">
      <c r="L67" s="202" t="e">
        <v>#N/A</v>
      </c>
      <c r="M67" s="202" t="e">
        <f>_xll.qlRateHelperQuoteName(L67)</f>
        <v>#VALUE!</v>
      </c>
      <c r="N67" s="200" t="e">
        <f>_xll.qlRateHelperLatestDate(L67,Trigger)</f>
        <v>#VALUE!</v>
      </c>
      <c r="O67" s="210" t="e">
        <f>_xll.qlRateHelperQuoteValue(L67,_xll.ohTrigger(RecalcTrigger,YieldCurve))</f>
        <v>#VALUE!</v>
      </c>
      <c r="P67" s="212" t="e">
        <v>#N/A</v>
      </c>
      <c r="Q67" s="212" t="e">
        <f>_xll.qlSwapIndex(,"Euribor",P67,NDays,Currency,Calendar,"1Y","mf",BondBasisDayCounter,IborIndex,Discounting,,_xll.ohTrigger(Trigger,RecalcTrigger))</f>
        <v>#VALUE!</v>
      </c>
      <c r="R67" s="213" t="e">
        <f>_xll.qlIndexFixing(Q67,$W$19,TRUE,Trigger)</f>
        <v>#VALUE!</v>
      </c>
      <c r="S67" s="214" t="e">
        <f t="shared" si="9"/>
        <v>#VALUE!</v>
      </c>
      <c r="V67" s="202" t="str">
        <f t="shared" si="8"/>
        <v>1D</v>
      </c>
      <c r="W67" s="200">
        <f>_xll.qlCalendarAdvance(Calendar,W66,V67,"f",FALSE)</f>
        <v>41954</v>
      </c>
      <c r="X67" s="203">
        <f>_xll.qlCalendarAdvance(Calendar,W67,NDays&amp;"D")</f>
        <v>41956</v>
      </c>
      <c r="Y67" s="204">
        <v>-1.3775780448865849E-5</v>
      </c>
      <c r="Z67" s="201">
        <v>-9.6751703768660491E-5</v>
      </c>
    </row>
    <row r="68" spans="12:26" ht="12" thickBot="1" x14ac:dyDescent="0.25">
      <c r="L68" s="220" t="e">
        <v>#N/A</v>
      </c>
      <c r="M68" s="220" t="e">
        <f>_xll.qlRateHelperQuoteName(L68)</f>
        <v>#VALUE!</v>
      </c>
      <c r="N68" s="207" t="e">
        <f>_xll.qlRateHelperLatestDate(L68,Trigger)</f>
        <v>#VALUE!</v>
      </c>
      <c r="O68" s="221" t="e">
        <f>_xll.qlRateHelperQuoteValue(L68,_xll.ohTrigger(RecalcTrigger,YieldCurve))</f>
        <v>#VALUE!</v>
      </c>
      <c r="P68" s="223" t="e">
        <v>#N/A</v>
      </c>
      <c r="Q68" s="212" t="e">
        <f>_xll.qlSwapIndex(,"Euribor",P68,NDays,Currency,Calendar,"1Y","mf",BondBasisDayCounter,IborIndex,Discounting,,_xll.ohTrigger(Trigger,RecalcTrigger))</f>
        <v>#VALUE!</v>
      </c>
      <c r="R68" s="224" t="e">
        <f>_xll.qlIndexFixing(Q68,$W$19,TRUE,Trigger)</f>
        <v>#VALUE!</v>
      </c>
      <c r="S68" s="225" t="e">
        <f t="shared" si="9"/>
        <v>#VALUE!</v>
      </c>
      <c r="V68" s="202" t="str">
        <f t="shared" si="8"/>
        <v>1D</v>
      </c>
      <c r="W68" s="200">
        <f>_xll.qlCalendarAdvance(Calendar,W67,V68,"f",FALSE)</f>
        <v>41955</v>
      </c>
      <c r="X68" s="203">
        <f>_xll.qlCalendarAdvance(Calendar,W68,NDays&amp;"D")</f>
        <v>41957</v>
      </c>
      <c r="Y68" s="204">
        <v>-1.10991407445505E-5</v>
      </c>
      <c r="Z68" s="201">
        <v>-8.4210134772000345E-5</v>
      </c>
    </row>
    <row r="69" spans="12:26" x14ac:dyDescent="0.2">
      <c r="V69" s="202" t="str">
        <f t="shared" si="8"/>
        <v>1D</v>
      </c>
      <c r="W69" s="200">
        <f>_xll.qlCalendarAdvance(Calendar,W68,V69,"f",FALSE)</f>
        <v>41956</v>
      </c>
      <c r="X69" s="203">
        <f>_xll.qlCalendarAdvance(Calendar,W69,NDays&amp;"D")</f>
        <v>41960</v>
      </c>
      <c r="Y69" s="204">
        <v>1.9121315677494977E-6</v>
      </c>
      <c r="Z69" s="201">
        <v>-7.2068816314718731E-5</v>
      </c>
    </row>
    <row r="70" spans="12:26" x14ac:dyDescent="0.2">
      <c r="V70" s="202" t="str">
        <f t="shared" si="8"/>
        <v>1D</v>
      </c>
      <c r="W70" s="200">
        <f>_xll.qlCalendarAdvance(Calendar,W69,V70,"f",FALSE)</f>
        <v>41957</v>
      </c>
      <c r="X70" s="203">
        <f>_xll.qlCalendarAdvance(Calendar,W70,NDays&amp;"D")</f>
        <v>41961</v>
      </c>
      <c r="Y70" s="204">
        <v>6.9651572323081723E-6</v>
      </c>
      <c r="Z70" s="201">
        <v>-6.6198252839377858E-5</v>
      </c>
    </row>
    <row r="71" spans="12:26" x14ac:dyDescent="0.2">
      <c r="V71" s="202" t="str">
        <f t="shared" si="8"/>
        <v>1D</v>
      </c>
      <c r="W71" s="200">
        <f>_xll.qlCalendarAdvance(Calendar,W70,V71,"f",FALSE)</f>
        <v>41960</v>
      </c>
      <c r="X71" s="203">
        <f>_xll.qlCalendarAdvance(Calendar,W71,NDays&amp;"D")</f>
        <v>41962</v>
      </c>
      <c r="Y71" s="204">
        <v>1.1908952866512834E-5</v>
      </c>
      <c r="Z71" s="201">
        <v>-6.0447752803227672E-5</v>
      </c>
    </row>
    <row r="72" spans="12:26" x14ac:dyDescent="0.2">
      <c r="V72" s="202" t="str">
        <f t="shared" si="8"/>
        <v>1D</v>
      </c>
      <c r="W72" s="200">
        <f>_xll.qlCalendarAdvance(Calendar,W71,V72,"f",FALSE)</f>
        <v>41961</v>
      </c>
      <c r="X72" s="203">
        <f>_xll.qlCalendarAdvance(Calendar,W72,NDays&amp;"D")</f>
        <v>41963</v>
      </c>
      <c r="Y72" s="204">
        <v>2.1046403420044157E-5</v>
      </c>
      <c r="Z72" s="201">
        <v>-5.481731600642803E-5</v>
      </c>
    </row>
    <row r="73" spans="12:26" x14ac:dyDescent="0.2">
      <c r="V73" s="202" t="str">
        <f t="shared" si="8"/>
        <v>1D</v>
      </c>
      <c r="W73" s="200">
        <f>_xll.qlCalendarAdvance(Calendar,W72,V73,"f",FALSE)</f>
        <v>41962</v>
      </c>
      <c r="X73" s="203">
        <f>_xll.qlCalendarAdvance(Calendar,W73,NDays&amp;"D")</f>
        <v>41964</v>
      </c>
      <c r="Y73" s="204">
        <v>2.349362375352004E-5</v>
      </c>
      <c r="Z73" s="201">
        <v>-4.3956648521081831E-5</v>
      </c>
    </row>
    <row r="74" spans="12:26" x14ac:dyDescent="0.2">
      <c r="V74" s="202" t="str">
        <f t="shared" si="8"/>
        <v>1D</v>
      </c>
      <c r="W74" s="200">
        <f>_xll.qlCalendarAdvance(Calendar,W73,V74,"f",FALSE)</f>
        <v>41963</v>
      </c>
      <c r="X74" s="203">
        <f>_xll.qlCalendarAdvance(Calendar,W74,NDays&amp;"D")</f>
        <v>41967</v>
      </c>
      <c r="Y74" s="204">
        <v>3.4413216652318113E-5</v>
      </c>
      <c r="Z74" s="201">
        <v>-3.3496202971328159E-5</v>
      </c>
    </row>
    <row r="75" spans="12:26" x14ac:dyDescent="0.2">
      <c r="V75" s="202" t="str">
        <f t="shared" si="8"/>
        <v>1D</v>
      </c>
      <c r="W75" s="200">
        <f>_xll.qlCalendarAdvance(Calendar,W74,V75,"f",FALSE)</f>
        <v>41964</v>
      </c>
      <c r="X75" s="203">
        <f>_xll.qlCalendarAdvance(Calendar,W75,NDays&amp;"D")</f>
        <v>41968</v>
      </c>
      <c r="Y75" s="204">
        <v>4.31360606551892E-5</v>
      </c>
      <c r="Z75" s="201">
        <v>-2.8466083210609838E-5</v>
      </c>
    </row>
    <row r="76" spans="12:26" x14ac:dyDescent="0.2">
      <c r="V76" s="202" t="str">
        <f t="shared" si="8"/>
        <v>1D</v>
      </c>
      <c r="W76" s="200">
        <f>_xll.qlCalendarAdvance(Calendar,W75,V76,"f",FALSE)</f>
        <v>41967</v>
      </c>
      <c r="X76" s="203">
        <f>_xll.qlCalendarAdvance(Calendar,W76,NDays&amp;"D")</f>
        <v>41969</v>
      </c>
      <c r="Y76" s="204">
        <v>4.5305826174316365E-5</v>
      </c>
      <c r="Z76" s="201">
        <v>-2.3556026849114176E-5</v>
      </c>
    </row>
    <row r="77" spans="12:26" x14ac:dyDescent="0.2">
      <c r="V77" s="202" t="str">
        <f t="shared" si="8"/>
        <v>1D</v>
      </c>
      <c r="W77" s="200">
        <f>_xll.qlCalendarAdvance(Calendar,W76,V77,"f",FALSE)</f>
        <v>41968</v>
      </c>
      <c r="X77" s="203">
        <f>_xll.qlCalendarAdvance(Calendar,W77,NDays&amp;"D")</f>
        <v>41970</v>
      </c>
      <c r="Y77" s="204">
        <v>4.745776218506581E-5</v>
      </c>
      <c r="Z77" s="201">
        <v>-1.8766033886841171E-5</v>
      </c>
    </row>
    <row r="78" spans="12:26" x14ac:dyDescent="0.2">
      <c r="V78" s="202" t="str">
        <f t="shared" si="8"/>
        <v>1D</v>
      </c>
      <c r="W78" s="200">
        <f>_xll.qlCalendarAdvance(Calendar,W77,V78,"f",FALSE)</f>
        <v>41969</v>
      </c>
      <c r="X78" s="203">
        <f>_xll.qlCalendarAdvance(Calendar,W78,NDays&amp;"D")</f>
        <v>41971</v>
      </c>
      <c r="Y78" s="204">
        <v>5.0693429347603576E-5</v>
      </c>
      <c r="Z78" s="201">
        <v>-9.5862591464879188E-6</v>
      </c>
    </row>
    <row r="79" spans="12:26" x14ac:dyDescent="0.2">
      <c r="V79" s="202" t="str">
        <f t="shared" si="8"/>
        <v>1D</v>
      </c>
      <c r="W79" s="200">
        <f>_xll.qlCalendarAdvance(Calendar,W78,V79,"f",FALSE)</f>
        <v>41970</v>
      </c>
      <c r="X79" s="203">
        <f>_xll.qlCalendarAdvance(Calendar,W79,NDays&amp;"D")</f>
        <v>41974</v>
      </c>
      <c r="Y79" s="204">
        <v>5.6736162008519386E-5</v>
      </c>
      <c r="Z79" s="201">
        <v>-8.0669630975194195E-7</v>
      </c>
    </row>
    <row r="80" spans="12:26" x14ac:dyDescent="0.2">
      <c r="V80" s="202" t="str">
        <f t="shared" si="8"/>
        <v>1D</v>
      </c>
      <c r="W80" s="200">
        <f>_xll.qlCalendarAdvance(Calendar,W79,V80,"f",FALSE)</f>
        <v>41971</v>
      </c>
      <c r="X80" s="203">
        <f>_xll.qlCalendarAdvance(Calendar,W80,NDays&amp;"D")</f>
        <v>41975</v>
      </c>
      <c r="Y80" s="204">
        <v>5.859238337610036E-5</v>
      </c>
      <c r="Z80" s="201">
        <v>3.3829795764717119E-6</v>
      </c>
    </row>
    <row r="81" spans="22:26" x14ac:dyDescent="0.2">
      <c r="V81" s="202" t="str">
        <f t="shared" si="8"/>
        <v>1D</v>
      </c>
      <c r="W81" s="200">
        <f>_xll.qlCalendarAdvance(Calendar,W80,V81,"f",FALSE)</f>
        <v>41974</v>
      </c>
      <c r="X81" s="203">
        <f>_xll.qlCalendarAdvance(Calendar,W81,NDays&amp;"D")</f>
        <v>41976</v>
      </c>
      <c r="Y81" s="204">
        <v>5.8566530749941272E-5</v>
      </c>
      <c r="Z81" s="201">
        <v>7.4525919036005916E-6</v>
      </c>
    </row>
    <row r="82" spans="22:26" x14ac:dyDescent="0.2">
      <c r="V82" s="202" t="str">
        <f t="shared" si="8"/>
        <v>1D</v>
      </c>
      <c r="W82" s="200">
        <f>_xll.qlCalendarAdvance(Calendar,W81,V82,"f",FALSE)</f>
        <v>41975</v>
      </c>
      <c r="X82" s="203">
        <f>_xll.qlCalendarAdvance(Calendar,W82,NDays&amp;"D")</f>
        <v>41977</v>
      </c>
      <c r="Y82" s="204">
        <v>6.0163840092386511E-5</v>
      </c>
      <c r="Z82" s="201">
        <v>1.1402140911442871E-5</v>
      </c>
    </row>
    <row r="83" spans="22:26" x14ac:dyDescent="0.2">
      <c r="V83" s="202" t="str">
        <f t="shared" si="8"/>
        <v>1D</v>
      </c>
      <c r="W83" s="200">
        <f>_xll.qlCalendarAdvance(Calendar,W82,V83,"f",FALSE)</f>
        <v>41976</v>
      </c>
      <c r="X83" s="203">
        <f>_xll.qlCalendarAdvance(Calendar,W83,NDays&amp;"D")</f>
        <v>41978</v>
      </c>
      <c r="Y83" s="204">
        <v>6.173679617591592E-5</v>
      </c>
      <c r="Z83" s="201">
        <v>1.8901028289164401E-5</v>
      </c>
    </row>
    <row r="84" spans="22:26" x14ac:dyDescent="0.2">
      <c r="V84" s="202" t="str">
        <f t="shared" si="8"/>
        <v>1D</v>
      </c>
      <c r="W84" s="200">
        <f>_xll.qlCalendarAdvance(Calendar,W83,V84,"f",FALSE)</f>
        <v>41977</v>
      </c>
      <c r="X84" s="203">
        <f>_xll.qlCalendarAdvance(Calendar,W84,NDays&amp;"D")</f>
        <v>41981</v>
      </c>
      <c r="Y84" s="204">
        <v>6.1313748099346021E-5</v>
      </c>
      <c r="Z84" s="201">
        <v>2.8549526902565958E-5</v>
      </c>
    </row>
    <row r="85" spans="22:26" x14ac:dyDescent="0.2">
      <c r="V85" s="202" t="str">
        <f t="shared" ref="V85:V148" si="10">V84</f>
        <v>1D</v>
      </c>
      <c r="W85" s="200">
        <f>_xll.qlCalendarAdvance(Calendar,W84,V85,"f",FALSE)</f>
        <v>41978</v>
      </c>
      <c r="X85" s="203">
        <f>_xll.qlCalendarAdvance(Calendar,W85,NDays&amp;"D")</f>
        <v>41982</v>
      </c>
      <c r="Y85" s="204">
        <v>6.0366018189311932E-5</v>
      </c>
      <c r="Z85" s="201">
        <v>3.6669118141929857E-5</v>
      </c>
    </row>
    <row r="86" spans="22:26" x14ac:dyDescent="0.2">
      <c r="V86" s="202" t="str">
        <f t="shared" si="10"/>
        <v>1D</v>
      </c>
      <c r="W86" s="200">
        <f>_xll.qlCalendarAdvance(Calendar,W85,V86,"f",FALSE)</f>
        <v>41981</v>
      </c>
      <c r="X86" s="203">
        <f>_xll.qlCalendarAdvance(Calendar,W86,NDays&amp;"D")</f>
        <v>41983</v>
      </c>
      <c r="Y86" s="204">
        <v>5.5151705755046073E-5</v>
      </c>
      <c r="Z86" s="201">
        <v>4.4174710769340209E-5</v>
      </c>
    </row>
    <row r="87" spans="22:26" x14ac:dyDescent="0.2">
      <c r="V87" s="202" t="str">
        <f t="shared" si="10"/>
        <v>1D</v>
      </c>
      <c r="W87" s="200">
        <f>_xll.qlCalendarAdvance(Calendar,W86,V87,"f",FALSE)</f>
        <v>41982</v>
      </c>
      <c r="X87" s="203">
        <f>_xll.qlCalendarAdvance(Calendar,W87,NDays&amp;"D")</f>
        <v>41984</v>
      </c>
      <c r="Y87" s="204">
        <v>5.5494730036298456E-5</v>
      </c>
      <c r="Z87" s="201">
        <v>5.1066304944669128E-5</v>
      </c>
    </row>
    <row r="88" spans="22:26" x14ac:dyDescent="0.2">
      <c r="V88" s="202" t="str">
        <f t="shared" si="10"/>
        <v>1D</v>
      </c>
      <c r="W88" s="200">
        <f>_xll.qlCalendarAdvance(Calendar,W87,V88,"f",FALSE)</f>
        <v>41983</v>
      </c>
      <c r="X88" s="203">
        <f>_xll.qlCalendarAdvance(Calendar,W88,NDays&amp;"D")</f>
        <v>41985</v>
      </c>
      <c r="Y88" s="204">
        <v>5.5637574568146604E-5</v>
      </c>
      <c r="Z88" s="201">
        <v>6.2802842286657778E-5</v>
      </c>
    </row>
    <row r="89" spans="22:26" x14ac:dyDescent="0.2">
      <c r="V89" s="202" t="str">
        <f t="shared" si="10"/>
        <v>1D</v>
      </c>
      <c r="W89" s="200">
        <f>_xll.qlCalendarAdvance(Calendar,W88,V89,"f",FALSE)</f>
        <v>41984</v>
      </c>
      <c r="X89" s="203">
        <f>_xll.qlCalendarAdvance(Calendar,W89,NDays&amp;"D")</f>
        <v>41988</v>
      </c>
      <c r="Y89" s="204">
        <v>4.8309062206026139E-5</v>
      </c>
      <c r="Z89" s="201">
        <v>7.249269568632144E-5</v>
      </c>
    </row>
    <row r="90" spans="22:26" x14ac:dyDescent="0.2">
      <c r="V90" s="202" t="str">
        <f t="shared" si="10"/>
        <v>1D</v>
      </c>
      <c r="W90" s="200">
        <f>_xll.qlCalendarAdvance(Calendar,W89,V90,"f",FALSE)</f>
        <v>41985</v>
      </c>
      <c r="X90" s="203">
        <f>_xll.qlCalendarAdvance(Calendar,W90,NDays&amp;"D")</f>
        <v>41989</v>
      </c>
      <c r="Y90" s="204">
        <v>4.5339056746393399E-5</v>
      </c>
      <c r="Z90" s="201">
        <v>7.6314296721946562E-5</v>
      </c>
    </row>
    <row r="91" spans="22:26" x14ac:dyDescent="0.2">
      <c r="V91" s="202" t="str">
        <f t="shared" si="10"/>
        <v>1D</v>
      </c>
      <c r="W91" s="200">
        <f>_xll.qlCalendarAdvance(Calendar,W90,V91,"f",FALSE)</f>
        <v>41988</v>
      </c>
      <c r="X91" s="203">
        <f>_xll.qlCalendarAdvance(Calendar,W91,NDays&amp;"D")</f>
        <v>41990</v>
      </c>
      <c r="Y91" s="204">
        <v>3.7776353679125861E-5</v>
      </c>
      <c r="Z91" s="201">
        <v>7.9521899145618136E-5</v>
      </c>
    </row>
    <row r="92" spans="22:26" x14ac:dyDescent="0.2">
      <c r="V92" s="202" t="str">
        <f t="shared" si="10"/>
        <v>1D</v>
      </c>
      <c r="W92" s="200">
        <f>_xll.qlCalendarAdvance(Calendar,W91,V92,"f",FALSE)</f>
        <v>41989</v>
      </c>
      <c r="X92" s="203">
        <f>_xll.qlCalendarAdvance(Calendar,W92,NDays&amp;"D")</f>
        <v>41991</v>
      </c>
      <c r="Y92" s="204">
        <v>3.647179732724215E-5</v>
      </c>
      <c r="Z92" s="201">
        <v>8.2115502797464046E-5</v>
      </c>
    </row>
    <row r="93" spans="22:26" x14ac:dyDescent="0.2">
      <c r="V93" s="202" t="str">
        <f t="shared" si="10"/>
        <v>1D</v>
      </c>
      <c r="W93" s="200">
        <f>_xll.qlCalendarAdvance(Calendar,W92,V93,"f",FALSE)</f>
        <v>41990</v>
      </c>
      <c r="X93" s="203">
        <f>_xll.qlCalendarAdvance(Calendar,W93,NDays&amp;"D")</f>
        <v>41992</v>
      </c>
      <c r="Y93" s="204">
        <v>3.4999411748137093E-5</v>
      </c>
      <c r="Z93" s="201">
        <v>8.525606793874374E-5</v>
      </c>
    </row>
    <row r="94" spans="22:26" x14ac:dyDescent="0.2">
      <c r="V94" s="202" t="str">
        <f t="shared" si="10"/>
        <v>1D</v>
      </c>
      <c r="W94" s="200">
        <f>_xll.qlCalendarAdvance(Calendar,W93,V94,"f",FALSE)</f>
        <v>41991</v>
      </c>
      <c r="X94" s="203">
        <f>_xll.qlCalendarAdvance(Calendar,W94,NDays&amp;"D")</f>
        <v>41995</v>
      </c>
      <c r="Y94" s="204">
        <v>2.2743137097473855E-5</v>
      </c>
      <c r="Z94" s="201">
        <v>8.6349930246143458E-5</v>
      </c>
    </row>
    <row r="95" spans="22:26" x14ac:dyDescent="0.2">
      <c r="V95" s="202" t="str">
        <f t="shared" si="10"/>
        <v>1D</v>
      </c>
      <c r="W95" s="200">
        <f>_xll.qlCalendarAdvance(Calendar,W94,V95,"f",FALSE)</f>
        <v>41992</v>
      </c>
      <c r="X95" s="203">
        <f>_xll.qlCalendarAdvance(Calendar,W95,NDays&amp;"D")</f>
        <v>41996</v>
      </c>
      <c r="Y95" s="204">
        <v>1.8282419658177673E-5</v>
      </c>
      <c r="Z95" s="201">
        <v>8.5873540198733167E-5</v>
      </c>
    </row>
    <row r="96" spans="22:26" x14ac:dyDescent="0.2">
      <c r="V96" s="202" t="str">
        <f t="shared" si="10"/>
        <v>1D</v>
      </c>
      <c r="W96" s="200">
        <f>_xll.qlCalendarAdvance(Calendar,W95,V96,"f",FALSE)</f>
        <v>41995</v>
      </c>
      <c r="X96" s="203">
        <f>_xll.qlCalendarAdvance(Calendar,W96,NDays&amp;"D")</f>
        <v>41997</v>
      </c>
      <c r="Y96" s="204">
        <v>8.7750364695761043E-6</v>
      </c>
      <c r="Z96" s="201">
        <v>8.0146414800807975E-5</v>
      </c>
    </row>
    <row r="97" spans="22:26" x14ac:dyDescent="0.2">
      <c r="V97" s="202" t="str">
        <f t="shared" si="10"/>
        <v>1D</v>
      </c>
      <c r="W97" s="200">
        <f>_xll.qlCalendarAdvance(Calendar,W96,V97,"f",FALSE)</f>
        <v>41996</v>
      </c>
      <c r="X97" s="203">
        <f>_xll.qlCalendarAdvance(Calendar,W97,NDays&amp;"D")</f>
        <v>42002</v>
      </c>
      <c r="Y97" s="204">
        <v>-1.1663081296871135E-5</v>
      </c>
      <c r="Z97" s="201">
        <v>7.0121227064845471E-5</v>
      </c>
    </row>
    <row r="98" spans="22:26" x14ac:dyDescent="0.2">
      <c r="V98" s="202" t="str">
        <f t="shared" si="10"/>
        <v>1D</v>
      </c>
      <c r="W98" s="200">
        <f>_xll.qlCalendarAdvance(Calendar,W97,V98,"f",FALSE)</f>
        <v>41997</v>
      </c>
      <c r="X98" s="203">
        <f>_xll.qlCalendarAdvance(Calendar,W98,NDays&amp;"D")</f>
        <v>42003</v>
      </c>
      <c r="Y98" s="204">
        <v>-1.7082947746705294E-5</v>
      </c>
      <c r="Z98" s="201">
        <v>6.534684617420794E-5</v>
      </c>
    </row>
    <row r="99" spans="22:26" x14ac:dyDescent="0.2">
      <c r="V99" s="202" t="str">
        <f t="shared" si="10"/>
        <v>1D</v>
      </c>
      <c r="W99" s="200">
        <f>_xll.qlCalendarAdvance(Calendar,W98,V99,"f",FALSE)</f>
        <v>42002</v>
      </c>
      <c r="X99" s="203">
        <f>_xll.qlCalendarAdvance(Calendar,W99,NDays&amp;"D")</f>
        <v>42004</v>
      </c>
      <c r="Y99" s="204">
        <v>-1.9830603944281933E-5</v>
      </c>
      <c r="Z99" s="201">
        <v>5.6957282010827726E-5</v>
      </c>
    </row>
    <row r="100" spans="22:26" x14ac:dyDescent="0.2">
      <c r="V100" s="202" t="str">
        <f t="shared" si="10"/>
        <v>1D</v>
      </c>
      <c r="W100" s="200">
        <f>_xll.qlCalendarAdvance(Calendar,W99,V100,"f",FALSE)</f>
        <v>42003</v>
      </c>
      <c r="X100" s="203">
        <f>_xll.qlCalendarAdvance(Calendar,W100,NDays&amp;"D")</f>
        <v>42006</v>
      </c>
      <c r="Y100" s="204">
        <v>-3.3860926377643308E-5</v>
      </c>
      <c r="Z100" s="201">
        <v>3.990467457803959E-5</v>
      </c>
    </row>
    <row r="101" spans="22:26" x14ac:dyDescent="0.2">
      <c r="V101" s="202" t="str">
        <f t="shared" si="10"/>
        <v>1D</v>
      </c>
      <c r="W101" s="200">
        <f>_xll.qlCalendarAdvance(Calendar,W100,V101,"f",FALSE)</f>
        <v>42004</v>
      </c>
      <c r="X101" s="203">
        <f>_xll.qlCalendarAdvance(Calendar,W101,NDays&amp;"D")</f>
        <v>42009</v>
      </c>
      <c r="Y101" s="204">
        <v>-5.118866409199953E-5</v>
      </c>
      <c r="Z101" s="201">
        <v>2.3806590379038539E-5</v>
      </c>
    </row>
    <row r="102" spans="22:26" x14ac:dyDescent="0.2">
      <c r="V102" s="202" t="str">
        <f t="shared" si="10"/>
        <v>1D</v>
      </c>
      <c r="W102" s="200">
        <f>_xll.qlCalendarAdvance(Calendar,W101,V102,"f",FALSE)</f>
        <v>42006</v>
      </c>
      <c r="X102" s="203">
        <f>_xll.qlCalendarAdvance(Calendar,W102,NDays&amp;"D")</f>
        <v>42010</v>
      </c>
      <c r="Y102" s="204">
        <v>-5.7036121129287164E-5</v>
      </c>
      <c r="Z102" s="201">
        <v>1.473421968434252E-5</v>
      </c>
    </row>
    <row r="103" spans="22:26" x14ac:dyDescent="0.2">
      <c r="V103" s="202" t="str">
        <f t="shared" si="10"/>
        <v>1D</v>
      </c>
      <c r="W103" s="200">
        <f>_xll.qlCalendarAdvance(Calendar,W102,V103,"f",FALSE)</f>
        <v>42009</v>
      </c>
      <c r="X103" s="203">
        <f>_xll.qlCalendarAdvance(Calendar,W103,NDays&amp;"D")</f>
        <v>42011</v>
      </c>
      <c r="Y103" s="204">
        <v>-7.0123743346573917E-5</v>
      </c>
      <c r="Z103" s="201">
        <v>5.0478506175011262E-6</v>
      </c>
    </row>
    <row r="104" spans="22:26" x14ac:dyDescent="0.2">
      <c r="V104" s="202" t="str">
        <f t="shared" si="10"/>
        <v>1D</v>
      </c>
      <c r="W104" s="200">
        <f>_xll.qlCalendarAdvance(Calendar,W103,V104,"f",FALSE)</f>
        <v>42010</v>
      </c>
      <c r="X104" s="203">
        <f>_xll.qlCalendarAdvance(Calendar,W104,NDays&amp;"D")</f>
        <v>42012</v>
      </c>
      <c r="Y104" s="204">
        <v>-7.2472854641264517E-5</v>
      </c>
      <c r="Z104" s="201">
        <v>-8.2994751071652217E-7</v>
      </c>
    </row>
    <row r="105" spans="22:26" x14ac:dyDescent="0.2">
      <c r="V105" s="202" t="str">
        <f t="shared" si="10"/>
        <v>1D</v>
      </c>
      <c r="W105" s="200">
        <f>_xll.qlCalendarAdvance(Calendar,W104,V105,"f",FALSE)</f>
        <v>42011</v>
      </c>
      <c r="X105" s="203">
        <f>_xll.qlCalendarAdvance(Calendar,W105,NDays&amp;"D")</f>
        <v>42013</v>
      </c>
      <c r="Y105" s="204">
        <v>-7.4783916334369798E-5</v>
      </c>
      <c r="Z105" s="201">
        <v>-4.8902980731568846E-6</v>
      </c>
    </row>
    <row r="106" spans="22:26" x14ac:dyDescent="0.2">
      <c r="V106" s="202" t="str">
        <f t="shared" si="10"/>
        <v>1D</v>
      </c>
      <c r="W106" s="200">
        <f>_xll.qlCalendarAdvance(Calendar,W105,V106,"f",FALSE)</f>
        <v>42012</v>
      </c>
      <c r="X106" s="203">
        <f>_xll.qlCalendarAdvance(Calendar,W106,NDays&amp;"D")</f>
        <v>42016</v>
      </c>
      <c r="Y106" s="204">
        <v>-9.4136940977857504E-5</v>
      </c>
      <c r="Z106" s="201">
        <v>-9.8763496980680543E-6</v>
      </c>
    </row>
    <row r="107" spans="22:26" x14ac:dyDescent="0.2">
      <c r="V107" s="202" t="str">
        <f t="shared" si="10"/>
        <v>1D</v>
      </c>
      <c r="W107" s="200">
        <f>_xll.qlCalendarAdvance(Calendar,W106,V107,"f",FALSE)</f>
        <v>42013</v>
      </c>
      <c r="X107" s="203">
        <f>_xll.qlCalendarAdvance(Calendar,W107,NDays&amp;"D")</f>
        <v>42017</v>
      </c>
      <c r="Y107" s="204">
        <v>-1.0091864023163654E-4</v>
      </c>
      <c r="Z107" s="201">
        <v>-1.2832225961822985E-5</v>
      </c>
    </row>
    <row r="108" spans="22:26" x14ac:dyDescent="0.2">
      <c r="V108" s="202" t="str">
        <f t="shared" si="10"/>
        <v>1D</v>
      </c>
      <c r="W108" s="200">
        <f>_xll.qlCalendarAdvance(Calendar,W107,V108,"f",FALSE)</f>
        <v>42016</v>
      </c>
      <c r="X108" s="203">
        <f>_xll.qlCalendarAdvance(Calendar,W108,NDays&amp;"D")</f>
        <v>42018</v>
      </c>
      <c r="Y108" s="204">
        <v>-1.1557474330539917E-4</v>
      </c>
      <c r="Z108" s="201">
        <v>-1.6065812480370312E-5</v>
      </c>
    </row>
    <row r="109" spans="22:26" x14ac:dyDescent="0.2">
      <c r="V109" s="202" t="str">
        <f t="shared" si="10"/>
        <v>1D</v>
      </c>
      <c r="W109" s="200">
        <f>_xll.qlCalendarAdvance(Calendar,W108,V109,"f",FALSE)</f>
        <v>42017</v>
      </c>
      <c r="X109" s="203">
        <f>_xll.qlCalendarAdvance(Calendar,W109,NDays&amp;"D")</f>
        <v>42019</v>
      </c>
      <c r="Y109" s="204">
        <v>-1.1868440268944513E-4</v>
      </c>
      <c r="Z109" s="201">
        <v>-1.9577109173773977E-5</v>
      </c>
    </row>
    <row r="110" spans="22:26" x14ac:dyDescent="0.2">
      <c r="V110" s="202" t="str">
        <f t="shared" si="10"/>
        <v>1D</v>
      </c>
      <c r="W110" s="200">
        <f>_xll.qlCalendarAdvance(Calendar,W109,V110,"f",FALSE)</f>
        <v>42018</v>
      </c>
      <c r="X110" s="203">
        <f>_xll.qlCalendarAdvance(Calendar,W110,NDays&amp;"D")</f>
        <v>42020</v>
      </c>
      <c r="Y110" s="204">
        <v>-1.2188141878593893E-4</v>
      </c>
      <c r="Z110" s="201">
        <v>-2.7525401424810525E-5</v>
      </c>
    </row>
    <row r="111" spans="22:26" x14ac:dyDescent="0.2">
      <c r="V111" s="202" t="str">
        <f t="shared" si="10"/>
        <v>1D</v>
      </c>
      <c r="W111" s="200">
        <f>_xll.qlCalendarAdvance(Calendar,W110,V111,"f",FALSE)</f>
        <v>42019</v>
      </c>
      <c r="X111" s="203">
        <f>_xll.qlCalendarAdvance(Calendar,W111,NDays&amp;"D")</f>
        <v>42023</v>
      </c>
      <c r="Y111" s="204">
        <v>-1.432091332333588E-4</v>
      </c>
      <c r="Z111" s="201">
        <v>-3.6399398575248654E-5</v>
      </c>
    </row>
    <row r="112" spans="22:26" x14ac:dyDescent="0.2">
      <c r="V112" s="202" t="str">
        <f t="shared" si="10"/>
        <v>1D</v>
      </c>
      <c r="W112" s="200">
        <f>_xll.qlCalendarAdvance(Calendar,W111,V112,"f",FALSE)</f>
        <v>42020</v>
      </c>
      <c r="X112" s="203">
        <f>_xll.qlCalendarAdvance(Calendar,W112,NDays&amp;"D")</f>
        <v>42024</v>
      </c>
      <c r="Y112" s="204">
        <v>-1.5027467211506832E-4</v>
      </c>
      <c r="Z112" s="201">
        <v>-4.1299246422710212E-5</v>
      </c>
    </row>
    <row r="113" spans="22:26" x14ac:dyDescent="0.2">
      <c r="V113" s="202" t="str">
        <f t="shared" si="10"/>
        <v>1D</v>
      </c>
      <c r="W113" s="200">
        <f>_xll.qlCalendarAdvance(Calendar,W112,V113,"f",FALSE)</f>
        <v>42023</v>
      </c>
      <c r="X113" s="203">
        <f>_xll.qlCalendarAdvance(Calendar,W113,NDays&amp;"D")</f>
        <v>42025</v>
      </c>
      <c r="Y113" s="204">
        <v>-1.6358628398912859E-4</v>
      </c>
      <c r="Z113" s="201">
        <v>-4.6476804484996137E-5</v>
      </c>
    </row>
    <row r="114" spans="22:26" x14ac:dyDescent="0.2">
      <c r="V114" s="202" t="str">
        <f t="shared" si="10"/>
        <v>1D</v>
      </c>
      <c r="W114" s="200">
        <f>_xll.qlCalendarAdvance(Calendar,W113,V114,"f",FALSE)</f>
        <v>42024</v>
      </c>
      <c r="X114" s="203">
        <f>_xll.qlCalendarAdvance(Calendar,W114,NDays&amp;"D")</f>
        <v>42026</v>
      </c>
      <c r="Y114" s="204">
        <v>-1.6724597681511133E-4</v>
      </c>
      <c r="Z114" s="201">
        <v>-5.1932072762106429E-5</v>
      </c>
    </row>
    <row r="115" spans="22:26" x14ac:dyDescent="0.2">
      <c r="V115" s="202" t="str">
        <f t="shared" si="10"/>
        <v>1D</v>
      </c>
      <c r="W115" s="200">
        <f>_xll.qlCalendarAdvance(Calendar,W114,V115,"f",FALSE)</f>
        <v>42025</v>
      </c>
      <c r="X115" s="203">
        <f>_xll.qlCalendarAdvance(Calendar,W115,NDays&amp;"D")</f>
        <v>42027</v>
      </c>
      <c r="Y115" s="204">
        <v>-1.7096580483580157E-4</v>
      </c>
      <c r="Z115" s="201">
        <v>-6.3768298481647889E-5</v>
      </c>
    </row>
    <row r="116" spans="22:26" x14ac:dyDescent="0.2">
      <c r="V116" s="202" t="str">
        <f t="shared" si="10"/>
        <v>1D</v>
      </c>
      <c r="W116" s="200">
        <f>_xll.qlCalendarAdvance(Calendar,W115,V116,"f",FALSE)</f>
        <v>42026</v>
      </c>
      <c r="X116" s="203">
        <f>_xll.qlCalendarAdvance(Calendar,W116,NDays&amp;"D")</f>
        <v>42030</v>
      </c>
      <c r="Y116" s="204">
        <v>-1.9033713571194806E-4</v>
      </c>
      <c r="Z116" s="201">
        <v>-7.653024725939872E-5</v>
      </c>
    </row>
    <row r="117" spans="22:26" x14ac:dyDescent="0.2">
      <c r="V117" s="202" t="str">
        <f t="shared" si="10"/>
        <v>1D</v>
      </c>
      <c r="W117" s="200">
        <f>_xll.qlCalendarAdvance(Calendar,W116,V117,"f",FALSE)</f>
        <v>42027</v>
      </c>
      <c r="X117" s="203">
        <f>_xll.qlCalendarAdvance(Calendar,W117,NDays&amp;"D")</f>
        <v>42031</v>
      </c>
      <c r="Y117" s="204">
        <v>-1.9637616256988757E-4</v>
      </c>
      <c r="Z117" s="201">
        <v>-8.337406617098253E-5</v>
      </c>
    </row>
    <row r="118" spans="22:26" x14ac:dyDescent="0.2">
      <c r="V118" s="202" t="str">
        <f t="shared" si="10"/>
        <v>1D</v>
      </c>
      <c r="W118" s="200">
        <f>_xll.qlCalendarAdvance(Calendar,W117,V118,"f",FALSE)</f>
        <v>42030</v>
      </c>
      <c r="X118" s="203">
        <f>_xll.qlCalendarAdvance(Calendar,W118,NDays&amp;"D")</f>
        <v>42032</v>
      </c>
      <c r="Y118" s="204">
        <v>-2.0014294546877309E-4</v>
      </c>
      <c r="Z118" s="201">
        <v>-9.049559521745465E-5</v>
      </c>
    </row>
    <row r="119" spans="22:26" x14ac:dyDescent="0.2">
      <c r="V119" s="202" t="str">
        <f t="shared" si="10"/>
        <v>1D</v>
      </c>
      <c r="W119" s="200">
        <f>_xll.qlCalendarAdvance(Calendar,W118,V119,"f",FALSE)</f>
        <v>42031</v>
      </c>
      <c r="X119" s="203">
        <f>_xll.qlCalendarAdvance(Calendar,W119,NDays&amp;"D")</f>
        <v>42033</v>
      </c>
      <c r="Y119" s="204">
        <v>-2.0392393984333007E-4</v>
      </c>
      <c r="Z119" s="201">
        <v>-9.7894834358847049E-5</v>
      </c>
    </row>
    <row r="120" spans="22:26" x14ac:dyDescent="0.2">
      <c r="V120" s="202" t="str">
        <f t="shared" si="10"/>
        <v>1D</v>
      </c>
      <c r="W120" s="200">
        <f>_xll.qlCalendarAdvance(Calendar,W119,V120,"f",FALSE)</f>
        <v>42032</v>
      </c>
      <c r="X120" s="203">
        <f>_xll.qlCalendarAdvance(Calendar,W120,NDays&amp;"D")</f>
        <v>42034</v>
      </c>
      <c r="Y120" s="204">
        <v>-2.0771075009402243E-4</v>
      </c>
      <c r="Z120" s="201">
        <v>-1.1361897694683876E-4</v>
      </c>
    </row>
    <row r="121" spans="22:26" x14ac:dyDescent="0.2">
      <c r="V121" s="202" t="str">
        <f t="shared" si="10"/>
        <v>1D</v>
      </c>
      <c r="W121" s="200">
        <f>_xll.qlCalendarAdvance(Calendar,W120,V121,"f",FALSE)</f>
        <v>42033</v>
      </c>
      <c r="X121" s="203">
        <f>_xll.qlCalendarAdvance(Calendar,W121,NDays&amp;"D")</f>
        <v>42037</v>
      </c>
      <c r="Y121" s="204">
        <v>-2.2349828459230662E-4</v>
      </c>
      <c r="Z121" s="201">
        <v>-1.3026889119416296E-4</v>
      </c>
    </row>
    <row r="122" spans="22:26" x14ac:dyDescent="0.2">
      <c r="V122" s="202" t="str">
        <f t="shared" si="10"/>
        <v>1D</v>
      </c>
      <c r="W122" s="200">
        <f>_xll.qlCalendarAdvance(Calendar,W121,V122,"f",FALSE)</f>
        <v>42034</v>
      </c>
      <c r="X122" s="203">
        <f>_xll.qlCalendarAdvance(Calendar,W122,NDays&amp;"D")</f>
        <v>42038</v>
      </c>
      <c r="Y122" s="204">
        <v>-2.2800155757396467E-4</v>
      </c>
      <c r="Z122" s="201">
        <v>-1.3905668053038056E-4</v>
      </c>
    </row>
    <row r="123" spans="22:26" x14ac:dyDescent="0.2">
      <c r="V123" s="202" t="str">
        <f t="shared" si="10"/>
        <v>1D</v>
      </c>
      <c r="W123" s="200">
        <f>_xll.qlCalendarAdvance(Calendar,W122,V123,"f",FALSE)</f>
        <v>42037</v>
      </c>
      <c r="X123" s="203">
        <f>_xll.qlCalendarAdvance(Calendar,W123,NDays&amp;"D")</f>
        <v>42039</v>
      </c>
      <c r="Y123" s="204">
        <v>-2.3207586696811458E-4</v>
      </c>
      <c r="Z123" s="201">
        <v>-1.4812217964177421E-4</v>
      </c>
    </row>
    <row r="124" spans="22:26" x14ac:dyDescent="0.2">
      <c r="V124" s="202" t="str">
        <f t="shared" si="10"/>
        <v>1D</v>
      </c>
      <c r="W124" s="200">
        <f>_xll.qlCalendarAdvance(Calendar,W123,V124,"f",FALSE)</f>
        <v>42038</v>
      </c>
      <c r="X124" s="203">
        <f>_xll.qlCalendarAdvance(Calendar,W124,NDays&amp;"D")</f>
        <v>42040</v>
      </c>
      <c r="Y124" s="204">
        <v>-2.3569160618471967E-4</v>
      </c>
      <c r="Z124" s="201">
        <v>-1.5746538884808814E-4</v>
      </c>
    </row>
    <row r="125" spans="22:26" x14ac:dyDescent="0.2">
      <c r="V125" s="202" t="str">
        <f t="shared" si="10"/>
        <v>1D</v>
      </c>
      <c r="W125" s="200">
        <f>_xll.qlCalendarAdvance(Calendar,W124,V125,"f",FALSE)</f>
        <v>42039</v>
      </c>
      <c r="X125" s="203">
        <f>_xll.qlCalendarAdvance(Calendar,W125,NDays&amp;"D")</f>
        <v>42041</v>
      </c>
      <c r="Y125" s="204">
        <v>-2.3881916860662194E-4</v>
      </c>
      <c r="Z125" s="201">
        <v>-1.7707741984729353E-4</v>
      </c>
    </row>
    <row r="126" spans="22:26" x14ac:dyDescent="0.2">
      <c r="V126" s="202" t="str">
        <f t="shared" si="10"/>
        <v>1D</v>
      </c>
      <c r="W126" s="200">
        <f>_xll.qlCalendarAdvance(Calendar,W125,V126,"f",FALSE)</f>
        <v>42040</v>
      </c>
      <c r="X126" s="203">
        <f>_xll.qlCalendarAdvance(Calendar,W126,NDays&amp;"D")</f>
        <v>42044</v>
      </c>
      <c r="Y126" s="204">
        <v>-2.4497672858138559E-4</v>
      </c>
      <c r="Z126" s="201">
        <v>-1.9670276004024601E-4</v>
      </c>
    </row>
    <row r="127" spans="22:26" x14ac:dyDescent="0.2">
      <c r="V127" s="202" t="str">
        <f t="shared" si="10"/>
        <v>1D</v>
      </c>
      <c r="W127" s="200">
        <f>_xll.qlCalendarAdvance(Calendar,W126,V127,"f",FALSE)</f>
        <v>42041</v>
      </c>
      <c r="X127" s="203">
        <f>_xll.qlCalendarAdvance(Calendar,W127,NDays&amp;"D")</f>
        <v>42045</v>
      </c>
      <c r="Y127" s="204">
        <v>-2.4589354730518231E-4</v>
      </c>
      <c r="Z127" s="201">
        <v>-2.0505671588733065E-4</v>
      </c>
    </row>
    <row r="128" spans="22:26" x14ac:dyDescent="0.2">
      <c r="V128" s="202" t="str">
        <f t="shared" si="10"/>
        <v>1D</v>
      </c>
      <c r="W128" s="200">
        <f>_xll.qlCalendarAdvance(Calendar,W127,V128,"f",FALSE)</f>
        <v>42044</v>
      </c>
      <c r="X128" s="203">
        <f>_xll.qlCalendarAdvance(Calendar,W128,NDays&amp;"D")</f>
        <v>42046</v>
      </c>
      <c r="Y128" s="204">
        <v>-2.4629171106999817E-4</v>
      </c>
      <c r="Z128" s="201">
        <v>-2.1285937088943996E-4</v>
      </c>
    </row>
    <row r="129" spans="22:26" x14ac:dyDescent="0.2">
      <c r="V129" s="202" t="str">
        <f t="shared" si="10"/>
        <v>1D</v>
      </c>
      <c r="W129" s="200">
        <f>_xll.qlCalendarAdvance(Calendar,W128,V129,"f",FALSE)</f>
        <v>42045</v>
      </c>
      <c r="X129" s="203">
        <f>_xll.qlCalendarAdvance(Calendar,W129,NDays&amp;"D")</f>
        <v>42047</v>
      </c>
      <c r="Y129" s="204">
        <v>-2.4620385547006026E-4</v>
      </c>
      <c r="Z129" s="201">
        <v>-2.2011072500660589E-4</v>
      </c>
    </row>
    <row r="130" spans="22:26" x14ac:dyDescent="0.2">
      <c r="V130" s="202" t="str">
        <f t="shared" si="10"/>
        <v>1D</v>
      </c>
      <c r="W130" s="200">
        <f>_xll.qlCalendarAdvance(Calendar,W129,V130,"f",FALSE)</f>
        <v>42046</v>
      </c>
      <c r="X130" s="203">
        <f>_xll.qlCalendarAdvance(Calendar,W130,NDays&amp;"D")</f>
        <v>42048</v>
      </c>
      <c r="Y130" s="204">
        <v>-2.4566261604392584E-4</v>
      </c>
      <c r="Z130" s="201">
        <v>-2.3277561350454334E-4</v>
      </c>
    </row>
    <row r="131" spans="22:26" x14ac:dyDescent="0.2">
      <c r="V131" s="202" t="str">
        <f t="shared" si="10"/>
        <v>1D</v>
      </c>
      <c r="W131" s="200">
        <f>_xll.qlCalendarAdvance(Calendar,W130,V131,"f",FALSE)</f>
        <v>42047</v>
      </c>
      <c r="X131" s="203">
        <f>_xll.qlCalendarAdvance(Calendar,W131,NDays&amp;"D")</f>
        <v>42051</v>
      </c>
      <c r="Y131" s="204">
        <v>-2.4164494957869463E-4</v>
      </c>
      <c r="Z131" s="201">
        <v>-2.4360313382487675E-4</v>
      </c>
    </row>
    <row r="132" spans="22:26" x14ac:dyDescent="0.2">
      <c r="V132" s="202" t="str">
        <f t="shared" si="10"/>
        <v>1D</v>
      </c>
      <c r="W132" s="200">
        <f>_xll.qlCalendarAdvance(Calendar,W131,V132,"f",FALSE)</f>
        <v>42048</v>
      </c>
      <c r="X132" s="203">
        <f>_xll.qlCalendarAdvance(Calendar,W132,NDays&amp;"D")</f>
        <v>42052</v>
      </c>
      <c r="Y132" s="204">
        <v>-2.3961652948965652E-4</v>
      </c>
      <c r="Z132" s="201">
        <v>-2.4809798411684625E-4</v>
      </c>
    </row>
    <row r="133" spans="22:26" x14ac:dyDescent="0.2">
      <c r="V133" s="202" t="str">
        <f t="shared" si="10"/>
        <v>1D</v>
      </c>
      <c r="W133" s="200">
        <f>_xll.qlCalendarAdvance(Calendar,W132,V133,"f",FALSE)</f>
        <v>42051</v>
      </c>
      <c r="X133" s="203">
        <f>_xll.qlCalendarAdvance(Calendar,W133,NDays&amp;"D")</f>
        <v>42053</v>
      </c>
      <c r="Y133" s="204">
        <v>-2.3729790280472126E-4</v>
      </c>
      <c r="Z133" s="201">
        <v>-2.5204153384361661E-4</v>
      </c>
    </row>
    <row r="134" spans="22:26" x14ac:dyDescent="0.2">
      <c r="V134" s="202" t="str">
        <f t="shared" si="10"/>
        <v>1D</v>
      </c>
      <c r="W134" s="200">
        <f>_xll.qlCalendarAdvance(Calendar,W133,V134,"f",FALSE)</f>
        <v>42052</v>
      </c>
      <c r="X134" s="203">
        <f>_xll.qlCalendarAdvance(Calendar,W134,NDays&amp;"D")</f>
        <v>42054</v>
      </c>
      <c r="Y134" s="204">
        <v>-2.3472170493683234E-4</v>
      </c>
      <c r="Z134" s="201">
        <v>-2.5543378288528373E-4</v>
      </c>
    </row>
    <row r="135" spans="22:26" x14ac:dyDescent="0.2">
      <c r="V135" s="202" t="str">
        <f t="shared" si="10"/>
        <v>1D</v>
      </c>
      <c r="W135" s="200">
        <f>_xll.qlCalendarAdvance(Calendar,W134,V135,"f",FALSE)</f>
        <v>42053</v>
      </c>
      <c r="X135" s="203">
        <f>_xll.qlCalendarAdvance(Calendar,W135,NDays&amp;"D")</f>
        <v>42055</v>
      </c>
      <c r="Y135" s="204">
        <v>-2.3192057131891732E-4</v>
      </c>
      <c r="Z135" s="201">
        <v>-2.6038042379550319E-4</v>
      </c>
    </row>
    <row r="136" spans="22:26" x14ac:dyDescent="0.2">
      <c r="V136" s="202" t="str">
        <f t="shared" si="10"/>
        <v>1D</v>
      </c>
      <c r="W136" s="200">
        <f>_xll.qlCalendarAdvance(Calendar,W135,V136,"f",FALSE)</f>
        <v>42054</v>
      </c>
      <c r="X136" s="203">
        <f>_xll.qlCalendarAdvance(Calendar,W136,NDays&amp;"D")</f>
        <v>42058</v>
      </c>
      <c r="Y136" s="204">
        <v>-2.2249391048984838E-4</v>
      </c>
      <c r="Z136" s="201">
        <v>-2.6348977264056828E-4</v>
      </c>
    </row>
    <row r="137" spans="22:26" x14ac:dyDescent="0.2">
      <c r="V137" s="202" t="str">
        <f t="shared" si="10"/>
        <v>1D</v>
      </c>
      <c r="W137" s="200">
        <f>_xll.qlCalendarAdvance(Calendar,W136,V137,"f",FALSE)</f>
        <v>42055</v>
      </c>
      <c r="X137" s="203">
        <f>_xll.qlCalendarAdvance(Calendar,W137,NDays&amp;"D")</f>
        <v>42059</v>
      </c>
      <c r="Y137" s="204">
        <v>-2.1911938852513048E-4</v>
      </c>
      <c r="Z137" s="201">
        <v>-2.6412551849652743E-4</v>
      </c>
    </row>
    <row r="138" spans="22:26" x14ac:dyDescent="0.2">
      <c r="V138" s="202" t="str">
        <f t="shared" si="10"/>
        <v>1D</v>
      </c>
      <c r="W138" s="200">
        <f>_xll.qlCalendarAdvance(Calendar,W137,V138,"f",FALSE)</f>
        <v>42058</v>
      </c>
      <c r="X138" s="203">
        <f>_xll.qlCalendarAdvance(Calendar,W138,NDays&amp;"D")</f>
        <v>42060</v>
      </c>
      <c r="Y138" s="204">
        <v>-2.1568310827335679E-4</v>
      </c>
      <c r="Z138" s="201">
        <v>-2.6420996378728745E-4</v>
      </c>
    </row>
    <row r="139" spans="22:26" x14ac:dyDescent="0.2">
      <c r="V139" s="202" t="str">
        <f t="shared" si="10"/>
        <v>1D</v>
      </c>
      <c r="W139" s="200">
        <f>_xll.qlCalendarAdvance(Calendar,W138,V139,"f",FALSE)</f>
        <v>42059</v>
      </c>
      <c r="X139" s="203">
        <f>_xll.qlCalendarAdvance(Calendar,W139,NDays&amp;"D")</f>
        <v>42061</v>
      </c>
      <c r="Y139" s="204">
        <v>-2.1221770532161725E-4</v>
      </c>
      <c r="Z139" s="201">
        <v>-2.6374310851284832E-4</v>
      </c>
    </row>
    <row r="140" spans="22:26" x14ac:dyDescent="0.2">
      <c r="V140" s="202" t="str">
        <f t="shared" si="10"/>
        <v>1D</v>
      </c>
      <c r="W140" s="200">
        <f>_xll.qlCalendarAdvance(Calendar,W139,V140,"f",FALSE)</f>
        <v>42060</v>
      </c>
      <c r="X140" s="203">
        <f>_xll.qlCalendarAdvance(Calendar,W140,NDays&amp;"D")</f>
        <v>42062</v>
      </c>
      <c r="Y140" s="204">
        <v>-2.0362348976704636E-4</v>
      </c>
      <c r="Z140" s="201">
        <v>-2.6097153993820399E-4</v>
      </c>
    </row>
    <row r="141" spans="22:26" x14ac:dyDescent="0.2">
      <c r="V141" s="202" t="str">
        <f t="shared" si="10"/>
        <v>1D</v>
      </c>
      <c r="W141" s="200">
        <f>_xll.qlCalendarAdvance(Calendar,W140,V141,"f",FALSE)</f>
        <v>42061</v>
      </c>
      <c r="X141" s="203">
        <f>_xll.qlCalendarAdvance(Calendar,W141,NDays&amp;"D")</f>
        <v>42065</v>
      </c>
      <c r="Y141" s="204">
        <v>-1.9598898680360118E-4</v>
      </c>
      <c r="Z141" s="201">
        <v>-2.5636268100370785E-4</v>
      </c>
    </row>
    <row r="142" spans="22:26" x14ac:dyDescent="0.2">
      <c r="V142" s="202" t="str">
        <f t="shared" si="10"/>
        <v>1D</v>
      </c>
      <c r="W142" s="200">
        <f>_xll.qlCalendarAdvance(Calendar,W141,V142,"f",FALSE)</f>
        <v>42062</v>
      </c>
      <c r="X142" s="203">
        <f>_xll.qlCalendarAdvance(Calendar,W142,NDays&amp;"D")</f>
        <v>42066</v>
      </c>
      <c r="Y142" s="204">
        <v>-1.9200355941619205E-4</v>
      </c>
      <c r="Z142" s="201">
        <v>-2.5313932258352878E-4</v>
      </c>
    </row>
    <row r="143" spans="22:26" x14ac:dyDescent="0.2">
      <c r="V143" s="202" t="str">
        <f t="shared" si="10"/>
        <v>1D</v>
      </c>
      <c r="W143" s="200">
        <f>_xll.qlCalendarAdvance(Calendar,W142,V143,"f",FALSE)</f>
        <v>42065</v>
      </c>
      <c r="X143" s="203">
        <f>_xll.qlCalendarAdvance(Calendar,W143,NDays&amp;"D")</f>
        <v>42067</v>
      </c>
      <c r="Y143" s="204">
        <v>-1.9020558248075529E-4</v>
      </c>
      <c r="Z143" s="201">
        <v>-2.4936466347824648E-4</v>
      </c>
    </row>
    <row r="144" spans="22:26" x14ac:dyDescent="0.2">
      <c r="V144" s="202" t="str">
        <f t="shared" si="10"/>
        <v>1D</v>
      </c>
      <c r="W144" s="200">
        <f>_xll.qlCalendarAdvance(Calendar,W143,V144,"f",FALSE)</f>
        <v>42066</v>
      </c>
      <c r="X144" s="203">
        <f>_xll.qlCalendarAdvance(Calendar,W144,NDays&amp;"D")</f>
        <v>42068</v>
      </c>
      <c r="Y144" s="204">
        <v>-1.8841301356673705E-4</v>
      </c>
      <c r="Z144" s="201">
        <v>-2.4503870372782899E-4</v>
      </c>
    </row>
    <row r="145" spans="22:26" x14ac:dyDescent="0.2">
      <c r="V145" s="202" t="str">
        <f t="shared" si="10"/>
        <v>1D</v>
      </c>
      <c r="W145" s="200">
        <f>_xll.qlCalendarAdvance(Calendar,W144,V145,"f",FALSE)</f>
        <v>42067</v>
      </c>
      <c r="X145" s="203">
        <f>_xll.qlCalendarAdvance(Calendar,W145,NDays&amp;"D")</f>
        <v>42069</v>
      </c>
      <c r="Y145" s="204">
        <v>-1.8664358779132972E-4</v>
      </c>
      <c r="Z145" s="201">
        <v>-2.3454896233232603E-4</v>
      </c>
    </row>
    <row r="146" spans="22:26" x14ac:dyDescent="0.2">
      <c r="V146" s="202" t="str">
        <f t="shared" si="10"/>
        <v>1D</v>
      </c>
      <c r="W146" s="200">
        <f>_xll.qlCalendarAdvance(Calendar,W145,V146,"f",FALSE)</f>
        <v>42068</v>
      </c>
      <c r="X146" s="203">
        <f>_xll.qlCalendarAdvance(Calendar,W146,NDays&amp;"D")</f>
        <v>42072</v>
      </c>
      <c r="Y146" s="204">
        <v>-1.8240466053200526E-4</v>
      </c>
      <c r="Z146" s="201">
        <v>-2.2237415940651317E-4</v>
      </c>
    </row>
    <row r="147" spans="22:26" x14ac:dyDescent="0.2">
      <c r="V147" s="202" t="str">
        <f t="shared" si="10"/>
        <v>1D</v>
      </c>
      <c r="W147" s="200">
        <f>_xll.qlCalendarAdvance(Calendar,W146,V147,"f",FALSE)</f>
        <v>42069</v>
      </c>
      <c r="X147" s="203">
        <f>_xll.qlCalendarAdvance(Calendar,W147,NDays&amp;"D")</f>
        <v>42073</v>
      </c>
      <c r="Y147" s="204">
        <v>-1.816560532152239E-4</v>
      </c>
      <c r="Z147" s="201">
        <v>-2.1620550817669226E-4</v>
      </c>
    </row>
    <row r="148" spans="22:26" x14ac:dyDescent="0.2">
      <c r="V148" s="202" t="str">
        <f t="shared" si="10"/>
        <v>1D</v>
      </c>
      <c r="W148" s="200">
        <f>_xll.qlCalendarAdvance(Calendar,W147,V148,"f",FALSE)</f>
        <v>42072</v>
      </c>
      <c r="X148" s="203">
        <f>_xll.qlCalendarAdvance(Calendar,W148,NDays&amp;"D")</f>
        <v>42074</v>
      </c>
      <c r="Y148" s="204">
        <v>-1.8293915142741923E-4</v>
      </c>
      <c r="Z148" s="201">
        <v>-2.10399368407721E-4</v>
      </c>
    </row>
    <row r="149" spans="22:26" x14ac:dyDescent="0.2">
      <c r="V149" s="202" t="str">
        <f t="shared" ref="V149:V212" si="11">V148</f>
        <v>1D</v>
      </c>
      <c r="W149" s="200">
        <f>_xll.qlCalendarAdvance(Calendar,W148,V149,"f",FALSE)</f>
        <v>42073</v>
      </c>
      <c r="X149" s="203">
        <f>_xll.qlCalendarAdvance(Calendar,W149,NDays&amp;"D")</f>
        <v>42075</v>
      </c>
      <c r="Y149" s="204">
        <v>-1.8208112606291071E-4</v>
      </c>
      <c r="Z149" s="201">
        <v>-2.0495574013956741E-4</v>
      </c>
    </row>
    <row r="150" spans="22:26" x14ac:dyDescent="0.2">
      <c r="V150" s="202" t="str">
        <f t="shared" si="11"/>
        <v>1D</v>
      </c>
      <c r="W150" s="200">
        <f>_xll.qlCalendarAdvance(Calendar,W149,V150,"f",FALSE)</f>
        <v>42074</v>
      </c>
      <c r="X150" s="203">
        <f>_xll.qlCalendarAdvance(Calendar,W150,NDays&amp;"D")</f>
        <v>42076</v>
      </c>
      <c r="Y150" s="204">
        <v>-1.8134333852753087E-4</v>
      </c>
      <c r="Z150" s="201">
        <v>-1.9527674941066664E-4</v>
      </c>
    </row>
    <row r="151" spans="22:26" x14ac:dyDescent="0.2">
      <c r="V151" s="202" t="str">
        <f t="shared" si="11"/>
        <v>1D</v>
      </c>
      <c r="W151" s="200">
        <f>_xll.qlCalendarAdvance(Calendar,W150,V151,"f",FALSE)</f>
        <v>42075</v>
      </c>
      <c r="X151" s="203">
        <f>_xll.qlCalendarAdvance(Calendar,W151,NDays&amp;"D")</f>
        <v>42079</v>
      </c>
      <c r="Y151" s="204">
        <v>-1.8361275236889623E-4</v>
      </c>
      <c r="Z151" s="201">
        <v>-1.8680634227496995E-4</v>
      </c>
    </row>
    <row r="152" spans="22:26" x14ac:dyDescent="0.2">
      <c r="V152" s="202" t="str">
        <f t="shared" si="11"/>
        <v>1D</v>
      </c>
      <c r="W152" s="200">
        <f>_xll.qlCalendarAdvance(Calendar,W151,V152,"f",FALSE)</f>
        <v>42076</v>
      </c>
      <c r="X152" s="203">
        <f>_xll.qlCalendarAdvance(Calendar,W152,NDays&amp;"D")</f>
        <v>42080</v>
      </c>
      <c r="Y152" s="204">
        <v>-1.8487246705887624E-4</v>
      </c>
      <c r="Z152" s="201">
        <v>-1.8317527175071291E-4</v>
      </c>
    </row>
    <row r="153" spans="22:26" x14ac:dyDescent="0.2">
      <c r="V153" s="202" t="str">
        <f t="shared" si="11"/>
        <v>1D</v>
      </c>
      <c r="W153" s="200">
        <f>_xll.qlCalendarAdvance(Calendar,W152,V153,"f",FALSE)</f>
        <v>42079</v>
      </c>
      <c r="X153" s="203">
        <f>_xll.qlCalendarAdvance(Calendar,W153,NDays&amp;"D")</f>
        <v>42081</v>
      </c>
      <c r="Y153" s="204">
        <v>-1.8925274750245728E-4</v>
      </c>
      <c r="Z153" s="201">
        <v>-1.7990671268730551E-4</v>
      </c>
    </row>
    <row r="154" spans="22:26" x14ac:dyDescent="0.2">
      <c r="V154" s="202" t="str">
        <f t="shared" si="11"/>
        <v>1D</v>
      </c>
      <c r="W154" s="200">
        <f>_xll.qlCalendarAdvance(Calendar,W153,V154,"f",FALSE)</f>
        <v>42080</v>
      </c>
      <c r="X154" s="203">
        <f>_xll.qlCalendarAdvance(Calendar,W154,NDays&amp;"D")</f>
        <v>42082</v>
      </c>
      <c r="Y154" s="204">
        <v>-1.8954490581341021E-4</v>
      </c>
      <c r="Z154" s="201">
        <v>-1.7700066532455594E-4</v>
      </c>
    </row>
    <row r="155" spans="22:26" x14ac:dyDescent="0.2">
      <c r="V155" s="202" t="str">
        <f t="shared" si="11"/>
        <v>1D</v>
      </c>
      <c r="W155" s="200">
        <f>_xll.qlCalendarAdvance(Calendar,W154,V155,"f",FALSE)</f>
        <v>42081</v>
      </c>
      <c r="X155" s="203">
        <f>_xll.qlCalendarAdvance(Calendar,W155,NDays&amp;"D")</f>
        <v>42083</v>
      </c>
      <c r="Y155" s="204">
        <v>-1.8994965212479611E-4</v>
      </c>
      <c r="Z155" s="201">
        <v>-1.723968598943415E-4</v>
      </c>
    </row>
    <row r="156" spans="22:26" x14ac:dyDescent="0.2">
      <c r="V156" s="202" t="str">
        <f t="shared" si="11"/>
        <v>1D</v>
      </c>
      <c r="W156" s="200">
        <f>_xll.qlCalendarAdvance(Calendar,W155,V156,"f",FALSE)</f>
        <v>42082</v>
      </c>
      <c r="X156" s="203">
        <f>_xll.qlCalendarAdvance(Calendar,W156,NDays&amp;"D")</f>
        <v>42086</v>
      </c>
      <c r="Y156" s="204">
        <v>-1.966563646726982E-4</v>
      </c>
      <c r="Z156" s="201">
        <v>-1.6900159164112694E-4</v>
      </c>
    </row>
    <row r="157" spans="22:26" x14ac:dyDescent="0.2">
      <c r="V157" s="202" t="str">
        <f t="shared" si="11"/>
        <v>1D</v>
      </c>
      <c r="W157" s="200">
        <f>_xll.qlCalendarAdvance(Calendar,W156,V157,"f",FALSE)</f>
        <v>42083</v>
      </c>
      <c r="X157" s="203">
        <f>_xll.qlCalendarAdvance(Calendar,W157,NDays&amp;"D")</f>
        <v>42087</v>
      </c>
      <c r="Y157" s="204">
        <v>-1.9918348963618348E-4</v>
      </c>
      <c r="Z157" s="201">
        <v>-1.6790810230205011E-4</v>
      </c>
    </row>
    <row r="158" spans="22:26" x14ac:dyDescent="0.2">
      <c r="V158" s="202" t="str">
        <f t="shared" si="11"/>
        <v>1D</v>
      </c>
      <c r="W158" s="200">
        <f>_xll.qlCalendarAdvance(Calendar,W157,V158,"f",FALSE)</f>
        <v>42086</v>
      </c>
      <c r="X158" s="203">
        <f>_xll.qlCalendarAdvance(Calendar,W158,NDays&amp;"D")</f>
        <v>42088</v>
      </c>
      <c r="Y158" s="204">
        <v>-2.0497705185801803E-4</v>
      </c>
      <c r="Z158" s="201">
        <v>-1.6717712454372702E-4</v>
      </c>
    </row>
    <row r="159" spans="22:26" x14ac:dyDescent="0.2">
      <c r="V159" s="202" t="str">
        <f t="shared" si="11"/>
        <v>1D</v>
      </c>
      <c r="W159" s="200">
        <f>_xll.qlCalendarAdvance(Calendar,W158,V159,"f",FALSE)</f>
        <v>42087</v>
      </c>
      <c r="X159" s="203">
        <f>_xll.qlCalendarAdvance(Calendar,W159,NDays&amp;"D")</f>
        <v>42089</v>
      </c>
      <c r="Y159" s="204">
        <v>-2.0615839532250879E-4</v>
      </c>
      <c r="Z159" s="201">
        <v>-1.6680865840612569E-4</v>
      </c>
    </row>
    <row r="160" spans="22:26" x14ac:dyDescent="0.2">
      <c r="V160" s="202" t="str">
        <f t="shared" si="11"/>
        <v>1D</v>
      </c>
      <c r="W160" s="200">
        <f>_xll.qlCalendarAdvance(Calendar,W159,V160,"f",FALSE)</f>
        <v>42088</v>
      </c>
      <c r="X160" s="203">
        <f>_xll.qlCalendarAdvance(Calendar,W160,NDays&amp;"D")</f>
        <v>42090</v>
      </c>
      <c r="Y160" s="204">
        <v>-2.0742783778873462E-4</v>
      </c>
      <c r="Z160" s="201">
        <v>-1.6728002050214741E-4</v>
      </c>
    </row>
    <row r="161" spans="22:26" x14ac:dyDescent="0.2">
      <c r="V161" s="202" t="str">
        <f t="shared" si="11"/>
        <v>1D</v>
      </c>
      <c r="W161" s="200">
        <f>_xll.qlCalendarAdvance(Calendar,W160,V161,"f",FALSE)</f>
        <v>42089</v>
      </c>
      <c r="X161" s="203">
        <f>_xll.qlCalendarAdvance(Calendar,W161,NDays&amp;"D")</f>
        <v>42093</v>
      </c>
      <c r="Y161" s="204">
        <v>-2.1634911277587207E-4</v>
      </c>
      <c r="Z161" s="201">
        <v>-1.6895991014287404E-4</v>
      </c>
    </row>
    <row r="162" spans="22:26" x14ac:dyDescent="0.2">
      <c r="V162" s="202" t="str">
        <f t="shared" si="11"/>
        <v>1D</v>
      </c>
      <c r="W162" s="200">
        <f>_xll.qlCalendarAdvance(Calendar,W161,V162,"f",FALSE)</f>
        <v>42090</v>
      </c>
      <c r="X162" s="203">
        <f>_xll.qlCalendarAdvance(Calendar,W162,NDays&amp;"D")</f>
        <v>42094</v>
      </c>
      <c r="Y162" s="204">
        <v>-2.1792885514448912E-4</v>
      </c>
      <c r="Z162" s="201">
        <v>-1.7040400214884954E-4</v>
      </c>
    </row>
    <row r="163" spans="22:26" x14ac:dyDescent="0.2">
      <c r="V163" s="202" t="str">
        <f t="shared" si="11"/>
        <v>1D</v>
      </c>
      <c r="W163" s="200">
        <f>_xll.qlCalendarAdvance(Calendar,W162,V163,"f",FALSE)</f>
        <v>42093</v>
      </c>
      <c r="X163" s="203">
        <f>_xll.qlCalendarAdvance(Calendar,W163,NDays&amp;"D")</f>
        <v>42095</v>
      </c>
      <c r="Y163" s="204">
        <v>-2.2524001277083016E-4</v>
      </c>
      <c r="Z163" s="201">
        <v>-1.7221060577554681E-4</v>
      </c>
    </row>
    <row r="164" spans="22:26" x14ac:dyDescent="0.2">
      <c r="V164" s="202" t="str">
        <f t="shared" si="11"/>
        <v>1D</v>
      </c>
      <c r="W164" s="200">
        <f>_xll.qlCalendarAdvance(Calendar,W163,V164,"f",FALSE)</f>
        <v>42094</v>
      </c>
      <c r="X164" s="203">
        <f>_xll.qlCalendarAdvance(Calendar,W164,NDays&amp;"D")</f>
        <v>42096</v>
      </c>
      <c r="Y164" s="204">
        <v>-2.2689729027886019E-4</v>
      </c>
      <c r="Z164" s="201">
        <v>-1.8016781748908528E-4</v>
      </c>
    </row>
    <row r="165" spans="22:26" x14ac:dyDescent="0.2">
      <c r="V165" s="202" t="str">
        <f t="shared" si="11"/>
        <v>1D</v>
      </c>
      <c r="W165" s="200">
        <f>_xll.qlCalendarAdvance(Calendar,W164,V165,"f",FALSE)</f>
        <v>42095</v>
      </c>
      <c r="X165" s="203">
        <f>_xll.qlCalendarAdvance(Calendar,W165,NDays&amp;"D")</f>
        <v>42101</v>
      </c>
      <c r="Y165" s="204">
        <v>-2.3919886255718836E-4</v>
      </c>
      <c r="Z165" s="201">
        <v>-1.9066297093139895E-4</v>
      </c>
    </row>
    <row r="166" spans="22:26" x14ac:dyDescent="0.2">
      <c r="V166" s="202" t="str">
        <f t="shared" si="11"/>
        <v>1D</v>
      </c>
      <c r="W166" s="200">
        <f>_xll.qlCalendarAdvance(Calendar,W165,V166,"f",FALSE)</f>
        <v>42096</v>
      </c>
      <c r="X166" s="203">
        <f>_xll.qlCalendarAdvance(Calendar,W166,NDays&amp;"D")</f>
        <v>42102</v>
      </c>
      <c r="Y166" s="204">
        <v>-2.4199999999785504E-4</v>
      </c>
      <c r="Z166" s="201">
        <v>-1.9492903139628481E-4</v>
      </c>
    </row>
    <row r="167" spans="22:26" x14ac:dyDescent="0.2">
      <c r="V167" s="202" t="str">
        <f t="shared" si="11"/>
        <v>1D</v>
      </c>
      <c r="W167" s="200">
        <f>_xll.qlCalendarAdvance(Calendar,W166,V167,"f",FALSE)</f>
        <v>42101</v>
      </c>
      <c r="X167" s="203">
        <f>_xll.qlCalendarAdvance(Calendar,W167,NDays&amp;"D")</f>
        <v>42103</v>
      </c>
      <c r="Y167" s="204">
        <v>-2.4675555487782552E-4</v>
      </c>
      <c r="Z167" s="201">
        <v>-1.9916698242639086E-4</v>
      </c>
    </row>
    <row r="168" spans="22:26" x14ac:dyDescent="0.2">
      <c r="V168" s="202" t="str">
        <f t="shared" si="11"/>
        <v>1D</v>
      </c>
      <c r="W168" s="200">
        <f>_xll.qlCalendarAdvance(Calendar,W167,V168,"f",FALSE)</f>
        <v>42102</v>
      </c>
      <c r="X168" s="203">
        <f>_xll.qlCalendarAdvance(Calendar,W168,NDays&amp;"D")</f>
        <v>42104</v>
      </c>
      <c r="Y168" s="204">
        <v>-2.4829080748315252E-4</v>
      </c>
      <c r="Z168" s="201">
        <v>-2.0728865252284123E-4</v>
      </c>
    </row>
    <row r="169" spans="22:26" x14ac:dyDescent="0.2">
      <c r="V169" s="202" t="str">
        <f t="shared" si="11"/>
        <v>1D</v>
      </c>
      <c r="W169" s="200">
        <f>_xll.qlCalendarAdvance(Calendar,W168,V169,"f",FALSE)</f>
        <v>42103</v>
      </c>
      <c r="X169" s="203">
        <f>_xll.qlCalendarAdvance(Calendar,W169,NDays&amp;"D")</f>
        <v>42107</v>
      </c>
      <c r="Y169" s="204">
        <v>-2.5450325326392687E-4</v>
      </c>
      <c r="Z169" s="201">
        <v>-2.150564488889728E-4</v>
      </c>
    </row>
    <row r="170" spans="22:26" x14ac:dyDescent="0.2">
      <c r="V170" s="202" t="str">
        <f t="shared" si="11"/>
        <v>1D</v>
      </c>
      <c r="W170" s="200">
        <f>_xll.qlCalendarAdvance(Calendar,W169,V170,"f",FALSE)</f>
        <v>42104</v>
      </c>
      <c r="X170" s="203">
        <f>_xll.qlCalendarAdvance(Calendar,W170,NDays&amp;"D")</f>
        <v>42108</v>
      </c>
      <c r="Y170" s="204">
        <v>-2.5672640656138057E-4</v>
      </c>
      <c r="Z170" s="201">
        <v>-2.1876323128999786E-4</v>
      </c>
    </row>
    <row r="171" spans="22:26" x14ac:dyDescent="0.2">
      <c r="V171" s="202" t="str">
        <f t="shared" si="11"/>
        <v>1D</v>
      </c>
      <c r="W171" s="200">
        <f>_xll.qlCalendarAdvance(Calendar,W170,V171,"f",FALSE)</f>
        <v>42107</v>
      </c>
      <c r="X171" s="203">
        <f>_xll.qlCalendarAdvance(Calendar,W171,NDays&amp;"D")</f>
        <v>42109</v>
      </c>
      <c r="Y171" s="204">
        <v>-2.5886579995848535E-4</v>
      </c>
      <c r="Z171" s="201">
        <v>-2.2236377986928346E-4</v>
      </c>
    </row>
    <row r="172" spans="22:26" x14ac:dyDescent="0.2">
      <c r="V172" s="202" t="str">
        <f t="shared" si="11"/>
        <v>1D</v>
      </c>
      <c r="W172" s="200">
        <f>_xll.qlCalendarAdvance(Calendar,W171,V172,"f",FALSE)</f>
        <v>42108</v>
      </c>
      <c r="X172" s="203">
        <f>_xll.qlCalendarAdvance(Calendar,W172,NDays&amp;"D")</f>
        <v>42110</v>
      </c>
      <c r="Y172" s="204">
        <v>-2.6248938494163876E-4</v>
      </c>
      <c r="Z172" s="201">
        <v>-2.2585809482666974E-4</v>
      </c>
    </row>
    <row r="173" spans="22:26" x14ac:dyDescent="0.2">
      <c r="V173" s="202" t="str">
        <f t="shared" si="11"/>
        <v>1D</v>
      </c>
      <c r="W173" s="200">
        <f>_xll.qlCalendarAdvance(Calendar,W172,V173,"f",FALSE)</f>
        <v>42109</v>
      </c>
      <c r="X173" s="203">
        <f>_xll.qlCalendarAdvance(Calendar,W173,NDays&amp;"D")</f>
        <v>42111</v>
      </c>
      <c r="Y173" s="204">
        <v>-2.6367120488399089E-4</v>
      </c>
      <c r="Z173" s="201">
        <v>-2.324924620822344E-4</v>
      </c>
    </row>
    <row r="174" spans="22:26" x14ac:dyDescent="0.2">
      <c r="V174" s="202" t="str">
        <f t="shared" si="11"/>
        <v>1D</v>
      </c>
      <c r="W174" s="200">
        <f>_xll.qlCalendarAdvance(Calendar,W173,V174,"f",FALSE)</f>
        <v>42110</v>
      </c>
      <c r="X174" s="203">
        <f>_xll.qlCalendarAdvance(Calendar,W174,NDays&amp;"D")</f>
        <v>42114</v>
      </c>
      <c r="Y174" s="204">
        <v>-2.6843745639926198E-4</v>
      </c>
      <c r="Z174" s="201">
        <v>-2.387730173980529E-4</v>
      </c>
    </row>
    <row r="175" spans="22:26" x14ac:dyDescent="0.2">
      <c r="V175" s="202" t="str">
        <f t="shared" si="11"/>
        <v>1D</v>
      </c>
      <c r="W175" s="200">
        <f>_xll.qlCalendarAdvance(Calendar,W174,V175,"f",FALSE)</f>
        <v>42111</v>
      </c>
      <c r="X175" s="203">
        <f>_xll.qlCalendarAdvance(Calendar,W175,NDays&amp;"D")</f>
        <v>42115</v>
      </c>
      <c r="Y175" s="204">
        <v>-2.7015294309329363E-4</v>
      </c>
      <c r="Z175" s="201">
        <v>-2.417361637263582E-4</v>
      </c>
    </row>
    <row r="176" spans="22:26" x14ac:dyDescent="0.2">
      <c r="V176" s="202" t="str">
        <f t="shared" si="11"/>
        <v>1D</v>
      </c>
      <c r="W176" s="200">
        <f>_xll.qlCalendarAdvance(Calendar,W175,V176,"f",FALSE)</f>
        <v>42114</v>
      </c>
      <c r="X176" s="203">
        <f>_xll.qlCalendarAdvance(Calendar,W176,NDays&amp;"D")</f>
        <v>42116</v>
      </c>
      <c r="Y176" s="204">
        <v>-2.7181088741912163E-4</v>
      </c>
      <c r="Z176" s="201">
        <v>-2.4459307643276418E-4</v>
      </c>
    </row>
    <row r="177" spans="22:26" x14ac:dyDescent="0.2">
      <c r="V177" s="202" t="str">
        <f t="shared" si="11"/>
        <v>1D</v>
      </c>
      <c r="W177" s="200">
        <f>_xll.qlCalendarAdvance(Calendar,W176,V177,"f",FALSE)</f>
        <v>42115</v>
      </c>
      <c r="X177" s="203">
        <f>_xll.qlCalendarAdvance(Calendar,W177,NDays&amp;"D")</f>
        <v>42117</v>
      </c>
      <c r="Y177" s="204">
        <v>-2.7473837233102372E-4</v>
      </c>
      <c r="Z177" s="201">
        <v>-2.4734375539736675E-4</v>
      </c>
    </row>
    <row r="178" spans="22:26" x14ac:dyDescent="0.2">
      <c r="V178" s="202" t="str">
        <f t="shared" si="11"/>
        <v>1D</v>
      </c>
      <c r="W178" s="200">
        <f>_xll.qlCalendarAdvance(Calendar,W177,V178,"f",FALSE)</f>
        <v>42116</v>
      </c>
      <c r="X178" s="203">
        <f>_xll.qlCalendarAdvance(Calendar,W178,NDays&amp;"D")</f>
        <v>42118</v>
      </c>
      <c r="Y178" s="204">
        <v>-2.7562225902127443E-4</v>
      </c>
      <c r="Z178" s="201">
        <v>-2.524908240220114E-4</v>
      </c>
    </row>
    <row r="179" spans="22:26" x14ac:dyDescent="0.2">
      <c r="V179" s="202" t="str">
        <f t="shared" si="11"/>
        <v>1D</v>
      </c>
      <c r="W179" s="200">
        <f>_xll.qlCalendarAdvance(Calendar,W178,V179,"f",FALSE)</f>
        <v>42117</v>
      </c>
      <c r="X179" s="203">
        <f>_xll.qlCalendarAdvance(Calendar,W179,NDays&amp;"D")</f>
        <v>42121</v>
      </c>
      <c r="Y179" s="204">
        <v>-2.7936856052113157E-4</v>
      </c>
      <c r="Z179" s="201">
        <v>-2.5728413451719945E-4</v>
      </c>
    </row>
    <row r="180" spans="22:26" x14ac:dyDescent="0.2">
      <c r="V180" s="202" t="str">
        <f t="shared" si="11"/>
        <v>1D</v>
      </c>
      <c r="W180" s="200">
        <f>_xll.qlCalendarAdvance(Calendar,W179,V180,"f",FALSE)</f>
        <v>42118</v>
      </c>
      <c r="X180" s="203">
        <f>_xll.qlCalendarAdvance(Calendar,W180,NDays&amp;"D")</f>
        <v>42122</v>
      </c>
      <c r="Y180" s="204">
        <v>-2.8075990281450913E-4</v>
      </c>
      <c r="Z180" s="201">
        <v>-2.5950364505256118E-4</v>
      </c>
    </row>
    <row r="181" spans="22:26" x14ac:dyDescent="0.2">
      <c r="V181" s="202" t="str">
        <f t="shared" si="11"/>
        <v>1D</v>
      </c>
      <c r="W181" s="200">
        <f>_xll.qlCalendarAdvance(Calendar,W180,V181,"f",FALSE)</f>
        <v>42121</v>
      </c>
      <c r="X181" s="203">
        <f>_xll.qlCalendarAdvance(Calendar,W181,NDays&amp;"D")</f>
        <v>42123</v>
      </c>
      <c r="Y181" s="204">
        <v>-2.8211992011195619E-4</v>
      </c>
      <c r="Z181" s="201">
        <v>-2.6161692200599163E-4</v>
      </c>
    </row>
    <row r="182" spans="22:26" x14ac:dyDescent="0.2">
      <c r="V182" s="202" t="str">
        <f t="shared" si="11"/>
        <v>1D</v>
      </c>
      <c r="W182" s="200">
        <f>_xll.qlCalendarAdvance(Calendar,W181,V182,"f",FALSE)</f>
        <v>42122</v>
      </c>
      <c r="X182" s="203">
        <f>_xll.qlCalendarAdvance(Calendar,W182,NDays&amp;"D")</f>
        <v>42124</v>
      </c>
      <c r="Y182" s="204">
        <v>-2.8282712558154406E-4</v>
      </c>
      <c r="Z182" s="201">
        <v>-2.6636865017692912E-4</v>
      </c>
    </row>
    <row r="183" spans="22:26" x14ac:dyDescent="0.2">
      <c r="V183" s="202" t="str">
        <f t="shared" si="11"/>
        <v>1D</v>
      </c>
      <c r="W183" s="200">
        <f>_xll.qlCalendarAdvance(Calendar,W182,V183,"f",FALSE)</f>
        <v>42123</v>
      </c>
      <c r="X183" s="203">
        <f>_xll.qlCalendarAdvance(Calendar,W183,NDays&amp;"D")</f>
        <v>42128</v>
      </c>
      <c r="Y183" s="204">
        <v>-2.8921101252822286E-4</v>
      </c>
      <c r="Z183" s="201">
        <v>-2.7058980128558119E-4</v>
      </c>
    </row>
    <row r="184" spans="22:26" x14ac:dyDescent="0.2">
      <c r="V184" s="202" t="str">
        <f t="shared" si="11"/>
        <v>1D</v>
      </c>
      <c r="W184" s="200">
        <f>_xll.qlCalendarAdvance(Calendar,W183,V184,"f",FALSE)</f>
        <v>42124</v>
      </c>
      <c r="X184" s="203">
        <f>_xll.qlCalendarAdvance(Calendar,W184,NDays&amp;"D")</f>
        <v>42129</v>
      </c>
      <c r="Y184" s="204">
        <v>-2.9046404981505631E-4</v>
      </c>
      <c r="Z184" s="201">
        <v>-2.7206567610793542E-4</v>
      </c>
    </row>
    <row r="185" spans="22:26" x14ac:dyDescent="0.2">
      <c r="V185" s="202" t="str">
        <f t="shared" si="11"/>
        <v>1D</v>
      </c>
      <c r="W185" s="200">
        <f>_xll.qlCalendarAdvance(Calendar,W184,V185,"f",FALSE)</f>
        <v>42128</v>
      </c>
      <c r="X185" s="203">
        <f>_xll.qlCalendarAdvance(Calendar,W185,NDays&amp;"D")</f>
        <v>42130</v>
      </c>
      <c r="Y185" s="204">
        <v>-2.9298802355279014E-4</v>
      </c>
      <c r="Z185" s="201">
        <v>-2.734353172684223E-4</v>
      </c>
    </row>
    <row r="186" spans="22:26" x14ac:dyDescent="0.2">
      <c r="V186" s="202" t="str">
        <f t="shared" si="11"/>
        <v>1D</v>
      </c>
      <c r="W186" s="200">
        <f>_xll.qlCalendarAdvance(Calendar,W185,V186,"f",FALSE)</f>
        <v>42129</v>
      </c>
      <c r="X186" s="203">
        <f>_xll.qlCalendarAdvance(Calendar,W186,NDays&amp;"D")</f>
        <v>42131</v>
      </c>
      <c r="Y186" s="204">
        <v>-2.9359926862579377E-4</v>
      </c>
      <c r="Z186" s="201">
        <v>-2.7469872476704182E-4</v>
      </c>
    </row>
    <row r="187" spans="22:26" x14ac:dyDescent="0.2">
      <c r="V187" s="202" t="str">
        <f t="shared" si="11"/>
        <v>1D</v>
      </c>
      <c r="W187" s="200">
        <f>_xll.qlCalendarAdvance(Calendar,W186,V187,"f",FALSE)</f>
        <v>42130</v>
      </c>
      <c r="X187" s="203">
        <f>_xll.qlCalendarAdvance(Calendar,W187,NDays&amp;"D")</f>
        <v>42132</v>
      </c>
      <c r="Y187" s="204">
        <v>-2.9420918808552971E-4</v>
      </c>
      <c r="Z187" s="201">
        <v>-2.7703975764126199E-4</v>
      </c>
    </row>
    <row r="188" spans="22:26" x14ac:dyDescent="0.2">
      <c r="V188" s="202" t="str">
        <f t="shared" si="11"/>
        <v>1D</v>
      </c>
      <c r="W188" s="200">
        <f>_xll.qlCalendarAdvance(Calendar,W187,V188,"f",FALSE)</f>
        <v>42131</v>
      </c>
      <c r="X188" s="203">
        <f>_xll.qlCalendarAdvance(Calendar,W188,NDays&amp;"D")</f>
        <v>42135</v>
      </c>
      <c r="Y188" s="204">
        <v>-2.9792233450683326E-4</v>
      </c>
      <c r="Z188" s="201">
        <v>-2.793829182801133E-4</v>
      </c>
    </row>
    <row r="189" spans="22:26" x14ac:dyDescent="0.2">
      <c r="V189" s="202" t="str">
        <f t="shared" si="11"/>
        <v>1D</v>
      </c>
      <c r="W189" s="200">
        <f>_xll.qlCalendarAdvance(Calendar,W188,V189,"f",FALSE)</f>
        <v>42132</v>
      </c>
      <c r="X189" s="203">
        <f>_xll.qlCalendarAdvance(Calendar,W189,NDays&amp;"D")</f>
        <v>42136</v>
      </c>
      <c r="Y189" s="204">
        <v>-2.9909884725341383E-4</v>
      </c>
      <c r="Z189" s="201">
        <v>-2.805646060677347E-4</v>
      </c>
    </row>
    <row r="190" spans="22:26" x14ac:dyDescent="0.2">
      <c r="V190" s="202" t="str">
        <f t="shared" si="11"/>
        <v>1D</v>
      </c>
      <c r="W190" s="200">
        <f>_xll.qlCalendarAdvance(Calendar,W189,V190,"f",FALSE)</f>
        <v>42135</v>
      </c>
      <c r="X190" s="203">
        <f>_xll.qlCalendarAdvance(Calendar,W190,NDays&amp;"D")</f>
        <v>42137</v>
      </c>
      <c r="Y190" s="204">
        <v>-3.0101940214526996E-4</v>
      </c>
      <c r="Z190" s="201">
        <v>-2.8175242251293753E-4</v>
      </c>
    </row>
    <row r="191" spans="22:26" x14ac:dyDescent="0.2">
      <c r="V191" s="202" t="str">
        <f t="shared" si="11"/>
        <v>1D</v>
      </c>
      <c r="W191" s="200">
        <f>_xll.qlCalendarAdvance(Calendar,W190,V191,"f",FALSE)</f>
        <v>42136</v>
      </c>
      <c r="X191" s="203">
        <f>_xll.qlCalendarAdvance(Calendar,W191,NDays&amp;"D")</f>
        <v>42138</v>
      </c>
      <c r="Y191" s="204">
        <v>-3.0162173132119996E-4</v>
      </c>
      <c r="Z191" s="201">
        <v>-2.8294636733594558E-4</v>
      </c>
    </row>
    <row r="192" spans="22:26" x14ac:dyDescent="0.2">
      <c r="V192" s="202" t="str">
        <f t="shared" si="11"/>
        <v>1D</v>
      </c>
      <c r="W192" s="200">
        <f>_xll.qlCalendarAdvance(Calendar,W191,V192,"f",FALSE)</f>
        <v>42137</v>
      </c>
      <c r="X192" s="203">
        <f>_xll.qlCalendarAdvance(Calendar,W192,NDays&amp;"D")</f>
        <v>42139</v>
      </c>
      <c r="Y192" s="204">
        <v>-3.022243999539406E-4</v>
      </c>
      <c r="Z192" s="201">
        <v>-2.853544593683921E-4</v>
      </c>
    </row>
    <row r="193" spans="22:26" x14ac:dyDescent="0.2">
      <c r="V193" s="202" t="str">
        <f t="shared" si="11"/>
        <v>1D</v>
      </c>
      <c r="W193" s="200">
        <f>_xll.qlCalendarAdvance(Calendar,W192,V193,"f",FALSE)</f>
        <v>42138</v>
      </c>
      <c r="X193" s="203">
        <f>_xll.qlCalendarAdvance(Calendar,W193,NDays&amp;"D")</f>
        <v>42142</v>
      </c>
      <c r="Y193" s="204">
        <v>-3.0441340854897402E-4</v>
      </c>
      <c r="Z193" s="201">
        <v>-2.8778343200475121E-4</v>
      </c>
    </row>
    <row r="194" spans="22:26" x14ac:dyDescent="0.2">
      <c r="V194" s="202" t="str">
        <f t="shared" si="11"/>
        <v>1D</v>
      </c>
      <c r="W194" s="200">
        <f>_xll.qlCalendarAdvance(Calendar,W193,V194,"f",FALSE)</f>
        <v>42139</v>
      </c>
      <c r="X194" s="203">
        <f>_xll.qlCalendarAdvance(Calendar,W194,NDays&amp;"D")</f>
        <v>42143</v>
      </c>
      <c r="Y194" s="204">
        <v>-3.048614981182943E-4</v>
      </c>
      <c r="Z194" s="201">
        <v>-2.8900801947617794E-4</v>
      </c>
    </row>
    <row r="195" spans="22:26" x14ac:dyDescent="0.2">
      <c r="V195" s="202" t="str">
        <f t="shared" si="11"/>
        <v>1D</v>
      </c>
      <c r="W195" s="200">
        <f>_xll.qlCalendarAdvance(Calendar,W194,V195,"f",FALSE)</f>
        <v>42142</v>
      </c>
      <c r="X195" s="203">
        <f>_xll.qlCalendarAdvance(Calendar,W195,NDays&amp;"D")</f>
        <v>42144</v>
      </c>
      <c r="Y195" s="204">
        <v>-3.0427451325804549E-4</v>
      </c>
      <c r="Z195" s="201">
        <v>-2.9023873536537792E-4</v>
      </c>
    </row>
    <row r="196" spans="22:26" x14ac:dyDescent="0.2">
      <c r="V196" s="202" t="str">
        <f t="shared" si="11"/>
        <v>1D</v>
      </c>
      <c r="W196" s="200">
        <f>_xll.qlCalendarAdvance(Calendar,W195,V196,"f",FALSE)</f>
        <v>42143</v>
      </c>
      <c r="X196" s="203">
        <f>_xll.qlCalendarAdvance(Calendar,W196,NDays&amp;"D")</f>
        <v>42145</v>
      </c>
      <c r="Y196" s="204">
        <v>-3.0471337698317891E-4</v>
      </c>
      <c r="Z196" s="201">
        <v>-2.914755798721913E-4</v>
      </c>
    </row>
    <row r="197" spans="22:26" x14ac:dyDescent="0.2">
      <c r="V197" s="202" t="str">
        <f t="shared" si="11"/>
        <v>1D</v>
      </c>
      <c r="W197" s="200">
        <f>_xll.qlCalendarAdvance(Calendar,W196,V197,"f",FALSE)</f>
        <v>42144</v>
      </c>
      <c r="X197" s="203">
        <f>_xll.qlCalendarAdvance(Calendar,W197,NDays&amp;"D")</f>
        <v>42146</v>
      </c>
      <c r="Y197" s="204">
        <v>-3.0514064975558389E-4</v>
      </c>
      <c r="Z197" s="201">
        <v>-2.9396945708359823E-4</v>
      </c>
    </row>
    <row r="198" spans="22:26" x14ac:dyDescent="0.2">
      <c r="V198" s="202" t="str">
        <f t="shared" si="11"/>
        <v>1D</v>
      </c>
      <c r="W198" s="200">
        <f>_xll.qlCalendarAdvance(Calendar,W197,V198,"f",FALSE)</f>
        <v>42145</v>
      </c>
      <c r="X198" s="203">
        <f>_xll.qlCalendarAdvance(Calendar,W198,NDays&amp;"D")</f>
        <v>42149</v>
      </c>
      <c r="Y198" s="204">
        <v>-3.0349155957504382E-4</v>
      </c>
      <c r="Z198" s="201">
        <v>-2.9648424275663388E-4</v>
      </c>
    </row>
    <row r="199" spans="22:26" x14ac:dyDescent="0.2">
      <c r="V199" s="202" t="str">
        <f t="shared" si="11"/>
        <v>1D</v>
      </c>
      <c r="W199" s="200">
        <f>_xll.qlCalendarAdvance(Calendar,W198,V199,"f",FALSE)</f>
        <v>42146</v>
      </c>
      <c r="X199" s="203">
        <f>_xll.qlCalendarAdvance(Calendar,W199,NDays&amp;"D")</f>
        <v>42150</v>
      </c>
      <c r="Y199" s="204">
        <v>-3.0243990538937301E-4</v>
      </c>
      <c r="Z199" s="201">
        <v>-2.9775172967205776E-4</v>
      </c>
    </row>
    <row r="200" spans="22:26" x14ac:dyDescent="0.2">
      <c r="V200" s="202" t="str">
        <f t="shared" si="11"/>
        <v>1D</v>
      </c>
      <c r="W200" s="200">
        <f>_xll.qlCalendarAdvance(Calendar,W199,V200,"f",FALSE)</f>
        <v>42149</v>
      </c>
      <c r="X200" s="203">
        <f>_xll.qlCalendarAdvance(Calendar,W200,NDays&amp;"D")</f>
        <v>42151</v>
      </c>
      <c r="Y200" s="204">
        <v>-2.9768588723388945E-4</v>
      </c>
      <c r="Z200" s="201">
        <v>-2.9902534524506308E-4</v>
      </c>
    </row>
    <row r="201" spans="22:26" x14ac:dyDescent="0.2">
      <c r="V201" s="202" t="str">
        <f t="shared" si="11"/>
        <v>1D</v>
      </c>
      <c r="W201" s="200">
        <f>_xll.qlCalendarAdvance(Calendar,W200,V201,"f",FALSE)</f>
        <v>42150</v>
      </c>
      <c r="X201" s="203">
        <f>_xll.qlCalendarAdvance(Calendar,W201,NDays&amp;"D")</f>
        <v>42152</v>
      </c>
      <c r="Y201" s="204">
        <v>-2.9764427640202595E-4</v>
      </c>
      <c r="Z201" s="201">
        <v>-3.0030508919587362E-4</v>
      </c>
    </row>
    <row r="202" spans="22:26" x14ac:dyDescent="0.2">
      <c r="V202" s="202" t="str">
        <f t="shared" si="11"/>
        <v>1D</v>
      </c>
      <c r="W202" s="200">
        <f>_xll.qlCalendarAdvance(Calendar,W201,V202,"f",FALSE)</f>
        <v>42151</v>
      </c>
      <c r="X202" s="203">
        <f>_xll.qlCalendarAdvance(Calendar,W202,NDays&amp;"D")</f>
        <v>42153</v>
      </c>
      <c r="Y202" s="204">
        <v>-2.9549996881927942E-4</v>
      </c>
      <c r="Z202" s="201">
        <v>-3.028847507735577E-4</v>
      </c>
    </row>
    <row r="203" spans="22:26" x14ac:dyDescent="0.2">
      <c r="V203" s="202" t="str">
        <f t="shared" si="11"/>
        <v>1D</v>
      </c>
      <c r="W203" s="200">
        <f>_xll.qlCalendarAdvance(Calendar,W202,V203,"f",FALSE)</f>
        <v>42152</v>
      </c>
      <c r="X203" s="203">
        <f>_xll.qlCalendarAdvance(Calendar,W203,NDays&amp;"D")</f>
        <v>42156</v>
      </c>
      <c r="Y203" s="204">
        <v>-2.9232642372223339E-4</v>
      </c>
      <c r="Z203" s="201">
        <v>-3.0548535033592117E-4</v>
      </c>
    </row>
    <row r="204" spans="22:26" x14ac:dyDescent="0.2">
      <c r="V204" s="202" t="str">
        <f t="shared" si="11"/>
        <v>1D</v>
      </c>
      <c r="W204" s="200">
        <f>_xll.qlCalendarAdvance(Calendar,W203,V204,"f",FALSE)</f>
        <v>42153</v>
      </c>
      <c r="X204" s="203">
        <f>_xll.qlCalendarAdvance(Calendar,W204,NDays&amp;"D")</f>
        <v>42157</v>
      </c>
      <c r="Y204" s="204">
        <v>-2.8923351766030336E-4</v>
      </c>
      <c r="Z204" s="201">
        <v>-3.0679573685521433E-4</v>
      </c>
    </row>
    <row r="205" spans="22:26" x14ac:dyDescent="0.2">
      <c r="V205" s="202" t="str">
        <f t="shared" si="11"/>
        <v>1D</v>
      </c>
      <c r="W205" s="200">
        <f>_xll.qlCalendarAdvance(Calendar,W204,V205,"f",FALSE)</f>
        <v>42156</v>
      </c>
      <c r="X205" s="203">
        <f>_xll.qlCalendarAdvance(Calendar,W205,NDays&amp;"D")</f>
        <v>42158</v>
      </c>
      <c r="Y205" s="204">
        <v>-2.8575635533689692E-4</v>
      </c>
      <c r="Z205" s="201">
        <v>-3.0811225195215286E-4</v>
      </c>
    </row>
    <row r="206" spans="22:26" x14ac:dyDescent="0.2">
      <c r="V206" s="202" t="str">
        <f t="shared" si="11"/>
        <v>1D</v>
      </c>
      <c r="W206" s="200">
        <f>_xll.qlCalendarAdvance(Calendar,W205,V206,"f",FALSE)</f>
        <v>42157</v>
      </c>
      <c r="X206" s="203">
        <f>_xll.qlCalendarAdvance(Calendar,W206,NDays&amp;"D")</f>
        <v>42159</v>
      </c>
      <c r="Y206" s="204">
        <v>-2.7518388150932216E-4</v>
      </c>
      <c r="Z206" s="201">
        <v>-3.0943489542689662E-4</v>
      </c>
    </row>
    <row r="207" spans="22:26" x14ac:dyDescent="0.2">
      <c r="V207" s="202" t="str">
        <f t="shared" si="11"/>
        <v>1D</v>
      </c>
      <c r="W207" s="200">
        <f>_xll.qlCalendarAdvance(Calendar,W206,V207,"f",FALSE)</f>
        <v>42158</v>
      </c>
      <c r="X207" s="203">
        <f>_xll.qlCalendarAdvance(Calendar,W207,NDays&amp;"D")</f>
        <v>42160</v>
      </c>
      <c r="Y207" s="204">
        <v>-2.7407924567579209E-4</v>
      </c>
      <c r="Z207" s="201">
        <v>-3.1210034037165713E-4</v>
      </c>
    </row>
    <row r="208" spans="22:26" x14ac:dyDescent="0.2">
      <c r="V208" s="202" t="str">
        <f t="shared" si="11"/>
        <v>1D</v>
      </c>
      <c r="W208" s="200">
        <f>_xll.qlCalendarAdvance(Calendar,W207,V208,"f",FALSE)</f>
        <v>42159</v>
      </c>
      <c r="X208" s="203">
        <f>_xll.qlCalendarAdvance(Calendar,W208,NDays&amp;"D")</f>
        <v>42163</v>
      </c>
      <c r="Y208" s="204">
        <v>-2.6203737590568821E-4</v>
      </c>
      <c r="Z208" s="201">
        <v>-3.1470542288136727E-4</v>
      </c>
    </row>
    <row r="209" spans="22:26" x14ac:dyDescent="0.2">
      <c r="V209" s="202" t="str">
        <f t="shared" si="11"/>
        <v>1D</v>
      </c>
      <c r="W209" s="200">
        <f>_xll.qlCalendarAdvance(Calendar,W208,V209,"f",FALSE)</f>
        <v>42160</v>
      </c>
      <c r="X209" s="203">
        <f>_xll.qlCalendarAdvance(Calendar,W209,NDays&amp;"D")</f>
        <v>42164</v>
      </c>
      <c r="Y209" s="204">
        <v>-2.5592332486157332E-4</v>
      </c>
      <c r="Z209" s="201">
        <v>-3.1557071803689496E-4</v>
      </c>
    </row>
    <row r="210" spans="22:26" x14ac:dyDescent="0.2">
      <c r="V210" s="202" t="str">
        <f t="shared" si="11"/>
        <v>1D</v>
      </c>
      <c r="W210" s="200">
        <f>_xll.qlCalendarAdvance(Calendar,W209,V210,"f",FALSE)</f>
        <v>42163</v>
      </c>
      <c r="X210" s="203">
        <f>_xll.qlCalendarAdvance(Calendar,W210,NDays&amp;"D")</f>
        <v>42165</v>
      </c>
      <c r="Y210" s="204">
        <v>-2.4937261666702071E-4</v>
      </c>
      <c r="Z210" s="201">
        <v>-3.1595415060259313E-4</v>
      </c>
    </row>
    <row r="211" spans="22:26" x14ac:dyDescent="0.2">
      <c r="V211" s="202" t="str">
        <f t="shared" si="11"/>
        <v>1D</v>
      </c>
      <c r="W211" s="200">
        <f>_xll.qlCalendarAdvance(Calendar,W210,V211,"f",FALSE)</f>
        <v>42164</v>
      </c>
      <c r="X211" s="203">
        <f>_xll.qlCalendarAdvance(Calendar,W211,NDays&amp;"D")</f>
        <v>42166</v>
      </c>
      <c r="Y211" s="204">
        <v>-2.3305296374231954E-4</v>
      </c>
      <c r="Z211" s="201">
        <v>-3.1585572081826996E-4</v>
      </c>
    </row>
    <row r="212" spans="22:26" x14ac:dyDescent="0.2">
      <c r="V212" s="202" t="str">
        <f t="shared" si="11"/>
        <v>1D</v>
      </c>
      <c r="W212" s="200">
        <f>_xll.qlCalendarAdvance(Calendar,W211,V212,"f",FALSE)</f>
        <v>42165</v>
      </c>
      <c r="X212" s="203">
        <f>_xll.qlCalendarAdvance(Calendar,W212,NDays&amp;"D")</f>
        <v>42167</v>
      </c>
      <c r="Y212" s="204">
        <v>-2.3038210919366515E-4</v>
      </c>
      <c r="Z212" s="201">
        <v>-3.1405237874260195E-4</v>
      </c>
    </row>
    <row r="213" spans="22:26" x14ac:dyDescent="0.2">
      <c r="V213" s="202" t="str">
        <f t="shared" ref="V213:V276" si="12">V212</f>
        <v>1D</v>
      </c>
      <c r="W213" s="200">
        <f>_xll.qlCalendarAdvance(Calendar,W212,V213,"f",FALSE)</f>
        <v>42166</v>
      </c>
      <c r="X213" s="203">
        <f>_xll.qlCalendarAdvance(Calendar,W213,NDays&amp;"D")</f>
        <v>42170</v>
      </c>
      <c r="Y213" s="204">
        <v>-2.1165115671406554E-4</v>
      </c>
      <c r="Z213" s="201">
        <v>-3.1064337638220252E-4</v>
      </c>
    </row>
    <row r="214" spans="22:26" x14ac:dyDescent="0.2">
      <c r="V214" s="202" t="str">
        <f t="shared" si="12"/>
        <v>1D</v>
      </c>
      <c r="W214" s="200">
        <f>_xll.qlCalendarAdvance(Calendar,W213,V214,"f",FALSE)</f>
        <v>42167</v>
      </c>
      <c r="X214" s="203">
        <f>_xll.qlCalendarAdvance(Calendar,W214,NDays&amp;"D")</f>
        <v>42171</v>
      </c>
      <c r="Y214" s="204">
        <v>-2.0342966973618815E-4</v>
      </c>
      <c r="Z214" s="201">
        <v>-3.0813563400844401E-4</v>
      </c>
    </row>
    <row r="215" spans="22:26" x14ac:dyDescent="0.2">
      <c r="V215" s="202" t="str">
        <f t="shared" si="12"/>
        <v>1D</v>
      </c>
      <c r="W215" s="200">
        <f>_xll.qlCalendarAdvance(Calendar,W214,V215,"f",FALSE)</f>
        <v>42170</v>
      </c>
      <c r="X215" s="203">
        <f>_xll.qlCalendarAdvance(Calendar,W215,NDays&amp;"D")</f>
        <v>42172</v>
      </c>
      <c r="Y215" s="204">
        <v>-1.9508791451627872E-4</v>
      </c>
      <c r="Z215" s="201">
        <v>-3.0514602920472811E-4</v>
      </c>
    </row>
    <row r="216" spans="22:26" x14ac:dyDescent="0.2">
      <c r="V216" s="202" t="str">
        <f t="shared" si="12"/>
        <v>1D</v>
      </c>
      <c r="W216" s="200">
        <f>_xll.qlCalendarAdvance(Calendar,W215,V216,"f",FALSE)</f>
        <v>42171</v>
      </c>
      <c r="X216" s="203">
        <f>_xll.qlCalendarAdvance(Calendar,W216,NDays&amp;"D")</f>
        <v>42173</v>
      </c>
      <c r="Y216" s="204">
        <v>-1.7791180981815979E-4</v>
      </c>
      <c r="Z216" s="201">
        <v>-3.0167456173124663E-4</v>
      </c>
    </row>
    <row r="217" spans="22:26" x14ac:dyDescent="0.2">
      <c r="V217" s="202" t="str">
        <f t="shared" si="12"/>
        <v>1D</v>
      </c>
      <c r="W217" s="200">
        <f>_xll.qlCalendarAdvance(Calendar,W216,V217,"f",FALSE)</f>
        <v>42172</v>
      </c>
      <c r="X217" s="203">
        <f>_xll.qlCalendarAdvance(Calendar,W217,NDays&amp;"D")</f>
        <v>42174</v>
      </c>
      <c r="Y217" s="204">
        <v>-1.7391960872502647E-4</v>
      </c>
      <c r="Z217" s="201">
        <v>-2.9312517988877573E-4</v>
      </c>
    </row>
    <row r="218" spans="22:26" x14ac:dyDescent="0.2">
      <c r="V218" s="202" t="str">
        <f t="shared" si="12"/>
        <v>1D</v>
      </c>
      <c r="W218" s="200">
        <f>_xll.qlCalendarAdvance(Calendar,W217,V218,"f",FALSE)</f>
        <v>42173</v>
      </c>
      <c r="X218" s="203">
        <f>_xll.qlCalendarAdvance(Calendar,W218,NDays&amp;"D")</f>
        <v>42177</v>
      </c>
      <c r="Y218" s="204">
        <v>-1.5315707842500359E-4</v>
      </c>
      <c r="Z218" s="201">
        <v>-2.8297006665845004E-4</v>
      </c>
    </row>
    <row r="219" spans="22:26" x14ac:dyDescent="0.2">
      <c r="V219" s="202" t="str">
        <f t="shared" si="12"/>
        <v>1D</v>
      </c>
      <c r="W219" s="200">
        <f>_xll.qlCalendarAdvance(Calendar,W218,V219,"f",FALSE)</f>
        <v>42174</v>
      </c>
      <c r="X219" s="203">
        <f>_xll.qlCalendarAdvance(Calendar,W219,NDays&amp;"D")</f>
        <v>42178</v>
      </c>
      <c r="Y219" s="204">
        <v>-1.4504289372219148E-4</v>
      </c>
      <c r="Z219" s="201">
        <v>-2.7708928639569308E-4</v>
      </c>
    </row>
    <row r="220" spans="22:26" x14ac:dyDescent="0.2">
      <c r="V220" s="202" t="str">
        <f t="shared" si="12"/>
        <v>1D</v>
      </c>
      <c r="W220" s="200">
        <f>_xll.qlCalendarAdvance(Calendar,W219,V220,"f",FALSE)</f>
        <v>42177</v>
      </c>
      <c r="X220" s="203">
        <f>_xll.qlCalendarAdvance(Calendar,W220,NDays&amp;"D")</f>
        <v>42179</v>
      </c>
      <c r="Y220" s="204">
        <v>-1.3712483526262531E-4</v>
      </c>
      <c r="Z220" s="201">
        <v>-2.707266435431066E-4</v>
      </c>
    </row>
    <row r="221" spans="22:26" x14ac:dyDescent="0.2">
      <c r="V221" s="202" t="str">
        <f t="shared" si="12"/>
        <v>1D</v>
      </c>
      <c r="W221" s="200">
        <f>_xll.qlCalendarAdvance(Calendar,W220,V221,"f",FALSE)</f>
        <v>42178</v>
      </c>
      <c r="X221" s="203">
        <f>_xll.qlCalendarAdvance(Calendar,W221,NDays&amp;"D")</f>
        <v>42180</v>
      </c>
      <c r="Y221" s="204">
        <v>-1.2407547426235288E-4</v>
      </c>
      <c r="Z221" s="201">
        <v>-2.6388213786088244E-4</v>
      </c>
    </row>
    <row r="222" spans="22:26" x14ac:dyDescent="0.2">
      <c r="V222" s="202" t="str">
        <f t="shared" si="12"/>
        <v>1D</v>
      </c>
      <c r="W222" s="200">
        <f>_xll.qlCalendarAdvance(Calendar,W221,V222,"f",FALSE)</f>
        <v>42179</v>
      </c>
      <c r="X222" s="203">
        <f>_xll.qlCalendarAdvance(Calendar,W222,NDays&amp;"D")</f>
        <v>42181</v>
      </c>
      <c r="Y222" s="204">
        <v>-1.1956566953035837E-4</v>
      </c>
      <c r="Z222" s="201">
        <v>-2.4858674616101695E-4</v>
      </c>
    </row>
    <row r="223" spans="22:26" x14ac:dyDescent="0.2">
      <c r="V223" s="202" t="str">
        <f t="shared" si="12"/>
        <v>1D</v>
      </c>
      <c r="W223" s="200">
        <f>_xll.qlCalendarAdvance(Calendar,W222,V223,"f",FALSE)</f>
        <v>42180</v>
      </c>
      <c r="X223" s="203">
        <f>_xll.qlCalendarAdvance(Calendar,W223,NDays&amp;"D")</f>
        <v>42184</v>
      </c>
      <c r="Y223" s="204">
        <v>-1.0205842932631271E-4</v>
      </c>
      <c r="Z223" s="201">
        <v>-2.3168548831442592E-4</v>
      </c>
    </row>
    <row r="224" spans="22:26" x14ac:dyDescent="0.2">
      <c r="V224" s="202" t="str">
        <f t="shared" si="12"/>
        <v>1D</v>
      </c>
      <c r="W224" s="200">
        <f>_xll.qlCalendarAdvance(Calendar,W223,V224,"f",FALSE)</f>
        <v>42181</v>
      </c>
      <c r="X224" s="203">
        <f>_xll.qlCalendarAdvance(Calendar,W224,NDays&amp;"D")</f>
        <v>42185</v>
      </c>
      <c r="Y224" s="204">
        <v>-9.5226851145136684E-5</v>
      </c>
      <c r="Z224" s="201">
        <v>-2.2243166900359768E-4</v>
      </c>
    </row>
    <row r="225" spans="22:26" x14ac:dyDescent="0.2">
      <c r="V225" s="202" t="str">
        <f t="shared" si="12"/>
        <v>1D</v>
      </c>
      <c r="W225" s="200">
        <f>_xll.qlCalendarAdvance(Calendar,W224,V225,"f",FALSE)</f>
        <v>42184</v>
      </c>
      <c r="X225" s="203">
        <f>_xll.qlCalendarAdvance(Calendar,W225,NDays&amp;"D")</f>
        <v>42186</v>
      </c>
      <c r="Y225" s="204">
        <v>-8.9915278416780552E-5</v>
      </c>
      <c r="Z225" s="201">
        <v>-2.1269598678319568E-4</v>
      </c>
    </row>
    <row r="226" spans="22:26" x14ac:dyDescent="0.2">
      <c r="V226" s="202" t="str">
        <f t="shared" si="12"/>
        <v>1D</v>
      </c>
      <c r="W226" s="200">
        <f>_xll.qlCalendarAdvance(Calendar,W225,V226,"f",FALSE)</f>
        <v>42185</v>
      </c>
      <c r="X226" s="203">
        <f>_xll.qlCalendarAdvance(Calendar,W226,NDays&amp;"D")</f>
        <v>42187</v>
      </c>
      <c r="Y226" s="204">
        <v>-8.607843213714883E-5</v>
      </c>
      <c r="Z226" s="201">
        <v>-2.0247844169318796E-4</v>
      </c>
    </row>
    <row r="227" spans="22:26" x14ac:dyDescent="0.2">
      <c r="V227" s="202" t="str">
        <f t="shared" si="12"/>
        <v>1D</v>
      </c>
      <c r="W227" s="200">
        <f>_xll.qlCalendarAdvance(Calendar,W226,V227,"f",FALSE)</f>
        <v>42186</v>
      </c>
      <c r="X227" s="203">
        <f>_xll.qlCalendarAdvance(Calendar,W227,NDays&amp;"D")</f>
        <v>42188</v>
      </c>
      <c r="Y227" s="204">
        <v>-8.23236394215289E-5</v>
      </c>
      <c r="Z227" s="201">
        <v>-1.804370512470399E-4</v>
      </c>
    </row>
    <row r="228" spans="22:26" x14ac:dyDescent="0.2">
      <c r="V228" s="202" t="str">
        <f t="shared" si="12"/>
        <v>1D</v>
      </c>
      <c r="W228" s="200">
        <f>_xll.qlCalendarAdvance(Calendar,W227,V228,"f",FALSE)</f>
        <v>42187</v>
      </c>
      <c r="X228" s="203">
        <f>_xll.qlCalendarAdvance(Calendar,W228,NDays&amp;"D")</f>
        <v>42191</v>
      </c>
      <c r="Y228" s="204">
        <v>-7.5319176262363349E-5</v>
      </c>
      <c r="Z228" s="201">
        <v>-1.5678963139809099E-4</v>
      </c>
    </row>
    <row r="229" spans="22:26" x14ac:dyDescent="0.2">
      <c r="V229" s="202" t="str">
        <f t="shared" si="12"/>
        <v>1D</v>
      </c>
      <c r="W229" s="200">
        <f>_xll.qlCalendarAdvance(Calendar,W228,V229,"f",FALSE)</f>
        <v>42188</v>
      </c>
      <c r="X229" s="203">
        <f>_xll.qlCalendarAdvance(Calendar,W229,NDays&amp;"D")</f>
        <v>42192</v>
      </c>
      <c r="Y229" s="204">
        <v>-7.4499317114050344E-5</v>
      </c>
      <c r="Z229" s="201">
        <v>-1.4416277112072606E-4</v>
      </c>
    </row>
    <row r="230" spans="22:26" x14ac:dyDescent="0.2">
      <c r="V230" s="202" t="str">
        <f t="shared" si="12"/>
        <v>1D</v>
      </c>
      <c r="W230" s="200">
        <f>_xll.qlCalendarAdvance(Calendar,W229,V230,"f",FALSE)</f>
        <v>42191</v>
      </c>
      <c r="X230" s="203">
        <f>_xll.qlCalendarAdvance(Calendar,W230,NDays&amp;"D")</f>
        <v>42193</v>
      </c>
      <c r="Y230" s="204">
        <v>-8.0049183554480933E-5</v>
      </c>
      <c r="Z230" s="201">
        <v>-1.312800465536057E-4</v>
      </c>
    </row>
    <row r="231" spans="22:26" x14ac:dyDescent="0.2">
      <c r="V231" s="202" t="str">
        <f t="shared" si="12"/>
        <v>1D</v>
      </c>
      <c r="W231" s="200">
        <f>_xll.qlCalendarAdvance(Calendar,W230,V231,"f",FALSE)</f>
        <v>42192</v>
      </c>
      <c r="X231" s="203">
        <f>_xll.qlCalendarAdvance(Calendar,W231,NDays&amp;"D")</f>
        <v>42194</v>
      </c>
      <c r="Y231" s="204">
        <v>-7.8448247692874951E-5</v>
      </c>
      <c r="Z231" s="201">
        <v>-1.1904545317520387E-4</v>
      </c>
    </row>
    <row r="232" spans="22:26" x14ac:dyDescent="0.2">
      <c r="V232" s="202" t="str">
        <f t="shared" si="12"/>
        <v>1D</v>
      </c>
      <c r="W232" s="200">
        <f>_xll.qlCalendarAdvance(Calendar,W231,V232,"f",FALSE)</f>
        <v>42193</v>
      </c>
      <c r="X232" s="203">
        <f>_xll.qlCalendarAdvance(Calendar,W232,NDays&amp;"D")</f>
        <v>42195</v>
      </c>
      <c r="Y232" s="204">
        <v>-7.7138685927878901E-5</v>
      </c>
      <c r="Z232" s="201">
        <v>-9.7490007640033127E-5</v>
      </c>
    </row>
    <row r="233" spans="22:26" x14ac:dyDescent="0.2">
      <c r="V233" s="202" t="str">
        <f t="shared" si="12"/>
        <v>1D</v>
      </c>
      <c r="W233" s="200">
        <f>_xll.qlCalendarAdvance(Calendar,W232,V233,"f",FALSE)</f>
        <v>42194</v>
      </c>
      <c r="X233" s="203">
        <f>_xll.qlCalendarAdvance(Calendar,W233,NDays&amp;"D")</f>
        <v>42198</v>
      </c>
      <c r="Y233" s="204">
        <v>-8.7430778312675412E-5</v>
      </c>
      <c r="Z233" s="201">
        <v>-7.8848382463192479E-5</v>
      </c>
    </row>
    <row r="234" spans="22:26" x14ac:dyDescent="0.2">
      <c r="V234" s="202" t="str">
        <f t="shared" si="12"/>
        <v>1D</v>
      </c>
      <c r="W234" s="200">
        <f>_xll.qlCalendarAdvance(Calendar,W233,V234,"f",FALSE)</f>
        <v>42195</v>
      </c>
      <c r="X234" s="203">
        <f>_xll.qlCalendarAdvance(Calendar,W234,NDays&amp;"D")</f>
        <v>42199</v>
      </c>
      <c r="Y234" s="204">
        <v>-9.2394944539146844E-5</v>
      </c>
      <c r="Z234" s="201">
        <v>-7.0984440765364809E-5</v>
      </c>
    </row>
    <row r="235" spans="22:26" x14ac:dyDescent="0.2">
      <c r="V235" s="202" t="str">
        <f t="shared" si="12"/>
        <v>1D</v>
      </c>
      <c r="W235" s="200">
        <f>_xll.qlCalendarAdvance(Calendar,W234,V235,"f",FALSE)</f>
        <v>42198</v>
      </c>
      <c r="X235" s="203">
        <f>_xll.qlCalendarAdvance(Calendar,W235,NDays&amp;"D")</f>
        <v>42200</v>
      </c>
      <c r="Y235" s="204">
        <v>-1.0819457789569175E-4</v>
      </c>
      <c r="Z235" s="201">
        <v>-6.3994629595498509E-5</v>
      </c>
    </row>
    <row r="236" spans="22:26" x14ac:dyDescent="0.2">
      <c r="V236" s="202" t="str">
        <f t="shared" si="12"/>
        <v>1D</v>
      </c>
      <c r="W236" s="200">
        <f>_xll.qlCalendarAdvance(Calendar,W235,V236,"f",FALSE)</f>
        <v>42199</v>
      </c>
      <c r="X236" s="203">
        <f>_xll.qlCalendarAdvance(Calendar,W236,NDays&amp;"D")</f>
        <v>42201</v>
      </c>
      <c r="Y236" s="204">
        <v>-1.0957584575824186E-4</v>
      </c>
      <c r="Z236" s="201">
        <v>-5.7878949113465694E-5</v>
      </c>
    </row>
    <row r="237" spans="22:26" x14ac:dyDescent="0.2">
      <c r="V237" s="202" t="str">
        <f t="shared" si="12"/>
        <v>1D</v>
      </c>
      <c r="W237" s="200">
        <f>_xll.qlCalendarAdvance(Calendar,W236,V237,"f",FALSE)</f>
        <v>42200</v>
      </c>
      <c r="X237" s="203">
        <f>_xll.qlCalendarAdvance(Calendar,W237,NDays&amp;"D")</f>
        <v>42202</v>
      </c>
      <c r="Y237" s="204">
        <v>-1.1124350547054098E-4</v>
      </c>
      <c r="Z237" s="201">
        <v>-4.8561350221021371E-5</v>
      </c>
    </row>
    <row r="238" spans="22:26" x14ac:dyDescent="0.2">
      <c r="V238" s="202" t="str">
        <f t="shared" si="12"/>
        <v>1D</v>
      </c>
      <c r="W238" s="200">
        <f>_xll.qlCalendarAdvance(Calendar,W237,V238,"f",FALSE)</f>
        <v>42201</v>
      </c>
      <c r="X238" s="203">
        <f>_xll.qlCalendarAdvance(Calendar,W238,NDays&amp;"D")</f>
        <v>42205</v>
      </c>
      <c r="Y238" s="204">
        <v>-1.3505964271223479E-4</v>
      </c>
      <c r="Z238" s="201">
        <v>-4.2157533424180826E-5</v>
      </c>
    </row>
    <row r="239" spans="22:26" x14ac:dyDescent="0.2">
      <c r="V239" s="202" t="str">
        <f t="shared" si="12"/>
        <v>1D</v>
      </c>
      <c r="W239" s="200">
        <f>_xll.qlCalendarAdvance(Calendar,W238,V239,"f",FALSE)</f>
        <v>42202</v>
      </c>
      <c r="X239" s="203">
        <f>_xll.qlCalendarAdvance(Calendar,W239,NDays&amp;"D")</f>
        <v>42206</v>
      </c>
      <c r="Y239" s="204">
        <v>-1.4388747971428109E-4</v>
      </c>
      <c r="Z239" s="201">
        <v>-4.0412506341347409E-5</v>
      </c>
    </row>
    <row r="240" spans="22:26" x14ac:dyDescent="0.2">
      <c r="V240" s="202" t="str">
        <f t="shared" si="12"/>
        <v>1D</v>
      </c>
      <c r="W240" s="200">
        <f>_xll.qlCalendarAdvance(Calendar,W239,V240,"f",FALSE)</f>
        <v>42205</v>
      </c>
      <c r="X240" s="203">
        <f>_xll.qlCalendarAdvance(Calendar,W240,NDays&amp;"D")</f>
        <v>42207</v>
      </c>
      <c r="Y240" s="204">
        <v>-1.6434242429222678E-4</v>
      </c>
      <c r="Z240" s="201">
        <v>-3.9541609986315507E-5</v>
      </c>
    </row>
    <row r="241" spans="22:26" x14ac:dyDescent="0.2">
      <c r="V241" s="202" t="str">
        <f t="shared" si="12"/>
        <v>1D</v>
      </c>
      <c r="W241" s="200">
        <f>_xll.qlCalendarAdvance(Calendar,W240,V241,"f",FALSE)</f>
        <v>42206</v>
      </c>
      <c r="X241" s="203">
        <f>_xll.qlCalendarAdvance(Calendar,W241,NDays&amp;"D")</f>
        <v>42208</v>
      </c>
      <c r="Y241" s="204">
        <v>-1.6824246821825484E-4</v>
      </c>
      <c r="Z241" s="201">
        <v>-3.9544844279149061E-5</v>
      </c>
    </row>
    <row r="242" spans="22:26" x14ac:dyDescent="0.2">
      <c r="V242" s="202" t="str">
        <f t="shared" si="12"/>
        <v>1D</v>
      </c>
      <c r="W242" s="200">
        <f>_xll.qlCalendarAdvance(Calendar,W241,V242,"f",FALSE)</f>
        <v>42207</v>
      </c>
      <c r="X242" s="203">
        <f>_xll.qlCalendarAdvance(Calendar,W242,NDays&amp;"D")</f>
        <v>42209</v>
      </c>
      <c r="Y242" s="204">
        <v>-1.7239402341146496E-4</v>
      </c>
      <c r="Z242" s="201">
        <v>-4.2465077321196532E-5</v>
      </c>
    </row>
    <row r="243" spans="22:26" x14ac:dyDescent="0.2">
      <c r="V243" s="202" t="str">
        <f t="shared" si="12"/>
        <v>1D</v>
      </c>
      <c r="W243" s="200">
        <f>_xll.qlCalendarAdvance(Calendar,W242,V243,"f",FALSE)</f>
        <v>42208</v>
      </c>
      <c r="X243" s="203">
        <f>_xll.qlCalendarAdvance(Calendar,W243,NDays&amp;"D")</f>
        <v>42212</v>
      </c>
      <c r="Y243" s="204">
        <v>-2.0296861068761388E-4</v>
      </c>
      <c r="Z243" s="201">
        <v>-4.8299089447922938E-5</v>
      </c>
    </row>
    <row r="244" spans="22:26" x14ac:dyDescent="0.2">
      <c r="V244" s="202" t="str">
        <f t="shared" si="12"/>
        <v>1D</v>
      </c>
      <c r="W244" s="200">
        <f>_xll.qlCalendarAdvance(Calendar,W243,V244,"f",FALSE)</f>
        <v>42209</v>
      </c>
      <c r="X244" s="203">
        <f>_xll.qlCalendarAdvance(Calendar,W244,NDays&amp;"D")</f>
        <v>42213</v>
      </c>
      <c r="Y244" s="204">
        <v>-2.1340492735524941E-4</v>
      </c>
      <c r="Z244" s="201">
        <v>-5.2672977459700121E-5</v>
      </c>
    </row>
    <row r="245" spans="22:26" x14ac:dyDescent="0.2">
      <c r="V245" s="202" t="str">
        <f t="shared" si="12"/>
        <v>1D</v>
      </c>
      <c r="W245" s="200">
        <f>_xll.qlCalendarAdvance(Calendar,W244,V245,"f",FALSE)</f>
        <v>42212</v>
      </c>
      <c r="X245" s="203">
        <f>_xll.qlCalendarAdvance(Calendar,W245,NDays&amp;"D")</f>
        <v>42214</v>
      </c>
      <c r="Y245" s="204">
        <v>-2.336631167003263E-4</v>
      </c>
      <c r="Z245" s="201">
        <v>-5.7920996239246847E-5</v>
      </c>
    </row>
    <row r="246" spans="22:26" x14ac:dyDescent="0.2">
      <c r="V246" s="202" t="str">
        <f t="shared" si="12"/>
        <v>1D</v>
      </c>
      <c r="W246" s="200">
        <f>_xll.qlCalendarAdvance(Calendar,W245,V246,"f",FALSE)</f>
        <v>42213</v>
      </c>
      <c r="X246" s="203">
        <f>_xll.qlCalendarAdvance(Calendar,W246,NDays&amp;"D")</f>
        <v>42215</v>
      </c>
      <c r="Y246" s="204">
        <v>-2.3915509644270583E-4</v>
      </c>
      <c r="Z246" s="201">
        <v>-6.4043145546754943E-5</v>
      </c>
    </row>
    <row r="247" spans="22:26" x14ac:dyDescent="0.2">
      <c r="V247" s="202" t="str">
        <f t="shared" si="12"/>
        <v>1D</v>
      </c>
      <c r="W247" s="200">
        <f>_xll.qlCalendarAdvance(Calendar,W246,V247,"f",FALSE)</f>
        <v>42214</v>
      </c>
      <c r="X247" s="203">
        <f>_xll.qlCalendarAdvance(Calendar,W247,NDays&amp;"D")</f>
        <v>42216</v>
      </c>
      <c r="Y247" s="204">
        <v>-2.4480391260322192E-4</v>
      </c>
      <c r="Z247" s="201">
        <v>-7.9201195428701965E-5</v>
      </c>
    </row>
    <row r="248" spans="22:26" x14ac:dyDescent="0.2">
      <c r="V248" s="202" t="str">
        <f t="shared" si="12"/>
        <v>1D</v>
      </c>
      <c r="W248" s="200">
        <f>_xll.qlCalendarAdvance(Calendar,W247,V248,"f",FALSE)</f>
        <v>42215</v>
      </c>
      <c r="X248" s="203">
        <f>_xll.qlCalendarAdvance(Calendar,W248,NDays&amp;"D")</f>
        <v>42219</v>
      </c>
      <c r="Y248" s="204">
        <v>-2.7537146812225879E-4</v>
      </c>
      <c r="Z248" s="201">
        <v>-9.7273048216273139E-5</v>
      </c>
    </row>
    <row r="249" spans="22:26" x14ac:dyDescent="0.2">
      <c r="V249" s="202" t="str">
        <f t="shared" si="12"/>
        <v>1D</v>
      </c>
      <c r="W249" s="200">
        <f>_xll.qlCalendarAdvance(Calendar,W248,V249,"f",FALSE)</f>
        <v>42216</v>
      </c>
      <c r="X249" s="203">
        <f>_xll.qlCalendarAdvance(Calendar,W249,NDays&amp;"D")</f>
        <v>42220</v>
      </c>
      <c r="Y249" s="204">
        <v>-2.8516111872855002E-4</v>
      </c>
      <c r="Z249" s="201">
        <v>-1.0776584992377991E-4</v>
      </c>
    </row>
    <row r="250" spans="22:26" x14ac:dyDescent="0.2">
      <c r="V250" s="202" t="str">
        <f t="shared" si="12"/>
        <v>1D</v>
      </c>
      <c r="W250" s="200">
        <f>_xll.qlCalendarAdvance(Calendar,W249,V250,"f",FALSE)</f>
        <v>42219</v>
      </c>
      <c r="X250" s="203">
        <f>_xll.qlCalendarAdvance(Calendar,W250,NDays&amp;"D")</f>
        <v>42221</v>
      </c>
      <c r="Y250" s="204">
        <v>-3.013273223218992E-4</v>
      </c>
      <c r="Z250" s="201">
        <v>-1.1913278179953579E-4</v>
      </c>
    </row>
    <row r="251" spans="22:26" x14ac:dyDescent="0.2">
      <c r="V251" s="202" t="str">
        <f t="shared" si="12"/>
        <v>1D</v>
      </c>
      <c r="W251" s="200">
        <f>_xll.qlCalendarAdvance(Calendar,W250,V251,"f",FALSE)</f>
        <v>42220</v>
      </c>
      <c r="X251" s="203">
        <f>_xll.qlCalendarAdvance(Calendar,W251,NDays&amp;"D")</f>
        <v>42222</v>
      </c>
      <c r="Y251" s="204">
        <v>-3.0702100331320148E-4</v>
      </c>
      <c r="Z251" s="201">
        <v>-1.313738440034129E-4</v>
      </c>
    </row>
    <row r="252" spans="22:26" x14ac:dyDescent="0.2">
      <c r="V252" s="202" t="str">
        <f t="shared" si="12"/>
        <v>1D</v>
      </c>
      <c r="W252" s="200">
        <f>_xll.qlCalendarAdvance(Calendar,W251,V252,"f",FALSE)</f>
        <v>42221</v>
      </c>
      <c r="X252" s="203">
        <f>_xll.qlCalendarAdvance(Calendar,W252,NDays&amp;"D")</f>
        <v>42223</v>
      </c>
      <c r="Y252" s="204">
        <v>-3.1268715481772464E-4</v>
      </c>
      <c r="Z252" s="201">
        <v>-1.5876966522831992E-4</v>
      </c>
    </row>
    <row r="253" spans="22:26" x14ac:dyDescent="0.2">
      <c r="V253" s="202" t="str">
        <f t="shared" si="12"/>
        <v>1D</v>
      </c>
      <c r="W253" s="200">
        <f>_xll.qlCalendarAdvance(Calendar,W252,V253,"f",FALSE)</f>
        <v>42222</v>
      </c>
      <c r="X253" s="203">
        <f>_xll.qlCalendarAdvance(Calendar,W253,NDays&amp;"D")</f>
        <v>42226</v>
      </c>
      <c r="Y253" s="204">
        <v>-3.3650589683001115E-4</v>
      </c>
      <c r="Z253" s="201">
        <v>-1.8884160171594999E-4</v>
      </c>
    </row>
    <row r="254" spans="22:26" x14ac:dyDescent="0.2">
      <c r="V254" s="202" t="str">
        <f t="shared" si="12"/>
        <v>1D</v>
      </c>
      <c r="W254" s="200">
        <f>_xll.qlCalendarAdvance(Calendar,W253,V254,"f",FALSE)</f>
        <v>42223</v>
      </c>
      <c r="X254" s="203">
        <f>_xll.qlCalendarAdvance(Calendar,W254,NDays&amp;"D")</f>
        <v>42227</v>
      </c>
      <c r="Y254" s="204">
        <v>-3.4345736816276593E-4</v>
      </c>
      <c r="Z254" s="201">
        <v>-2.04026569039506E-4</v>
      </c>
    </row>
    <row r="255" spans="22:26" x14ac:dyDescent="0.2">
      <c r="V255" s="202" t="str">
        <f t="shared" si="12"/>
        <v>1D</v>
      </c>
      <c r="W255" s="200">
        <f>_xll.qlCalendarAdvance(Calendar,W254,V255,"f",FALSE)</f>
        <v>42226</v>
      </c>
      <c r="X255" s="203">
        <f>_xll.qlCalendarAdvance(Calendar,W255,NDays&amp;"D")</f>
        <v>42228</v>
      </c>
      <c r="Y255" s="204">
        <v>-3.531607911165903E-4</v>
      </c>
      <c r="Z255" s="201">
        <v>-2.1865892184891322E-4</v>
      </c>
    </row>
    <row r="256" spans="22:26" x14ac:dyDescent="0.2">
      <c r="V256" s="202" t="str">
        <f t="shared" si="12"/>
        <v>1D</v>
      </c>
      <c r="W256" s="200">
        <f>_xll.qlCalendarAdvance(Calendar,W255,V256,"f",FALSE)</f>
        <v>42227</v>
      </c>
      <c r="X256" s="203">
        <f>_xll.qlCalendarAdvance(Calendar,W256,NDays&amp;"D")</f>
        <v>42229</v>
      </c>
      <c r="Y256" s="204">
        <v>-3.5736419158882704E-4</v>
      </c>
      <c r="Z256" s="201">
        <v>-2.3273866038397983E-4</v>
      </c>
    </row>
    <row r="257" spans="22:26" x14ac:dyDescent="0.2">
      <c r="V257" s="202" t="str">
        <f t="shared" si="12"/>
        <v>1D</v>
      </c>
      <c r="W257" s="200">
        <f>_xll.qlCalendarAdvance(Calendar,W256,V257,"f",FALSE)</f>
        <v>42228</v>
      </c>
      <c r="X257" s="203">
        <f>_xll.qlCalendarAdvance(Calendar,W257,NDays&amp;"D")</f>
        <v>42230</v>
      </c>
      <c r="Y257" s="204">
        <v>-3.6138460364854735E-4</v>
      </c>
      <c r="Z257" s="201">
        <v>-2.5905590330221884E-4</v>
      </c>
    </row>
    <row r="258" spans="22:26" x14ac:dyDescent="0.2">
      <c r="V258" s="202" t="str">
        <f t="shared" si="12"/>
        <v>1D</v>
      </c>
      <c r="W258" s="200">
        <f>_xll.qlCalendarAdvance(Calendar,W257,V258,"f",FALSE)</f>
        <v>42229</v>
      </c>
      <c r="X258" s="203">
        <f>_xll.qlCalendarAdvance(Calendar,W258,NDays&amp;"D")</f>
        <v>42233</v>
      </c>
      <c r="Y258" s="204">
        <v>-3.7529185822230668E-4</v>
      </c>
      <c r="Z258" s="201">
        <v>-2.8353147138115986E-4</v>
      </c>
    </row>
    <row r="259" spans="22:26" x14ac:dyDescent="0.2">
      <c r="V259" s="202" t="str">
        <f t="shared" si="12"/>
        <v>1D</v>
      </c>
      <c r="W259" s="200">
        <f>_xll.qlCalendarAdvance(Calendar,W258,V259,"f",FALSE)</f>
        <v>42230</v>
      </c>
      <c r="X259" s="203">
        <f>_xll.qlCalendarAdvance(Calendar,W259,NDays&amp;"D")</f>
        <v>42234</v>
      </c>
      <c r="Y259" s="204">
        <v>-3.7911667695500831E-4</v>
      </c>
      <c r="Z259" s="201">
        <v>-2.9484813870439552E-4</v>
      </c>
    </row>
    <row r="260" spans="22:26" x14ac:dyDescent="0.2">
      <c r="V260" s="202" t="str">
        <f t="shared" si="12"/>
        <v>1D</v>
      </c>
      <c r="W260" s="200">
        <f>_xll.qlCalendarAdvance(Calendar,W259,V260,"f",FALSE)</f>
        <v>42233</v>
      </c>
      <c r="X260" s="203">
        <f>_xll.qlCalendarAdvance(Calendar,W260,NDays&amp;"D")</f>
        <v>42235</v>
      </c>
      <c r="Y260" s="204">
        <v>-3.8369654328947308E-4</v>
      </c>
      <c r="Z260" s="201">
        <v>-3.0561219199309875E-4</v>
      </c>
    </row>
    <row r="261" spans="22:26" x14ac:dyDescent="0.2">
      <c r="V261" s="202" t="str">
        <f t="shared" si="12"/>
        <v>1D</v>
      </c>
      <c r="W261" s="200">
        <f>_xll.qlCalendarAdvance(Calendar,W260,V261,"f",FALSE)</f>
        <v>42234</v>
      </c>
      <c r="X261" s="203">
        <f>_xll.qlCalendarAdvance(Calendar,W261,NDays&amp;"D")</f>
        <v>42236</v>
      </c>
      <c r="Y261" s="204">
        <v>-3.8613700706777165E-4</v>
      </c>
      <c r="Z261" s="201">
        <v>-3.158236312073015E-4</v>
      </c>
    </row>
    <row r="262" spans="22:26" x14ac:dyDescent="0.2">
      <c r="V262" s="202" t="str">
        <f t="shared" si="12"/>
        <v>1D</v>
      </c>
      <c r="W262" s="200">
        <f>_xll.qlCalendarAdvance(Calendar,W261,V262,"f",FALSE)</f>
        <v>42235</v>
      </c>
      <c r="X262" s="203">
        <f>_xll.qlCalendarAdvance(Calendar,W262,NDays&amp;"D")</f>
        <v>42237</v>
      </c>
      <c r="Y262" s="204">
        <v>-3.8840552122683256E-4</v>
      </c>
      <c r="Z262" s="201">
        <v>-3.3440415270202806E-4</v>
      </c>
    </row>
    <row r="263" spans="22:26" x14ac:dyDescent="0.2">
      <c r="V263" s="202" t="str">
        <f t="shared" si="12"/>
        <v>1D</v>
      </c>
      <c r="W263" s="200">
        <f>_xll.qlCalendarAdvance(Calendar,W262,V263,"f",FALSE)</f>
        <v>42236</v>
      </c>
      <c r="X263" s="203">
        <f>_xll.qlCalendarAdvance(Calendar,W263,NDays&amp;"D")</f>
        <v>42240</v>
      </c>
      <c r="Y263" s="204">
        <v>-3.9478672444040913E-4</v>
      </c>
      <c r="Z263" s="201">
        <v>-3.5114324903773309E-4</v>
      </c>
    </row>
    <row r="264" spans="22:26" x14ac:dyDescent="0.2">
      <c r="V264" s="202" t="str">
        <f t="shared" si="12"/>
        <v>1D</v>
      </c>
      <c r="W264" s="200">
        <f>_xll.qlCalendarAdvance(Calendar,W263,V264,"f",FALSE)</f>
        <v>42237</v>
      </c>
      <c r="X264" s="203">
        <f>_xll.qlCalendarAdvance(Calendar,W264,NDays&amp;"D")</f>
        <v>42241</v>
      </c>
      <c r="Y264" s="204">
        <v>-3.9635004417343066E-4</v>
      </c>
      <c r="Z264" s="201">
        <v>-3.5859161895857028E-4</v>
      </c>
    </row>
    <row r="265" spans="22:26" x14ac:dyDescent="0.2">
      <c r="V265" s="202" t="str">
        <f t="shared" si="12"/>
        <v>1D</v>
      </c>
      <c r="W265" s="200">
        <f>_xll.qlCalendarAdvance(Calendar,W264,V265,"f",FALSE)</f>
        <v>42240</v>
      </c>
      <c r="X265" s="203">
        <f>_xll.qlCalendarAdvance(Calendar,W265,NDays&amp;"D")</f>
        <v>42242</v>
      </c>
      <c r="Y265" s="204">
        <v>-3.977201918773074E-4</v>
      </c>
      <c r="Z265" s="201">
        <v>-3.6548737496477912E-4</v>
      </c>
    </row>
    <row r="266" spans="22:26" x14ac:dyDescent="0.2">
      <c r="V266" s="202" t="str">
        <f t="shared" si="12"/>
        <v>1D</v>
      </c>
      <c r="W266" s="200">
        <f>_xll.qlCalendarAdvance(Calendar,W265,V266,"f",FALSE)</f>
        <v>42241</v>
      </c>
      <c r="X266" s="203">
        <f>_xll.qlCalendarAdvance(Calendar,W266,NDays&amp;"D")</f>
        <v>42243</v>
      </c>
      <c r="Y266" s="204">
        <v>-3.9872787221076345E-4</v>
      </c>
      <c r="Z266" s="201">
        <v>-3.7183051737610384E-4</v>
      </c>
    </row>
    <row r="267" spans="22:26" x14ac:dyDescent="0.2">
      <c r="V267" s="202" t="str">
        <f t="shared" si="12"/>
        <v>1D</v>
      </c>
      <c r="W267" s="200">
        <f>_xll.qlCalendarAdvance(Calendar,W266,V267,"f",FALSE)</f>
        <v>42242</v>
      </c>
      <c r="X267" s="203">
        <f>_xll.qlCalendarAdvance(Calendar,W267,NDays&amp;"D")</f>
        <v>42244</v>
      </c>
      <c r="Y267" s="204">
        <v>-3.9959594154624948E-4</v>
      </c>
      <c r="Z267" s="201">
        <v>-3.8267434966154923E-4</v>
      </c>
    </row>
    <row r="268" spans="22:26" x14ac:dyDescent="0.2">
      <c r="V268" s="202" t="str">
        <f t="shared" si="12"/>
        <v>1D</v>
      </c>
      <c r="W268" s="200">
        <f>_xll.qlCalendarAdvance(Calendar,W267,V268,"f",FALSE)</f>
        <v>42243</v>
      </c>
      <c r="X268" s="203">
        <f>_xll.qlCalendarAdvance(Calendar,W268,NDays&amp;"D")</f>
        <v>42247</v>
      </c>
      <c r="Y268" s="204">
        <v>-4.0117310448684051E-4</v>
      </c>
      <c r="Z268" s="201">
        <v>-3.9167695003339276E-4</v>
      </c>
    </row>
    <row r="269" spans="22:26" x14ac:dyDescent="0.2">
      <c r="V269" s="202" t="str">
        <f t="shared" si="12"/>
        <v>1D</v>
      </c>
      <c r="W269" s="200">
        <f>_xll.qlCalendarAdvance(Calendar,W268,V269,"f",FALSE)</f>
        <v>42244</v>
      </c>
      <c r="X269" s="203">
        <f>_xll.qlCalendarAdvance(Calendar,W269,NDays&amp;"D")</f>
        <v>42248</v>
      </c>
      <c r="Y269" s="204">
        <v>-4.0135927394135962E-4</v>
      </c>
      <c r="Z269" s="201">
        <v>-3.9525702403064855E-4</v>
      </c>
    </row>
    <row r="270" spans="22:26" x14ac:dyDescent="0.2">
      <c r="V270" s="202" t="str">
        <f t="shared" si="12"/>
        <v>1D</v>
      </c>
      <c r="W270" s="200">
        <f>_xll.qlCalendarAdvance(Calendar,W269,V270,"f",FALSE)</f>
        <v>42247</v>
      </c>
      <c r="X270" s="203">
        <f>_xll.qlCalendarAdvance(Calendar,W270,NDays&amp;"D")</f>
        <v>42249</v>
      </c>
      <c r="Y270" s="204">
        <v>-4.0141246661429264E-4</v>
      </c>
      <c r="Z270" s="201">
        <v>-3.9828448455292431E-4</v>
      </c>
    </row>
    <row r="271" spans="22:26" x14ac:dyDescent="0.2">
      <c r="V271" s="202" t="str">
        <f t="shared" si="12"/>
        <v>1D</v>
      </c>
      <c r="W271" s="200">
        <f>_xll.qlCalendarAdvance(Calendar,W270,V271,"f",FALSE)</f>
        <v>42248</v>
      </c>
      <c r="X271" s="203">
        <f>_xll.qlCalendarAdvance(Calendar,W271,NDays&amp;"D")</f>
        <v>42250</v>
      </c>
      <c r="Y271" s="204">
        <v>-4.0100351284294566E-4</v>
      </c>
      <c r="Z271" s="201">
        <v>-4.0075933148031595E-4</v>
      </c>
    </row>
    <row r="272" spans="22:26" x14ac:dyDescent="0.2">
      <c r="V272" s="202" t="str">
        <f t="shared" si="12"/>
        <v>1D</v>
      </c>
      <c r="W272" s="200">
        <f>_xll.qlCalendarAdvance(Calendar,W271,V272,"f",FALSE)</f>
        <v>42249</v>
      </c>
      <c r="X272" s="203">
        <f>_xll.qlCalendarAdvance(Calendar,W272,NDays&amp;"D")</f>
        <v>42251</v>
      </c>
      <c r="Y272" s="204">
        <v>-4.0101183607561326E-4</v>
      </c>
      <c r="Z272" s="201">
        <v>-4.0386652691459801E-4</v>
      </c>
    </row>
    <row r="273" spans="22:26" x14ac:dyDescent="0.2">
      <c r="V273" s="202" t="str">
        <f t="shared" si="12"/>
        <v>1D</v>
      </c>
      <c r="W273" s="200">
        <f>_xll.qlCalendarAdvance(Calendar,W272,V273,"f",FALSE)</f>
        <v>42250</v>
      </c>
      <c r="X273" s="203">
        <f>_xll.qlCalendarAdvance(Calendar,W273,NDays&amp;"D")</f>
        <v>42254</v>
      </c>
      <c r="Y273" s="204">
        <v>-4.0032232873832285E-4</v>
      </c>
      <c r="Z273" s="201">
        <v>-4.0513258332097735E-4</v>
      </c>
    </row>
    <row r="274" spans="22:26" x14ac:dyDescent="0.2">
      <c r="V274" s="202" t="str">
        <f t="shared" si="12"/>
        <v>1D</v>
      </c>
      <c r="W274" s="200">
        <f>_xll.qlCalendarAdvance(Calendar,W273,V274,"f",FALSE)</f>
        <v>42251</v>
      </c>
      <c r="X274" s="203">
        <f>_xll.qlCalendarAdvance(Calendar,W274,NDays&amp;"D")</f>
        <v>42255</v>
      </c>
      <c r="Y274" s="204">
        <v>-3.9996079100124149E-4</v>
      </c>
      <c r="Z274" s="201">
        <v>-4.0493558694176812E-4</v>
      </c>
    </row>
    <row r="275" spans="22:26" x14ac:dyDescent="0.2">
      <c r="V275" s="202" t="str">
        <f t="shared" si="12"/>
        <v>1D</v>
      </c>
      <c r="W275" s="200">
        <f>_xll.qlCalendarAdvance(Calendar,W274,V275,"f",FALSE)</f>
        <v>42254</v>
      </c>
      <c r="X275" s="203">
        <f>_xll.qlCalendarAdvance(Calendar,W275,NDays&amp;"D")</f>
        <v>42256</v>
      </c>
      <c r="Y275" s="204">
        <v>-3.9959094585473309E-4</v>
      </c>
      <c r="Z275" s="201">
        <v>-4.0464209914770066E-4</v>
      </c>
    </row>
    <row r="276" spans="22:26" x14ac:dyDescent="0.2">
      <c r="V276" s="202" t="str">
        <f t="shared" si="12"/>
        <v>1D</v>
      </c>
      <c r="W276" s="200">
        <f>_xll.qlCalendarAdvance(Calendar,W275,V276,"f",FALSE)</f>
        <v>42255</v>
      </c>
      <c r="X276" s="203">
        <f>_xll.qlCalendarAdvance(Calendar,W276,NDays&amp;"D")</f>
        <v>42257</v>
      </c>
      <c r="Y276" s="204">
        <v>-3.988078025118913E-4</v>
      </c>
      <c r="Z276" s="201">
        <v>-4.0434334452665865E-4</v>
      </c>
    </row>
    <row r="277" spans="22:26" x14ac:dyDescent="0.2">
      <c r="V277" s="202" t="str">
        <f t="shared" ref="V277:V340" si="13">V276</f>
        <v>1D</v>
      </c>
      <c r="W277" s="200">
        <f>_xll.qlCalendarAdvance(Calendar,W276,V277,"f",FALSE)</f>
        <v>42256</v>
      </c>
      <c r="X277" s="203">
        <f>_xll.qlCalendarAdvance(Calendar,W277,NDays&amp;"D")</f>
        <v>42258</v>
      </c>
      <c r="Y277" s="204">
        <v>-3.986296843713318E-4</v>
      </c>
      <c r="Z277" s="201">
        <v>-4.0372782642350558E-4</v>
      </c>
    </row>
    <row r="278" spans="22:26" x14ac:dyDescent="0.2">
      <c r="V278" s="202" t="str">
        <f t="shared" si="13"/>
        <v>1D</v>
      </c>
      <c r="W278" s="200">
        <f>_xll.qlCalendarAdvance(Calendar,W277,V278,"f",FALSE)</f>
        <v>42257</v>
      </c>
      <c r="X278" s="203">
        <f>_xll.qlCalendarAdvance(Calendar,W278,NDays&amp;"D")</f>
        <v>42261</v>
      </c>
      <c r="Y278" s="204">
        <v>-3.976627197626037E-4</v>
      </c>
      <c r="Z278" s="201">
        <v>-4.0309565761287303E-4</v>
      </c>
    </row>
    <row r="279" spans="22:26" x14ac:dyDescent="0.2">
      <c r="V279" s="202" t="str">
        <f t="shared" si="13"/>
        <v>1D</v>
      </c>
      <c r="W279" s="200">
        <f>_xll.qlCalendarAdvance(Calendar,W278,V279,"f",FALSE)</f>
        <v>42258</v>
      </c>
      <c r="X279" s="203">
        <f>_xll.qlCalendarAdvance(Calendar,W279,NDays&amp;"D")</f>
        <v>42262</v>
      </c>
      <c r="Y279" s="204">
        <v>-3.9726127446826354E-4</v>
      </c>
      <c r="Z279" s="201">
        <v>-4.0277056881699025E-4</v>
      </c>
    </row>
    <row r="280" spans="22:26" x14ac:dyDescent="0.2">
      <c r="V280" s="202" t="str">
        <f t="shared" si="13"/>
        <v>1D</v>
      </c>
      <c r="W280" s="200">
        <f>_xll.qlCalendarAdvance(Calendar,W279,V280,"f",FALSE)</f>
        <v>42261</v>
      </c>
      <c r="X280" s="203">
        <f>_xll.qlCalendarAdvance(Calendar,W280,NDays&amp;"D")</f>
        <v>42263</v>
      </c>
      <c r="Y280" s="204">
        <v>-3.9685456248150786E-4</v>
      </c>
      <c r="Z280" s="201">
        <v>-4.0244021311419687E-4</v>
      </c>
    </row>
    <row r="281" spans="22:26" x14ac:dyDescent="0.2">
      <c r="V281" s="202" t="str">
        <f t="shared" si="13"/>
        <v>1D</v>
      </c>
      <c r="W281" s="200">
        <f>_xll.qlCalendarAdvance(Calendar,W280,V281,"f",FALSE)</f>
        <v>42262</v>
      </c>
      <c r="X281" s="203">
        <f>_xll.qlCalendarAdvance(Calendar,W281,NDays&amp;"D")</f>
        <v>42264</v>
      </c>
      <c r="Y281" s="204">
        <v>-3.9599769164289089E-4</v>
      </c>
      <c r="Z281" s="201">
        <v>-4.0210459058442893E-4</v>
      </c>
    </row>
    <row r="282" spans="22:26" x14ac:dyDescent="0.2">
      <c r="V282" s="202" t="str">
        <f t="shared" si="13"/>
        <v>1D</v>
      </c>
      <c r="W282" s="200">
        <f>_xll.qlCalendarAdvance(Calendar,W281,V282,"f",FALSE)</f>
        <v>42263</v>
      </c>
      <c r="X282" s="203">
        <f>_xll.qlCalendarAdvance(Calendar,W282,NDays&amp;"D")</f>
        <v>42265</v>
      </c>
      <c r="Y282" s="204">
        <v>-3.9580113699565526E-4</v>
      </c>
      <c r="Z282" s="201">
        <v>-4.0141534173976368E-4</v>
      </c>
    </row>
    <row r="283" spans="22:26" x14ac:dyDescent="0.2">
      <c r="V283" s="202" t="str">
        <f t="shared" si="13"/>
        <v>1D</v>
      </c>
      <c r="W283" s="200">
        <f>_xll.qlCalendarAdvance(Calendar,W282,V283,"f",FALSE)</f>
        <v>42264</v>
      </c>
      <c r="X283" s="203">
        <f>_xll.qlCalendarAdvance(Calendar,W283,NDays&amp;"D")</f>
        <v>42268</v>
      </c>
      <c r="Y283" s="204">
        <v>-3.9474200212552546E-4</v>
      </c>
      <c r="Z283" s="201">
        <v>-4.0070943191583552E-4</v>
      </c>
    </row>
    <row r="284" spans="22:26" x14ac:dyDescent="0.2">
      <c r="V284" s="202" t="str">
        <f t="shared" si="13"/>
        <v>1D</v>
      </c>
      <c r="W284" s="200">
        <f>_xll.qlCalendarAdvance(Calendar,W283,V284,"f",FALSE)</f>
        <v>42265</v>
      </c>
      <c r="X284" s="203">
        <f>_xll.qlCalendarAdvance(Calendar,W284,NDays&amp;"D")</f>
        <v>42269</v>
      </c>
      <c r="Y284" s="204">
        <v>-3.9430368996429266E-4</v>
      </c>
      <c r="Z284" s="201">
        <v>-4.0034747513129076E-4</v>
      </c>
    </row>
    <row r="285" spans="22:26" x14ac:dyDescent="0.2">
      <c r="V285" s="202" t="str">
        <f t="shared" si="13"/>
        <v>1D</v>
      </c>
      <c r="W285" s="200">
        <f>_xll.qlCalendarAdvance(Calendar,W284,V285,"f",FALSE)</f>
        <v>42268</v>
      </c>
      <c r="X285" s="203">
        <f>_xll.qlCalendarAdvance(Calendar,W285,NDays&amp;"D")</f>
        <v>42270</v>
      </c>
      <c r="Y285" s="204">
        <v>-3.9386011111064434E-4</v>
      </c>
      <c r="Z285" s="201">
        <v>-3.9998025147980343E-4</v>
      </c>
    </row>
    <row r="286" spans="22:26" x14ac:dyDescent="0.2">
      <c r="V286" s="202" t="str">
        <f t="shared" si="13"/>
        <v>1D</v>
      </c>
      <c r="W286" s="200">
        <f>_xll.qlCalendarAdvance(Calendar,W285,V286,"f",FALSE)</f>
        <v>42269</v>
      </c>
      <c r="X286" s="203">
        <f>_xll.qlCalendarAdvance(Calendar,W286,NDays&amp;"D")</f>
        <v>42271</v>
      </c>
      <c r="Y286" s="204">
        <v>-3.9292951324029768E-4</v>
      </c>
      <c r="Z286" s="201">
        <v>-3.9960776104130957E-4</v>
      </c>
    </row>
    <row r="287" spans="22:26" x14ac:dyDescent="0.2">
      <c r="V287" s="202" t="str">
        <f t="shared" si="13"/>
        <v>1D</v>
      </c>
      <c r="W287" s="200">
        <f>_xll.qlCalendarAdvance(Calendar,W286,V287,"f",FALSE)</f>
        <v>42270</v>
      </c>
      <c r="X287" s="203">
        <f>_xll.qlCalendarAdvance(Calendar,W287,NDays&amp;"D")</f>
        <v>42272</v>
      </c>
      <c r="Y287" s="204">
        <v>-3.9271452181285465E-4</v>
      </c>
      <c r="Z287" s="201">
        <v>-3.9884478200136186E-4</v>
      </c>
    </row>
    <row r="288" spans="22:26" x14ac:dyDescent="0.2">
      <c r="V288" s="202" t="str">
        <f t="shared" si="13"/>
        <v>1D</v>
      </c>
      <c r="W288" s="200">
        <f>_xll.qlCalendarAdvance(Calendar,W287,V288,"f",FALSE)</f>
        <v>42271</v>
      </c>
      <c r="X288" s="203">
        <f>_xll.qlCalendarAdvance(Calendar,W288,NDays&amp;"D")</f>
        <v>42275</v>
      </c>
      <c r="Y288" s="204">
        <v>-3.9156321635624991E-4</v>
      </c>
      <c r="Z288" s="201">
        <v>-3.9806513065787641E-4</v>
      </c>
    </row>
    <row r="289" spans="22:26" x14ac:dyDescent="0.2">
      <c r="V289" s="202" t="str">
        <f t="shared" si="13"/>
        <v>1D</v>
      </c>
      <c r="W289" s="200">
        <f>_xll.qlCalendarAdvance(Calendar,W288,V289,"f",FALSE)</f>
        <v>42272</v>
      </c>
      <c r="X289" s="203">
        <f>_xll.qlCalendarAdvance(Calendar,W289,NDays&amp;"D")</f>
        <v>42276</v>
      </c>
      <c r="Y289" s="204">
        <v>-3.9108803730414365E-4</v>
      </c>
      <c r="Z289" s="201">
        <v>-3.9766630588466967E-4</v>
      </c>
    </row>
    <row r="290" spans="22:26" x14ac:dyDescent="0.2">
      <c r="V290" s="202" t="str">
        <f t="shared" si="13"/>
        <v>1D</v>
      </c>
      <c r="W290" s="200">
        <f>_xll.qlCalendarAdvance(Calendar,W289,V290,"f",FALSE)</f>
        <v>42275</v>
      </c>
      <c r="X290" s="203">
        <f>_xll.qlCalendarAdvance(Calendar,W290,NDays&amp;"D")</f>
        <v>42277</v>
      </c>
      <c r="Y290" s="204">
        <v>-3.9060759155029601E-4</v>
      </c>
      <c r="Z290" s="201">
        <v>-3.9726221432445641E-4</v>
      </c>
    </row>
    <row r="291" spans="22:26" x14ac:dyDescent="0.2">
      <c r="V291" s="202" t="str">
        <f t="shared" si="13"/>
        <v>1D</v>
      </c>
      <c r="W291" s="200">
        <f>_xll.qlCalendarAdvance(Calendar,W290,V291,"f",FALSE)</f>
        <v>42276</v>
      </c>
      <c r="X291" s="203">
        <f>_xll.qlCalendarAdvance(Calendar,W291,NDays&amp;"D")</f>
        <v>42278</v>
      </c>
      <c r="Y291" s="204">
        <v>-3.8960326709802651E-4</v>
      </c>
      <c r="Z291" s="201">
        <v>-3.9685285585733254E-4</v>
      </c>
    </row>
    <row r="292" spans="22:26" x14ac:dyDescent="0.2">
      <c r="V292" s="202" t="str">
        <f t="shared" si="13"/>
        <v>1D</v>
      </c>
      <c r="W292" s="200">
        <f>_xll.qlCalendarAdvance(Calendar,W291,V292,"f",FALSE)</f>
        <v>42277</v>
      </c>
      <c r="X292" s="203">
        <f>_xll.qlCalendarAdvance(Calendar,W292,NDays&amp;"D")</f>
        <v>42279</v>
      </c>
      <c r="Y292" s="204">
        <v>-3.8936983862437923E-4</v>
      </c>
      <c r="Z292" s="201">
        <v>-3.9601614726159085E-4</v>
      </c>
    </row>
    <row r="293" spans="22:26" x14ac:dyDescent="0.2">
      <c r="V293" s="202" t="str">
        <f t="shared" si="13"/>
        <v>1D</v>
      </c>
      <c r="W293" s="200">
        <f>_xll.qlCalendarAdvance(Calendar,W292,V293,"f",FALSE)</f>
        <v>42278</v>
      </c>
      <c r="X293" s="203">
        <f>_xll.qlCalendarAdvance(Calendar,W293,NDays&amp;"D")</f>
        <v>42282</v>
      </c>
      <c r="Y293" s="204">
        <v>-3.8785740250352018E-4</v>
      </c>
      <c r="Z293" s="201">
        <v>-3.951627537190916E-4</v>
      </c>
    </row>
    <row r="294" spans="22:26" x14ac:dyDescent="0.2">
      <c r="V294" s="202" t="str">
        <f t="shared" si="13"/>
        <v>1D</v>
      </c>
      <c r="W294" s="200">
        <f>_xll.qlCalendarAdvance(Calendar,W293,V294,"f",FALSE)</f>
        <v>42279</v>
      </c>
      <c r="X294" s="203">
        <f>_xll.qlCalendarAdvance(Calendar,W294,NDays&amp;"D")</f>
        <v>42283</v>
      </c>
      <c r="Y294" s="204">
        <v>-3.8734272372908224E-4</v>
      </c>
      <c r="Z294" s="201">
        <v>-3.9472706107712696E-4</v>
      </c>
    </row>
    <row r="295" spans="22:26" x14ac:dyDescent="0.2">
      <c r="V295" s="202" t="str">
        <f t="shared" si="13"/>
        <v>1D</v>
      </c>
      <c r="W295" s="200">
        <f>_xll.qlCalendarAdvance(Calendar,W294,V295,"f",FALSE)</f>
        <v>42282</v>
      </c>
      <c r="X295" s="203">
        <f>_xll.qlCalendarAdvance(Calendar,W295,NDays&amp;"D")</f>
        <v>42284</v>
      </c>
      <c r="Y295" s="204">
        <v>-3.8626906266396463E-4</v>
      </c>
      <c r="Z295" s="201">
        <v>-3.9428610156821975E-4</v>
      </c>
    </row>
    <row r="296" spans="22:26" x14ac:dyDescent="0.2">
      <c r="V296" s="202" t="str">
        <f t="shared" si="13"/>
        <v>1D</v>
      </c>
      <c r="W296" s="200">
        <f>_xll.qlCalendarAdvance(Calendar,W295,V296,"f",FALSE)</f>
        <v>42283</v>
      </c>
      <c r="X296" s="203">
        <f>_xll.qlCalendarAdvance(Calendar,W296,NDays&amp;"D")</f>
        <v>42285</v>
      </c>
      <c r="Y296" s="204">
        <v>-3.8601895298126521E-4</v>
      </c>
      <c r="Z296" s="201">
        <v>-3.9383987519236996E-4</v>
      </c>
    </row>
    <row r="297" spans="22:26" x14ac:dyDescent="0.2">
      <c r="V297" s="202" t="str">
        <f t="shared" si="13"/>
        <v>1D</v>
      </c>
      <c r="W297" s="200">
        <f>_xll.qlCalendarAdvance(Calendar,W296,V297,"f",FALSE)</f>
        <v>42284</v>
      </c>
      <c r="X297" s="203">
        <f>_xll.qlCalendarAdvance(Calendar,W297,NDays&amp;"D")</f>
        <v>42286</v>
      </c>
      <c r="Y297" s="204">
        <v>-3.8576708719686726E-4</v>
      </c>
      <c r="Z297" s="201">
        <v>-3.9292943741386921E-4</v>
      </c>
    </row>
    <row r="298" spans="22:26" x14ac:dyDescent="0.2">
      <c r="V298" s="202" t="str">
        <f t="shared" si="13"/>
        <v>1D</v>
      </c>
      <c r="W298" s="200">
        <f>_xll.qlCalendarAdvance(Calendar,W297,V298,"f",FALSE)</f>
        <v>42285</v>
      </c>
      <c r="X298" s="203">
        <f>_xll.qlCalendarAdvance(Calendar,W298,NDays&amp;"D")</f>
        <v>42289</v>
      </c>
      <c r="Y298" s="204">
        <v>-3.8414405033453965E-4</v>
      </c>
      <c r="Z298" s="201">
        <v>-3.920023012593532E-4</v>
      </c>
    </row>
    <row r="299" spans="22:26" x14ac:dyDescent="0.2">
      <c r="V299" s="202" t="str">
        <f t="shared" si="13"/>
        <v>1D</v>
      </c>
      <c r="W299" s="200">
        <f>_xll.qlCalendarAdvance(Calendar,W298,V299,"f",FALSE)</f>
        <v>42286</v>
      </c>
      <c r="X299" s="203">
        <f>_xll.qlCalendarAdvance(Calendar,W299,NDays&amp;"D")</f>
        <v>42290</v>
      </c>
      <c r="Y299" s="204">
        <v>-3.8359250463639429E-4</v>
      </c>
      <c r="Z299" s="201">
        <v>-3.9152974070866264E-4</v>
      </c>
    </row>
    <row r="300" spans="22:26" x14ac:dyDescent="0.2">
      <c r="V300" s="202" t="str">
        <f t="shared" si="13"/>
        <v>1D</v>
      </c>
      <c r="W300" s="200">
        <f>_xll.qlCalendarAdvance(Calendar,W299,V300,"f",FALSE)</f>
        <v>42289</v>
      </c>
      <c r="X300" s="203">
        <f>_xll.qlCalendarAdvance(Calendar,W300,NDays&amp;"D")</f>
        <v>42291</v>
      </c>
      <c r="Y300" s="204">
        <v>-3.8244511786194641E-4</v>
      </c>
      <c r="Z300" s="201">
        <v>-3.9105191313115739E-4</v>
      </c>
    </row>
    <row r="301" spans="22:26" x14ac:dyDescent="0.2">
      <c r="V301" s="202" t="str">
        <f t="shared" si="13"/>
        <v>1D</v>
      </c>
      <c r="W301" s="200">
        <f>_xll.qlCalendarAdvance(Calendar,W300,V301,"f",FALSE)</f>
        <v>42290</v>
      </c>
      <c r="X301" s="203">
        <f>_xll.qlCalendarAdvance(Calendar,W301,NDays&amp;"D")</f>
        <v>42292</v>
      </c>
      <c r="Y301" s="204">
        <v>-3.821765706502056E-4</v>
      </c>
      <c r="Z301" s="201">
        <v>-3.9056881892651774E-4</v>
      </c>
    </row>
    <row r="302" spans="22:26" x14ac:dyDescent="0.2">
      <c r="V302" s="202" t="str">
        <f t="shared" si="13"/>
        <v>1D</v>
      </c>
      <c r="W302" s="200">
        <f>_xll.qlCalendarAdvance(Calendar,W301,V302,"f",FALSE)</f>
        <v>42291</v>
      </c>
      <c r="X302" s="203">
        <f>_xll.qlCalendarAdvance(Calendar,W302,NDays&amp;"D")</f>
        <v>42293</v>
      </c>
      <c r="Y302" s="204">
        <v>-3.8190626730082481E-4</v>
      </c>
      <c r="Z302" s="201">
        <v>-3.8958465252481034E-4</v>
      </c>
    </row>
    <row r="303" spans="22:26" x14ac:dyDescent="0.2">
      <c r="V303" s="202" t="str">
        <f t="shared" si="13"/>
        <v>1D</v>
      </c>
      <c r="W303" s="200">
        <f>_xll.qlCalendarAdvance(Calendar,W302,V303,"f",FALSE)</f>
        <v>42292</v>
      </c>
      <c r="X303" s="203">
        <f>_xll.qlCalendarAdvance(Calendar,W303,NDays&amp;"D")</f>
        <v>42296</v>
      </c>
      <c r="Y303" s="204">
        <v>-3.8017262958486034E-4</v>
      </c>
      <c r="Z303" s="201">
        <v>-3.8858377319872517E-4</v>
      </c>
    </row>
    <row r="304" spans="22:26" x14ac:dyDescent="0.2">
      <c r="V304" s="202" t="str">
        <f t="shared" si="13"/>
        <v>1D</v>
      </c>
      <c r="W304" s="200">
        <f>_xll.qlCalendarAdvance(Calendar,W303,V304,"f",FALSE)</f>
        <v>42293</v>
      </c>
      <c r="X304" s="203">
        <f>_xll.qlCalendarAdvance(Calendar,W304,NDays&amp;"D")</f>
        <v>42297</v>
      </c>
      <c r="Y304" s="204">
        <v>-3.795842169243289E-4</v>
      </c>
      <c r="Z304" s="201">
        <v>-3.8807434465937263E-4</v>
      </c>
    </row>
    <row r="305" spans="22:26" x14ac:dyDescent="0.2">
      <c r="V305" s="202" t="str">
        <f t="shared" si="13"/>
        <v>1D</v>
      </c>
      <c r="W305" s="200">
        <f>_xll.qlCalendarAdvance(Calendar,W304,V305,"f",FALSE)</f>
        <v>42296</v>
      </c>
      <c r="X305" s="203">
        <f>_xll.qlCalendarAdvance(Calendar,W305,NDays&amp;"D")</f>
        <v>42298</v>
      </c>
      <c r="Y305" s="204">
        <v>-3.7836310482768971E-4</v>
      </c>
      <c r="Z305" s="201">
        <v>-3.8755964917314145E-4</v>
      </c>
    </row>
    <row r="306" spans="22:26" x14ac:dyDescent="0.2">
      <c r="V306" s="202" t="str">
        <f t="shared" si="13"/>
        <v>1D</v>
      </c>
      <c r="W306" s="200">
        <f>_xll.qlCalendarAdvance(Calendar,W305,V306,"f",FALSE)</f>
        <v>42297</v>
      </c>
      <c r="X306" s="203">
        <f>_xll.qlCalendarAdvance(Calendar,W306,NDays&amp;"D")</f>
        <v>42299</v>
      </c>
      <c r="Y306" s="204">
        <v>-3.7807611983631251E-4</v>
      </c>
      <c r="Z306" s="201">
        <v>-3.8703968701980784E-4</v>
      </c>
    </row>
    <row r="307" spans="22:26" x14ac:dyDescent="0.2">
      <c r="V307" s="202" t="str">
        <f t="shared" si="13"/>
        <v>1D</v>
      </c>
      <c r="W307" s="200">
        <f>_xll.qlCalendarAdvance(Calendar,W306,V307,"f",FALSE)</f>
        <v>42298</v>
      </c>
      <c r="X307" s="203">
        <f>_xll.qlCalendarAdvance(Calendar,W307,NDays&amp;"D")</f>
        <v>42300</v>
      </c>
      <c r="Y307" s="204">
        <v>-3.7778737867065796E-4</v>
      </c>
      <c r="Z307" s="201">
        <v>-3.8598179247451014E-4</v>
      </c>
    </row>
    <row r="308" spans="22:26" x14ac:dyDescent="0.2">
      <c r="V308" s="202" t="str">
        <f t="shared" si="13"/>
        <v>1D</v>
      </c>
      <c r="W308" s="200">
        <f>_xll.qlCalendarAdvance(Calendar,W307,V308,"f",FALSE)</f>
        <v>42299</v>
      </c>
      <c r="X308" s="203">
        <f>_xll.qlCalendarAdvance(Calendar,W308,NDays&amp;"D")</f>
        <v>42303</v>
      </c>
      <c r="Y308" s="204">
        <v>-3.7594313998888832E-4</v>
      </c>
      <c r="Z308" s="201">
        <v>-3.8490716957717552E-4</v>
      </c>
    </row>
    <row r="309" spans="22:26" x14ac:dyDescent="0.2">
      <c r="V309" s="202" t="str">
        <f t="shared" si="13"/>
        <v>1D</v>
      </c>
      <c r="W309" s="200">
        <f>_xll.qlCalendarAdvance(Calendar,W308,V309,"f",FALSE)</f>
        <v>42300</v>
      </c>
      <c r="X309" s="203">
        <f>_xll.qlCalendarAdvance(Calendar,W309,NDays&amp;"D")</f>
        <v>42304</v>
      </c>
      <c r="Y309" s="204">
        <v>-3.7531786032600267E-4</v>
      </c>
      <c r="Z309" s="201">
        <v>-3.8436087300919297E-4</v>
      </c>
    </row>
    <row r="310" spans="22:26" x14ac:dyDescent="0.2">
      <c r="V310" s="202" t="str">
        <f t="shared" si="13"/>
        <v>1D</v>
      </c>
      <c r="W310" s="200">
        <f>_xll.qlCalendarAdvance(Calendar,W309,V310,"f",FALSE)</f>
        <v>42303</v>
      </c>
      <c r="X310" s="203">
        <f>_xll.qlCalendarAdvance(Calendar,W310,NDays&amp;"D")</f>
        <v>42305</v>
      </c>
      <c r="Y310" s="204">
        <v>-3.7402302327172913E-4</v>
      </c>
      <c r="Z310" s="201">
        <v>-3.838093096542039E-4</v>
      </c>
    </row>
    <row r="311" spans="22:26" x14ac:dyDescent="0.2">
      <c r="V311" s="202" t="str">
        <f t="shared" si="13"/>
        <v>1D</v>
      </c>
      <c r="W311" s="200">
        <f>_xll.qlCalendarAdvance(Calendar,W310,V311,"f",FALSE)</f>
        <v>42304</v>
      </c>
      <c r="X311" s="203">
        <f>_xll.qlCalendarAdvance(Calendar,W311,NDays&amp;"D")</f>
        <v>42306</v>
      </c>
      <c r="Y311" s="204">
        <v>-3.7371760025481371E-4</v>
      </c>
      <c r="Z311" s="201">
        <v>-3.8325247947224028E-4</v>
      </c>
    </row>
    <row r="312" spans="22:26" x14ac:dyDescent="0.2">
      <c r="V312" s="202" t="str">
        <f t="shared" si="13"/>
        <v>1D</v>
      </c>
      <c r="W312" s="200">
        <f>_xll.qlCalendarAdvance(Calendar,W311,V312,"f",FALSE)</f>
        <v>42305</v>
      </c>
      <c r="X312" s="203">
        <f>_xll.qlCalendarAdvance(Calendar,W312,NDays&amp;"D")</f>
        <v>42307</v>
      </c>
      <c r="Y312" s="204">
        <v>-3.7341042103561552E-4</v>
      </c>
      <c r="Z312" s="201">
        <v>-3.8212085734290469E-4</v>
      </c>
    </row>
    <row r="313" spans="22:26" x14ac:dyDescent="0.2">
      <c r="V313" s="202" t="str">
        <f t="shared" si="13"/>
        <v>1D</v>
      </c>
      <c r="W313" s="200">
        <f>_xll.qlCalendarAdvance(Calendar,W312,V313,"f",FALSE)</f>
        <v>42306</v>
      </c>
      <c r="X313" s="203">
        <f>_xll.qlCalendarAdvance(Calendar,W313,NDays&amp;"D")</f>
        <v>42310</v>
      </c>
      <c r="Y313" s="204">
        <v>-3.7179825774247277E-4</v>
      </c>
      <c r="Z313" s="201">
        <v>-3.8097249015489609E-4</v>
      </c>
    </row>
    <row r="314" spans="22:26" x14ac:dyDescent="0.2">
      <c r="V314" s="202" t="str">
        <f t="shared" si="13"/>
        <v>1D</v>
      </c>
      <c r="W314" s="200">
        <f>_xll.qlCalendarAdvance(Calendar,W313,V314,"f",FALSE)</f>
        <v>42307</v>
      </c>
      <c r="X314" s="203">
        <f>_xll.qlCalendarAdvance(Calendar,W314,NDays&amp;"D")</f>
        <v>42311</v>
      </c>
      <c r="Y314" s="204">
        <v>-3.7113874372440847E-4</v>
      </c>
      <c r="Z314" s="201">
        <v>-3.803893257980917E-4</v>
      </c>
    </row>
    <row r="315" spans="22:26" x14ac:dyDescent="0.2">
      <c r="V315" s="202" t="str">
        <f t="shared" si="13"/>
        <v>1D</v>
      </c>
      <c r="W315" s="200">
        <f>_xll.qlCalendarAdvance(Calendar,W314,V315,"f",FALSE)</f>
        <v>42310</v>
      </c>
      <c r="X315" s="203">
        <f>_xll.qlCalendarAdvance(Calendar,W315,NDays&amp;"D")</f>
        <v>42312</v>
      </c>
      <c r="Y315" s="204">
        <v>-3.7047396297529289E-4</v>
      </c>
      <c r="Z315" s="201">
        <v>-3.7980089449440868E-4</v>
      </c>
    </row>
    <row r="316" spans="22:26" x14ac:dyDescent="0.2">
      <c r="V316" s="202" t="str">
        <f t="shared" si="13"/>
        <v>1D</v>
      </c>
      <c r="W316" s="200">
        <f>_xll.qlCalendarAdvance(Calendar,W315,V316,"f",FALSE)</f>
        <v>42311</v>
      </c>
      <c r="X316" s="203">
        <f>_xll.qlCalendarAdvance(Calendar,W316,NDays&amp;"D")</f>
        <v>42313</v>
      </c>
      <c r="Y316" s="204">
        <v>-3.69101011612194E-4</v>
      </c>
      <c r="Z316" s="201">
        <v>-3.7920719632378308E-4</v>
      </c>
    </row>
    <row r="317" spans="22:26" x14ac:dyDescent="0.2">
      <c r="V317" s="202" t="str">
        <f t="shared" si="13"/>
        <v>1D</v>
      </c>
      <c r="W317" s="200">
        <f>_xll.qlCalendarAdvance(Calendar,W316,V317,"f",FALSE)</f>
        <v>42312</v>
      </c>
      <c r="X317" s="203">
        <f>_xll.qlCalendarAdvance(Calendar,W317,NDays&amp;"D")</f>
        <v>42314</v>
      </c>
      <c r="Y317" s="204">
        <v>-3.6877539410431771E-4</v>
      </c>
      <c r="Z317" s="201">
        <v>-3.7800184702341255E-4</v>
      </c>
    </row>
    <row r="318" spans="22:26" x14ac:dyDescent="0.2">
      <c r="V318" s="202" t="str">
        <f t="shared" si="13"/>
        <v>1D</v>
      </c>
      <c r="W318" s="200">
        <f>_xll.qlCalendarAdvance(Calendar,W317,V318,"f",FALSE)</f>
        <v>42313</v>
      </c>
      <c r="X318" s="203">
        <f>_xll.qlCalendarAdvance(Calendar,W318,NDays&amp;"D")</f>
        <v>42317</v>
      </c>
      <c r="Y318" s="204">
        <v>-3.670710582852621E-4</v>
      </c>
      <c r="Z318" s="201">
        <v>-3.767797353715352E-4</v>
      </c>
    </row>
    <row r="319" spans="22:26" x14ac:dyDescent="0.2">
      <c r="V319" s="202" t="str">
        <f t="shared" si="13"/>
        <v>1D</v>
      </c>
      <c r="W319" s="200">
        <f>_xll.qlCalendarAdvance(Calendar,W318,V319,"f",FALSE)</f>
        <v>42314</v>
      </c>
      <c r="X319" s="203">
        <f>_xll.qlCalendarAdvance(Calendar,W319,NDays&amp;"D")</f>
        <v>42318</v>
      </c>
      <c r="Y319" s="204">
        <v>-3.6637467715250338E-4</v>
      </c>
      <c r="Z319" s="201">
        <v>-3.7615970290616474E-4</v>
      </c>
    </row>
    <row r="320" spans="22:26" x14ac:dyDescent="0.2">
      <c r="V320" s="202" t="str">
        <f t="shared" si="13"/>
        <v>1D</v>
      </c>
      <c r="W320" s="200">
        <f>_xll.qlCalendarAdvance(Calendar,W319,V320,"f",FALSE)</f>
        <v>42317</v>
      </c>
      <c r="X320" s="203">
        <f>_xll.qlCalendarAdvance(Calendar,W320,NDays&amp;"D")</f>
        <v>42319</v>
      </c>
      <c r="Y320" s="204">
        <v>-3.6567302928469658E-4</v>
      </c>
      <c r="Z320" s="201">
        <v>-3.7553440369375579E-4</v>
      </c>
    </row>
    <row r="321" spans="22:26" x14ac:dyDescent="0.2">
      <c r="V321" s="202" t="str">
        <f t="shared" si="13"/>
        <v>1D</v>
      </c>
      <c r="W321" s="200">
        <f>_xll.qlCalendarAdvance(Calendar,W320,V321,"f",FALSE)</f>
        <v>42318</v>
      </c>
      <c r="X321" s="203">
        <f>_xll.qlCalendarAdvance(Calendar,W321,NDays&amp;"D")</f>
        <v>42320</v>
      </c>
      <c r="Y321" s="204">
        <v>-3.6422635358746014E-4</v>
      </c>
      <c r="Z321" s="201">
        <v>-3.7490383761440427E-4</v>
      </c>
    </row>
    <row r="322" spans="22:26" x14ac:dyDescent="0.2">
      <c r="V322" s="202" t="str">
        <f t="shared" si="13"/>
        <v>1D</v>
      </c>
      <c r="W322" s="200">
        <f>_xll.qlCalendarAdvance(Calendar,W321,V322,"f",FALSE)</f>
        <v>42319</v>
      </c>
      <c r="X322" s="203">
        <f>_xll.qlCalendarAdvance(Calendar,W322,NDays&amp;"D")</f>
        <v>42321</v>
      </c>
      <c r="Y322" s="204">
        <v>-3.6388229756604526E-4</v>
      </c>
      <c r="Z322" s="201">
        <v>-3.7362476152935642E-4</v>
      </c>
    </row>
    <row r="323" spans="22:26" x14ac:dyDescent="0.2">
      <c r="V323" s="202" t="str">
        <f t="shared" si="13"/>
        <v>1D</v>
      </c>
      <c r="W323" s="200">
        <f>_xll.qlCalendarAdvance(Calendar,W322,V323,"f",FALSE)</f>
        <v>42320</v>
      </c>
      <c r="X323" s="203">
        <f>_xll.qlCalendarAdvance(Calendar,W323,NDays&amp;"D")</f>
        <v>42324</v>
      </c>
      <c r="Y323" s="204">
        <v>-3.6208578891061549E-4</v>
      </c>
      <c r="Z323" s="201">
        <v>-3.7232890478744451E-4</v>
      </c>
    </row>
    <row r="324" spans="22:26" x14ac:dyDescent="0.2">
      <c r="V324" s="202" t="str">
        <f t="shared" si="13"/>
        <v>1D</v>
      </c>
      <c r="W324" s="200">
        <f>_xll.qlCalendarAdvance(Calendar,W323,V324,"f",FALSE)</f>
        <v>42321</v>
      </c>
      <c r="X324" s="203">
        <f>_xll.qlCalendarAdvance(Calendar,W324,NDays&amp;"D")</f>
        <v>42325</v>
      </c>
      <c r="Y324" s="204">
        <v>-3.6135254061919753E-4</v>
      </c>
      <c r="Z324" s="201">
        <v>-3.7167200445331616E-4</v>
      </c>
    </row>
    <row r="325" spans="22:26" x14ac:dyDescent="0.2">
      <c r="V325" s="202" t="str">
        <f t="shared" si="13"/>
        <v>1D</v>
      </c>
      <c r="W325" s="200">
        <f>_xll.qlCalendarAdvance(Calendar,W324,V325,"f",FALSE)</f>
        <v>42324</v>
      </c>
      <c r="X325" s="203">
        <f>_xll.qlCalendarAdvance(Calendar,W325,NDays&amp;"D")</f>
        <v>42326</v>
      </c>
      <c r="Y325" s="204">
        <v>-3.6061402559006694E-4</v>
      </c>
      <c r="Z325" s="201">
        <v>-3.7100983733218129E-4</v>
      </c>
    </row>
    <row r="326" spans="22:26" x14ac:dyDescent="0.2">
      <c r="V326" s="202" t="str">
        <f t="shared" si="13"/>
        <v>1D</v>
      </c>
      <c r="W326" s="200">
        <f>_xll.qlCalendarAdvance(Calendar,W325,V326,"f",FALSE)</f>
        <v>42325</v>
      </c>
      <c r="X326" s="203">
        <f>_xll.qlCalendarAdvance(Calendar,W326,NDays&amp;"D")</f>
        <v>42327</v>
      </c>
      <c r="Y326" s="204">
        <v>-3.5909362584338189E-4</v>
      </c>
      <c r="Z326" s="201">
        <v>-3.7034240322419976E-4</v>
      </c>
    </row>
    <row r="327" spans="22:26" x14ac:dyDescent="0.2">
      <c r="V327" s="202" t="str">
        <f t="shared" si="13"/>
        <v>1D</v>
      </c>
      <c r="W327" s="200">
        <f>_xll.qlCalendarAdvance(Calendar,W326,V327,"f",FALSE)</f>
        <v>42326</v>
      </c>
      <c r="X327" s="203">
        <f>_xll.qlCalendarAdvance(Calendar,W327,NDays&amp;"D")</f>
        <v>42328</v>
      </c>
      <c r="Y327" s="204">
        <v>-3.5873113109331821E-4</v>
      </c>
      <c r="Z327" s="201">
        <v>-3.6898960082076826E-4</v>
      </c>
    </row>
    <row r="328" spans="22:26" x14ac:dyDescent="0.2">
      <c r="V328" s="202" t="str">
        <f t="shared" si="13"/>
        <v>1D</v>
      </c>
      <c r="W328" s="200">
        <f>_xll.qlCalendarAdvance(Calendar,W327,V328,"f",FALSE)</f>
        <v>42327</v>
      </c>
      <c r="X328" s="203">
        <f>_xll.qlCalendarAdvance(Calendar,W328,NDays&amp;"D")</f>
        <v>42331</v>
      </c>
      <c r="Y328" s="204">
        <v>-3.5684244929345965E-4</v>
      </c>
      <c r="Z328" s="201">
        <v>-3.6761999864243222E-4</v>
      </c>
    </row>
    <row r="329" spans="22:26" x14ac:dyDescent="0.2">
      <c r="V329" s="202" t="str">
        <f t="shared" si="13"/>
        <v>1D</v>
      </c>
      <c r="W329" s="200">
        <f>_xll.qlCalendarAdvance(Calendar,W328,V329,"f",FALSE)</f>
        <v>42328</v>
      </c>
      <c r="X329" s="203">
        <f>_xll.qlCalendarAdvance(Calendar,W329,NDays&amp;"D")</f>
        <v>42332</v>
      </c>
      <c r="Y329" s="204">
        <v>-3.5607233379941761E-4</v>
      </c>
      <c r="Z329" s="201">
        <v>-3.6692623035960992E-4</v>
      </c>
    </row>
    <row r="330" spans="22:26" x14ac:dyDescent="0.2">
      <c r="V330" s="202" t="str">
        <f t="shared" si="13"/>
        <v>1D</v>
      </c>
      <c r="W330" s="200">
        <f>_xll.qlCalendarAdvance(Calendar,W329,V330,"f",FALSE)</f>
        <v>42331</v>
      </c>
      <c r="X330" s="203">
        <f>_xll.qlCalendarAdvance(Calendar,W330,NDays&amp;"D")</f>
        <v>42333</v>
      </c>
      <c r="Y330" s="204">
        <v>-3.5408200538993901E-4</v>
      </c>
      <c r="Z330" s="201">
        <v>-3.6622719520984504E-4</v>
      </c>
    </row>
    <row r="331" spans="22:26" x14ac:dyDescent="0.2">
      <c r="V331" s="202" t="str">
        <f t="shared" si="13"/>
        <v>1D</v>
      </c>
      <c r="W331" s="200">
        <f>_xll.qlCalendarAdvance(Calendar,W330,V331,"f",FALSE)</f>
        <v>42332</v>
      </c>
      <c r="X331" s="203">
        <f>_xll.qlCalendarAdvance(Calendar,W331,NDays&amp;"D")</f>
        <v>42334</v>
      </c>
      <c r="Y331" s="204">
        <v>-3.5370282802899E-4</v>
      </c>
      <c r="Z331" s="201">
        <v>-3.6552289319313758E-4</v>
      </c>
    </row>
    <row r="332" spans="22:26" x14ac:dyDescent="0.2">
      <c r="V332" s="202" t="str">
        <f t="shared" si="13"/>
        <v>1D</v>
      </c>
      <c r="W332" s="200">
        <f>_xll.qlCalendarAdvance(Calendar,W331,V332,"f",FALSE)</f>
        <v>42333</v>
      </c>
      <c r="X332" s="203">
        <f>_xll.qlCalendarAdvance(Calendar,W332,NDays&amp;"D")</f>
        <v>42335</v>
      </c>
      <c r="Y332" s="204">
        <v>-3.5332189434705304E-4</v>
      </c>
      <c r="Z332" s="201">
        <v>-3.6409636487100272E-4</v>
      </c>
    </row>
    <row r="333" spans="22:26" x14ac:dyDescent="0.2">
      <c r="V333" s="202" t="str">
        <f t="shared" si="13"/>
        <v>1D</v>
      </c>
      <c r="W333" s="200">
        <f>_xll.qlCalendarAdvance(Calendar,W332,V333,"f",FALSE)</f>
        <v>42334</v>
      </c>
      <c r="X333" s="203">
        <f>_xll.qlCalendarAdvance(Calendar,W333,NDays&amp;"D")</f>
        <v>42338</v>
      </c>
      <c r="Y333" s="204">
        <v>-3.5092464883398813E-4</v>
      </c>
      <c r="Z333" s="201">
        <v>-3.626530167766262E-4</v>
      </c>
    </row>
    <row r="334" spans="22:26" x14ac:dyDescent="0.2">
      <c r="V334" s="202" t="str">
        <f t="shared" si="13"/>
        <v>1D</v>
      </c>
      <c r="W334" s="200">
        <f>_xll.qlCalendarAdvance(Calendar,W333,V334,"f",FALSE)</f>
        <v>42335</v>
      </c>
      <c r="X334" s="203">
        <f>_xll.qlCalendarAdvance(Calendar,W334,NDays&amp;"D")</f>
        <v>42339</v>
      </c>
      <c r="Y334" s="204">
        <v>-3.4884743635776871E-4</v>
      </c>
      <c r="Z334" s="201">
        <v>-3.6192238058507797E-4</v>
      </c>
    </row>
    <row r="335" spans="22:26" x14ac:dyDescent="0.2">
      <c r="V335" s="202" t="str">
        <f t="shared" si="13"/>
        <v>1D</v>
      </c>
      <c r="W335" s="200">
        <f>_xll.qlCalendarAdvance(Calendar,W334,V335,"f",FALSE)</f>
        <v>42338</v>
      </c>
      <c r="X335" s="203">
        <f>_xll.qlCalendarAdvance(Calendar,W335,NDays&amp;"D")</f>
        <v>42340</v>
      </c>
      <c r="Y335" s="204">
        <v>-3.4845157623793329E-4</v>
      </c>
      <c r="Z335" s="201">
        <v>-3.6118647752658717E-4</v>
      </c>
    </row>
    <row r="336" spans="22:26" x14ac:dyDescent="0.2">
      <c r="V336" s="202" t="str">
        <f t="shared" si="13"/>
        <v>1D</v>
      </c>
      <c r="W336" s="200">
        <f>_xll.qlCalendarAdvance(Calendar,W335,V336,"f",FALSE)</f>
        <v>42339</v>
      </c>
      <c r="X336" s="203">
        <f>_xll.qlCalendarAdvance(Calendar,W336,NDays&amp;"D")</f>
        <v>42341</v>
      </c>
      <c r="Y336" s="204">
        <v>-3.480539597733312E-4</v>
      </c>
      <c r="Z336" s="201">
        <v>-3.6044530752121773E-4</v>
      </c>
    </row>
    <row r="337" spans="22:26" x14ac:dyDescent="0.2">
      <c r="V337" s="202" t="str">
        <f t="shared" si="13"/>
        <v>1D</v>
      </c>
      <c r="W337" s="200">
        <f>_xll.qlCalendarAdvance(Calendar,W336,V337,"f",FALSE)</f>
        <v>42340</v>
      </c>
      <c r="X337" s="203">
        <f>_xll.qlCalendarAdvance(Calendar,W337,NDays&amp;"D")</f>
        <v>42342</v>
      </c>
      <c r="Y337" s="204">
        <v>-3.4765458696238026E-4</v>
      </c>
      <c r="Z337" s="201">
        <v>-3.5894505364009177E-4</v>
      </c>
    </row>
    <row r="338" spans="22:26" x14ac:dyDescent="0.2">
      <c r="V338" s="202" t="str">
        <f t="shared" si="13"/>
        <v>1D</v>
      </c>
      <c r="W338" s="200">
        <f>_xll.qlCalendarAdvance(Calendar,W337,V338,"f",FALSE)</f>
        <v>42341</v>
      </c>
      <c r="X338" s="203">
        <f>_xll.qlCalendarAdvance(Calendar,W338,NDays&amp;"D")</f>
        <v>42345</v>
      </c>
      <c r="Y338" s="204">
        <v>-3.4514673963515646E-4</v>
      </c>
      <c r="Z338" s="201">
        <v>-3.5742795934989857E-4</v>
      </c>
    </row>
    <row r="339" spans="22:26" x14ac:dyDescent="0.2">
      <c r="V339" s="202" t="str">
        <f t="shared" si="13"/>
        <v>1D</v>
      </c>
      <c r="W339" s="200">
        <f>_xll.qlCalendarAdvance(Calendar,W338,V339,"f",FALSE)</f>
        <v>42342</v>
      </c>
      <c r="X339" s="203">
        <f>_xll.qlCalendarAdvance(Calendar,W339,NDays&amp;"D")</f>
        <v>42346</v>
      </c>
      <c r="Y339" s="204">
        <v>-3.4430025700793812E-4</v>
      </c>
      <c r="Z339" s="201">
        <v>-3.5666045512972033E-4</v>
      </c>
    </row>
    <row r="340" spans="22:26" x14ac:dyDescent="0.2">
      <c r="V340" s="202" t="str">
        <f t="shared" si="13"/>
        <v>1D</v>
      </c>
      <c r="W340" s="200">
        <f>_xll.qlCalendarAdvance(Calendar,W339,V340,"f",FALSE)</f>
        <v>42345</v>
      </c>
      <c r="X340" s="203">
        <f>_xll.qlCalendarAdvance(Calendar,W340,NDays&amp;"D")</f>
        <v>42347</v>
      </c>
      <c r="Y340" s="204">
        <v>-3.4256307644228462E-4</v>
      </c>
      <c r="Z340" s="201">
        <v>-3.558876841625036E-4</v>
      </c>
    </row>
    <row r="341" spans="22:26" x14ac:dyDescent="0.2">
      <c r="V341" s="202" t="str">
        <f t="shared" ref="V341:V404" si="14">V340</f>
        <v>1D</v>
      </c>
      <c r="W341" s="200">
        <f>_xll.qlCalendarAdvance(Calendar,W340,V341,"f",FALSE)</f>
        <v>42346</v>
      </c>
      <c r="X341" s="203">
        <f>_xll.qlCalendarAdvance(Calendar,W341,NDays&amp;"D")</f>
        <v>42348</v>
      </c>
      <c r="Y341" s="204">
        <v>-3.4214702069046421E-4</v>
      </c>
      <c r="Z341" s="201">
        <v>-3.5510964620844021E-4</v>
      </c>
    </row>
    <row r="342" spans="22:26" x14ac:dyDescent="0.2">
      <c r="V342" s="202" t="str">
        <f t="shared" si="14"/>
        <v>1D</v>
      </c>
      <c r="W342" s="200">
        <f>_xll.qlCalendarAdvance(Calendar,W341,V342,"f",FALSE)</f>
        <v>42347</v>
      </c>
      <c r="X342" s="203">
        <f>_xll.qlCalendarAdvance(Calendar,W342,NDays&amp;"D")</f>
        <v>42349</v>
      </c>
      <c r="Y342" s="204">
        <v>-3.4172920856798399E-4</v>
      </c>
      <c r="Z342" s="201">
        <v>-3.5353566712803541E-4</v>
      </c>
    </row>
    <row r="343" spans="22:26" x14ac:dyDescent="0.2">
      <c r="V343" s="202" t="str">
        <f t="shared" si="14"/>
        <v>1D</v>
      </c>
      <c r="W343" s="200">
        <f>_xll.qlCalendarAdvance(Calendar,W342,V343,"f",FALSE)</f>
        <v>42348</v>
      </c>
      <c r="X343" s="203">
        <f>_xll.qlCalendarAdvance(Calendar,W343,NDays&amp;"D")</f>
        <v>42352</v>
      </c>
      <c r="Y343" s="204">
        <v>-3.3911075925254701E-4</v>
      </c>
      <c r="Z343" s="201">
        <v>-3.5194482624234524E-4</v>
      </c>
    </row>
    <row r="344" spans="22:26" x14ac:dyDescent="0.2">
      <c r="V344" s="202" t="str">
        <f t="shared" si="14"/>
        <v>1D</v>
      </c>
      <c r="W344" s="200">
        <f>_xll.qlCalendarAdvance(Calendar,W343,V344,"f",FALSE)</f>
        <v>42349</v>
      </c>
      <c r="X344" s="203">
        <f>_xll.qlCalendarAdvance(Calendar,W344,NDays&amp;"D")</f>
        <v>42353</v>
      </c>
      <c r="Y344" s="204">
        <v>-3.382274092826016E-4</v>
      </c>
      <c r="Z344" s="201">
        <v>-3.5114045403350502E-4</v>
      </c>
    </row>
    <row r="345" spans="22:26" x14ac:dyDescent="0.2">
      <c r="V345" s="202" t="str">
        <f t="shared" si="14"/>
        <v>1D</v>
      </c>
      <c r="W345" s="200">
        <f>_xll.qlCalendarAdvance(Calendar,W344,V345,"f",FALSE)</f>
        <v>42352</v>
      </c>
      <c r="X345" s="203">
        <f>_xll.qlCalendarAdvance(Calendar,W345,NDays&amp;"D")</f>
        <v>42354</v>
      </c>
      <c r="Y345" s="204">
        <v>-3.3641650558030085E-4</v>
      </c>
      <c r="Z345" s="201">
        <v>-3.5033081503765828E-4</v>
      </c>
    </row>
    <row r="346" spans="22:26" x14ac:dyDescent="0.2">
      <c r="V346" s="202" t="str">
        <f t="shared" si="14"/>
        <v>1D</v>
      </c>
      <c r="W346" s="200">
        <f>_xll.qlCalendarAdvance(Calendar,W345,V346,"f",FALSE)</f>
        <v>42353</v>
      </c>
      <c r="X346" s="203">
        <f>_xll.qlCalendarAdvance(Calendar,W346,NDays&amp;"D")</f>
        <v>42355</v>
      </c>
      <c r="Y346" s="204">
        <v>-3.3598201036821873E-4</v>
      </c>
      <c r="Z346" s="201">
        <v>-3.4951590925480502E-4</v>
      </c>
    </row>
    <row r="347" spans="22:26" x14ac:dyDescent="0.2">
      <c r="V347" s="202" t="str">
        <f t="shared" si="14"/>
        <v>1D</v>
      </c>
      <c r="W347" s="200">
        <f>_xll.qlCalendarAdvance(Calendar,W346,V347,"f",FALSE)</f>
        <v>42354</v>
      </c>
      <c r="X347" s="203">
        <f>_xll.qlCalendarAdvance(Calendar,W347,NDays&amp;"D")</f>
        <v>42356</v>
      </c>
      <c r="Y347" s="204">
        <v>-3.3554575875902677E-4</v>
      </c>
      <c r="Z347" s="201">
        <v>-3.4786820524157491E-4</v>
      </c>
    </row>
    <row r="348" spans="22:26" x14ac:dyDescent="0.2">
      <c r="V348" s="202" t="str">
        <f t="shared" si="14"/>
        <v>1D</v>
      </c>
      <c r="W348" s="200">
        <f>_xll.qlCalendarAdvance(Calendar,W347,V348,"f",FALSE)</f>
        <v>42355</v>
      </c>
      <c r="X348" s="203">
        <f>_xll.qlCalendarAdvance(Calendar,W348,NDays&amp;"D")</f>
        <v>42359</v>
      </c>
      <c r="Y348" s="204">
        <v>-3.3281670728647949E-4</v>
      </c>
      <c r="Z348" s="201">
        <v>-3.4620361741399819E-4</v>
      </c>
    </row>
    <row r="349" spans="22:26" x14ac:dyDescent="0.2">
      <c r="V349" s="202" t="str">
        <f t="shared" si="14"/>
        <v>1D</v>
      </c>
      <c r="W349" s="200">
        <f>_xll.qlCalendarAdvance(Calendar,W348,V349,"f",FALSE)</f>
        <v>42356</v>
      </c>
      <c r="X349" s="203">
        <f>_xll.qlCalendarAdvance(Calendar,W349,NDays&amp;"D")</f>
        <v>42360</v>
      </c>
      <c r="Y349" s="204">
        <v>-3.3189648991321035E-4</v>
      </c>
      <c r="Z349" s="201">
        <v>-3.4536237729643204E-4</v>
      </c>
    </row>
    <row r="350" spans="22:26" x14ac:dyDescent="0.2">
      <c r="V350" s="202" t="str">
        <f t="shared" si="14"/>
        <v>1D</v>
      </c>
      <c r="W350" s="200">
        <f>_xll.qlCalendarAdvance(Calendar,W349,V350,"f",FALSE)</f>
        <v>42359</v>
      </c>
      <c r="X350" s="203">
        <f>_xll.qlCalendarAdvance(Calendar,W350,NDays&amp;"D")</f>
        <v>42361</v>
      </c>
      <c r="Y350" s="204">
        <v>-3.3001186322081179E-4</v>
      </c>
      <c r="Z350" s="201">
        <v>-3.4451587035189135E-4</v>
      </c>
    </row>
    <row r="351" spans="22:26" x14ac:dyDescent="0.2">
      <c r="V351" s="202" t="str">
        <f t="shared" si="14"/>
        <v>1D</v>
      </c>
      <c r="W351" s="200">
        <f>_xll.qlCalendarAdvance(Calendar,W350,V351,"f",FALSE)</f>
        <v>42360</v>
      </c>
      <c r="X351" s="203">
        <f>_xll.qlCalendarAdvance(Calendar,W351,NDays&amp;"D")</f>
        <v>42362</v>
      </c>
      <c r="Y351" s="204">
        <v>-3.2955892838193446E-4</v>
      </c>
      <c r="Z351" s="201">
        <v>-3.4237278030646578E-4</v>
      </c>
    </row>
    <row r="352" spans="22:26" x14ac:dyDescent="0.2">
      <c r="V352" s="202" t="str">
        <f t="shared" si="14"/>
        <v>1D</v>
      </c>
      <c r="W352" s="200">
        <f>_xll.qlCalendarAdvance(Calendar,W351,V352,"f",FALSE)</f>
        <v>42361</v>
      </c>
      <c r="X352" s="203">
        <f>_xll.qlCalendarAdvance(Calendar,W352,NDays&amp;"D")</f>
        <v>42366</v>
      </c>
      <c r="Y352" s="204">
        <v>-3.2626458331922354E-4</v>
      </c>
      <c r="Z352" s="201">
        <v>-3.4020433286485741E-4</v>
      </c>
    </row>
    <row r="353" spans="22:26" x14ac:dyDescent="0.2">
      <c r="V353" s="202" t="str">
        <f t="shared" si="14"/>
        <v>1D</v>
      </c>
      <c r="W353" s="200">
        <f>_xll.qlCalendarAdvance(Calendar,W352,V353,"f",FALSE)</f>
        <v>42362</v>
      </c>
      <c r="X353" s="203">
        <f>_xll.qlCalendarAdvance(Calendar,W353,NDays&amp;"D")</f>
        <v>42367</v>
      </c>
      <c r="Y353" s="204">
        <v>-3.2530749848203391E-4</v>
      </c>
      <c r="Z353" s="201">
        <v>-3.3932622483856534E-4</v>
      </c>
    </row>
    <row r="354" spans="22:26" x14ac:dyDescent="0.2">
      <c r="V354" s="202" t="str">
        <f t="shared" si="14"/>
        <v>1D</v>
      </c>
      <c r="W354" s="200">
        <f>_xll.qlCalendarAdvance(Calendar,W353,V354,"f",FALSE)</f>
        <v>42366</v>
      </c>
      <c r="X354" s="203">
        <f>_xll.qlCalendarAdvance(Calendar,W354,NDays&amp;"D")</f>
        <v>42368</v>
      </c>
      <c r="Y354" s="204">
        <v>-3.2484051379055856E-4</v>
      </c>
      <c r="Z354" s="201">
        <v>-3.3844284994533069E-4</v>
      </c>
    </row>
    <row r="355" spans="22:26" x14ac:dyDescent="0.2">
      <c r="V355" s="202" t="str">
        <f t="shared" si="14"/>
        <v>1D</v>
      </c>
      <c r="W355" s="200">
        <f>_xll.qlCalendarAdvance(Calendar,W354,V355,"f",FALSE)</f>
        <v>42367</v>
      </c>
      <c r="X355" s="203">
        <f>_xll.qlCalendarAdvance(Calendar,W355,NDays&amp;"D")</f>
        <v>42369</v>
      </c>
      <c r="Y355" s="204">
        <v>-3.2437177266266898E-4</v>
      </c>
      <c r="Z355" s="201">
        <v>-3.362076074042708E-4</v>
      </c>
    </row>
    <row r="356" spans="22:26" x14ac:dyDescent="0.2">
      <c r="V356" s="202" t="str">
        <f t="shared" si="14"/>
        <v>1D</v>
      </c>
      <c r="W356" s="200">
        <f>_xll.qlCalendarAdvance(Calendar,W355,V356,"f",FALSE)</f>
        <v>42368</v>
      </c>
      <c r="X356" s="203">
        <f>_xll.qlCalendarAdvance(Calendar,W356,NDays&amp;"D")</f>
        <v>42373</v>
      </c>
      <c r="Y356" s="204">
        <v>-3.1945438691113073E-4</v>
      </c>
      <c r="Z356" s="201">
        <v>-3.3394697267485896E-4</v>
      </c>
    </row>
    <row r="357" spans="22:26" x14ac:dyDescent="0.2">
      <c r="V357" s="202" t="str">
        <f t="shared" si="14"/>
        <v>1D</v>
      </c>
      <c r="W357" s="200">
        <f>_xll.qlCalendarAdvance(Calendar,W356,V357,"f",FALSE)</f>
        <v>42369</v>
      </c>
      <c r="X357" s="203">
        <f>_xll.qlCalendarAdvance(Calendar,W357,NDays&amp;"D")</f>
        <v>42374</v>
      </c>
      <c r="Y357" s="204">
        <v>-3.1846043454168829E-4</v>
      </c>
      <c r="Z357" s="201">
        <v>-3.3303199665990491E-4</v>
      </c>
    </row>
    <row r="358" spans="22:26" x14ac:dyDescent="0.2">
      <c r="V358" s="202" t="str">
        <f t="shared" si="14"/>
        <v>1D</v>
      </c>
      <c r="W358" s="200">
        <f>_xll.qlCalendarAdvance(Calendar,W357,V358,"f",FALSE)</f>
        <v>42373</v>
      </c>
      <c r="X358" s="203">
        <f>_xll.qlCalendarAdvance(Calendar,W358,NDays&amp;"D")</f>
        <v>42375</v>
      </c>
      <c r="Y358" s="204">
        <v>-3.164283621695771E-4</v>
      </c>
      <c r="Z358" s="201">
        <v>-3.3211175373804025E-4</v>
      </c>
    </row>
    <row r="359" spans="22:26" x14ac:dyDescent="0.2">
      <c r="V359" s="202" t="str">
        <f t="shared" si="14"/>
        <v>1D</v>
      </c>
      <c r="W359" s="200">
        <f>_xll.qlCalendarAdvance(Calendar,W358,V359,"f",FALSE)</f>
        <v>42374</v>
      </c>
      <c r="X359" s="203">
        <f>_xll.qlCalendarAdvance(Calendar,W359,NDays&amp;"D")</f>
        <v>42376</v>
      </c>
      <c r="Y359" s="204">
        <v>-3.1593854764616625E-4</v>
      </c>
      <c r="Z359" s="201">
        <v>-3.3118624402916907E-4</v>
      </c>
    </row>
    <row r="360" spans="22:26" x14ac:dyDescent="0.2">
      <c r="V360" s="202" t="str">
        <f t="shared" si="14"/>
        <v>1D</v>
      </c>
      <c r="W360" s="200">
        <f>_xll.qlCalendarAdvance(Calendar,W359,V360,"f",FALSE)</f>
        <v>42375</v>
      </c>
      <c r="X360" s="203">
        <f>_xll.qlCalendarAdvance(Calendar,W360,NDays&amp;"D")</f>
        <v>42377</v>
      </c>
      <c r="Y360" s="204">
        <v>-3.154469766713537E-4</v>
      </c>
      <c r="Z360" s="201">
        <v>-3.2931736721586446E-4</v>
      </c>
    </row>
    <row r="361" spans="22:26" x14ac:dyDescent="0.2">
      <c r="V361" s="202" t="str">
        <f t="shared" si="14"/>
        <v>1D</v>
      </c>
      <c r="W361" s="200">
        <f>_xll.qlCalendarAdvance(Calendar,W360,V361,"f",FALSE)</f>
        <v>42376</v>
      </c>
      <c r="X361" s="203">
        <f>_xll.qlCalendarAdvance(Calendar,W361,NDays&amp;"D")</f>
        <v>42380</v>
      </c>
      <c r="Y361" s="204">
        <v>-3.1238611760579213E-4</v>
      </c>
      <c r="Z361" s="201">
        <v>-3.2743153668413072E-4</v>
      </c>
    </row>
    <row r="362" spans="22:26" x14ac:dyDescent="0.2">
      <c r="V362" s="202" t="str">
        <f t="shared" si="14"/>
        <v>1D</v>
      </c>
      <c r="W362" s="200">
        <f>_xll.qlCalendarAdvance(Calendar,W361,V362,"f",FALSE)</f>
        <v>42377</v>
      </c>
      <c r="X362" s="203">
        <f>_xll.qlCalendarAdvance(Calendar,W362,NDays&amp;"D")</f>
        <v>42381</v>
      </c>
      <c r="Y362" s="204">
        <v>-3.1135529764607866E-4</v>
      </c>
      <c r="Z362" s="201">
        <v>-3.2647969276045075E-4</v>
      </c>
    </row>
    <row r="363" spans="22:26" x14ac:dyDescent="0.2">
      <c r="V363" s="202" t="str">
        <f t="shared" si="14"/>
        <v>1D</v>
      </c>
      <c r="W363" s="200">
        <f>_xll.qlCalendarAdvance(Calendar,W362,V363,"f",FALSE)</f>
        <v>42380</v>
      </c>
      <c r="X363" s="203">
        <f>_xll.qlCalendarAdvance(Calendar,W363,NDays&amp;"D")</f>
        <v>42382</v>
      </c>
      <c r="Y363" s="204">
        <v>-3.0924950251254302E-4</v>
      </c>
      <c r="Z363" s="201">
        <v>-3.2552258188989214E-4</v>
      </c>
    </row>
    <row r="364" spans="22:26" x14ac:dyDescent="0.2">
      <c r="V364" s="202" t="str">
        <f t="shared" si="14"/>
        <v>1D</v>
      </c>
      <c r="W364" s="200">
        <f>_xll.qlCalendarAdvance(Calendar,W363,V364,"f",FALSE)</f>
        <v>42381</v>
      </c>
      <c r="X364" s="203">
        <f>_xll.qlCalendarAdvance(Calendar,W364,NDays&amp;"D")</f>
        <v>42383</v>
      </c>
      <c r="Y364" s="204">
        <v>-3.0874124795493563E-4</v>
      </c>
      <c r="Z364" s="201">
        <v>-3.2456020427229504E-4</v>
      </c>
    </row>
    <row r="365" spans="22:26" x14ac:dyDescent="0.2">
      <c r="V365" s="202" t="str">
        <f t="shared" si="14"/>
        <v>1D</v>
      </c>
      <c r="W365" s="200">
        <f>_xll.qlCalendarAdvance(Calendar,W364,V365,"f",FALSE)</f>
        <v>42382</v>
      </c>
      <c r="X365" s="203">
        <f>_xll.qlCalendarAdvance(Calendar,W365,NDays&amp;"D")</f>
        <v>42384</v>
      </c>
      <c r="Y365" s="204">
        <v>-3.0823123692886293E-4</v>
      </c>
      <c r="Z365" s="201">
        <v>-3.2261760357865654E-4</v>
      </c>
    </row>
    <row r="366" spans="22:26" x14ac:dyDescent="0.2">
      <c r="V366" s="202" t="str">
        <f t="shared" si="14"/>
        <v>1D</v>
      </c>
      <c r="W366" s="200">
        <f>_xll.qlCalendarAdvance(Calendar,W365,V366,"f",FALSE)</f>
        <v>42383</v>
      </c>
      <c r="X366" s="203">
        <f>_xll.qlCalendarAdvance(Calendar,W366,NDays&amp;"D")</f>
        <v>42387</v>
      </c>
      <c r="Y366" s="204">
        <v>-3.0505977493390556E-4</v>
      </c>
      <c r="Z366" s="201">
        <v>-3.2065802505254482E-4</v>
      </c>
    </row>
    <row r="367" spans="22:26" x14ac:dyDescent="0.2">
      <c r="V367" s="202" t="str">
        <f t="shared" si="14"/>
        <v>1D</v>
      </c>
      <c r="W367" s="200">
        <f>_xll.qlCalendarAdvance(Calendar,W366,V367,"f",FALSE)</f>
        <v>42384</v>
      </c>
      <c r="X367" s="203">
        <f>_xll.qlCalendarAdvance(Calendar,W367,NDays&amp;"D")</f>
        <v>42388</v>
      </c>
      <c r="Y367" s="204">
        <v>-3.0399208731172084E-4</v>
      </c>
      <c r="Z367" s="201">
        <v>-3.196693130602668E-4</v>
      </c>
    </row>
    <row r="368" spans="22:26" x14ac:dyDescent="0.2">
      <c r="V368" s="202" t="str">
        <f t="shared" si="14"/>
        <v>1D</v>
      </c>
      <c r="W368" s="200">
        <f>_xll.qlCalendarAdvance(Calendar,W367,V368,"f",FALSE)</f>
        <v>42387</v>
      </c>
      <c r="X368" s="203">
        <f>_xll.qlCalendarAdvance(Calendar,W368,NDays&amp;"D")</f>
        <v>42389</v>
      </c>
      <c r="Y368" s="204">
        <v>-3.0181256942863791E-4</v>
      </c>
      <c r="Z368" s="201">
        <v>-3.1867533424101424E-4</v>
      </c>
    </row>
    <row r="369" spans="22:26" x14ac:dyDescent="0.2">
      <c r="V369" s="202" t="str">
        <f t="shared" si="14"/>
        <v>1D</v>
      </c>
      <c r="W369" s="200">
        <f>_xll.qlCalendarAdvance(Calendar,W368,V369,"f",FALSE)</f>
        <v>42388</v>
      </c>
      <c r="X369" s="203">
        <f>_xll.qlCalendarAdvance(Calendar,W369,NDays&amp;"D")</f>
        <v>42390</v>
      </c>
      <c r="Y369" s="204">
        <v>-3.0128587472866286E-4</v>
      </c>
      <c r="Z369" s="201">
        <v>-3.1767608867472319E-4</v>
      </c>
    </row>
    <row r="370" spans="22:26" x14ac:dyDescent="0.2">
      <c r="V370" s="202" t="str">
        <f t="shared" si="14"/>
        <v>1D</v>
      </c>
      <c r="W370" s="200">
        <f>_xll.qlCalendarAdvance(Calendar,W369,V370,"f",FALSE)</f>
        <v>42389</v>
      </c>
      <c r="X370" s="203">
        <f>_xll.qlCalendarAdvance(Calendar,W370,NDays&amp;"D")</f>
        <v>42391</v>
      </c>
      <c r="Y370" s="204">
        <v>-3.0075742354907311E-4</v>
      </c>
      <c r="Z370" s="201">
        <v>-3.1565976444714039E-4</v>
      </c>
    </row>
    <row r="371" spans="22:26" x14ac:dyDescent="0.2">
      <c r="V371" s="202" t="str">
        <f t="shared" si="14"/>
        <v>1D</v>
      </c>
      <c r="W371" s="200">
        <f>_xll.qlCalendarAdvance(Calendar,W370,V371,"f",FALSE)</f>
        <v>42390</v>
      </c>
      <c r="X371" s="203">
        <f>_xll.qlCalendarAdvance(Calendar,W371,NDays&amp;"D")</f>
        <v>42394</v>
      </c>
      <c r="Y371" s="204">
        <v>-2.9747535841198695E-4</v>
      </c>
      <c r="Z371" s="201">
        <v>-3.1362643766019715E-4</v>
      </c>
    </row>
    <row r="372" spans="22:26" x14ac:dyDescent="0.2">
      <c r="V372" s="202" t="str">
        <f t="shared" si="14"/>
        <v>1D</v>
      </c>
      <c r="W372" s="200">
        <f>_xll.qlCalendarAdvance(Calendar,W371,V372,"f",FALSE)</f>
        <v>42391</v>
      </c>
      <c r="X372" s="203">
        <f>_xll.qlCalendarAdvance(Calendar,W372,NDays&amp;"D")</f>
        <v>42395</v>
      </c>
      <c r="Y372" s="204">
        <v>-2.963708030512627E-4</v>
      </c>
      <c r="Z372" s="201">
        <v>-3.1260085763928913E-4</v>
      </c>
    </row>
    <row r="373" spans="22:26" x14ac:dyDescent="0.2">
      <c r="V373" s="202" t="str">
        <f t="shared" si="14"/>
        <v>1D</v>
      </c>
      <c r="W373" s="200">
        <f>_xll.qlCalendarAdvance(Calendar,W372,V373,"f",FALSE)</f>
        <v>42394</v>
      </c>
      <c r="X373" s="203">
        <f>_xll.qlCalendarAdvance(Calendar,W373,NDays&amp;"D")</f>
        <v>42396</v>
      </c>
      <c r="Y373" s="204">
        <v>-2.9411756239101032E-4</v>
      </c>
      <c r="Z373" s="201">
        <v>-3.1157001095127868E-4</v>
      </c>
    </row>
    <row r="374" spans="22:26" x14ac:dyDescent="0.2">
      <c r="V374" s="202" t="str">
        <f t="shared" si="14"/>
        <v>1D</v>
      </c>
      <c r="W374" s="200">
        <f>_xll.qlCalendarAdvance(Calendar,W373,V374,"f",FALSE)</f>
        <v>42395</v>
      </c>
      <c r="X374" s="203">
        <f>_xll.qlCalendarAdvance(Calendar,W374,NDays&amp;"D")</f>
        <v>42397</v>
      </c>
      <c r="Y374" s="204">
        <v>-2.9357242745151058E-4</v>
      </c>
      <c r="Z374" s="201">
        <v>-3.1053389735635761E-4</v>
      </c>
    </row>
    <row r="375" spans="22:26" x14ac:dyDescent="0.2">
      <c r="V375" s="202" t="str">
        <f t="shared" si="14"/>
        <v>1D</v>
      </c>
      <c r="W375" s="200">
        <f>_xll.qlCalendarAdvance(Calendar,W374,V375,"f",FALSE)</f>
        <v>42396</v>
      </c>
      <c r="X375" s="203">
        <f>_xll.qlCalendarAdvance(Calendar,W375,NDays&amp;"D")</f>
        <v>42398</v>
      </c>
      <c r="Y375" s="204">
        <v>-2.9302553602400348E-4</v>
      </c>
      <c r="Z375" s="201">
        <v>-3.0844384968808924E-4</v>
      </c>
    </row>
    <row r="376" spans="22:26" x14ac:dyDescent="0.2">
      <c r="V376" s="202" t="str">
        <f t="shared" si="14"/>
        <v>1D</v>
      </c>
      <c r="W376" s="200">
        <f>_xll.qlCalendarAdvance(Calendar,W375,V376,"f",FALSE)</f>
        <v>42397</v>
      </c>
      <c r="X376" s="203">
        <f>_xll.qlCalendarAdvance(Calendar,W376,NDays&amp;"D")</f>
        <v>42401</v>
      </c>
      <c r="Y376" s="204">
        <v>-2.9079559236451068E-4</v>
      </c>
      <c r="Z376" s="201">
        <v>-3.0633677438718365E-4</v>
      </c>
    </row>
    <row r="377" spans="22:26" x14ac:dyDescent="0.2">
      <c r="V377" s="202" t="str">
        <f t="shared" si="14"/>
        <v>1D</v>
      </c>
      <c r="W377" s="200">
        <f>_xll.qlCalendarAdvance(Calendar,W376,V377,"f",FALSE)</f>
        <v>42398</v>
      </c>
      <c r="X377" s="203">
        <f>_xll.qlCalendarAdvance(Calendar,W377,NDays&amp;"D")</f>
        <v>42402</v>
      </c>
      <c r="Y377" s="204">
        <v>-2.8965943420523264E-4</v>
      </c>
      <c r="Z377" s="201">
        <v>-3.0527432653748576E-4</v>
      </c>
    </row>
    <row r="378" spans="22:26" x14ac:dyDescent="0.2">
      <c r="V378" s="202" t="str">
        <f t="shared" si="14"/>
        <v>1D</v>
      </c>
      <c r="W378" s="200">
        <f>_xll.qlCalendarAdvance(Calendar,W377,V378,"f",FALSE)</f>
        <v>42401</v>
      </c>
      <c r="X378" s="203">
        <f>_xll.qlCalendarAdvance(Calendar,W378,NDays&amp;"D")</f>
        <v>42403</v>
      </c>
      <c r="Y378" s="204">
        <v>-2.8851800920933255E-4</v>
      </c>
      <c r="Z378" s="201">
        <v>-3.0420661186081333E-4</v>
      </c>
    </row>
    <row r="379" spans="22:26" x14ac:dyDescent="0.2">
      <c r="V379" s="202" t="str">
        <f t="shared" si="14"/>
        <v>1D</v>
      </c>
      <c r="W379" s="200">
        <f>_xll.qlCalendarAdvance(Calendar,W378,V379,"f",FALSE)</f>
        <v>42402</v>
      </c>
      <c r="X379" s="203">
        <f>_xll.qlCalendarAdvance(Calendar,W379,NDays&amp;"D")</f>
        <v>42404</v>
      </c>
      <c r="Y379" s="204">
        <v>-2.8737131737405409E-4</v>
      </c>
      <c r="Z379" s="201">
        <v>-3.0313363019729422E-4</v>
      </c>
    </row>
    <row r="380" spans="22:26" x14ac:dyDescent="0.2">
      <c r="V380" s="202" t="str">
        <f t="shared" si="14"/>
        <v>1D</v>
      </c>
      <c r="W380" s="200">
        <f>_xll.qlCalendarAdvance(Calendar,W379,V380,"f",FALSE)</f>
        <v>42403</v>
      </c>
      <c r="X380" s="203">
        <f>_xll.qlCalendarAdvance(Calendar,W380,NDays&amp;"D")</f>
        <v>42405</v>
      </c>
      <c r="Y380" s="204">
        <v>-2.8503557384567329E-4</v>
      </c>
      <c r="Z380" s="201">
        <v>-3.0096985934147114E-4</v>
      </c>
    </row>
    <row r="381" spans="22:26" x14ac:dyDescent="0.2">
      <c r="V381" s="202" t="str">
        <f t="shared" si="14"/>
        <v>1D</v>
      </c>
      <c r="W381" s="200">
        <f>_xll.qlCalendarAdvance(Calendar,W380,V381,"f",FALSE)</f>
        <v>42404</v>
      </c>
      <c r="X381" s="203">
        <f>_xll.qlCalendarAdvance(Calendar,W381,NDays&amp;"D")</f>
        <v>42408</v>
      </c>
      <c r="Y381" s="204">
        <v>-2.827318816419124E-4</v>
      </c>
      <c r="Z381" s="201">
        <v>-2.9878903543334445E-4</v>
      </c>
    </row>
    <row r="382" spans="22:26" x14ac:dyDescent="0.2">
      <c r="V382" s="202" t="str">
        <f t="shared" si="14"/>
        <v>1D</v>
      </c>
      <c r="W382" s="200">
        <f>_xll.qlCalendarAdvance(Calendar,W381,V382,"f",FALSE)</f>
        <v>42405</v>
      </c>
      <c r="X382" s="203">
        <f>_xll.qlCalendarAdvance(Calendar,W382,NDays&amp;"D")</f>
        <v>42409</v>
      </c>
      <c r="Y382" s="204">
        <v>-2.8155885560285078E-4</v>
      </c>
      <c r="Z382" s="201">
        <v>-2.9768971955501655E-4</v>
      </c>
    </row>
    <row r="383" spans="22:26" x14ac:dyDescent="0.2">
      <c r="V383" s="202" t="str">
        <f t="shared" si="14"/>
        <v>1D</v>
      </c>
      <c r="W383" s="200">
        <f>_xll.qlCalendarAdvance(Calendar,W382,V383,"f",FALSE)</f>
        <v>42408</v>
      </c>
      <c r="X383" s="203">
        <f>_xll.qlCalendarAdvance(Calendar,W383,NDays&amp;"D")</f>
        <v>42410</v>
      </c>
      <c r="Y383" s="204">
        <v>-2.8038056271751971E-4</v>
      </c>
      <c r="Z383" s="201">
        <v>-2.9658513696961819E-4</v>
      </c>
    </row>
    <row r="384" spans="22:26" x14ac:dyDescent="0.2">
      <c r="V384" s="202" t="str">
        <f t="shared" si="14"/>
        <v>1D</v>
      </c>
      <c r="W384" s="200">
        <f>_xll.qlCalendarAdvance(Calendar,W383,V384,"f",FALSE)</f>
        <v>42409</v>
      </c>
      <c r="X384" s="203">
        <f>_xll.qlCalendarAdvance(Calendar,W384,NDays&amp;"D")</f>
        <v>42411</v>
      </c>
      <c r="Y384" s="204">
        <v>-2.7919700298316272E-4</v>
      </c>
      <c r="Z384" s="201">
        <v>-2.9547528739737317E-4</v>
      </c>
    </row>
    <row r="385" spans="22:26" x14ac:dyDescent="0.2">
      <c r="V385" s="202" t="str">
        <f t="shared" si="14"/>
        <v>1D</v>
      </c>
      <c r="W385" s="200">
        <f>_xll.qlCalendarAdvance(Calendar,W384,V385,"f",FALSE)</f>
        <v>42410</v>
      </c>
      <c r="X385" s="203">
        <f>_xll.qlCalendarAdvance(Calendar,W385,NDays&amp;"D")</f>
        <v>42412</v>
      </c>
      <c r="Y385" s="204">
        <v>-2.7678753647129091E-4</v>
      </c>
      <c r="Z385" s="201">
        <v>-2.9323779324741395E-4</v>
      </c>
    </row>
    <row r="386" spans="22:26" x14ac:dyDescent="0.2">
      <c r="V386" s="202" t="str">
        <f t="shared" si="14"/>
        <v>1D</v>
      </c>
      <c r="W386" s="200">
        <f>_xll.qlCalendarAdvance(Calendar,W385,V386,"f",FALSE)</f>
        <v>42411</v>
      </c>
      <c r="X386" s="203">
        <f>_xll.qlCalendarAdvance(Calendar,W386,NDays&amp;"D")</f>
        <v>42415</v>
      </c>
      <c r="Y386" s="204">
        <v>-2.7441009554445049E-4</v>
      </c>
      <c r="Z386" s="201">
        <v>-2.909832207187435E-4</v>
      </c>
    </row>
    <row r="387" spans="22:26" x14ac:dyDescent="0.2">
      <c r="V387" s="202" t="str">
        <f t="shared" si="14"/>
        <v>1D</v>
      </c>
      <c r="W387" s="200">
        <f>_xll.qlCalendarAdvance(Calendar,W386,V387,"f",FALSE)</f>
        <v>42412</v>
      </c>
      <c r="X387" s="203">
        <f>_xll.qlCalendarAdvance(Calendar,W387,NDays&amp;"D")</f>
        <v>42416</v>
      </c>
      <c r="Y387" s="204">
        <v>-2.7320020154980389E-4</v>
      </c>
      <c r="Z387" s="201">
        <v>-2.8984703681178559E-4</v>
      </c>
    </row>
    <row r="388" spans="22:26" x14ac:dyDescent="0.2">
      <c r="V388" s="202" t="str">
        <f t="shared" si="14"/>
        <v>1D</v>
      </c>
      <c r="W388" s="200">
        <f>_xll.qlCalendarAdvance(Calendar,W387,V388,"f",FALSE)</f>
        <v>42415</v>
      </c>
      <c r="X388" s="203">
        <f>_xll.qlCalendarAdvance(Calendar,W388,NDays&amp;"D")</f>
        <v>42417</v>
      </c>
      <c r="Y388" s="204">
        <v>-2.71985040703375E-4</v>
      </c>
      <c r="Z388" s="201">
        <v>-2.8870558619775721E-4</v>
      </c>
    </row>
    <row r="389" spans="22:26" x14ac:dyDescent="0.2">
      <c r="V389" s="202" t="str">
        <f t="shared" si="14"/>
        <v>1D</v>
      </c>
      <c r="W389" s="200">
        <f>_xll.qlCalendarAdvance(Calendar,W388,V389,"f",FALSE)</f>
        <v>42416</v>
      </c>
      <c r="X389" s="203">
        <f>_xll.qlCalendarAdvance(Calendar,W389,NDays&amp;"D")</f>
        <v>42418</v>
      </c>
      <c r="Y389" s="204">
        <v>-2.7076461299413814E-4</v>
      </c>
      <c r="Z389" s="201">
        <v>-2.8755886875675429E-4</v>
      </c>
    </row>
    <row r="390" spans="22:26" x14ac:dyDescent="0.2">
      <c r="V390" s="202" t="str">
        <f t="shared" si="14"/>
        <v>1D</v>
      </c>
      <c r="W390" s="200">
        <f>_xll.qlCalendarAdvance(Calendar,W389,V390,"f",FALSE)</f>
        <v>42417</v>
      </c>
      <c r="X390" s="203">
        <f>_xll.qlCalendarAdvance(Calendar,W390,NDays&amp;"D")</f>
        <v>42419</v>
      </c>
      <c r="Y390" s="204">
        <v>-2.6828142336580047E-4</v>
      </c>
      <c r="Z390" s="201">
        <v>-2.8524765147253106E-4</v>
      </c>
    </row>
    <row r="391" spans="22:26" x14ac:dyDescent="0.2">
      <c r="V391" s="202" t="str">
        <f t="shared" si="14"/>
        <v>1D</v>
      </c>
      <c r="W391" s="200">
        <f>_xll.qlCalendarAdvance(Calendar,W390,V391,"f",FALSE)</f>
        <v>42418</v>
      </c>
      <c r="X391" s="203">
        <f>_xll.qlCalendarAdvance(Calendar,W391,NDays&amp;"D")</f>
        <v>42422</v>
      </c>
      <c r="Y391" s="204">
        <v>-2.6583023354978432E-4</v>
      </c>
      <c r="Z391" s="201">
        <v>-2.829193301234767E-4</v>
      </c>
    </row>
    <row r="392" spans="22:26" x14ac:dyDescent="0.2">
      <c r="V392" s="202" t="str">
        <f t="shared" si="14"/>
        <v>1D</v>
      </c>
      <c r="W392" s="200">
        <f>_xll.qlCalendarAdvance(Calendar,W391,V392,"f",FALSE)</f>
        <v>42419</v>
      </c>
      <c r="X392" s="203">
        <f>_xll.qlCalendarAdvance(Calendar,W392,NDays&amp;"D")</f>
        <v>42423</v>
      </c>
      <c r="Y392" s="204">
        <v>-2.6458347152650771E-4</v>
      </c>
      <c r="Z392" s="201">
        <v>-2.8174627830779286E-4</v>
      </c>
    </row>
    <row r="393" spans="22:26" x14ac:dyDescent="0.2">
      <c r="V393" s="202" t="str">
        <f t="shared" si="14"/>
        <v>1D</v>
      </c>
      <c r="W393" s="200">
        <f>_xll.qlCalendarAdvance(Calendar,W392,V393,"f",FALSE)</f>
        <v>42422</v>
      </c>
      <c r="X393" s="203">
        <f>_xll.qlCalendarAdvance(Calendar,W393,NDays&amp;"D")</f>
        <v>42424</v>
      </c>
      <c r="Y393" s="204">
        <v>-2.6333144263904494E-4</v>
      </c>
      <c r="Z393" s="201">
        <v>-2.8056795966513448E-4</v>
      </c>
    </row>
    <row r="394" spans="22:26" x14ac:dyDescent="0.2">
      <c r="V394" s="202" t="str">
        <f t="shared" si="14"/>
        <v>1D</v>
      </c>
      <c r="W394" s="200">
        <f>_xll.qlCalendarAdvance(Calendar,W393,V394,"f",FALSE)</f>
        <v>42423</v>
      </c>
      <c r="X394" s="203">
        <f>_xll.qlCalendarAdvance(Calendar,W394,NDays&amp;"D")</f>
        <v>42425</v>
      </c>
      <c r="Y394" s="204">
        <v>-2.5948895764732976E-4</v>
      </c>
      <c r="Z394" s="201">
        <v>-2.7938437415553352E-4</v>
      </c>
    </row>
    <row r="395" spans="22:26" x14ac:dyDescent="0.2">
      <c r="V395" s="202" t="str">
        <f t="shared" si="14"/>
        <v>1D</v>
      </c>
      <c r="W395" s="200">
        <f>_xll.qlCalendarAdvance(Calendar,W394,V395,"f",FALSE)</f>
        <v>42424</v>
      </c>
      <c r="X395" s="203">
        <f>_xll.qlCalendarAdvance(Calendar,W395,NDays&amp;"D")</f>
        <v>42426</v>
      </c>
      <c r="Y395" s="204">
        <v>-2.5886742678074559E-4</v>
      </c>
      <c r="Z395" s="201">
        <v>-2.7699943392356374E-4</v>
      </c>
    </row>
    <row r="396" spans="22:26" x14ac:dyDescent="0.2">
      <c r="V396" s="202" t="str">
        <f t="shared" si="14"/>
        <v>1D</v>
      </c>
      <c r="W396" s="200">
        <f>_xll.qlCalendarAdvance(Calendar,W395,V396,"f",FALSE)</f>
        <v>42425</v>
      </c>
      <c r="X396" s="203">
        <f>_xll.qlCalendarAdvance(Calendar,W396,NDays&amp;"D")</f>
        <v>42429</v>
      </c>
      <c r="Y396" s="204">
        <v>-2.5568214967822226E-4</v>
      </c>
      <c r="Z396" s="201">
        <v>-2.7459736368751209E-4</v>
      </c>
    </row>
    <row r="397" spans="22:26" x14ac:dyDescent="0.2">
      <c r="V397" s="202" t="str">
        <f t="shared" si="14"/>
        <v>1D</v>
      </c>
      <c r="W397" s="200">
        <f>_xll.qlCalendarAdvance(Calendar,W396,V397,"f",FALSE)</f>
        <v>42426</v>
      </c>
      <c r="X397" s="203">
        <f>_xll.qlCalendarAdvance(Calendar,W397,NDays&amp;"D")</f>
        <v>42430</v>
      </c>
      <c r="Y397" s="204">
        <v>-2.5439325449280286E-4</v>
      </c>
      <c r="Z397" s="201">
        <v>-2.7338744396310233E-4</v>
      </c>
    </row>
    <row r="398" spans="22:26" x14ac:dyDescent="0.2">
      <c r="V398" s="202" t="str">
        <f t="shared" si="14"/>
        <v>1D</v>
      </c>
      <c r="W398" s="200">
        <f>_xll.qlCalendarAdvance(Calendar,W397,V398,"f",FALSE)</f>
        <v>42429</v>
      </c>
      <c r="X398" s="203">
        <f>_xll.qlCalendarAdvance(Calendar,W398,NDays&amp;"D")</f>
        <v>42431</v>
      </c>
      <c r="Y398" s="204">
        <v>-2.5177139811770712E-4</v>
      </c>
      <c r="Z398" s="201">
        <v>-2.7217225729181393E-4</v>
      </c>
    </row>
    <row r="399" spans="22:26" x14ac:dyDescent="0.2">
      <c r="V399" s="202" t="str">
        <f t="shared" si="14"/>
        <v>1D</v>
      </c>
      <c r="W399" s="200">
        <f>_xll.qlCalendarAdvance(Calendar,W398,V399,"f",FALSE)</f>
        <v>42430</v>
      </c>
      <c r="X399" s="203">
        <f>_xll.qlCalendarAdvance(Calendar,W399,NDays&amp;"D")</f>
        <v>42432</v>
      </c>
      <c r="Y399" s="204">
        <v>-2.511340611341395E-4</v>
      </c>
      <c r="Z399" s="201">
        <v>-2.7095180387348705E-4</v>
      </c>
    </row>
    <row r="400" spans="22:26" x14ac:dyDescent="0.2">
      <c r="V400" s="202" t="str">
        <f t="shared" si="14"/>
        <v>1D</v>
      </c>
      <c r="W400" s="200">
        <f>_xll.qlCalendarAdvance(Calendar,W399,V400,"f",FALSE)</f>
        <v>42431</v>
      </c>
      <c r="X400" s="203">
        <f>_xll.qlCalendarAdvance(Calendar,W400,NDays&amp;"D")</f>
        <v>42433</v>
      </c>
      <c r="Y400" s="204">
        <v>-2.5049496764463898E-4</v>
      </c>
      <c r="Z400" s="201">
        <v>-2.6849314052057593E-4</v>
      </c>
    </row>
    <row r="401" spans="22:26" x14ac:dyDescent="0.2">
      <c r="V401" s="202" t="str">
        <f t="shared" si="14"/>
        <v>1D</v>
      </c>
      <c r="W401" s="200">
        <f>_xll.qlCalendarAdvance(Calendar,W400,V401,"f",FALSE)</f>
        <v>42432</v>
      </c>
      <c r="X401" s="203">
        <f>_xll.qlCalendarAdvance(Calendar,W401,NDays&amp;"D")</f>
        <v>42436</v>
      </c>
      <c r="Y401" s="204">
        <v>-2.4654927880575538E-4</v>
      </c>
      <c r="Z401" s="201">
        <v>-2.6601732141084966E-4</v>
      </c>
    </row>
    <row r="402" spans="22:26" x14ac:dyDescent="0.2">
      <c r="V402" s="202" t="str">
        <f t="shared" si="14"/>
        <v>1D</v>
      </c>
      <c r="W402" s="200">
        <f>_xll.qlCalendarAdvance(Calendar,W401,V402,"f",FALSE)</f>
        <v>42433</v>
      </c>
      <c r="X402" s="203">
        <f>_xll.qlCalendarAdvance(Calendar,W402,NDays&amp;"D")</f>
        <v>42437</v>
      </c>
      <c r="Y402" s="204">
        <v>-2.4522351540991595E-4</v>
      </c>
      <c r="Z402" s="201">
        <v>-2.6477053373774595E-4</v>
      </c>
    </row>
    <row r="403" spans="22:26" x14ac:dyDescent="0.2">
      <c r="V403" s="202" t="str">
        <f t="shared" si="14"/>
        <v>1D</v>
      </c>
      <c r="W403" s="200">
        <f>_xll.qlCalendarAdvance(Calendar,W402,V403,"f",FALSE)</f>
        <v>42436</v>
      </c>
      <c r="X403" s="203">
        <f>_xll.qlCalendarAdvance(Calendar,W403,NDays&amp;"D")</f>
        <v>42438</v>
      </c>
      <c r="Y403" s="204">
        <v>-2.4252793524137675E-4</v>
      </c>
      <c r="Z403" s="201">
        <v>-2.635184791177636E-4</v>
      </c>
    </row>
    <row r="404" spans="22:26" x14ac:dyDescent="0.2">
      <c r="V404" s="202" t="str">
        <f t="shared" si="14"/>
        <v>1D</v>
      </c>
      <c r="W404" s="200">
        <f>_xll.qlCalendarAdvance(Calendar,W403,V404,"f",FALSE)</f>
        <v>42437</v>
      </c>
      <c r="X404" s="203">
        <f>_xll.qlCalendarAdvance(Calendar,W404,NDays&amp;"D")</f>
        <v>42439</v>
      </c>
      <c r="Y404" s="204">
        <v>-2.4187215779361559E-4</v>
      </c>
      <c r="Z404" s="201">
        <v>-2.6226115771077474E-4</v>
      </c>
    </row>
    <row r="405" spans="22:26" x14ac:dyDescent="0.2">
      <c r="V405" s="202" t="str">
        <f t="shared" ref="V405:V468" si="15">V404</f>
        <v>1D</v>
      </c>
      <c r="W405" s="200">
        <f>_xll.qlCalendarAdvance(Calendar,W404,V405,"f",FALSE)</f>
        <v>42438</v>
      </c>
      <c r="X405" s="203">
        <f>_xll.qlCalendarAdvance(Calendar,W405,NDays&amp;"D")</f>
        <v>42440</v>
      </c>
      <c r="Y405" s="204">
        <v>-2.4121462384539864E-4</v>
      </c>
      <c r="Z405" s="201">
        <v>-2.5972877118363158E-4</v>
      </c>
    </row>
    <row r="406" spans="22:26" x14ac:dyDescent="0.2">
      <c r="V406" s="202" t="str">
        <f t="shared" si="15"/>
        <v>1D</v>
      </c>
      <c r="W406" s="200">
        <f>_xll.qlCalendarAdvance(Calendar,W405,V406,"f",FALSE)</f>
        <v>42439</v>
      </c>
      <c r="X406" s="203">
        <f>_xll.qlCalendarAdvance(Calendar,W406,NDays&amp;"D")</f>
        <v>42443</v>
      </c>
      <c r="Y406" s="204">
        <v>-2.371583301805718E-4</v>
      </c>
      <c r="Z406" s="201">
        <v>-2.5717920337342548E-4</v>
      </c>
    </row>
    <row r="407" spans="22:26" x14ac:dyDescent="0.2">
      <c r="V407" s="202" t="str">
        <f t="shared" si="15"/>
        <v>1D</v>
      </c>
      <c r="W407" s="200">
        <f>_xll.qlCalendarAdvance(Calendar,W406,V407,"f",FALSE)</f>
        <v>42440</v>
      </c>
      <c r="X407" s="203">
        <f>_xll.qlCalendarAdvance(Calendar,W407,NDays&amp;"D")</f>
        <v>42444</v>
      </c>
      <c r="Y407" s="204">
        <v>-2.3579569848148333E-4</v>
      </c>
      <c r="Z407" s="201">
        <v>-2.5589554763172373E-4</v>
      </c>
    </row>
    <row r="408" spans="22:26" x14ac:dyDescent="0.2">
      <c r="V408" s="202" t="str">
        <f t="shared" si="15"/>
        <v>1D</v>
      </c>
      <c r="W408" s="200">
        <f>_xll.qlCalendarAdvance(Calendar,W407,V408,"f",FALSE)</f>
        <v>42443</v>
      </c>
      <c r="X408" s="203">
        <f>_xll.qlCalendarAdvance(Calendar,W408,NDays&amp;"D")</f>
        <v>42445</v>
      </c>
      <c r="Y408" s="204">
        <v>-2.3302639420135824E-4</v>
      </c>
      <c r="Z408" s="201">
        <v>-2.5460662506304743E-4</v>
      </c>
    </row>
    <row r="409" spans="22:26" x14ac:dyDescent="0.2">
      <c r="V409" s="202" t="str">
        <f t="shared" si="15"/>
        <v>1D</v>
      </c>
      <c r="W409" s="200">
        <f>_xll.qlCalendarAdvance(Calendar,W408,V409,"f",FALSE)</f>
        <v>42444</v>
      </c>
      <c r="X409" s="203">
        <f>_xll.qlCalendarAdvance(Calendar,W409,NDays&amp;"D")</f>
        <v>42446</v>
      </c>
      <c r="Y409" s="204">
        <v>-2.3235217631673022E-4</v>
      </c>
      <c r="Z409" s="201">
        <v>-2.533124355474925E-4</v>
      </c>
    </row>
    <row r="410" spans="22:26" x14ac:dyDescent="0.2">
      <c r="V410" s="202" t="str">
        <f t="shared" si="15"/>
        <v>1D</v>
      </c>
      <c r="W410" s="200">
        <f>_xll.qlCalendarAdvance(Calendar,W409,V410,"f",FALSE)</f>
        <v>42445</v>
      </c>
      <c r="X410" s="203">
        <f>_xll.qlCalendarAdvance(Calendar,W410,NDays&amp;"D")</f>
        <v>42447</v>
      </c>
      <c r="Y410" s="204">
        <v>-2.3167620193888643E-4</v>
      </c>
      <c r="Z410" s="201">
        <v>-2.5070632599266673E-4</v>
      </c>
    </row>
    <row r="411" spans="22:26" x14ac:dyDescent="0.2">
      <c r="V411" s="202" t="str">
        <f t="shared" si="15"/>
        <v>1D</v>
      </c>
      <c r="W411" s="200">
        <f>_xll.qlCalendarAdvance(Calendar,W410,V411,"f",FALSE)</f>
        <v>42446</v>
      </c>
      <c r="X411" s="203">
        <f>_xll.qlCalendarAdvance(Calendar,W411,NDays&amp;"D")</f>
        <v>42450</v>
      </c>
      <c r="Y411" s="204">
        <v>-2.2750930317220805E-4</v>
      </c>
      <c r="Z411" s="201">
        <v>-2.4808300929546334E-4</v>
      </c>
    </row>
    <row r="412" spans="22:26" x14ac:dyDescent="0.2">
      <c r="V412" s="202" t="str">
        <f t="shared" si="15"/>
        <v>1D</v>
      </c>
      <c r="W412" s="200">
        <f>_xll.qlCalendarAdvance(Calendar,W411,V412,"f",FALSE)</f>
        <v>42447</v>
      </c>
      <c r="X412" s="203">
        <f>_xll.qlCalendarAdvance(Calendar,W412,NDays&amp;"D")</f>
        <v>42451</v>
      </c>
      <c r="Y412" s="204">
        <v>-2.2610980308219875E-4</v>
      </c>
      <c r="Z412" s="201">
        <v>-2.4676248560506764E-4</v>
      </c>
    </row>
    <row r="413" spans="22:26" x14ac:dyDescent="0.2">
      <c r="V413" s="202" t="str">
        <f t="shared" si="15"/>
        <v>1D</v>
      </c>
      <c r="W413" s="200">
        <f>_xll.qlCalendarAdvance(Calendar,W412,V413,"f",FALSE)</f>
        <v>42450</v>
      </c>
      <c r="X413" s="203">
        <f>_xll.qlCalendarAdvance(Calendar,W413,NDays&amp;"D")</f>
        <v>42452</v>
      </c>
      <c r="Y413" s="204">
        <v>-2.2326677432425094E-4</v>
      </c>
      <c r="Z413" s="201">
        <v>-2.4543669508769739E-4</v>
      </c>
    </row>
    <row r="414" spans="22:26" x14ac:dyDescent="0.2">
      <c r="V414" s="202" t="str">
        <f t="shared" si="15"/>
        <v>1D</v>
      </c>
      <c r="W414" s="200">
        <f>_xll.qlCalendarAdvance(Calendar,W413,V414,"f",FALSE)</f>
        <v>42451</v>
      </c>
      <c r="X414" s="203">
        <f>_xll.qlCalendarAdvance(Calendar,W414,NDays&amp;"D")</f>
        <v>42453</v>
      </c>
      <c r="Y414" s="204">
        <v>-2.2257411604401089E-4</v>
      </c>
      <c r="Z414" s="201">
        <v>-2.4142213159805692E-4</v>
      </c>
    </row>
    <row r="415" spans="22:26" x14ac:dyDescent="0.2">
      <c r="V415" s="202" t="str">
        <f t="shared" si="15"/>
        <v>1D</v>
      </c>
      <c r="W415" s="200">
        <f>_xll.qlCalendarAdvance(Calendar,W414,V415,"f",FALSE)</f>
        <v>42452</v>
      </c>
      <c r="X415" s="203">
        <f>_xll.qlCalendarAdvance(Calendar,W415,NDays&amp;"D")</f>
        <v>42458</v>
      </c>
      <c r="Y415" s="204">
        <v>-2.1616582856741654E-4</v>
      </c>
      <c r="Z415" s="201">
        <v>-2.373713476977457E-4</v>
      </c>
    </row>
    <row r="416" spans="22:26" x14ac:dyDescent="0.2">
      <c r="V416" s="202" t="str">
        <f t="shared" si="15"/>
        <v>1D</v>
      </c>
      <c r="W416" s="200">
        <f>_xll.qlCalendarAdvance(Calendar,W415,V416,"f",FALSE)</f>
        <v>42453</v>
      </c>
      <c r="X416" s="203">
        <f>_xll.qlCalendarAdvance(Calendar,W416,NDays&amp;"D")</f>
        <v>42459</v>
      </c>
      <c r="Y416" s="204">
        <v>-2.154591199947653E-4</v>
      </c>
      <c r="Z416" s="201">
        <v>-2.360086892316815E-4</v>
      </c>
    </row>
    <row r="417" spans="22:26" x14ac:dyDescent="0.2">
      <c r="V417" s="202" t="str">
        <f t="shared" si="15"/>
        <v>1D</v>
      </c>
      <c r="W417" s="200">
        <f>_xll.qlCalendarAdvance(Calendar,W416,V417,"f",FALSE)</f>
        <v>42458</v>
      </c>
      <c r="X417" s="203">
        <f>_xll.qlCalendarAdvance(Calendar,W417,NDays&amp;"D")</f>
        <v>42460</v>
      </c>
      <c r="Y417" s="204">
        <v>-2.1475065494570221E-4</v>
      </c>
      <c r="Z417" s="201">
        <v>-2.346407637388026E-4</v>
      </c>
    </row>
    <row r="418" spans="22:26" x14ac:dyDescent="0.2">
      <c r="V418" s="202" t="str">
        <f t="shared" si="15"/>
        <v>1D</v>
      </c>
      <c r="W418" s="200">
        <f>_xll.qlCalendarAdvance(Calendar,W417,V418,"f",FALSE)</f>
        <v>42459</v>
      </c>
      <c r="X418" s="203">
        <f>_xll.qlCalendarAdvance(Calendar,W418,NDays&amp;"D")</f>
        <v>42461</v>
      </c>
      <c r="Y418" s="204">
        <v>-2.1182512122675326E-4</v>
      </c>
      <c r="Z418" s="201">
        <v>-2.3188720742250979E-4</v>
      </c>
    </row>
    <row r="419" spans="22:26" x14ac:dyDescent="0.2">
      <c r="V419" s="202" t="str">
        <f t="shared" si="15"/>
        <v>1D</v>
      </c>
      <c r="W419" s="200">
        <f>_xll.qlCalendarAdvance(Calendar,W418,V419,"f",FALSE)</f>
        <v>42460</v>
      </c>
      <c r="X419" s="203">
        <f>_xll.qlCalendarAdvance(Calendar,W419,NDays&amp;"D")</f>
        <v>42464</v>
      </c>
      <c r="Y419" s="204">
        <v>-2.0818510144327007E-4</v>
      </c>
      <c r="Z419" s="201">
        <v>-2.2911639361744562E-4</v>
      </c>
    </row>
    <row r="420" spans="22:26" x14ac:dyDescent="0.2">
      <c r="V420" s="202" t="str">
        <f t="shared" si="15"/>
        <v>1D</v>
      </c>
      <c r="W420" s="200">
        <f>_xll.qlCalendarAdvance(Calendar,W419,V420,"f",FALSE)</f>
        <v>42461</v>
      </c>
      <c r="X420" s="203">
        <f>_xll.qlCalendarAdvance(Calendar,W420,NDays&amp;"D")</f>
        <v>42465</v>
      </c>
      <c r="Y420" s="204">
        <v>-2.0671449691445076E-4</v>
      </c>
      <c r="Z420" s="201">
        <v>-2.2772213390975793E-4</v>
      </c>
    </row>
    <row r="421" spans="22:26" x14ac:dyDescent="0.2">
      <c r="V421" s="202" t="str">
        <f t="shared" si="15"/>
        <v>1D</v>
      </c>
      <c r="W421" s="200">
        <f>_xll.qlCalendarAdvance(Calendar,W420,V421,"f",FALSE)</f>
        <v>42464</v>
      </c>
      <c r="X421" s="203">
        <f>_xll.qlCalendarAdvance(Calendar,W421,NDays&amp;"D")</f>
        <v>42466</v>
      </c>
      <c r="Y421" s="204">
        <v>-2.0523862544008509E-4</v>
      </c>
      <c r="Z421" s="201">
        <v>-2.2632260741506371E-4</v>
      </c>
    </row>
    <row r="422" spans="22:26" x14ac:dyDescent="0.2">
      <c r="V422" s="202" t="str">
        <f t="shared" si="15"/>
        <v>1D</v>
      </c>
      <c r="W422" s="200">
        <f>_xll.qlCalendarAdvance(Calendar,W421,V422,"f",FALSE)</f>
        <v>42465</v>
      </c>
      <c r="X422" s="203">
        <f>_xll.qlCalendarAdvance(Calendar,W422,NDays&amp;"D")</f>
        <v>42467</v>
      </c>
      <c r="Y422" s="204">
        <v>-2.0224375641447745E-4</v>
      </c>
      <c r="Z422" s="201">
        <v>-2.2491781393352284E-4</v>
      </c>
    </row>
    <row r="423" spans="22:26" x14ac:dyDescent="0.2">
      <c r="V423" s="202" t="str">
        <f t="shared" si="15"/>
        <v>1D</v>
      </c>
      <c r="W423" s="200">
        <f>_xll.qlCalendarAdvance(Calendar,W422,V423,"f",FALSE)</f>
        <v>42466</v>
      </c>
      <c r="X423" s="203">
        <f>_xll.qlCalendarAdvance(Calendar,W423,NDays&amp;"D")</f>
        <v>42468</v>
      </c>
      <c r="Y423" s="204">
        <v>-2.0151246110347665E-4</v>
      </c>
      <c r="Z423" s="201">
        <v>-2.2209053399002698E-4</v>
      </c>
    </row>
    <row r="424" spans="22:26" x14ac:dyDescent="0.2">
      <c r="V424" s="202" t="str">
        <f t="shared" si="15"/>
        <v>1D</v>
      </c>
      <c r="W424" s="200">
        <f>_xll.qlCalendarAdvance(Calendar,W423,V424,"f",FALSE)</f>
        <v>42467</v>
      </c>
      <c r="X424" s="203">
        <f>_xll.qlCalendarAdvance(Calendar,W424,NDays&amp;"D")</f>
        <v>42471</v>
      </c>
      <c r="Y424" s="204">
        <v>-1.9778026384109637E-4</v>
      </c>
      <c r="Z424" s="201">
        <v>-2.1924597185751793E-4</v>
      </c>
    </row>
    <row r="425" spans="22:26" x14ac:dyDescent="0.2">
      <c r="V425" s="202" t="str">
        <f t="shared" si="15"/>
        <v>1D</v>
      </c>
      <c r="W425" s="200">
        <f>_xll.qlCalendarAdvance(Calendar,W424,V425,"f",FALSE)</f>
        <v>42468</v>
      </c>
      <c r="X425" s="203">
        <f>_xll.qlCalendarAdvance(Calendar,W425,NDays&amp;"D")</f>
        <v>42472</v>
      </c>
      <c r="Y425" s="204">
        <v>-1.9627279066281034E-4</v>
      </c>
      <c r="Z425" s="201">
        <v>-2.1781484416116825E-4</v>
      </c>
    </row>
    <row r="426" spans="22:26" x14ac:dyDescent="0.2">
      <c r="V426" s="202" t="str">
        <f t="shared" si="15"/>
        <v>1D</v>
      </c>
      <c r="W426" s="200">
        <f>_xll.qlCalendarAdvance(Calendar,W425,V426,"f",FALSE)</f>
        <v>42471</v>
      </c>
      <c r="X426" s="203">
        <f>_xll.qlCalendarAdvance(Calendar,W426,NDays&amp;"D")</f>
        <v>42473</v>
      </c>
      <c r="Y426" s="204">
        <v>-1.9476005052565526E-4</v>
      </c>
      <c r="Z426" s="201">
        <v>-2.1637844955790797E-4</v>
      </c>
    </row>
    <row r="427" spans="22:26" x14ac:dyDescent="0.2">
      <c r="V427" s="202" t="str">
        <f t="shared" si="15"/>
        <v>1D</v>
      </c>
      <c r="W427" s="200">
        <f>_xll.qlCalendarAdvance(Calendar,W426,V427,"f",FALSE)</f>
        <v>42472</v>
      </c>
      <c r="X427" s="203">
        <f>_xll.qlCalendarAdvance(Calendar,W427,NDays&amp;"D")</f>
        <v>42474</v>
      </c>
      <c r="Y427" s="204">
        <v>-1.9169145565503531E-4</v>
      </c>
      <c r="Z427" s="201">
        <v>-2.149367882076092E-4</v>
      </c>
    </row>
    <row r="428" spans="22:26" x14ac:dyDescent="0.2">
      <c r="V428" s="202" t="str">
        <f t="shared" si="15"/>
        <v>1D</v>
      </c>
      <c r="W428" s="200">
        <f>_xll.qlCalendarAdvance(Calendar,W427,V428,"f",FALSE)</f>
        <v>42473</v>
      </c>
      <c r="X428" s="203">
        <f>_xll.qlCalendarAdvance(Calendar,W428,NDays&amp;"D")</f>
        <v>42475</v>
      </c>
      <c r="Y428" s="204">
        <v>-1.9094172021956682E-4</v>
      </c>
      <c r="Z428" s="201">
        <v>-2.1203578438377946E-4</v>
      </c>
    </row>
    <row r="429" spans="22:26" x14ac:dyDescent="0.2">
      <c r="V429" s="202" t="str">
        <f t="shared" si="15"/>
        <v>1D</v>
      </c>
      <c r="W429" s="200">
        <f>_xll.qlCalendarAdvance(Calendar,W428,V429,"f",FALSE)</f>
        <v>42474</v>
      </c>
      <c r="X429" s="203">
        <f>_xll.qlCalendarAdvance(Calendar,W429,NDays&amp;"D")</f>
        <v>42478</v>
      </c>
      <c r="Y429" s="204">
        <v>-1.8711734540222125E-4</v>
      </c>
      <c r="Z429" s="201">
        <v>-2.0911747401708425E-4</v>
      </c>
    </row>
    <row r="430" spans="22:26" x14ac:dyDescent="0.2">
      <c r="V430" s="202" t="str">
        <f t="shared" si="15"/>
        <v>1D</v>
      </c>
      <c r="W430" s="200">
        <f>_xll.qlCalendarAdvance(Calendar,W429,V430,"f",FALSE)</f>
        <v>42475</v>
      </c>
      <c r="X430" s="203">
        <f>_xll.qlCalendarAdvance(Calendar,W430,NDays&amp;"D")</f>
        <v>42479</v>
      </c>
      <c r="Y430" s="204">
        <v>-1.8557300347854522E-4</v>
      </c>
      <c r="Z430" s="201">
        <v>-2.0764947845197668E-4</v>
      </c>
    </row>
    <row r="431" spans="22:26" x14ac:dyDescent="0.2">
      <c r="V431" s="202" t="str">
        <f t="shared" si="15"/>
        <v>1D</v>
      </c>
      <c r="W431" s="200">
        <f>_xll.qlCalendarAdvance(Calendar,W430,V431,"f",FALSE)</f>
        <v>42478</v>
      </c>
      <c r="X431" s="203">
        <f>_xll.qlCalendarAdvance(Calendar,W431,NDays&amp;"D")</f>
        <v>42480</v>
      </c>
      <c r="Y431" s="204">
        <v>-1.8402339457868067E-4</v>
      </c>
      <c r="Z431" s="201">
        <v>-2.0617621586005441E-4</v>
      </c>
    </row>
    <row r="432" spans="22:26" x14ac:dyDescent="0.2">
      <c r="V432" s="202" t="str">
        <f t="shared" si="15"/>
        <v>1D</v>
      </c>
      <c r="W432" s="200">
        <f>_xll.qlCalendarAdvance(Calendar,W431,V432,"f",FALSE)</f>
        <v>42479</v>
      </c>
      <c r="X432" s="203">
        <f>_xll.qlCalendarAdvance(Calendar,W432,NDays&amp;"D")</f>
        <v>42481</v>
      </c>
      <c r="Y432" s="204">
        <v>-1.8088107330324621E-4</v>
      </c>
      <c r="Z432" s="201">
        <v>-2.046976864411576E-4</v>
      </c>
    </row>
    <row r="433" spans="22:26" x14ac:dyDescent="0.2">
      <c r="V433" s="202" t="str">
        <f t="shared" si="15"/>
        <v>1D</v>
      </c>
      <c r="W433" s="200">
        <f>_xll.qlCalendarAdvance(Calendar,W432,V433,"f",FALSE)</f>
        <v>42480</v>
      </c>
      <c r="X433" s="203">
        <f>_xll.qlCalendarAdvance(Calendar,W433,NDays&amp;"D")</f>
        <v>42482</v>
      </c>
      <c r="Y433" s="204">
        <v>-1.8011289787236E-4</v>
      </c>
      <c r="Z433" s="201">
        <v>-2.017229584971858E-4</v>
      </c>
    </row>
    <row r="434" spans="22:26" x14ac:dyDescent="0.2">
      <c r="V434" s="202" t="str">
        <f t="shared" si="15"/>
        <v>1D</v>
      </c>
      <c r="W434" s="200">
        <f>_xll.qlCalendarAdvance(Calendar,W433,V434,"f",FALSE)</f>
        <v>42481</v>
      </c>
      <c r="X434" s="203">
        <f>_xll.qlCalendarAdvance(Calendar,W434,NDays&amp;"D")</f>
        <v>42485</v>
      </c>
      <c r="Y434" s="204">
        <v>-1.7619634543386553E-4</v>
      </c>
      <c r="Z434" s="201">
        <v>-1.9873090037592078E-4</v>
      </c>
    </row>
    <row r="435" spans="22:26" x14ac:dyDescent="0.2">
      <c r="V435" s="202" t="str">
        <f t="shared" si="15"/>
        <v>1D</v>
      </c>
      <c r="W435" s="200">
        <f>_xll.qlCalendarAdvance(Calendar,W434,V435,"f",FALSE)</f>
        <v>42482</v>
      </c>
      <c r="X435" s="203">
        <f>_xll.qlCalendarAdvance(Calendar,W435,NDays&amp;"D")</f>
        <v>42486</v>
      </c>
      <c r="Y435" s="204">
        <v>-1.7461513465955036E-4</v>
      </c>
      <c r="Z435" s="201">
        <v>-1.9722603670224714E-4</v>
      </c>
    </row>
    <row r="436" spans="22:26" x14ac:dyDescent="0.2">
      <c r="V436" s="202" t="str">
        <f t="shared" si="15"/>
        <v>1D</v>
      </c>
      <c r="W436" s="200">
        <f>_xll.qlCalendarAdvance(Calendar,W435,V436,"f",FALSE)</f>
        <v>42485</v>
      </c>
      <c r="X436" s="203">
        <f>_xll.qlCalendarAdvance(Calendar,W436,NDays&amp;"D")</f>
        <v>42487</v>
      </c>
      <c r="Y436" s="204">
        <v>-1.730286568997208E-4</v>
      </c>
      <c r="Z436" s="201">
        <v>-1.957159061216629E-4</v>
      </c>
    </row>
    <row r="437" spans="22:26" x14ac:dyDescent="0.2">
      <c r="V437" s="202" t="str">
        <f t="shared" si="15"/>
        <v>1D</v>
      </c>
      <c r="W437" s="200">
        <f>_xll.qlCalendarAdvance(Calendar,W436,V437,"f",FALSE)</f>
        <v>42486</v>
      </c>
      <c r="X437" s="203">
        <f>_xll.qlCalendarAdvance(Calendar,W437,NDays&amp;"D")</f>
        <v>42488</v>
      </c>
      <c r="Y437" s="204">
        <v>-1.698126086184526E-4</v>
      </c>
      <c r="Z437" s="201">
        <v>-1.9420050879404016E-4</v>
      </c>
    </row>
    <row r="438" spans="22:26" x14ac:dyDescent="0.2">
      <c r="V438" s="202" t="str">
        <f t="shared" si="15"/>
        <v>1D</v>
      </c>
      <c r="W438" s="200">
        <f>_xll.qlCalendarAdvance(Calendar,W437,V438,"f",FALSE)</f>
        <v>42487</v>
      </c>
      <c r="X438" s="203">
        <f>_xll.qlCalendarAdvance(Calendar,W438,NDays&amp;"D")</f>
        <v>42489</v>
      </c>
      <c r="Y438" s="204">
        <v>-1.6821033138630925E-4</v>
      </c>
      <c r="Z438" s="201">
        <v>-1.9115205626363263E-4</v>
      </c>
    </row>
    <row r="439" spans="22:26" x14ac:dyDescent="0.2">
      <c r="V439" s="202" t="str">
        <f t="shared" si="15"/>
        <v>1D</v>
      </c>
      <c r="W439" s="200">
        <f>_xll.qlCalendarAdvance(Calendar,W438,V439,"f",FALSE)</f>
        <v>42488</v>
      </c>
      <c r="X439" s="203">
        <f>_xll.qlCalendarAdvance(Calendar,W439,NDays&amp;"D")</f>
        <v>42492</v>
      </c>
      <c r="Y439" s="204">
        <v>-1.6419545789852873E-4</v>
      </c>
      <c r="Z439" s="201">
        <v>-1.880862506142833E-4</v>
      </c>
    </row>
    <row r="440" spans="22:26" x14ac:dyDescent="0.2">
      <c r="V440" s="202" t="str">
        <f t="shared" si="15"/>
        <v>1D</v>
      </c>
      <c r="W440" s="200">
        <f>_xll.qlCalendarAdvance(Calendar,W439,V440,"f",FALSE)</f>
        <v>42489</v>
      </c>
      <c r="X440" s="203">
        <f>_xll.qlCalendarAdvance(Calendar,W440,NDays&amp;"D")</f>
        <v>42493</v>
      </c>
      <c r="Y440" s="204">
        <v>-1.6257474540786403E-4</v>
      </c>
      <c r="Z440" s="201">
        <v>-1.8654451899191571E-4</v>
      </c>
    </row>
    <row r="441" spans="22:26" x14ac:dyDescent="0.2">
      <c r="V441" s="202" t="str">
        <f t="shared" si="15"/>
        <v>1D</v>
      </c>
      <c r="W441" s="200">
        <f>_xll.qlCalendarAdvance(Calendar,W440,V441,"f",FALSE)</f>
        <v>42492</v>
      </c>
      <c r="X441" s="203">
        <f>_xll.qlCalendarAdvance(Calendar,W441,NDays&amp;"D")</f>
        <v>42494</v>
      </c>
      <c r="Y441" s="204">
        <v>-1.5928935942145406E-4</v>
      </c>
      <c r="Z441" s="201">
        <v>-1.8499752038270145E-4</v>
      </c>
    </row>
    <row r="442" spans="22:26" x14ac:dyDescent="0.2">
      <c r="V442" s="202" t="str">
        <f t="shared" si="15"/>
        <v>1D</v>
      </c>
      <c r="W442" s="200">
        <f>_xll.qlCalendarAdvance(Calendar,W441,V442,"f",FALSE)</f>
        <v>42493</v>
      </c>
      <c r="X442" s="203">
        <f>_xll.qlCalendarAdvance(Calendar,W442,NDays&amp;"D")</f>
        <v>42495</v>
      </c>
      <c r="Y442" s="204">
        <v>-1.5848606083501693E-4</v>
      </c>
      <c r="Z442" s="201">
        <v>-1.8344525494651265E-4</v>
      </c>
    </row>
    <row r="443" spans="22:26" x14ac:dyDescent="0.2">
      <c r="V443" s="202" t="str">
        <f t="shared" si="15"/>
        <v>1D</v>
      </c>
      <c r="W443" s="200">
        <f>_xll.qlCalendarAdvance(Calendar,W442,V443,"f",FALSE)</f>
        <v>42494</v>
      </c>
      <c r="X443" s="203">
        <f>_xll.qlCalendarAdvance(Calendar,W443,NDays&amp;"D")</f>
        <v>42496</v>
      </c>
      <c r="Y443" s="204">
        <v>-1.5768100588972868E-4</v>
      </c>
      <c r="Z443" s="201">
        <v>-1.803230777097653E-4</v>
      </c>
    </row>
    <row r="444" spans="22:26" x14ac:dyDescent="0.2">
      <c r="V444" s="202" t="str">
        <f t="shared" si="15"/>
        <v>1D</v>
      </c>
      <c r="W444" s="200">
        <f>_xll.qlCalendarAdvance(Calendar,W443,V444,"f",FALSE)</f>
        <v>42495</v>
      </c>
      <c r="X444" s="203">
        <f>_xll.qlCalendarAdvance(Calendar,W444,NDays&amp;"D")</f>
        <v>42499</v>
      </c>
      <c r="Y444" s="204">
        <v>-1.5273986324242946E-4</v>
      </c>
      <c r="Z444" s="201">
        <v>-1.7718352477213983E-4</v>
      </c>
    </row>
    <row r="445" spans="22:26" x14ac:dyDescent="0.2">
      <c r="V445" s="202" t="str">
        <f t="shared" si="15"/>
        <v>1D</v>
      </c>
      <c r="W445" s="200">
        <f>_xll.qlCalendarAdvance(Calendar,W444,V445,"f",FALSE)</f>
        <v>42496</v>
      </c>
      <c r="X445" s="203">
        <f>_xll.qlCalendarAdvance(Calendar,W445,NDays&amp;"D")</f>
        <v>42500</v>
      </c>
      <c r="Y445" s="204">
        <v>-1.5108228165946946E-4</v>
      </c>
      <c r="Z445" s="201">
        <v>-1.7560492512114223E-4</v>
      </c>
    </row>
    <row r="446" spans="22:26" x14ac:dyDescent="0.2">
      <c r="V446" s="202" t="str">
        <f t="shared" si="15"/>
        <v>1D</v>
      </c>
      <c r="W446" s="200">
        <f>_xll.qlCalendarAdvance(Calendar,W445,V446,"f",FALSE)</f>
        <v>42499</v>
      </c>
      <c r="X446" s="203">
        <f>_xll.qlCalendarAdvance(Calendar,W446,NDays&amp;"D")</f>
        <v>42501</v>
      </c>
      <c r="Y446" s="204">
        <v>-1.4772316726832909E-4</v>
      </c>
      <c r="Z446" s="201">
        <v>-1.7402105864317008E-4</v>
      </c>
    </row>
    <row r="447" spans="22:26" x14ac:dyDescent="0.2">
      <c r="V447" s="202" t="str">
        <f t="shared" si="15"/>
        <v>1D</v>
      </c>
      <c r="W447" s="200">
        <f>_xll.qlCalendarAdvance(Calendar,W446,V447,"f",FALSE)</f>
        <v>42500</v>
      </c>
      <c r="X447" s="203">
        <f>_xll.qlCalendarAdvance(Calendar,W447,NDays&amp;"D")</f>
        <v>42502</v>
      </c>
      <c r="Y447" s="204">
        <v>-1.4690142917481164E-4</v>
      </c>
      <c r="Z447" s="201">
        <v>-1.7243192521831929E-4</v>
      </c>
    </row>
    <row r="448" spans="22:26" x14ac:dyDescent="0.2">
      <c r="V448" s="202" t="str">
        <f t="shared" si="15"/>
        <v>1D</v>
      </c>
      <c r="W448" s="200">
        <f>_xll.qlCalendarAdvance(Calendar,W447,V448,"f",FALSE)</f>
        <v>42501</v>
      </c>
      <c r="X448" s="203">
        <f>_xll.qlCalendarAdvance(Calendar,W448,NDays&amp;"D")</f>
        <v>42503</v>
      </c>
      <c r="Y448" s="204">
        <v>-1.4607793475485847E-4</v>
      </c>
      <c r="Z448" s="201">
        <v>-1.6923602264906634E-4</v>
      </c>
    </row>
    <row r="449" spans="22:26" x14ac:dyDescent="0.2">
      <c r="V449" s="202" t="str">
        <f t="shared" si="15"/>
        <v>1D</v>
      </c>
      <c r="W449" s="200">
        <f>_xll.qlCalendarAdvance(Calendar,W448,V449,"f",FALSE)</f>
        <v>42502</v>
      </c>
      <c r="X449" s="203">
        <f>_xll.qlCalendarAdvance(Calendar,W449,NDays&amp;"D")</f>
        <v>42506</v>
      </c>
      <c r="Y449" s="204">
        <v>-1.4102618458312945E-4</v>
      </c>
      <c r="Z449" s="201">
        <v>-1.6602272296939447E-4</v>
      </c>
    </row>
    <row r="450" spans="22:26" x14ac:dyDescent="0.2">
      <c r="V450" s="202" t="str">
        <f t="shared" si="15"/>
        <v>1D</v>
      </c>
      <c r="W450" s="200">
        <f>_xll.qlCalendarAdvance(Calendar,W449,V450,"f",FALSE)</f>
        <v>42503</v>
      </c>
      <c r="X450" s="203">
        <f>_xll.qlCalendarAdvance(Calendar,W450,NDays&amp;"D")</f>
        <v>42507</v>
      </c>
      <c r="Y450" s="204">
        <v>-1.3933173379054864E-4</v>
      </c>
      <c r="Z450" s="201">
        <v>-1.6440725536970291E-4</v>
      </c>
    </row>
    <row r="451" spans="22:26" x14ac:dyDescent="0.2">
      <c r="V451" s="202" t="str">
        <f t="shared" si="15"/>
        <v>1D</v>
      </c>
      <c r="W451" s="200">
        <f>_xll.qlCalendarAdvance(Calendar,W450,V451,"f",FALSE)</f>
        <v>42506</v>
      </c>
      <c r="X451" s="203">
        <f>_xll.qlCalendarAdvance(Calendar,W451,NDays&amp;"D")</f>
        <v>42508</v>
      </c>
      <c r="Y451" s="204">
        <v>-1.3589889022235337E-4</v>
      </c>
      <c r="Z451" s="201">
        <v>-1.6278652074319666E-4</v>
      </c>
    </row>
    <row r="452" spans="22:26" x14ac:dyDescent="0.2">
      <c r="V452" s="202" t="str">
        <f t="shared" si="15"/>
        <v>1D</v>
      </c>
      <c r="W452" s="200">
        <f>_xll.qlCalendarAdvance(Calendar,W451,V452,"f",FALSE)</f>
        <v>42507</v>
      </c>
      <c r="X452" s="203">
        <f>_xll.qlCalendarAdvance(Calendar,W452,NDays&amp;"D")</f>
        <v>42509</v>
      </c>
      <c r="Y452" s="204">
        <v>-1.3505871283972515E-4</v>
      </c>
      <c r="Z452" s="201">
        <v>-1.6116051936965192E-4</v>
      </c>
    </row>
    <row r="453" spans="22:26" x14ac:dyDescent="0.2">
      <c r="V453" s="202" t="str">
        <f t="shared" si="15"/>
        <v>1D</v>
      </c>
      <c r="W453" s="200">
        <f>_xll.qlCalendarAdvance(Calendar,W452,V453,"f",FALSE)</f>
        <v>42508</v>
      </c>
      <c r="X453" s="203">
        <f>_xll.qlCalendarAdvance(Calendar,W453,NDays&amp;"D")</f>
        <v>42510</v>
      </c>
      <c r="Y453" s="204">
        <v>-1.3421677916553558E-4</v>
      </c>
      <c r="Z453" s="201">
        <v>-1.578908910548904E-4</v>
      </c>
    </row>
    <row r="454" spans="22:26" x14ac:dyDescent="0.2">
      <c r="V454" s="202" t="str">
        <f t="shared" si="15"/>
        <v>1D</v>
      </c>
      <c r="W454" s="200">
        <f>_xll.qlCalendarAdvance(Calendar,W453,V454,"f",FALSE)</f>
        <v>42509</v>
      </c>
      <c r="X454" s="203">
        <f>_xll.qlCalendarAdvance(Calendar,W454,NDays&amp;"D")</f>
        <v>42513</v>
      </c>
      <c r="Y454" s="204">
        <v>-1.2905442113287171E-4</v>
      </c>
      <c r="Z454" s="201">
        <v>-1.5460384512611114E-4</v>
      </c>
    </row>
    <row r="455" spans="22:26" x14ac:dyDescent="0.2">
      <c r="V455" s="202" t="str">
        <f t="shared" si="15"/>
        <v>1D</v>
      </c>
      <c r="W455" s="200">
        <f>_xll.qlCalendarAdvance(Calendar,W454,V455,"f",FALSE)</f>
        <v>42510</v>
      </c>
      <c r="X455" s="203">
        <f>_xll.qlCalendarAdvance(Calendar,W455,NDays&amp;"D")</f>
        <v>42514</v>
      </c>
      <c r="Y455" s="204">
        <v>-1.2732310101721249E-4</v>
      </c>
      <c r="Z455" s="201">
        <v>-1.5295150937788549E-4</v>
      </c>
    </row>
    <row r="456" spans="22:26" x14ac:dyDescent="0.2">
      <c r="V456" s="202" t="str">
        <f t="shared" si="15"/>
        <v>1D</v>
      </c>
      <c r="W456" s="200">
        <f>_xll.qlCalendarAdvance(Calendar,W455,V456,"f",FALSE)</f>
        <v>42513</v>
      </c>
      <c r="X456" s="203">
        <f>_xll.qlCalendarAdvance(Calendar,W456,NDays&amp;"D")</f>
        <v>42515</v>
      </c>
      <c r="Y456" s="204">
        <v>-1.238165274478317E-4</v>
      </c>
      <c r="Z456" s="201">
        <v>-1.5129390680268529E-4</v>
      </c>
    </row>
    <row r="457" spans="22:26" x14ac:dyDescent="0.2">
      <c r="V457" s="202" t="str">
        <f t="shared" si="15"/>
        <v>1D</v>
      </c>
      <c r="W457" s="200">
        <f>_xll.qlCalendarAdvance(Calendar,W456,V457,"f",FALSE)</f>
        <v>42514</v>
      </c>
      <c r="X457" s="203">
        <f>_xll.qlCalendarAdvance(Calendar,W457,NDays&amp;"D")</f>
        <v>42516</v>
      </c>
      <c r="Y457" s="204">
        <v>-1.2295791101790687E-4</v>
      </c>
      <c r="Z457" s="201">
        <v>-1.4963103740051054E-4</v>
      </c>
    </row>
    <row r="458" spans="22:26" x14ac:dyDescent="0.2">
      <c r="V458" s="202" t="str">
        <f t="shared" si="15"/>
        <v>1D</v>
      </c>
      <c r="W458" s="200">
        <f>_xll.qlCalendarAdvance(Calendar,W457,V458,"f",FALSE)</f>
        <v>42515</v>
      </c>
      <c r="X458" s="203">
        <f>_xll.qlCalendarAdvance(Calendar,W458,NDays&amp;"D")</f>
        <v>42517</v>
      </c>
      <c r="Y458" s="204">
        <v>-1.2209753833529233E-4</v>
      </c>
      <c r="Z458" s="201">
        <v>-1.4628768288726945E-4</v>
      </c>
    </row>
    <row r="459" spans="22:26" x14ac:dyDescent="0.2">
      <c r="V459" s="202" t="str">
        <f t="shared" si="15"/>
        <v>1D</v>
      </c>
      <c r="W459" s="200">
        <f>_xll.qlCalendarAdvance(Calendar,W458,V459,"f",FALSE)</f>
        <v>42516</v>
      </c>
      <c r="X459" s="203">
        <f>_xll.qlCalendarAdvance(Calendar,W459,NDays&amp;"D")</f>
        <v>42520</v>
      </c>
      <c r="Y459" s="204">
        <v>-1.1682457209229571E-4</v>
      </c>
      <c r="Z459" s="201">
        <v>-1.4292689108241774E-4</v>
      </c>
    </row>
    <row r="460" spans="22:26" x14ac:dyDescent="0.2">
      <c r="V460" s="202" t="str">
        <f t="shared" si="15"/>
        <v>1D</v>
      </c>
      <c r="W460" s="200">
        <f>_xll.qlCalendarAdvance(Calendar,W459,V460,"f",FALSE)</f>
        <v>42517</v>
      </c>
      <c r="X460" s="203">
        <f>_xll.qlCalendarAdvance(Calendar,W460,NDays&amp;"D")</f>
        <v>42521</v>
      </c>
      <c r="Y460" s="204">
        <v>-1.1595454082913292E-4</v>
      </c>
      <c r="Z460" s="201">
        <v>-1.4123768734553011E-4</v>
      </c>
    </row>
    <row r="461" spans="22:26" x14ac:dyDescent="0.2">
      <c r="V461" s="202" t="str">
        <f t="shared" si="15"/>
        <v>1D</v>
      </c>
      <c r="W461" s="200">
        <f>_xll.qlCalendarAdvance(Calendar,W460,V461,"f",FALSE)</f>
        <v>42520</v>
      </c>
      <c r="X461" s="203">
        <f>_xll.qlCalendarAdvance(Calendar,W461,NDays&amp;"D")</f>
        <v>42522</v>
      </c>
      <c r="Y461" s="204">
        <v>-1.1418371718008302E-4</v>
      </c>
      <c r="Z461" s="201">
        <v>-1.3954321678166792E-4</v>
      </c>
    </row>
    <row r="462" spans="22:26" x14ac:dyDescent="0.2">
      <c r="V462" s="202" t="str">
        <f t="shared" si="15"/>
        <v>1D</v>
      </c>
      <c r="W462" s="200">
        <f>_xll.qlCalendarAdvance(Calendar,W461,V462,"f",FALSE)</f>
        <v>42521</v>
      </c>
      <c r="X462" s="203">
        <f>_xll.qlCalendarAdvance(Calendar,W462,NDays&amp;"D")</f>
        <v>42523</v>
      </c>
      <c r="Y462" s="204">
        <v>-1.1059902287127721E-4</v>
      </c>
      <c r="Z462" s="201">
        <v>-1.3784347931089513E-4</v>
      </c>
    </row>
    <row r="463" spans="22:26" x14ac:dyDescent="0.2">
      <c r="V463" s="202" t="str">
        <f t="shared" si="15"/>
        <v>1D</v>
      </c>
      <c r="W463" s="200">
        <f>_xll.qlCalendarAdvance(Calendar,W462,V463,"f",FALSE)</f>
        <v>42522</v>
      </c>
      <c r="X463" s="203">
        <f>_xll.qlCalendarAdvance(Calendar,W463,NDays&amp;"D")</f>
        <v>42524</v>
      </c>
      <c r="Y463" s="204">
        <v>-1.0972021145058596E-4</v>
      </c>
      <c r="Z463" s="201">
        <v>-1.3442639803962209E-4</v>
      </c>
    </row>
    <row r="464" spans="22:26" x14ac:dyDescent="0.2">
      <c r="V464" s="202" t="str">
        <f t="shared" si="15"/>
        <v>1D</v>
      </c>
      <c r="W464" s="200">
        <f>_xll.qlCalendarAdvance(Calendar,W463,V464,"f",FALSE)</f>
        <v>42523</v>
      </c>
      <c r="X464" s="203">
        <f>_xll.qlCalendarAdvance(Calendar,W464,NDays&amp;"D")</f>
        <v>42527</v>
      </c>
      <c r="Y464" s="204">
        <v>-1.0525059289179239E-4</v>
      </c>
      <c r="Z464" s="201">
        <v>-1.309918608782823E-4</v>
      </c>
    </row>
    <row r="465" spans="22:26" x14ac:dyDescent="0.2">
      <c r="V465" s="202" t="str">
        <f t="shared" si="15"/>
        <v>1D</v>
      </c>
      <c r="W465" s="200">
        <f>_xll.qlCalendarAdvance(Calendar,W464,V465,"f",FALSE)</f>
        <v>42524</v>
      </c>
      <c r="X465" s="203">
        <f>_xll.qlCalendarAdvance(Calendar,W465,NDays&amp;"D")</f>
        <v>42528</v>
      </c>
      <c r="Y465" s="204">
        <v>-1.0344816681406854E-4</v>
      </c>
      <c r="Z465" s="201">
        <v>-1.2926578915273268E-4</v>
      </c>
    </row>
    <row r="466" spans="22:26" x14ac:dyDescent="0.2">
      <c r="V466" s="202" t="str">
        <f t="shared" si="15"/>
        <v>1D</v>
      </c>
      <c r="W466" s="200">
        <f>_xll.qlCalendarAdvance(Calendar,W465,V466,"f",FALSE)</f>
        <v>42527</v>
      </c>
      <c r="X466" s="203">
        <f>_xll.qlCalendarAdvance(Calendar,W466,NDays&amp;"D")</f>
        <v>42529</v>
      </c>
      <c r="Y466" s="204">
        <v>-1.0164047365490703E-4</v>
      </c>
      <c r="Z466" s="201">
        <v>-1.2753445060020852E-4</v>
      </c>
    </row>
    <row r="467" spans="22:26" x14ac:dyDescent="0.2">
      <c r="V467" s="202" t="str">
        <f t="shared" si="15"/>
        <v>1D</v>
      </c>
      <c r="W467" s="200">
        <f>_xll.qlCalendarAdvance(Calendar,W466,V467,"f",FALSE)</f>
        <v>42528</v>
      </c>
      <c r="X467" s="203">
        <f>_xll.qlCalendarAdvance(Calendar,W467,NDays&amp;"D")</f>
        <v>42530</v>
      </c>
      <c r="Y467" s="204">
        <v>-9.7982047556760543E-5</v>
      </c>
      <c r="Z467" s="201">
        <v>-1.2579784518074177E-4</v>
      </c>
    </row>
    <row r="468" spans="22:26" x14ac:dyDescent="0.2">
      <c r="V468" s="202" t="str">
        <f t="shared" si="15"/>
        <v>1D</v>
      </c>
      <c r="W468" s="200">
        <f>_xll.qlCalendarAdvance(Calendar,W467,V468,"f",FALSE)</f>
        <v>42529</v>
      </c>
      <c r="X468" s="203">
        <f>_xll.qlCalendarAdvance(Calendar,W468,NDays&amp;"D")</f>
        <v>42531</v>
      </c>
      <c r="Y468" s="204">
        <v>-9.7084797688848631E-5</v>
      </c>
      <c r="Z468" s="201">
        <v>-1.2230703640536689E-4</v>
      </c>
    </row>
    <row r="469" spans="22:26" x14ac:dyDescent="0.2">
      <c r="V469" s="202" t="str">
        <f t="shared" ref="V469:V532" si="16">V468</f>
        <v>1D</v>
      </c>
      <c r="W469" s="200">
        <f>_xll.qlCalendarAdvance(Calendar,W468,V469,"f",FALSE)</f>
        <v>42530</v>
      </c>
      <c r="X469" s="203">
        <f>_xll.qlCalendarAdvance(Calendar,W469,NDays&amp;"D")</f>
        <v>42534</v>
      </c>
      <c r="Y469" s="204">
        <v>-9.2523001562927476E-5</v>
      </c>
      <c r="Z469" s="201">
        <v>-1.1879875459364087E-4</v>
      </c>
    </row>
    <row r="470" spans="22:26" x14ac:dyDescent="0.2">
      <c r="V470" s="202" t="str">
        <f t="shared" si="16"/>
        <v>1D</v>
      </c>
      <c r="W470" s="200">
        <f>_xll.qlCalendarAdvance(Calendar,W469,V470,"f",FALSE)</f>
        <v>42531</v>
      </c>
      <c r="X470" s="203">
        <f>_xll.qlCalendarAdvance(Calendar,W470,NDays&amp;"D")</f>
        <v>42535</v>
      </c>
      <c r="Y470" s="204">
        <v>-9.0683705871175135E-5</v>
      </c>
      <c r="Z470" s="201">
        <v>-1.170358149193973E-4</v>
      </c>
    </row>
    <row r="471" spans="22:26" x14ac:dyDescent="0.2">
      <c r="V471" s="202" t="str">
        <f t="shared" si="16"/>
        <v>1D</v>
      </c>
      <c r="W471" s="200">
        <f>_xll.qlCalendarAdvance(Calendar,W470,V471,"f",FALSE)</f>
        <v>42534</v>
      </c>
      <c r="X471" s="203">
        <f>_xll.qlCalendarAdvance(Calendar,W471,NDays&amp;"D")</f>
        <v>42536</v>
      </c>
      <c r="Y471" s="204">
        <v>-8.883914308066565E-5</v>
      </c>
      <c r="Z471" s="201">
        <v>-1.1526760817837101E-4</v>
      </c>
    </row>
    <row r="472" spans="22:26" x14ac:dyDescent="0.2">
      <c r="V472" s="202" t="str">
        <f t="shared" si="16"/>
        <v>1D</v>
      </c>
      <c r="W472" s="200">
        <f>_xll.qlCalendarAdvance(Calendar,W471,V472,"f",FALSE)</f>
        <v>42535</v>
      </c>
      <c r="X472" s="203">
        <f>_xll.qlCalendarAdvance(Calendar,W472,NDays&amp;"D")</f>
        <v>42537</v>
      </c>
      <c r="Y472" s="204">
        <v>-8.5106984198807245E-5</v>
      </c>
      <c r="Z472" s="201">
        <v>-1.1349413477024228E-4</v>
      </c>
    </row>
    <row r="473" spans="22:26" x14ac:dyDescent="0.2">
      <c r="V473" s="202" t="str">
        <f t="shared" si="16"/>
        <v>1D</v>
      </c>
      <c r="W473" s="200">
        <f>_xll.qlCalendarAdvance(Calendar,W472,V473,"f",FALSE)</f>
        <v>42536</v>
      </c>
      <c r="X473" s="203">
        <f>_xll.qlCalendarAdvance(Calendar,W473,NDays&amp;"D")</f>
        <v>42538</v>
      </c>
      <c r="Y473" s="204">
        <v>-8.4191296206883885E-5</v>
      </c>
      <c r="Z473" s="201">
        <v>-1.099295979578585E-4</v>
      </c>
    </row>
    <row r="474" spans="22:26" x14ac:dyDescent="0.2">
      <c r="V474" s="202" t="str">
        <f t="shared" si="16"/>
        <v>1D</v>
      </c>
      <c r="W474" s="200">
        <f>_xll.qlCalendarAdvance(Calendar,W473,V474,"f",FALSE)</f>
        <v>42537</v>
      </c>
      <c r="X474" s="203">
        <f>_xll.qlCalendarAdvance(Calendar,W474,NDays&amp;"D")</f>
        <v>42541</v>
      </c>
      <c r="Y474" s="204">
        <v>-7.953732259879942E-5</v>
      </c>
      <c r="Z474" s="201">
        <v>-1.0634757210858936E-4</v>
      </c>
    </row>
    <row r="475" spans="22:26" x14ac:dyDescent="0.2">
      <c r="V475" s="202" t="str">
        <f t="shared" si="16"/>
        <v>1D</v>
      </c>
      <c r="W475" s="200">
        <f>_xll.qlCalendarAdvance(Calendar,W474,V475,"f",FALSE)</f>
        <v>42538</v>
      </c>
      <c r="X475" s="203">
        <f>_xll.qlCalendarAdvance(Calendar,W475,NDays&amp;"D")</f>
        <v>42542</v>
      </c>
      <c r="Y475" s="204">
        <v>-7.7661157178443574E-5</v>
      </c>
      <c r="Z475" s="201">
        <v>-1.0454776440571578E-4</v>
      </c>
    </row>
    <row r="476" spans="22:26" x14ac:dyDescent="0.2">
      <c r="V476" s="202" t="str">
        <f t="shared" si="16"/>
        <v>1D</v>
      </c>
      <c r="W476" s="200">
        <f>_xll.qlCalendarAdvance(Calendar,W475,V476,"f",FALSE)</f>
        <v>42541</v>
      </c>
      <c r="X476" s="203">
        <f>_xll.qlCalendarAdvance(Calendar,W476,NDays&amp;"D")</f>
        <v>42543</v>
      </c>
      <c r="Y476" s="204">
        <v>-7.5779724640678836E-5</v>
      </c>
      <c r="Z476" s="201">
        <v>-1.0274268963605948E-4</v>
      </c>
    </row>
    <row r="477" spans="22:26" x14ac:dyDescent="0.2">
      <c r="V477" s="202" t="str">
        <f t="shared" si="16"/>
        <v>1D</v>
      </c>
      <c r="W477" s="200">
        <f>_xll.qlCalendarAdvance(Calendar,W476,V477,"f",FALSE)</f>
        <v>42542</v>
      </c>
      <c r="X477" s="203">
        <f>_xll.qlCalendarAdvance(Calendar,W477,NDays&amp;"D")</f>
        <v>42544</v>
      </c>
      <c r="Y477" s="204">
        <v>-7.1973831913124675E-5</v>
      </c>
      <c r="Z477" s="201">
        <v>-1.0093234815933272E-4</v>
      </c>
    </row>
    <row r="478" spans="22:26" x14ac:dyDescent="0.2">
      <c r="V478" s="202" t="str">
        <f t="shared" si="16"/>
        <v>1D</v>
      </c>
      <c r="W478" s="200">
        <f>_xll.qlCalendarAdvance(Calendar,W477,V478,"f",FALSE)</f>
        <v>42543</v>
      </c>
      <c r="X478" s="203">
        <f>_xll.qlCalendarAdvance(Calendar,W478,NDays&amp;"D")</f>
        <v>42545</v>
      </c>
      <c r="Y478" s="204">
        <v>-7.1039706144734424E-5</v>
      </c>
      <c r="Z478" s="201">
        <v>-9.7294082603838206E-5</v>
      </c>
    </row>
    <row r="479" spans="22:26" x14ac:dyDescent="0.2">
      <c r="V479" s="202" t="str">
        <f t="shared" si="16"/>
        <v>1D</v>
      </c>
      <c r="W479" s="200">
        <f>_xll.qlCalendarAdvance(Calendar,W478,V479,"f",FALSE)</f>
        <v>42544</v>
      </c>
      <c r="X479" s="203">
        <f>_xll.qlCalendarAdvance(Calendar,W479,NDays&amp;"D")</f>
        <v>42548</v>
      </c>
      <c r="Y479" s="204">
        <v>-6.6293555165408691E-5</v>
      </c>
      <c r="Z479" s="201">
        <v>-9.3638313463095812E-5</v>
      </c>
    </row>
    <row r="480" spans="22:26" x14ac:dyDescent="0.2">
      <c r="V480" s="202" t="str">
        <f t="shared" si="16"/>
        <v>1D</v>
      </c>
      <c r="W480" s="200">
        <f>_xll.qlCalendarAdvance(Calendar,W479,V480,"f",FALSE)</f>
        <v>42545</v>
      </c>
      <c r="X480" s="203">
        <f>_xll.qlCalendarAdvance(Calendar,W480,NDays&amp;"D")</f>
        <v>42549</v>
      </c>
      <c r="Y480" s="204">
        <v>-6.4380519893880717E-5</v>
      </c>
      <c r="Z480" s="201">
        <v>-9.1801637571720107E-5</v>
      </c>
    </row>
    <row r="481" spans="22:26" x14ac:dyDescent="0.2">
      <c r="V481" s="202" t="str">
        <f t="shared" si="16"/>
        <v>1D</v>
      </c>
      <c r="W481" s="200">
        <f>_xll.qlCalendarAdvance(Calendar,W480,V481,"f",FALSE)</f>
        <v>42548</v>
      </c>
      <c r="X481" s="203">
        <f>_xll.qlCalendarAdvance(Calendar,W481,NDays&amp;"D")</f>
        <v>42550</v>
      </c>
      <c r="Y481" s="204">
        <v>-6.2462217490288907E-5</v>
      </c>
      <c r="Z481" s="201">
        <v>-8.995969497327394E-5</v>
      </c>
    </row>
    <row r="482" spans="22:26" x14ac:dyDescent="0.2">
      <c r="V482" s="202" t="str">
        <f t="shared" si="16"/>
        <v>1D</v>
      </c>
      <c r="W482" s="200">
        <f>_xll.qlCalendarAdvance(Calendar,W481,V482,"f",FALSE)</f>
        <v>42549</v>
      </c>
      <c r="X482" s="203">
        <f>_xll.qlCalendarAdvance(Calendar,W482,NDays&amp;"D")</f>
        <v>42551</v>
      </c>
      <c r="Y482" s="204">
        <v>-6.1514043984096117E-5</v>
      </c>
      <c r="Z482" s="201">
        <v>-8.8112485348013081E-5</v>
      </c>
    </row>
    <row r="483" spans="22:26" x14ac:dyDescent="0.2">
      <c r="V483" s="202" t="str">
        <f t="shared" si="16"/>
        <v>1D</v>
      </c>
      <c r="W483" s="200">
        <f>_xll.qlCalendarAdvance(Calendar,W482,V483,"f",FALSE)</f>
        <v>42550</v>
      </c>
      <c r="X483" s="203">
        <f>_xll.qlCalendarAdvance(Calendar,W483,NDays&amp;"D")</f>
        <v>42552</v>
      </c>
      <c r="Y483" s="204">
        <v>-5.7630026628260796E-5</v>
      </c>
      <c r="Z483" s="201">
        <v>-8.4400490250047255E-5</v>
      </c>
    </row>
    <row r="484" spans="22:26" x14ac:dyDescent="0.2">
      <c r="V484" s="202" t="str">
        <f t="shared" si="16"/>
        <v>1D</v>
      </c>
      <c r="W484" s="200">
        <f>_xll.qlCalendarAdvance(Calendar,W483,V484,"f",FALSE)</f>
        <v>42551</v>
      </c>
      <c r="X484" s="203">
        <f>_xll.qlCalendarAdvance(Calendar,W484,NDays&amp;"D")</f>
        <v>42555</v>
      </c>
      <c r="Y484" s="204">
        <v>-5.1804013921155726E-5</v>
      </c>
      <c r="Z484" s="201">
        <v>-8.0670978577224162E-5</v>
      </c>
    </row>
    <row r="485" spans="22:26" x14ac:dyDescent="0.2">
      <c r="V485" s="202" t="str">
        <f t="shared" si="16"/>
        <v>1D</v>
      </c>
      <c r="W485" s="200">
        <f>_xll.qlCalendarAdvance(Calendar,W484,V485,"f",FALSE)</f>
        <v>42552</v>
      </c>
      <c r="X485" s="203">
        <f>_xll.qlCalendarAdvance(Calendar,W485,NDays&amp;"D")</f>
        <v>42556</v>
      </c>
      <c r="Y485" s="204">
        <v>-4.9851475373536631E-5</v>
      </c>
      <c r="Z485" s="201">
        <v>-7.8797434577282388E-5</v>
      </c>
    </row>
    <row r="486" spans="22:26" x14ac:dyDescent="0.2">
      <c r="V486" s="202" t="str">
        <f t="shared" si="16"/>
        <v>1D</v>
      </c>
      <c r="W486" s="200">
        <f>_xll.qlCalendarAdvance(Calendar,W485,V486,"f",FALSE)</f>
        <v>42555</v>
      </c>
      <c r="X486" s="203">
        <f>_xll.qlCalendarAdvance(Calendar,W486,NDays&amp;"D")</f>
        <v>42557</v>
      </c>
      <c r="Y486" s="204">
        <v>-4.5902501166155737E-5</v>
      </c>
      <c r="Z486" s="201">
        <v>-7.691862399017424E-5</v>
      </c>
    </row>
    <row r="487" spans="22:26" x14ac:dyDescent="0.2">
      <c r="V487" s="202" t="str">
        <f t="shared" si="16"/>
        <v>1D</v>
      </c>
      <c r="W487" s="200">
        <f>_xll.qlCalendarAdvance(Calendar,W486,V487,"f",FALSE)</f>
        <v>42556</v>
      </c>
      <c r="X487" s="203">
        <f>_xll.qlCalendarAdvance(Calendar,W487,NDays&amp;"D")</f>
        <v>42558</v>
      </c>
      <c r="Y487" s="204">
        <v>-4.4933256928975096E-5</v>
      </c>
      <c r="Z487" s="201">
        <v>-7.5034546296315341E-5</v>
      </c>
    </row>
    <row r="488" spans="22:26" x14ac:dyDescent="0.2">
      <c r="V488" s="202" t="str">
        <f t="shared" si="16"/>
        <v>1D</v>
      </c>
      <c r="W488" s="200">
        <f>_xll.qlCalendarAdvance(Calendar,W487,V488,"f",FALSE)</f>
        <v>42557</v>
      </c>
      <c r="X488" s="203">
        <f>_xll.qlCalendarAdvance(Calendar,W488,NDays&amp;"D")</f>
        <v>42559</v>
      </c>
      <c r="Y488" s="204">
        <v>-4.3962256757537713E-5</v>
      </c>
      <c r="Z488" s="201">
        <v>-7.1248820816549596E-5</v>
      </c>
    </row>
    <row r="489" spans="22:26" x14ac:dyDescent="0.2">
      <c r="V489" s="202" t="str">
        <f t="shared" si="16"/>
        <v>1D</v>
      </c>
      <c r="W489" s="200">
        <f>_xll.qlCalendarAdvance(Calendar,W488,V489,"f",FALSE)</f>
        <v>42558</v>
      </c>
      <c r="X489" s="203">
        <f>_xll.qlCalendarAdvance(Calendar,W489,NDays&amp;"D")</f>
        <v>42562</v>
      </c>
      <c r="Y489" s="204">
        <v>-3.8025633623808216E-5</v>
      </c>
      <c r="Z489" s="201">
        <v>-6.7445567331070322E-5</v>
      </c>
    </row>
    <row r="490" spans="22:26" x14ac:dyDescent="0.2">
      <c r="V490" s="202" t="str">
        <f t="shared" si="16"/>
        <v>1D</v>
      </c>
      <c r="W490" s="200">
        <f>_xll.qlCalendarAdvance(Calendar,W489,V490,"f",FALSE)</f>
        <v>42559</v>
      </c>
      <c r="X490" s="203">
        <f>_xll.qlCalendarAdvance(Calendar,W490,NDays&amp;"D")</f>
        <v>42563</v>
      </c>
      <c r="Y490" s="204">
        <v>-3.6036224895732007E-5</v>
      </c>
      <c r="Z490" s="201">
        <v>-6.5535155382434596E-5</v>
      </c>
    </row>
    <row r="491" spans="22:26" x14ac:dyDescent="0.2">
      <c r="V491" s="202" t="str">
        <f t="shared" si="16"/>
        <v>1D</v>
      </c>
      <c r="W491" s="200">
        <f>_xll.qlCalendarAdvance(Calendar,W490,V491,"f",FALSE)</f>
        <v>42562</v>
      </c>
      <c r="X491" s="203">
        <f>_xll.qlCalendarAdvance(Calendar,W491,NDays&amp;"D")</f>
        <v>42564</v>
      </c>
      <c r="Y491" s="204">
        <v>-3.2013513243969982E-5</v>
      </c>
      <c r="Z491" s="201">
        <v>-6.3619476606824321E-5</v>
      </c>
    </row>
    <row r="492" spans="22:26" x14ac:dyDescent="0.2">
      <c r="V492" s="202" t="str">
        <f t="shared" si="16"/>
        <v>1D</v>
      </c>
      <c r="W492" s="200">
        <f>_xll.qlCalendarAdvance(Calendar,W491,V492,"f",FALSE)</f>
        <v>42563</v>
      </c>
      <c r="X492" s="203">
        <f>_xll.qlCalendarAdvance(Calendar,W492,NDays&amp;"D")</f>
        <v>42565</v>
      </c>
      <c r="Y492" s="204">
        <v>-3.1025832373243745E-5</v>
      </c>
      <c r="Z492" s="201">
        <v>-6.1698531044207527E-5</v>
      </c>
    </row>
    <row r="493" spans="22:26" x14ac:dyDescent="0.2">
      <c r="V493" s="202" t="str">
        <f t="shared" si="16"/>
        <v>1D</v>
      </c>
      <c r="W493" s="200">
        <f>_xll.qlCalendarAdvance(Calendar,W492,V493,"f",FALSE)</f>
        <v>42564</v>
      </c>
      <c r="X493" s="203">
        <f>_xll.qlCalendarAdvance(Calendar,W493,NDays&amp;"D")</f>
        <v>42566</v>
      </c>
      <c r="Y493" s="204">
        <v>-3.003639562877199E-5</v>
      </c>
      <c r="Z493" s="201">
        <v>-5.783907422340917E-5</v>
      </c>
    </row>
    <row r="494" spans="22:26" x14ac:dyDescent="0.2">
      <c r="V494" s="202" t="str">
        <f t="shared" si="16"/>
        <v>1D</v>
      </c>
      <c r="W494" s="200">
        <f>_xll.qlCalendarAdvance(Calendar,W493,V494,"f",FALSE)</f>
        <v>42565</v>
      </c>
      <c r="X494" s="203">
        <f>_xll.qlCalendarAdvance(Calendar,W494,NDays&amp;"D")</f>
        <v>42569</v>
      </c>
      <c r="Y494" s="204">
        <v>-2.3989161668737784E-5</v>
      </c>
      <c r="Z494" s="201">
        <v>-5.3962079764602322E-5</v>
      </c>
    </row>
    <row r="495" spans="22:26" x14ac:dyDescent="0.2">
      <c r="V495" s="202" t="str">
        <f t="shared" si="16"/>
        <v>1D</v>
      </c>
      <c r="W495" s="200">
        <f>_xll.qlCalendarAdvance(Calendar,W494,V495,"f",FALSE)</f>
        <v>42566</v>
      </c>
      <c r="X495" s="203">
        <f>_xll.qlCalendarAdvance(Calendar,W495,NDays&amp;"D")</f>
        <v>42570</v>
      </c>
      <c r="Y495" s="204">
        <v>-2.1962882632564629E-5</v>
      </c>
      <c r="Z495" s="201">
        <v>-5.2014799907240672E-5</v>
      </c>
    </row>
    <row r="496" spans="22:26" x14ac:dyDescent="0.2">
      <c r="V496" s="202" t="str">
        <f t="shared" si="16"/>
        <v>1D</v>
      </c>
      <c r="W496" s="200">
        <f>_xll.qlCalendarAdvance(Calendar,W495,V496,"f",FALSE)</f>
        <v>42569</v>
      </c>
      <c r="X496" s="203">
        <f>_xll.qlCalendarAdvance(Calendar,W496,NDays&amp;"D")</f>
        <v>42571</v>
      </c>
      <c r="Y496" s="204">
        <v>-1.7866432222164846E-5</v>
      </c>
      <c r="Z496" s="201">
        <v>-5.0062253103000387E-5</v>
      </c>
    </row>
    <row r="497" spans="22:26" x14ac:dyDescent="0.2">
      <c r="V497" s="202" t="str">
        <f t="shared" si="16"/>
        <v>1D</v>
      </c>
      <c r="W497" s="200">
        <f>_xll.qlCalendarAdvance(Calendar,W496,V497,"f",FALSE)</f>
        <v>42570</v>
      </c>
      <c r="X497" s="203">
        <f>_xll.qlCalendarAdvance(Calendar,W497,NDays&amp;"D")</f>
        <v>42572</v>
      </c>
      <c r="Y497" s="204">
        <v>-1.6860315164013429E-5</v>
      </c>
      <c r="Z497" s="201">
        <v>-4.8104439351881467E-5</v>
      </c>
    </row>
    <row r="498" spans="22:26" x14ac:dyDescent="0.2">
      <c r="V498" s="202" t="str">
        <f t="shared" si="16"/>
        <v>1D</v>
      </c>
      <c r="W498" s="200">
        <f>_xll.qlCalendarAdvance(Calendar,W497,V498,"f",FALSE)</f>
        <v>42571</v>
      </c>
      <c r="X498" s="203">
        <f>_xll.qlCalendarAdvance(Calendar,W498,NDays&amp;"D")</f>
        <v>42573</v>
      </c>
      <c r="Y498" s="204">
        <v>-1.5852442309806057E-5</v>
      </c>
      <c r="Z498" s="201">
        <v>-4.417125039068992E-5</v>
      </c>
    </row>
    <row r="499" spans="22:26" x14ac:dyDescent="0.2">
      <c r="V499" s="202" t="str">
        <f t="shared" si="16"/>
        <v>1D</v>
      </c>
      <c r="W499" s="200">
        <f>_xll.qlCalendarAdvance(Calendar,W498,V499,"f",FALSE)</f>
        <v>42572</v>
      </c>
      <c r="X499" s="203">
        <f>_xll.qlCalendarAdvance(Calendar,W499,NDays&amp;"D")</f>
        <v>42576</v>
      </c>
      <c r="Y499" s="204">
        <v>-9.6945971237868523E-6</v>
      </c>
      <c r="Z499" s="201">
        <v>-4.0220516037692278E-5</v>
      </c>
    </row>
    <row r="500" spans="22:26" x14ac:dyDescent="0.2">
      <c r="V500" s="202" t="str">
        <f t="shared" si="16"/>
        <v>1D</v>
      </c>
      <c r="W500" s="200">
        <f>_xll.qlCalendarAdvance(Calendar,W499,V500,"f",FALSE)</f>
        <v>42573</v>
      </c>
      <c r="X500" s="203">
        <f>_xll.qlCalendarAdvance(Calendar,W500,NDays&amp;"D")</f>
        <v>42577</v>
      </c>
      <c r="Y500" s="204">
        <v>-7.6314476351161286E-6</v>
      </c>
      <c r="Z500" s="201">
        <v>-3.8236367951860473E-5</v>
      </c>
    </row>
    <row r="501" spans="22:26" x14ac:dyDescent="0.2">
      <c r="V501" s="202" t="str">
        <f t="shared" si="16"/>
        <v>1D</v>
      </c>
      <c r="W501" s="200">
        <f>_xll.qlCalendarAdvance(Calendar,W500,V501,"f",FALSE)</f>
        <v>42576</v>
      </c>
      <c r="X501" s="203">
        <f>_xll.qlCalendarAdvance(Calendar,W501,NDays&amp;"D")</f>
        <v>42578</v>
      </c>
      <c r="Y501" s="204">
        <v>-3.461257090639239E-6</v>
      </c>
      <c r="Z501" s="201">
        <v>-3.6246953198926235E-5</v>
      </c>
    </row>
    <row r="502" spans="22:26" x14ac:dyDescent="0.2">
      <c r="V502" s="202" t="str">
        <f t="shared" si="16"/>
        <v>1D</v>
      </c>
      <c r="W502" s="200">
        <f>_xll.qlCalendarAdvance(Calendar,W501,V502,"f",FALSE)</f>
        <v>42577</v>
      </c>
      <c r="X502" s="203">
        <f>_xll.qlCalendarAdvance(Calendar,W502,NDays&amp;"D")</f>
        <v>42579</v>
      </c>
      <c r="Y502" s="204">
        <v>-2.4367043333084482E-6</v>
      </c>
      <c r="Z502" s="201">
        <v>-3.4252271419177305E-5</v>
      </c>
    </row>
    <row r="503" spans="22:26" x14ac:dyDescent="0.2">
      <c r="V503" s="202" t="str">
        <f t="shared" si="16"/>
        <v>1D</v>
      </c>
      <c r="W503" s="200">
        <f>_xll.qlCalendarAdvance(Calendar,W502,V503,"f",FALSE)</f>
        <v>42578</v>
      </c>
      <c r="X503" s="203">
        <f>_xll.qlCalendarAdvance(Calendar,W503,NDays&amp;"D")</f>
        <v>42580</v>
      </c>
      <c r="Y503" s="204">
        <v>7.0191241909676394E-7</v>
      </c>
      <c r="Z503" s="201">
        <v>-3.0245349211810435E-5</v>
      </c>
    </row>
    <row r="504" spans="22:26" x14ac:dyDescent="0.2">
      <c r="V504" s="202" t="str">
        <f t="shared" si="16"/>
        <v>1D</v>
      </c>
      <c r="W504" s="200">
        <f>_xll.qlCalendarAdvance(Calendar,W503,V504,"f",FALSE)</f>
        <v>42579</v>
      </c>
      <c r="X504" s="203">
        <f>_xll.qlCalendarAdvance(Calendar,W504,NDays&amp;"D")</f>
        <v>42583</v>
      </c>
      <c r="Y504" s="204">
        <v>4.8580609702772718E-6</v>
      </c>
      <c r="Z504" s="201">
        <v>-2.6220875790627929E-5</v>
      </c>
    </row>
    <row r="505" spans="22:26" x14ac:dyDescent="0.2">
      <c r="V505" s="202" t="str">
        <f t="shared" si="16"/>
        <v>1D</v>
      </c>
      <c r="W505" s="200">
        <f>_xll.qlCalendarAdvance(Calendar,W504,V505,"f",FALSE)</f>
        <v>42580</v>
      </c>
      <c r="X505" s="203">
        <f>_xll.qlCalendarAdvance(Calendar,W505,NDays&amp;"D")</f>
        <v>42584</v>
      </c>
      <c r="Y505" s="204">
        <v>6.9580810429532712E-6</v>
      </c>
      <c r="Z505" s="201">
        <v>-2.4199859836038229E-5</v>
      </c>
    </row>
    <row r="506" spans="22:26" x14ac:dyDescent="0.2">
      <c r="V506" s="202" t="str">
        <f t="shared" si="16"/>
        <v>1D</v>
      </c>
      <c r="W506" s="200">
        <f>_xll.qlCalendarAdvance(Calendar,W505,V506,"f",FALSE)</f>
        <v>42583</v>
      </c>
      <c r="X506" s="203">
        <f>_xll.qlCalendarAdvance(Calendar,W506,NDays&amp;"D")</f>
        <v>42585</v>
      </c>
      <c r="Y506" s="204">
        <v>1.1202013171608305E-5</v>
      </c>
      <c r="Z506" s="201">
        <v>-2.2173576854633836E-5</v>
      </c>
    </row>
    <row r="507" spans="22:26" x14ac:dyDescent="0.2">
      <c r="V507" s="202" t="str">
        <f t="shared" si="16"/>
        <v>1D</v>
      </c>
      <c r="W507" s="200">
        <f>_xll.qlCalendarAdvance(Calendar,W506,V507,"f",FALSE)</f>
        <v>42584</v>
      </c>
      <c r="X507" s="203">
        <f>_xll.qlCalendarAdvance(Calendar,W507,NDays&amp;"D")</f>
        <v>42586</v>
      </c>
      <c r="Y507" s="204">
        <v>1.2245001113075915E-5</v>
      </c>
      <c r="Z507" s="201">
        <v>-2.0142027126190953E-5</v>
      </c>
    </row>
    <row r="508" spans="22:26" x14ac:dyDescent="0.2">
      <c r="V508" s="202" t="str">
        <f t="shared" si="16"/>
        <v>1D</v>
      </c>
      <c r="W508" s="200">
        <f>_xll.qlCalendarAdvance(Calendar,W507,V508,"f",FALSE)</f>
        <v>42585</v>
      </c>
      <c r="X508" s="203">
        <f>_xll.qlCalendarAdvance(Calendar,W508,NDays&amp;"D")</f>
        <v>42587</v>
      </c>
      <c r="Y508" s="204">
        <v>1.3289744703424933E-5</v>
      </c>
      <c r="Z508" s="201">
        <v>-1.6061370593511981E-5</v>
      </c>
    </row>
    <row r="509" spans="22:26" x14ac:dyDescent="0.2">
      <c r="V509" s="202" t="str">
        <f t="shared" si="16"/>
        <v>1D</v>
      </c>
      <c r="W509" s="200">
        <f>_xll.qlCalendarAdvance(Calendar,W508,V509,"f",FALSE)</f>
        <v>42586</v>
      </c>
      <c r="X509" s="203">
        <f>_xll.qlCalendarAdvance(Calendar,W509,NDays&amp;"D")</f>
        <v>42590</v>
      </c>
      <c r="Y509" s="204">
        <v>1.966881358171232E-5</v>
      </c>
      <c r="Z509" s="201">
        <v>-1.1963159303185478E-5</v>
      </c>
    </row>
    <row r="510" spans="22:26" x14ac:dyDescent="0.2">
      <c r="V510" s="202" t="str">
        <f t="shared" si="16"/>
        <v>1D</v>
      </c>
      <c r="W510" s="200">
        <f>_xll.qlCalendarAdvance(Calendar,W509,V510,"f",FALSE)</f>
        <v>42587</v>
      </c>
      <c r="X510" s="203">
        <f>_xll.qlCalendarAdvance(Calendar,W510,NDays&amp;"D")</f>
        <v>42591</v>
      </c>
      <c r="Y510" s="204">
        <v>2.1805739562395386E-5</v>
      </c>
      <c r="Z510" s="201">
        <v>-9.9052752000616806E-6</v>
      </c>
    </row>
    <row r="511" spans="22:26" x14ac:dyDescent="0.2">
      <c r="V511" s="202" t="str">
        <f t="shared" si="16"/>
        <v>1D</v>
      </c>
      <c r="W511" s="200">
        <f>_xll.qlCalendarAdvance(Calendar,W510,V511,"f",FALSE)</f>
        <v>42590</v>
      </c>
      <c r="X511" s="203">
        <f>_xll.qlCalendarAdvance(Calendar,W511,NDays&amp;"D")</f>
        <v>42592</v>
      </c>
      <c r="Y511" s="204">
        <v>2.6125494780870898E-5</v>
      </c>
      <c r="Z511" s="201">
        <v>-7.8421242299953065E-6</v>
      </c>
    </row>
    <row r="512" spans="22:26" x14ac:dyDescent="0.2">
      <c r="V512" s="202" t="str">
        <f t="shared" si="16"/>
        <v>1D</v>
      </c>
      <c r="W512" s="200">
        <f>_xll.qlCalendarAdvance(Calendar,W511,V512,"f",FALSE)</f>
        <v>42591</v>
      </c>
      <c r="X512" s="203">
        <f>_xll.qlCalendarAdvance(Calendar,W512,NDays&amp;"D")</f>
        <v>42593</v>
      </c>
      <c r="Y512" s="204">
        <v>2.7186983466986892E-5</v>
      </c>
      <c r="Z512" s="201">
        <v>-5.7737063530183264E-6</v>
      </c>
    </row>
    <row r="513" spans="22:26" x14ac:dyDescent="0.2">
      <c r="V513" s="202" t="str">
        <f t="shared" si="16"/>
        <v>1D</v>
      </c>
      <c r="W513" s="200">
        <f>_xll.qlCalendarAdvance(Calendar,W512,V513,"f",FALSE)</f>
        <v>42592</v>
      </c>
      <c r="X513" s="203">
        <f>_xll.qlCalendarAdvance(Calendar,W513,NDays&amp;"D")</f>
        <v>42594</v>
      </c>
      <c r="Y513" s="204">
        <v>2.8250231978237969E-5</v>
      </c>
      <c r="Z513" s="201">
        <v>-1.619314482503853E-6</v>
      </c>
    </row>
    <row r="514" spans="22:26" x14ac:dyDescent="0.2">
      <c r="V514" s="202" t="str">
        <f t="shared" si="16"/>
        <v>1D</v>
      </c>
      <c r="W514" s="200">
        <f>_xll.qlCalendarAdvance(Calendar,W513,V514,"f",FALSE)</f>
        <v>42593</v>
      </c>
      <c r="X514" s="203">
        <f>_xll.qlCalendarAdvance(Calendar,W514,NDays&amp;"D")</f>
        <v>42597</v>
      </c>
      <c r="Y514" s="204">
        <v>3.4749729096808605E-5</v>
      </c>
      <c r="Z514" s="201">
        <v>2.5526337044112779E-6</v>
      </c>
    </row>
    <row r="515" spans="22:26" x14ac:dyDescent="0.2">
      <c r="V515" s="202" t="str">
        <f t="shared" si="16"/>
        <v>1D</v>
      </c>
      <c r="W515" s="200">
        <f>_xll.qlCalendarAdvance(Calendar,W514,V515,"f",FALSE)</f>
        <v>42594</v>
      </c>
      <c r="X515" s="203">
        <f>_xll.qlCalendarAdvance(Calendar,W515,NDays&amp;"D")</f>
        <v>42598</v>
      </c>
      <c r="Y515" s="204">
        <v>3.6929436512660306E-5</v>
      </c>
      <c r="Z515" s="201">
        <v>4.6473858361650855E-6</v>
      </c>
    </row>
    <row r="516" spans="22:26" x14ac:dyDescent="0.2">
      <c r="V516" s="202" t="str">
        <f t="shared" si="16"/>
        <v>1D</v>
      </c>
      <c r="W516" s="200">
        <f>_xll.qlCalendarAdvance(Calendar,W515,V516,"f",FALSE)</f>
        <v>42597</v>
      </c>
      <c r="X516" s="203">
        <f>_xll.qlCalendarAdvance(Calendar,W516,NDays&amp;"D")</f>
        <v>42599</v>
      </c>
      <c r="Y516" s="204">
        <v>4.1346832430571631E-5</v>
      </c>
      <c r="Z516" s="201">
        <v>6.747404874829499E-6</v>
      </c>
    </row>
    <row r="517" spans="22:26" x14ac:dyDescent="0.2">
      <c r="V517" s="202" t="str">
        <f t="shared" si="16"/>
        <v>1D</v>
      </c>
      <c r="W517" s="200">
        <f>_xll.qlCalendarAdvance(Calendar,W516,V517,"f",FALSE)</f>
        <v>42598</v>
      </c>
      <c r="X517" s="203">
        <f>_xll.qlCalendarAdvance(Calendar,W517,NDays&amp;"D")</f>
        <v>42600</v>
      </c>
      <c r="Y517" s="204">
        <v>4.2428063747323996E-5</v>
      </c>
      <c r="Z517" s="201">
        <v>8.8526906605324029E-6</v>
      </c>
    </row>
    <row r="518" spans="22:26" x14ac:dyDescent="0.2">
      <c r="V518" s="202" t="str">
        <f t="shared" si="16"/>
        <v>1D</v>
      </c>
      <c r="W518" s="200">
        <f>_xll.qlCalendarAdvance(Calendar,W517,V518,"f",FALSE)</f>
        <v>42599</v>
      </c>
      <c r="X518" s="203">
        <f>_xll.qlCalendarAdvance(Calendar,W518,NDays&amp;"D")</f>
        <v>42601</v>
      </c>
      <c r="Y518" s="204">
        <v>4.3511139225820499E-5</v>
      </c>
      <c r="Z518" s="201">
        <v>1.3080819281086065E-5</v>
      </c>
    </row>
    <row r="519" spans="22:26" x14ac:dyDescent="0.2">
      <c r="V519" s="202" t="str">
        <f t="shared" si="16"/>
        <v>1D</v>
      </c>
      <c r="W519" s="200">
        <f>_xll.qlCalendarAdvance(Calendar,W518,V519,"f",FALSE)</f>
        <v>42600</v>
      </c>
      <c r="X519" s="203">
        <f>_xll.qlCalendarAdvance(Calendar,W519,NDays&amp;"D")</f>
        <v>42604</v>
      </c>
      <c r="Y519" s="204">
        <v>5.016114565005492E-5</v>
      </c>
      <c r="Z519" s="201">
        <v>1.7326503032322194E-5</v>
      </c>
    </row>
    <row r="520" spans="22:26" x14ac:dyDescent="0.2">
      <c r="V520" s="202" t="str">
        <f t="shared" si="16"/>
        <v>1D</v>
      </c>
      <c r="W520" s="200">
        <f>_xll.qlCalendarAdvance(Calendar,W519,V520,"f",FALSE)</f>
        <v>42601</v>
      </c>
      <c r="X520" s="203">
        <f>_xll.qlCalendarAdvance(Calendar,W520,NDays&amp;"D")</f>
        <v>42605</v>
      </c>
      <c r="Y520" s="204">
        <v>5.2393978172800867E-5</v>
      </c>
      <c r="Z520" s="201">
        <v>1.9458123352578127E-5</v>
      </c>
    </row>
    <row r="521" spans="22:26" x14ac:dyDescent="0.2">
      <c r="V521" s="202" t="str">
        <f t="shared" si="16"/>
        <v>1D</v>
      </c>
      <c r="W521" s="200">
        <f>_xll.qlCalendarAdvance(Calendar,W520,V521,"f",FALSE)</f>
        <v>42604</v>
      </c>
      <c r="X521" s="203">
        <f>_xll.qlCalendarAdvance(Calendar,W521,NDays&amp;"D")</f>
        <v>42606</v>
      </c>
      <c r="Y521" s="204">
        <v>5.6933151427235827E-5</v>
      </c>
      <c r="Z521" s="201">
        <v>2.1595010419872551E-5</v>
      </c>
    </row>
    <row r="522" spans="22:26" x14ac:dyDescent="0.2">
      <c r="V522" s="202" t="str">
        <f t="shared" si="16"/>
        <v>1D</v>
      </c>
      <c r="W522" s="200">
        <f>_xll.qlCalendarAdvance(Calendar,W521,V522,"f",FALSE)</f>
        <v>42605</v>
      </c>
      <c r="X522" s="203">
        <f>_xll.qlCalendarAdvance(Calendar,W522,NDays&amp;"D")</f>
        <v>42607</v>
      </c>
      <c r="Y522" s="204">
        <v>5.8037464851501408E-5</v>
      </c>
      <c r="Z522" s="201">
        <v>2.3737164314141523E-5</v>
      </c>
    </row>
    <row r="523" spans="22:26" x14ac:dyDescent="0.2">
      <c r="V523" s="202" t="str">
        <f t="shared" si="16"/>
        <v>1D</v>
      </c>
      <c r="W523" s="200">
        <f>_xll.qlCalendarAdvance(Calendar,W522,V523,"f",FALSE)</f>
        <v>42606</v>
      </c>
      <c r="X523" s="203">
        <f>_xll.qlCalendarAdvance(Calendar,W523,NDays&amp;"D")</f>
        <v>42608</v>
      </c>
      <c r="Y523" s="204">
        <v>5.9143922260341426E-5</v>
      </c>
      <c r="Z523" s="201">
        <v>2.8039030697257772E-5</v>
      </c>
    </row>
    <row r="524" spans="22:26" x14ac:dyDescent="0.2">
      <c r="V524" s="202" t="str">
        <f t="shared" si="16"/>
        <v>1D</v>
      </c>
      <c r="W524" s="200">
        <f>_xll.qlCalendarAdvance(Calendar,W523,V524,"f",FALSE)</f>
        <v>42607</v>
      </c>
      <c r="X524" s="203">
        <f>_xll.qlCalendarAdvance(Calendar,W524,NDays&amp;"D")</f>
        <v>42611</v>
      </c>
      <c r="Y524" s="204">
        <v>6.5975469147238464E-5</v>
      </c>
      <c r="Z524" s="201">
        <v>3.2358448960323472E-5</v>
      </c>
    </row>
    <row r="525" spans="22:26" x14ac:dyDescent="0.2">
      <c r="V525" s="202" t="str">
        <f t="shared" si="16"/>
        <v>1D</v>
      </c>
      <c r="W525" s="200">
        <f>_xll.qlCalendarAdvance(Calendar,W524,V525,"f",FALSE)</f>
        <v>42608</v>
      </c>
      <c r="X525" s="203">
        <f>_xll.qlCalendarAdvance(Calendar,W525,NDays&amp;"D")</f>
        <v>42612</v>
      </c>
      <c r="Y525" s="204">
        <v>6.8271770520804547E-5</v>
      </c>
      <c r="Z525" s="201">
        <v>3.4526937309209416E-5</v>
      </c>
    </row>
    <row r="526" spans="22:26" x14ac:dyDescent="0.2">
      <c r="V526" s="202" t="str">
        <f t="shared" si="16"/>
        <v>1D</v>
      </c>
      <c r="W526" s="200">
        <f>_xll.qlCalendarAdvance(Calendar,W525,V526,"f",FALSE)</f>
        <v>42611</v>
      </c>
      <c r="X526" s="203">
        <f>_xll.qlCalendarAdvance(Calendar,W526,NDays&amp;"D")</f>
        <v>42613</v>
      </c>
      <c r="Y526" s="204">
        <v>6.9396591638515304E-5</v>
      </c>
      <c r="Z526" s="201">
        <v>3.670069240513385E-5</v>
      </c>
    </row>
    <row r="527" spans="22:26" x14ac:dyDescent="0.2">
      <c r="V527" s="202" t="str">
        <f t="shared" si="16"/>
        <v>1D</v>
      </c>
      <c r="W527" s="200">
        <f>_xll.qlCalendarAdvance(Calendar,W526,V527,"f",FALSE)</f>
        <v>42612</v>
      </c>
      <c r="X527" s="203">
        <f>_xll.qlCalendarAdvance(Calendar,W527,NDays&amp;"D")</f>
        <v>42614</v>
      </c>
      <c r="Y527" s="204">
        <v>7.4085330337980704E-5</v>
      </c>
      <c r="Z527" s="201">
        <v>3.8879714487904948E-5</v>
      </c>
    </row>
    <row r="528" spans="22:26" x14ac:dyDescent="0.2">
      <c r="V528" s="202" t="str">
        <f t="shared" si="16"/>
        <v>1D</v>
      </c>
      <c r="W528" s="200">
        <f>_xll.qlCalendarAdvance(Calendar,W527,V528,"f",FALSE)</f>
        <v>42613</v>
      </c>
      <c r="X528" s="203">
        <f>_xll.qlCalendarAdvance(Calendar,W528,NDays&amp;"D")</f>
        <v>42615</v>
      </c>
      <c r="Y528" s="204">
        <v>7.5220987240289018E-5</v>
      </c>
      <c r="Z528" s="201">
        <v>4.3255319965851413E-5</v>
      </c>
    </row>
    <row r="529" spans="22:26" x14ac:dyDescent="0.2">
      <c r="V529" s="202" t="str">
        <f t="shared" si="16"/>
        <v>1D</v>
      </c>
      <c r="W529" s="200">
        <f>_xll.qlCalendarAdvance(Calendar,W528,V529,"f",FALSE)</f>
        <v>42614</v>
      </c>
      <c r="X529" s="203">
        <f>_xll.qlCalendarAdvance(Calendar,W529,NDays&amp;"D")</f>
        <v>42618</v>
      </c>
      <c r="Y529" s="204">
        <v>8.105475257913497E-5</v>
      </c>
      <c r="Z529" s="201">
        <v>4.7648471328542996E-5</v>
      </c>
    </row>
    <row r="530" spans="22:26" x14ac:dyDescent="0.2">
      <c r="V530" s="202" t="str">
        <f t="shared" si="16"/>
        <v>1D</v>
      </c>
      <c r="W530" s="200">
        <f>_xll.qlCalendarAdvance(Calendar,W529,V530,"f",FALSE)</f>
        <v>42615</v>
      </c>
      <c r="X530" s="203">
        <f>_xll.qlCalendarAdvance(Calendar,W530,NDays&amp;"D")</f>
        <v>42619</v>
      </c>
      <c r="Y530" s="204">
        <v>8.3418982713467926E-5</v>
      </c>
      <c r="Z530" s="201">
        <v>4.9853827626122893E-5</v>
      </c>
    </row>
    <row r="531" spans="22:26" x14ac:dyDescent="0.2">
      <c r="V531" s="202" t="str">
        <f t="shared" si="16"/>
        <v>1D</v>
      </c>
      <c r="W531" s="200">
        <f>_xll.qlCalendarAdvance(Calendar,W530,V531,"f",FALSE)</f>
        <v>42618</v>
      </c>
      <c r="X531" s="203">
        <f>_xll.qlCalendarAdvance(Calendar,W531,NDays&amp;"D")</f>
        <v>42620</v>
      </c>
      <c r="Y531" s="204">
        <v>8.5794587815435364E-5</v>
      </c>
      <c r="Z531" s="201">
        <v>5.2064450990485511E-5</v>
      </c>
    </row>
    <row r="532" spans="22:26" x14ac:dyDescent="0.2">
      <c r="V532" s="202" t="str">
        <f t="shared" si="16"/>
        <v>1D</v>
      </c>
      <c r="W532" s="200">
        <f>_xll.qlCalendarAdvance(Calendar,W531,V532,"f",FALSE)</f>
        <v>42619</v>
      </c>
      <c r="X532" s="203">
        <f>_xll.qlCalendarAdvance(Calendar,W532,NDays&amp;"D")</f>
        <v>42621</v>
      </c>
      <c r="Y532" s="204">
        <v>9.0641804187385766E-5</v>
      </c>
      <c r="Z532" s="201">
        <v>5.4281431669522817E-5</v>
      </c>
    </row>
    <row r="533" spans="22:26" x14ac:dyDescent="0.2">
      <c r="V533" s="202" t="str">
        <f t="shared" ref="V533:V596" si="17">V532</f>
        <v>1D</v>
      </c>
      <c r="W533" s="200">
        <f>_xll.qlCalendarAdvance(Calendar,W532,V533,"f",FALSE)</f>
        <v>42620</v>
      </c>
      <c r="X533" s="203">
        <f>_xll.qlCalendarAdvance(Calendar,W533,NDays&amp;"D")</f>
        <v>42622</v>
      </c>
      <c r="Y533" s="204">
        <v>9.18147055829094E-5</v>
      </c>
      <c r="Z533" s="201">
        <v>5.8752590472721522E-5</v>
      </c>
    </row>
    <row r="534" spans="22:26" x14ac:dyDescent="0.2">
      <c r="V534" s="202" t="str">
        <f t="shared" si="17"/>
        <v>1D</v>
      </c>
      <c r="W534" s="200">
        <f>_xll.qlCalendarAdvance(Calendar,W533,V534,"f",FALSE)</f>
        <v>42621</v>
      </c>
      <c r="X534" s="203">
        <f>_xll.qlCalendarAdvance(Calendar,W534,NDays&amp;"D")</f>
        <v>42625</v>
      </c>
      <c r="Y534" s="204">
        <v>9.7848545836498602E-5</v>
      </c>
      <c r="Z534" s="201">
        <v>6.3263099079335916E-5</v>
      </c>
    </row>
    <row r="535" spans="22:26" x14ac:dyDescent="0.2">
      <c r="V535" s="202" t="str">
        <f t="shared" si="17"/>
        <v>1D</v>
      </c>
      <c r="W535" s="200">
        <f>_xll.qlCalendarAdvance(Calendar,W534,V535,"f",FALSE)</f>
        <v>42622</v>
      </c>
      <c r="X535" s="203">
        <f>_xll.qlCalendarAdvance(Calendar,W535,NDays&amp;"D")</f>
        <v>42626</v>
      </c>
      <c r="Y535" s="204">
        <v>1.002947639339169E-4</v>
      </c>
      <c r="Z535" s="201">
        <v>6.5538042672841357E-5</v>
      </c>
    </row>
    <row r="536" spans="22:26" x14ac:dyDescent="0.2">
      <c r="V536" s="202" t="str">
        <f t="shared" si="17"/>
        <v>1D</v>
      </c>
      <c r="W536" s="200">
        <f>_xll.qlCalendarAdvance(Calendar,W535,V536,"f",FALSE)</f>
        <v>42625</v>
      </c>
      <c r="X536" s="203">
        <f>_xll.qlCalendarAdvance(Calendar,W536,NDays&amp;"D")</f>
        <v>42627</v>
      </c>
      <c r="Y536" s="204">
        <v>1.0275279330596021E-4</v>
      </c>
      <c r="Z536" s="201">
        <v>6.7824796898818818E-5</v>
      </c>
    </row>
    <row r="537" spans="22:26" x14ac:dyDescent="0.2">
      <c r="V537" s="202" t="s">
        <v>185</v>
      </c>
      <c r="W537" s="200">
        <f>_xll.qlCalendarAdvance(Calendar,W536,V537,"f",FALSE)</f>
        <v>42632</v>
      </c>
      <c r="X537" s="203">
        <f>_xll.qlCalendarAdvance(Calendar,W537,NDays&amp;"D")</f>
        <v>42634</v>
      </c>
      <c r="Y537" s="204">
        <v>1.2028971513533548E-4</v>
      </c>
      <c r="Z537" s="201">
        <v>8.416277594847088E-5</v>
      </c>
    </row>
    <row r="538" spans="22:26" x14ac:dyDescent="0.2">
      <c r="V538" s="202" t="str">
        <f t="shared" si="17"/>
        <v>1w</v>
      </c>
      <c r="W538" s="200">
        <f>_xll.qlCalendarAdvance(Calendar,W537,V538,"f",FALSE)</f>
        <v>42639</v>
      </c>
      <c r="X538" s="203">
        <f>_xll.qlCalendarAdvance(Calendar,W538,NDays&amp;"D")</f>
        <v>42641</v>
      </c>
      <c r="Y538" s="204">
        <v>1.384053922004469E-4</v>
      </c>
      <c r="Z538" s="201">
        <v>1.0107947878701395E-4</v>
      </c>
    </row>
    <row r="539" spans="22:26" x14ac:dyDescent="0.2">
      <c r="V539" s="202" t="str">
        <f t="shared" si="17"/>
        <v>1w</v>
      </c>
      <c r="W539" s="200">
        <f>_xll.qlCalendarAdvance(Calendar,W538,V539,"f",FALSE)</f>
        <v>42646</v>
      </c>
      <c r="X539" s="203">
        <f>_xll.qlCalendarAdvance(Calendar,W539,NDays&amp;"D")</f>
        <v>42648</v>
      </c>
      <c r="Y539" s="204">
        <v>1.6127419396060429E-4</v>
      </c>
      <c r="Z539" s="201">
        <v>1.1857490573419227E-4</v>
      </c>
    </row>
    <row r="540" spans="22:26" x14ac:dyDescent="0.2">
      <c r="V540" s="202" t="str">
        <f t="shared" si="17"/>
        <v>1w</v>
      </c>
      <c r="W540" s="200">
        <f>_xll.qlCalendarAdvance(Calendar,W539,V540,"f",FALSE)</f>
        <v>42653</v>
      </c>
      <c r="X540" s="203">
        <f>_xll.qlCalendarAdvance(Calendar,W540,NDays&amp;"D")</f>
        <v>42655</v>
      </c>
      <c r="Y540" s="204">
        <v>1.806714377063721E-4</v>
      </c>
      <c r="Z540" s="201">
        <v>1.366490564702616E-4</v>
      </c>
    </row>
    <row r="541" spans="22:26" x14ac:dyDescent="0.2">
      <c r="V541" s="202" t="str">
        <f t="shared" si="17"/>
        <v>1w</v>
      </c>
      <c r="W541" s="200">
        <f>_xll.qlCalendarAdvance(Calendar,W540,V541,"f",FALSE)</f>
        <v>42660</v>
      </c>
      <c r="X541" s="203">
        <f>_xll.qlCalendarAdvance(Calendar,W541,NDays&amp;"D")</f>
        <v>42662</v>
      </c>
      <c r="Y541" s="204">
        <v>2.0064744951349539E-4</v>
      </c>
      <c r="Z541" s="201">
        <v>1.5530193147483828E-4</v>
      </c>
    </row>
    <row r="542" spans="22:26" x14ac:dyDescent="0.2">
      <c r="V542" s="202" t="str">
        <f t="shared" si="17"/>
        <v>1w</v>
      </c>
      <c r="W542" s="200">
        <f>_xll.qlCalendarAdvance(Calendar,W541,V542,"f",FALSE)</f>
        <v>42667</v>
      </c>
      <c r="X542" s="203">
        <f>_xll.qlCalendarAdvance(Calendar,W542,NDays&amp;"D")</f>
        <v>42669</v>
      </c>
      <c r="Y542" s="204">
        <v>2.2120223256003805E-4</v>
      </c>
      <c r="Z542" s="201">
        <v>1.7453353058805021E-4</v>
      </c>
    </row>
    <row r="543" spans="22:26" x14ac:dyDescent="0.2">
      <c r="V543" s="202" t="str">
        <f t="shared" si="17"/>
        <v>1w</v>
      </c>
      <c r="W543" s="200">
        <f>_xll.qlCalendarAdvance(Calendar,W542,V543,"f",FALSE)</f>
        <v>42674</v>
      </c>
      <c r="X543" s="203">
        <f>_xll.qlCalendarAdvance(Calendar,W543,NDays&amp;"D")</f>
        <v>42676</v>
      </c>
      <c r="Y543" s="204">
        <v>2.3766520069035124E-4</v>
      </c>
      <c r="Z543" s="201">
        <v>1.9434385412964161E-4</v>
      </c>
    </row>
    <row r="544" spans="22:26" x14ac:dyDescent="0.2">
      <c r="V544" s="202" t="str">
        <f t="shared" si="17"/>
        <v>1w</v>
      </c>
      <c r="W544" s="200">
        <f>_xll.qlCalendarAdvance(Calendar,W543,V544,"f",FALSE)</f>
        <v>42681</v>
      </c>
      <c r="X544" s="203">
        <f>_xll.qlCalendarAdvance(Calendar,W544,NDays&amp;"D")</f>
        <v>42683</v>
      </c>
      <c r="Y544" s="204">
        <v>2.5925346712618591E-4</v>
      </c>
      <c r="Z544" s="201">
        <v>2.1473290185980431E-4</v>
      </c>
    </row>
    <row r="545" spans="22:26" x14ac:dyDescent="0.2">
      <c r="V545" s="202" t="str">
        <f t="shared" si="17"/>
        <v>1w</v>
      </c>
      <c r="W545" s="200">
        <f>_xll.qlCalendarAdvance(Calendar,W544,V545,"f",FALSE)</f>
        <v>42688</v>
      </c>
      <c r="X545" s="203">
        <f>_xll.qlCalendarAdvance(Calendar,W545,NDays&amp;"D")</f>
        <v>42690</v>
      </c>
      <c r="Y545" s="204">
        <v>2.8142050890167525E-4</v>
      </c>
      <c r="Z545" s="201">
        <v>2.3570067417821861E-4</v>
      </c>
    </row>
    <row r="546" spans="22:26" x14ac:dyDescent="0.2">
      <c r="V546" s="202" t="str">
        <f t="shared" si="17"/>
        <v>1w</v>
      </c>
      <c r="W546" s="200">
        <f>_xll.qlCalendarAdvance(Calendar,W545,V546,"f",FALSE)</f>
        <v>42695</v>
      </c>
      <c r="X546" s="203">
        <f>_xll.qlCalendarAdvance(Calendar,W546,NDays&amp;"D")</f>
        <v>42697</v>
      </c>
      <c r="Y546" s="204">
        <v>3.0416632922225517E-4</v>
      </c>
      <c r="Z546" s="201">
        <v>2.5724717092501237E-4</v>
      </c>
    </row>
    <row r="547" spans="22:26" x14ac:dyDescent="0.2">
      <c r="V547" s="202" t="str">
        <f t="shared" si="17"/>
        <v>1w</v>
      </c>
      <c r="W547" s="200">
        <f>_xll.qlCalendarAdvance(Calendar,W546,V547,"f",FALSE)</f>
        <v>42702</v>
      </c>
      <c r="X547" s="203">
        <f>_xll.qlCalendarAdvance(Calendar,W547,NDays&amp;"D")</f>
        <v>42704</v>
      </c>
      <c r="Y547" s="204">
        <v>3.2749093138129126E-4</v>
      </c>
      <c r="Z547" s="201">
        <v>2.7937239257980195E-4</v>
      </c>
    </row>
    <row r="548" spans="22:26" x14ac:dyDescent="0.2">
      <c r="V548" s="202" t="str">
        <f t="shared" si="17"/>
        <v>1w</v>
      </c>
      <c r="W548" s="200">
        <f>_xll.qlCalendarAdvance(Calendar,W547,V548,"f",FALSE)</f>
        <v>42709</v>
      </c>
      <c r="X548" s="203">
        <f>_xll.qlCalendarAdvance(Calendar,W548,NDays&amp;"D")</f>
        <v>42711</v>
      </c>
      <c r="Y548" s="204">
        <v>3.5668531656021042E-4</v>
      </c>
      <c r="Z548" s="201">
        <v>3.0207633890277918E-4</v>
      </c>
    </row>
    <row r="549" spans="22:26" x14ac:dyDescent="0.2">
      <c r="V549" s="202" t="str">
        <f t="shared" si="17"/>
        <v>1w</v>
      </c>
      <c r="W549" s="200">
        <f>_xll.qlCalendarAdvance(Calendar,W548,V549,"f",FALSE)</f>
        <v>42716</v>
      </c>
      <c r="X549" s="203">
        <f>_xll.qlCalendarAdvance(Calendar,W549,NDays&amp;"D")</f>
        <v>42718</v>
      </c>
      <c r="Y549" s="204">
        <v>3.8129159505134231E-4</v>
      </c>
      <c r="Z549" s="201">
        <v>3.2535901005381618E-4</v>
      </c>
    </row>
    <row r="550" spans="22:26" x14ac:dyDescent="0.2">
      <c r="V550" s="202" t="str">
        <f t="shared" si="17"/>
        <v>1w</v>
      </c>
      <c r="W550" s="200">
        <f>_xll.qlCalendarAdvance(Calendar,W549,V550,"f",FALSE)</f>
        <v>42723</v>
      </c>
      <c r="X550" s="203">
        <f>_xll.qlCalendarAdvance(Calendar,W550,NDays&amp;"D")</f>
        <v>42725</v>
      </c>
      <c r="Y550" s="204">
        <v>4.0647667353707368E-4</v>
      </c>
      <c r="Z550" s="201">
        <v>3.4922040627272111E-4</v>
      </c>
    </row>
    <row r="551" spans="22:26" x14ac:dyDescent="0.2">
      <c r="V551" s="202" t="str">
        <f t="shared" si="17"/>
        <v>1w</v>
      </c>
      <c r="W551" s="200">
        <f>_xll.qlCalendarAdvance(Calendar,W550,V551,"f",FALSE)</f>
        <v>42731</v>
      </c>
      <c r="X551" s="203">
        <f>_xll.qlCalendarAdvance(Calendar,W551,NDays&amp;"D")</f>
        <v>42733</v>
      </c>
      <c r="Y551" s="204">
        <v>4.3407073136630947E-4</v>
      </c>
      <c r="Z551" s="201">
        <v>3.7719921650136712E-4</v>
      </c>
    </row>
    <row r="552" spans="22:26" x14ac:dyDescent="0.2">
      <c r="V552" s="202" t="str">
        <f t="shared" si="17"/>
        <v>1w</v>
      </c>
      <c r="W552" s="200">
        <f>_xll.qlCalendarAdvance(Calendar,W551,V552,"f",FALSE)</f>
        <v>42738</v>
      </c>
      <c r="X552" s="203">
        <f>_xll.qlCalendarAdvance(Calendar,W552,NDays&amp;"D")</f>
        <v>42740</v>
      </c>
      <c r="Y552" s="204">
        <v>4.604547326875208E-4</v>
      </c>
      <c r="Z552" s="201">
        <v>4.0230073808267264E-4</v>
      </c>
    </row>
    <row r="553" spans="22:26" x14ac:dyDescent="0.2">
      <c r="V553" s="202" t="str">
        <f t="shared" si="17"/>
        <v>1w</v>
      </c>
      <c r="W553" s="200">
        <f>_xll.qlCalendarAdvance(Calendar,W552,V553,"f",FALSE)</f>
        <v>42745</v>
      </c>
      <c r="X553" s="203">
        <f>_xll.qlCalendarAdvance(Calendar,W553,NDays&amp;"D")</f>
        <v>42747</v>
      </c>
      <c r="Y553" s="204">
        <v>4.8741754389125536E-4</v>
      </c>
      <c r="Z553" s="201">
        <v>4.2798098521146244E-4</v>
      </c>
    </row>
    <row r="554" spans="22:26" x14ac:dyDescent="0.2">
      <c r="V554" s="202" t="str">
        <f t="shared" si="17"/>
        <v>1w</v>
      </c>
      <c r="W554" s="200">
        <f>_xll.qlCalendarAdvance(Calendar,W553,V554,"f",FALSE)</f>
        <v>42752</v>
      </c>
      <c r="X554" s="203">
        <f>_xll.qlCalendarAdvance(Calendar,W554,NDays&amp;"D")</f>
        <v>42754</v>
      </c>
      <c r="Y554" s="204">
        <v>5.1495916912919215E-4</v>
      </c>
      <c r="Z554" s="201">
        <v>4.5423995772786441E-4</v>
      </c>
    </row>
    <row r="555" spans="22:26" x14ac:dyDescent="0.2">
      <c r="V555" s="202" t="str">
        <f t="shared" si="17"/>
        <v>1w</v>
      </c>
      <c r="W555" s="200">
        <f>_xll.qlCalendarAdvance(Calendar,W554,V555,"f",FALSE)</f>
        <v>42759</v>
      </c>
      <c r="X555" s="203">
        <f>_xll.qlCalendarAdvance(Calendar,W555,NDays&amp;"D")</f>
        <v>42761</v>
      </c>
      <c r="Y555" s="204">
        <v>5.4307961265542826E-4</v>
      </c>
      <c r="Z555" s="201">
        <v>4.8107765587168672E-4</v>
      </c>
    </row>
    <row r="556" spans="22:26" x14ac:dyDescent="0.2">
      <c r="V556" s="202" t="str">
        <f t="shared" si="17"/>
        <v>1w</v>
      </c>
      <c r="W556" s="200">
        <f>_xll.qlCalendarAdvance(Calendar,W555,V556,"f",FALSE)</f>
        <v>42766</v>
      </c>
      <c r="X556" s="203">
        <f>_xll.qlCalendarAdvance(Calendar,W556,NDays&amp;"D")</f>
        <v>42768</v>
      </c>
      <c r="Y556" s="204">
        <v>5.6340014863431875E-4</v>
      </c>
      <c r="Z556" s="201">
        <v>5.0849407988273754E-4</v>
      </c>
    </row>
    <row r="557" spans="22:26" x14ac:dyDescent="0.2">
      <c r="V557" s="202" t="str">
        <f t="shared" si="17"/>
        <v>1w</v>
      </c>
      <c r="W557" s="200">
        <f>_xll.qlCalendarAdvance(Calendar,W556,V557,"f",FALSE)</f>
        <v>42773</v>
      </c>
      <c r="X557" s="203">
        <f>_xll.qlCalendarAdvance(Calendar,W557,NDays&amp;"D")</f>
        <v>42775</v>
      </c>
      <c r="Y557" s="204">
        <v>5.9251267497823737E-4</v>
      </c>
      <c r="Z557" s="201">
        <v>5.3648922968108081E-4</v>
      </c>
    </row>
    <row r="558" spans="22:26" x14ac:dyDescent="0.2">
      <c r="V558" s="202" t="str">
        <f t="shared" si="17"/>
        <v>1w</v>
      </c>
      <c r="W558" s="200">
        <f>_xll.qlCalendarAdvance(Calendar,W557,V558,"f",FALSE)</f>
        <v>42780</v>
      </c>
      <c r="X558" s="203">
        <f>_xll.qlCalendarAdvance(Calendar,W558,NDays&amp;"D")</f>
        <v>42782</v>
      </c>
      <c r="Y558" s="204">
        <v>6.2220401817660227E-4</v>
      </c>
      <c r="Z558" s="201">
        <v>5.6506310558646078E-4</v>
      </c>
    </row>
    <row r="559" spans="22:26" x14ac:dyDescent="0.2">
      <c r="V559" s="202" t="str">
        <f t="shared" si="17"/>
        <v>1w</v>
      </c>
      <c r="W559" s="200">
        <f>_xll.qlCalendarAdvance(Calendar,W558,V559,"f",FALSE)</f>
        <v>42787</v>
      </c>
      <c r="X559" s="203">
        <f>_xll.qlCalendarAdvance(Calendar,W559,NDays&amp;"D")</f>
        <v>42789</v>
      </c>
      <c r="Y559" s="204">
        <v>6.5247418223478098E-4</v>
      </c>
      <c r="Z559" s="201">
        <v>5.9421570751894137E-4</v>
      </c>
    </row>
    <row r="560" spans="22:26" x14ac:dyDescent="0.2">
      <c r="V560" s="202" t="str">
        <f t="shared" si="17"/>
        <v>1w</v>
      </c>
      <c r="W560" s="200">
        <f>_xll.qlCalendarAdvance(Calendar,W559,V560,"f",FALSE)</f>
        <v>42794</v>
      </c>
      <c r="X560" s="203">
        <f>_xll.qlCalendarAdvance(Calendar,W560,NDays&amp;"D")</f>
        <v>42796</v>
      </c>
      <c r="Y560" s="204">
        <v>6.9236425965707449E-4</v>
      </c>
      <c r="Z560" s="201">
        <v>6.2394703587820288E-4</v>
      </c>
    </row>
    <row r="561" spans="22:26" x14ac:dyDescent="0.2">
      <c r="V561" s="202" t="str">
        <f t="shared" si="17"/>
        <v>1w</v>
      </c>
      <c r="W561" s="200">
        <f>_xll.qlCalendarAdvance(Calendar,W560,V561,"f",FALSE)</f>
        <v>42801</v>
      </c>
      <c r="X561" s="203">
        <f>_xll.qlCalendarAdvance(Calendar,W561,NDays&amp;"D")</f>
        <v>42803</v>
      </c>
      <c r="Y561" s="204">
        <v>7.2395770718519659E-4</v>
      </c>
      <c r="Z561" s="201">
        <v>6.5425709066424531E-4</v>
      </c>
    </row>
    <row r="562" spans="22:26" x14ac:dyDescent="0.2">
      <c r="V562" s="202" t="str">
        <f t="shared" si="17"/>
        <v>1w</v>
      </c>
      <c r="W562" s="200">
        <f>_xll.qlCalendarAdvance(Calendar,W561,V562,"f",FALSE)</f>
        <v>42808</v>
      </c>
      <c r="X562" s="203">
        <f>_xll.qlCalendarAdvance(Calendar,W562,NDays&amp;"D")</f>
        <v>42810</v>
      </c>
      <c r="Y562" s="204">
        <v>7.5848296496629859E-4</v>
      </c>
      <c r="Z562" s="201">
        <v>6.8514587203694077E-4</v>
      </c>
    </row>
    <row r="563" spans="22:26" x14ac:dyDescent="0.2">
      <c r="V563" s="202" t="str">
        <f t="shared" si="17"/>
        <v>1w</v>
      </c>
      <c r="W563" s="200">
        <f>_xll.qlCalendarAdvance(Calendar,W562,V563,"f",FALSE)</f>
        <v>42815</v>
      </c>
      <c r="X563" s="203">
        <f>_xll.qlCalendarAdvance(Calendar,W563,NDays&amp;"D")</f>
        <v>42817</v>
      </c>
      <c r="Y563" s="204">
        <v>7.8888115883746224E-4</v>
      </c>
      <c r="Z563" s="201">
        <v>7.1661338015616138E-4</v>
      </c>
    </row>
    <row r="564" spans="22:26" x14ac:dyDescent="0.2">
      <c r="V564" s="202" t="str">
        <f t="shared" si="17"/>
        <v>1w</v>
      </c>
      <c r="W564" s="200">
        <f>_xll.qlCalendarAdvance(Calendar,W563,V564,"f",FALSE)</f>
        <v>42822</v>
      </c>
      <c r="X564" s="203">
        <f>_xll.qlCalendarAdvance(Calendar,W564,NDays&amp;"D")</f>
        <v>42824</v>
      </c>
      <c r="Y564" s="204">
        <v>8.1492746627245718E-4</v>
      </c>
      <c r="Z564" s="201">
        <v>7.4865961518177926E-4</v>
      </c>
    </row>
    <row r="565" spans="22:26" x14ac:dyDescent="0.2">
      <c r="V565" s="202" t="str">
        <f t="shared" si="17"/>
        <v>1w</v>
      </c>
      <c r="W565" s="200">
        <f>_xll.qlCalendarAdvance(Calendar,W564,V565,"f",FALSE)</f>
        <v>42829</v>
      </c>
      <c r="X565" s="203">
        <f>_xll.qlCalendarAdvance(Calendar,W565,NDays&amp;"D")</f>
        <v>42831</v>
      </c>
      <c r="Y565" s="204">
        <v>8.5612005283508541E-4</v>
      </c>
      <c r="Z565" s="201">
        <v>7.8128457727366651E-4</v>
      </c>
    </row>
    <row r="566" spans="22:26" x14ac:dyDescent="0.2">
      <c r="V566" s="202" t="str">
        <f t="shared" si="17"/>
        <v>1w</v>
      </c>
      <c r="W566" s="200">
        <f>_xll.qlCalendarAdvance(Calendar,W565,V566,"f",FALSE)</f>
        <v>42836</v>
      </c>
      <c r="X566" s="203">
        <f>_xll.qlCalendarAdvance(Calendar,W566,NDays&amp;"D")</f>
        <v>42838</v>
      </c>
      <c r="Y566" s="204">
        <v>8.9060780363026115E-4</v>
      </c>
      <c r="Z566" s="201">
        <v>8.240969154122979E-4</v>
      </c>
    </row>
    <row r="567" spans="22:26" x14ac:dyDescent="0.2">
      <c r="V567" s="202" t="str">
        <f t="shared" si="17"/>
        <v>1w</v>
      </c>
      <c r="W567" s="200">
        <f>_xll.qlCalendarAdvance(Calendar,W566,V567,"f",FALSE)</f>
        <v>42843</v>
      </c>
      <c r="X567" s="203">
        <f>_xll.qlCalendarAdvance(Calendar,W567,NDays&amp;"D")</f>
        <v>42845</v>
      </c>
      <c r="Y567" s="204">
        <v>9.2567443068986011E-4</v>
      </c>
      <c r="Z567" s="201">
        <v>8.4827068313586551E-4</v>
      </c>
    </row>
    <row r="568" spans="22:26" x14ac:dyDescent="0.2">
      <c r="V568" s="202" t="str">
        <f t="shared" si="17"/>
        <v>1w</v>
      </c>
      <c r="W568" s="200">
        <f>_xll.qlCalendarAdvance(Calendar,W567,V568,"f",FALSE)</f>
        <v>42850</v>
      </c>
      <c r="X568" s="203">
        <f>_xll.qlCalendarAdvance(Calendar,W568,NDays&amp;"D")</f>
        <v>42852</v>
      </c>
      <c r="Y568" s="204">
        <v>9.6131993942455418E-4</v>
      </c>
      <c r="Z568" s="201">
        <v>8.826318273857936E-4</v>
      </c>
    </row>
    <row r="569" spans="22:26" x14ac:dyDescent="0.2">
      <c r="V569" s="202" t="str">
        <f t="shared" si="17"/>
        <v>1w</v>
      </c>
      <c r="W569" s="200">
        <f>_xll.qlCalendarAdvance(Calendar,W568,V569,"f",FALSE)</f>
        <v>42857</v>
      </c>
      <c r="X569" s="203">
        <f>_xll.qlCalendarAdvance(Calendar,W569,NDays&amp;"D")</f>
        <v>42859</v>
      </c>
      <c r="Y569" s="204">
        <v>9.9754433533993936E-4</v>
      </c>
      <c r="Z569" s="201">
        <v>9.1757169926154347E-4</v>
      </c>
    </row>
    <row r="570" spans="22:26" x14ac:dyDescent="0.2">
      <c r="V570" s="202" t="str">
        <f t="shared" si="17"/>
        <v>1w</v>
      </c>
      <c r="W570" s="200">
        <f>_xll.qlCalendarAdvance(Calendar,W569,V570,"f",FALSE)</f>
        <v>42864</v>
      </c>
      <c r="X570" s="203">
        <f>_xll.qlCalendarAdvance(Calendar,W570,NDays&amp;"D")</f>
        <v>42866</v>
      </c>
      <c r="Y570" s="204">
        <v>1.0343476240240457E-3</v>
      </c>
      <c r="Z570" s="201">
        <v>9.530902990029233E-4</v>
      </c>
    </row>
    <row r="571" spans="22:26" x14ac:dyDescent="0.2">
      <c r="V571" s="202" t="str">
        <f t="shared" si="17"/>
        <v>1w</v>
      </c>
      <c r="W571" s="200">
        <f>_xll.qlCalendarAdvance(Calendar,W570,V571,"f",FALSE)</f>
        <v>42871</v>
      </c>
      <c r="X571" s="203">
        <f>_xll.qlCalendarAdvance(Calendar,W571,NDays&amp;"D")</f>
        <v>42873</v>
      </c>
      <c r="Y571" s="204">
        <v>1.0717298111548312E-3</v>
      </c>
      <c r="Z571" s="201">
        <v>9.8918762684974126E-4</v>
      </c>
    </row>
    <row r="572" spans="22:26" x14ac:dyDescent="0.2">
      <c r="V572" s="202" t="str">
        <f t="shared" si="17"/>
        <v>1w</v>
      </c>
      <c r="W572" s="200">
        <f>_xll.qlCalendarAdvance(Calendar,W571,V572,"f",FALSE)</f>
        <v>42878</v>
      </c>
      <c r="X572" s="203">
        <f>_xll.qlCalendarAdvance(Calendar,W572,NDays&amp;"D")</f>
        <v>42880</v>
      </c>
      <c r="Y572" s="204">
        <v>1.1096909025026802E-3</v>
      </c>
      <c r="Z572" s="201">
        <v>1.0258636828019974E-3</v>
      </c>
    </row>
    <row r="573" spans="22:26" x14ac:dyDescent="0.2">
      <c r="V573" s="202" t="str">
        <f t="shared" si="17"/>
        <v>1w</v>
      </c>
      <c r="W573" s="200">
        <f>_xll.qlCalendarAdvance(Calendar,W572,V573,"f",FALSE)</f>
        <v>42885</v>
      </c>
      <c r="X573" s="203">
        <f>_xll.qlCalendarAdvance(Calendar,W573,NDays&amp;"D")</f>
        <v>42887</v>
      </c>
      <c r="Y573" s="204">
        <v>1.1482309039279048E-3</v>
      </c>
      <c r="Z573" s="201">
        <v>1.0631184671794358E-3</v>
      </c>
    </row>
    <row r="574" spans="22:26" x14ac:dyDescent="0.2">
      <c r="V574" s="202" t="str">
        <f t="shared" si="17"/>
        <v>1w</v>
      </c>
      <c r="W574" s="200">
        <f>_xll.qlCalendarAdvance(Calendar,W573,V574,"f",FALSE)</f>
        <v>42892</v>
      </c>
      <c r="X574" s="203">
        <f>_xll.qlCalendarAdvance(Calendar,W574,NDays&amp;"D")</f>
        <v>42894</v>
      </c>
      <c r="Y574" s="204">
        <v>1.1873498213807454E-3</v>
      </c>
      <c r="Z574" s="201">
        <v>1.1009519801419287E-3</v>
      </c>
    </row>
    <row r="575" spans="22:26" x14ac:dyDescent="0.2">
      <c r="V575" s="202" t="str">
        <f t="shared" si="17"/>
        <v>1w</v>
      </c>
      <c r="W575" s="200">
        <f>_xll.qlCalendarAdvance(Calendar,W574,V575,"f",FALSE)</f>
        <v>42899</v>
      </c>
      <c r="X575" s="203">
        <f>_xll.qlCalendarAdvance(Calendar,W575,NDays&amp;"D")</f>
        <v>42901</v>
      </c>
      <c r="Y575" s="204">
        <v>1.2270476608938763E-3</v>
      </c>
      <c r="Z575" s="201">
        <v>1.1393642218493483E-3</v>
      </c>
    </row>
    <row r="576" spans="22:26" x14ac:dyDescent="0.2">
      <c r="V576" s="202" t="str">
        <f t="shared" si="17"/>
        <v>1w</v>
      </c>
      <c r="W576" s="200">
        <f>_xll.qlCalendarAdvance(Calendar,W575,V576,"f",FALSE)</f>
        <v>42906</v>
      </c>
      <c r="X576" s="203">
        <f>_xll.qlCalendarAdvance(Calendar,W576,NDays&amp;"D")</f>
        <v>42908</v>
      </c>
      <c r="Y576" s="204">
        <v>1.2673244285973939E-3</v>
      </c>
      <c r="Z576" s="201">
        <v>1.1783551924615665E-3</v>
      </c>
    </row>
    <row r="577" spans="22:26" x14ac:dyDescent="0.2">
      <c r="V577" s="202" t="str">
        <f t="shared" si="17"/>
        <v>1w</v>
      </c>
      <c r="W577" s="200">
        <f>_xll.qlCalendarAdvance(Calendar,W576,V577,"f",FALSE)</f>
        <v>42913</v>
      </c>
      <c r="X577" s="203">
        <f>_xll.qlCalendarAdvance(Calendar,W577,NDays&amp;"D")</f>
        <v>42915</v>
      </c>
      <c r="Y577" s="204">
        <v>1.3081801307038288E-3</v>
      </c>
      <c r="Z577" s="201">
        <v>1.2179248922183916E-3</v>
      </c>
    </row>
    <row r="578" spans="22:26" x14ac:dyDescent="0.2">
      <c r="V578" s="202" t="str">
        <f t="shared" si="17"/>
        <v>1w</v>
      </c>
      <c r="W578" s="200">
        <f>_xll.qlCalendarAdvance(Calendar,W577,V578,"f",FALSE)</f>
        <v>42920</v>
      </c>
      <c r="X578" s="203">
        <f>_xll.qlCalendarAdvance(Calendar,W578,NDays&amp;"D")</f>
        <v>42922</v>
      </c>
      <c r="Y578" s="204">
        <v>1.3496147735256314E-3</v>
      </c>
      <c r="Z578" s="201">
        <v>1.2580733213596318E-3</v>
      </c>
    </row>
    <row r="579" spans="22:26" x14ac:dyDescent="0.2">
      <c r="V579" s="202" t="str">
        <f t="shared" si="17"/>
        <v>1w</v>
      </c>
      <c r="W579" s="200">
        <f>_xll.qlCalendarAdvance(Calendar,W578,V579,"f",FALSE)</f>
        <v>42927</v>
      </c>
      <c r="X579" s="203">
        <f>_xll.qlCalendarAdvance(Calendar,W579,NDays&amp;"D")</f>
        <v>42929</v>
      </c>
      <c r="Y579" s="204">
        <v>1.3916283634526905E-3</v>
      </c>
      <c r="Z579" s="201">
        <v>1.298800479885287E-3</v>
      </c>
    </row>
    <row r="580" spans="22:26" x14ac:dyDescent="0.2">
      <c r="V580" s="202" t="str">
        <f t="shared" si="17"/>
        <v>1w</v>
      </c>
      <c r="W580" s="200">
        <f>_xll.qlCalendarAdvance(Calendar,W579,V580,"f",FALSE)</f>
        <v>42934</v>
      </c>
      <c r="X580" s="203">
        <f>_xll.qlCalendarAdvance(Calendar,W580,NDays&amp;"D")</f>
        <v>42936</v>
      </c>
      <c r="Y580" s="204">
        <v>1.4342209069698186E-3</v>
      </c>
      <c r="Z580" s="201">
        <v>1.3401063681950376E-3</v>
      </c>
    </row>
    <row r="581" spans="22:26" x14ac:dyDescent="0.2">
      <c r="V581" s="202" t="str">
        <f t="shared" si="17"/>
        <v>1w</v>
      </c>
      <c r="W581" s="200">
        <f>_xll.qlCalendarAdvance(Calendar,W580,V581,"f",FALSE)</f>
        <v>42941</v>
      </c>
      <c r="X581" s="203">
        <f>_xll.qlCalendarAdvance(Calendar,W581,NDays&amp;"D")</f>
        <v>42943</v>
      </c>
      <c r="Y581" s="204">
        <v>1.4773924106542546E-3</v>
      </c>
      <c r="Z581" s="201">
        <v>1.3819909864487556E-3</v>
      </c>
    </row>
    <row r="582" spans="22:26" x14ac:dyDescent="0.2">
      <c r="V582" s="202" t="str">
        <f t="shared" si="17"/>
        <v>1w</v>
      </c>
      <c r="W582" s="200">
        <f>_xll.qlCalendarAdvance(Calendar,W581,V582,"f",FALSE)</f>
        <v>42948</v>
      </c>
      <c r="X582" s="203">
        <f>_xll.qlCalendarAdvance(Calendar,W582,NDays&amp;"D")</f>
        <v>42950</v>
      </c>
      <c r="Y582" s="204">
        <v>1.5211428811631733E-3</v>
      </c>
      <c r="Z582" s="201">
        <v>1.4244543347263772E-3</v>
      </c>
    </row>
    <row r="583" spans="22:26" x14ac:dyDescent="0.2">
      <c r="V583" s="202" t="str">
        <f t="shared" si="17"/>
        <v>1w</v>
      </c>
      <c r="W583" s="200">
        <f>_xll.qlCalendarAdvance(Calendar,W582,V583,"f",FALSE)</f>
        <v>42955</v>
      </c>
      <c r="X583" s="203">
        <f>_xll.qlCalendarAdvance(Calendar,W583,NDays&amp;"D")</f>
        <v>42957</v>
      </c>
      <c r="Y583" s="204">
        <v>1.5654706290105236E-3</v>
      </c>
      <c r="Z583" s="201">
        <v>1.4674964133476465E-3</v>
      </c>
    </row>
    <row r="584" spans="22:26" x14ac:dyDescent="0.2">
      <c r="V584" s="202" t="str">
        <f t="shared" si="17"/>
        <v>1w</v>
      </c>
      <c r="W584" s="200">
        <f>_xll.qlCalendarAdvance(Calendar,W583,V584,"f",FALSE)</f>
        <v>42962</v>
      </c>
      <c r="X584" s="203">
        <f>_xll.qlCalendarAdvance(Calendar,W584,NDays&amp;"D")</f>
        <v>42964</v>
      </c>
      <c r="Y584" s="204">
        <v>1.6103179256468647E-3</v>
      </c>
      <c r="Z584" s="201">
        <v>1.5111172224724356E-3</v>
      </c>
    </row>
    <row r="585" spans="22:26" x14ac:dyDescent="0.2">
      <c r="V585" s="202" t="str">
        <f t="shared" si="17"/>
        <v>1w</v>
      </c>
      <c r="W585" s="200">
        <f>_xll.qlCalendarAdvance(Calendar,W584,V585,"f",FALSE)</f>
        <v>42969</v>
      </c>
      <c r="X585" s="203">
        <f>_xll.qlCalendarAdvance(Calendar,W585,NDays&amp;"D")</f>
        <v>42971</v>
      </c>
      <c r="Y585" s="204">
        <v>1.6555595054892902E-3</v>
      </c>
      <c r="Z585" s="201">
        <v>1.5553167623405528E-3</v>
      </c>
    </row>
    <row r="586" spans="22:26" x14ac:dyDescent="0.2">
      <c r="V586" s="202" t="str">
        <f t="shared" si="17"/>
        <v>1w</v>
      </c>
      <c r="W586" s="200">
        <f>_xll.qlCalendarAdvance(Calendar,W585,V586,"f",FALSE)</f>
        <v>42976</v>
      </c>
      <c r="X586" s="203">
        <f>_xll.qlCalendarAdvance(Calendar,W586,NDays&amp;"D")</f>
        <v>42978</v>
      </c>
      <c r="Y586" s="204">
        <v>1.6912704586496388E-3</v>
      </c>
      <c r="Z586" s="201">
        <v>1.6000950331918062E-3</v>
      </c>
    </row>
    <row r="587" spans="22:26" x14ac:dyDescent="0.2">
      <c r="V587" s="202" t="str">
        <f t="shared" si="17"/>
        <v>1w</v>
      </c>
      <c r="W587" s="200">
        <f>_xll.qlCalendarAdvance(Calendar,W586,V587,"f",FALSE)</f>
        <v>42983</v>
      </c>
      <c r="X587" s="203">
        <f>_xll.qlCalendarAdvance(Calendar,W587,NDays&amp;"D")</f>
        <v>42985</v>
      </c>
      <c r="Y587" s="204">
        <v>1.7467083594163713E-3</v>
      </c>
      <c r="Z587" s="201">
        <v>1.6454520351061319E-3</v>
      </c>
    </row>
    <row r="588" spans="22:26" x14ac:dyDescent="0.2">
      <c r="V588" s="202" t="str">
        <f t="shared" si="17"/>
        <v>1w</v>
      </c>
      <c r="W588" s="200">
        <f>_xll.qlCalendarAdvance(Calendar,W587,V588,"f",FALSE)</f>
        <v>42990</v>
      </c>
      <c r="X588" s="203">
        <f>_xll.qlCalendarAdvance(Calendar,W588,NDays&amp;"D")</f>
        <v>42992</v>
      </c>
      <c r="Y588" s="204">
        <v>1.7923706208608503E-3</v>
      </c>
      <c r="Z588" s="201">
        <v>1.6911324865276356E-3</v>
      </c>
    </row>
    <row r="589" spans="22:26" x14ac:dyDescent="0.2">
      <c r="V589" s="202" t="str">
        <f t="shared" si="17"/>
        <v>1w</v>
      </c>
      <c r="W589" s="200">
        <f>_xll.qlCalendarAdvance(Calendar,W588,V589,"f",FALSE)</f>
        <v>42997</v>
      </c>
      <c r="X589" s="203">
        <f>_xll.qlCalendarAdvance(Calendar,W589,NDays&amp;"D")</f>
        <v>42999</v>
      </c>
      <c r="Y589" s="204">
        <v>1.8380208866583536E-3</v>
      </c>
      <c r="Z589" s="201">
        <v>1.7368027121289487E-3</v>
      </c>
    </row>
    <row r="590" spans="22:26" x14ac:dyDescent="0.2">
      <c r="V590" s="202" t="str">
        <f t="shared" si="17"/>
        <v>1w</v>
      </c>
      <c r="W590" s="200">
        <f>_xll.qlCalendarAdvance(Calendar,W589,V590,"f",FALSE)</f>
        <v>43004</v>
      </c>
      <c r="X590" s="203">
        <f>_xll.qlCalendarAdvance(Calendar,W590,NDays&amp;"D")</f>
        <v>43006</v>
      </c>
      <c r="Y590" s="204">
        <v>1.8836590938367537E-3</v>
      </c>
      <c r="Z590" s="201">
        <v>1.7824607015182181E-3</v>
      </c>
    </row>
    <row r="591" spans="22:26" x14ac:dyDescent="0.2">
      <c r="V591" s="202" t="str">
        <f t="shared" si="17"/>
        <v>1w</v>
      </c>
      <c r="W591" s="200">
        <f>_xll.qlCalendarAdvance(Calendar,W590,V591,"f",FALSE)</f>
        <v>43011</v>
      </c>
      <c r="X591" s="203">
        <f>_xll.qlCalendarAdvance(Calendar,W591,NDays&amp;"D")</f>
        <v>43013</v>
      </c>
      <c r="Y591" s="204">
        <v>1.9292852422486684E-3</v>
      </c>
      <c r="Z591" s="201">
        <v>1.8281064550151882E-3</v>
      </c>
    </row>
    <row r="592" spans="22:26" x14ac:dyDescent="0.2">
      <c r="V592" s="202" t="str">
        <f t="shared" si="17"/>
        <v>1w</v>
      </c>
      <c r="W592" s="200">
        <f>_xll.qlCalendarAdvance(Calendar,W591,V592,"f",FALSE)</f>
        <v>43018</v>
      </c>
      <c r="X592" s="203">
        <f>_xll.qlCalendarAdvance(Calendar,W592,NDays&amp;"D")</f>
        <v>43020</v>
      </c>
      <c r="Y592" s="204">
        <v>1.9748993317442176E-3</v>
      </c>
      <c r="Z592" s="201">
        <v>1.8737399723001147E-3</v>
      </c>
    </row>
    <row r="593" spans="22:26" x14ac:dyDescent="0.2">
      <c r="V593" s="202" t="str">
        <f t="shared" si="17"/>
        <v>1w</v>
      </c>
      <c r="W593" s="200">
        <f>_xll.qlCalendarAdvance(Calendar,W592,V593,"f",FALSE)</f>
        <v>43025</v>
      </c>
      <c r="X593" s="203">
        <f>_xll.qlCalendarAdvance(Calendar,W593,NDays&amp;"D")</f>
        <v>43027</v>
      </c>
      <c r="Y593" s="204">
        <v>2.0205013621785173E-3</v>
      </c>
      <c r="Z593" s="201">
        <v>1.9193612536927418E-3</v>
      </c>
    </row>
    <row r="594" spans="22:26" x14ac:dyDescent="0.2">
      <c r="V594" s="202" t="str">
        <f t="shared" si="17"/>
        <v>1w</v>
      </c>
      <c r="W594" s="200">
        <f>_xll.qlCalendarAdvance(Calendar,W593,V594,"f",FALSE)</f>
        <v>43032</v>
      </c>
      <c r="X594" s="203">
        <f>_xll.qlCalendarAdvance(Calendar,W594,NDays&amp;"D")</f>
        <v>43034</v>
      </c>
      <c r="Y594" s="204">
        <v>2.0660913333991893E-3</v>
      </c>
      <c r="Z594" s="201">
        <v>1.9649702988733253E-3</v>
      </c>
    </row>
    <row r="595" spans="22:26" x14ac:dyDescent="0.2">
      <c r="V595" s="202" t="str">
        <f t="shared" si="17"/>
        <v>1w</v>
      </c>
      <c r="W595" s="200">
        <f>_xll.qlCalendarAdvance(Calendar,W594,V595,"f",FALSE)</f>
        <v>43039</v>
      </c>
      <c r="X595" s="203">
        <f>_xll.qlCalendarAdvance(Calendar,W595,NDays&amp;"D")</f>
        <v>43041</v>
      </c>
      <c r="Y595" s="204">
        <v>2.1116692452588515E-3</v>
      </c>
      <c r="Z595" s="201">
        <v>2.0105671080017373E-3</v>
      </c>
    </row>
    <row r="596" spans="22:26" x14ac:dyDescent="0.2">
      <c r="V596" s="202" t="str">
        <f t="shared" si="17"/>
        <v>1w</v>
      </c>
      <c r="W596" s="200">
        <f>_xll.qlCalendarAdvance(Calendar,W595,V596,"f",FALSE)</f>
        <v>43046</v>
      </c>
      <c r="X596" s="203">
        <f>_xll.qlCalendarAdvance(Calendar,W596,NDays&amp;"D")</f>
        <v>43048</v>
      </c>
      <c r="Y596" s="204">
        <v>2.1572350976126198E-3</v>
      </c>
      <c r="Z596" s="201">
        <v>2.0561516811579139E-3</v>
      </c>
    </row>
    <row r="597" spans="22:26" x14ac:dyDescent="0.2">
      <c r="V597" s="202" t="str">
        <f t="shared" ref="V597:V660" si="18">V596</f>
        <v>1w</v>
      </c>
      <c r="W597" s="200">
        <f>_xll.qlCalendarAdvance(Calendar,W596,V597,"f",FALSE)</f>
        <v>43053</v>
      </c>
      <c r="X597" s="203">
        <f>_xll.qlCalendarAdvance(Calendar,W597,NDays&amp;"D")</f>
        <v>43055</v>
      </c>
      <c r="Y597" s="204">
        <v>2.2027888903106141E-3</v>
      </c>
      <c r="Z597" s="201">
        <v>2.101724018181983E-3</v>
      </c>
    </row>
    <row r="598" spans="22:26" x14ac:dyDescent="0.2">
      <c r="V598" s="202" t="str">
        <f t="shared" si="18"/>
        <v>1w</v>
      </c>
      <c r="W598" s="200">
        <f>_xll.qlCalendarAdvance(Calendar,W597,V598,"f",FALSE)</f>
        <v>43060</v>
      </c>
      <c r="X598" s="203">
        <f>_xll.qlCalendarAdvance(Calendar,W598,NDays&amp;"D")</f>
        <v>43062</v>
      </c>
      <c r="Y598" s="204">
        <v>2.254848348317573E-3</v>
      </c>
      <c r="Z598" s="201">
        <v>2.1472841190739445E-3</v>
      </c>
    </row>
    <row r="599" spans="22:26" x14ac:dyDescent="0.2">
      <c r="V599" s="202" t="str">
        <f t="shared" si="18"/>
        <v>1w</v>
      </c>
      <c r="W599" s="200">
        <f>_xll.qlCalendarAdvance(Calendar,W598,V599,"f",FALSE)</f>
        <v>43067</v>
      </c>
      <c r="X599" s="203">
        <f>_xll.qlCalendarAdvance(Calendar,W599,NDays&amp;"D")</f>
        <v>43069</v>
      </c>
      <c r="Y599" s="204">
        <v>2.2840851217818671E-3</v>
      </c>
      <c r="Z599" s="201">
        <v>2.1928319839137345E-3</v>
      </c>
    </row>
    <row r="600" spans="22:26" x14ac:dyDescent="0.2">
      <c r="V600" s="202" t="str">
        <f t="shared" si="18"/>
        <v>1w</v>
      </c>
      <c r="W600" s="200">
        <f>_xll.qlCalendarAdvance(Calendar,W599,V600,"f",FALSE)</f>
        <v>43074</v>
      </c>
      <c r="X600" s="203">
        <f>_xll.qlCalendarAdvance(Calendar,W600,NDays&amp;"D")</f>
        <v>43076</v>
      </c>
      <c r="Y600" s="204">
        <v>2.33937790898614E-3</v>
      </c>
      <c r="Z600" s="201">
        <v>2.238367612701353E-3</v>
      </c>
    </row>
    <row r="601" spans="22:26" x14ac:dyDescent="0.2">
      <c r="V601" s="202" t="str">
        <f t="shared" si="18"/>
        <v>1w</v>
      </c>
      <c r="W601" s="200">
        <f>_xll.qlCalendarAdvance(Calendar,W600,V601,"f",FALSE)</f>
        <v>43081</v>
      </c>
      <c r="X601" s="203">
        <f>_xll.qlCalendarAdvance(Calendar,W601,NDays&amp;"D")</f>
        <v>43083</v>
      </c>
      <c r="Y601" s="204">
        <v>2.3848834615822212E-3</v>
      </c>
      <c r="Z601" s="201">
        <v>2.283891005356864E-3</v>
      </c>
    </row>
    <row r="602" spans="22:26" x14ac:dyDescent="0.2">
      <c r="V602" s="202" t="str">
        <f t="shared" si="18"/>
        <v>1w</v>
      </c>
      <c r="W602" s="200">
        <f>_xll.qlCalendarAdvance(Calendar,W601,V602,"f",FALSE)</f>
        <v>43088</v>
      </c>
      <c r="X602" s="203">
        <f>_xll.qlCalendarAdvance(Calendar,W602,NDays&amp;"D")</f>
        <v>43090</v>
      </c>
      <c r="Y602" s="204">
        <v>2.4303769537806219E-3</v>
      </c>
      <c r="Z602" s="201">
        <v>2.3294021618802674E-3</v>
      </c>
    </row>
    <row r="603" spans="22:26" x14ac:dyDescent="0.2">
      <c r="V603" s="202" t="str">
        <f t="shared" si="18"/>
        <v>1w</v>
      </c>
      <c r="W603" s="200">
        <f>_xll.qlCalendarAdvance(Calendar,W602,V603,"f",FALSE)</f>
        <v>43096</v>
      </c>
      <c r="X603" s="203">
        <f>_xll.qlCalendarAdvance(Calendar,W603,NDays&amp;"D")</f>
        <v>43098</v>
      </c>
      <c r="Y603" s="204">
        <v>2.4856107408588457E-3</v>
      </c>
      <c r="Z603" s="201">
        <v>2.3911713986457528E-3</v>
      </c>
    </row>
    <row r="604" spans="22:26" x14ac:dyDescent="0.2">
      <c r="V604" s="202" t="str">
        <f t="shared" si="18"/>
        <v>1w</v>
      </c>
      <c r="W604" s="200">
        <f>_xll.qlCalendarAdvance(Calendar,W603,V604,"f",FALSE)</f>
        <v>43103</v>
      </c>
      <c r="X604" s="203">
        <f>_xll.qlCalendarAdvance(Calendar,W604,NDays&amp;"D")</f>
        <v>43105</v>
      </c>
      <c r="Y604" s="204">
        <v>2.5245669116839261E-3</v>
      </c>
      <c r="Z604" s="201">
        <v>2.4333980796775734E-3</v>
      </c>
    </row>
    <row r="605" spans="22:26" x14ac:dyDescent="0.2">
      <c r="V605" s="202" t="str">
        <f t="shared" si="18"/>
        <v>1w</v>
      </c>
      <c r="W605" s="200">
        <f>_xll.qlCalendarAdvance(Calendar,W604,V605,"f",FALSE)</f>
        <v>43110</v>
      </c>
      <c r="X605" s="203">
        <f>_xll.qlCalendarAdvance(Calendar,W605,NDays&amp;"D")</f>
        <v>43112</v>
      </c>
      <c r="Y605" s="204">
        <v>2.5700230387166877E-3</v>
      </c>
      <c r="Z605" s="201">
        <v>2.478869652344784E-3</v>
      </c>
    </row>
    <row r="606" spans="22:26" x14ac:dyDescent="0.2">
      <c r="V606" s="202" t="str">
        <f t="shared" si="18"/>
        <v>1w</v>
      </c>
      <c r="W606" s="200">
        <f>_xll.qlCalendarAdvance(Calendar,W605,V606,"f",FALSE)</f>
        <v>43117</v>
      </c>
      <c r="X606" s="203">
        <f>_xll.qlCalendarAdvance(Calendar,W606,NDays&amp;"D")</f>
        <v>43119</v>
      </c>
      <c r="Y606" s="204">
        <v>2.6154670990998345E-3</v>
      </c>
      <c r="Z606" s="201">
        <v>2.5243290001508711E-3</v>
      </c>
    </row>
    <row r="607" spans="22:26" x14ac:dyDescent="0.2">
      <c r="V607" s="202" t="str">
        <f t="shared" si="18"/>
        <v>1w</v>
      </c>
      <c r="W607" s="200">
        <f>_xll.qlCalendarAdvance(Calendar,W606,V607,"f",FALSE)</f>
        <v>43124</v>
      </c>
      <c r="X607" s="203">
        <f>_xll.qlCalendarAdvance(Calendar,W607,NDays&amp;"D")</f>
        <v>43126</v>
      </c>
      <c r="Y607" s="204">
        <v>2.6608990926915441E-3</v>
      </c>
      <c r="Z607" s="201">
        <v>2.569776123175771E-3</v>
      </c>
    </row>
    <row r="608" spans="22:26" x14ac:dyDescent="0.2">
      <c r="V608" s="202" t="str">
        <f t="shared" si="18"/>
        <v>1w</v>
      </c>
      <c r="W608" s="200">
        <f>_xll.qlCalendarAdvance(Calendar,W607,V608,"f",FALSE)</f>
        <v>43131</v>
      </c>
      <c r="X608" s="203">
        <f>_xll.qlCalendarAdvance(Calendar,W608,NDays&amp;"D")</f>
        <v>43133</v>
      </c>
      <c r="Y608" s="204">
        <v>2.6965587409799596E-3</v>
      </c>
      <c r="Z608" s="201">
        <v>2.6152110213395474E-3</v>
      </c>
    </row>
    <row r="609" spans="22:26" x14ac:dyDescent="0.2">
      <c r="V609" s="202" t="str">
        <f t="shared" si="18"/>
        <v>1w</v>
      </c>
      <c r="W609" s="200">
        <f>_xll.qlCalendarAdvance(Calendar,W608,V609,"f",FALSE)</f>
        <v>43138</v>
      </c>
      <c r="X609" s="203">
        <f>_xll.qlCalendarAdvance(Calendar,W609,NDays&amp;"D")</f>
        <v>43140</v>
      </c>
      <c r="Y609" s="204">
        <v>2.7419681574812416E-3</v>
      </c>
      <c r="Z609" s="201">
        <v>2.6606336946688458E-3</v>
      </c>
    </row>
    <row r="610" spans="22:26" x14ac:dyDescent="0.2">
      <c r="V610" s="202" t="str">
        <f t="shared" si="18"/>
        <v>1w</v>
      </c>
      <c r="W610" s="200">
        <f>_xll.qlCalendarAdvance(Calendar,W609,V610,"f",FALSE)</f>
        <v>43145</v>
      </c>
      <c r="X610" s="203">
        <f>_xll.qlCalendarAdvance(Calendar,W610,NDays&amp;"D")</f>
        <v>43147</v>
      </c>
      <c r="Y610" s="204">
        <v>2.7873654898916528E-3</v>
      </c>
      <c r="Z610" s="201">
        <v>2.7060441431370208E-3</v>
      </c>
    </row>
    <row r="611" spans="22:26" x14ac:dyDescent="0.2">
      <c r="V611" s="202" t="str">
        <f t="shared" si="18"/>
        <v>1w</v>
      </c>
      <c r="W611" s="200">
        <f>_xll.qlCalendarAdvance(Calendar,W610,V611,"f",FALSE)</f>
        <v>43152</v>
      </c>
      <c r="X611" s="203">
        <f>_xll.qlCalendarAdvance(Calendar,W611,NDays&amp;"D")</f>
        <v>43154</v>
      </c>
      <c r="Y611" s="204">
        <v>2.8327507380855798E-3</v>
      </c>
      <c r="Z611" s="201">
        <v>2.751442366717427E-3</v>
      </c>
    </row>
    <row r="612" spans="22:26" x14ac:dyDescent="0.2">
      <c r="V612" s="202" t="str">
        <f t="shared" si="18"/>
        <v>1w</v>
      </c>
      <c r="W612" s="200">
        <f>_xll.qlCalendarAdvance(Calendar,W611,V612,"f",FALSE)</f>
        <v>43159</v>
      </c>
      <c r="X612" s="203">
        <f>_xll.qlCalendarAdvance(Calendar,W612,NDays&amp;"D")</f>
        <v>43161</v>
      </c>
      <c r="Y612" s="204">
        <v>2.8911293769129376E-3</v>
      </c>
      <c r="Z612" s="201">
        <v>2.7968283654367099E-3</v>
      </c>
    </row>
    <row r="613" spans="22:26" x14ac:dyDescent="0.2">
      <c r="V613" s="202" t="str">
        <f t="shared" si="18"/>
        <v>1w</v>
      </c>
      <c r="W613" s="200">
        <f>_xll.qlCalendarAdvance(Calendar,W612,V613,"f",FALSE)</f>
        <v>43166</v>
      </c>
      <c r="X613" s="203">
        <f>_xll.qlCalendarAdvance(Calendar,W613,NDays&amp;"D")</f>
        <v>43168</v>
      </c>
      <c r="Y613" s="204">
        <v>2.9332376436460692E-3</v>
      </c>
      <c r="Z613" s="201">
        <v>2.8422021392415786E-3</v>
      </c>
    </row>
    <row r="614" spans="22:26" x14ac:dyDescent="0.2">
      <c r="V614" s="202" t="str">
        <f t="shared" si="18"/>
        <v>1w</v>
      </c>
      <c r="W614" s="200">
        <f>_xll.qlCalendarAdvance(Calendar,W613,V614,"f",FALSE)</f>
        <v>43173</v>
      </c>
      <c r="X614" s="203">
        <f>_xll.qlCalendarAdvance(Calendar,W614,NDays&amp;"D")</f>
        <v>43175</v>
      </c>
      <c r="Y614" s="204">
        <v>2.9785851657034954E-3</v>
      </c>
      <c r="Z614" s="201">
        <v>2.8875636881053879E-3</v>
      </c>
    </row>
    <row r="615" spans="22:26" x14ac:dyDescent="0.2">
      <c r="V615" s="202" t="str">
        <f t="shared" si="18"/>
        <v>1w</v>
      </c>
      <c r="W615" s="200">
        <f>_xll.qlCalendarAdvance(Calendar,W614,V615,"f",FALSE)</f>
        <v>43180</v>
      </c>
      <c r="X615" s="203">
        <f>_xll.qlCalendarAdvance(Calendar,W615,NDays&amp;"D")</f>
        <v>43182</v>
      </c>
      <c r="Y615" s="204">
        <v>3.0239206198271725E-3</v>
      </c>
      <c r="Z615" s="201">
        <v>2.9329130120547831E-3</v>
      </c>
    </row>
    <row r="616" spans="22:26" x14ac:dyDescent="0.2">
      <c r="V616" s="202" t="str">
        <f t="shared" si="18"/>
        <v>1w</v>
      </c>
      <c r="W616" s="200">
        <f>_xll.qlCalendarAdvance(Calendar,W615,V616,"f",FALSE)</f>
        <v>43187</v>
      </c>
      <c r="X616" s="203">
        <f>_xll.qlCalendarAdvance(Calendar,W616,NDays&amp;"D")</f>
        <v>43193</v>
      </c>
      <c r="Y616" s="204">
        <v>3.091888532128273E-3</v>
      </c>
      <c r="Z616" s="201">
        <v>2.9976516763241534E-3</v>
      </c>
    </row>
    <row r="617" spans="22:26" x14ac:dyDescent="0.2">
      <c r="V617" s="202" t="str">
        <f t="shared" si="18"/>
        <v>1w</v>
      </c>
      <c r="W617" s="200">
        <f>_xll.qlCalendarAdvance(Calendar,W616,V617,"f",FALSE)</f>
        <v>43194</v>
      </c>
      <c r="X617" s="203">
        <f>_xll.qlCalendarAdvance(Calendar,W617,NDays&amp;"D")</f>
        <v>43196</v>
      </c>
      <c r="Y617" s="204">
        <v>3.1145553237111484E-3</v>
      </c>
      <c r="Z617" s="201">
        <v>3.0235749851037497E-3</v>
      </c>
    </row>
    <row r="618" spans="22:26" x14ac:dyDescent="0.2">
      <c r="V618" s="202" t="str">
        <f t="shared" si="18"/>
        <v>1w</v>
      </c>
      <c r="W618" s="200">
        <f>_xll.qlCalendarAdvance(Calendar,W617,V618,"f",FALSE)</f>
        <v>43201</v>
      </c>
      <c r="X618" s="203">
        <f>_xll.qlCalendarAdvance(Calendar,W618,NDays&amp;"D")</f>
        <v>43203</v>
      </c>
      <c r="Y618" s="204">
        <v>3.1598545731800673E-3</v>
      </c>
      <c r="Z618" s="201">
        <v>3.0688876341500304E-3</v>
      </c>
    </row>
    <row r="619" spans="22:26" x14ac:dyDescent="0.2">
      <c r="V619" s="202" t="str">
        <f t="shared" si="18"/>
        <v>1w</v>
      </c>
      <c r="W619" s="200">
        <f>_xll.qlCalendarAdvance(Calendar,W618,V619,"f",FALSE)</f>
        <v>43208</v>
      </c>
      <c r="X619" s="203">
        <f>_xll.qlCalendarAdvance(Calendar,W619,NDays&amp;"D")</f>
        <v>43210</v>
      </c>
      <c r="Y619" s="204">
        <v>3.2051417541453706E-3</v>
      </c>
      <c r="Z619" s="201">
        <v>3.1141880582286063E-3</v>
      </c>
    </row>
    <row r="620" spans="22:26" x14ac:dyDescent="0.2">
      <c r="V620" s="202" t="str">
        <f t="shared" si="18"/>
        <v>1w</v>
      </c>
      <c r="W620" s="200">
        <f>_xll.qlCalendarAdvance(Calendar,W619,V620,"f",FALSE)</f>
        <v>43215</v>
      </c>
      <c r="X620" s="203">
        <f>_xll.qlCalendarAdvance(Calendar,W620,NDays&amp;"D")</f>
        <v>43217</v>
      </c>
      <c r="Y620" s="204">
        <v>3.2504168664652363E-3</v>
      </c>
      <c r="Z620" s="201">
        <v>3.1594762573128321E-3</v>
      </c>
    </row>
    <row r="621" spans="22:26" x14ac:dyDescent="0.2">
      <c r="V621" s="202" t="str">
        <f t="shared" si="18"/>
        <v>1w</v>
      </c>
      <c r="W621" s="200">
        <f>_xll.qlCalendarAdvance(Calendar,W620,V621,"f",FALSE)</f>
        <v>43222</v>
      </c>
      <c r="X621" s="203">
        <f>_xll.qlCalendarAdvance(Calendar,W621,NDays&amp;"D")</f>
        <v>43224</v>
      </c>
      <c r="Y621" s="204">
        <v>3.2956799099952633E-3</v>
      </c>
      <c r="Z621" s="201">
        <v>3.2047522313760624E-3</v>
      </c>
    </row>
    <row r="622" spans="22:26" x14ac:dyDescent="0.2">
      <c r="V622" s="202" t="str">
        <f t="shared" si="18"/>
        <v>1w</v>
      </c>
      <c r="W622" s="200">
        <f>_xll.qlCalendarAdvance(Calendar,W621,V622,"f",FALSE)</f>
        <v>43229</v>
      </c>
      <c r="X622" s="203">
        <f>_xll.qlCalendarAdvance(Calendar,W622,NDays&amp;"D")</f>
        <v>43231</v>
      </c>
      <c r="Y622" s="204">
        <v>3.3409308845962081E-3</v>
      </c>
      <c r="Z622" s="201">
        <v>3.2500159804182971E-3</v>
      </c>
    </row>
    <row r="623" spans="22:26" x14ac:dyDescent="0.2">
      <c r="V623" s="202" t="str">
        <f t="shared" si="18"/>
        <v>1w</v>
      </c>
      <c r="W623" s="200">
        <f>_xll.qlCalendarAdvance(Calendar,W622,V623,"f",FALSE)</f>
        <v>43236</v>
      </c>
      <c r="X623" s="203">
        <f>_xll.qlCalendarAdvance(Calendar,W623,NDays&amp;"D")</f>
        <v>43238</v>
      </c>
      <c r="Y623" s="204">
        <v>3.3861697901236706E-3</v>
      </c>
      <c r="Z623" s="201">
        <v>3.295267504412891E-3</v>
      </c>
    </row>
    <row r="624" spans="22:26" x14ac:dyDescent="0.2">
      <c r="V624" s="202" t="str">
        <f t="shared" si="18"/>
        <v>1w</v>
      </c>
      <c r="W624" s="200">
        <f>_xll.qlCalendarAdvance(Calendar,W623,V624,"f",FALSE)</f>
        <v>43243</v>
      </c>
      <c r="X624" s="203">
        <f>_xll.qlCalendarAdvance(Calendar,W624,NDays&amp;"D")</f>
        <v>43245</v>
      </c>
      <c r="Y624" s="204">
        <v>3.4313966264332501E-3</v>
      </c>
      <c r="Z624" s="201">
        <v>3.340506803359844E-3</v>
      </c>
    </row>
    <row r="625" spans="22:26" x14ac:dyDescent="0.2">
      <c r="V625" s="202" t="str">
        <f t="shared" si="18"/>
        <v>1w</v>
      </c>
      <c r="W625" s="200">
        <f>_xll.qlCalendarAdvance(Calendar,W624,V625,"f",FALSE)</f>
        <v>43250</v>
      </c>
      <c r="X625" s="203">
        <f>_xll.qlCalendarAdvance(Calendar,W625,NDays&amp;"D")</f>
        <v>43252</v>
      </c>
      <c r="Y625" s="204">
        <v>3.4766113933857026E-3</v>
      </c>
      <c r="Z625" s="201">
        <v>3.3857338772058654E-3</v>
      </c>
    </row>
    <row r="626" spans="22:26" x14ac:dyDescent="0.2">
      <c r="V626" s="202" t="str">
        <f t="shared" si="18"/>
        <v>1w</v>
      </c>
      <c r="W626" s="200">
        <f>_xll.qlCalendarAdvance(Calendar,W625,V626,"f",FALSE)</f>
        <v>43257</v>
      </c>
      <c r="X626" s="203">
        <f>_xll.qlCalendarAdvance(Calendar,W626,NDays&amp;"D")</f>
        <v>43259</v>
      </c>
      <c r="Y626" s="204">
        <v>3.521814090836628E-3</v>
      </c>
      <c r="Z626" s="201">
        <v>3.4309487260042459E-3</v>
      </c>
    </row>
    <row r="627" spans="22:26" x14ac:dyDescent="0.2">
      <c r="V627" s="202" t="str">
        <f t="shared" si="18"/>
        <v>1w</v>
      </c>
      <c r="W627" s="200">
        <f>_xll.qlCalendarAdvance(Calendar,W626,V627,"f",FALSE)</f>
        <v>43264</v>
      </c>
      <c r="X627" s="203">
        <f>_xll.qlCalendarAdvance(Calendar,W627,NDays&amp;"D")</f>
        <v>43266</v>
      </c>
      <c r="Y627" s="204">
        <v>3.567004718644204E-3</v>
      </c>
      <c r="Z627" s="201">
        <v>3.4761513496750496E-3</v>
      </c>
    </row>
    <row r="628" spans="22:26" x14ac:dyDescent="0.2">
      <c r="V628" s="202" t="str">
        <f t="shared" si="18"/>
        <v>1w</v>
      </c>
      <c r="W628" s="200">
        <f>_xll.qlCalendarAdvance(Calendar,W627,V628,"f",FALSE)</f>
        <v>43271</v>
      </c>
      <c r="X628" s="203">
        <f>_xll.qlCalendarAdvance(Calendar,W628,NDays&amp;"D")</f>
        <v>43273</v>
      </c>
      <c r="Y628" s="204">
        <v>3.6121832766691877E-3</v>
      </c>
      <c r="Z628" s="201">
        <v>3.5213417482449216E-3</v>
      </c>
    </row>
    <row r="629" spans="22:26" x14ac:dyDescent="0.2">
      <c r="V629" s="202" t="str">
        <f t="shared" si="18"/>
        <v>1w</v>
      </c>
      <c r="W629" s="200">
        <f>_xll.qlCalendarAdvance(Calendar,W628,V629,"f",FALSE)</f>
        <v>43278</v>
      </c>
      <c r="X629" s="203">
        <f>_xll.qlCalendarAdvance(Calendar,W629,NDays&amp;"D")</f>
        <v>43280</v>
      </c>
      <c r="Y629" s="204">
        <v>3.6605934335592893E-3</v>
      </c>
      <c r="Z629" s="201">
        <v>3.5665199216872168E-3</v>
      </c>
    </row>
    <row r="630" spans="22:26" x14ac:dyDescent="0.2">
      <c r="V630" s="202" t="str">
        <f t="shared" si="18"/>
        <v>1w</v>
      </c>
      <c r="W630" s="200">
        <f>_xll.qlCalendarAdvance(Calendar,W629,V630,"f",FALSE)</f>
        <v>43285</v>
      </c>
      <c r="X630" s="203">
        <f>_xll.qlCalendarAdvance(Calendar,W630,NDays&amp;"D")</f>
        <v>43287</v>
      </c>
      <c r="Y630" s="204">
        <v>3.7025041827911951E-3</v>
      </c>
      <c r="Z630" s="201">
        <v>3.611685870001935E-3</v>
      </c>
    </row>
    <row r="631" spans="22:26" x14ac:dyDescent="0.2">
      <c r="V631" s="202" t="str">
        <f t="shared" si="18"/>
        <v>1w</v>
      </c>
      <c r="W631" s="200">
        <f>_xll.qlCalendarAdvance(Calendar,W630,V631,"f",FALSE)</f>
        <v>43292</v>
      </c>
      <c r="X631" s="203">
        <f>_xll.qlCalendarAdvance(Calendar,W631,NDays&amp;"D")</f>
        <v>43294</v>
      </c>
      <c r="Y631" s="204">
        <v>3.7476465306071536E-3</v>
      </c>
      <c r="Z631" s="201">
        <v>3.6568395931357855E-3</v>
      </c>
    </row>
    <row r="632" spans="22:26" x14ac:dyDescent="0.2">
      <c r="V632" s="202" t="str">
        <f t="shared" si="18"/>
        <v>1w</v>
      </c>
      <c r="W632" s="200">
        <f>_xll.qlCalendarAdvance(Calendar,W631,V632,"f",FALSE)</f>
        <v>43299</v>
      </c>
      <c r="X632" s="203">
        <f>_xll.qlCalendarAdvance(Calendar,W632,NDays&amp;"D")</f>
        <v>43301</v>
      </c>
      <c r="Y632" s="204">
        <v>3.7927768080680741E-3</v>
      </c>
      <c r="Z632" s="201">
        <v>3.7019810911420592E-3</v>
      </c>
    </row>
    <row r="633" spans="22:26" x14ac:dyDescent="0.2">
      <c r="V633" s="202" t="str">
        <f t="shared" si="18"/>
        <v>1w</v>
      </c>
      <c r="W633" s="200">
        <f>_xll.qlCalendarAdvance(Calendar,W632,V633,"f",FALSE)</f>
        <v>43306</v>
      </c>
      <c r="X633" s="203">
        <f>_xll.qlCalendarAdvance(Calendar,W633,NDays&amp;"D")</f>
        <v>43308</v>
      </c>
      <c r="Y633" s="204">
        <v>3.8378950150347135E-3</v>
      </c>
      <c r="Z633" s="201">
        <v>3.7471103639408199E-3</v>
      </c>
    </row>
    <row r="634" spans="22:26" x14ac:dyDescent="0.2">
      <c r="V634" s="202" t="str">
        <f t="shared" si="18"/>
        <v>1w</v>
      </c>
      <c r="W634" s="200">
        <f>_xll.qlCalendarAdvance(Calendar,W633,V634,"f",FALSE)</f>
        <v>43313</v>
      </c>
      <c r="X634" s="203">
        <f>_xll.qlCalendarAdvance(Calendar,W634,NDays&amp;"D")</f>
        <v>43315</v>
      </c>
      <c r="Y634" s="204">
        <v>3.8830011513626703E-3</v>
      </c>
      <c r="Z634" s="201">
        <v>3.7922274115320675E-3</v>
      </c>
    </row>
    <row r="635" spans="22:26" x14ac:dyDescent="0.2">
      <c r="V635" s="202" t="str">
        <f t="shared" si="18"/>
        <v>1w</v>
      </c>
      <c r="W635" s="200">
        <f>_xll.qlCalendarAdvance(Calendar,W634,V635,"f",FALSE)</f>
        <v>43320</v>
      </c>
      <c r="X635" s="203">
        <f>_xll.qlCalendarAdvance(Calendar,W635,NDays&amp;"D")</f>
        <v>43322</v>
      </c>
      <c r="Y635" s="204">
        <v>3.928095216910123E-3</v>
      </c>
      <c r="Z635" s="201">
        <v>3.837332233969093E-3</v>
      </c>
    </row>
    <row r="636" spans="22:26" x14ac:dyDescent="0.2">
      <c r="V636" s="202" t="str">
        <f t="shared" si="18"/>
        <v>1w</v>
      </c>
      <c r="W636" s="200">
        <f>_xll.qlCalendarAdvance(Calendar,W635,V636,"f",FALSE)</f>
        <v>43327</v>
      </c>
      <c r="X636" s="203">
        <f>_xll.qlCalendarAdvance(Calendar,W636,NDays&amp;"D")</f>
        <v>43329</v>
      </c>
      <c r="Y636" s="204">
        <v>3.9731963294218787E-3</v>
      </c>
      <c r="Z636" s="201">
        <v>3.8824248311186693E-3</v>
      </c>
    </row>
    <row r="637" spans="22:26" x14ac:dyDescent="0.2">
      <c r="V637" s="202" t="str">
        <f t="shared" si="18"/>
        <v>1w</v>
      </c>
      <c r="W637" s="200">
        <f>_xll.qlCalendarAdvance(Calendar,W636,V637,"f",FALSE)</f>
        <v>43334</v>
      </c>
      <c r="X637" s="203">
        <f>_xll.qlCalendarAdvance(Calendar,W637,NDays&amp;"D")</f>
        <v>43336</v>
      </c>
      <c r="Y637" s="204">
        <v>4.0184000787771741E-3</v>
      </c>
      <c r="Z637" s="201">
        <v>3.9275052030607327E-3</v>
      </c>
    </row>
    <row r="638" spans="22:26" x14ac:dyDescent="0.2">
      <c r="V638" s="202" t="str">
        <f t="shared" si="18"/>
        <v>1w</v>
      </c>
      <c r="W638" s="200">
        <f>_xll.qlCalendarAdvance(Calendar,W637,V638,"f",FALSE)</f>
        <v>43341</v>
      </c>
      <c r="X638" s="203">
        <f>_xll.qlCalendarAdvance(Calendar,W638,NDays&amp;"D")</f>
        <v>43343</v>
      </c>
      <c r="Y638" s="204">
        <v>4.0539440123632531E-3</v>
      </c>
      <c r="Z638" s="201">
        <v>3.9725733497686377E-3</v>
      </c>
    </row>
    <row r="639" spans="22:26" x14ac:dyDescent="0.2">
      <c r="V639" s="202" t="str">
        <f t="shared" si="18"/>
        <v>1w</v>
      </c>
      <c r="W639" s="200">
        <f>_xll.qlCalendarAdvance(Calendar,W638,V639,"f",FALSE)</f>
        <v>43348</v>
      </c>
      <c r="X639" s="203">
        <f>_xll.qlCalendarAdvance(Calendar,W639,NDays&amp;"D")</f>
        <v>43350</v>
      </c>
      <c r="Y639" s="204">
        <v>4.1095743274313021E-3</v>
      </c>
      <c r="Z639" s="201">
        <v>4.0176292711890937E-3</v>
      </c>
    </row>
    <row r="640" spans="22:26" x14ac:dyDescent="0.2">
      <c r="V640" s="202" t="str">
        <f t="shared" si="18"/>
        <v>1w</v>
      </c>
      <c r="W640" s="200">
        <f>_xll.qlCalendarAdvance(Calendar,W639,V640,"f",FALSE)</f>
        <v>43355</v>
      </c>
      <c r="X640" s="203">
        <f>_xll.qlCalendarAdvance(Calendar,W640,NDays&amp;"D")</f>
        <v>43357</v>
      </c>
      <c r="Y640" s="204">
        <v>4.1557706837329119E-3</v>
      </c>
      <c r="Z640" s="201">
        <v>4.0628336083958771E-3</v>
      </c>
    </row>
    <row r="641" spans="22:26" x14ac:dyDescent="0.2">
      <c r="V641" s="202" t="str">
        <f t="shared" si="18"/>
        <v>1w</v>
      </c>
      <c r="W641" s="200">
        <f>_xll.qlCalendarAdvance(Calendar,W640,V641,"f",FALSE)</f>
        <v>43362</v>
      </c>
      <c r="X641" s="203">
        <f>_xll.qlCalendarAdvance(Calendar,W641,NDays&amp;"D")</f>
        <v>43364</v>
      </c>
      <c r="Y641" s="204">
        <v>4.2024614721349451E-3</v>
      </c>
      <c r="Z641" s="201">
        <v>4.1085180076727568E-3</v>
      </c>
    </row>
    <row r="642" spans="22:26" x14ac:dyDescent="0.2">
      <c r="V642" s="202" t="str">
        <f t="shared" si="18"/>
        <v>1w</v>
      </c>
      <c r="W642" s="200">
        <f>_xll.qlCalendarAdvance(Calendar,W641,V642,"f",FALSE)</f>
        <v>43369</v>
      </c>
      <c r="X642" s="203">
        <f>_xll.qlCalendarAdvance(Calendar,W642,NDays&amp;"D")</f>
        <v>43371</v>
      </c>
      <c r="Y642" s="204">
        <v>4.2565339315200649E-3</v>
      </c>
      <c r="Z642" s="201">
        <v>4.15469801549051E-3</v>
      </c>
    </row>
    <row r="643" spans="22:26" x14ac:dyDescent="0.2">
      <c r="V643" s="202" t="str">
        <f t="shared" si="18"/>
        <v>1w</v>
      </c>
      <c r="W643" s="200">
        <f>_xll.qlCalendarAdvance(Calendar,W642,V643,"f",FALSE)</f>
        <v>43376</v>
      </c>
      <c r="X643" s="203">
        <f>_xll.qlCalendarAdvance(Calendar,W643,NDays&amp;"D")</f>
        <v>43378</v>
      </c>
      <c r="Y643" s="204">
        <v>4.297330883983856E-3</v>
      </c>
      <c r="Z643" s="201">
        <v>4.2013736324353346E-3</v>
      </c>
    </row>
    <row r="644" spans="22:26" x14ac:dyDescent="0.2">
      <c r="V644" s="202" t="str">
        <f t="shared" si="18"/>
        <v>1w</v>
      </c>
      <c r="W644" s="200">
        <f>_xll.qlCalendarAdvance(Calendar,W643,V644,"f",FALSE)</f>
        <v>43383</v>
      </c>
      <c r="X644" s="203">
        <f>_xll.qlCalendarAdvance(Calendar,W644,NDays&amp;"D")</f>
        <v>43385</v>
      </c>
      <c r="Y644" s="204">
        <v>4.3455095195810145E-3</v>
      </c>
      <c r="Z644" s="201">
        <v>4.2485448591200736E-3</v>
      </c>
    </row>
    <row r="645" spans="22:26" x14ac:dyDescent="0.2">
      <c r="V645" s="202" t="str">
        <f t="shared" si="18"/>
        <v>1w</v>
      </c>
      <c r="W645" s="200">
        <f>_xll.qlCalendarAdvance(Calendar,W644,V645,"f",FALSE)</f>
        <v>43390</v>
      </c>
      <c r="X645" s="203">
        <f>_xll.qlCalendarAdvance(Calendar,W645,NDays&amp;"D")</f>
        <v>43392</v>
      </c>
      <c r="Y645" s="204">
        <v>4.3941841164940598E-3</v>
      </c>
      <c r="Z645" s="201">
        <v>4.2962116960509888E-3</v>
      </c>
    </row>
    <row r="646" spans="22:26" x14ac:dyDescent="0.2">
      <c r="V646" s="202" t="str">
        <f t="shared" si="18"/>
        <v>1w</v>
      </c>
      <c r="W646" s="200">
        <f>_xll.qlCalendarAdvance(Calendar,W645,V646,"f",FALSE)</f>
        <v>43397</v>
      </c>
      <c r="X646" s="203">
        <f>_xll.qlCalendarAdvance(Calendar,W646,NDays&amp;"D")</f>
        <v>43399</v>
      </c>
      <c r="Y646" s="204">
        <v>4.4433546809605831E-3</v>
      </c>
      <c r="Z646" s="201">
        <v>4.3443741438942141E-3</v>
      </c>
    </row>
    <row r="647" spans="22:26" x14ac:dyDescent="0.2">
      <c r="V647" s="202" t="str">
        <f t="shared" si="18"/>
        <v>1w</v>
      </c>
      <c r="W647" s="200">
        <f>_xll.qlCalendarAdvance(Calendar,W646,V647,"f",FALSE)</f>
        <v>43404</v>
      </c>
      <c r="X647" s="203">
        <f>_xll.qlCalendarAdvance(Calendar,W647,NDays&amp;"D")</f>
        <v>43406</v>
      </c>
      <c r="Y647" s="204">
        <v>4.493021219269748E-3</v>
      </c>
      <c r="Z647" s="201">
        <v>4.3930322031826563E-3</v>
      </c>
    </row>
    <row r="648" spans="22:26" x14ac:dyDescent="0.2">
      <c r="V648" s="202" t="str">
        <f t="shared" si="18"/>
        <v>1w</v>
      </c>
      <c r="W648" s="200">
        <f>_xll.qlCalendarAdvance(Calendar,W647,V648,"f",FALSE)</f>
        <v>43411</v>
      </c>
      <c r="X648" s="203">
        <f>_xll.qlCalendarAdvance(Calendar,W648,NDays&amp;"D")</f>
        <v>43413</v>
      </c>
      <c r="Y648" s="204">
        <v>4.5431837377854951E-3</v>
      </c>
      <c r="Z648" s="201">
        <v>4.442185874555804E-3</v>
      </c>
    </row>
    <row r="649" spans="22:26" x14ac:dyDescent="0.2">
      <c r="V649" s="202" t="str">
        <f t="shared" si="18"/>
        <v>1w</v>
      </c>
      <c r="W649" s="200">
        <f>_xll.qlCalendarAdvance(Calendar,W648,V649,"f",FALSE)</f>
        <v>43418</v>
      </c>
      <c r="X649" s="203">
        <f>_xll.qlCalendarAdvance(Calendar,W649,NDays&amp;"D")</f>
        <v>43420</v>
      </c>
      <c r="Y649" s="204">
        <v>4.5938422429310736E-3</v>
      </c>
      <c r="Z649" s="201">
        <v>4.491835158599855E-3</v>
      </c>
    </row>
    <row r="650" spans="22:26" x14ac:dyDescent="0.2">
      <c r="V650" s="202" t="str">
        <f t="shared" si="18"/>
        <v>1w</v>
      </c>
      <c r="W650" s="200">
        <f>_xll.qlCalendarAdvance(Calendar,W649,V650,"f",FALSE)</f>
        <v>43425</v>
      </c>
      <c r="X650" s="203">
        <f>_xll.qlCalendarAdvance(Calendar,W650,NDays&amp;"D")</f>
        <v>43427</v>
      </c>
      <c r="Y650" s="204">
        <v>4.6449967411916187E-3</v>
      </c>
      <c r="Z650" s="201">
        <v>4.5419800559809431E-3</v>
      </c>
    </row>
    <row r="651" spans="22:26" x14ac:dyDescent="0.2">
      <c r="V651" s="202" t="str">
        <f t="shared" si="18"/>
        <v>1w</v>
      </c>
      <c r="W651" s="200">
        <f>_xll.qlCalendarAdvance(Calendar,W650,V651,"f",FALSE)</f>
        <v>43432</v>
      </c>
      <c r="X651" s="203">
        <f>_xll.qlCalendarAdvance(Calendar,W651,NDays&amp;"D")</f>
        <v>43434</v>
      </c>
      <c r="Y651" s="204">
        <v>4.6966472391167299E-3</v>
      </c>
      <c r="Z651" s="201">
        <v>4.5926205672586207E-3</v>
      </c>
    </row>
    <row r="652" spans="22:26" x14ac:dyDescent="0.2">
      <c r="V652" s="202" t="str">
        <f t="shared" si="18"/>
        <v>1w</v>
      </c>
      <c r="W652" s="200">
        <f>_xll.qlCalendarAdvance(Calendar,W651,V652,"f",FALSE)</f>
        <v>43439</v>
      </c>
      <c r="X652" s="203">
        <f>_xll.qlCalendarAdvance(Calendar,W652,NDays&amp;"D")</f>
        <v>43441</v>
      </c>
      <c r="Y652" s="204">
        <v>4.7487937433204714E-3</v>
      </c>
      <c r="Z652" s="201">
        <v>4.6437566930990215E-3</v>
      </c>
    </row>
    <row r="653" spans="22:26" x14ac:dyDescent="0.2">
      <c r="V653" s="202" t="str">
        <f t="shared" si="18"/>
        <v>1w</v>
      </c>
      <c r="W653" s="200">
        <f>_xll.qlCalendarAdvance(Calendar,W652,V653,"f",FALSE)</f>
        <v>43446</v>
      </c>
      <c r="X653" s="203">
        <f>_xll.qlCalendarAdvance(Calendar,W653,NDays&amp;"D")</f>
        <v>43448</v>
      </c>
      <c r="Y653" s="204">
        <v>4.801436260478794E-3</v>
      </c>
      <c r="Z653" s="201">
        <v>4.6953884341416341E-3</v>
      </c>
    </row>
    <row r="654" spans="22:26" x14ac:dyDescent="0.2">
      <c r="V654" s="202" t="str">
        <f t="shared" si="18"/>
        <v>1w</v>
      </c>
      <c r="W654" s="200">
        <f>_xll.qlCalendarAdvance(Calendar,W653,V654,"f",FALSE)</f>
        <v>43453</v>
      </c>
      <c r="X654" s="203">
        <f>_xll.qlCalendarAdvance(Calendar,W654,NDays&amp;"D")</f>
        <v>43455</v>
      </c>
      <c r="Y654" s="204">
        <v>4.85457479733469E-3</v>
      </c>
      <c r="Z654" s="201">
        <v>4.7475157909726562E-3</v>
      </c>
    </row>
    <row r="655" spans="22:26" x14ac:dyDescent="0.2">
      <c r="V655" s="202" t="str">
        <f t="shared" si="18"/>
        <v>1w</v>
      </c>
      <c r="W655" s="200">
        <f>_xll.qlCalendarAdvance(Calendar,W654,V655,"f",FALSE)</f>
        <v>43461</v>
      </c>
      <c r="X655" s="203">
        <f>_xll.qlCalendarAdvance(Calendar,W655,NDays&amp;"D")</f>
        <v>43465</v>
      </c>
      <c r="Y655" s="204">
        <v>4.9313474486754119E-3</v>
      </c>
      <c r="Z655" s="201">
        <v>4.8190184335394903E-3</v>
      </c>
    </row>
    <row r="656" spans="22:26" x14ac:dyDescent="0.2">
      <c r="V656" s="202" t="str">
        <f t="shared" si="18"/>
        <v>1w</v>
      </c>
      <c r="W656" s="200">
        <f>_xll.qlCalendarAdvance(Calendar,W655,V656,"f",FALSE)</f>
        <v>43468</v>
      </c>
      <c r="X656" s="203">
        <f>_xll.qlCalendarAdvance(Calendar,W656,NDays&amp;"D")</f>
        <v>43472</v>
      </c>
      <c r="Y656" s="204">
        <v>4.9856906332445029E-3</v>
      </c>
      <c r="Z656" s="201">
        <v>4.8684559164069441E-3</v>
      </c>
    </row>
    <row r="657" spans="22:26" x14ac:dyDescent="0.2">
      <c r="V657" s="202" t="str">
        <f t="shared" si="18"/>
        <v>1w</v>
      </c>
      <c r="W657" s="200">
        <f>_xll.qlCalendarAdvance(Calendar,W656,V657,"f",FALSE)</f>
        <v>43475</v>
      </c>
      <c r="X657" s="203">
        <f>_xll.qlCalendarAdvance(Calendar,W657,NDays&amp;"D")</f>
        <v>43479</v>
      </c>
      <c r="Y657" s="204">
        <v>5.0405298611026191E-3</v>
      </c>
      <c r="Z657" s="201">
        <v>4.9222102679369328E-3</v>
      </c>
    </row>
    <row r="658" spans="22:26" x14ac:dyDescent="0.2">
      <c r="V658" s="202" t="str">
        <f t="shared" si="18"/>
        <v>1w</v>
      </c>
      <c r="W658" s="200">
        <f>_xll.qlCalendarAdvance(Calendar,W657,V658,"f",FALSE)</f>
        <v>43482</v>
      </c>
      <c r="X658" s="203">
        <f>_xll.qlCalendarAdvance(Calendar,W658,NDays&amp;"D")</f>
        <v>43486</v>
      </c>
      <c r="Y658" s="204">
        <v>5.0958651392712401E-3</v>
      </c>
      <c r="Z658" s="201">
        <v>4.9764602083168796E-3</v>
      </c>
    </row>
    <row r="659" spans="22:26" x14ac:dyDescent="0.2">
      <c r="V659" s="202" t="str">
        <f t="shared" si="18"/>
        <v>1w</v>
      </c>
      <c r="W659" s="200">
        <f>_xll.qlCalendarAdvance(Calendar,W658,V659,"f",FALSE)</f>
        <v>43489</v>
      </c>
      <c r="X659" s="203">
        <f>_xll.qlCalendarAdvance(Calendar,W659,NDays&amp;"D")</f>
        <v>43493</v>
      </c>
      <c r="Y659" s="204">
        <v>5.1516964748388903E-3</v>
      </c>
      <c r="Z659" s="201">
        <v>5.0312057377865926E-3</v>
      </c>
    </row>
    <row r="660" spans="22:26" x14ac:dyDescent="0.2">
      <c r="V660" s="202" t="str">
        <f t="shared" si="18"/>
        <v>1w</v>
      </c>
      <c r="W660" s="200">
        <f>_xll.qlCalendarAdvance(Calendar,W659,V660,"f",FALSE)</f>
        <v>43496</v>
      </c>
      <c r="X660" s="203">
        <f>_xll.qlCalendarAdvance(Calendar,W660,NDays&amp;"D")</f>
        <v>43500</v>
      </c>
      <c r="Y660" s="204">
        <v>5.195724866606799E-3</v>
      </c>
      <c r="Z660" s="201">
        <v>5.08644685658588E-3</v>
      </c>
    </row>
    <row r="661" spans="22:26" x14ac:dyDescent="0.2">
      <c r="V661" s="202" t="str">
        <f t="shared" ref="V661:V724" si="19">V660</f>
        <v>1w</v>
      </c>
      <c r="W661" s="200">
        <f>_xll.qlCalendarAdvance(Calendar,W660,V661,"f",FALSE)</f>
        <v>43503</v>
      </c>
      <c r="X661" s="203">
        <f>_xll.qlCalendarAdvance(Calendar,W661,NDays&amp;"D")</f>
        <v>43507</v>
      </c>
      <c r="Y661" s="204">
        <v>5.25243956783645E-3</v>
      </c>
      <c r="Z661" s="201">
        <v>5.14218356495455E-3</v>
      </c>
    </row>
    <row r="662" spans="22:26" x14ac:dyDescent="0.2">
      <c r="V662" s="202" t="str">
        <f t="shared" si="19"/>
        <v>1w</v>
      </c>
      <c r="W662" s="200">
        <f>_xll.qlCalendarAdvance(Calendar,W661,V662,"f",FALSE)</f>
        <v>43510</v>
      </c>
      <c r="X662" s="203">
        <f>_xll.qlCalendarAdvance(Calendar,W662,NDays&amp;"D")</f>
        <v>43514</v>
      </c>
      <c r="Y662" s="204">
        <v>5.3096502977984751E-3</v>
      </c>
      <c r="Z662" s="201">
        <v>5.1984158631324107E-3</v>
      </c>
    </row>
    <row r="663" spans="22:26" x14ac:dyDescent="0.2">
      <c r="V663" s="202" t="str">
        <f t="shared" si="19"/>
        <v>1w</v>
      </c>
      <c r="W663" s="200">
        <f>_xll.qlCalendarAdvance(Calendar,W662,V663,"f",FALSE)</f>
        <v>43517</v>
      </c>
      <c r="X663" s="203">
        <f>_xll.qlCalendarAdvance(Calendar,W663,NDays&amp;"D")</f>
        <v>43521</v>
      </c>
      <c r="Y663" s="204">
        <v>5.3673570631047286E-3</v>
      </c>
      <c r="Z663" s="201">
        <v>5.2551437512793342E-3</v>
      </c>
    </row>
    <row r="664" spans="22:26" x14ac:dyDescent="0.2">
      <c r="V664" s="202" t="str">
        <f t="shared" si="19"/>
        <v>1w</v>
      </c>
      <c r="W664" s="200">
        <f>_xll.qlCalendarAdvance(Calendar,W663,V664,"f",FALSE)</f>
        <v>43524</v>
      </c>
      <c r="X664" s="203">
        <f>_xll.qlCalendarAdvance(Calendar,W664,NDays&amp;"D")</f>
        <v>43528</v>
      </c>
      <c r="Y664" s="204">
        <v>5.4382942660464876E-3</v>
      </c>
      <c r="Z664" s="201">
        <v>5.3123672297150648E-3</v>
      </c>
    </row>
    <row r="665" spans="22:26" x14ac:dyDescent="0.2">
      <c r="V665" s="202" t="str">
        <f t="shared" si="19"/>
        <v>1w</v>
      </c>
      <c r="W665" s="200">
        <f>_xll.qlCalendarAdvance(Calendar,W664,V665,"f",FALSE)</f>
        <v>43531</v>
      </c>
      <c r="X665" s="203">
        <f>_xll.qlCalendarAdvance(Calendar,W665,NDays&amp;"D")</f>
        <v>43535</v>
      </c>
      <c r="Y665" s="204">
        <v>5.497102098343227E-3</v>
      </c>
      <c r="Z665" s="201">
        <v>5.3700862985994746E-3</v>
      </c>
    </row>
    <row r="666" spans="22:26" x14ac:dyDescent="0.2">
      <c r="V666" s="202" t="str">
        <f t="shared" si="19"/>
        <v>1w</v>
      </c>
      <c r="W666" s="200">
        <f>_xll.qlCalendarAdvance(Calendar,W665,V666,"f",FALSE)</f>
        <v>43538</v>
      </c>
      <c r="X666" s="203">
        <f>_xll.qlCalendarAdvance(Calendar,W666,NDays&amp;"D")</f>
        <v>43542</v>
      </c>
      <c r="Y666" s="204">
        <v>5.556406039412095E-3</v>
      </c>
      <c r="Z666" s="201">
        <v>5.4283009582523079E-3</v>
      </c>
    </row>
    <row r="667" spans="22:26" x14ac:dyDescent="0.2">
      <c r="V667" s="202" t="str">
        <f t="shared" si="19"/>
        <v>1w</v>
      </c>
      <c r="W667" s="200">
        <f>_xll.qlCalendarAdvance(Calendar,W666,V667,"f",FALSE)</f>
        <v>43545</v>
      </c>
      <c r="X667" s="203">
        <f>_xll.qlCalendarAdvance(Calendar,W667,NDays&amp;"D")</f>
        <v>43549</v>
      </c>
      <c r="Y667" s="204">
        <v>5.616206096847016E-3</v>
      </c>
      <c r="Z667" s="201">
        <v>5.4870112088334366E-3</v>
      </c>
    </row>
    <row r="668" spans="22:26" x14ac:dyDescent="0.2">
      <c r="V668" s="202" t="str">
        <f t="shared" si="19"/>
        <v>1w</v>
      </c>
      <c r="W668" s="200">
        <f>_xll.qlCalendarAdvance(Calendar,W667,V668,"f",FALSE)</f>
        <v>43552</v>
      </c>
      <c r="X668" s="203">
        <f>_xll.qlCalendarAdvance(Calendar,W668,NDays&amp;"D")</f>
        <v>43556</v>
      </c>
      <c r="Y668" s="204">
        <v>5.6765022783089591E-3</v>
      </c>
      <c r="Z668" s="201">
        <v>5.5462170507425412E-3</v>
      </c>
    </row>
    <row r="669" spans="22:26" x14ac:dyDescent="0.2">
      <c r="V669" s="202" t="str">
        <f t="shared" si="19"/>
        <v>1w</v>
      </c>
      <c r="W669" s="200">
        <f>_xll.qlCalendarAdvance(Calendar,W668,V669,"f",FALSE)</f>
        <v>43559</v>
      </c>
      <c r="X669" s="203">
        <f>_xll.qlCalendarAdvance(Calendar,W669,NDays&amp;"D")</f>
        <v>43563</v>
      </c>
      <c r="Y669" s="204">
        <v>5.7328644716028165E-3</v>
      </c>
      <c r="Z669" s="201">
        <v>5.6059184839796217E-3</v>
      </c>
    </row>
    <row r="670" spans="22:26" x14ac:dyDescent="0.2">
      <c r="V670" s="202" t="str">
        <f t="shared" si="19"/>
        <v>1w</v>
      </c>
      <c r="W670" s="200">
        <f>_xll.qlCalendarAdvance(Calendar,W669,V670,"f",FALSE)</f>
        <v>43566</v>
      </c>
      <c r="X670" s="203">
        <f>_xll.qlCalendarAdvance(Calendar,W670,NDays&amp;"D")</f>
        <v>43570</v>
      </c>
      <c r="Y670" s="204">
        <v>5.7941165050081622E-3</v>
      </c>
      <c r="Z670" s="201">
        <v>5.6661155090242943E-3</v>
      </c>
    </row>
    <row r="671" spans="22:26" x14ac:dyDescent="0.2">
      <c r="V671" s="202" t="str">
        <f t="shared" si="19"/>
        <v>1w</v>
      </c>
      <c r="W671" s="200">
        <f>_xll.qlCalendarAdvance(Calendar,W670,V671,"f",FALSE)</f>
        <v>43573</v>
      </c>
      <c r="X671" s="203">
        <f>_xll.qlCalendarAdvance(Calendar,W671,NDays&amp;"D")</f>
        <v>43579</v>
      </c>
      <c r="Y671" s="204">
        <v>5.8735981253494884E-3</v>
      </c>
      <c r="Z671" s="201">
        <v>5.7442399007001654E-3</v>
      </c>
    </row>
    <row r="672" spans="22:26" x14ac:dyDescent="0.2">
      <c r="V672" s="202" t="str">
        <f t="shared" si="19"/>
        <v>1w</v>
      </c>
      <c r="W672" s="200">
        <f>_xll.qlCalendarAdvance(Calendar,W671,V672,"f",FALSE)</f>
        <v>43580</v>
      </c>
      <c r="X672" s="203">
        <f>_xll.qlCalendarAdvance(Calendar,W672,NDays&amp;"D")</f>
        <v>43584</v>
      </c>
      <c r="Y672" s="204">
        <v>5.9181089644626539E-3</v>
      </c>
      <c r="Z672" s="201">
        <v>5.7879963350160324E-3</v>
      </c>
    </row>
    <row r="673" spans="22:26" x14ac:dyDescent="0.2">
      <c r="V673" s="202" t="str">
        <f t="shared" si="19"/>
        <v>1w</v>
      </c>
      <c r="W673" s="200">
        <f>_xll.qlCalendarAdvance(Calendar,W672,V673,"f",FALSE)</f>
        <v>43587</v>
      </c>
      <c r="X673" s="203">
        <f>_xll.qlCalendarAdvance(Calendar,W673,NDays&amp;"D")</f>
        <v>43591</v>
      </c>
      <c r="Y673" s="204">
        <v>5.9854253184486684E-3</v>
      </c>
      <c r="Z673" s="201">
        <v>5.8496801366825224E-3</v>
      </c>
    </row>
    <row r="674" spans="22:26" x14ac:dyDescent="0.2">
      <c r="V674" s="202" t="str">
        <f t="shared" si="19"/>
        <v>1w</v>
      </c>
      <c r="W674" s="200">
        <f>_xll.qlCalendarAdvance(Calendar,W673,V674,"f",FALSE)</f>
        <v>43594</v>
      </c>
      <c r="X674" s="203">
        <f>_xll.qlCalendarAdvance(Calendar,W674,NDays&amp;"D")</f>
        <v>43598</v>
      </c>
      <c r="Y674" s="204">
        <v>6.0486984084212785E-3</v>
      </c>
      <c r="Z674" s="201">
        <v>5.9118595309559652E-3</v>
      </c>
    </row>
    <row r="675" spans="22:26" x14ac:dyDescent="0.2">
      <c r="V675" s="202" t="str">
        <f t="shared" si="19"/>
        <v>1w</v>
      </c>
      <c r="W675" s="200">
        <f>_xll.qlCalendarAdvance(Calendar,W674,V675,"f",FALSE)</f>
        <v>43601</v>
      </c>
      <c r="X675" s="203">
        <f>_xll.qlCalendarAdvance(Calendar,W675,NDays&amp;"D")</f>
        <v>43605</v>
      </c>
      <c r="Y675" s="204">
        <v>6.1124676778062841E-3</v>
      </c>
      <c r="Z675" s="201">
        <v>5.974534518315977E-3</v>
      </c>
    </row>
    <row r="676" spans="22:26" x14ac:dyDescent="0.2">
      <c r="V676" s="202" t="str">
        <f t="shared" si="19"/>
        <v>1w</v>
      </c>
      <c r="W676" s="200">
        <f>_xll.qlCalendarAdvance(Calendar,W675,V676,"f",FALSE)</f>
        <v>43608</v>
      </c>
      <c r="X676" s="203">
        <f>_xll.qlCalendarAdvance(Calendar,W676,NDays&amp;"D")</f>
        <v>43612</v>
      </c>
      <c r="Y676" s="204">
        <v>6.1767331347571631E-3</v>
      </c>
      <c r="Z676" s="201">
        <v>6.037705098762558E-3</v>
      </c>
    </row>
    <row r="677" spans="22:26" x14ac:dyDescent="0.2">
      <c r="V677" s="202" t="str">
        <f t="shared" si="19"/>
        <v>1w</v>
      </c>
      <c r="W677" s="200">
        <f>_xll.qlCalendarAdvance(Calendar,W676,V677,"f",FALSE)</f>
        <v>43615</v>
      </c>
      <c r="X677" s="203">
        <f>_xll.qlCalendarAdvance(Calendar,W677,NDays&amp;"D")</f>
        <v>43619</v>
      </c>
      <c r="Y677" s="204">
        <v>6.2367727648897642E-3</v>
      </c>
      <c r="Z677" s="201">
        <v>6.1013712726953884E-3</v>
      </c>
    </row>
    <row r="678" spans="22:26" x14ac:dyDescent="0.2">
      <c r="V678" s="202" t="str">
        <f t="shared" si="19"/>
        <v>1w</v>
      </c>
      <c r="W678" s="200">
        <f>_xll.qlCalendarAdvance(Calendar,W677,V678,"f",FALSE)</f>
        <v>43622</v>
      </c>
      <c r="X678" s="203">
        <f>_xll.qlCalendarAdvance(Calendar,W678,NDays&amp;"D")</f>
        <v>43626</v>
      </c>
      <c r="Y678" s="204">
        <v>6.3019940426309873E-3</v>
      </c>
      <c r="Z678" s="201">
        <v>6.1655330405141484E-3</v>
      </c>
    </row>
    <row r="679" spans="22:26" x14ac:dyDescent="0.2">
      <c r="V679" s="202" t="str">
        <f t="shared" si="19"/>
        <v>1w</v>
      </c>
      <c r="W679" s="200">
        <f>_xll.qlCalendarAdvance(Calendar,W678,V679,"f",FALSE)</f>
        <v>43629</v>
      </c>
      <c r="X679" s="203">
        <f>_xll.qlCalendarAdvance(Calendar,W679,NDays&amp;"D")</f>
        <v>43633</v>
      </c>
      <c r="Y679" s="204">
        <v>6.3677115116389515E-3</v>
      </c>
      <c r="Z679" s="201">
        <v>6.2301904022188381E-3</v>
      </c>
    </row>
    <row r="680" spans="22:26" x14ac:dyDescent="0.2">
      <c r="V680" s="202" t="str">
        <f t="shared" si="19"/>
        <v>1w</v>
      </c>
      <c r="W680" s="200">
        <f>_xll.qlCalendarAdvance(Calendar,W679,V680,"f",FALSE)</f>
        <v>43636</v>
      </c>
      <c r="X680" s="203">
        <f>_xll.qlCalendarAdvance(Calendar,W680,NDays&amp;"D")</f>
        <v>43640</v>
      </c>
      <c r="Y680" s="204">
        <v>6.4339251800538122E-3</v>
      </c>
      <c r="Z680" s="201">
        <v>6.2953433582890739E-3</v>
      </c>
    </row>
    <row r="681" spans="22:26" x14ac:dyDescent="0.2">
      <c r="V681" s="202" t="str">
        <f t="shared" si="19"/>
        <v>1w</v>
      </c>
      <c r="W681" s="200">
        <f>_xll.qlCalendarAdvance(Calendar,W680,V681,"f",FALSE)</f>
        <v>43643</v>
      </c>
      <c r="X681" s="203">
        <f>_xll.qlCalendarAdvance(Calendar,W681,NDays&amp;"D")</f>
        <v>43647</v>
      </c>
      <c r="Y681" s="204">
        <v>6.5055035233583681E-3</v>
      </c>
      <c r="Z681" s="201">
        <v>6.3609919088847278E-3</v>
      </c>
    </row>
    <row r="682" spans="22:26" x14ac:dyDescent="0.2">
      <c r="V682" s="202" t="str">
        <f t="shared" si="19"/>
        <v>1w</v>
      </c>
      <c r="W682" s="200">
        <f>_xll.qlCalendarAdvance(Calendar,W681,V682,"f",FALSE)</f>
        <v>43650</v>
      </c>
      <c r="X682" s="203">
        <f>_xll.qlCalendarAdvance(Calendar,W682,NDays&amp;"D")</f>
        <v>43654</v>
      </c>
      <c r="Y682" s="204">
        <v>6.5727462807876622E-3</v>
      </c>
      <c r="Z682" s="201">
        <v>6.427136054325544E-3</v>
      </c>
    </row>
    <row r="683" spans="22:26" x14ac:dyDescent="0.2">
      <c r="V683" s="202" t="str">
        <f t="shared" si="19"/>
        <v>1w</v>
      </c>
      <c r="W683" s="200">
        <f>_xll.qlCalendarAdvance(Calendar,W682,V683,"f",FALSE)</f>
        <v>43657</v>
      </c>
      <c r="X683" s="203">
        <f>_xll.qlCalendarAdvance(Calendar,W683,NDays&amp;"D")</f>
        <v>43661</v>
      </c>
      <c r="Y683" s="204">
        <v>6.640485284729227E-3</v>
      </c>
      <c r="Z683" s="201">
        <v>6.4937757948513308E-3</v>
      </c>
    </row>
    <row r="684" spans="22:26" x14ac:dyDescent="0.2">
      <c r="V684" s="202" t="str">
        <f t="shared" si="19"/>
        <v>1w</v>
      </c>
      <c r="W684" s="200">
        <f>_xll.qlCalendarAdvance(Calendar,W683,V684,"f",FALSE)</f>
        <v>43664</v>
      </c>
      <c r="X684" s="203">
        <f>_xll.qlCalendarAdvance(Calendar,W684,NDays&amp;"D")</f>
        <v>43668</v>
      </c>
      <c r="Y684" s="204">
        <v>6.7087205438574118E-3</v>
      </c>
      <c r="Z684" s="201">
        <v>6.5609111307018964E-3</v>
      </c>
    </row>
    <row r="685" spans="22:26" x14ac:dyDescent="0.2">
      <c r="V685" s="202" t="str">
        <f t="shared" si="19"/>
        <v>1w</v>
      </c>
      <c r="W685" s="200">
        <f>_xll.qlCalendarAdvance(Calendar,W684,V685,"f",FALSE)</f>
        <v>43671</v>
      </c>
      <c r="X685" s="203">
        <f>_xll.qlCalendarAdvance(Calendar,W685,NDays&amp;"D")</f>
        <v>43675</v>
      </c>
      <c r="Y685" s="204">
        <v>6.7774520669136133E-3</v>
      </c>
      <c r="Z685" s="201">
        <v>6.6285420622769209E-3</v>
      </c>
    </row>
    <row r="686" spans="22:26" x14ac:dyDescent="0.2">
      <c r="V686" s="202" t="str">
        <f t="shared" si="19"/>
        <v>1w</v>
      </c>
      <c r="W686" s="200">
        <f>_xll.qlCalendarAdvance(Calendar,W685,V686,"f",FALSE)</f>
        <v>43678</v>
      </c>
      <c r="X686" s="203">
        <f>_xll.qlCalendarAdvance(Calendar,W686,NDays&amp;"D")</f>
        <v>43682</v>
      </c>
      <c r="Y686" s="204">
        <v>6.8466798626959551E-3</v>
      </c>
      <c r="Z686" s="201">
        <v>6.6966685896563405E-3</v>
      </c>
    </row>
    <row r="687" spans="22:26" x14ac:dyDescent="0.2">
      <c r="V687" s="202" t="str">
        <f t="shared" si="19"/>
        <v>1w</v>
      </c>
      <c r="W687" s="200">
        <f>_xll.qlCalendarAdvance(Calendar,W686,V687,"f",FALSE)</f>
        <v>43685</v>
      </c>
      <c r="X687" s="203">
        <f>_xll.qlCalendarAdvance(Calendar,W687,NDays&amp;"D")</f>
        <v>43689</v>
      </c>
      <c r="Y687" s="204">
        <v>6.916402747671164E-3</v>
      </c>
      <c r="Z687" s="201">
        <v>6.7652907133197715E-3</v>
      </c>
    </row>
    <row r="688" spans="22:26" x14ac:dyDescent="0.2">
      <c r="V688" s="202" t="str">
        <f t="shared" si="19"/>
        <v>1w</v>
      </c>
      <c r="W688" s="200">
        <f>_xll.qlCalendarAdvance(Calendar,W687,V688,"f",FALSE)</f>
        <v>43692</v>
      </c>
      <c r="X688" s="203">
        <f>_xll.qlCalendarAdvance(Calendar,W688,NDays&amp;"D")</f>
        <v>43696</v>
      </c>
      <c r="Y688" s="204">
        <v>6.9865801446975951E-3</v>
      </c>
      <c r="Z688" s="201">
        <v>6.8344084335070221E-3</v>
      </c>
    </row>
    <row r="689" spans="22:26" x14ac:dyDescent="0.2">
      <c r="V689" s="202" t="str">
        <f t="shared" si="19"/>
        <v>1w</v>
      </c>
      <c r="W689" s="200">
        <f>_xll.qlCalendarAdvance(Calendar,W688,V689,"f",FALSE)</f>
        <v>43699</v>
      </c>
      <c r="X689" s="203">
        <f>_xll.qlCalendarAdvance(Calendar,W689,NDays&amp;"D")</f>
        <v>43703</v>
      </c>
      <c r="Y689" s="204">
        <v>7.0571239999142697E-3</v>
      </c>
      <c r="Z689" s="201">
        <v>6.9040217504579005E-3</v>
      </c>
    </row>
    <row r="690" spans="22:26" x14ac:dyDescent="0.2">
      <c r="V690" s="202" t="str">
        <f t="shared" si="19"/>
        <v>1w</v>
      </c>
      <c r="W690" s="200">
        <f>_xll.qlCalendarAdvance(Calendar,W689,V690,"f",FALSE)</f>
        <v>43706</v>
      </c>
      <c r="X690" s="203">
        <f>_xll.qlCalendarAdvance(Calendar,W690,NDays&amp;"D")</f>
        <v>43710</v>
      </c>
      <c r="Y690" s="204">
        <v>7.1227994262708094E-3</v>
      </c>
      <c r="Z690" s="201">
        <v>6.9741306644122147E-3</v>
      </c>
    </row>
    <row r="691" spans="22:26" x14ac:dyDescent="0.2">
      <c r="V691" s="202" t="str">
        <f t="shared" si="19"/>
        <v>1w</v>
      </c>
      <c r="W691" s="200">
        <f>_xll.qlCalendarAdvance(Calendar,W690,V691,"f",FALSE)</f>
        <v>43713</v>
      </c>
      <c r="X691" s="203">
        <f>_xll.qlCalendarAdvance(Calendar,W691,NDays&amp;"D")</f>
        <v>43717</v>
      </c>
      <c r="Y691" s="204">
        <v>7.1937949318385819E-3</v>
      </c>
      <c r="Z691" s="201">
        <v>7.0447338075041444E-3</v>
      </c>
    </row>
    <row r="692" spans="22:26" x14ac:dyDescent="0.2">
      <c r="V692" s="202" t="str">
        <f t="shared" si="19"/>
        <v>1w</v>
      </c>
      <c r="W692" s="200">
        <f>_xll.qlCalendarAdvance(Calendar,W691,V692,"f",FALSE)</f>
        <v>43720</v>
      </c>
      <c r="X692" s="203">
        <f>_xll.qlCalendarAdvance(Calendar,W692,NDays&amp;"D")</f>
        <v>43724</v>
      </c>
      <c r="Y692" s="204">
        <v>7.2648998786437602E-3</v>
      </c>
      <c r="Z692" s="201">
        <v>7.115604047980284E-3</v>
      </c>
    </row>
    <row r="693" spans="22:26" x14ac:dyDescent="0.2">
      <c r="V693" s="202" t="str">
        <f t="shared" si="19"/>
        <v>1w</v>
      </c>
      <c r="W693" s="200">
        <f>_xll.qlCalendarAdvance(Calendar,W692,V693,"f",FALSE)</f>
        <v>43727</v>
      </c>
      <c r="X693" s="203">
        <f>_xll.qlCalendarAdvance(Calendar,W693,NDays&amp;"D")</f>
        <v>43731</v>
      </c>
      <c r="Y693" s="204">
        <v>7.3360986155366348E-3</v>
      </c>
      <c r="Z693" s="201">
        <v>7.1865676162019554E-3</v>
      </c>
    </row>
    <row r="694" spans="22:26" x14ac:dyDescent="0.2">
      <c r="V694" s="202" t="str">
        <f t="shared" si="19"/>
        <v>1w</v>
      </c>
      <c r="W694" s="200">
        <f>_xll.qlCalendarAdvance(Calendar,W693,V694,"f",FALSE)</f>
        <v>43734</v>
      </c>
      <c r="X694" s="203">
        <f>_xll.qlCalendarAdvance(Calendar,W694,NDays&amp;"D")</f>
        <v>43738</v>
      </c>
      <c r="Y694" s="204">
        <v>7.4125681971895594E-3</v>
      </c>
      <c r="Z694" s="201">
        <v>7.2576245122490946E-3</v>
      </c>
    </row>
    <row r="695" spans="22:26" x14ac:dyDescent="0.2">
      <c r="V695" s="202" t="str">
        <f t="shared" si="19"/>
        <v>1w</v>
      </c>
      <c r="W695" s="200">
        <f>_xll.qlCalendarAdvance(Calendar,W694,V695,"f",FALSE)</f>
        <v>43741</v>
      </c>
      <c r="X695" s="203">
        <f>_xll.qlCalendarAdvance(Calendar,W695,NDays&amp;"D")</f>
        <v>43745</v>
      </c>
      <c r="Y695" s="204">
        <v>7.483962695513156E-3</v>
      </c>
      <c r="Z695" s="201">
        <v>7.3287747362016376E-3</v>
      </c>
    </row>
    <row r="696" spans="22:26" x14ac:dyDescent="0.2">
      <c r="V696" s="202" t="str">
        <f t="shared" si="19"/>
        <v>1w</v>
      </c>
      <c r="W696" s="200">
        <f>_xll.qlCalendarAdvance(Calendar,W695,V696,"f",FALSE)</f>
        <v>43748</v>
      </c>
      <c r="X696" s="203">
        <f>_xll.qlCalendarAdvance(Calendar,W696,NDays&amp;"D")</f>
        <v>43752</v>
      </c>
      <c r="Y696" s="204">
        <v>7.5554510051593334E-3</v>
      </c>
      <c r="Z696" s="201">
        <v>7.4000182881395205E-3</v>
      </c>
    </row>
    <row r="697" spans="22:26" x14ac:dyDescent="0.2">
      <c r="V697" s="202" t="str">
        <f t="shared" si="19"/>
        <v>1w</v>
      </c>
      <c r="W697" s="200">
        <f>_xll.qlCalendarAdvance(Calendar,W696,V697,"f",FALSE)</f>
        <v>43755</v>
      </c>
      <c r="X697" s="203">
        <f>_xll.qlCalendarAdvance(Calendar,W697,NDays&amp;"D")</f>
        <v>43759</v>
      </c>
      <c r="Y697" s="204">
        <v>7.6270331278557417E-3</v>
      </c>
      <c r="Z697" s="201">
        <v>7.4713551680627432E-3</v>
      </c>
    </row>
    <row r="698" spans="22:26" x14ac:dyDescent="0.2">
      <c r="V698" s="202" t="str">
        <f t="shared" si="19"/>
        <v>1w</v>
      </c>
      <c r="W698" s="200">
        <f>_xll.qlCalendarAdvance(Calendar,W697,V698,"f",FALSE)</f>
        <v>43762</v>
      </c>
      <c r="X698" s="203">
        <f>_xll.qlCalendarAdvance(Calendar,W698,NDays&amp;"D")</f>
        <v>43766</v>
      </c>
      <c r="Y698" s="204">
        <v>7.6987090653300328E-3</v>
      </c>
      <c r="Z698" s="201">
        <v>7.5427853759713059E-3</v>
      </c>
    </row>
    <row r="699" spans="22:26" x14ac:dyDescent="0.2">
      <c r="V699" s="202" t="str">
        <f t="shared" si="19"/>
        <v>1w</v>
      </c>
      <c r="W699" s="200">
        <f>_xll.qlCalendarAdvance(Calendar,W698,V699,"f",FALSE)</f>
        <v>43769</v>
      </c>
      <c r="X699" s="203">
        <f>_xll.qlCalendarAdvance(Calendar,W699,NDays&amp;"D")</f>
        <v>43773</v>
      </c>
      <c r="Y699" s="204">
        <v>7.7652607220821679E-3</v>
      </c>
      <c r="Z699" s="201">
        <v>7.6143089121050167E-3</v>
      </c>
    </row>
    <row r="700" spans="22:26" x14ac:dyDescent="0.2">
      <c r="V700" s="202" t="str">
        <f t="shared" si="19"/>
        <v>1w</v>
      </c>
      <c r="W700" s="200">
        <f>_xll.qlCalendarAdvance(Calendar,W699,V700,"f",FALSE)</f>
        <v>43776</v>
      </c>
      <c r="X700" s="203">
        <f>_xll.qlCalendarAdvance(Calendar,W700,NDays&amp;"D")</f>
        <v>43780</v>
      </c>
      <c r="Y700" s="204">
        <v>7.8371160362982195E-3</v>
      </c>
      <c r="Z700" s="201">
        <v>7.6859257763839395E-3</v>
      </c>
    </row>
    <row r="701" spans="22:26" x14ac:dyDescent="0.2">
      <c r="V701" s="202" t="str">
        <f t="shared" si="19"/>
        <v>1w</v>
      </c>
      <c r="W701" s="200">
        <f>_xll.qlCalendarAdvance(Calendar,W700,V701,"f",FALSE)</f>
        <v>43783</v>
      </c>
      <c r="X701" s="203">
        <f>_xll.qlCalendarAdvance(Calendar,W701,NDays&amp;"D")</f>
        <v>43787</v>
      </c>
      <c r="Y701" s="204">
        <v>7.9090651539752699E-3</v>
      </c>
      <c r="Z701" s="201">
        <v>7.7576359688880103E-3</v>
      </c>
    </row>
    <row r="702" spans="22:26" x14ac:dyDescent="0.2">
      <c r="V702" s="202" t="str">
        <f t="shared" si="19"/>
        <v>1w</v>
      </c>
      <c r="W702" s="200">
        <f>_xll.qlCalendarAdvance(Calendar,W701,V702,"f",FALSE)</f>
        <v>43790</v>
      </c>
      <c r="X702" s="203">
        <f>_xll.qlCalendarAdvance(Calendar,W702,NDays&amp;"D")</f>
        <v>43794</v>
      </c>
      <c r="Y702" s="204">
        <v>7.9915947859302006E-3</v>
      </c>
      <c r="Z702" s="201">
        <v>7.8294394896172292E-3</v>
      </c>
    </row>
    <row r="703" spans="22:26" x14ac:dyDescent="0.2">
      <c r="V703" s="202" t="str">
        <f t="shared" si="19"/>
        <v>1w</v>
      </c>
      <c r="W703" s="200">
        <f>_xll.qlCalendarAdvance(Calendar,W702,V703,"f",FALSE)</f>
        <v>43797</v>
      </c>
      <c r="X703" s="203">
        <f>_xll.qlCalendarAdvance(Calendar,W703,NDays&amp;"D")</f>
        <v>43801</v>
      </c>
      <c r="Y703" s="204">
        <v>8.058496035005077E-3</v>
      </c>
      <c r="Z703" s="201">
        <v>7.9013363387314683E-3</v>
      </c>
    </row>
    <row r="704" spans="22:26" x14ac:dyDescent="0.2">
      <c r="V704" s="202" t="str">
        <f t="shared" si="19"/>
        <v>1w</v>
      </c>
      <c r="W704" s="200">
        <f>_xll.qlCalendarAdvance(Calendar,W703,V704,"f",FALSE)</f>
        <v>43804</v>
      </c>
      <c r="X704" s="203">
        <f>_xll.qlCalendarAdvance(Calendar,W704,NDays&amp;"D")</f>
        <v>43808</v>
      </c>
      <c r="Y704" s="204">
        <v>8.130734897561399E-3</v>
      </c>
      <c r="Z704" s="201">
        <v>7.9733265163106637E-3</v>
      </c>
    </row>
    <row r="705" spans="22:26" x14ac:dyDescent="0.2">
      <c r="V705" s="202" t="str">
        <f t="shared" si="19"/>
        <v>1w</v>
      </c>
      <c r="W705" s="200">
        <f>_xll.qlCalendarAdvance(Calendar,W704,V705,"f",FALSE)</f>
        <v>43811</v>
      </c>
      <c r="X705" s="203">
        <f>_xll.qlCalendarAdvance(Calendar,W705,NDays&amp;"D")</f>
        <v>43815</v>
      </c>
      <c r="Y705" s="204">
        <v>8.203067587058778E-3</v>
      </c>
      <c r="Z705" s="201">
        <v>8.0454100222748792E-3</v>
      </c>
    </row>
    <row r="706" spans="22:26" x14ac:dyDescent="0.2">
      <c r="V706" s="202" t="str">
        <f t="shared" si="19"/>
        <v>1w</v>
      </c>
      <c r="W706" s="200">
        <f>_xll.qlCalendarAdvance(Calendar,W705,V706,"f",FALSE)</f>
        <v>43818</v>
      </c>
      <c r="X706" s="203">
        <f>_xll.qlCalendarAdvance(Calendar,W706,NDays&amp;"D")</f>
        <v>43822</v>
      </c>
      <c r="Y706" s="204">
        <v>8.2754941052403316E-3</v>
      </c>
      <c r="Z706" s="201">
        <v>8.117586856704051E-3</v>
      </c>
    </row>
    <row r="707" spans="22:26" x14ac:dyDescent="0.2">
      <c r="V707" s="202" t="str">
        <f t="shared" si="19"/>
        <v>1w</v>
      </c>
      <c r="W707" s="200">
        <f>_xll.qlCalendarAdvance(Calendar,W706,V707,"f",FALSE)</f>
        <v>43826</v>
      </c>
      <c r="X707" s="203">
        <f>_xll.qlCalendarAdvance(Calendar,W707,NDays&amp;"D")</f>
        <v>43830</v>
      </c>
      <c r="Y707" s="204">
        <v>8.3583821633865223E-3</v>
      </c>
      <c r="Z707" s="201">
        <v>8.2054493744854184E-3</v>
      </c>
    </row>
    <row r="708" spans="22:26" x14ac:dyDescent="0.2">
      <c r="V708" s="202" t="str">
        <f t="shared" si="19"/>
        <v>1w</v>
      </c>
      <c r="W708" s="200">
        <f>_xll.qlCalendarAdvance(Calendar,W707,V708,"f",FALSE)</f>
        <v>43833</v>
      </c>
      <c r="X708" s="203">
        <f>_xll.qlCalendarAdvance(Calendar,W708,NDays&amp;"D")</f>
        <v>43837</v>
      </c>
      <c r="Y708" s="204">
        <v>8.4310097489269688E-3</v>
      </c>
      <c r="Z708" s="201">
        <v>8.2725657717652723E-3</v>
      </c>
    </row>
    <row r="709" spans="22:26" x14ac:dyDescent="0.2">
      <c r="V709" s="202" t="str">
        <f t="shared" si="19"/>
        <v>1w</v>
      </c>
      <c r="W709" s="200">
        <f>_xll.qlCalendarAdvance(Calendar,W708,V709,"f",FALSE)</f>
        <v>43840</v>
      </c>
      <c r="X709" s="203">
        <f>_xll.qlCalendarAdvance(Calendar,W709,NDays&amp;"D")</f>
        <v>43844</v>
      </c>
      <c r="Y709" s="204">
        <v>8.5037311686568667E-3</v>
      </c>
      <c r="Z709" s="201">
        <v>8.3450359247638772E-3</v>
      </c>
    </row>
    <row r="710" spans="22:26" x14ac:dyDescent="0.2">
      <c r="V710" s="202" t="str">
        <f t="shared" si="19"/>
        <v>1w</v>
      </c>
      <c r="W710" s="200">
        <f>_xll.qlCalendarAdvance(Calendar,W709,V710,"f",FALSE)</f>
        <v>43847</v>
      </c>
      <c r="X710" s="203">
        <f>_xll.qlCalendarAdvance(Calendar,W710,NDays&amp;"D")</f>
        <v>43851</v>
      </c>
      <c r="Y710" s="204">
        <v>8.5765464243296504E-3</v>
      </c>
      <c r="Z710" s="201">
        <v>8.4175994064672466E-3</v>
      </c>
    </row>
    <row r="711" spans="22:26" x14ac:dyDescent="0.2">
      <c r="V711" s="202" t="str">
        <f t="shared" si="19"/>
        <v>1w</v>
      </c>
      <c r="W711" s="200">
        <f>_xll.qlCalendarAdvance(Calendar,W710,V711,"f",FALSE)</f>
        <v>43854</v>
      </c>
      <c r="X711" s="203">
        <f>_xll.qlCalendarAdvance(Calendar,W711,NDays&amp;"D")</f>
        <v>43858</v>
      </c>
      <c r="Y711" s="204">
        <v>8.6494555177039148E-3</v>
      </c>
      <c r="Z711" s="201">
        <v>8.4902562170352525E-3</v>
      </c>
    </row>
    <row r="712" spans="22:26" x14ac:dyDescent="0.2">
      <c r="V712" s="202" t="str">
        <f t="shared" si="19"/>
        <v>1w</v>
      </c>
      <c r="W712" s="200">
        <f>_xll.qlCalendarAdvance(Calendar,W711,V712,"f",FALSE)</f>
        <v>43861</v>
      </c>
      <c r="X712" s="203">
        <f>_xll.qlCalendarAdvance(Calendar,W712,NDays&amp;"D")</f>
        <v>43865</v>
      </c>
      <c r="Y712" s="204">
        <v>8.7118034110407801E-3</v>
      </c>
      <c r="Z712" s="201">
        <v>8.5630063563879588E-3</v>
      </c>
    </row>
    <row r="713" spans="22:26" x14ac:dyDescent="0.2">
      <c r="V713" s="202" t="str">
        <f t="shared" si="19"/>
        <v>1w</v>
      </c>
      <c r="W713" s="200">
        <f>_xll.qlCalendarAdvance(Calendar,W712,V713,"f",FALSE)</f>
        <v>43868</v>
      </c>
      <c r="X713" s="203">
        <f>_xll.qlCalendarAdvance(Calendar,W713,NDays&amp;"D")</f>
        <v>43872</v>
      </c>
      <c r="Y713" s="204">
        <v>8.7848832283942482E-3</v>
      </c>
      <c r="Z713" s="201">
        <v>8.6358498246852378E-3</v>
      </c>
    </row>
    <row r="714" spans="22:26" x14ac:dyDescent="0.2">
      <c r="V714" s="202" t="str">
        <f t="shared" si="19"/>
        <v>1w</v>
      </c>
      <c r="W714" s="200">
        <f>_xll.qlCalendarAdvance(Calendar,W713,V714,"f",FALSE)</f>
        <v>43875</v>
      </c>
      <c r="X714" s="203">
        <f>_xll.qlCalendarAdvance(Calendar,W714,NDays&amp;"D")</f>
        <v>43879</v>
      </c>
      <c r="Y714" s="204">
        <v>8.8580568542204283E-3</v>
      </c>
      <c r="Z714" s="201">
        <v>8.7087866220070254E-3</v>
      </c>
    </row>
    <row r="715" spans="22:26" x14ac:dyDescent="0.2">
      <c r="V715" s="202" t="str">
        <f t="shared" si="19"/>
        <v>1w</v>
      </c>
      <c r="W715" s="200">
        <f>_xll.qlCalendarAdvance(Calendar,W714,V715,"f",FALSE)</f>
        <v>43882</v>
      </c>
      <c r="X715" s="203">
        <f>_xll.qlCalendarAdvance(Calendar,W715,NDays&amp;"D")</f>
        <v>43886</v>
      </c>
      <c r="Y715" s="204">
        <v>8.9313242901731729E-3</v>
      </c>
      <c r="Z715" s="201">
        <v>8.7818167482733855E-3</v>
      </c>
    </row>
    <row r="716" spans="22:26" x14ac:dyDescent="0.2">
      <c r="V716" s="202" t="str">
        <f t="shared" si="19"/>
        <v>1w</v>
      </c>
      <c r="W716" s="200">
        <f>_xll.qlCalendarAdvance(Calendar,W715,V716,"f",FALSE)</f>
        <v>43889</v>
      </c>
      <c r="X716" s="203">
        <f>_xll.qlCalendarAdvance(Calendar,W716,NDays&amp;"D")</f>
        <v>43893</v>
      </c>
      <c r="Y716" s="204">
        <v>9.0154086118183901E-3</v>
      </c>
      <c r="Z716" s="201">
        <v>8.8549402036441904E-3</v>
      </c>
    </row>
    <row r="717" spans="22:26" x14ac:dyDescent="0.2">
      <c r="V717" s="202" t="str">
        <f t="shared" si="19"/>
        <v>1w</v>
      </c>
      <c r="W717" s="200">
        <f>_xll.qlCalendarAdvance(Calendar,W716,V717,"f",FALSE)</f>
        <v>43896</v>
      </c>
      <c r="X717" s="203">
        <f>_xll.qlCalendarAdvance(Calendar,W717,NDays&amp;"D")</f>
        <v>43900</v>
      </c>
      <c r="Y717" s="204">
        <v>9.1103719681702791E-3</v>
      </c>
      <c r="Z717" s="201">
        <v>8.9281569881993761E-3</v>
      </c>
    </row>
    <row r="718" spans="22:26" x14ac:dyDescent="0.2">
      <c r="V718" s="202" t="str">
        <f t="shared" si="19"/>
        <v>1w</v>
      </c>
      <c r="W718" s="200">
        <f>_xll.qlCalendarAdvance(Calendar,W717,V718,"f",FALSE)</f>
        <v>43903</v>
      </c>
      <c r="X718" s="203">
        <f>_xll.qlCalendarAdvance(Calendar,W718,NDays&amp;"D")</f>
        <v>43907</v>
      </c>
      <c r="Y718" s="204">
        <v>9.1624467751692407E-3</v>
      </c>
      <c r="Z718" s="201">
        <v>9.0014671018590064E-3</v>
      </c>
    </row>
    <row r="719" spans="22:26" x14ac:dyDescent="0.2">
      <c r="V719" s="202" t="str">
        <f t="shared" si="19"/>
        <v>1w</v>
      </c>
      <c r="W719" s="200">
        <f>_xll.qlCalendarAdvance(Calendar,W718,V719,"f",FALSE)</f>
        <v>43910</v>
      </c>
      <c r="X719" s="203">
        <f>_xll.qlCalendarAdvance(Calendar,W719,NDays&amp;"D")</f>
        <v>43914</v>
      </c>
      <c r="Y719" s="204">
        <v>9.2361066337302983E-3</v>
      </c>
      <c r="Z719" s="201">
        <v>9.0748705448628897E-3</v>
      </c>
    </row>
    <row r="720" spans="22:26" x14ac:dyDescent="0.2">
      <c r="V720" s="202" t="str">
        <f t="shared" si="19"/>
        <v>1w</v>
      </c>
      <c r="W720" s="200">
        <f>_xll.qlCalendarAdvance(Calendar,W719,V720,"f",FALSE)</f>
        <v>43917</v>
      </c>
      <c r="X720" s="203">
        <f>_xll.qlCalendarAdvance(Calendar,W720,NDays&amp;"D")</f>
        <v>43921</v>
      </c>
      <c r="Y720" s="204">
        <v>9.3044640567319092E-3</v>
      </c>
      <c r="Z720" s="201">
        <v>9.1483673171310897E-3</v>
      </c>
    </row>
    <row r="721" spans="22:26" x14ac:dyDescent="0.2">
      <c r="V721" s="202" t="str">
        <f t="shared" si="19"/>
        <v>1w</v>
      </c>
      <c r="W721" s="200">
        <f>_xll.qlCalendarAdvance(Calendar,W720,V721,"f",FALSE)</f>
        <v>43924</v>
      </c>
      <c r="X721" s="203">
        <f>_xll.qlCalendarAdvance(Calendar,W721,NDays&amp;"D")</f>
        <v>43928</v>
      </c>
      <c r="Y721" s="204">
        <v>9.3783030050103022E-3</v>
      </c>
      <c r="Z721" s="201">
        <v>9.2219574187435427E-3</v>
      </c>
    </row>
    <row r="722" spans="22:26" x14ac:dyDescent="0.2">
      <c r="V722" s="202" t="str">
        <f t="shared" si="19"/>
        <v>1w</v>
      </c>
      <c r="W722" s="200">
        <f>_xll.qlCalendarAdvance(Calendar,W721,V722,"f",FALSE)</f>
        <v>43935</v>
      </c>
      <c r="X722" s="203">
        <f>_xll.qlCalendarAdvance(Calendar,W722,NDays&amp;"D")</f>
        <v>43937</v>
      </c>
      <c r="Y722" s="204">
        <v>9.4842096339900483E-3</v>
      </c>
      <c r="Z722" s="201">
        <v>9.3167104008440305E-3</v>
      </c>
    </row>
    <row r="723" spans="22:26" x14ac:dyDescent="0.2">
      <c r="V723" s="202" t="str">
        <f t="shared" si="19"/>
        <v>1w</v>
      </c>
      <c r="W723" s="200">
        <f>_xll.qlCalendarAdvance(Calendar,W722,V723,"f",FALSE)</f>
        <v>43942</v>
      </c>
      <c r="X723" s="203">
        <f>_xll.qlCalendarAdvance(Calendar,W723,NDays&amp;"D")</f>
        <v>43944</v>
      </c>
      <c r="Y723" s="204">
        <v>9.558280397447827E-3</v>
      </c>
      <c r="Z723" s="201">
        <v>9.3905138269345656E-3</v>
      </c>
    </row>
    <row r="724" spans="22:26" x14ac:dyDescent="0.2">
      <c r="V724" s="202" t="str">
        <f t="shared" si="19"/>
        <v>1w</v>
      </c>
      <c r="W724" s="200">
        <f>_xll.qlCalendarAdvance(Calendar,W723,V724,"f",FALSE)</f>
        <v>43949</v>
      </c>
      <c r="X724" s="203">
        <f>_xll.qlCalendarAdvance(Calendar,W724,NDays&amp;"D")</f>
        <v>43951</v>
      </c>
      <c r="Y724" s="204">
        <v>9.6161449770320179E-3</v>
      </c>
      <c r="Z724" s="201">
        <v>9.4806334213015653E-3</v>
      </c>
    </row>
    <row r="725" spans="22:26" x14ac:dyDescent="0.2">
      <c r="V725" s="202" t="str">
        <f t="shared" ref="V725:V788" si="20">V724</f>
        <v>1w</v>
      </c>
      <c r="W725" s="200">
        <f>_xll.qlCalendarAdvance(Calendar,W724,V725,"f",FALSE)</f>
        <v>43956</v>
      </c>
      <c r="X725" s="203">
        <f>_xll.qlCalendarAdvance(Calendar,W725,NDays&amp;"D")</f>
        <v>43958</v>
      </c>
      <c r="Y725" s="204">
        <v>9.7067035636377863E-3</v>
      </c>
      <c r="Z725" s="201">
        <v>9.538400667867819E-3</v>
      </c>
    </row>
    <row r="726" spans="22:26" x14ac:dyDescent="0.2">
      <c r="V726" s="202" t="str">
        <f t="shared" si="20"/>
        <v>1w</v>
      </c>
      <c r="W726" s="200">
        <f>_xll.qlCalendarAdvance(Calendar,W725,V726,"f",FALSE)</f>
        <v>43963</v>
      </c>
      <c r="X726" s="203">
        <f>_xll.qlCalendarAdvance(Calendar,W726,NDays&amp;"D")</f>
        <v>43965</v>
      </c>
      <c r="Y726" s="204">
        <v>9.7810559700670097E-3</v>
      </c>
      <c r="Z726" s="201">
        <v>9.6124840827904734E-3</v>
      </c>
    </row>
    <row r="727" spans="22:26" x14ac:dyDescent="0.2">
      <c r="V727" s="202" t="str">
        <f t="shared" si="20"/>
        <v>1w</v>
      </c>
      <c r="W727" s="200">
        <f>_xll.qlCalendarAdvance(Calendar,W726,V727,"f",FALSE)</f>
        <v>43970</v>
      </c>
      <c r="X727" s="203">
        <f>_xll.qlCalendarAdvance(Calendar,W727,NDays&amp;"D")</f>
        <v>43972</v>
      </c>
      <c r="Y727" s="204">
        <v>9.8555022611937493E-3</v>
      </c>
      <c r="Z727" s="201">
        <v>9.6866608274570609E-3</v>
      </c>
    </row>
    <row r="728" spans="22:26" x14ac:dyDescent="0.2">
      <c r="V728" s="202" t="str">
        <f t="shared" si="20"/>
        <v>1w</v>
      </c>
      <c r="W728" s="200">
        <f>_xll.qlCalendarAdvance(Calendar,W727,V728,"f",FALSE)</f>
        <v>43977</v>
      </c>
      <c r="X728" s="203">
        <f>_xll.qlCalendarAdvance(Calendar,W728,NDays&amp;"D")</f>
        <v>43979</v>
      </c>
      <c r="Y728" s="204">
        <v>9.9300424388690245E-3</v>
      </c>
      <c r="Z728" s="201">
        <v>9.7609309019475177E-3</v>
      </c>
    </row>
    <row r="729" spans="22:26" x14ac:dyDescent="0.2">
      <c r="V729" s="202" t="str">
        <f t="shared" si="20"/>
        <v>1w</v>
      </c>
      <c r="W729" s="200">
        <f>_xll.qlCalendarAdvance(Calendar,W728,V729,"f",FALSE)</f>
        <v>43984</v>
      </c>
      <c r="X729" s="203">
        <f>_xll.qlCalendarAdvance(Calendar,W729,NDays&amp;"D")</f>
        <v>43986</v>
      </c>
      <c r="Y729" s="204">
        <v>1.0004676504953847E-2</v>
      </c>
      <c r="Z729" s="201">
        <v>9.8352943062618436E-3</v>
      </c>
    </row>
    <row r="730" spans="22:26" x14ac:dyDescent="0.2">
      <c r="V730" s="202" t="str">
        <f t="shared" si="20"/>
        <v>1w</v>
      </c>
      <c r="W730" s="200">
        <f>_xll.qlCalendarAdvance(Calendar,W729,V730,"f",FALSE)</f>
        <v>43991</v>
      </c>
      <c r="X730" s="203">
        <f>_xll.qlCalendarAdvance(Calendar,W730,NDays&amp;"D")</f>
        <v>43993</v>
      </c>
      <c r="Y730" s="204">
        <v>1.0079404461306729E-2</v>
      </c>
      <c r="Z730" s="201">
        <v>9.9097510404000388E-3</v>
      </c>
    </row>
    <row r="731" spans="22:26" x14ac:dyDescent="0.2">
      <c r="V731" s="202" t="str">
        <f t="shared" si="20"/>
        <v>1w</v>
      </c>
      <c r="W731" s="200">
        <f>_xll.qlCalendarAdvance(Calendar,W730,V731,"f",FALSE)</f>
        <v>43998</v>
      </c>
      <c r="X731" s="203">
        <f>_xll.qlCalendarAdvance(Calendar,W731,NDays&amp;"D")</f>
        <v>44000</v>
      </c>
      <c r="Y731" s="204">
        <v>1.0154226309791181E-2</v>
      </c>
      <c r="Z731" s="201">
        <v>9.9843011046019114E-3</v>
      </c>
    </row>
    <row r="732" spans="22:26" x14ac:dyDescent="0.2">
      <c r="V732" s="202" t="str">
        <f t="shared" si="20"/>
        <v>1w</v>
      </c>
      <c r="W732" s="200">
        <f>_xll.qlCalendarAdvance(Calendar,W731,V732,"f",FALSE)</f>
        <v>44005</v>
      </c>
      <c r="X732" s="203">
        <f>_xll.qlCalendarAdvance(Calendar,W732,NDays&amp;"D")</f>
        <v>44007</v>
      </c>
      <c r="Y732" s="204">
        <v>1.022914205227321E-2</v>
      </c>
      <c r="Z732" s="201">
        <v>1.0058944498787525E-2</v>
      </c>
    </row>
    <row r="733" spans="22:26" x14ac:dyDescent="0.2">
      <c r="V733" s="202" t="str">
        <f t="shared" si="20"/>
        <v>1w</v>
      </c>
      <c r="W733" s="200">
        <f>_xll.qlCalendarAdvance(Calendar,W732,V733,"f",FALSE)</f>
        <v>44012</v>
      </c>
      <c r="X733" s="203">
        <f>_xll.qlCalendarAdvance(Calendar,W733,NDays&amp;"D")</f>
        <v>44014</v>
      </c>
      <c r="Y733" s="204">
        <v>1.0304151690618824E-2</v>
      </c>
      <c r="Z733" s="201">
        <v>1.0133681222956881E-2</v>
      </c>
    </row>
    <row r="734" spans="22:26" x14ac:dyDescent="0.2">
      <c r="V734" s="202" t="str">
        <f t="shared" si="20"/>
        <v>1w</v>
      </c>
      <c r="W734" s="200">
        <f>_xll.qlCalendarAdvance(Calendar,W733,V734,"f",FALSE)</f>
        <v>44019</v>
      </c>
      <c r="X734" s="203">
        <f>_xll.qlCalendarAdvance(Calendar,W734,NDays&amp;"D")</f>
        <v>44021</v>
      </c>
      <c r="Y734" s="204">
        <v>1.0379255226699025E-2</v>
      </c>
      <c r="Z734" s="201">
        <v>1.0208511277349785E-2</v>
      </c>
    </row>
    <row r="735" spans="22:26" x14ac:dyDescent="0.2">
      <c r="V735" s="202" t="str">
        <f t="shared" si="20"/>
        <v>1w</v>
      </c>
      <c r="W735" s="200">
        <f>_xll.qlCalendarAdvance(Calendar,W734,V735,"f",FALSE)</f>
        <v>44026</v>
      </c>
      <c r="X735" s="203">
        <f>_xll.qlCalendarAdvance(Calendar,W735,NDays&amp;"D")</f>
        <v>44028</v>
      </c>
      <c r="Y735" s="204">
        <v>1.0454452662384817E-2</v>
      </c>
      <c r="Z735" s="201">
        <v>1.028343466196624E-2</v>
      </c>
    </row>
    <row r="736" spans="22:26" x14ac:dyDescent="0.2">
      <c r="V736" s="202" t="str">
        <f t="shared" si="20"/>
        <v>1w</v>
      </c>
      <c r="W736" s="200">
        <f>_xll.qlCalendarAdvance(Calendar,W735,V736,"f",FALSE)</f>
        <v>44033</v>
      </c>
      <c r="X736" s="203">
        <f>_xll.qlCalendarAdvance(Calendar,W736,NDays&amp;"D")</f>
        <v>44035</v>
      </c>
      <c r="Y736" s="204">
        <v>1.0529743999552199E-2</v>
      </c>
      <c r="Z736" s="201">
        <v>1.0358451376726308E-2</v>
      </c>
    </row>
    <row r="737" spans="22:26" x14ac:dyDescent="0.2">
      <c r="V737" s="202" t="str">
        <f t="shared" si="20"/>
        <v>1w</v>
      </c>
      <c r="W737" s="200">
        <f>_xll.qlCalendarAdvance(Calendar,W736,V737,"f",FALSE)</f>
        <v>44040</v>
      </c>
      <c r="X737" s="203">
        <f>_xll.qlCalendarAdvance(Calendar,W737,NDays&amp;"D")</f>
        <v>44042</v>
      </c>
      <c r="Y737" s="204">
        <v>1.0605129240074673E-2</v>
      </c>
      <c r="Z737" s="201">
        <v>1.0433561421869797E-2</v>
      </c>
    </row>
    <row r="738" spans="22:26" x14ac:dyDescent="0.2">
      <c r="V738" s="202" t="str">
        <f t="shared" si="20"/>
        <v>1w</v>
      </c>
      <c r="W738" s="200">
        <f>_xll.qlCalendarAdvance(Calendar,W737,V738,"f",FALSE)</f>
        <v>44047</v>
      </c>
      <c r="X738" s="203">
        <f>_xll.qlCalendarAdvance(Calendar,W738,NDays&amp;"D")</f>
        <v>44049</v>
      </c>
      <c r="Y738" s="204">
        <v>1.0680608385835733E-2</v>
      </c>
      <c r="Z738" s="201">
        <v>1.0508764797396708E-2</v>
      </c>
    </row>
    <row r="739" spans="22:26" x14ac:dyDescent="0.2">
      <c r="V739" s="202" t="str">
        <f t="shared" si="20"/>
        <v>1w</v>
      </c>
      <c r="W739" s="200">
        <f>_xll.qlCalendarAdvance(Calendar,W738,V739,"f",FALSE)</f>
        <v>44054</v>
      </c>
      <c r="X739" s="203">
        <f>_xll.qlCalendarAdvance(Calendar,W739,NDays&amp;"D")</f>
        <v>44056</v>
      </c>
      <c r="Y739" s="204">
        <v>1.0756173055504747E-2</v>
      </c>
      <c r="Z739" s="201">
        <v>1.0584061503307041E-2</v>
      </c>
    </row>
    <row r="740" spans="22:26" x14ac:dyDescent="0.2">
      <c r="V740" s="202" t="str">
        <f t="shared" si="20"/>
        <v>1w</v>
      </c>
      <c r="W740" s="200">
        <f>_xll.qlCalendarAdvance(Calendar,W739,V740,"f",FALSE)</f>
        <v>44061</v>
      </c>
      <c r="X740" s="203">
        <f>_xll.qlCalendarAdvance(Calendar,W740,NDays&amp;"D")</f>
        <v>44063</v>
      </c>
      <c r="Y740" s="204">
        <v>1.0831763131910477E-2</v>
      </c>
      <c r="Z740" s="201">
        <v>1.0659451539680731E-2</v>
      </c>
    </row>
    <row r="741" spans="22:26" x14ac:dyDescent="0.2">
      <c r="V741" s="202" t="str">
        <f t="shared" si="20"/>
        <v>1w</v>
      </c>
      <c r="W741" s="200">
        <f>_xll.qlCalendarAdvance(Calendar,W740,V741,"f",FALSE)</f>
        <v>44068</v>
      </c>
      <c r="X741" s="203">
        <f>_xll.qlCalendarAdvance(Calendar,W741,NDays&amp;"D")</f>
        <v>44070</v>
      </c>
      <c r="Y741" s="204">
        <v>1.0907298779931907E-2</v>
      </c>
      <c r="Z741" s="201">
        <v>1.0734934906597715E-2</v>
      </c>
    </row>
    <row r="742" spans="22:26" x14ac:dyDescent="0.2">
      <c r="V742" s="202" t="str">
        <f t="shared" si="20"/>
        <v>1w</v>
      </c>
      <c r="W742" s="200">
        <f>_xll.qlCalendarAdvance(Calendar,W741,V742,"f",FALSE)</f>
        <v>44075</v>
      </c>
      <c r="X742" s="203">
        <f>_xll.qlCalendarAdvance(Calendar,W742,NDays&amp;"D")</f>
        <v>44077</v>
      </c>
      <c r="Y742" s="204">
        <v>1.0982700123498279E-2</v>
      </c>
      <c r="Z742" s="201">
        <v>1.0810511604137929E-2</v>
      </c>
    </row>
    <row r="743" spans="22:26" x14ac:dyDescent="0.2">
      <c r="V743" s="202" t="str">
        <f t="shared" si="20"/>
        <v>1w</v>
      </c>
      <c r="W743" s="200">
        <f>_xll.qlCalendarAdvance(Calendar,W742,V743,"f",FALSE)</f>
        <v>44082</v>
      </c>
      <c r="X743" s="203">
        <f>_xll.qlCalendarAdvance(Calendar,W743,NDays&amp;"D")</f>
        <v>44084</v>
      </c>
      <c r="Y743" s="204">
        <v>1.1057887594894678E-2</v>
      </c>
      <c r="Z743" s="201">
        <v>1.0886158056919726E-2</v>
      </c>
    </row>
    <row r="744" spans="22:26" x14ac:dyDescent="0.2">
      <c r="V744" s="202" t="str">
        <f t="shared" si="20"/>
        <v>1w</v>
      </c>
      <c r="W744" s="200">
        <f>_xll.qlCalendarAdvance(Calendar,W743,V744,"f",FALSE)</f>
        <v>44089</v>
      </c>
      <c r="X744" s="203">
        <f>_xll.qlCalendarAdvance(Calendar,W744,NDays&amp;"D")</f>
        <v>44091</v>
      </c>
      <c r="Y744" s="204">
        <v>1.1132808676583283E-2</v>
      </c>
      <c r="Z744" s="201">
        <v>1.0961608732067418E-2</v>
      </c>
    </row>
    <row r="745" spans="22:26" x14ac:dyDescent="0.2">
      <c r="V745" s="202" t="str">
        <f t="shared" si="20"/>
        <v>1w</v>
      </c>
      <c r="W745" s="200">
        <f>_xll.qlCalendarAdvance(Calendar,W744,V745,"f",FALSE)</f>
        <v>44096</v>
      </c>
      <c r="X745" s="203">
        <f>_xll.qlCalendarAdvance(Calendar,W745,NDays&amp;"D")</f>
        <v>44098</v>
      </c>
      <c r="Y745" s="204">
        <v>1.1207458511649226E-2</v>
      </c>
      <c r="Z745" s="201">
        <v>1.1036787940126302E-2</v>
      </c>
    </row>
    <row r="746" spans="22:26" x14ac:dyDescent="0.2">
      <c r="V746" s="202" t="str">
        <f t="shared" si="20"/>
        <v>1w</v>
      </c>
      <c r="W746" s="200">
        <f>_xll.qlCalendarAdvance(Calendar,W745,V746,"f",FALSE)</f>
        <v>44103</v>
      </c>
      <c r="X746" s="203">
        <f>_xll.qlCalendarAdvance(Calendar,W746,NDays&amp;"D")</f>
        <v>44105</v>
      </c>
      <c r="Y746" s="204">
        <v>1.1281837094691827E-2</v>
      </c>
      <c r="Z746" s="201">
        <v>1.1111695680776634E-2</v>
      </c>
    </row>
    <row r="747" spans="22:26" x14ac:dyDescent="0.2">
      <c r="V747" s="202" t="str">
        <f t="shared" si="20"/>
        <v>1w</v>
      </c>
      <c r="W747" s="200">
        <f>_xll.qlCalendarAdvance(Calendar,W746,V747,"f",FALSE)</f>
        <v>44110</v>
      </c>
      <c r="X747" s="203">
        <f>_xll.qlCalendarAdvance(Calendar,W747,NDays&amp;"D")</f>
        <v>44112</v>
      </c>
      <c r="Y747" s="204">
        <v>1.135594442032789E-2</v>
      </c>
      <c r="Z747" s="201">
        <v>1.1186331954018414E-2</v>
      </c>
    </row>
    <row r="748" spans="22:26" x14ac:dyDescent="0.2">
      <c r="V748" s="202" t="str">
        <f t="shared" si="20"/>
        <v>1w</v>
      </c>
      <c r="W748" s="200">
        <f>_xll.qlCalendarAdvance(Calendar,W747,V748,"f",FALSE)</f>
        <v>44117</v>
      </c>
      <c r="X748" s="203">
        <f>_xll.qlCalendarAdvance(Calendar,W748,NDays&amp;"D")</f>
        <v>44119</v>
      </c>
      <c r="Y748" s="204">
        <v>1.1429780483196705E-2</v>
      </c>
      <c r="Z748" s="201">
        <v>1.1260696759611832E-2</v>
      </c>
    </row>
    <row r="749" spans="22:26" x14ac:dyDescent="0.2">
      <c r="V749" s="202" t="str">
        <f t="shared" si="20"/>
        <v>1w</v>
      </c>
      <c r="W749" s="200">
        <f>_xll.qlCalendarAdvance(Calendar,W748,V749,"f",FALSE)</f>
        <v>44124</v>
      </c>
      <c r="X749" s="203">
        <f>_xll.qlCalendarAdvance(Calendar,W749,NDays&amp;"D")</f>
        <v>44126</v>
      </c>
      <c r="Y749" s="204">
        <v>1.1503345277957544E-2</v>
      </c>
      <c r="Z749" s="201">
        <v>1.1334790097317082E-2</v>
      </c>
    </row>
    <row r="750" spans="22:26" x14ac:dyDescent="0.2">
      <c r="V750" s="202" t="str">
        <f t="shared" si="20"/>
        <v>1w</v>
      </c>
      <c r="W750" s="200">
        <f>_xll.qlCalendarAdvance(Calendar,W749,V750,"f",FALSE)</f>
        <v>44131</v>
      </c>
      <c r="X750" s="203">
        <f>_xll.qlCalendarAdvance(Calendar,W750,NDays&amp;"D")</f>
        <v>44133</v>
      </c>
      <c r="Y750" s="204">
        <v>1.1576638799287164E-2</v>
      </c>
      <c r="Z750" s="201">
        <v>1.1408611967134163E-2</v>
      </c>
    </row>
    <row r="751" spans="22:26" x14ac:dyDescent="0.2">
      <c r="V751" s="202" t="str">
        <f t="shared" si="20"/>
        <v>1w</v>
      </c>
      <c r="W751" s="200">
        <f>_xll.qlCalendarAdvance(Calendar,W750,V751,"f",FALSE)</f>
        <v>44138</v>
      </c>
      <c r="X751" s="203">
        <f>_xll.qlCalendarAdvance(Calendar,W751,NDays&amp;"D")</f>
        <v>44140</v>
      </c>
      <c r="Y751" s="204">
        <v>1.1649661041882309E-2</v>
      </c>
      <c r="Z751" s="201">
        <v>1.1482162368743332E-2</v>
      </c>
    </row>
    <row r="752" spans="22:26" x14ac:dyDescent="0.2">
      <c r="V752" s="202" t="str">
        <f t="shared" si="20"/>
        <v>1w</v>
      </c>
      <c r="W752" s="200">
        <f>_xll.qlCalendarAdvance(Calendar,W751,V752,"f",FALSE)</f>
        <v>44145</v>
      </c>
      <c r="X752" s="203">
        <f>_xll.qlCalendarAdvance(Calendar,W752,NDays&amp;"D")</f>
        <v>44147</v>
      </c>
      <c r="Y752" s="204">
        <v>1.1722412000459703E-2</v>
      </c>
      <c r="Z752" s="201">
        <v>1.1555441301984715E-2</v>
      </c>
    </row>
    <row r="753" spans="22:26" x14ac:dyDescent="0.2">
      <c r="V753" s="202" t="str">
        <f t="shared" si="20"/>
        <v>1w</v>
      </c>
      <c r="W753" s="200">
        <f>_xll.qlCalendarAdvance(Calendar,W752,V753,"f",FALSE)</f>
        <v>44152</v>
      </c>
      <c r="X753" s="203">
        <f>_xll.qlCalendarAdvance(Calendar,W753,NDays&amp;"D")</f>
        <v>44154</v>
      </c>
      <c r="Y753" s="204">
        <v>1.1794891669756058E-2</v>
      </c>
      <c r="Z753" s="201">
        <v>1.1628448766858313E-2</v>
      </c>
    </row>
    <row r="754" spans="22:26" x14ac:dyDescent="0.2">
      <c r="V754" s="202" t="str">
        <f t="shared" si="20"/>
        <v>1w</v>
      </c>
      <c r="W754" s="200">
        <f>_xll.qlCalendarAdvance(Calendar,W753,V754,"f",FALSE)</f>
        <v>44159</v>
      </c>
      <c r="X754" s="203">
        <f>_xll.qlCalendarAdvance(Calendar,W754,NDays&amp;"D")</f>
        <v>44161</v>
      </c>
      <c r="Y754" s="204">
        <v>1.1867100044525569E-2</v>
      </c>
      <c r="Z754" s="201">
        <v>1.1701184763044381E-2</v>
      </c>
    </row>
    <row r="755" spans="22:26" x14ac:dyDescent="0.2">
      <c r="V755" s="202" t="str">
        <f t="shared" si="20"/>
        <v>1w</v>
      </c>
      <c r="W755" s="200">
        <f>_xll.qlCalendarAdvance(Calendar,W754,V755,"f",FALSE)</f>
        <v>44166</v>
      </c>
      <c r="X755" s="203">
        <f>_xll.qlCalendarAdvance(Calendar,W755,NDays&amp;"D")</f>
        <v>44168</v>
      </c>
      <c r="Y755" s="204">
        <v>1.1939037119549911E-2</v>
      </c>
      <c r="Z755" s="201">
        <v>1.1773649290383048E-2</v>
      </c>
    </row>
    <row r="756" spans="22:26" x14ac:dyDescent="0.2">
      <c r="V756" s="202" t="str">
        <f t="shared" si="20"/>
        <v>1w</v>
      </c>
      <c r="W756" s="200">
        <f>_xll.qlCalendarAdvance(Calendar,W755,V756,"f",FALSE)</f>
        <v>44173</v>
      </c>
      <c r="X756" s="203">
        <f>_xll.qlCalendarAdvance(Calendar,W756,NDays&amp;"D")</f>
        <v>44175</v>
      </c>
      <c r="Y756" s="204">
        <v>1.2010702889615754E-2</v>
      </c>
      <c r="Z756" s="201">
        <v>1.1845842348794378E-2</v>
      </c>
    </row>
    <row r="757" spans="22:26" x14ac:dyDescent="0.2">
      <c r="V757" s="202" t="str">
        <f t="shared" si="20"/>
        <v>1w</v>
      </c>
      <c r="W757" s="200">
        <f>_xll.qlCalendarAdvance(Calendar,W756,V757,"f",FALSE)</f>
        <v>44180</v>
      </c>
      <c r="X757" s="203">
        <f>_xll.qlCalendarAdvance(Calendar,W757,NDays&amp;"D")</f>
        <v>44182</v>
      </c>
      <c r="Y757" s="204">
        <v>1.2082097349542242E-2</v>
      </c>
      <c r="Z757" s="201">
        <v>1.1917763937958625E-2</v>
      </c>
    </row>
    <row r="758" spans="22:26" x14ac:dyDescent="0.2">
      <c r="V758" s="202" t="str">
        <f t="shared" si="20"/>
        <v>1w</v>
      </c>
      <c r="W758" s="200">
        <f>_xll.qlCalendarAdvance(Calendar,W757,V758,"f",FALSE)</f>
        <v>44187</v>
      </c>
      <c r="X758" s="203">
        <f>_xll.qlCalendarAdvance(Calendar,W758,NDays&amp;"D")</f>
        <v>44189</v>
      </c>
      <c r="Y758" s="204">
        <v>1.2153220494163508E-2</v>
      </c>
      <c r="Z758" s="201">
        <v>1.2005329359832118E-2</v>
      </c>
    </row>
    <row r="759" spans="22:26" x14ac:dyDescent="0.2">
      <c r="V759" s="202" t="str">
        <f t="shared" si="20"/>
        <v>1w</v>
      </c>
      <c r="W759" s="200">
        <f>_xll.qlCalendarAdvance(Calendar,W758,V759,"f",FALSE)</f>
        <v>44194</v>
      </c>
      <c r="X759" s="203">
        <f>_xll.qlCalendarAdvance(Calendar,W759,NDays&amp;"D")</f>
        <v>44196</v>
      </c>
      <c r="Y759" s="204">
        <v>1.220833408439638E-2</v>
      </c>
      <c r="Z759" s="201">
        <v>1.2076656994550738E-2</v>
      </c>
    </row>
    <row r="760" spans="22:26" x14ac:dyDescent="0.2">
      <c r="V760" s="202" t="str">
        <f t="shared" si="20"/>
        <v>1w</v>
      </c>
      <c r="W760" s="200">
        <f>_xll.qlCalendarAdvance(Calendar,W759,V760,"f",FALSE)</f>
        <v>44201</v>
      </c>
      <c r="X760" s="203">
        <f>_xll.qlCalendarAdvance(Calendar,W760,NDays&amp;"D")</f>
        <v>44203</v>
      </c>
      <c r="Y760" s="204">
        <v>1.2294652816929319E-2</v>
      </c>
      <c r="Z760" s="201">
        <v>1.2131899889169517E-2</v>
      </c>
    </row>
    <row r="761" spans="22:26" x14ac:dyDescent="0.2">
      <c r="V761" s="202" t="str">
        <f t="shared" si="20"/>
        <v>1w</v>
      </c>
      <c r="W761" s="200">
        <f>_xll.qlCalendarAdvance(Calendar,W760,V761,"f",FALSE)</f>
        <v>44208</v>
      </c>
      <c r="X761" s="203">
        <f>_xll.qlCalendarAdvance(Calendar,W761,NDays&amp;"D")</f>
        <v>44210</v>
      </c>
      <c r="Y761" s="204">
        <v>1.2364961984837053E-2</v>
      </c>
      <c r="Z761" s="201">
        <v>1.2202735600226333E-2</v>
      </c>
    </row>
    <row r="762" spans="22:26" x14ac:dyDescent="0.2">
      <c r="V762" s="202" t="str">
        <f t="shared" si="20"/>
        <v>1w</v>
      </c>
      <c r="W762" s="200">
        <f>_xll.qlCalendarAdvance(Calendar,W761,V762,"f",FALSE)</f>
        <v>44215</v>
      </c>
      <c r="X762" s="203">
        <f>_xll.qlCalendarAdvance(Calendar,W762,NDays&amp;"D")</f>
        <v>44217</v>
      </c>
      <c r="Y762" s="204">
        <v>1.2434999816973435E-2</v>
      </c>
      <c r="Z762" s="201">
        <v>1.2273299841396579E-2</v>
      </c>
    </row>
    <row r="763" spans="22:26" x14ac:dyDescent="0.2">
      <c r="V763" s="202" t="str">
        <f t="shared" si="20"/>
        <v>1w</v>
      </c>
      <c r="W763" s="200">
        <f>_xll.qlCalendarAdvance(Calendar,W762,V763,"f",FALSE)</f>
        <v>44222</v>
      </c>
      <c r="X763" s="203">
        <f>_xll.qlCalendarAdvance(Calendar,W763,NDays&amp;"D")</f>
        <v>44224</v>
      </c>
      <c r="Y763" s="204">
        <v>1.2489231755108944E-2</v>
      </c>
      <c r="Z763" s="201">
        <v>1.234359261236051E-2</v>
      </c>
    </row>
    <row r="764" spans="22:26" x14ac:dyDescent="0.2">
      <c r="V764" s="202" t="str">
        <f t="shared" si="20"/>
        <v>1w</v>
      </c>
      <c r="W764" s="200">
        <f>_xll.qlCalendarAdvance(Calendar,W763,V764,"f",FALSE)</f>
        <v>44229</v>
      </c>
      <c r="X764" s="203">
        <f>_xll.qlCalendarAdvance(Calendar,W764,NDays&amp;"D")</f>
        <v>44231</v>
      </c>
      <c r="Y764" s="204">
        <v>1.2553613577590867E-2</v>
      </c>
      <c r="Z764" s="201">
        <v>1.2413613913118127E-2</v>
      </c>
    </row>
    <row r="765" spans="22:26" x14ac:dyDescent="0.2">
      <c r="V765" s="202" t="str">
        <f t="shared" si="20"/>
        <v>1w</v>
      </c>
      <c r="W765" s="200">
        <f>_xll.qlCalendarAdvance(Calendar,W764,V765,"f",FALSE)</f>
        <v>44236</v>
      </c>
      <c r="X765" s="203">
        <f>_xll.qlCalendarAdvance(Calendar,W765,NDays&amp;"D")</f>
        <v>44238</v>
      </c>
      <c r="Y765" s="204">
        <v>1.2622905214045219E-2</v>
      </c>
      <c r="Z765" s="201">
        <v>1.2483363743429621E-2</v>
      </c>
    </row>
    <row r="766" spans="22:26" x14ac:dyDescent="0.2">
      <c r="V766" s="202" t="str">
        <f t="shared" si="20"/>
        <v>1w</v>
      </c>
      <c r="W766" s="200">
        <f>_xll.qlCalendarAdvance(Calendar,W765,V766,"f",FALSE)</f>
        <v>44243</v>
      </c>
      <c r="X766" s="203">
        <f>_xll.qlCalendarAdvance(Calendar,W766,NDays&amp;"D")</f>
        <v>44245</v>
      </c>
      <c r="Y766" s="204">
        <v>1.2691925480955593E-2</v>
      </c>
      <c r="Z766" s="201">
        <v>1.255284210313512E-2</v>
      </c>
    </row>
    <row r="767" spans="22:26" x14ac:dyDescent="0.2">
      <c r="V767" s="202" t="str">
        <f t="shared" si="20"/>
        <v>1w</v>
      </c>
      <c r="W767" s="200">
        <f>_xll.qlCalendarAdvance(Calendar,W766,V767,"f",FALSE)</f>
        <v>44250</v>
      </c>
      <c r="X767" s="203">
        <f>_xll.qlCalendarAdvance(Calendar,W767,NDays&amp;"D")</f>
        <v>44252</v>
      </c>
      <c r="Y767" s="204">
        <v>1.2760674373948344E-2</v>
      </c>
      <c r="Z767" s="201">
        <v>1.2622048992154689E-2</v>
      </c>
    </row>
    <row r="768" spans="22:26" x14ac:dyDescent="0.2">
      <c r="V768" s="202" t="str">
        <f t="shared" si="20"/>
        <v>1w</v>
      </c>
      <c r="W768" s="200">
        <f>_xll.qlCalendarAdvance(Calendar,W767,V768,"f",FALSE)</f>
        <v>44257</v>
      </c>
      <c r="X768" s="203">
        <f>_xll.qlCalendarAdvance(Calendar,W768,NDays&amp;"D")</f>
        <v>44259</v>
      </c>
      <c r="Y768" s="204">
        <v>1.2854618886898419E-2</v>
      </c>
      <c r="Z768" s="201">
        <v>1.2690984410248518E-2</v>
      </c>
    </row>
    <row r="769" spans="22:26" x14ac:dyDescent="0.2">
      <c r="V769" s="202" t="str">
        <f t="shared" si="20"/>
        <v>1w</v>
      </c>
      <c r="W769" s="200">
        <f>_xll.qlCalendarAdvance(Calendar,W768,V769,"f",FALSE)</f>
        <v>44264</v>
      </c>
      <c r="X769" s="203">
        <f>_xll.qlCalendarAdvance(Calendar,W769,NDays&amp;"D")</f>
        <v>44266</v>
      </c>
      <c r="Y769" s="204">
        <v>1.2917666817123807E-2</v>
      </c>
      <c r="Z769" s="201">
        <v>1.2759648357256737E-2</v>
      </c>
    </row>
    <row r="770" spans="22:26" x14ac:dyDescent="0.2">
      <c r="V770" s="202" t="str">
        <f t="shared" si="20"/>
        <v>1w</v>
      </c>
      <c r="W770" s="200">
        <f>_xll.qlCalendarAdvance(Calendar,W769,V770,"f",FALSE)</f>
        <v>44271</v>
      </c>
      <c r="X770" s="203">
        <f>_xll.qlCalendarAdvance(Calendar,W770,NDays&amp;"D")</f>
        <v>44273</v>
      </c>
      <c r="Y770" s="204">
        <v>1.2985533782303993E-2</v>
      </c>
      <c r="Z770" s="201">
        <v>1.2828040833099408E-2</v>
      </c>
    </row>
    <row r="771" spans="22:26" x14ac:dyDescent="0.2">
      <c r="V771" s="202" t="str">
        <f t="shared" si="20"/>
        <v>1w</v>
      </c>
      <c r="W771" s="200">
        <f>_xll.qlCalendarAdvance(Calendar,W770,V771,"f",FALSE)</f>
        <v>44278</v>
      </c>
      <c r="X771" s="203">
        <f>_xll.qlCalendarAdvance(Calendar,W771,NDays&amp;"D")</f>
        <v>44280</v>
      </c>
      <c r="Y771" s="204">
        <v>1.3053129366808747E-2</v>
      </c>
      <c r="Z771" s="201">
        <v>1.2896161837536724E-2</v>
      </c>
    </row>
    <row r="772" spans="22:26" x14ac:dyDescent="0.2">
      <c r="V772" s="202" t="str">
        <f t="shared" si="20"/>
        <v>1w</v>
      </c>
      <c r="W772" s="200">
        <f>_xll.qlCalendarAdvance(Calendar,W771,V772,"f",FALSE)</f>
        <v>44285</v>
      </c>
      <c r="X772" s="203">
        <f>_xll.qlCalendarAdvance(Calendar,W772,NDays&amp;"D")</f>
        <v>44287</v>
      </c>
      <c r="Y772" s="204">
        <v>1.3120453565749479E-2</v>
      </c>
      <c r="Z772" s="201">
        <v>1.2984278066666022E-2</v>
      </c>
    </row>
    <row r="773" spans="22:26" x14ac:dyDescent="0.2">
      <c r="V773" s="202" t="str">
        <f t="shared" si="20"/>
        <v>1w</v>
      </c>
      <c r="W773" s="200">
        <f>_xll.qlCalendarAdvance(Calendar,W772,V773,"f",FALSE)</f>
        <v>44292</v>
      </c>
      <c r="X773" s="203">
        <f>_xll.qlCalendarAdvance(Calendar,W773,NDays&amp;"D")</f>
        <v>44294</v>
      </c>
      <c r="Y773" s="204">
        <v>1.3187506374255087E-2</v>
      </c>
      <c r="Z773" s="201">
        <v>1.3031589431715673E-2</v>
      </c>
    </row>
    <row r="774" spans="22:26" x14ac:dyDescent="0.2">
      <c r="V774" s="202" t="str">
        <f t="shared" si="20"/>
        <v>1w</v>
      </c>
      <c r="W774" s="200">
        <f>_xll.qlCalendarAdvance(Calendar,W773,V774,"f",FALSE)</f>
        <v>44299</v>
      </c>
      <c r="X774" s="203">
        <f>_xll.qlCalendarAdvance(Calendar,W774,NDays&amp;"D")</f>
        <v>44301</v>
      </c>
      <c r="Y774" s="204">
        <v>1.325428778747445E-2</v>
      </c>
      <c r="Z774" s="201">
        <v>1.3098896021217499E-2</v>
      </c>
    </row>
    <row r="775" spans="22:26" x14ac:dyDescent="0.2">
      <c r="V775" s="202" t="str">
        <f t="shared" si="20"/>
        <v>1w</v>
      </c>
      <c r="W775" s="200">
        <f>_xll.qlCalendarAdvance(Calendar,W774,V775,"f",FALSE)</f>
        <v>44306</v>
      </c>
      <c r="X775" s="203">
        <f>_xll.qlCalendarAdvance(Calendar,W775,NDays&amp;"D")</f>
        <v>44308</v>
      </c>
      <c r="Y775" s="204">
        <v>1.3320797800571438E-2</v>
      </c>
      <c r="Z775" s="201">
        <v>1.316593113867448E-2</v>
      </c>
    </row>
    <row r="776" spans="22:26" x14ac:dyDescent="0.2">
      <c r="V776" s="202" t="str">
        <f t="shared" si="20"/>
        <v>1w</v>
      </c>
      <c r="W776" s="200">
        <f>_xll.qlCalendarAdvance(Calendar,W775,V776,"f",FALSE)</f>
        <v>44313</v>
      </c>
      <c r="X776" s="203">
        <f>_xll.qlCalendarAdvance(Calendar,W776,NDays&amp;"D")</f>
        <v>44315</v>
      </c>
      <c r="Y776" s="204">
        <v>1.3387036408737396E-2</v>
      </c>
      <c r="Z776" s="201">
        <v>1.3232694784006682E-2</v>
      </c>
    </row>
    <row r="777" spans="22:26" x14ac:dyDescent="0.2">
      <c r="V777" s="202" t="str">
        <f t="shared" si="20"/>
        <v>1w</v>
      </c>
      <c r="W777" s="200">
        <f>_xll.qlCalendarAdvance(Calendar,W776,V777,"f",FALSE)</f>
        <v>44320</v>
      </c>
      <c r="X777" s="203">
        <f>_xll.qlCalendarAdvance(Calendar,W777,NDays&amp;"D")</f>
        <v>44322</v>
      </c>
      <c r="Y777" s="204">
        <v>1.345300360717866E-2</v>
      </c>
      <c r="Z777" s="201">
        <v>1.3299186957134168E-2</v>
      </c>
    </row>
    <row r="778" spans="22:26" x14ac:dyDescent="0.2">
      <c r="V778" s="202" t="str">
        <f t="shared" si="20"/>
        <v>1w</v>
      </c>
      <c r="W778" s="200">
        <f>_xll.qlCalendarAdvance(Calendar,W777,V778,"f",FALSE)</f>
        <v>44327</v>
      </c>
      <c r="X778" s="203">
        <f>_xll.qlCalendarAdvance(Calendar,W778,NDays&amp;"D")</f>
        <v>44329</v>
      </c>
      <c r="Y778" s="204">
        <v>1.3518699391119049E-2</v>
      </c>
      <c r="Z778" s="201">
        <v>1.3365407657737194E-2</v>
      </c>
    </row>
    <row r="779" spans="22:26" x14ac:dyDescent="0.2">
      <c r="V779" s="202" t="str">
        <f t="shared" si="20"/>
        <v>1w</v>
      </c>
      <c r="W779" s="200">
        <f>_xll.qlCalendarAdvance(Calendar,W778,V779,"f",FALSE)</f>
        <v>44334</v>
      </c>
      <c r="X779" s="203">
        <f>_xll.qlCalendarAdvance(Calendar,W779,NDays&amp;"D")</f>
        <v>44336</v>
      </c>
      <c r="Y779" s="204">
        <v>1.3584123755804867E-2</v>
      </c>
      <c r="Z779" s="201">
        <v>1.3431356885815759E-2</v>
      </c>
    </row>
    <row r="780" spans="22:26" x14ac:dyDescent="0.2">
      <c r="V780" s="202" t="str">
        <f t="shared" si="20"/>
        <v>1w</v>
      </c>
      <c r="W780" s="200">
        <f>_xll.qlCalendarAdvance(Calendar,W779,V780,"f",FALSE)</f>
        <v>44341</v>
      </c>
      <c r="X780" s="203">
        <f>_xll.qlCalendarAdvance(Calendar,W780,NDays&amp;"D")</f>
        <v>44343</v>
      </c>
      <c r="Y780" s="204">
        <v>1.3649276696509893E-2</v>
      </c>
      <c r="Z780" s="201">
        <v>1.3497034641130057E-2</v>
      </c>
    </row>
    <row r="781" spans="22:26" x14ac:dyDescent="0.2">
      <c r="V781" s="202" t="str">
        <f t="shared" si="20"/>
        <v>1w</v>
      </c>
      <c r="W781" s="200">
        <f>_xll.qlCalendarAdvance(Calendar,W780,V781,"f",FALSE)</f>
        <v>44348</v>
      </c>
      <c r="X781" s="203">
        <f>_xll.qlCalendarAdvance(Calendar,W781,NDays&amp;"D")</f>
        <v>44350</v>
      </c>
      <c r="Y781" s="204">
        <v>1.3714158208510407E-2</v>
      </c>
      <c r="Z781" s="201">
        <v>1.356244092360015E-2</v>
      </c>
    </row>
    <row r="782" spans="22:26" x14ac:dyDescent="0.2">
      <c r="V782" s="202" t="str">
        <f t="shared" si="20"/>
        <v>1w</v>
      </c>
      <c r="W782" s="200">
        <f>_xll.qlCalendarAdvance(Calendar,W781,V782,"f",FALSE)</f>
        <v>44355</v>
      </c>
      <c r="X782" s="203">
        <f>_xll.qlCalendarAdvance(Calendar,W782,NDays&amp;"D")</f>
        <v>44357</v>
      </c>
      <c r="Y782" s="204">
        <v>1.3778768287115162E-2</v>
      </c>
      <c r="Z782" s="201">
        <v>1.3627575733066166E-2</v>
      </c>
    </row>
    <row r="783" spans="22:26" x14ac:dyDescent="0.2">
      <c r="V783" s="202" t="str">
        <f t="shared" si="20"/>
        <v>1w</v>
      </c>
      <c r="W783" s="200">
        <f>_xll.qlCalendarAdvance(Calendar,W782,V783,"f",FALSE)</f>
        <v>44362</v>
      </c>
      <c r="X783" s="203">
        <f>_xll.qlCalendarAdvance(Calendar,W783,NDays&amp;"D")</f>
        <v>44364</v>
      </c>
      <c r="Y783" s="204">
        <v>1.3843106927650395E-2</v>
      </c>
      <c r="Z783" s="201">
        <v>1.3692439069368234E-2</v>
      </c>
    </row>
    <row r="784" spans="22:26" x14ac:dyDescent="0.2">
      <c r="V784" s="202" t="str">
        <f t="shared" si="20"/>
        <v>1w</v>
      </c>
      <c r="W784" s="200">
        <f>_xll.qlCalendarAdvance(Calendar,W783,V784,"f",FALSE)</f>
        <v>44369</v>
      </c>
      <c r="X784" s="203">
        <f>_xll.qlCalendarAdvance(Calendar,W784,NDays&amp;"D")</f>
        <v>44371</v>
      </c>
      <c r="Y784" s="204">
        <v>1.3907174125457333E-2</v>
      </c>
      <c r="Z784" s="201">
        <v>1.3757030932266545E-2</v>
      </c>
    </row>
    <row r="785" spans="22:26" x14ac:dyDescent="0.2">
      <c r="V785" s="202" t="str">
        <f t="shared" si="20"/>
        <v>1w</v>
      </c>
      <c r="W785" s="200">
        <f>_xll.qlCalendarAdvance(Calendar,W784,V785,"f",FALSE)</f>
        <v>44376</v>
      </c>
      <c r="X785" s="203">
        <f>_xll.qlCalendarAdvance(Calendar,W785,NDays&amp;"D")</f>
        <v>44378</v>
      </c>
      <c r="Y785" s="204">
        <v>1.3970969875902184E-2</v>
      </c>
      <c r="Z785" s="201">
        <v>1.3821351321761099E-2</v>
      </c>
    </row>
    <row r="786" spans="22:26" x14ac:dyDescent="0.2">
      <c r="V786" s="202" t="str">
        <f t="shared" si="20"/>
        <v>1w</v>
      </c>
      <c r="W786" s="200">
        <f>_xll.qlCalendarAdvance(Calendar,W785,V786,"f",FALSE)</f>
        <v>44383</v>
      </c>
      <c r="X786" s="203">
        <f>_xll.qlCalendarAdvance(Calendar,W786,NDays&amp;"D")</f>
        <v>44385</v>
      </c>
      <c r="Y786" s="204">
        <v>1.4034494174368639E-2</v>
      </c>
      <c r="Z786" s="201">
        <v>1.3885400237612089E-2</v>
      </c>
    </row>
    <row r="787" spans="22:26" x14ac:dyDescent="0.2">
      <c r="V787" s="202" t="str">
        <f t="shared" si="20"/>
        <v>1w</v>
      </c>
      <c r="W787" s="200">
        <f>_xll.qlCalendarAdvance(Calendar,W786,V787,"f",FALSE)</f>
        <v>44390</v>
      </c>
      <c r="X787" s="203">
        <f>_xll.qlCalendarAdvance(Calendar,W787,NDays&amp;"D")</f>
        <v>44392</v>
      </c>
      <c r="Y787" s="204">
        <v>1.4097747016260376E-2</v>
      </c>
      <c r="Z787" s="201">
        <v>1.3949177679819513E-2</v>
      </c>
    </row>
    <row r="788" spans="22:26" x14ac:dyDescent="0.2">
      <c r="V788" s="202" t="str">
        <f t="shared" si="20"/>
        <v>1w</v>
      </c>
      <c r="W788" s="200">
        <f>_xll.qlCalendarAdvance(Calendar,W787,V788,"f",FALSE)</f>
        <v>44397</v>
      </c>
      <c r="X788" s="203">
        <f>_xll.qlCalendarAdvance(Calendar,W788,NDays&amp;"D")</f>
        <v>44399</v>
      </c>
      <c r="Y788" s="204">
        <v>1.4160728396996058E-2</v>
      </c>
      <c r="Z788" s="201">
        <v>1.4012683647983692E-2</v>
      </c>
    </row>
    <row r="789" spans="22:26" x14ac:dyDescent="0.2">
      <c r="V789" s="202" t="str">
        <f t="shared" ref="V789:V852" si="21">V788</f>
        <v>1w</v>
      </c>
      <c r="W789" s="200">
        <f>_xll.qlCalendarAdvance(Calendar,W788,V789,"f",FALSE)</f>
        <v>44404</v>
      </c>
      <c r="X789" s="203">
        <f>_xll.qlCalendarAdvance(Calendar,W789,NDays&amp;"D")</f>
        <v>44406</v>
      </c>
      <c r="Y789" s="204">
        <v>1.4223438312024328E-2</v>
      </c>
      <c r="Z789" s="201">
        <v>1.4075918142184562E-2</v>
      </c>
    </row>
    <row r="790" spans="22:26" x14ac:dyDescent="0.2">
      <c r="V790" s="202" t="str">
        <f t="shared" si="21"/>
        <v>1w</v>
      </c>
      <c r="W790" s="200">
        <f>_xll.qlCalendarAdvance(Calendar,W789,V790,"f",FALSE)</f>
        <v>44411</v>
      </c>
      <c r="X790" s="203">
        <f>_xll.qlCalendarAdvance(Calendar,W790,NDays&amp;"D")</f>
        <v>44413</v>
      </c>
      <c r="Y790" s="204">
        <v>1.4285876756803817E-2</v>
      </c>
      <c r="Z790" s="201">
        <v>1.4138881162182315E-2</v>
      </c>
    </row>
    <row r="791" spans="22:26" x14ac:dyDescent="0.2">
      <c r="V791" s="202" t="str">
        <f t="shared" si="21"/>
        <v>1w</v>
      </c>
      <c r="W791" s="200">
        <f>_xll.qlCalendarAdvance(Calendar,W790,V791,"f",FALSE)</f>
        <v>44418</v>
      </c>
      <c r="X791" s="203">
        <f>_xll.qlCalendarAdvance(Calendar,W791,NDays&amp;"D")</f>
        <v>44420</v>
      </c>
      <c r="Y791" s="204">
        <v>1.4348043393055121E-2</v>
      </c>
      <c r="Z791" s="201">
        <v>1.4201572707817078E-2</v>
      </c>
    </row>
    <row r="792" spans="22:26" x14ac:dyDescent="0.2">
      <c r="V792" s="202" t="str">
        <f t="shared" si="21"/>
        <v>1w</v>
      </c>
      <c r="W792" s="200">
        <f>_xll.qlCalendarAdvance(Calendar,W791,V792,"f",FALSE)</f>
        <v>44425</v>
      </c>
      <c r="X792" s="203">
        <f>_xll.qlCalendarAdvance(Calendar,W792,NDays&amp;"D")</f>
        <v>44427</v>
      </c>
      <c r="Y792" s="204">
        <v>1.4409934603614172E-2</v>
      </c>
      <c r="Z792" s="201">
        <v>1.4263992779008916E-2</v>
      </c>
    </row>
    <row r="793" spans="22:26" x14ac:dyDescent="0.2">
      <c r="V793" s="202" t="str">
        <f t="shared" si="21"/>
        <v>1w</v>
      </c>
      <c r="W793" s="200">
        <f>_xll.qlCalendarAdvance(Calendar,W792,V793,"f",FALSE)</f>
        <v>44432</v>
      </c>
      <c r="X793" s="203">
        <f>_xll.qlCalendarAdvance(Calendar,W793,NDays&amp;"D")</f>
        <v>44434</v>
      </c>
      <c r="Y793" s="204">
        <v>1.4471544910170664E-2</v>
      </c>
      <c r="Z793" s="201">
        <v>1.4326141375597956E-2</v>
      </c>
    </row>
    <row r="794" spans="22:26" x14ac:dyDescent="0.2">
      <c r="V794" s="202" t="str">
        <f t="shared" si="21"/>
        <v>1w</v>
      </c>
      <c r="W794" s="200">
        <f>_xll.qlCalendarAdvance(Calendar,W793,V794,"f",FALSE)</f>
        <v>44439</v>
      </c>
      <c r="X794" s="203">
        <f>_xll.qlCalendarAdvance(Calendar,W794,NDays&amp;"D")</f>
        <v>44441</v>
      </c>
      <c r="Y794" s="204">
        <v>1.4532868812966449E-2</v>
      </c>
      <c r="Z794" s="201">
        <v>1.4388018497424326E-2</v>
      </c>
    </row>
    <row r="795" spans="22:26" x14ac:dyDescent="0.2">
      <c r="V795" s="202" t="str">
        <f t="shared" si="21"/>
        <v>1w</v>
      </c>
      <c r="W795" s="200">
        <f>_xll.qlCalendarAdvance(Calendar,W794,V795,"f",FALSE)</f>
        <v>44446</v>
      </c>
      <c r="X795" s="203">
        <f>_xll.qlCalendarAdvance(Calendar,W795,NDays&amp;"D")</f>
        <v>44448</v>
      </c>
      <c r="Y795" s="204">
        <v>1.4593900814808825E-2</v>
      </c>
      <c r="Z795" s="201">
        <v>1.4449623547045931E-2</v>
      </c>
    </row>
    <row r="796" spans="22:26" x14ac:dyDescent="0.2">
      <c r="V796" s="202" t="str">
        <f t="shared" si="21"/>
        <v>1w</v>
      </c>
      <c r="W796" s="200">
        <f>_xll.qlCalendarAdvance(Calendar,W795,V796,"f",FALSE)</f>
        <v>44453</v>
      </c>
      <c r="X796" s="203">
        <f>_xll.qlCalendarAdvance(Calendar,W796,NDays&amp;"D")</f>
        <v>44455</v>
      </c>
      <c r="Y796" s="204">
        <v>1.4654636774852625E-2</v>
      </c>
      <c r="Z796" s="201">
        <v>1.4510939798002553E-2</v>
      </c>
    </row>
    <row r="797" spans="22:26" x14ac:dyDescent="0.2">
      <c r="V797" s="202" t="str">
        <f t="shared" si="21"/>
        <v>1w</v>
      </c>
      <c r="W797" s="200">
        <f>_xll.qlCalendarAdvance(Calendar,W796,V797,"f",FALSE)</f>
        <v>44460</v>
      </c>
      <c r="X797" s="203">
        <f>_xll.qlCalendarAdvance(Calendar,W797,NDays&amp;"D")</f>
        <v>44462</v>
      </c>
      <c r="Y797" s="204">
        <v>1.4715076111548042E-2</v>
      </c>
      <c r="Z797" s="201">
        <v>1.4571959484586117E-2</v>
      </c>
    </row>
    <row r="798" spans="22:26" x14ac:dyDescent="0.2">
      <c r="V798" s="202" t="str">
        <f t="shared" si="21"/>
        <v>1w</v>
      </c>
      <c r="W798" s="200">
        <f>_xll.qlCalendarAdvance(Calendar,W797,V798,"f",FALSE)</f>
        <v>44467</v>
      </c>
      <c r="X798" s="203">
        <f>_xll.qlCalendarAdvance(Calendar,W798,NDays&amp;"D")</f>
        <v>44469</v>
      </c>
      <c r="Y798" s="204">
        <v>1.4761494676323345E-2</v>
      </c>
      <c r="Z798" s="201">
        <v>1.4632682606476877E-2</v>
      </c>
    </row>
    <row r="799" spans="22:26" x14ac:dyDescent="0.2">
      <c r="V799" s="202" t="str">
        <f t="shared" si="21"/>
        <v>1w</v>
      </c>
      <c r="W799" s="200">
        <f>_xll.qlCalendarAdvance(Calendar,W798,V799,"f",FALSE)</f>
        <v>44474</v>
      </c>
      <c r="X799" s="203">
        <f>_xll.qlCalendarAdvance(Calendar,W799,NDays&amp;"D")</f>
        <v>44476</v>
      </c>
      <c r="Y799" s="204">
        <v>1.4835064895798999E-2</v>
      </c>
      <c r="Z799" s="201">
        <v>1.4693109163514961E-2</v>
      </c>
    </row>
    <row r="800" spans="22:26" x14ac:dyDescent="0.2">
      <c r="V800" s="202" t="str">
        <f t="shared" si="21"/>
        <v>1w</v>
      </c>
      <c r="W800" s="200">
        <f>_xll.qlCalendarAdvance(Calendar,W799,V800,"f",FALSE)</f>
        <v>44481</v>
      </c>
      <c r="X800" s="203">
        <f>_xll.qlCalendarAdvance(Calendar,W800,NDays&amp;"D")</f>
        <v>44483</v>
      </c>
      <c r="Y800" s="204">
        <v>1.4894614333874623E-2</v>
      </c>
      <c r="Z800" s="201">
        <v>1.4753239155700371E-2</v>
      </c>
    </row>
    <row r="801" spans="22:26" x14ac:dyDescent="0.2">
      <c r="V801" s="202" t="str">
        <f t="shared" si="21"/>
        <v>1w</v>
      </c>
      <c r="W801" s="200">
        <f>_xll.qlCalendarAdvance(Calendar,W800,V801,"f",FALSE)</f>
        <v>44488</v>
      </c>
      <c r="X801" s="203">
        <f>_xll.qlCalendarAdvance(Calendar,W801,NDays&amp;"D")</f>
        <v>44490</v>
      </c>
      <c r="Y801" s="204">
        <v>1.4953867129627041E-2</v>
      </c>
      <c r="Z801" s="201">
        <v>1.4813072582873232E-2</v>
      </c>
    </row>
    <row r="802" spans="22:26" x14ac:dyDescent="0.2">
      <c r="V802" s="202" t="str">
        <f t="shared" si="21"/>
        <v>1w</v>
      </c>
      <c r="W802" s="200">
        <f>_xll.qlCalendarAdvance(Calendar,W801,V802,"f",FALSE)</f>
        <v>44495</v>
      </c>
      <c r="X802" s="203">
        <f>_xll.qlCalendarAdvance(Calendar,W802,NDays&amp;"D")</f>
        <v>44497</v>
      </c>
      <c r="Y802" s="204">
        <v>1.5012823278374998E-2</v>
      </c>
      <c r="Z802" s="201">
        <v>1.4872609444793738E-2</v>
      </c>
    </row>
    <row r="803" spans="22:26" x14ac:dyDescent="0.2">
      <c r="V803" s="202" t="str">
        <f t="shared" si="21"/>
        <v>1w</v>
      </c>
      <c r="W803" s="200">
        <f>_xll.qlCalendarAdvance(Calendar,W802,V803,"f",FALSE)</f>
        <v>44502</v>
      </c>
      <c r="X803" s="203">
        <f>_xll.qlCalendarAdvance(Calendar,W803,NDays&amp;"D")</f>
        <v>44504</v>
      </c>
      <c r="Y803" s="204">
        <v>1.5071482775457223E-2</v>
      </c>
      <c r="Z803" s="201">
        <v>1.4931849741302017E-2</v>
      </c>
    </row>
    <row r="804" spans="22:26" x14ac:dyDescent="0.2">
      <c r="V804" s="202" t="str">
        <f t="shared" si="21"/>
        <v>1w</v>
      </c>
      <c r="W804" s="200">
        <f>_xll.qlCalendarAdvance(Calendar,W803,V804,"f",FALSE)</f>
        <v>44509</v>
      </c>
      <c r="X804" s="203">
        <f>_xll.qlCalendarAdvance(Calendar,W804,NDays&amp;"D")</f>
        <v>44511</v>
      </c>
      <c r="Y804" s="204">
        <v>1.5129845616234927E-2</v>
      </c>
      <c r="Z804" s="201">
        <v>1.4990793472318131E-2</v>
      </c>
    </row>
    <row r="805" spans="22:26" x14ac:dyDescent="0.2">
      <c r="V805" s="202" t="str">
        <f t="shared" si="21"/>
        <v>1w</v>
      </c>
      <c r="W805" s="200">
        <f>_xll.qlCalendarAdvance(Calendar,W804,V805,"f",FALSE)</f>
        <v>44516</v>
      </c>
      <c r="X805" s="203">
        <f>_xll.qlCalendarAdvance(Calendar,W805,NDays&amp;"D")</f>
        <v>44518</v>
      </c>
      <c r="Y805" s="204">
        <v>1.5187911796096798E-2</v>
      </c>
      <c r="Z805" s="201">
        <v>1.504944063768221E-2</v>
      </c>
    </row>
    <row r="806" spans="22:26" x14ac:dyDescent="0.2">
      <c r="V806" s="202" t="str">
        <f t="shared" si="21"/>
        <v>1w</v>
      </c>
      <c r="W806" s="200">
        <f>_xll.qlCalendarAdvance(Calendar,W805,V806,"f",FALSE)</f>
        <v>44523</v>
      </c>
      <c r="X806" s="203">
        <f>_xll.qlCalendarAdvance(Calendar,W806,NDays&amp;"D")</f>
        <v>44525</v>
      </c>
      <c r="Y806" s="204">
        <v>1.5245681310451509E-2</v>
      </c>
      <c r="Z806" s="201">
        <v>1.510779123723438E-2</v>
      </c>
    </row>
    <row r="807" spans="22:26" x14ac:dyDescent="0.2">
      <c r="V807" s="202" t="str">
        <f t="shared" si="21"/>
        <v>1w</v>
      </c>
      <c r="W807" s="200">
        <f>_xll.qlCalendarAdvance(Calendar,W806,V807,"f",FALSE)</f>
        <v>44530</v>
      </c>
      <c r="X807" s="203">
        <f>_xll.qlCalendarAdvance(Calendar,W807,NDays&amp;"D")</f>
        <v>44532</v>
      </c>
      <c r="Y807" s="204">
        <v>1.5303154154730214E-2</v>
      </c>
      <c r="Z807" s="201">
        <v>1.5165845270814771E-2</v>
      </c>
    </row>
    <row r="808" spans="22:26" x14ac:dyDescent="0.2">
      <c r="V808" s="202" t="str">
        <f t="shared" si="21"/>
        <v>1w</v>
      </c>
      <c r="W808" s="200">
        <f>_xll.qlCalendarAdvance(Calendar,W807,V808,"f",FALSE)</f>
        <v>44537</v>
      </c>
      <c r="X808" s="203">
        <f>_xll.qlCalendarAdvance(Calendar,W808,NDays&amp;"D")</f>
        <v>44539</v>
      </c>
      <c r="Y808" s="204">
        <v>1.5360330324391547E-2</v>
      </c>
      <c r="Z808" s="201">
        <v>1.5223602738343445E-2</v>
      </c>
    </row>
    <row r="809" spans="22:26" x14ac:dyDescent="0.2">
      <c r="V809" s="202" t="str">
        <f t="shared" si="21"/>
        <v>1w</v>
      </c>
      <c r="W809" s="200">
        <f>_xll.qlCalendarAdvance(Calendar,W808,V809,"f",FALSE)</f>
        <v>44544</v>
      </c>
      <c r="X809" s="203">
        <f>_xll.qlCalendarAdvance(Calendar,W809,NDays&amp;"D")</f>
        <v>44546</v>
      </c>
      <c r="Y809" s="204">
        <v>1.5417209814916621E-2</v>
      </c>
      <c r="Z809" s="201">
        <v>1.528106363966053E-2</v>
      </c>
    </row>
    <row r="810" spans="22:26" x14ac:dyDescent="0.2">
      <c r="V810" s="202" t="str">
        <f t="shared" si="21"/>
        <v>1w</v>
      </c>
      <c r="W810" s="200">
        <f>_xll.qlCalendarAdvance(Calendar,W809,V810,"f",FALSE)</f>
        <v>44551</v>
      </c>
      <c r="X810" s="203">
        <f>_xll.qlCalendarAdvance(Calendar,W810,NDays&amp;"D")</f>
        <v>44553</v>
      </c>
      <c r="Y810" s="204">
        <v>1.5473792621804039E-2</v>
      </c>
      <c r="Z810" s="201">
        <v>1.533822797452622E-2</v>
      </c>
    </row>
    <row r="811" spans="22:26" x14ac:dyDescent="0.2">
      <c r="V811" s="202" t="str">
        <f t="shared" si="21"/>
        <v>1w</v>
      </c>
      <c r="W811" s="200">
        <f>_xll.qlCalendarAdvance(Calendar,W810,V811,"f",FALSE)</f>
        <v>44558</v>
      </c>
      <c r="X811" s="203">
        <f>_xll.qlCalendarAdvance(Calendar,W811,NDays&amp;"D")</f>
        <v>44560</v>
      </c>
      <c r="Y811" s="204">
        <v>1.5530078740582376E-2</v>
      </c>
      <c r="Z811" s="201">
        <v>1.5395095742940512E-2</v>
      </c>
    </row>
    <row r="812" spans="22:26" x14ac:dyDescent="0.2">
      <c r="V812" s="202" t="str">
        <f t="shared" si="21"/>
        <v>1w</v>
      </c>
      <c r="W812" s="200">
        <f>_xll.qlCalendarAdvance(Calendar,W811,V812,"f",FALSE)</f>
        <v>44565</v>
      </c>
      <c r="X812" s="203">
        <f>_xll.qlCalendarAdvance(Calendar,W812,NDays&amp;"D")</f>
        <v>44567</v>
      </c>
      <c r="Y812" s="204">
        <v>1.5586068166802691E-2</v>
      </c>
      <c r="Z812" s="201">
        <v>1.54516669446636E-2</v>
      </c>
    </row>
    <row r="813" spans="22:26" x14ac:dyDescent="0.2">
      <c r="V813" s="202" t="str">
        <f t="shared" si="21"/>
        <v>1w</v>
      </c>
      <c r="W813" s="200">
        <f>_xll.qlCalendarAdvance(Calendar,W812,V813,"f",FALSE)</f>
        <v>44572</v>
      </c>
      <c r="X813" s="203">
        <f>_xll.qlCalendarAdvance(Calendar,W813,NDays&amp;"D")</f>
        <v>44574</v>
      </c>
      <c r="Y813" s="204">
        <v>1.5641760896038526E-2</v>
      </c>
      <c r="Z813" s="201">
        <v>1.5507941579535611E-2</v>
      </c>
    </row>
    <row r="814" spans="22:26" x14ac:dyDescent="0.2">
      <c r="V814" s="202" t="str">
        <f t="shared" si="21"/>
        <v>1w</v>
      </c>
      <c r="W814" s="200">
        <f>_xll.qlCalendarAdvance(Calendar,W813,V814,"f",FALSE)</f>
        <v>44579</v>
      </c>
      <c r="X814" s="203">
        <f>_xll.qlCalendarAdvance(Calendar,W814,NDays&amp;"D")</f>
        <v>44581</v>
      </c>
      <c r="Y814" s="204">
        <v>1.5697156923885902E-2</v>
      </c>
      <c r="Z814" s="201">
        <v>1.5563919647556546E-2</v>
      </c>
    </row>
    <row r="815" spans="22:26" x14ac:dyDescent="0.2">
      <c r="V815" s="202" t="str">
        <f t="shared" si="21"/>
        <v>1w</v>
      </c>
      <c r="W815" s="200">
        <f>_xll.qlCalendarAdvance(Calendar,W814,V815,"f",FALSE)</f>
        <v>44586</v>
      </c>
      <c r="X815" s="203">
        <f>_xll.qlCalendarAdvance(Calendar,W815,NDays&amp;"D")</f>
        <v>44588</v>
      </c>
      <c r="Y815" s="204">
        <v>1.5752256245968321E-2</v>
      </c>
      <c r="Z815" s="201">
        <v>1.5619601148486595E-2</v>
      </c>
    </row>
    <row r="816" spans="22:26" x14ac:dyDescent="0.2">
      <c r="V816" s="202" t="str">
        <f t="shared" si="21"/>
        <v>1w</v>
      </c>
      <c r="W816" s="200">
        <f>_xll.qlCalendarAdvance(Calendar,W815,V816,"f",FALSE)</f>
        <v>44593</v>
      </c>
      <c r="X816" s="203">
        <f>_xll.qlCalendarAdvance(Calendar,W816,NDays&amp;"D")</f>
        <v>44595</v>
      </c>
      <c r="Y816" s="204">
        <v>1.5790107186655078E-2</v>
      </c>
      <c r="Z816" s="201">
        <v>1.5674986082165887E-2</v>
      </c>
    </row>
    <row r="817" spans="22:26" x14ac:dyDescent="0.2">
      <c r="V817" s="202" t="str">
        <f t="shared" si="21"/>
        <v>1w</v>
      </c>
      <c r="W817" s="200">
        <f>_xll.qlCalendarAdvance(Calendar,W816,V817,"f",FALSE)</f>
        <v>44600</v>
      </c>
      <c r="X817" s="203">
        <f>_xll.qlCalendarAdvance(Calendar,W817,NDays&amp;"D")</f>
        <v>44602</v>
      </c>
      <c r="Y817" s="204">
        <v>1.5844688272937151E-2</v>
      </c>
      <c r="Z817" s="201">
        <v>1.5730074448514486E-2</v>
      </c>
    </row>
    <row r="818" spans="22:26" x14ac:dyDescent="0.2">
      <c r="V818" s="202" t="str">
        <f t="shared" si="21"/>
        <v>1w</v>
      </c>
      <c r="W818" s="200">
        <f>_xll.qlCalendarAdvance(Calendar,W817,V818,"f",FALSE)</f>
        <v>44607</v>
      </c>
      <c r="X818" s="203">
        <f>_xll.qlCalendarAdvance(Calendar,W818,NDays&amp;"D")</f>
        <v>44609</v>
      </c>
      <c r="Y818" s="204">
        <v>1.5898972661001803E-2</v>
      </c>
      <c r="Z818" s="201">
        <v>1.578486624737252E-2</v>
      </c>
    </row>
    <row r="819" spans="22:26" x14ac:dyDescent="0.2">
      <c r="V819" s="202" t="str">
        <f t="shared" si="21"/>
        <v>1w</v>
      </c>
      <c r="W819" s="200">
        <f>_xll.qlCalendarAdvance(Calendar,W818,V819,"f",FALSE)</f>
        <v>44614</v>
      </c>
      <c r="X819" s="203">
        <f>_xll.qlCalendarAdvance(Calendar,W819,NDays&amp;"D")</f>
        <v>44616</v>
      </c>
      <c r="Y819" s="204">
        <v>1.5952960347094893E-2</v>
      </c>
      <c r="Z819" s="201">
        <v>1.5839361478660052E-2</v>
      </c>
    </row>
    <row r="820" spans="22:26" x14ac:dyDescent="0.2">
      <c r="V820" s="202" t="str">
        <f t="shared" si="21"/>
        <v>1w</v>
      </c>
      <c r="W820" s="200">
        <f>_xll.qlCalendarAdvance(Calendar,W819,V820,"f",FALSE)</f>
        <v>44621</v>
      </c>
      <c r="X820" s="203">
        <f>_xll.qlCalendarAdvance(Calendar,W820,NDays&amp;"D")</f>
        <v>44623</v>
      </c>
      <c r="Y820" s="204">
        <v>1.6023302118209903E-2</v>
      </c>
      <c r="Z820" s="201">
        <v>1.5893560142137275E-2</v>
      </c>
    </row>
    <row r="821" spans="22:26" x14ac:dyDescent="0.2">
      <c r="V821" s="202" t="str">
        <f t="shared" si="21"/>
        <v>1w</v>
      </c>
      <c r="W821" s="200">
        <f>_xll.qlCalendarAdvance(Calendar,W820,V821,"f",FALSE)</f>
        <v>44628</v>
      </c>
      <c r="X821" s="203">
        <f>_xll.qlCalendarAdvance(Calendar,W821,NDays&amp;"D")</f>
        <v>44630</v>
      </c>
      <c r="Y821" s="204">
        <v>1.6076621115027612E-2</v>
      </c>
      <c r="Z821" s="201">
        <v>1.5947462237724253E-2</v>
      </c>
    </row>
    <row r="822" spans="22:26" x14ac:dyDescent="0.2">
      <c r="V822" s="202" t="str">
        <f t="shared" si="21"/>
        <v>1w</v>
      </c>
      <c r="W822" s="200">
        <f>_xll.qlCalendarAdvance(Calendar,W821,V822,"f",FALSE)</f>
        <v>44635</v>
      </c>
      <c r="X822" s="203">
        <f>_xll.qlCalendarAdvance(Calendar,W822,NDays&amp;"D")</f>
        <v>44637</v>
      </c>
      <c r="Y822" s="204">
        <v>1.613376425247524E-2</v>
      </c>
      <c r="Z822" s="201">
        <v>1.6001067765261112E-2</v>
      </c>
    </row>
    <row r="823" spans="22:26" x14ac:dyDescent="0.2">
      <c r="V823" s="202" t="str">
        <f t="shared" si="21"/>
        <v>1w</v>
      </c>
      <c r="W823" s="200">
        <f>_xll.qlCalendarAdvance(Calendar,W822,V823,"f",FALSE)</f>
        <v>44642</v>
      </c>
      <c r="X823" s="203">
        <f>_xll.qlCalendarAdvance(Calendar,W823,NDays&amp;"D")</f>
        <v>44644</v>
      </c>
      <c r="Y823" s="204">
        <v>1.6182368897163513E-2</v>
      </c>
      <c r="Z823" s="201">
        <v>1.6054376724667918E-2</v>
      </c>
    </row>
    <row r="824" spans="22:26" x14ac:dyDescent="0.2">
      <c r="V824" s="202" t="str">
        <f t="shared" si="21"/>
        <v>1w</v>
      </c>
      <c r="W824" s="200">
        <f>_xll.qlCalendarAdvance(Calendar,W823,V824,"f",FALSE)</f>
        <v>44649</v>
      </c>
      <c r="X824" s="203">
        <f>_xll.qlCalendarAdvance(Calendar,W824,NDays&amp;"D")</f>
        <v>44651</v>
      </c>
      <c r="Y824" s="204">
        <v>1.6222538016028652E-2</v>
      </c>
      <c r="Z824" s="201">
        <v>1.6107389115864734E-2</v>
      </c>
    </row>
    <row r="825" spans="22:26" x14ac:dyDescent="0.2">
      <c r="V825" s="202" t="str">
        <f t="shared" si="21"/>
        <v>1w</v>
      </c>
      <c r="W825" s="200">
        <f>_xll.qlCalendarAdvance(Calendar,W824,V825,"f",FALSE)</f>
        <v>44656</v>
      </c>
      <c r="X825" s="203">
        <f>_xll.qlCalendarAdvance(Calendar,W825,NDays&amp;"D")</f>
        <v>44658</v>
      </c>
      <c r="Y825" s="204">
        <v>1.6286929702809816E-2</v>
      </c>
      <c r="Z825" s="201">
        <v>1.6160104938531816E-2</v>
      </c>
    </row>
    <row r="826" spans="22:26" x14ac:dyDescent="0.2">
      <c r="V826" s="202" t="str">
        <f t="shared" si="21"/>
        <v>1w</v>
      </c>
      <c r="W826" s="200">
        <f>_xll.qlCalendarAdvance(Calendar,W825,V826,"f",FALSE)</f>
        <v>44663</v>
      </c>
      <c r="X826" s="203">
        <f>_xll.qlCalendarAdvance(Calendar,W826,NDays&amp;"D")</f>
        <v>44665</v>
      </c>
      <c r="Y826" s="204">
        <v>1.6338764979101084E-2</v>
      </c>
      <c r="Z826" s="201">
        <v>1.6228903607517609E-2</v>
      </c>
    </row>
    <row r="827" spans="22:26" x14ac:dyDescent="0.2">
      <c r="V827" s="202" t="str">
        <f t="shared" si="21"/>
        <v>1w</v>
      </c>
      <c r="W827" s="200">
        <f>_xll.qlCalendarAdvance(Calendar,W826,V827,"f",FALSE)</f>
        <v>44670</v>
      </c>
      <c r="X827" s="203">
        <f>_xll.qlCalendarAdvance(Calendar,W827,NDays&amp;"D")</f>
        <v>44672</v>
      </c>
      <c r="Y827" s="204">
        <v>1.6390303498897973E-2</v>
      </c>
      <c r="Z827" s="201">
        <v>1.6264646878196842E-2</v>
      </c>
    </row>
    <row r="828" spans="22:26" x14ac:dyDescent="0.2">
      <c r="V828" s="202" t="str">
        <f t="shared" si="21"/>
        <v>1w</v>
      </c>
      <c r="W828" s="200">
        <f>_xll.qlCalendarAdvance(Calendar,W827,V828,"f",FALSE)</f>
        <v>44677</v>
      </c>
      <c r="X828" s="203">
        <f>_xll.qlCalendarAdvance(Calendar,W828,NDays&amp;"D")</f>
        <v>44679</v>
      </c>
      <c r="Y828" s="204">
        <v>1.6441545258126244E-2</v>
      </c>
      <c r="Z828" s="201">
        <v>1.6316472994875042E-2</v>
      </c>
    </row>
    <row r="829" spans="22:26" x14ac:dyDescent="0.2">
      <c r="V829" s="202" t="str">
        <f t="shared" si="21"/>
        <v>1w</v>
      </c>
      <c r="W829" s="200">
        <f>_xll.qlCalendarAdvance(Calendar,W828,V829,"f",FALSE)</f>
        <v>44684</v>
      </c>
      <c r="X829" s="203">
        <f>_xll.qlCalendarAdvance(Calendar,W829,NDays&amp;"D")</f>
        <v>44686</v>
      </c>
      <c r="Y829" s="204">
        <v>1.6492490252736636E-2</v>
      </c>
      <c r="Z829" s="201">
        <v>1.6368002542543891E-2</v>
      </c>
    </row>
    <row r="830" spans="22:26" x14ac:dyDescent="0.2">
      <c r="V830" s="202" t="str">
        <f t="shared" si="21"/>
        <v>1w</v>
      </c>
      <c r="W830" s="200">
        <f>_xll.qlCalendarAdvance(Calendar,W829,V830,"f",FALSE)</f>
        <v>44691</v>
      </c>
      <c r="X830" s="203">
        <f>_xll.qlCalendarAdvance(Calendar,W830,NDays&amp;"D")</f>
        <v>44693</v>
      </c>
      <c r="Y830" s="204">
        <v>1.6543138478697372E-2</v>
      </c>
      <c r="Z830" s="201">
        <v>1.641923552120339E-2</v>
      </c>
    </row>
    <row r="831" spans="22:26" x14ac:dyDescent="0.2">
      <c r="V831" s="202" t="str">
        <f t="shared" si="21"/>
        <v>1w</v>
      </c>
      <c r="W831" s="200">
        <f>_xll.qlCalendarAdvance(Calendar,W830,V831,"f",FALSE)</f>
        <v>44698</v>
      </c>
      <c r="X831" s="203">
        <f>_xll.qlCalendarAdvance(Calendar,W831,NDays&amp;"D")</f>
        <v>44700</v>
      </c>
      <c r="Y831" s="204">
        <v>1.6593489932006655E-2</v>
      </c>
      <c r="Z831" s="201">
        <v>1.6470171930773603E-2</v>
      </c>
    </row>
    <row r="832" spans="22:26" x14ac:dyDescent="0.2">
      <c r="V832" s="202" t="str">
        <f t="shared" si="21"/>
        <v>1w</v>
      </c>
      <c r="W832" s="200">
        <f>_xll.qlCalendarAdvance(Calendar,W831,V832,"f",FALSE)</f>
        <v>44705</v>
      </c>
      <c r="X832" s="203">
        <f>_xll.qlCalendarAdvance(Calendar,W832,NDays&amp;"D")</f>
        <v>44707</v>
      </c>
      <c r="Y832" s="204">
        <v>1.664354460868267E-2</v>
      </c>
      <c r="Z832" s="201">
        <v>1.6520811770934785E-2</v>
      </c>
    </row>
    <row r="833" spans="22:26" x14ac:dyDescent="0.2">
      <c r="V833" s="202" t="str">
        <f t="shared" si="21"/>
        <v>1w</v>
      </c>
      <c r="W833" s="200">
        <f>_xll.qlCalendarAdvance(Calendar,W832,V833,"f",FALSE)</f>
        <v>44712</v>
      </c>
      <c r="X833" s="203">
        <f>_xll.qlCalendarAdvance(Calendar,W833,NDays&amp;"D")</f>
        <v>44714</v>
      </c>
      <c r="Y833" s="204">
        <v>1.6693302504768581E-2</v>
      </c>
      <c r="Z833" s="201">
        <v>1.6571155041686936E-2</v>
      </c>
    </row>
    <row r="834" spans="22:26" x14ac:dyDescent="0.2">
      <c r="V834" s="202" t="str">
        <f t="shared" si="21"/>
        <v>1w</v>
      </c>
      <c r="W834" s="200">
        <f>_xll.qlCalendarAdvance(Calendar,W833,V834,"f",FALSE)</f>
        <v>44719</v>
      </c>
      <c r="X834" s="203">
        <f>_xll.qlCalendarAdvance(Calendar,W834,NDays&amp;"D")</f>
        <v>44721</v>
      </c>
      <c r="Y834" s="204">
        <v>1.6742763616330036E-2</v>
      </c>
      <c r="Z834" s="201">
        <v>1.6621201742790248E-2</v>
      </c>
    </row>
    <row r="835" spans="22:26" x14ac:dyDescent="0.2">
      <c r="V835" s="202" t="str">
        <f t="shared" si="21"/>
        <v>1w</v>
      </c>
      <c r="W835" s="200">
        <f>_xll.qlCalendarAdvance(Calendar,W834,V835,"f",FALSE)</f>
        <v>44726</v>
      </c>
      <c r="X835" s="203">
        <f>_xll.qlCalendarAdvance(Calendar,W835,NDays&amp;"D")</f>
        <v>44728</v>
      </c>
      <c r="Y835" s="204">
        <v>1.6791927939455165E-2</v>
      </c>
      <c r="Z835" s="201">
        <v>1.6670951874244722E-2</v>
      </c>
    </row>
    <row r="836" spans="22:26" x14ac:dyDescent="0.2">
      <c r="V836" s="202" t="str">
        <f t="shared" si="21"/>
        <v>1w</v>
      </c>
      <c r="W836" s="200">
        <f>_xll.qlCalendarAdvance(Calendar,W835,V836,"f",FALSE)</f>
        <v>44733</v>
      </c>
      <c r="X836" s="203">
        <f>_xll.qlCalendarAdvance(Calendar,W836,NDays&amp;"D")</f>
        <v>44735</v>
      </c>
      <c r="Y836" s="204">
        <v>1.6840795470259573E-2</v>
      </c>
      <c r="Z836" s="201">
        <v>1.6720405435890484E-2</v>
      </c>
    </row>
    <row r="837" spans="22:26" x14ac:dyDescent="0.2">
      <c r="V837" s="202" t="str">
        <f t="shared" si="21"/>
        <v>1w</v>
      </c>
      <c r="W837" s="200">
        <f>_xll.qlCalendarAdvance(Calendar,W836,V837,"f",FALSE)</f>
        <v>44740</v>
      </c>
      <c r="X837" s="203">
        <f>_xll.qlCalendarAdvance(Calendar,W837,NDays&amp;"D")</f>
        <v>44742</v>
      </c>
      <c r="Y837" s="204">
        <v>1.6877842952660132E-2</v>
      </c>
      <c r="Z837" s="201">
        <v>1.67695624276476E-2</v>
      </c>
    </row>
    <row r="838" spans="22:26" x14ac:dyDescent="0.2">
      <c r="V838" s="202" t="str">
        <f t="shared" si="21"/>
        <v>1w</v>
      </c>
      <c r="W838" s="200">
        <f>_xll.qlCalendarAdvance(Calendar,W837,V838,"f",FALSE)</f>
        <v>44747</v>
      </c>
      <c r="X838" s="203">
        <f>_xll.qlCalendarAdvance(Calendar,W838,NDays&amp;"D")</f>
        <v>44749</v>
      </c>
      <c r="Y838" s="204">
        <v>1.6937640139468579E-2</v>
      </c>
      <c r="Z838" s="201">
        <v>1.6818422849356196E-2</v>
      </c>
    </row>
    <row r="839" spans="22:26" x14ac:dyDescent="0.2">
      <c r="V839" s="202" t="str">
        <f t="shared" si="21"/>
        <v>1w</v>
      </c>
      <c r="W839" s="200">
        <f>_xll.qlCalendarAdvance(Calendar,W838,V839,"f",FALSE)</f>
        <v>44754</v>
      </c>
      <c r="X839" s="203">
        <f>_xll.qlCalendarAdvance(Calendar,W839,NDays&amp;"D")</f>
        <v>44756</v>
      </c>
      <c r="Y839" s="204">
        <v>1.6985617270216802E-2</v>
      </c>
      <c r="Z839" s="201">
        <v>1.6866986700856401E-2</v>
      </c>
    </row>
    <row r="840" spans="22:26" x14ac:dyDescent="0.2">
      <c r="V840" s="202" t="str">
        <f t="shared" si="21"/>
        <v>1w</v>
      </c>
      <c r="W840" s="200">
        <f>_xll.qlCalendarAdvance(Calendar,W839,V840,"f",FALSE)</f>
        <v>44761</v>
      </c>
      <c r="X840" s="203">
        <f>_xll.qlCalendarAdvance(Calendar,W840,NDays&amp;"D")</f>
        <v>44763</v>
      </c>
      <c r="Y840" s="204">
        <v>1.7033297593329055E-2</v>
      </c>
      <c r="Z840" s="201">
        <v>1.6915253981988343E-2</v>
      </c>
    </row>
    <row r="841" spans="22:26" x14ac:dyDescent="0.2">
      <c r="V841" s="202" t="str">
        <f t="shared" si="21"/>
        <v>1w</v>
      </c>
      <c r="W841" s="200">
        <f>_xll.qlCalendarAdvance(Calendar,W840,V841,"f",FALSE)</f>
        <v>44768</v>
      </c>
      <c r="X841" s="203">
        <f>_xll.qlCalendarAdvance(Calendar,W841,NDays&amp;"D")</f>
        <v>44770</v>
      </c>
      <c r="Y841" s="204">
        <v>1.7080681105038353E-2</v>
      </c>
      <c r="Z841" s="201">
        <v>1.6963224692831957E-2</v>
      </c>
    </row>
    <row r="842" spans="22:26" x14ac:dyDescent="0.2">
      <c r="V842" s="202" t="str">
        <f t="shared" si="21"/>
        <v>1w</v>
      </c>
      <c r="W842" s="200">
        <f>_xll.qlCalendarAdvance(Calendar,W841,V842,"f",FALSE)</f>
        <v>44775</v>
      </c>
      <c r="X842" s="203">
        <f>_xll.qlCalendarAdvance(Calendar,W842,NDays&amp;"D")</f>
        <v>44777</v>
      </c>
      <c r="Y842" s="204">
        <v>1.7127767801590199E-2</v>
      </c>
      <c r="Z842" s="201">
        <v>1.70108988330675E-2</v>
      </c>
    </row>
    <row r="843" spans="22:26" x14ac:dyDescent="0.2">
      <c r="V843" s="202" t="str">
        <f t="shared" si="21"/>
        <v>1w</v>
      </c>
      <c r="W843" s="200">
        <f>_xll.qlCalendarAdvance(Calendar,W842,V843,"f",FALSE)</f>
        <v>44782</v>
      </c>
      <c r="X843" s="203">
        <f>_xll.qlCalendarAdvance(Calendar,W843,NDays&amp;"D")</f>
        <v>44784</v>
      </c>
      <c r="Y843" s="204">
        <v>1.7174557099398913E-2</v>
      </c>
      <c r="Z843" s="201">
        <v>1.7058276402615036E-2</v>
      </c>
    </row>
    <row r="844" spans="22:26" x14ac:dyDescent="0.2">
      <c r="V844" s="202" t="str">
        <f t="shared" si="21"/>
        <v>1w</v>
      </c>
      <c r="W844" s="200">
        <f>_xll.qlCalendarAdvance(Calendar,W843,V844,"f",FALSE)</f>
        <v>44789</v>
      </c>
      <c r="X844" s="203">
        <f>_xll.qlCalendarAdvance(Calendar,W844,NDays&amp;"D")</f>
        <v>44791</v>
      </c>
      <c r="Y844" s="204">
        <v>1.7221038674882505E-2</v>
      </c>
      <c r="Z844" s="201">
        <v>1.7105357401474564E-2</v>
      </c>
    </row>
    <row r="845" spans="22:26" x14ac:dyDescent="0.2">
      <c r="V845" s="202" t="str">
        <f t="shared" si="21"/>
        <v>1w</v>
      </c>
      <c r="W845" s="200">
        <f>_xll.qlCalendarAdvance(Calendar,W844,V845,"f",FALSE)</f>
        <v>44796</v>
      </c>
      <c r="X845" s="203">
        <f>_xll.qlCalendarAdvance(Calendar,W845,NDays&amp;"D")</f>
        <v>44798</v>
      </c>
      <c r="Y845" s="204">
        <v>1.7267194122339014E-2</v>
      </c>
      <c r="Z845" s="201">
        <v>1.7152141829406276E-2</v>
      </c>
    </row>
    <row r="846" spans="22:26" x14ac:dyDescent="0.2">
      <c r="V846" s="202" t="str">
        <f t="shared" si="21"/>
        <v>1w</v>
      </c>
      <c r="W846" s="200">
        <f>_xll.qlCalendarAdvance(Calendar,W845,V846,"f",FALSE)</f>
        <v>44803</v>
      </c>
      <c r="X846" s="203">
        <f>_xll.qlCalendarAdvance(Calendar,W846,NDays&amp;"D")</f>
        <v>44805</v>
      </c>
      <c r="Y846" s="204">
        <v>1.7313004791152387E-2</v>
      </c>
      <c r="Z846" s="201">
        <v>1.7198629686410172E-2</v>
      </c>
    </row>
    <row r="847" spans="22:26" x14ac:dyDescent="0.2">
      <c r="V847" s="202" t="str">
        <f t="shared" si="21"/>
        <v>1w</v>
      </c>
      <c r="W847" s="200">
        <f>_xll.qlCalendarAdvance(Calendar,W846,V847,"f",FALSE)</f>
        <v>44810</v>
      </c>
      <c r="X847" s="203">
        <f>_xll.qlCalendarAdvance(Calendar,W847,NDays&amp;"D")</f>
        <v>44812</v>
      </c>
      <c r="Y847" s="204">
        <v>1.7358452030444282E-2</v>
      </c>
      <c r="Z847" s="201">
        <v>1.7244820682638107E-2</v>
      </c>
    </row>
    <row r="848" spans="22:26" x14ac:dyDescent="0.2">
      <c r="V848" s="202" t="str">
        <f t="shared" si="21"/>
        <v>1w</v>
      </c>
      <c r="W848" s="200">
        <f>_xll.qlCalendarAdvance(Calendar,W847,V848,"f",FALSE)</f>
        <v>44817</v>
      </c>
      <c r="X848" s="203">
        <f>_xll.qlCalendarAdvance(Calendar,W848,NDays&amp;"D")</f>
        <v>44819</v>
      </c>
      <c r="Y848" s="204">
        <v>1.7403520296853103E-2</v>
      </c>
      <c r="Z848" s="201">
        <v>1.7290666760292339E-2</v>
      </c>
    </row>
    <row r="849" spans="22:26" x14ac:dyDescent="0.2">
      <c r="V849" s="202" t="str">
        <f t="shared" si="21"/>
        <v>1w</v>
      </c>
      <c r="W849" s="200">
        <f>_xll.qlCalendarAdvance(Calendar,W848,V849,"f",FALSE)</f>
        <v>44824</v>
      </c>
      <c r="X849" s="203">
        <f>_xll.qlCalendarAdvance(Calendar,W849,NDays&amp;"D")</f>
        <v>44826</v>
      </c>
      <c r="Y849" s="204">
        <v>1.7448206478023476E-2</v>
      </c>
      <c r="Z849" s="201">
        <v>1.7336131151823864E-2</v>
      </c>
    </row>
    <row r="850" spans="22:26" x14ac:dyDescent="0.2">
      <c r="V850" s="202" t="str">
        <f t="shared" si="21"/>
        <v>1w</v>
      </c>
      <c r="W850" s="200">
        <f>_xll.qlCalendarAdvance(Calendar,W849,V850,"f",FALSE)</f>
        <v>44831</v>
      </c>
      <c r="X850" s="203">
        <f>_xll.qlCalendarAdvance(Calendar,W850,NDays&amp;"D")</f>
        <v>44833</v>
      </c>
      <c r="Y850" s="204">
        <v>1.7492510569411535E-2</v>
      </c>
      <c r="Z850" s="201">
        <v>1.7381213857152744E-2</v>
      </c>
    </row>
    <row r="851" spans="22:26" x14ac:dyDescent="0.2">
      <c r="V851" s="202" t="str">
        <f t="shared" si="21"/>
        <v>1w</v>
      </c>
      <c r="W851" s="200">
        <f>_xll.qlCalendarAdvance(Calendar,W850,V851,"f",FALSE)</f>
        <v>44838</v>
      </c>
      <c r="X851" s="203">
        <f>_xll.qlCalendarAdvance(Calendar,W851,NDays&amp;"D")</f>
        <v>44840</v>
      </c>
      <c r="Y851" s="204">
        <v>1.7536432566505888E-2</v>
      </c>
      <c r="Z851" s="201">
        <v>1.7425914876119108E-2</v>
      </c>
    </row>
    <row r="852" spans="22:26" x14ac:dyDescent="0.2">
      <c r="V852" s="202" t="str">
        <f t="shared" si="21"/>
        <v>1w</v>
      </c>
      <c r="W852" s="200">
        <f>_xll.qlCalendarAdvance(Calendar,W851,V852,"f",FALSE)</f>
        <v>44845</v>
      </c>
      <c r="X852" s="203">
        <f>_xll.qlCalendarAdvance(Calendar,W852,NDays&amp;"D")</f>
        <v>44847</v>
      </c>
      <c r="Y852" s="204">
        <v>1.757997246484011E-2</v>
      </c>
      <c r="Z852" s="201">
        <v>1.7470234208563085E-2</v>
      </c>
    </row>
    <row r="853" spans="22:26" x14ac:dyDescent="0.2">
      <c r="V853" s="202" t="str">
        <f t="shared" ref="V853:V916" si="22">V852</f>
        <v>1w</v>
      </c>
      <c r="W853" s="200">
        <f>_xll.qlCalendarAdvance(Calendar,W852,V853,"f",FALSE)</f>
        <v>44852</v>
      </c>
      <c r="X853" s="203">
        <f>_xll.qlCalendarAdvance(Calendar,W853,NDays&amp;"D")</f>
        <v>44854</v>
      </c>
      <c r="Y853" s="204">
        <v>1.7623130259982744E-2</v>
      </c>
      <c r="Z853" s="201">
        <v>1.7514171854244864E-2</v>
      </c>
    </row>
    <row r="854" spans="22:26" x14ac:dyDescent="0.2">
      <c r="V854" s="202" t="str">
        <f t="shared" si="22"/>
        <v>1w</v>
      </c>
      <c r="W854" s="200">
        <f>_xll.qlCalendarAdvance(Calendar,W853,V854,"f",FALSE)</f>
        <v>44859</v>
      </c>
      <c r="X854" s="203">
        <f>_xll.qlCalendarAdvance(Calendar,W854,NDays&amp;"D")</f>
        <v>44861</v>
      </c>
      <c r="Y854" s="204">
        <v>1.7665905947537308E-2</v>
      </c>
      <c r="Z854" s="201">
        <v>1.7557727813244384E-2</v>
      </c>
    </row>
    <row r="855" spans="22:26" x14ac:dyDescent="0.2">
      <c r="V855" s="202" t="str">
        <f t="shared" si="22"/>
        <v>1w</v>
      </c>
      <c r="W855" s="200">
        <f>_xll.qlCalendarAdvance(Calendar,W854,V855,"f",FALSE)</f>
        <v>44866</v>
      </c>
      <c r="X855" s="203">
        <f>_xll.qlCalendarAdvance(Calendar,W855,NDays&amp;"D")</f>
        <v>44868</v>
      </c>
      <c r="Y855" s="204">
        <v>1.7708299523157278E-2</v>
      </c>
      <c r="Z855" s="201">
        <v>1.7600902085321835E-2</v>
      </c>
    </row>
    <row r="856" spans="22:26" x14ac:dyDescent="0.2">
      <c r="V856" s="202" t="str">
        <f t="shared" si="22"/>
        <v>1w</v>
      </c>
      <c r="W856" s="200">
        <f>_xll.qlCalendarAdvance(Calendar,W855,V856,"f",FALSE)</f>
        <v>44873</v>
      </c>
      <c r="X856" s="203">
        <f>_xll.qlCalendarAdvance(Calendar,W856,NDays&amp;"D")</f>
        <v>44875</v>
      </c>
      <c r="Y856" s="204">
        <v>1.7750310982523609E-2</v>
      </c>
      <c r="Z856" s="201">
        <v>1.7643694670237409E-2</v>
      </c>
    </row>
    <row r="857" spans="22:26" x14ac:dyDescent="0.2">
      <c r="V857" s="202" t="str">
        <f t="shared" si="22"/>
        <v>1w</v>
      </c>
      <c r="W857" s="200">
        <f>_xll.qlCalendarAdvance(Calendar,W856,V857,"f",FALSE)</f>
        <v>44880</v>
      </c>
      <c r="X857" s="203">
        <f>_xll.qlCalendarAdvance(Calendar,W857,NDays&amp;"D")</f>
        <v>44882</v>
      </c>
      <c r="Y857" s="204">
        <v>1.7791940321364719E-2</v>
      </c>
      <c r="Z857" s="201">
        <v>1.7686105568071042E-2</v>
      </c>
    </row>
    <row r="858" spans="22:26" x14ac:dyDescent="0.2">
      <c r="V858" s="202" t="str">
        <f t="shared" si="22"/>
        <v>1w</v>
      </c>
      <c r="W858" s="200">
        <f>_xll.qlCalendarAdvance(Calendar,W857,V858,"f",FALSE)</f>
        <v>44887</v>
      </c>
      <c r="X858" s="203">
        <f>_xll.qlCalendarAdvance(Calendar,W858,NDays&amp;"D")</f>
        <v>44889</v>
      </c>
      <c r="Y858" s="204">
        <v>1.7836539629618127E-2</v>
      </c>
      <c r="Z858" s="201">
        <v>1.7728134778502991E-2</v>
      </c>
    </row>
    <row r="859" spans="22:26" x14ac:dyDescent="0.2">
      <c r="V859" s="202" t="str">
        <f t="shared" si="22"/>
        <v>1w</v>
      </c>
      <c r="W859" s="200">
        <f>_xll.qlCalendarAdvance(Calendar,W858,V859,"f",FALSE)</f>
        <v>44894</v>
      </c>
      <c r="X859" s="203">
        <f>_xll.qlCalendarAdvance(Calendar,W859,NDays&amp;"D")</f>
        <v>44896</v>
      </c>
      <c r="Y859" s="204">
        <v>1.7874052620554803E-2</v>
      </c>
      <c r="Z859" s="201">
        <v>1.7769782301453318E-2</v>
      </c>
    </row>
    <row r="860" spans="22:26" x14ac:dyDescent="0.2">
      <c r="V860" s="202" t="str">
        <f t="shared" si="22"/>
        <v>1w</v>
      </c>
      <c r="W860" s="200">
        <f>_xll.qlCalendarAdvance(Calendar,W859,V860,"f",FALSE)</f>
        <v>44901</v>
      </c>
      <c r="X860" s="203">
        <f>_xll.qlCalendarAdvance(Calendar,W860,NDays&amp;"D")</f>
        <v>44903</v>
      </c>
      <c r="Y860" s="204">
        <v>1.7914535572550461E-2</v>
      </c>
      <c r="Z860" s="201">
        <v>1.7811048136762153E-2</v>
      </c>
    </row>
    <row r="861" spans="22:26" x14ac:dyDescent="0.2">
      <c r="V861" s="202" t="str">
        <f t="shared" si="22"/>
        <v>1w</v>
      </c>
      <c r="W861" s="200">
        <f>_xll.qlCalendarAdvance(Calendar,W860,V861,"f",FALSE)</f>
        <v>44908</v>
      </c>
      <c r="X861" s="203">
        <f>_xll.qlCalendarAdvance(Calendar,W861,NDays&amp;"D")</f>
        <v>44910</v>
      </c>
      <c r="Y861" s="204">
        <v>1.7954636387306766E-2</v>
      </c>
      <c r="Z861" s="201">
        <v>1.7851932284349559E-2</v>
      </c>
    </row>
    <row r="862" spans="22:26" x14ac:dyDescent="0.2">
      <c r="V862" s="202" t="str">
        <f t="shared" si="22"/>
        <v>1w</v>
      </c>
      <c r="W862" s="200">
        <f>_xll.qlCalendarAdvance(Calendar,W861,V862,"f",FALSE)</f>
        <v>44915</v>
      </c>
      <c r="X862" s="203">
        <f>_xll.qlCalendarAdvance(Calendar,W862,NDays&amp;"D")</f>
        <v>44917</v>
      </c>
      <c r="Y862" s="204">
        <v>1.7994355060739486E-2</v>
      </c>
      <c r="Z862" s="201">
        <v>1.7892434744135599E-2</v>
      </c>
    </row>
    <row r="863" spans="22:26" x14ac:dyDescent="0.2">
      <c r="V863" s="202" t="str">
        <f t="shared" si="22"/>
        <v>1w</v>
      </c>
      <c r="W863" s="200">
        <f>_xll.qlCalendarAdvance(Calendar,W862,V863,"f",FALSE)</f>
        <v>44922</v>
      </c>
      <c r="X863" s="203">
        <f>_xll.qlCalendarAdvance(Calendar,W863,NDays&amp;"D")</f>
        <v>44924</v>
      </c>
      <c r="Y863" s="204">
        <v>1.8033691588811851E-2</v>
      </c>
      <c r="Z863" s="201">
        <v>1.7932555515880466E-2</v>
      </c>
    </row>
    <row r="864" spans="22:26" x14ac:dyDescent="0.2">
      <c r="V864" s="202" t="str">
        <f t="shared" si="22"/>
        <v>1w</v>
      </c>
      <c r="W864" s="200">
        <f>_xll.qlCalendarAdvance(Calendar,W863,V864,"f",FALSE)</f>
        <v>44929</v>
      </c>
      <c r="X864" s="203">
        <f>_xll.qlCalendarAdvance(Calendar,W864,NDays&amp;"D")</f>
        <v>44931</v>
      </c>
      <c r="Y864" s="204">
        <v>1.8072645967517065E-2</v>
      </c>
      <c r="Z864" s="201">
        <v>1.7972294599504224E-2</v>
      </c>
    </row>
    <row r="865" spans="22:26" x14ac:dyDescent="0.2">
      <c r="V865" s="202" t="str">
        <f t="shared" si="22"/>
        <v>1w</v>
      </c>
      <c r="W865" s="200">
        <f>_xll.qlCalendarAdvance(Calendar,W864,V865,"f",FALSE)</f>
        <v>44936</v>
      </c>
      <c r="X865" s="203">
        <f>_xll.qlCalendarAdvance(Calendar,W865,NDays&amp;"D")</f>
        <v>44938</v>
      </c>
      <c r="Y865" s="204">
        <v>1.8111218192893297E-2</v>
      </c>
      <c r="Z865" s="201">
        <v>1.8011651994926936E-2</v>
      </c>
    </row>
    <row r="866" spans="22:26" x14ac:dyDescent="0.2">
      <c r="V866" s="202" t="str">
        <f t="shared" si="22"/>
        <v>1w</v>
      </c>
      <c r="W866" s="200">
        <f>_xll.qlCalendarAdvance(Calendar,W865,V866,"f",FALSE)</f>
        <v>44943</v>
      </c>
      <c r="X866" s="203">
        <f>_xll.qlCalendarAdvance(Calendar,W866,NDays&amp;"D")</f>
        <v>44945</v>
      </c>
      <c r="Y866" s="204">
        <v>1.8149408261011191E-2</v>
      </c>
      <c r="Z866" s="201">
        <v>1.8050627701828859E-2</v>
      </c>
    </row>
    <row r="867" spans="22:26" x14ac:dyDescent="0.2">
      <c r="V867" s="202" t="str">
        <f t="shared" si="22"/>
        <v>1w</v>
      </c>
      <c r="W867" s="200">
        <f>_xll.qlCalendarAdvance(Calendar,W866,V867,"f",FALSE)</f>
        <v>44950</v>
      </c>
      <c r="X867" s="203">
        <f>_xll.qlCalendarAdvance(Calendar,W867,NDays&amp;"D")</f>
        <v>44952</v>
      </c>
      <c r="Y867" s="204">
        <v>1.8187216167991349E-2</v>
      </c>
      <c r="Z867" s="201">
        <v>1.8089221720369864E-2</v>
      </c>
    </row>
    <row r="868" spans="22:26" x14ac:dyDescent="0.2">
      <c r="V868" s="202" t="str">
        <f t="shared" si="22"/>
        <v>1w</v>
      </c>
      <c r="W868" s="200">
        <f>_xll.qlCalendarAdvance(Calendar,W867,V868,"f",FALSE)</f>
        <v>44957</v>
      </c>
      <c r="X868" s="203">
        <f>_xll.qlCalendarAdvance(Calendar,W868,NDays&amp;"D")</f>
        <v>44959</v>
      </c>
      <c r="Y868" s="204">
        <v>1.8212223906437824E-2</v>
      </c>
      <c r="Z868" s="201">
        <v>1.8127434050230207E-2</v>
      </c>
    </row>
    <row r="869" spans="22:26" x14ac:dyDescent="0.2">
      <c r="V869" s="202" t="str">
        <f t="shared" si="22"/>
        <v>1w</v>
      </c>
      <c r="W869" s="200">
        <f>_xll.qlCalendarAdvance(Calendar,W868,V869,"f",FALSE)</f>
        <v>44964</v>
      </c>
      <c r="X869" s="203">
        <f>_xll.qlCalendarAdvance(Calendar,W869,NDays&amp;"D")</f>
        <v>44966</v>
      </c>
      <c r="Y869" s="204">
        <v>1.8249369151620405E-2</v>
      </c>
      <c r="Z869" s="201">
        <v>1.8165264691409888E-2</v>
      </c>
    </row>
    <row r="870" spans="22:26" x14ac:dyDescent="0.2">
      <c r="V870" s="202" t="str">
        <f t="shared" si="22"/>
        <v>1w</v>
      </c>
      <c r="W870" s="200">
        <f>_xll.qlCalendarAdvance(Calendar,W869,V870,"f",FALSE)</f>
        <v>44971</v>
      </c>
      <c r="X870" s="203">
        <f>_xll.qlCalendarAdvance(Calendar,W870,NDays&amp;"D")</f>
        <v>44973</v>
      </c>
      <c r="Y870" s="204">
        <v>1.8286132287584436E-2</v>
      </c>
      <c r="Z870" s="201">
        <v>1.8202713643669099E-2</v>
      </c>
    </row>
    <row r="871" spans="22:26" x14ac:dyDescent="0.2">
      <c r="V871" s="202" t="str">
        <f t="shared" si="22"/>
        <v>1w</v>
      </c>
      <c r="W871" s="200">
        <f>_xll.qlCalendarAdvance(Calendar,W870,V871,"f",FALSE)</f>
        <v>44978</v>
      </c>
      <c r="X871" s="203">
        <f>_xll.qlCalendarAdvance(Calendar,W871,NDays&amp;"D")</f>
        <v>44980</v>
      </c>
      <c r="Y871" s="204">
        <v>1.8322513311052533E-2</v>
      </c>
      <c r="Z871" s="201">
        <v>1.8239780906927905E-2</v>
      </c>
    </row>
    <row r="872" spans="22:26" x14ac:dyDescent="0.2">
      <c r="V872" s="202" t="str">
        <f t="shared" si="22"/>
        <v>1w</v>
      </c>
      <c r="W872" s="200">
        <f>_xll.qlCalendarAdvance(Calendar,W871,V872,"f",FALSE)</f>
        <v>44985</v>
      </c>
      <c r="X872" s="203">
        <f>_xll.qlCalendarAdvance(Calendar,W872,NDays&amp;"D")</f>
        <v>44987</v>
      </c>
      <c r="Y872" s="204">
        <v>1.837052315244031E-2</v>
      </c>
      <c r="Z872" s="201">
        <v>1.8276466481106368E-2</v>
      </c>
    </row>
    <row r="873" spans="22:26" x14ac:dyDescent="0.2">
      <c r="V873" s="202" t="str">
        <f t="shared" si="22"/>
        <v>1w</v>
      </c>
      <c r="W873" s="200">
        <f>_xll.qlCalendarAdvance(Calendar,W872,V873,"f",FALSE)</f>
        <v>44992</v>
      </c>
      <c r="X873" s="203">
        <f>_xll.qlCalendarAdvance(Calendar,W873,NDays&amp;"D")</f>
        <v>44994</v>
      </c>
      <c r="Y873" s="204">
        <v>1.8409009444266419E-2</v>
      </c>
      <c r="Z873" s="201">
        <v>1.8312770366124553E-2</v>
      </c>
    </row>
    <row r="874" spans="22:26" x14ac:dyDescent="0.2">
      <c r="V874" s="202" t="str">
        <f t="shared" si="22"/>
        <v>1w</v>
      </c>
      <c r="W874" s="200">
        <f>_xll.qlCalendarAdvance(Calendar,W873,V874,"f",FALSE)</f>
        <v>44999</v>
      </c>
      <c r="X874" s="203">
        <f>_xll.qlCalendarAdvance(Calendar,W874,NDays&amp;"D")</f>
        <v>45001</v>
      </c>
      <c r="Y874" s="204">
        <v>1.8441170686548103E-2</v>
      </c>
      <c r="Z874" s="201">
        <v>1.8348692561742652E-2</v>
      </c>
    </row>
    <row r="875" spans="22:26" x14ac:dyDescent="0.2">
      <c r="V875" s="202" t="str">
        <f t="shared" si="22"/>
        <v>1w</v>
      </c>
      <c r="W875" s="200">
        <f>_xll.qlCalendarAdvance(Calendar,W874,V875,"f",FALSE)</f>
        <v>45006</v>
      </c>
      <c r="X875" s="203">
        <f>_xll.qlCalendarAdvance(Calendar,W875,NDays&amp;"D")</f>
        <v>45008</v>
      </c>
      <c r="Y875" s="204">
        <v>1.8475921169139597E-2</v>
      </c>
      <c r="Z875" s="201">
        <v>1.8384233067880729E-2</v>
      </c>
    </row>
    <row r="876" spans="22:26" x14ac:dyDescent="0.2">
      <c r="V876" s="202" t="str">
        <f t="shared" si="22"/>
        <v>1w</v>
      </c>
      <c r="W876" s="200">
        <f>_xll.qlCalendarAdvance(Calendar,W875,V876,"f",FALSE)</f>
        <v>45013</v>
      </c>
      <c r="X876" s="203">
        <f>_xll.qlCalendarAdvance(Calendar,W876,NDays&amp;"D")</f>
        <v>45015</v>
      </c>
      <c r="Y876" s="204">
        <v>1.850159083753472E-2</v>
      </c>
      <c r="Z876" s="201">
        <v>1.8419391884458847E-2</v>
      </c>
    </row>
    <row r="877" spans="22:26" x14ac:dyDescent="0.2">
      <c r="V877" s="202" t="str">
        <f t="shared" si="22"/>
        <v>1w</v>
      </c>
      <c r="W877" s="200">
        <f>_xll.qlCalendarAdvance(Calendar,W876,V877,"f",FALSE)</f>
        <v>45020</v>
      </c>
      <c r="X877" s="203">
        <f>_xll.qlCalendarAdvance(Calendar,W877,NDays&amp;"D")</f>
        <v>45022</v>
      </c>
      <c r="Y877" s="204">
        <v>1.854427554771193E-2</v>
      </c>
      <c r="Z877" s="201">
        <v>1.8465921536350294E-2</v>
      </c>
    </row>
    <row r="878" spans="22:26" x14ac:dyDescent="0.2">
      <c r="V878" s="202" t="str">
        <f t="shared" si="22"/>
        <v>1w</v>
      </c>
      <c r="W878" s="200">
        <f>_xll.qlCalendarAdvance(Calendar,W877,V878,"f",FALSE)</f>
        <v>45027</v>
      </c>
      <c r="X878" s="203">
        <f>_xll.qlCalendarAdvance(Calendar,W878,NDays&amp;"D")</f>
        <v>45029</v>
      </c>
      <c r="Y878" s="204">
        <v>1.8577879436735834E-2</v>
      </c>
      <c r="Z878" s="201">
        <v>1.8488564448615463E-2</v>
      </c>
    </row>
    <row r="879" spans="22:26" x14ac:dyDescent="0.2">
      <c r="V879" s="202" t="str">
        <f t="shared" si="22"/>
        <v>1w</v>
      </c>
      <c r="W879" s="200">
        <f>_xll.qlCalendarAdvance(Calendar,W878,V879,"f",FALSE)</f>
        <v>45034</v>
      </c>
      <c r="X879" s="203">
        <f>_xll.qlCalendarAdvance(Calendar,W879,NDays&amp;"D")</f>
        <v>45036</v>
      </c>
      <c r="Y879" s="204">
        <v>1.8611101121011886E-2</v>
      </c>
      <c r="Z879" s="201">
        <v>1.8522578195874217E-2</v>
      </c>
    </row>
    <row r="880" spans="22:26" x14ac:dyDescent="0.2">
      <c r="V880" s="202" t="str">
        <f t="shared" si="22"/>
        <v>1w</v>
      </c>
      <c r="W880" s="200">
        <f>_xll.qlCalendarAdvance(Calendar,W879,V880,"f",FALSE)</f>
        <v>45041</v>
      </c>
      <c r="X880" s="203">
        <f>_xll.qlCalendarAdvance(Calendar,W880,NDays&amp;"D")</f>
        <v>45043</v>
      </c>
      <c r="Y880" s="204">
        <v>1.8643940597160291E-2</v>
      </c>
      <c r="Z880" s="201">
        <v>1.8556210253173333E-2</v>
      </c>
    </row>
    <row r="881" spans="22:26" x14ac:dyDescent="0.2">
      <c r="V881" s="202" t="str">
        <f t="shared" si="22"/>
        <v>1w</v>
      </c>
      <c r="W881" s="200">
        <f>_xll.qlCalendarAdvance(Calendar,W880,V881,"f",FALSE)</f>
        <v>45048</v>
      </c>
      <c r="X881" s="203">
        <f>_xll.qlCalendarAdvance(Calendar,W881,NDays&amp;"D")</f>
        <v>45050</v>
      </c>
      <c r="Y881" s="204">
        <v>1.8676397861836225E-2</v>
      </c>
      <c r="Z881" s="201">
        <v>1.8589460620273002E-2</v>
      </c>
    </row>
    <row r="882" spans="22:26" x14ac:dyDescent="0.2">
      <c r="V882" s="202" t="str">
        <f t="shared" si="22"/>
        <v>1w</v>
      </c>
      <c r="W882" s="200">
        <f>_xll.qlCalendarAdvance(Calendar,W881,V882,"f",FALSE)</f>
        <v>45055</v>
      </c>
      <c r="X882" s="203">
        <f>_xll.qlCalendarAdvance(Calendar,W882,NDays&amp;"D")</f>
        <v>45057</v>
      </c>
      <c r="Y882" s="204">
        <v>1.8708472911739826E-2</v>
      </c>
      <c r="Z882" s="201">
        <v>1.862232929725316E-2</v>
      </c>
    </row>
    <row r="883" spans="22:26" x14ac:dyDescent="0.2">
      <c r="V883" s="202" t="str">
        <f t="shared" si="22"/>
        <v>1w</v>
      </c>
      <c r="W883" s="200">
        <f>_xll.qlCalendarAdvance(Calendar,W882,V883,"f",FALSE)</f>
        <v>45062</v>
      </c>
      <c r="X883" s="203">
        <f>_xll.qlCalendarAdvance(Calendar,W883,NDays&amp;"D")</f>
        <v>45064</v>
      </c>
      <c r="Y883" s="204">
        <v>1.8740165743603709E-2</v>
      </c>
      <c r="Z883" s="201">
        <v>1.8654816283873998E-2</v>
      </c>
    </row>
    <row r="884" spans="22:26" x14ac:dyDescent="0.2">
      <c r="V884" s="202" t="str">
        <f t="shared" si="22"/>
        <v>1w</v>
      </c>
      <c r="W884" s="200">
        <f>_xll.qlCalendarAdvance(Calendar,W883,V884,"f",FALSE)</f>
        <v>45069</v>
      </c>
      <c r="X884" s="203">
        <f>_xll.qlCalendarAdvance(Calendar,W884,NDays&amp;"D")</f>
        <v>45071</v>
      </c>
      <c r="Y884" s="204">
        <v>1.877147635420795E-2</v>
      </c>
      <c r="Z884" s="201">
        <v>1.8686921580135518E-2</v>
      </c>
    </row>
    <row r="885" spans="22:26" x14ac:dyDescent="0.2">
      <c r="V885" s="202" t="str">
        <f t="shared" si="22"/>
        <v>1w</v>
      </c>
      <c r="W885" s="200">
        <f>_xll.qlCalendarAdvance(Calendar,W884,V885,"f",FALSE)</f>
        <v>45076</v>
      </c>
      <c r="X885" s="203">
        <f>_xll.qlCalendarAdvance(Calendar,W885,NDays&amp;"D")</f>
        <v>45078</v>
      </c>
      <c r="Y885" s="204">
        <v>1.8802404740357603E-2</v>
      </c>
      <c r="Z885" s="201">
        <v>1.8718645185717975E-2</v>
      </c>
    </row>
    <row r="886" spans="22:26" x14ac:dyDescent="0.2">
      <c r="V886" s="202" t="str">
        <f t="shared" si="22"/>
        <v>1w</v>
      </c>
      <c r="W886" s="200">
        <f>_xll.qlCalendarAdvance(Calendar,W885,V886,"f",FALSE)</f>
        <v>45083</v>
      </c>
      <c r="X886" s="203">
        <f>_xll.qlCalendarAdvance(Calendar,W886,NDays&amp;"D")</f>
        <v>45085</v>
      </c>
      <c r="Y886" s="204">
        <v>1.8832950898912681E-2</v>
      </c>
      <c r="Z886" s="201">
        <v>1.8749987100861176E-2</v>
      </c>
    </row>
    <row r="887" spans="22:26" x14ac:dyDescent="0.2">
      <c r="V887" s="202" t="str">
        <f t="shared" si="22"/>
        <v>1w</v>
      </c>
      <c r="W887" s="200">
        <f>_xll.qlCalendarAdvance(Calendar,W886,V887,"f",FALSE)</f>
        <v>45090</v>
      </c>
      <c r="X887" s="203">
        <f>_xll.qlCalendarAdvance(Calendar,W887,NDays&amp;"D")</f>
        <v>45092</v>
      </c>
      <c r="Y887" s="204">
        <v>1.8863114826758176E-2</v>
      </c>
      <c r="Z887" s="201">
        <v>1.8780947325165442E-2</v>
      </c>
    </row>
    <row r="888" spans="22:26" x14ac:dyDescent="0.2">
      <c r="V888" s="202" t="str">
        <f t="shared" si="22"/>
        <v>1w</v>
      </c>
      <c r="W888" s="200">
        <f>_xll.qlCalendarAdvance(Calendar,W887,V888,"f",FALSE)</f>
        <v>45097</v>
      </c>
      <c r="X888" s="203">
        <f>_xll.qlCalendarAdvance(Calendar,W888,NDays&amp;"D")</f>
        <v>45099</v>
      </c>
      <c r="Y888" s="204">
        <v>1.8892896520829039E-2</v>
      </c>
      <c r="Z888" s="201">
        <v>1.8811525858710709E-2</v>
      </c>
    </row>
    <row r="889" spans="22:26" x14ac:dyDescent="0.2">
      <c r="V889" s="202" t="str">
        <f t="shared" si="22"/>
        <v>1w</v>
      </c>
      <c r="W889" s="200">
        <f>_xll.qlCalendarAdvance(Calendar,W888,V889,"f",FALSE)</f>
        <v>45104</v>
      </c>
      <c r="X889" s="203">
        <f>_xll.qlCalendarAdvance(Calendar,W889,NDays&amp;"D")</f>
        <v>45106</v>
      </c>
      <c r="Y889" s="204">
        <v>1.8922295978095194E-2</v>
      </c>
      <c r="Z889" s="201">
        <v>1.8841722701337105E-2</v>
      </c>
    </row>
    <row r="890" spans="22:26" x14ac:dyDescent="0.2">
      <c r="V890" s="202" t="str">
        <f t="shared" si="22"/>
        <v>1w</v>
      </c>
      <c r="W890" s="200">
        <f>_xll.qlCalendarAdvance(Calendar,W889,V890,"f",FALSE)</f>
        <v>45111</v>
      </c>
      <c r="X890" s="203">
        <f>_xll.qlCalendarAdvance(Calendar,W890,NDays&amp;"D")</f>
        <v>45113</v>
      </c>
      <c r="Y890" s="204">
        <v>1.8951313195556541E-2</v>
      </c>
      <c r="Z890" s="201">
        <v>1.8871537852884757E-2</v>
      </c>
    </row>
    <row r="891" spans="22:26" x14ac:dyDescent="0.2">
      <c r="V891" s="202" t="str">
        <f t="shared" si="22"/>
        <v>1w</v>
      </c>
      <c r="W891" s="200">
        <f>_xll.qlCalendarAdvance(Calendar,W890,V891,"f",FALSE)</f>
        <v>45118</v>
      </c>
      <c r="X891" s="203">
        <f>_xll.qlCalendarAdvance(Calendar,W891,NDays&amp;"D")</f>
        <v>45120</v>
      </c>
      <c r="Y891" s="204">
        <v>1.8979948170267935E-2</v>
      </c>
      <c r="Z891" s="201">
        <v>1.8900971313353665E-2</v>
      </c>
    </row>
    <row r="892" spans="22:26" x14ac:dyDescent="0.2">
      <c r="V892" s="202" t="str">
        <f t="shared" si="22"/>
        <v>1w</v>
      </c>
      <c r="W892" s="200">
        <f>_xll.qlCalendarAdvance(Calendar,W891,V892,"f",FALSE)</f>
        <v>45125</v>
      </c>
      <c r="X892" s="203">
        <f>_xll.qlCalendarAdvance(Calendar,W892,NDays&amp;"D")</f>
        <v>45127</v>
      </c>
      <c r="Y892" s="204">
        <v>1.9008200899311711E-2</v>
      </c>
      <c r="Z892" s="201">
        <v>1.8930023082583958E-2</v>
      </c>
    </row>
    <row r="893" spans="22:26" x14ac:dyDescent="0.2">
      <c r="V893" s="202" t="str">
        <f t="shared" si="22"/>
        <v>1w</v>
      </c>
      <c r="W893" s="200">
        <f>_xll.qlCalendarAdvance(Calendar,W892,V893,"f",FALSE)</f>
        <v>45132</v>
      </c>
      <c r="X893" s="203">
        <f>_xll.qlCalendarAdvance(Calendar,W893,NDays&amp;"D")</f>
        <v>45134</v>
      </c>
      <c r="Y893" s="204">
        <v>1.9036071379815167E-2</v>
      </c>
      <c r="Z893" s="201">
        <v>1.8958693160575635E-2</v>
      </c>
    </row>
    <row r="894" spans="22:26" x14ac:dyDescent="0.2">
      <c r="V894" s="202" t="str">
        <f t="shared" si="22"/>
        <v>1w</v>
      </c>
      <c r="W894" s="200">
        <f>_xll.qlCalendarAdvance(Calendar,W893,V894,"f",FALSE)</f>
        <v>45139</v>
      </c>
      <c r="X894" s="203">
        <f>_xll.qlCalendarAdvance(Calendar,W894,NDays&amp;"D")</f>
        <v>45141</v>
      </c>
      <c r="Y894" s="204">
        <v>1.9063559608938074E-2</v>
      </c>
      <c r="Z894" s="201">
        <v>1.8986981547168824E-2</v>
      </c>
    </row>
    <row r="895" spans="22:26" x14ac:dyDescent="0.2">
      <c r="V895" s="202" t="str">
        <f t="shared" si="22"/>
        <v>1w</v>
      </c>
      <c r="W895" s="200">
        <f>_xll.qlCalendarAdvance(Calendar,W894,V895,"f",FALSE)</f>
        <v>45146</v>
      </c>
      <c r="X895" s="203">
        <f>_xll.qlCalendarAdvance(Calendar,W895,NDays&amp;"D")</f>
        <v>45148</v>
      </c>
      <c r="Y895" s="204">
        <v>1.9090666949939938E-2</v>
      </c>
      <c r="Z895" s="201">
        <v>1.9014888242203654E-2</v>
      </c>
    </row>
    <row r="896" spans="22:26" x14ac:dyDescent="0.2">
      <c r="V896" s="202" t="str">
        <f t="shared" si="22"/>
        <v>1w</v>
      </c>
      <c r="W896" s="200">
        <f>_xll.qlCalendarAdvance(Calendar,W895,V896,"f",FALSE)</f>
        <v>45153</v>
      </c>
      <c r="X896" s="203">
        <f>_xll.qlCalendarAdvance(Calendar,W896,NDays&amp;"D")</f>
        <v>45155</v>
      </c>
      <c r="Y896" s="204">
        <v>1.9117439896562116E-2</v>
      </c>
      <c r="Z896" s="201">
        <v>1.9042413245760059E-2</v>
      </c>
    </row>
    <row r="897" spans="22:26" x14ac:dyDescent="0.2">
      <c r="V897" s="202" t="str">
        <f t="shared" si="22"/>
        <v>1w</v>
      </c>
      <c r="W897" s="200">
        <f>_xll.qlCalendarAdvance(Calendar,W896,V897,"f",FALSE)</f>
        <v>45160</v>
      </c>
      <c r="X897" s="203">
        <f>_xll.qlCalendarAdvance(Calendar,W897,NDays&amp;"D")</f>
        <v>45162</v>
      </c>
      <c r="Y897" s="204">
        <v>1.9143979332421068E-2</v>
      </c>
      <c r="Z897" s="201">
        <v>1.9069556557678169E-2</v>
      </c>
    </row>
    <row r="898" spans="22:26" x14ac:dyDescent="0.2">
      <c r="V898" s="202" t="str">
        <f t="shared" si="22"/>
        <v>1w</v>
      </c>
      <c r="W898" s="200">
        <f>_xll.qlCalendarAdvance(Calendar,W897,V898,"f",FALSE)</f>
        <v>45167</v>
      </c>
      <c r="X898" s="203">
        <f>_xll.qlCalendarAdvance(Calendar,W898,NDays&amp;"D")</f>
        <v>45169</v>
      </c>
      <c r="Y898" s="204">
        <v>1.9163206563508339E-2</v>
      </c>
      <c r="Z898" s="201">
        <v>1.9096318177798111E-2</v>
      </c>
    </row>
    <row r="899" spans="22:26" x14ac:dyDescent="0.2">
      <c r="V899" s="202" t="str">
        <f t="shared" si="22"/>
        <v>1w</v>
      </c>
      <c r="W899" s="200">
        <f>_xll.qlCalendarAdvance(Calendar,W898,V899,"f",FALSE)</f>
        <v>45174</v>
      </c>
      <c r="X899" s="203">
        <f>_xll.qlCalendarAdvance(Calendar,W899,NDays&amp;"D")</f>
        <v>45176</v>
      </c>
      <c r="Y899" s="204">
        <v>1.9196774163453001E-2</v>
      </c>
      <c r="Z899" s="201">
        <v>1.9122698106119884E-2</v>
      </c>
    </row>
    <row r="900" spans="22:26" x14ac:dyDescent="0.2">
      <c r="V900" s="202" t="str">
        <f t="shared" si="22"/>
        <v>1w</v>
      </c>
      <c r="W900" s="200">
        <f>_xll.qlCalendarAdvance(Calendar,W899,V900,"f",FALSE)</f>
        <v>45181</v>
      </c>
      <c r="X900" s="203">
        <f>_xll.qlCalendarAdvance(Calendar,W900,NDays&amp;"D")</f>
        <v>45183</v>
      </c>
      <c r="Y900" s="204">
        <v>1.9223226878334054E-2</v>
      </c>
      <c r="Z900" s="201">
        <v>1.9148901621317549E-2</v>
      </c>
    </row>
    <row r="901" spans="22:26" x14ac:dyDescent="0.2">
      <c r="V901" s="202" t="str">
        <f t="shared" si="22"/>
        <v>1w</v>
      </c>
      <c r="W901" s="200">
        <f>_xll.qlCalendarAdvance(Calendar,W900,V901,"f",FALSE)</f>
        <v>45188</v>
      </c>
      <c r="X901" s="203">
        <f>_xll.qlCalendarAdvance(Calendar,W901,NDays&amp;"D")</f>
        <v>45190</v>
      </c>
      <c r="Y901" s="204">
        <v>1.9249773278274818E-2</v>
      </c>
      <c r="Z901" s="201">
        <v>1.9175197040599556E-2</v>
      </c>
    </row>
    <row r="902" spans="22:26" x14ac:dyDescent="0.2">
      <c r="V902" s="202" t="str">
        <f t="shared" si="22"/>
        <v>1w</v>
      </c>
      <c r="W902" s="200">
        <f>_xll.qlCalendarAdvance(Calendar,W901,V902,"f",FALSE)</f>
        <v>45195</v>
      </c>
      <c r="X902" s="203">
        <f>_xll.qlCalendarAdvance(Calendar,W902,NDays&amp;"D")</f>
        <v>45197</v>
      </c>
      <c r="Y902" s="204">
        <v>1.9276413414536786E-2</v>
      </c>
      <c r="Z902" s="201">
        <v>1.9201585980352931E-2</v>
      </c>
    </row>
    <row r="903" spans="22:26" x14ac:dyDescent="0.2">
      <c r="V903" s="202" t="str">
        <f t="shared" si="22"/>
        <v>1w</v>
      </c>
      <c r="W903" s="200">
        <f>_xll.qlCalendarAdvance(Calendar,W902,V903,"f",FALSE)</f>
        <v>45202</v>
      </c>
      <c r="X903" s="203">
        <f>_xll.qlCalendarAdvance(Calendar,W903,NDays&amp;"D")</f>
        <v>45204</v>
      </c>
      <c r="Y903" s="204">
        <v>1.9303147287784428E-2</v>
      </c>
      <c r="Z903" s="201">
        <v>1.9228068440577673E-2</v>
      </c>
    </row>
    <row r="904" spans="22:26" x14ac:dyDescent="0.2">
      <c r="V904" s="202" t="str">
        <f t="shared" si="22"/>
        <v>1w</v>
      </c>
      <c r="W904" s="200">
        <f>_xll.qlCalendarAdvance(Calendar,W903,V904,"f",FALSE)</f>
        <v>45209</v>
      </c>
      <c r="X904" s="203">
        <f>_xll.qlCalendarAdvance(Calendar,W904,NDays&amp;"D")</f>
        <v>45211</v>
      </c>
      <c r="Y904" s="204">
        <v>1.932997489868471E-2</v>
      </c>
      <c r="Z904" s="201">
        <v>1.9254644421353717E-2</v>
      </c>
    </row>
    <row r="905" spans="22:26" x14ac:dyDescent="0.2">
      <c r="V905" s="202" t="str">
        <f t="shared" si="22"/>
        <v>1w</v>
      </c>
      <c r="W905" s="200">
        <f>_xll.qlCalendarAdvance(Calendar,W904,V905,"f",FALSE)</f>
        <v>45216</v>
      </c>
      <c r="X905" s="203">
        <f>_xll.qlCalendarAdvance(Calendar,W905,NDays&amp;"D")</f>
        <v>45218</v>
      </c>
      <c r="Y905" s="204">
        <v>1.93568962479021E-2</v>
      </c>
      <c r="Z905" s="201">
        <v>1.9281313922601129E-2</v>
      </c>
    </row>
    <row r="906" spans="22:26" x14ac:dyDescent="0.2">
      <c r="V906" s="202" t="str">
        <f t="shared" si="22"/>
        <v>1w</v>
      </c>
      <c r="W906" s="200">
        <f>_xll.qlCalendarAdvance(Calendar,W905,V906,"f",FALSE)</f>
        <v>45223</v>
      </c>
      <c r="X906" s="203">
        <f>_xll.qlCalendarAdvance(Calendar,W906,NDays&amp;"D")</f>
        <v>45225</v>
      </c>
      <c r="Y906" s="204">
        <v>1.9383911336111059E-2</v>
      </c>
      <c r="Z906" s="201">
        <v>1.930807694447978E-2</v>
      </c>
    </row>
    <row r="907" spans="22:26" x14ac:dyDescent="0.2">
      <c r="V907" s="202" t="str">
        <f t="shared" si="22"/>
        <v>1w</v>
      </c>
      <c r="W907" s="200">
        <f>_xll.qlCalendarAdvance(Calendar,W906,V907,"f",FALSE)</f>
        <v>45230</v>
      </c>
      <c r="X907" s="203">
        <f>_xll.qlCalendarAdvance(Calendar,W907,NDays&amp;"D")</f>
        <v>45232</v>
      </c>
      <c r="Y907" s="204">
        <v>1.9411020163988546E-2</v>
      </c>
      <c r="Z907" s="201">
        <v>1.9334933486829797E-2</v>
      </c>
    </row>
    <row r="908" spans="22:26" x14ac:dyDescent="0.2">
      <c r="V908" s="202" t="str">
        <f t="shared" si="22"/>
        <v>1w</v>
      </c>
      <c r="W908" s="200">
        <f>_xll.qlCalendarAdvance(Calendar,W907,V908,"f",FALSE)</f>
        <v>45237</v>
      </c>
      <c r="X908" s="203">
        <f>_xll.qlCalendarAdvance(Calendar,W908,NDays&amp;"D")</f>
        <v>45239</v>
      </c>
      <c r="Y908" s="204">
        <v>1.9438222732204025E-2</v>
      </c>
      <c r="Z908" s="201">
        <v>1.9361883549811054E-2</v>
      </c>
    </row>
    <row r="909" spans="22:26" x14ac:dyDescent="0.2">
      <c r="V909" s="202" t="str">
        <f t="shared" si="22"/>
        <v>1w</v>
      </c>
      <c r="W909" s="200">
        <f>_xll.qlCalendarAdvance(Calendar,W908,V909,"f",FALSE)</f>
        <v>45244</v>
      </c>
      <c r="X909" s="203">
        <f>_xll.qlCalendarAdvance(Calendar,W909,NDays&amp;"D")</f>
        <v>45246</v>
      </c>
      <c r="Y909" s="204">
        <v>1.9465519041441948E-2</v>
      </c>
      <c r="Z909" s="201">
        <v>1.9388927133343614E-2</v>
      </c>
    </row>
    <row r="910" spans="22:26" x14ac:dyDescent="0.2">
      <c r="V910" s="202" t="str">
        <f t="shared" si="22"/>
        <v>1w</v>
      </c>
      <c r="W910" s="200">
        <f>_xll.qlCalendarAdvance(Calendar,W909,V910,"f",FALSE)</f>
        <v>45251</v>
      </c>
      <c r="X910" s="203">
        <f>_xll.qlCalendarAdvance(Calendar,W910,NDays&amp;"D")</f>
        <v>45253</v>
      </c>
      <c r="Y910" s="204">
        <v>1.9497895460164272E-2</v>
      </c>
      <c r="Z910" s="201">
        <v>1.9416064237507413E-2</v>
      </c>
    </row>
    <row r="911" spans="22:26" x14ac:dyDescent="0.2">
      <c r="V911" s="202" t="str">
        <f t="shared" si="22"/>
        <v>1w</v>
      </c>
      <c r="W911" s="200">
        <f>_xll.qlCalendarAdvance(Calendar,W910,V911,"f",FALSE)</f>
        <v>45258</v>
      </c>
      <c r="X911" s="203">
        <f>_xll.qlCalendarAdvance(Calendar,W911,NDays&amp;"D")</f>
        <v>45260</v>
      </c>
      <c r="Y911" s="204">
        <v>1.9512895306229301E-2</v>
      </c>
      <c r="Z911" s="201">
        <v>1.9443294862382388E-2</v>
      </c>
    </row>
    <row r="912" spans="22:26" x14ac:dyDescent="0.2">
      <c r="V912" s="202" t="str">
        <f t="shared" si="22"/>
        <v>1w</v>
      </c>
      <c r="W912" s="200">
        <f>_xll.qlCalendarAdvance(Calendar,W911,V912,"f",FALSE)</f>
        <v>45265</v>
      </c>
      <c r="X912" s="203">
        <f>_xll.qlCalendarAdvance(Calendar,W912,NDays&amp;"D")</f>
        <v>45267</v>
      </c>
      <c r="Y912" s="204">
        <v>1.954797042209494E-2</v>
      </c>
      <c r="Z912" s="201">
        <v>1.9470619007968537E-2</v>
      </c>
    </row>
    <row r="913" spans="22:26" x14ac:dyDescent="0.2">
      <c r="V913" s="202" t="str">
        <f t="shared" si="22"/>
        <v>1w</v>
      </c>
      <c r="W913" s="200">
        <f>_xll.qlCalendarAdvance(Calendar,W912,V913,"f",FALSE)</f>
        <v>45272</v>
      </c>
      <c r="X913" s="203">
        <f>_xll.qlCalendarAdvance(Calendar,W913,NDays&amp;"D")</f>
        <v>45274</v>
      </c>
      <c r="Y913" s="204">
        <v>1.9575641702244684E-2</v>
      </c>
      <c r="Z913" s="201">
        <v>1.949803667410599E-2</v>
      </c>
    </row>
    <row r="914" spans="22:26" x14ac:dyDescent="0.2">
      <c r="V914" s="202" t="str">
        <f t="shared" si="22"/>
        <v>1w</v>
      </c>
      <c r="W914" s="200">
        <f>_xll.qlCalendarAdvance(Calendar,W913,V914,"f",FALSE)</f>
        <v>45279</v>
      </c>
      <c r="X914" s="203">
        <f>_xll.qlCalendarAdvance(Calendar,W914,NDays&amp;"D")</f>
        <v>45281</v>
      </c>
      <c r="Y914" s="204">
        <v>1.960340672684413E-2</v>
      </c>
      <c r="Z914" s="201">
        <v>1.9525547861034553E-2</v>
      </c>
    </row>
    <row r="915" spans="22:26" x14ac:dyDescent="0.2">
      <c r="V915" s="202" t="str">
        <f t="shared" si="22"/>
        <v>1w</v>
      </c>
      <c r="W915" s="200">
        <f>_xll.qlCalendarAdvance(Calendar,W914,V915,"f",FALSE)</f>
        <v>45287</v>
      </c>
      <c r="X915" s="203">
        <f>_xll.qlCalendarAdvance(Calendar,W915,NDays&amp;"D")</f>
        <v>45289</v>
      </c>
      <c r="Y915" s="204">
        <v>1.9637787891216136E-2</v>
      </c>
      <c r="Z915" s="201">
        <v>1.9564629942765421E-2</v>
      </c>
    </row>
    <row r="916" spans="22:26" x14ac:dyDescent="0.2">
      <c r="V916" s="202" t="str">
        <f t="shared" si="22"/>
        <v>1w</v>
      </c>
      <c r="W916" s="200">
        <f>_xll.qlCalendarAdvance(Calendar,W915,V916,"f",FALSE)</f>
        <v>45294</v>
      </c>
      <c r="X916" s="203">
        <f>_xll.qlCalendarAdvance(Calendar,W916,NDays&amp;"D")</f>
        <v>45296</v>
      </c>
      <c r="Y916" s="204">
        <v>1.9660676618010776E-2</v>
      </c>
      <c r="Z916" s="201">
        <v>1.9589848299501611E-2</v>
      </c>
    </row>
    <row r="917" spans="22:26" x14ac:dyDescent="0.2">
      <c r="V917" s="202" t="str">
        <f t="shared" ref="V917:V980" si="23">V916</f>
        <v>1w</v>
      </c>
      <c r="W917" s="200">
        <f>_xll.qlCalendarAdvance(Calendar,W916,V917,"f",FALSE)</f>
        <v>45301</v>
      </c>
      <c r="X917" s="203">
        <f>_xll.qlCalendarAdvance(Calendar,W917,NDays&amp;"D")</f>
        <v>45303</v>
      </c>
      <c r="Y917" s="204">
        <v>1.9688728044503393E-2</v>
      </c>
      <c r="Z917" s="201">
        <v>1.9617669798552839E-2</v>
      </c>
    </row>
    <row r="918" spans="22:26" x14ac:dyDescent="0.2">
      <c r="V918" s="202" t="str">
        <f t="shared" si="23"/>
        <v>1w</v>
      </c>
      <c r="W918" s="200">
        <f>_xll.qlCalendarAdvance(Calendar,W917,V918,"f",FALSE)</f>
        <v>45308</v>
      </c>
      <c r="X918" s="203">
        <f>_xll.qlCalendarAdvance(Calendar,W918,NDays&amp;"D")</f>
        <v>45310</v>
      </c>
      <c r="Y918" s="204">
        <v>1.9716873210964055E-2</v>
      </c>
      <c r="Z918" s="201">
        <v>1.9645584832916896E-2</v>
      </c>
    </row>
    <row r="919" spans="22:26" x14ac:dyDescent="0.2">
      <c r="V919" s="202" t="str">
        <f t="shared" si="23"/>
        <v>1w</v>
      </c>
      <c r="W919" s="200">
        <f>_xll.qlCalendarAdvance(Calendar,W918,V919,"f",FALSE)</f>
        <v>45315</v>
      </c>
      <c r="X919" s="203">
        <f>_xll.qlCalendarAdvance(Calendar,W919,NDays&amp;"D")</f>
        <v>45317</v>
      </c>
      <c r="Y919" s="204">
        <v>1.9745112118073508E-2</v>
      </c>
      <c r="Z919" s="201">
        <v>1.9673593402647072E-2</v>
      </c>
    </row>
    <row r="920" spans="22:26" x14ac:dyDescent="0.2">
      <c r="V920" s="202" t="str">
        <f t="shared" si="23"/>
        <v>1w</v>
      </c>
      <c r="W920" s="200">
        <f>_xll.qlCalendarAdvance(Calendar,W919,V920,"f",FALSE)</f>
        <v>45322</v>
      </c>
      <c r="X920" s="203">
        <f>_xll.qlCalendarAdvance(Calendar,W920,NDays&amp;"D")</f>
        <v>45324</v>
      </c>
      <c r="Y920" s="204">
        <v>1.9773444766520234E-2</v>
      </c>
      <c r="Z920" s="201">
        <v>1.9701695507849948E-2</v>
      </c>
    </row>
    <row r="921" spans="22:26" x14ac:dyDescent="0.2">
      <c r="V921" s="202" t="str">
        <f t="shared" si="23"/>
        <v>1w</v>
      </c>
      <c r="W921" s="200">
        <f>_xll.qlCalendarAdvance(Calendar,W920,V921,"f",FALSE)</f>
        <v>45329</v>
      </c>
      <c r="X921" s="203">
        <f>_xll.qlCalendarAdvance(Calendar,W921,NDays&amp;"D")</f>
        <v>45331</v>
      </c>
      <c r="Y921" s="204">
        <v>1.9801871156979824E-2</v>
      </c>
      <c r="Z921" s="201">
        <v>1.9729891148525525E-2</v>
      </c>
    </row>
    <row r="922" spans="22:26" x14ac:dyDescent="0.2">
      <c r="V922" s="202" t="str">
        <f t="shared" si="23"/>
        <v>1w</v>
      </c>
      <c r="W922" s="200">
        <f>_xll.qlCalendarAdvance(Calendar,W921,V922,"f",FALSE)</f>
        <v>45336</v>
      </c>
      <c r="X922" s="203">
        <f>_xll.qlCalendarAdvance(Calendar,W922,NDays&amp;"D")</f>
        <v>45338</v>
      </c>
      <c r="Y922" s="204">
        <v>1.9830391290143332E-2</v>
      </c>
      <c r="Z922" s="201">
        <v>1.9758180324807029E-2</v>
      </c>
    </row>
    <row r="923" spans="22:26" x14ac:dyDescent="0.2">
      <c r="V923" s="202" t="str">
        <f t="shared" si="23"/>
        <v>1w</v>
      </c>
      <c r="W923" s="200">
        <f>_xll.qlCalendarAdvance(Calendar,W922,V923,"f",FALSE)</f>
        <v>45343</v>
      </c>
      <c r="X923" s="203">
        <f>_xll.qlCalendarAdvance(Calendar,W923,NDays&amp;"D")</f>
        <v>45345</v>
      </c>
      <c r="Y923" s="204">
        <v>1.9859005166701825E-2</v>
      </c>
      <c r="Z923" s="201">
        <v>1.978656303669446E-2</v>
      </c>
    </row>
    <row r="924" spans="22:26" x14ac:dyDescent="0.2">
      <c r="V924" s="202" t="str">
        <f t="shared" si="23"/>
        <v>1w</v>
      </c>
      <c r="W924" s="200">
        <f>_xll.qlCalendarAdvance(Calendar,W923,V924,"f",FALSE)</f>
        <v>45350</v>
      </c>
      <c r="X924" s="203">
        <f>_xll.qlCalendarAdvance(Calendar,W924,NDays&amp;"D")</f>
        <v>45352</v>
      </c>
      <c r="Y924" s="204">
        <v>1.9890321082413065E-2</v>
      </c>
      <c r="Z924" s="201">
        <v>1.9815039284321045E-2</v>
      </c>
    </row>
    <row r="925" spans="22:26" x14ac:dyDescent="0.2">
      <c r="V925" s="202" t="str">
        <f t="shared" si="23"/>
        <v>1w</v>
      </c>
      <c r="W925" s="200">
        <f>_xll.qlCalendarAdvance(Calendar,W924,V925,"f",FALSE)</f>
        <v>45357</v>
      </c>
      <c r="X925" s="203">
        <f>_xll.qlCalendarAdvance(Calendar,W925,NDays&amp;"D")</f>
        <v>45359</v>
      </c>
      <c r="Y925" s="204">
        <v>1.9916514152765418E-2</v>
      </c>
      <c r="Z925" s="201">
        <v>1.984360906771343E-2</v>
      </c>
    </row>
    <row r="926" spans="22:26" x14ac:dyDescent="0.2">
      <c r="V926" s="202" t="str">
        <f t="shared" si="23"/>
        <v>1w</v>
      </c>
      <c r="W926" s="200">
        <f>_xll.qlCalendarAdvance(Calendar,W925,V926,"f",FALSE)</f>
        <v>45364</v>
      </c>
      <c r="X926" s="203">
        <f>_xll.qlCalendarAdvance(Calendar,W926,NDays&amp;"D")</f>
        <v>45366</v>
      </c>
      <c r="Y926" s="204">
        <v>1.9945409263657798E-2</v>
      </c>
      <c r="Z926" s="201">
        <v>1.9872272386951551E-2</v>
      </c>
    </row>
    <row r="927" spans="22:26" x14ac:dyDescent="0.2">
      <c r="V927" s="202" t="str">
        <f t="shared" si="23"/>
        <v>1w</v>
      </c>
      <c r="W927" s="200">
        <f>_xll.qlCalendarAdvance(Calendar,W926,V927,"f",FALSE)</f>
        <v>45371</v>
      </c>
      <c r="X927" s="203">
        <f>_xll.qlCalendarAdvance(Calendar,W927,NDays&amp;"D")</f>
        <v>45373</v>
      </c>
      <c r="Y927" s="204">
        <v>1.9974398120727446E-2</v>
      </c>
      <c r="Z927" s="201">
        <v>1.9901029242115342E-2</v>
      </c>
    </row>
    <row r="928" spans="22:26" x14ac:dyDescent="0.2">
      <c r="V928" s="202" t="str">
        <f t="shared" si="23"/>
        <v>1w</v>
      </c>
      <c r="W928" s="200">
        <f>_xll.qlCalendarAdvance(Calendar,W927,V928,"f",FALSE)</f>
        <v>45378</v>
      </c>
      <c r="X928" s="203">
        <f>_xll.qlCalendarAdvance(Calendar,W928,NDays&amp;"D")</f>
        <v>45384</v>
      </c>
      <c r="Y928" s="204">
        <v>2.0017496093862164E-2</v>
      </c>
      <c r="Z928" s="201">
        <v>1.9941167479595734E-2</v>
      </c>
    </row>
    <row r="929" spans="22:26" x14ac:dyDescent="0.2">
      <c r="V929" s="202" t="str">
        <f t="shared" si="23"/>
        <v>1w</v>
      </c>
      <c r="W929" s="200">
        <f>_xll.qlCalendarAdvance(Calendar,W928,V929,"f",FALSE)</f>
        <v>45385</v>
      </c>
      <c r="X929" s="203">
        <f>_xll.qlCalendarAdvance(Calendar,W929,NDays&amp;"D")</f>
        <v>45387</v>
      </c>
      <c r="Y929" s="204">
        <v>2.0032657076180856E-2</v>
      </c>
      <c r="Z929" s="201">
        <v>1.9958823560379813E-2</v>
      </c>
    </row>
    <row r="930" spans="22:26" x14ac:dyDescent="0.2">
      <c r="V930" s="202" t="str">
        <f t="shared" si="23"/>
        <v>1w</v>
      </c>
      <c r="W930" s="200">
        <f>_xll.qlCalendarAdvance(Calendar,W929,V930,"f",FALSE)</f>
        <v>45392</v>
      </c>
      <c r="X930" s="203">
        <f>_xll.qlCalendarAdvance(Calendar,W930,NDays&amp;"D")</f>
        <v>45394</v>
      </c>
      <c r="Y930" s="204">
        <v>2.0061927175977677E-2</v>
      </c>
      <c r="Z930" s="201">
        <v>1.9987861023640363E-2</v>
      </c>
    </row>
    <row r="931" spans="22:26" x14ac:dyDescent="0.2">
      <c r="V931" s="202" t="str">
        <f t="shared" si="23"/>
        <v>1w</v>
      </c>
      <c r="W931" s="200">
        <f>_xll.qlCalendarAdvance(Calendar,W930,V931,"f",FALSE)</f>
        <v>45399</v>
      </c>
      <c r="X931" s="203">
        <f>_xll.qlCalendarAdvance(Calendar,W931,NDays&amp;"D")</f>
        <v>45401</v>
      </c>
      <c r="Y931" s="204">
        <v>2.0091291024762429E-2</v>
      </c>
      <c r="Z931" s="201">
        <v>2.0016992023119684E-2</v>
      </c>
    </row>
    <row r="932" spans="22:26" x14ac:dyDescent="0.2">
      <c r="V932" s="202" t="str">
        <f t="shared" si="23"/>
        <v>1w</v>
      </c>
      <c r="W932" s="200">
        <f>_xll.qlCalendarAdvance(Calendar,W931,V932,"f",FALSE)</f>
        <v>45406</v>
      </c>
      <c r="X932" s="203">
        <f>_xll.qlCalendarAdvance(Calendar,W932,NDays&amp;"D")</f>
        <v>45408</v>
      </c>
      <c r="Y932" s="204">
        <v>2.0120748623244214E-2</v>
      </c>
      <c r="Z932" s="201">
        <v>2.004621655879113E-2</v>
      </c>
    </row>
    <row r="933" spans="22:26" x14ac:dyDescent="0.2">
      <c r="V933" s="202" t="str">
        <f t="shared" si="23"/>
        <v>1w</v>
      </c>
      <c r="W933" s="200">
        <f>_xll.qlCalendarAdvance(Calendar,W932,V933,"f",FALSE)</f>
        <v>45414</v>
      </c>
      <c r="X933" s="203">
        <f>_xll.qlCalendarAdvance(Calendar,W933,NDays&amp;"D")</f>
        <v>45418</v>
      </c>
      <c r="Y933" s="204">
        <v>2.0162993535228269E-2</v>
      </c>
      <c r="Z933" s="201">
        <v>2.0082807414896209E-2</v>
      </c>
    </row>
    <row r="934" spans="22:26" x14ac:dyDescent="0.2">
      <c r="V934" s="202" t="str">
        <f t="shared" si="23"/>
        <v>1w</v>
      </c>
      <c r="W934" s="200">
        <f>_xll.qlCalendarAdvance(Calendar,W933,V934,"f",FALSE)</f>
        <v>45421</v>
      </c>
      <c r="X934" s="203">
        <f>_xll.qlCalendarAdvance(Calendar,W934,NDays&amp;"D")</f>
        <v>45425</v>
      </c>
      <c r="Y934" s="204">
        <v>2.0192678814513296E-2</v>
      </c>
      <c r="Z934" s="201">
        <v>2.0112242461376439E-2</v>
      </c>
    </row>
    <row r="935" spans="22:26" x14ac:dyDescent="0.2">
      <c r="V935" s="202" t="str">
        <f t="shared" si="23"/>
        <v>1w</v>
      </c>
      <c r="W935" s="200">
        <f>_xll.qlCalendarAdvance(Calendar,W934,V935,"f",FALSE)</f>
        <v>45428</v>
      </c>
      <c r="X935" s="203">
        <f>_xll.qlCalendarAdvance(Calendar,W935,NDays&amp;"D")</f>
        <v>45432</v>
      </c>
      <c r="Y935" s="204">
        <v>2.0222457845947596E-2</v>
      </c>
      <c r="Z935" s="201">
        <v>2.0141771029127398E-2</v>
      </c>
    </row>
    <row r="936" spans="22:26" x14ac:dyDescent="0.2">
      <c r="V936" s="202" t="str">
        <f t="shared" si="23"/>
        <v>1w</v>
      </c>
      <c r="W936" s="200">
        <f>_xll.qlCalendarAdvance(Calendar,W935,V936,"f",FALSE)</f>
        <v>45435</v>
      </c>
      <c r="X936" s="203">
        <f>_xll.qlCalendarAdvance(Calendar,W936,NDays&amp;"D")</f>
        <v>45439</v>
      </c>
      <c r="Y936" s="204">
        <v>2.025233063025059E-2</v>
      </c>
      <c r="Z936" s="201">
        <v>2.0171393117989211E-2</v>
      </c>
    </row>
    <row r="937" spans="22:26" x14ac:dyDescent="0.2">
      <c r="V937" s="202" t="str">
        <f t="shared" si="23"/>
        <v>1w</v>
      </c>
      <c r="W937" s="200">
        <f>_xll.qlCalendarAdvance(Calendar,W936,V937,"f",FALSE)</f>
        <v>45442</v>
      </c>
      <c r="X937" s="203">
        <f>_xll.qlCalendarAdvance(Calendar,W937,NDays&amp;"D")</f>
        <v>45446</v>
      </c>
      <c r="Y937" s="204">
        <v>2.027957784743073E-2</v>
      </c>
      <c r="Z937" s="201">
        <v>2.0201108728041817E-2</v>
      </c>
    </row>
    <row r="938" spans="22:26" x14ac:dyDescent="0.2">
      <c r="V938" s="202" t="str">
        <f t="shared" si="23"/>
        <v>1w</v>
      </c>
      <c r="W938" s="200">
        <f>_xll.qlCalendarAdvance(Calendar,W937,V938,"f",FALSE)</f>
        <v>45449</v>
      </c>
      <c r="X938" s="203">
        <f>_xll.qlCalendarAdvance(Calendar,W938,NDays&amp;"D")</f>
        <v>45453</v>
      </c>
      <c r="Y938" s="204">
        <v>2.0309629750101088E-2</v>
      </c>
      <c r="Z938" s="201">
        <v>2.0230917859525022E-2</v>
      </c>
    </row>
    <row r="939" spans="22:26" x14ac:dyDescent="0.2">
      <c r="V939" s="202" t="str">
        <f t="shared" si="23"/>
        <v>1w</v>
      </c>
      <c r="W939" s="200">
        <f>_xll.qlCalendarAdvance(Calendar,W938,V939,"f",FALSE)</f>
        <v>45456</v>
      </c>
      <c r="X939" s="203">
        <f>_xll.qlCalendarAdvance(Calendar,W939,NDays&amp;"D")</f>
        <v>45460</v>
      </c>
      <c r="Y939" s="204">
        <v>2.0339775399960125E-2</v>
      </c>
      <c r="Z939" s="201">
        <v>2.0260820512199018E-2</v>
      </c>
    </row>
    <row r="940" spans="22:26" x14ac:dyDescent="0.2">
      <c r="V940" s="202" t="str">
        <f t="shared" si="23"/>
        <v>1w</v>
      </c>
      <c r="W940" s="200">
        <f>_xll.qlCalendarAdvance(Calendar,W939,V940,"f",FALSE)</f>
        <v>45463</v>
      </c>
      <c r="X940" s="203">
        <f>_xll.qlCalendarAdvance(Calendar,W940,NDays&amp;"D")</f>
        <v>45467</v>
      </c>
      <c r="Y940" s="204">
        <v>2.0370014797716607E-2</v>
      </c>
      <c r="Z940" s="201">
        <v>2.0290816686143742E-2</v>
      </c>
    </row>
    <row r="941" spans="22:26" x14ac:dyDescent="0.2">
      <c r="V941" s="202" t="str">
        <f t="shared" si="23"/>
        <v>1w</v>
      </c>
      <c r="W941" s="200">
        <f>_xll.qlCalendarAdvance(Calendar,W940,V941,"f",FALSE)</f>
        <v>45470</v>
      </c>
      <c r="X941" s="203">
        <f>_xll.qlCalendarAdvance(Calendar,W941,NDays&amp;"D")</f>
        <v>45474</v>
      </c>
      <c r="Y941" s="204">
        <v>2.0403100870099604E-2</v>
      </c>
      <c r="Z941" s="201">
        <v>2.032090638143913E-2</v>
      </c>
    </row>
    <row r="942" spans="22:26" x14ac:dyDescent="0.2">
      <c r="V942" s="202" t="str">
        <f t="shared" si="23"/>
        <v>1w</v>
      </c>
      <c r="W942" s="200">
        <f>_xll.qlCalendarAdvance(Calendar,W941,V942,"f",FALSE)</f>
        <v>45477</v>
      </c>
      <c r="X942" s="203">
        <f>_xll.qlCalendarAdvance(Calendar,W942,NDays&amp;"D")</f>
        <v>45481</v>
      </c>
      <c r="Y942" s="204">
        <v>2.0433536186843872E-2</v>
      </c>
      <c r="Z942" s="201">
        <v>2.0351089598165117E-2</v>
      </c>
    </row>
    <row r="943" spans="22:26" x14ac:dyDescent="0.2">
      <c r="V943" s="202" t="str">
        <f t="shared" si="23"/>
        <v>1w</v>
      </c>
      <c r="W943" s="200">
        <f>_xll.qlCalendarAdvance(Calendar,W942,V943,"f",FALSE)</f>
        <v>45484</v>
      </c>
      <c r="X943" s="203">
        <f>_xll.qlCalendarAdvance(Calendar,W943,NDays&amp;"D")</f>
        <v>45488</v>
      </c>
      <c r="Y943" s="204">
        <v>2.0464065261549536E-2</v>
      </c>
      <c r="Z943" s="201">
        <v>2.0381366336241769E-2</v>
      </c>
    </row>
    <row r="944" spans="22:26" x14ac:dyDescent="0.2">
      <c r="V944" s="202" t="str">
        <f t="shared" si="23"/>
        <v>1w</v>
      </c>
      <c r="W944" s="200">
        <f>_xll.qlCalendarAdvance(Calendar,W943,V944,"f",FALSE)</f>
        <v>45491</v>
      </c>
      <c r="X944" s="203">
        <f>_xll.qlCalendarAdvance(Calendar,W944,NDays&amp;"D")</f>
        <v>45495</v>
      </c>
      <c r="Y944" s="204">
        <v>2.0494688094966962E-2</v>
      </c>
      <c r="Z944" s="201">
        <v>2.0411736595749019E-2</v>
      </c>
    </row>
    <row r="945" spans="22:26" x14ac:dyDescent="0.2">
      <c r="V945" s="202" t="str">
        <f t="shared" si="23"/>
        <v>1w</v>
      </c>
      <c r="W945" s="200">
        <f>_xll.qlCalendarAdvance(Calendar,W944,V945,"f",FALSE)</f>
        <v>45498</v>
      </c>
      <c r="X945" s="203">
        <f>_xll.qlCalendarAdvance(Calendar,W945,NDays&amp;"D")</f>
        <v>45502</v>
      </c>
      <c r="Y945" s="204">
        <v>2.0525404687823306E-2</v>
      </c>
      <c r="Z945" s="201">
        <v>2.0442200376606934E-2</v>
      </c>
    </row>
    <row r="946" spans="22:26" x14ac:dyDescent="0.2">
      <c r="V946" s="202" t="str">
        <f t="shared" si="23"/>
        <v>1w</v>
      </c>
      <c r="W946" s="200">
        <f>_xll.qlCalendarAdvance(Calendar,W945,V946,"f",FALSE)</f>
        <v>45505</v>
      </c>
      <c r="X946" s="203">
        <f>_xll.qlCalendarAdvance(Calendar,W946,NDays&amp;"D")</f>
        <v>45509</v>
      </c>
      <c r="Y946" s="204">
        <v>2.0556215040871524E-2</v>
      </c>
      <c r="Z946" s="201">
        <v>2.0472757678975384E-2</v>
      </c>
    </row>
    <row r="947" spans="22:26" x14ac:dyDescent="0.2">
      <c r="V947" s="202" t="str">
        <f t="shared" si="23"/>
        <v>1w</v>
      </c>
      <c r="W947" s="200">
        <f>_xll.qlCalendarAdvance(Calendar,W946,V947,"f",FALSE)</f>
        <v>45512</v>
      </c>
      <c r="X947" s="203">
        <f>_xll.qlCalendarAdvance(Calendar,W947,NDays&amp;"D")</f>
        <v>45516</v>
      </c>
      <c r="Y947" s="204">
        <v>2.0587118277512167E-2</v>
      </c>
      <c r="Z947" s="201">
        <v>2.0503408502774434E-2</v>
      </c>
    </row>
    <row r="948" spans="22:26" x14ac:dyDescent="0.2">
      <c r="V948" s="202" t="str">
        <f t="shared" si="23"/>
        <v>1w</v>
      </c>
      <c r="W948" s="200">
        <f>_xll.qlCalendarAdvance(Calendar,W947,V948,"f",FALSE)</f>
        <v>45519</v>
      </c>
      <c r="X948" s="203">
        <f>_xll.qlCalendarAdvance(Calendar,W948,NDays&amp;"D")</f>
        <v>45523</v>
      </c>
      <c r="Y948" s="204">
        <v>2.0618084536431824E-2</v>
      </c>
      <c r="Z948" s="201">
        <v>2.053415284808402E-2</v>
      </c>
    </row>
    <row r="949" spans="22:26" x14ac:dyDescent="0.2">
      <c r="V949" s="202" t="str">
        <f t="shared" si="23"/>
        <v>1w</v>
      </c>
      <c r="W949" s="200">
        <f>_xll.qlCalendarAdvance(Calendar,W948,V949,"f",FALSE)</f>
        <v>45526</v>
      </c>
      <c r="X949" s="203">
        <f>_xll.qlCalendarAdvance(Calendar,W949,NDays&amp;"D")</f>
        <v>45530</v>
      </c>
      <c r="Y949" s="204">
        <v>2.0649049024772954E-2</v>
      </c>
      <c r="Z949" s="201">
        <v>2.0564990714904141E-2</v>
      </c>
    </row>
    <row r="950" spans="22:26" x14ac:dyDescent="0.2">
      <c r="V950" s="202" t="str">
        <f t="shared" si="23"/>
        <v>1w</v>
      </c>
      <c r="W950" s="200">
        <f>_xll.qlCalendarAdvance(Calendar,W949,V950,"f",FALSE)</f>
        <v>45533</v>
      </c>
      <c r="X950" s="203">
        <f>_xll.qlCalendarAdvance(Calendar,W950,NDays&amp;"D")</f>
        <v>45537</v>
      </c>
      <c r="Y950" s="204">
        <v>2.0677156553587928E-2</v>
      </c>
      <c r="Z950" s="201">
        <v>2.0595922103234798E-2</v>
      </c>
    </row>
    <row r="951" spans="22:26" x14ac:dyDescent="0.2">
      <c r="V951" s="202" t="str">
        <f t="shared" si="23"/>
        <v>1w</v>
      </c>
      <c r="W951" s="200">
        <f>_xll.qlCalendarAdvance(Calendar,W950,V951,"f",FALSE)</f>
        <v>45540</v>
      </c>
      <c r="X951" s="203">
        <f>_xll.qlCalendarAdvance(Calendar,W951,NDays&amp;"D")</f>
        <v>45544</v>
      </c>
      <c r="Y951" s="204">
        <v>2.0707929198249708E-2</v>
      </c>
      <c r="Z951" s="201">
        <v>2.0626946007640257E-2</v>
      </c>
    </row>
    <row r="952" spans="22:26" x14ac:dyDescent="0.2">
      <c r="V952" s="202" t="str">
        <f t="shared" si="23"/>
        <v>1w</v>
      </c>
      <c r="W952" s="200">
        <f>_xll.qlCalendarAdvance(Calendar,W951,V952,"f",FALSE)</f>
        <v>45547</v>
      </c>
      <c r="X952" s="203">
        <f>_xll.qlCalendarAdvance(Calendar,W952,NDays&amp;"D")</f>
        <v>45551</v>
      </c>
      <c r="Y952" s="204">
        <v>2.0738510976250346E-2</v>
      </c>
      <c r="Z952" s="201">
        <v>2.0657895500209023E-2</v>
      </c>
    </row>
    <row r="953" spans="22:26" x14ac:dyDescent="0.2">
      <c r="V953" s="202" t="str">
        <f t="shared" si="23"/>
        <v>1w</v>
      </c>
      <c r="W953" s="200">
        <f>_xll.qlCalendarAdvance(Calendar,W952,V953,"f",FALSE)</f>
        <v>45554</v>
      </c>
      <c r="X953" s="203">
        <f>_xll.qlCalendarAdvance(Calendar,W953,NDays&amp;"D")</f>
        <v>45558</v>
      </c>
      <c r="Y953" s="204">
        <v>2.0768890369667226E-2</v>
      </c>
      <c r="Z953" s="201">
        <v>2.0688642871338203E-2</v>
      </c>
    </row>
    <row r="954" spans="22:26" x14ac:dyDescent="0.2">
      <c r="V954" s="202" t="str">
        <f t="shared" si="23"/>
        <v>1w</v>
      </c>
      <c r="W954" s="200">
        <f>_xll.qlCalendarAdvance(Calendar,W953,V954,"f",FALSE)</f>
        <v>45561</v>
      </c>
      <c r="X954" s="203">
        <f>_xll.qlCalendarAdvance(Calendar,W954,NDays&amp;"D")</f>
        <v>45565</v>
      </c>
      <c r="Y954" s="204">
        <v>2.0801805254286303E-2</v>
      </c>
      <c r="Z954" s="201">
        <v>2.071918812078799E-2</v>
      </c>
    </row>
    <row r="955" spans="22:26" x14ac:dyDescent="0.2">
      <c r="V955" s="202" t="str">
        <f t="shared" si="23"/>
        <v>1w</v>
      </c>
      <c r="W955" s="200">
        <f>_xll.qlCalendarAdvance(Calendar,W954,V955,"f",FALSE)</f>
        <v>45568</v>
      </c>
      <c r="X955" s="203">
        <f>_xll.qlCalendarAdvance(Calendar,W955,NDays&amp;"D")</f>
        <v>45572</v>
      </c>
      <c r="Y955" s="204">
        <v>2.0831767148521634E-2</v>
      </c>
      <c r="Z955" s="201">
        <v>2.0749531248718256E-2</v>
      </c>
    </row>
    <row r="956" spans="22:26" x14ac:dyDescent="0.2">
      <c r="V956" s="202" t="str">
        <f t="shared" si="23"/>
        <v>1w</v>
      </c>
      <c r="W956" s="200">
        <f>_xll.qlCalendarAdvance(Calendar,W955,V956,"f",FALSE)</f>
        <v>45575</v>
      </c>
      <c r="X956" s="203">
        <f>_xll.qlCalendarAdvance(Calendar,W956,NDays&amp;"D")</f>
        <v>45579</v>
      </c>
      <c r="Y956" s="204">
        <v>2.0861526644259002E-2</v>
      </c>
      <c r="Z956" s="201">
        <v>2.0779672254809256E-2</v>
      </c>
    </row>
    <row r="957" spans="22:26" x14ac:dyDescent="0.2">
      <c r="V957" s="202" t="str">
        <f t="shared" si="23"/>
        <v>1w</v>
      </c>
      <c r="W957" s="200">
        <f>_xll.qlCalendarAdvance(Calendar,W956,V957,"f",FALSE)</f>
        <v>45582</v>
      </c>
      <c r="X957" s="203">
        <f>_xll.qlCalendarAdvance(Calendar,W957,NDays&amp;"D")</f>
        <v>45586</v>
      </c>
      <c r="Y957" s="204">
        <v>2.089108373994868E-2</v>
      </c>
      <c r="Z957" s="201">
        <v>2.0809611139300799E-2</v>
      </c>
    </row>
    <row r="958" spans="22:26" x14ac:dyDescent="0.2">
      <c r="V958" s="202" t="str">
        <f t="shared" si="23"/>
        <v>1w</v>
      </c>
      <c r="W958" s="200">
        <f>_xll.qlCalendarAdvance(Calendar,W957,V958,"f",FALSE)</f>
        <v>45589</v>
      </c>
      <c r="X958" s="203">
        <f>_xll.qlCalendarAdvance(Calendar,W958,NDays&amp;"D")</f>
        <v>45593</v>
      </c>
      <c r="Y958" s="204">
        <v>2.0920438434046101E-2</v>
      </c>
      <c r="Z958" s="201">
        <v>2.083934790187314E-2</v>
      </c>
    </row>
    <row r="959" spans="22:26" x14ac:dyDescent="0.2">
      <c r="V959" s="202" t="str">
        <f t="shared" si="23"/>
        <v>1w</v>
      </c>
      <c r="W959" s="200">
        <f>_xll.qlCalendarAdvance(Calendar,W958,V959,"f",FALSE)</f>
        <v>45596</v>
      </c>
      <c r="X959" s="203">
        <f>_xll.qlCalendarAdvance(Calendar,W959,NDays&amp;"D")</f>
        <v>45600</v>
      </c>
      <c r="Y959" s="204">
        <v>2.0946916568639118E-2</v>
      </c>
      <c r="Z959" s="201">
        <v>2.0868882542766087E-2</v>
      </c>
    </row>
    <row r="960" spans="22:26" x14ac:dyDescent="0.2">
      <c r="V960" s="202" t="str">
        <f t="shared" si="23"/>
        <v>1w</v>
      </c>
      <c r="W960" s="200">
        <f>_xll.qlCalendarAdvance(Calendar,W959,V960,"f",FALSE)</f>
        <v>45603</v>
      </c>
      <c r="X960" s="203">
        <f>_xll.qlCalendarAdvance(Calendar,W960,NDays&amp;"D")</f>
        <v>45607</v>
      </c>
      <c r="Y960" s="204">
        <v>2.0975879227555616E-2</v>
      </c>
      <c r="Z960" s="201">
        <v>2.0898215061659897E-2</v>
      </c>
    </row>
    <row r="961" spans="22:26" x14ac:dyDescent="0.2">
      <c r="V961" s="202" t="str">
        <f t="shared" si="23"/>
        <v>1w</v>
      </c>
      <c r="W961" s="200">
        <f>_xll.qlCalendarAdvance(Calendar,W960,V961,"f",FALSE)</f>
        <v>45610</v>
      </c>
      <c r="X961" s="203">
        <f>_xll.qlCalendarAdvance(Calendar,W961,NDays&amp;"D")</f>
        <v>45614</v>
      </c>
      <c r="Y961" s="204">
        <v>2.1004639489892618E-2</v>
      </c>
      <c r="Z961" s="201">
        <v>2.0927345458634505E-2</v>
      </c>
    </row>
    <row r="962" spans="22:26" x14ac:dyDescent="0.2">
      <c r="V962" s="202" t="str">
        <f t="shared" si="23"/>
        <v>1w</v>
      </c>
      <c r="W962" s="200">
        <f>_xll.qlCalendarAdvance(Calendar,W961,V962,"f",FALSE)</f>
        <v>45617</v>
      </c>
      <c r="X962" s="203">
        <f>_xll.qlCalendarAdvance(Calendar,W962,NDays&amp;"D")</f>
        <v>45621</v>
      </c>
      <c r="Y962" s="204">
        <v>2.1038467856667742E-2</v>
      </c>
      <c r="Z962" s="201">
        <v>2.095627373353004E-2</v>
      </c>
    </row>
    <row r="963" spans="22:26" x14ac:dyDescent="0.2">
      <c r="V963" s="202" t="str">
        <f t="shared" si="23"/>
        <v>1w</v>
      </c>
      <c r="W963" s="200">
        <f>_xll.qlCalendarAdvance(Calendar,W962,V963,"f",FALSE)</f>
        <v>45624</v>
      </c>
      <c r="X963" s="203">
        <f>_xll.qlCalendarAdvance(Calendar,W963,NDays&amp;"D")</f>
        <v>45628</v>
      </c>
      <c r="Y963" s="204">
        <v>2.1064175827378351E-2</v>
      </c>
      <c r="Z963" s="201">
        <v>2.0984999886506372E-2</v>
      </c>
    </row>
    <row r="964" spans="22:26" x14ac:dyDescent="0.2">
      <c r="V964" s="202" t="str">
        <f t="shared" si="23"/>
        <v>1w</v>
      </c>
      <c r="W964" s="200">
        <f>_xll.qlCalendarAdvance(Calendar,W963,V964,"f",FALSE)</f>
        <v>45631</v>
      </c>
      <c r="X964" s="203">
        <f>_xll.qlCalendarAdvance(Calendar,W964,NDays&amp;"D")</f>
        <v>45635</v>
      </c>
      <c r="Y964" s="204">
        <v>2.1092316080107653E-2</v>
      </c>
      <c r="Z964" s="201">
        <v>2.1013523917403631E-2</v>
      </c>
    </row>
    <row r="965" spans="22:26" x14ac:dyDescent="0.2">
      <c r="V965" s="202" t="str">
        <f t="shared" si="23"/>
        <v>1w</v>
      </c>
      <c r="W965" s="200">
        <f>_xll.qlCalendarAdvance(Calendar,W964,V965,"f",FALSE)</f>
        <v>45638</v>
      </c>
      <c r="X965" s="203">
        <f>_xll.qlCalendarAdvance(Calendar,W965,NDays&amp;"D")</f>
        <v>45642</v>
      </c>
      <c r="Y965" s="204">
        <v>2.1120253920739553E-2</v>
      </c>
      <c r="Z965" s="201">
        <v>2.1041845826061945E-2</v>
      </c>
    </row>
    <row r="966" spans="22:26" x14ac:dyDescent="0.2">
      <c r="V966" s="202" t="str">
        <f t="shared" si="23"/>
        <v>1w</v>
      </c>
      <c r="W966" s="200">
        <f>_xll.qlCalendarAdvance(Calendar,W965,V966,"f",FALSE)</f>
        <v>45645</v>
      </c>
      <c r="X966" s="203">
        <f>_xll.qlCalendarAdvance(Calendar,W966,NDays&amp;"D")</f>
        <v>45649</v>
      </c>
      <c r="Y966" s="204">
        <v>2.1147989347817146E-2</v>
      </c>
      <c r="Z966" s="201">
        <v>2.1069965612561248E-2</v>
      </c>
    </row>
    <row r="967" spans="22:26" x14ac:dyDescent="0.2">
      <c r="V967" s="202" t="str">
        <f t="shared" si="23"/>
        <v>1w</v>
      </c>
      <c r="W967" s="200">
        <f>_xll.qlCalendarAdvance(Calendar,W966,V967,"f",FALSE)</f>
        <v>45653</v>
      </c>
      <c r="X967" s="203">
        <f>_xll.qlCalendarAdvance(Calendar,W967,NDays&amp;"D")</f>
        <v>45657</v>
      </c>
      <c r="Y967" s="204">
        <v>2.1179439123568535E-2</v>
      </c>
      <c r="Z967" s="201">
        <v>2.1104457393592568E-2</v>
      </c>
    </row>
    <row r="968" spans="22:26" x14ac:dyDescent="0.2">
      <c r="V968" s="202" t="str">
        <f t="shared" si="23"/>
        <v>1w</v>
      </c>
      <c r="W968" s="200">
        <f>_xll.qlCalendarAdvance(Calendar,W967,V968,"f",FALSE)</f>
        <v>45660</v>
      </c>
      <c r="X968" s="203">
        <f>_xll.qlCalendarAdvance(Calendar,W968,NDays&amp;"D")</f>
        <v>45664</v>
      </c>
      <c r="Y968" s="204">
        <v>2.1206740802447478E-2</v>
      </c>
      <c r="Z968" s="201">
        <v>2.1129541682238795E-2</v>
      </c>
    </row>
    <row r="969" spans="22:26" x14ac:dyDescent="0.2">
      <c r="V969" s="202" t="str">
        <f t="shared" si="23"/>
        <v>1w</v>
      </c>
      <c r="W969" s="200">
        <f>_xll.qlCalendarAdvance(Calendar,W968,V969,"f",FALSE)</f>
        <v>45667</v>
      </c>
      <c r="X969" s="203">
        <f>_xll.qlCalendarAdvance(Calendar,W969,NDays&amp;"D")</f>
        <v>45671</v>
      </c>
      <c r="Y969" s="204">
        <v>2.1233840063251866E-2</v>
      </c>
      <c r="Z969" s="201">
        <v>2.11570262273586E-2</v>
      </c>
    </row>
    <row r="970" spans="22:26" x14ac:dyDescent="0.2">
      <c r="V970" s="202" t="str">
        <f t="shared" si="23"/>
        <v>1w</v>
      </c>
      <c r="W970" s="200">
        <f>_xll.qlCalendarAdvance(Calendar,W969,V970,"f",FALSE)</f>
        <v>45674</v>
      </c>
      <c r="X970" s="203">
        <f>_xll.qlCalendarAdvance(Calendar,W970,NDays&amp;"D")</f>
        <v>45678</v>
      </c>
      <c r="Y970" s="204">
        <v>2.1260736904571205E-2</v>
      </c>
      <c r="Z970" s="201">
        <v>2.118430864999965E-2</v>
      </c>
    </row>
    <row r="971" spans="22:26" x14ac:dyDescent="0.2">
      <c r="V971" s="202" t="str">
        <f t="shared" si="23"/>
        <v>1w</v>
      </c>
      <c r="W971" s="200">
        <f>_xll.qlCalendarAdvance(Calendar,W970,V971,"f",FALSE)</f>
        <v>45681</v>
      </c>
      <c r="X971" s="203">
        <f>_xll.qlCalendarAdvance(Calendar,W971,NDays&amp;"D")</f>
        <v>45685</v>
      </c>
      <c r="Y971" s="204">
        <v>2.1287431325000175E-2</v>
      </c>
      <c r="Z971" s="201">
        <v>2.1211388950321819E-2</v>
      </c>
    </row>
    <row r="972" spans="22:26" x14ac:dyDescent="0.2">
      <c r="V972" s="202" t="str">
        <f t="shared" si="23"/>
        <v>1w</v>
      </c>
      <c r="W972" s="200">
        <f>_xll.qlCalendarAdvance(Calendar,W971,V972,"f",FALSE)</f>
        <v>45688</v>
      </c>
      <c r="X972" s="203">
        <f>_xll.qlCalendarAdvance(Calendar,W972,NDays&amp;"D")</f>
        <v>45692</v>
      </c>
      <c r="Y972" s="204">
        <v>2.1306403403335797E-2</v>
      </c>
      <c r="Z972" s="201">
        <v>2.1238267128085297E-2</v>
      </c>
    </row>
    <row r="973" spans="22:26" x14ac:dyDescent="0.2">
      <c r="V973" s="202" t="str">
        <f t="shared" si="23"/>
        <v>1w</v>
      </c>
      <c r="W973" s="200">
        <f>_xll.qlCalendarAdvance(Calendar,W972,V973,"f",FALSE)</f>
        <v>45695</v>
      </c>
      <c r="X973" s="203">
        <f>_xll.qlCalendarAdvance(Calendar,W973,NDays&amp;"D")</f>
        <v>45699</v>
      </c>
      <c r="Y973" s="204">
        <v>2.1332731680394304E-2</v>
      </c>
      <c r="Z973" s="201">
        <v>2.1264943183370022E-2</v>
      </c>
    </row>
    <row r="974" spans="22:26" x14ac:dyDescent="0.2">
      <c r="V974" s="202" t="str">
        <f t="shared" si="23"/>
        <v>1w</v>
      </c>
      <c r="W974" s="200">
        <f>_xll.qlCalendarAdvance(Calendar,W973,V974,"f",FALSE)</f>
        <v>45702</v>
      </c>
      <c r="X974" s="203">
        <f>_xll.qlCalendarAdvance(Calendar,W974,NDays&amp;"D")</f>
        <v>45706</v>
      </c>
      <c r="Y974" s="204">
        <v>2.1358857562937379E-2</v>
      </c>
      <c r="Z974" s="201">
        <v>2.1291417116096056E-2</v>
      </c>
    </row>
    <row r="975" spans="22:26" x14ac:dyDescent="0.2">
      <c r="V975" s="202" t="str">
        <f t="shared" si="23"/>
        <v>1w</v>
      </c>
      <c r="W975" s="200">
        <f>_xll.qlCalendarAdvance(Calendar,W974,V975,"f",FALSE)</f>
        <v>45709</v>
      </c>
      <c r="X975" s="203">
        <f>_xll.qlCalendarAdvance(Calendar,W975,NDays&amp;"D")</f>
        <v>45713</v>
      </c>
      <c r="Y975" s="204">
        <v>2.1384781049728865E-2</v>
      </c>
      <c r="Z975" s="201">
        <v>2.1317688926263401E-2</v>
      </c>
    </row>
    <row r="976" spans="22:26" x14ac:dyDescent="0.2">
      <c r="V976" s="202" t="str">
        <f t="shared" si="23"/>
        <v>1w</v>
      </c>
      <c r="W976" s="200">
        <f>_xll.qlCalendarAdvance(Calendar,W975,V976,"f",FALSE)</f>
        <v>45716</v>
      </c>
      <c r="X976" s="203">
        <f>_xll.qlCalendarAdvance(Calendar,W976,NDays&amp;"D")</f>
        <v>45720</v>
      </c>
      <c r="Y976" s="204">
        <v>2.141786706537397E-2</v>
      </c>
      <c r="Z976" s="201">
        <v>2.1343758613712183E-2</v>
      </c>
    </row>
    <row r="977" spans="22:26" x14ac:dyDescent="0.2">
      <c r="V977" s="202" t="str">
        <f t="shared" si="23"/>
        <v>1w</v>
      </c>
      <c r="W977" s="200">
        <f>_xll.qlCalendarAdvance(Calendar,W976,V977,"f",FALSE)</f>
        <v>45723</v>
      </c>
      <c r="X977" s="203">
        <f>_xll.qlCalendarAdvance(Calendar,W977,NDays&amp;"D")</f>
        <v>45727</v>
      </c>
      <c r="Y977" s="204">
        <v>2.1443346931562534E-2</v>
      </c>
      <c r="Z977" s="201">
        <v>2.1369626178522338E-2</v>
      </c>
    </row>
    <row r="978" spans="22:26" x14ac:dyDescent="0.2">
      <c r="V978" s="202" t="str">
        <f t="shared" si="23"/>
        <v>1w</v>
      </c>
      <c r="W978" s="200">
        <f>_xll.qlCalendarAdvance(Calendar,W977,V978,"f",FALSE)</f>
        <v>45730</v>
      </c>
      <c r="X978" s="203">
        <f>_xll.qlCalendarAdvance(Calendar,W978,NDays&amp;"D")</f>
        <v>45734</v>
      </c>
      <c r="Y978" s="204">
        <v>2.1478324749021178E-2</v>
      </c>
      <c r="Z978" s="201">
        <v>2.1395291620533996E-2</v>
      </c>
    </row>
    <row r="979" spans="22:26" x14ac:dyDescent="0.2">
      <c r="V979" s="202" t="str">
        <f t="shared" si="23"/>
        <v>1w</v>
      </c>
      <c r="W979" s="200">
        <f>_xll.qlCalendarAdvance(Calendar,W978,V979,"f",FALSE)</f>
        <v>45737</v>
      </c>
      <c r="X979" s="203">
        <f>_xll.qlCalendarAdvance(Calendar,W979,NDays&amp;"D")</f>
        <v>45741</v>
      </c>
      <c r="Y979" s="204">
        <v>2.1493699371344089E-2</v>
      </c>
      <c r="Z979" s="201">
        <v>2.1420754939827091E-2</v>
      </c>
    </row>
    <row r="980" spans="22:26" x14ac:dyDescent="0.2">
      <c r="V980" s="202" t="str">
        <f t="shared" si="23"/>
        <v>1w</v>
      </c>
      <c r="W980" s="200">
        <f>_xll.qlCalendarAdvance(Calendar,W979,V980,"f",FALSE)</f>
        <v>45744</v>
      </c>
      <c r="X980" s="203">
        <f>_xll.qlCalendarAdvance(Calendar,W980,NDays&amp;"D")</f>
        <v>45748</v>
      </c>
      <c r="Y980" s="204">
        <v>2.1518571942309512E-2</v>
      </c>
      <c r="Z980" s="201">
        <v>2.1446016136321688E-2</v>
      </c>
    </row>
    <row r="981" spans="22:26" x14ac:dyDescent="0.2">
      <c r="V981" s="202" t="str">
        <f t="shared" ref="V981:V1044" si="24">V980</f>
        <v>1w</v>
      </c>
      <c r="W981" s="200">
        <f>_xll.qlCalendarAdvance(Calendar,W980,V981,"f",FALSE)</f>
        <v>45751</v>
      </c>
      <c r="X981" s="203">
        <f>_xll.qlCalendarAdvance(Calendar,W981,NDays&amp;"D")</f>
        <v>45755</v>
      </c>
      <c r="Y981" s="204">
        <v>2.1540853059289766E-2</v>
      </c>
      <c r="Z981" s="201">
        <v>2.1471075209857915E-2</v>
      </c>
    </row>
    <row r="982" spans="22:26" x14ac:dyDescent="0.2">
      <c r="V982" s="202" t="str">
        <f t="shared" si="24"/>
        <v>1w</v>
      </c>
      <c r="W982" s="200">
        <f>_xll.qlCalendarAdvance(Calendar,W981,V982,"f",FALSE)</f>
        <v>45758</v>
      </c>
      <c r="X982" s="203">
        <f>_xll.qlCalendarAdvance(Calendar,W982,NDays&amp;"D")</f>
        <v>45762</v>
      </c>
      <c r="Y982" s="204">
        <v>2.1565333755637184E-2</v>
      </c>
      <c r="Z982" s="201">
        <v>2.1495932160515707E-2</v>
      </c>
    </row>
    <row r="983" spans="22:26" x14ac:dyDescent="0.2">
      <c r="V983" s="202" t="str">
        <f t="shared" si="24"/>
        <v>1w</v>
      </c>
      <c r="W983" s="200">
        <f>_xll.qlCalendarAdvance(Calendar,W982,V983,"f",FALSE)</f>
        <v>45769</v>
      </c>
      <c r="X983" s="203">
        <f>_xll.qlCalendarAdvance(Calendar,W983,NDays&amp;"D")</f>
        <v>45771</v>
      </c>
      <c r="Y983" s="204">
        <v>2.1601228948287254E-2</v>
      </c>
      <c r="Z983" s="201">
        <v>2.1527594100145819E-2</v>
      </c>
    </row>
    <row r="984" spans="22:26" x14ac:dyDescent="0.2">
      <c r="V984" s="202" t="str">
        <f t="shared" si="24"/>
        <v>1w</v>
      </c>
      <c r="W984" s="200">
        <f>_xll.qlCalendarAdvance(Calendar,W983,V984,"f",FALSE)</f>
        <v>45776</v>
      </c>
      <c r="X984" s="203">
        <f>_xll.qlCalendarAdvance(Calendar,W984,NDays&amp;"D")</f>
        <v>45779</v>
      </c>
      <c r="Y984" s="204">
        <v>2.1626288538308482E-2</v>
      </c>
      <c r="Z984" s="201">
        <v>2.1560211643958382E-2</v>
      </c>
    </row>
    <row r="985" spans="22:26" x14ac:dyDescent="0.2">
      <c r="V985" s="202" t="str">
        <f t="shared" si="24"/>
        <v>1w</v>
      </c>
      <c r="W985" s="200">
        <f>_xll.qlCalendarAdvance(Calendar,W984,V985,"f",FALSE)</f>
        <v>45783</v>
      </c>
      <c r="X985" s="203">
        <f>_xll.qlCalendarAdvance(Calendar,W985,NDays&amp;"D")</f>
        <v>45785</v>
      </c>
      <c r="Y985" s="204">
        <v>2.1649010428172466E-2</v>
      </c>
      <c r="Z985" s="201">
        <v>2.1576181887699164E-2</v>
      </c>
    </row>
    <row r="986" spans="22:26" x14ac:dyDescent="0.2">
      <c r="V986" s="202" t="str">
        <f t="shared" si="24"/>
        <v>1w</v>
      </c>
      <c r="W986" s="200">
        <f>_xll.qlCalendarAdvance(Calendar,W985,V986,"f",FALSE)</f>
        <v>45790</v>
      </c>
      <c r="X986" s="203">
        <f>_xll.qlCalendarAdvance(Calendar,W986,NDays&amp;"D")</f>
        <v>45792</v>
      </c>
      <c r="Y986" s="204">
        <v>2.1672597491152745E-2</v>
      </c>
      <c r="Z986" s="201">
        <v>2.1600172596878409E-2</v>
      </c>
    </row>
    <row r="987" spans="22:26" x14ac:dyDescent="0.2">
      <c r="V987" s="202" t="str">
        <f t="shared" si="24"/>
        <v>1w</v>
      </c>
      <c r="W987" s="200">
        <f>_xll.qlCalendarAdvance(Calendar,W986,V987,"f",FALSE)</f>
        <v>45797</v>
      </c>
      <c r="X987" s="203">
        <f>_xll.qlCalendarAdvance(Calendar,W987,NDays&amp;"D")</f>
        <v>45799</v>
      </c>
      <c r="Y987" s="204">
        <v>2.1695982101128664E-2</v>
      </c>
      <c r="Z987" s="201">
        <v>2.1623961182939411E-2</v>
      </c>
    </row>
    <row r="988" spans="22:26" x14ac:dyDescent="0.2">
      <c r="V988" s="202" t="str">
        <f t="shared" si="24"/>
        <v>1w</v>
      </c>
      <c r="W988" s="200">
        <f>_xll.qlCalendarAdvance(Calendar,W987,V988,"f",FALSE)</f>
        <v>45804</v>
      </c>
      <c r="X988" s="203">
        <f>_xll.qlCalendarAdvance(Calendar,W988,NDays&amp;"D")</f>
        <v>45806</v>
      </c>
      <c r="Y988" s="204">
        <v>2.171916425683873E-2</v>
      </c>
      <c r="Z988" s="201">
        <v>2.164754764588217E-2</v>
      </c>
    </row>
    <row r="989" spans="22:26" x14ac:dyDescent="0.2">
      <c r="V989" s="202" t="str">
        <f t="shared" si="24"/>
        <v>1w</v>
      </c>
      <c r="W989" s="200">
        <f>_xll.qlCalendarAdvance(Calendar,W988,V989,"f",FALSE)</f>
        <v>45811</v>
      </c>
      <c r="X989" s="203">
        <f>_xll.qlCalendarAdvance(Calendar,W989,NDays&amp;"D")</f>
        <v>45813</v>
      </c>
      <c r="Y989" s="204">
        <v>2.1742143957031446E-2</v>
      </c>
      <c r="Z989" s="201">
        <v>2.1670931985546815E-2</v>
      </c>
    </row>
    <row r="990" spans="22:26" x14ac:dyDescent="0.2">
      <c r="V990" s="202" t="str">
        <f t="shared" si="24"/>
        <v>1w</v>
      </c>
      <c r="W990" s="200">
        <f>_xll.qlCalendarAdvance(Calendar,W989,V990,"f",FALSE)</f>
        <v>45818</v>
      </c>
      <c r="X990" s="203">
        <f>_xll.qlCalendarAdvance(Calendar,W990,NDays&amp;"D")</f>
        <v>45820</v>
      </c>
      <c r="Y990" s="204">
        <v>2.17649212004703E-2</v>
      </c>
      <c r="Z990" s="201">
        <v>2.1694114201933345E-2</v>
      </c>
    </row>
    <row r="991" spans="22:26" x14ac:dyDescent="0.2">
      <c r="V991" s="202" t="str">
        <f t="shared" si="24"/>
        <v>1w</v>
      </c>
      <c r="W991" s="200">
        <f>_xll.qlCalendarAdvance(Calendar,W990,V991,"f",FALSE)</f>
        <v>45825</v>
      </c>
      <c r="X991" s="203">
        <f>_xll.qlCalendarAdvance(Calendar,W991,NDays&amp;"D")</f>
        <v>45827</v>
      </c>
      <c r="Y991" s="204">
        <v>2.1787495985928773E-2</v>
      </c>
      <c r="Z991" s="201">
        <v>2.1717094295121697E-2</v>
      </c>
    </row>
    <row r="992" spans="22:26" x14ac:dyDescent="0.2">
      <c r="V992" s="202" t="str">
        <f t="shared" si="24"/>
        <v>1w</v>
      </c>
      <c r="W992" s="200">
        <f>_xll.qlCalendarAdvance(Calendar,W991,V992,"f",FALSE)</f>
        <v>45832</v>
      </c>
      <c r="X992" s="203">
        <f>_xll.qlCalendarAdvance(Calendar,W992,NDays&amp;"D")</f>
        <v>45834</v>
      </c>
      <c r="Y992" s="204">
        <v>2.1809868312187841E-2</v>
      </c>
      <c r="Z992" s="201">
        <v>2.1739872265031934E-2</v>
      </c>
    </row>
    <row r="993" spans="22:26" x14ac:dyDescent="0.2">
      <c r="V993" s="202" t="str">
        <f t="shared" si="24"/>
        <v>1w</v>
      </c>
      <c r="W993" s="200">
        <f>_xll.qlCalendarAdvance(Calendar,W992,V993,"f",FALSE)</f>
        <v>45839</v>
      </c>
      <c r="X993" s="203">
        <f>_xll.qlCalendarAdvance(Calendar,W993,NDays&amp;"D")</f>
        <v>45841</v>
      </c>
      <c r="Y993" s="204">
        <v>2.1832038178043467E-2</v>
      </c>
      <c r="Z993" s="201">
        <v>2.1762448111424249E-2</v>
      </c>
    </row>
    <row r="994" spans="22:26" x14ac:dyDescent="0.2">
      <c r="V994" s="202" t="str">
        <f t="shared" si="24"/>
        <v>1w</v>
      </c>
      <c r="W994" s="200">
        <f>_xll.qlCalendarAdvance(Calendar,W993,V994,"f",FALSE)</f>
        <v>45846</v>
      </c>
      <c r="X994" s="203">
        <f>_xll.qlCalendarAdvance(Calendar,W994,NDays&amp;"D")</f>
        <v>45848</v>
      </c>
      <c r="Y994" s="204">
        <v>2.1854005582299108E-2</v>
      </c>
      <c r="Z994" s="201">
        <v>2.1784821834618384E-2</v>
      </c>
    </row>
    <row r="995" spans="22:26" x14ac:dyDescent="0.2">
      <c r="V995" s="202" t="str">
        <f t="shared" si="24"/>
        <v>1w</v>
      </c>
      <c r="W995" s="200">
        <f>_xll.qlCalendarAdvance(Calendar,W994,V995,"f",FALSE)</f>
        <v>45853</v>
      </c>
      <c r="X995" s="203">
        <f>_xll.qlCalendarAdvance(Calendar,W995,NDays&amp;"D")</f>
        <v>45855</v>
      </c>
      <c r="Y995" s="204">
        <v>2.1875770523773208E-2</v>
      </c>
      <c r="Z995" s="201">
        <v>2.1806993434214661E-2</v>
      </c>
    </row>
    <row r="996" spans="22:26" x14ac:dyDescent="0.2">
      <c r="V996" s="202" t="str">
        <f t="shared" si="24"/>
        <v>1w</v>
      </c>
      <c r="W996" s="200">
        <f>_xll.qlCalendarAdvance(Calendar,W995,V996,"f",FALSE)</f>
        <v>45860</v>
      </c>
      <c r="X996" s="203">
        <f>_xll.qlCalendarAdvance(Calendar,W996,NDays&amp;"D")</f>
        <v>45862</v>
      </c>
      <c r="Y996" s="204">
        <v>2.1897333001291708E-2</v>
      </c>
      <c r="Z996" s="201">
        <v>2.1828962910372951E-2</v>
      </c>
    </row>
    <row r="997" spans="22:26" x14ac:dyDescent="0.2">
      <c r="V997" s="202" t="str">
        <f t="shared" si="24"/>
        <v>1w</v>
      </c>
      <c r="W997" s="200">
        <f>_xll.qlCalendarAdvance(Calendar,W996,V997,"f",FALSE)</f>
        <v>45867</v>
      </c>
      <c r="X997" s="203">
        <f>_xll.qlCalendarAdvance(Calendar,W997,NDays&amp;"D")</f>
        <v>45869</v>
      </c>
      <c r="Y997" s="204">
        <v>2.1912164883703265E-2</v>
      </c>
      <c r="Z997" s="201">
        <v>2.1850730263093254E-2</v>
      </c>
    </row>
    <row r="998" spans="22:26" x14ac:dyDescent="0.2">
      <c r="V998" s="202" t="str">
        <f t="shared" si="24"/>
        <v>1w</v>
      </c>
      <c r="W998" s="200">
        <f>_xll.qlCalendarAdvance(Calendar,W997,V998,"f",FALSE)</f>
        <v>45874</v>
      </c>
      <c r="X998" s="203">
        <f>_xll.qlCalendarAdvance(Calendar,W998,NDays&amp;"D")</f>
        <v>45876</v>
      </c>
      <c r="Y998" s="204">
        <v>2.1939850559823115E-2</v>
      </c>
      <c r="Z998" s="201">
        <v>2.1872295492215699E-2</v>
      </c>
    </row>
    <row r="999" spans="22:26" x14ac:dyDescent="0.2">
      <c r="V999" s="202" t="str">
        <f t="shared" si="24"/>
        <v>1w</v>
      </c>
      <c r="W999" s="200">
        <f>_xll.qlCalendarAdvance(Calendar,W998,V999,"f",FALSE)</f>
        <v>45881</v>
      </c>
      <c r="X999" s="203">
        <f>_xll.qlCalendarAdvance(Calendar,W999,NDays&amp;"D")</f>
        <v>45883</v>
      </c>
      <c r="Y999" s="204">
        <v>2.1960805638545355E-2</v>
      </c>
      <c r="Z999" s="201">
        <v>2.1893658597740284E-2</v>
      </c>
    </row>
    <row r="1000" spans="22:26" x14ac:dyDescent="0.2">
      <c r="V1000" s="202" t="str">
        <f t="shared" si="24"/>
        <v>1w</v>
      </c>
      <c r="W1000" s="200">
        <f>_xll.qlCalendarAdvance(Calendar,W999,V1000,"f",FALSE)</f>
        <v>45888</v>
      </c>
      <c r="X1000" s="203">
        <f>_xll.qlCalendarAdvance(Calendar,W1000,NDays&amp;"D")</f>
        <v>45890</v>
      </c>
      <c r="Y1000" s="204">
        <v>2.1981558248730659E-2</v>
      </c>
      <c r="Z1000" s="201">
        <v>2.1914819579667011E-2</v>
      </c>
    </row>
    <row r="1001" spans="22:26" x14ac:dyDescent="0.2">
      <c r="V1001" s="202" t="str">
        <f t="shared" si="24"/>
        <v>1w</v>
      </c>
      <c r="W1001" s="200">
        <f>_xll.qlCalendarAdvance(Calendar,W1000,V1001,"f",FALSE)</f>
        <v>45895</v>
      </c>
      <c r="X1001" s="203">
        <f>_xll.qlCalendarAdvance(Calendar,W1001,NDays&amp;"D")</f>
        <v>45897</v>
      </c>
      <c r="Y1001" s="204">
        <v>2.2002108389257424E-2</v>
      </c>
      <c r="Z1001" s="201">
        <v>2.1935778437995879E-2</v>
      </c>
    </row>
    <row r="1002" spans="22:26" x14ac:dyDescent="0.2">
      <c r="V1002" s="202" t="str">
        <f t="shared" si="24"/>
        <v>1w</v>
      </c>
      <c r="W1002" s="200">
        <f>_xll.qlCalendarAdvance(Calendar,W1001,V1002,"f",FALSE)</f>
        <v>45902</v>
      </c>
      <c r="X1002" s="203">
        <f>_xll.qlCalendarAdvance(Calendar,W1002,NDays&amp;"D")</f>
        <v>45904</v>
      </c>
      <c r="Y1002" s="204">
        <v>2.2022456059019035E-2</v>
      </c>
      <c r="Z1002" s="201">
        <v>2.1956535172487079E-2</v>
      </c>
    </row>
    <row r="1003" spans="22:26" x14ac:dyDescent="0.2">
      <c r="V1003" s="202" t="str">
        <f t="shared" si="24"/>
        <v>1w</v>
      </c>
      <c r="W1003" s="200">
        <f>_xll.qlCalendarAdvance(Calendar,W1002,V1003,"f",FALSE)</f>
        <v>45909</v>
      </c>
      <c r="X1003" s="203">
        <f>_xll.qlCalendarAdvance(Calendar,W1003,NDays&amp;"D")</f>
        <v>45911</v>
      </c>
      <c r="Y1003" s="204">
        <v>2.204260125691887E-2</v>
      </c>
      <c r="Z1003" s="201">
        <v>2.1977089783380421E-2</v>
      </c>
    </row>
    <row r="1004" spans="22:26" x14ac:dyDescent="0.2">
      <c r="V1004" s="202" t="str">
        <f t="shared" si="24"/>
        <v>1w</v>
      </c>
      <c r="W1004" s="200">
        <f>_xll.qlCalendarAdvance(Calendar,W1003,V1004,"f",FALSE)</f>
        <v>45916</v>
      </c>
      <c r="X1004" s="203">
        <f>_xll.qlCalendarAdvance(Calendar,W1004,NDays&amp;"D")</f>
        <v>45918</v>
      </c>
      <c r="Y1004" s="204">
        <v>2.2062543981875293E-2</v>
      </c>
      <c r="Z1004" s="201">
        <v>2.1997442270516032E-2</v>
      </c>
    </row>
    <row r="1005" spans="22:26" x14ac:dyDescent="0.2">
      <c r="V1005" s="202" t="str">
        <f t="shared" si="24"/>
        <v>1w</v>
      </c>
      <c r="W1005" s="200">
        <f>_xll.qlCalendarAdvance(Calendar,W1004,V1005,"f",FALSE)</f>
        <v>45923</v>
      </c>
      <c r="X1005" s="203">
        <f>_xll.qlCalendarAdvance(Calendar,W1005,NDays&amp;"D")</f>
        <v>45925</v>
      </c>
      <c r="Y1005" s="204">
        <v>2.2082284232809168E-2</v>
      </c>
      <c r="Z1005" s="201">
        <v>2.2017592633813976E-2</v>
      </c>
    </row>
    <row r="1006" spans="22:26" x14ac:dyDescent="0.2">
      <c r="V1006" s="202" t="str">
        <f t="shared" si="24"/>
        <v>1w</v>
      </c>
      <c r="W1006" s="200">
        <f>_xll.qlCalendarAdvance(Calendar,W1005,V1006,"f",FALSE)</f>
        <v>45930</v>
      </c>
      <c r="X1006" s="203">
        <f>_xll.qlCalendarAdvance(Calendar,W1006,NDays&amp;"D")</f>
        <v>45932</v>
      </c>
      <c r="Y1006" s="204">
        <v>2.2101822008656347E-2</v>
      </c>
      <c r="Z1006" s="201">
        <v>2.2037540873274253E-2</v>
      </c>
    </row>
    <row r="1007" spans="22:26" x14ac:dyDescent="0.2">
      <c r="V1007" s="202" t="str">
        <f t="shared" si="24"/>
        <v>1w</v>
      </c>
      <c r="W1007" s="200">
        <f>_xll.qlCalendarAdvance(Calendar,W1006,V1007,"f",FALSE)</f>
        <v>45937</v>
      </c>
      <c r="X1007" s="203">
        <f>_xll.qlCalendarAdvance(Calendar,W1007,NDays&amp;"D")</f>
        <v>45939</v>
      </c>
      <c r="Y1007" s="204">
        <v>2.2121157308365169E-2</v>
      </c>
      <c r="Z1007" s="201">
        <v>2.2057286988896863E-2</v>
      </c>
    </row>
    <row r="1008" spans="22:26" x14ac:dyDescent="0.2">
      <c r="V1008" s="202" t="str">
        <f t="shared" si="24"/>
        <v>1w</v>
      </c>
      <c r="W1008" s="200">
        <f>_xll.qlCalendarAdvance(Calendar,W1007,V1008,"f",FALSE)</f>
        <v>45944</v>
      </c>
      <c r="X1008" s="203">
        <f>_xll.qlCalendarAdvance(Calendar,W1008,NDays&amp;"D")</f>
        <v>45946</v>
      </c>
      <c r="Y1008" s="204">
        <v>2.2140290130893969E-2</v>
      </c>
      <c r="Z1008" s="201">
        <v>2.2076830980681805E-2</v>
      </c>
    </row>
    <row r="1009" spans="22:26" x14ac:dyDescent="0.2">
      <c r="V1009" s="202" t="str">
        <f t="shared" si="24"/>
        <v>1w</v>
      </c>
      <c r="W1009" s="200">
        <f>_xll.qlCalendarAdvance(Calendar,W1008,V1009,"f",FALSE)</f>
        <v>45951</v>
      </c>
      <c r="X1009" s="203">
        <f>_xll.qlCalendarAdvance(Calendar,W1009,NDays&amp;"D")</f>
        <v>45953</v>
      </c>
      <c r="Y1009" s="204">
        <v>2.2159220475211072E-2</v>
      </c>
      <c r="Z1009" s="201">
        <v>2.2096172848469209E-2</v>
      </c>
    </row>
    <row r="1010" spans="22:26" x14ac:dyDescent="0.2">
      <c r="V1010" s="202" t="str">
        <f t="shared" si="24"/>
        <v>1w</v>
      </c>
      <c r="W1010" s="200">
        <f>_xll.qlCalendarAdvance(Calendar,W1009,V1010,"f",FALSE)</f>
        <v>45958</v>
      </c>
      <c r="X1010" s="203">
        <f>_xll.qlCalendarAdvance(Calendar,W1010,NDays&amp;"D")</f>
        <v>45960</v>
      </c>
      <c r="Y1010" s="204">
        <v>2.217193656588487E-2</v>
      </c>
      <c r="Z1010" s="201">
        <v>2.2115312592339009E-2</v>
      </c>
    </row>
    <row r="1011" spans="22:26" x14ac:dyDescent="0.2">
      <c r="V1011" s="202" t="str">
        <f t="shared" si="24"/>
        <v>1w</v>
      </c>
      <c r="W1011" s="200">
        <f>_xll.qlCalendarAdvance(Calendar,W1010,V1011,"f",FALSE)</f>
        <v>45965</v>
      </c>
      <c r="X1011" s="203">
        <f>_xll.qlCalendarAdvance(Calendar,W1011,NDays&amp;"D")</f>
        <v>45967</v>
      </c>
      <c r="Y1011" s="204">
        <v>2.2196473725140942E-2</v>
      </c>
      <c r="Z1011" s="201">
        <v>2.2134250212131334E-2</v>
      </c>
    </row>
    <row r="1012" spans="22:26" x14ac:dyDescent="0.2">
      <c r="V1012" s="202" t="str">
        <f t="shared" si="24"/>
        <v>1w</v>
      </c>
      <c r="W1012" s="200">
        <f>_xll.qlCalendarAdvance(Calendar,W1011,V1012,"f",FALSE)</f>
        <v>45972</v>
      </c>
      <c r="X1012" s="203">
        <f>_xll.qlCalendarAdvance(Calendar,W1012,NDays&amp;"D")</f>
        <v>45974</v>
      </c>
      <c r="Y1012" s="204">
        <v>2.2214796628747813E-2</v>
      </c>
      <c r="Z1012" s="201">
        <v>2.2152985708006057E-2</v>
      </c>
    </row>
    <row r="1013" spans="22:26" x14ac:dyDescent="0.2">
      <c r="V1013" s="202" t="str">
        <f t="shared" si="24"/>
        <v>1w</v>
      </c>
      <c r="W1013" s="200">
        <f>_xll.qlCalendarAdvance(Calendar,W1012,V1013,"f",FALSE)</f>
        <v>45979</v>
      </c>
      <c r="X1013" s="203">
        <f>_xll.qlCalendarAdvance(Calendar,W1013,NDays&amp;"D")</f>
        <v>45981</v>
      </c>
      <c r="Y1013" s="204">
        <v>2.22329170501262E-2</v>
      </c>
      <c r="Z1013" s="201">
        <v>2.2171519079803303E-2</v>
      </c>
    </row>
    <row r="1014" spans="22:26" x14ac:dyDescent="0.2">
      <c r="V1014" s="202" t="str">
        <f t="shared" si="24"/>
        <v>1w</v>
      </c>
      <c r="W1014" s="200">
        <f>_xll.qlCalendarAdvance(Calendar,W1013,V1014,"f",FALSE)</f>
        <v>45986</v>
      </c>
      <c r="X1014" s="203">
        <f>_xll.qlCalendarAdvance(Calendar,W1014,NDays&amp;"D")</f>
        <v>45988</v>
      </c>
      <c r="Y1014" s="204">
        <v>2.2250834988301882E-2</v>
      </c>
      <c r="Z1014" s="201">
        <v>2.2189850327443139E-2</v>
      </c>
    </row>
    <row r="1015" spans="22:26" x14ac:dyDescent="0.2">
      <c r="V1015" s="202" t="str">
        <f t="shared" si="24"/>
        <v>1w</v>
      </c>
      <c r="W1015" s="200">
        <f>_xll.qlCalendarAdvance(Calendar,W1014,V1015,"f",FALSE)</f>
        <v>45993</v>
      </c>
      <c r="X1015" s="203">
        <f>_xll.qlCalendarAdvance(Calendar,W1015,NDays&amp;"D")</f>
        <v>45995</v>
      </c>
      <c r="Y1015" s="204">
        <v>2.2268550442305635E-2</v>
      </c>
      <c r="Z1015" s="201">
        <v>2.22079794510055E-2</v>
      </c>
    </row>
    <row r="1016" spans="22:26" x14ac:dyDescent="0.2">
      <c r="V1016" s="202" t="str">
        <f t="shared" si="24"/>
        <v>1w</v>
      </c>
      <c r="W1016" s="200">
        <f>_xll.qlCalendarAdvance(Calendar,W1015,V1016,"f",FALSE)</f>
        <v>46000</v>
      </c>
      <c r="X1016" s="203">
        <f>_xll.qlCalendarAdvance(Calendar,W1016,NDays&amp;"D")</f>
        <v>46002</v>
      </c>
      <c r="Y1016" s="204">
        <v>2.2286063411185719E-2</v>
      </c>
      <c r="Z1016" s="201">
        <v>2.2225906450490385E-2</v>
      </c>
    </row>
    <row r="1017" spans="22:26" x14ac:dyDescent="0.2">
      <c r="V1017" s="202" t="str">
        <f t="shared" si="24"/>
        <v>1w</v>
      </c>
      <c r="W1017" s="200">
        <f>_xll.qlCalendarAdvance(Calendar,W1016,V1017,"f",FALSE)</f>
        <v>46007</v>
      </c>
      <c r="X1017" s="203">
        <f>_xll.qlCalendarAdvance(Calendar,W1017,NDays&amp;"D")</f>
        <v>46009</v>
      </c>
      <c r="Y1017" s="204">
        <v>2.2303373894000389E-2</v>
      </c>
      <c r="Z1017" s="201">
        <v>2.2243631325737923E-2</v>
      </c>
    </row>
    <row r="1018" spans="22:26" x14ac:dyDescent="0.2">
      <c r="V1018" s="202" t="str">
        <f t="shared" si="24"/>
        <v>1w</v>
      </c>
      <c r="W1018" s="200">
        <f>_xll.qlCalendarAdvance(Calendar,W1017,V1018,"f",FALSE)</f>
        <v>46014</v>
      </c>
      <c r="X1018" s="203">
        <f>_xll.qlCalendarAdvance(Calendar,W1018,NDays&amp;"D")</f>
        <v>46020</v>
      </c>
      <c r="Y1018" s="204">
        <v>2.2328278799436718E-2</v>
      </c>
      <c r="Z1018" s="201">
        <v>2.2271076327688988E-2</v>
      </c>
    </row>
    <row r="1019" spans="22:26" x14ac:dyDescent="0.2">
      <c r="V1019" s="202" t="str">
        <f t="shared" si="24"/>
        <v>1w</v>
      </c>
      <c r="W1019" s="200">
        <f>_xll.qlCalendarAdvance(Calendar,W1018,V1019,"f",FALSE)</f>
        <v>46021</v>
      </c>
      <c r="X1019" s="203">
        <f>_xll.qlCalendarAdvance(Calendar,W1019,NDays&amp;"D")</f>
        <v>46024</v>
      </c>
      <c r="Y1019" s="204">
        <v>2.2337905433687754E-2</v>
      </c>
      <c r="Z1019" s="201">
        <v>2.2284764286109038E-2</v>
      </c>
    </row>
    <row r="1020" spans="22:26" x14ac:dyDescent="0.2">
      <c r="V1020" s="202" t="str">
        <f t="shared" si="24"/>
        <v>1w</v>
      </c>
      <c r="W1020" s="200">
        <f>_xll.qlCalendarAdvance(Calendar,W1019,V1020,"f",FALSE)</f>
        <v>46028</v>
      </c>
      <c r="X1020" s="203">
        <f>_xll.qlCalendarAdvance(Calendar,W1020,NDays&amp;"D")</f>
        <v>46030</v>
      </c>
      <c r="Y1020" s="204">
        <v>2.2354090416759342E-2</v>
      </c>
      <c r="Z1020" s="201">
        <v>2.2295593206136388E-2</v>
      </c>
    </row>
    <row r="1021" spans="22:26" x14ac:dyDescent="0.2">
      <c r="V1021" s="202" t="str">
        <f t="shared" si="24"/>
        <v>1w</v>
      </c>
      <c r="W1021" s="200">
        <f>_xll.qlCalendarAdvance(Calendar,W1020,V1021,"f",FALSE)</f>
        <v>46035</v>
      </c>
      <c r="X1021" s="203">
        <f>_xll.qlCalendarAdvance(Calendar,W1021,NDays&amp;"D")</f>
        <v>46037</v>
      </c>
      <c r="Y1021" s="204">
        <v>2.2370590946082236E-2</v>
      </c>
      <c r="Z1021" s="201">
        <v>2.2312509584354601E-2</v>
      </c>
    </row>
    <row r="1022" spans="22:26" x14ac:dyDescent="0.2">
      <c r="V1022" s="202" t="str">
        <f t="shared" si="24"/>
        <v>1w</v>
      </c>
      <c r="W1022" s="200">
        <f>_xll.qlCalendarAdvance(Calendar,W1021,V1022,"f",FALSE)</f>
        <v>46042</v>
      </c>
      <c r="X1022" s="203">
        <f>_xll.qlCalendarAdvance(Calendar,W1022,NDays&amp;"D")</f>
        <v>46044</v>
      </c>
      <c r="Y1022" s="204">
        <v>2.2386888984780862E-2</v>
      </c>
      <c r="Z1022" s="201">
        <v>2.232922383825553E-2</v>
      </c>
    </row>
    <row r="1023" spans="22:26" x14ac:dyDescent="0.2">
      <c r="V1023" s="202" t="str">
        <f t="shared" si="24"/>
        <v>1w</v>
      </c>
      <c r="W1023" s="200">
        <f>_xll.qlCalendarAdvance(Calendar,W1022,V1023,"f",FALSE)</f>
        <v>46049</v>
      </c>
      <c r="X1023" s="203">
        <f>_xll.qlCalendarAdvance(Calendar,W1023,NDays&amp;"D")</f>
        <v>46051</v>
      </c>
      <c r="Y1023" s="204">
        <v>2.2397494973466863E-2</v>
      </c>
      <c r="Z1023" s="201">
        <v>2.2345735967839175E-2</v>
      </c>
    </row>
    <row r="1024" spans="22:26" x14ac:dyDescent="0.2">
      <c r="V1024" s="202" t="str">
        <f t="shared" si="24"/>
        <v>1w</v>
      </c>
      <c r="W1024" s="200">
        <f>_xll.qlCalendarAdvance(Calendar,W1023,V1024,"f",FALSE)</f>
        <v>46056</v>
      </c>
      <c r="X1024" s="203">
        <f>_xll.qlCalendarAdvance(Calendar,W1024,NDays&amp;"D")</f>
        <v>46058</v>
      </c>
      <c r="Y1024" s="204">
        <v>2.2411609648983317E-2</v>
      </c>
      <c r="Z1024" s="201">
        <v>2.2362045973025602E-2</v>
      </c>
    </row>
    <row r="1025" spans="22:26" x14ac:dyDescent="0.2">
      <c r="V1025" s="202" t="str">
        <f t="shared" si="24"/>
        <v>1w</v>
      </c>
      <c r="W1025" s="200">
        <f>_xll.qlCalendarAdvance(Calendar,W1024,V1025,"f",FALSE)</f>
        <v>46063</v>
      </c>
      <c r="X1025" s="203">
        <f>_xll.qlCalendarAdvance(Calendar,W1025,NDays&amp;"D")</f>
        <v>46065</v>
      </c>
      <c r="Y1025" s="204">
        <v>2.2427354146823078E-2</v>
      </c>
      <c r="Z1025" s="201">
        <v>2.2378153853734872E-2</v>
      </c>
    </row>
    <row r="1026" spans="22:26" x14ac:dyDescent="0.2">
      <c r="V1026" s="202" t="str">
        <f t="shared" si="24"/>
        <v>1w</v>
      </c>
      <c r="W1026" s="200">
        <f>_xll.qlCalendarAdvance(Calendar,W1025,V1026,"f",FALSE)</f>
        <v>46070</v>
      </c>
      <c r="X1026" s="203">
        <f>_xll.qlCalendarAdvance(Calendar,W1026,NDays&amp;"D")</f>
        <v>46072</v>
      </c>
      <c r="Y1026" s="204">
        <v>2.2442896198531553E-2</v>
      </c>
      <c r="Z1026" s="201">
        <v>2.239405961012686E-2</v>
      </c>
    </row>
    <row r="1027" spans="22:26" x14ac:dyDescent="0.2">
      <c r="V1027" s="202" t="str">
        <f t="shared" si="24"/>
        <v>1w</v>
      </c>
      <c r="W1027" s="200">
        <f>_xll.qlCalendarAdvance(Calendar,W1026,V1027,"f",FALSE)</f>
        <v>46077</v>
      </c>
      <c r="X1027" s="203">
        <f>_xll.qlCalendarAdvance(Calendar,W1027,NDays&amp;"D")</f>
        <v>46079</v>
      </c>
      <c r="Y1027" s="204">
        <v>2.2458235803366478E-2</v>
      </c>
      <c r="Z1027" s="201">
        <v>2.2409763242041691E-2</v>
      </c>
    </row>
    <row r="1028" spans="22:26" x14ac:dyDescent="0.2">
      <c r="V1028" s="202" t="str">
        <f t="shared" si="24"/>
        <v>1w</v>
      </c>
      <c r="W1028" s="200">
        <f>_xll.qlCalendarAdvance(Calendar,W1027,V1028,"f",FALSE)</f>
        <v>46084</v>
      </c>
      <c r="X1028" s="203">
        <f>_xll.qlCalendarAdvance(Calendar,W1028,NDays&amp;"D")</f>
        <v>46086</v>
      </c>
      <c r="Y1028" s="204">
        <v>2.2482184801639479E-2</v>
      </c>
      <c r="Z1028" s="201">
        <v>2.2425264749399432E-2</v>
      </c>
    </row>
    <row r="1029" spans="22:26" x14ac:dyDescent="0.2">
      <c r="V1029" s="202" t="str">
        <f t="shared" si="24"/>
        <v>1w</v>
      </c>
      <c r="W1029" s="200">
        <f>_xll.qlCalendarAdvance(Calendar,W1028,V1029,"f",FALSE)</f>
        <v>46091</v>
      </c>
      <c r="X1029" s="203">
        <f>_xll.qlCalendarAdvance(Calendar,W1029,NDays&amp;"D")</f>
        <v>46093</v>
      </c>
      <c r="Y1029" s="204">
        <v>2.2495305445804636E-2</v>
      </c>
      <c r="Z1029" s="201">
        <v>2.2440564132280016E-2</v>
      </c>
    </row>
    <row r="1030" spans="22:26" x14ac:dyDescent="0.2">
      <c r="V1030" s="202" t="str">
        <f t="shared" si="24"/>
        <v>1w</v>
      </c>
      <c r="W1030" s="200">
        <f>_xll.qlCalendarAdvance(Calendar,W1029,V1030,"f",FALSE)</f>
        <v>46098</v>
      </c>
      <c r="X1030" s="203">
        <f>_xll.qlCalendarAdvance(Calendar,W1030,NDays&amp;"D")</f>
        <v>46100</v>
      </c>
      <c r="Y1030" s="204">
        <v>2.2509983528813671E-2</v>
      </c>
      <c r="Z1030" s="201">
        <v>2.245566139060351E-2</v>
      </c>
    </row>
    <row r="1031" spans="22:26" x14ac:dyDescent="0.2">
      <c r="V1031" s="202" t="str">
        <f t="shared" si="24"/>
        <v>1w</v>
      </c>
      <c r="W1031" s="200">
        <f>_xll.qlCalendarAdvance(Calendar,W1030,V1031,"f",FALSE)</f>
        <v>46105</v>
      </c>
      <c r="X1031" s="203">
        <f>_xll.qlCalendarAdvance(Calendar,W1031,NDays&amp;"D")</f>
        <v>46107</v>
      </c>
      <c r="Y1031" s="204">
        <v>2.2524459113681949E-2</v>
      </c>
      <c r="Z1031" s="201">
        <v>2.2470556524449847E-2</v>
      </c>
    </row>
    <row r="1032" spans="22:26" x14ac:dyDescent="0.2">
      <c r="V1032" s="202" t="str">
        <f t="shared" si="24"/>
        <v>1w</v>
      </c>
      <c r="W1032" s="200">
        <f>_xll.qlCalendarAdvance(Calendar,W1031,V1032,"f",FALSE)</f>
        <v>46112</v>
      </c>
      <c r="X1032" s="203">
        <f>_xll.qlCalendarAdvance(Calendar,W1032,NDays&amp;"D")</f>
        <v>46114</v>
      </c>
      <c r="Y1032" s="204">
        <v>2.253873219963759E-2</v>
      </c>
      <c r="Z1032" s="201">
        <v>2.2492216314043745E-2</v>
      </c>
    </row>
    <row r="1033" spans="22:26" x14ac:dyDescent="0.2">
      <c r="V1033" s="202" t="str">
        <f t="shared" si="24"/>
        <v>1w</v>
      </c>
      <c r="W1033" s="200">
        <f>_xll.qlCalendarAdvance(Calendar,W1032,V1033,"f",FALSE)</f>
        <v>46119</v>
      </c>
      <c r="X1033" s="203">
        <f>_xll.qlCalendarAdvance(Calendar,W1033,NDays&amp;"D")</f>
        <v>46121</v>
      </c>
      <c r="Y1033" s="204">
        <v>2.2552802785906212E-2</v>
      </c>
      <c r="Z1033" s="201">
        <v>2.2499740418151504E-2</v>
      </c>
    </row>
    <row r="1034" spans="22:26" x14ac:dyDescent="0.2">
      <c r="V1034" s="202" t="str">
        <f t="shared" si="24"/>
        <v>1w</v>
      </c>
      <c r="W1034" s="200">
        <f>_xll.qlCalendarAdvance(Calendar,W1033,V1034,"f",FALSE)</f>
        <v>46126</v>
      </c>
      <c r="X1034" s="203">
        <f>_xll.qlCalendarAdvance(Calendar,W1034,NDays&amp;"D")</f>
        <v>46128</v>
      </c>
      <c r="Y1034" s="204">
        <v>2.2566670871730921E-2</v>
      </c>
      <c r="Z1034" s="201">
        <v>2.2514029178086759E-2</v>
      </c>
    </row>
    <row r="1035" spans="22:26" x14ac:dyDescent="0.2">
      <c r="V1035" s="202" t="str">
        <f t="shared" si="24"/>
        <v>1w</v>
      </c>
      <c r="W1035" s="200">
        <f>_xll.qlCalendarAdvance(Calendar,W1034,V1035,"f",FALSE)</f>
        <v>46133</v>
      </c>
      <c r="X1035" s="203">
        <f>_xll.qlCalendarAdvance(Calendar,W1035,NDays&amp;"D")</f>
        <v>46135</v>
      </c>
      <c r="Y1035" s="204">
        <v>2.2580336456364813E-2</v>
      </c>
      <c r="Z1035" s="201">
        <v>2.2528115813464922E-2</v>
      </c>
    </row>
    <row r="1036" spans="22:26" x14ac:dyDescent="0.2">
      <c r="V1036" s="202" t="str">
        <f t="shared" si="24"/>
        <v>1w</v>
      </c>
      <c r="W1036" s="200">
        <f>_xll.qlCalendarAdvance(Calendar,W1035,V1036,"f",FALSE)</f>
        <v>46140</v>
      </c>
      <c r="X1036" s="203">
        <f>_xll.qlCalendarAdvance(Calendar,W1036,NDays&amp;"D")</f>
        <v>46142</v>
      </c>
      <c r="Y1036" s="204">
        <v>2.258883824463372E-2</v>
      </c>
      <c r="Z1036" s="201">
        <v>2.2547064600664246E-2</v>
      </c>
    </row>
    <row r="1037" spans="22:26" x14ac:dyDescent="0.2">
      <c r="V1037" s="202" t="str">
        <f t="shared" si="24"/>
        <v>1w</v>
      </c>
      <c r="W1037" s="200">
        <f>_xll.qlCalendarAdvance(Calendar,W1036,V1037,"f",FALSE)</f>
        <v>46147</v>
      </c>
      <c r="X1037" s="203">
        <f>_xll.qlCalendarAdvance(Calendar,W1037,NDays&amp;"D")</f>
        <v>46149</v>
      </c>
      <c r="Y1037" s="204">
        <v>2.2607060119125E-2</v>
      </c>
      <c r="Z1037" s="201">
        <v>2.2555682709910485E-2</v>
      </c>
    </row>
    <row r="1038" spans="22:26" x14ac:dyDescent="0.2">
      <c r="V1038" s="202" t="str">
        <f t="shared" si="24"/>
        <v>1w</v>
      </c>
      <c r="W1038" s="200">
        <f>_xll.qlCalendarAdvance(Calendar,W1037,V1038,"f",FALSE)</f>
        <v>46154</v>
      </c>
      <c r="X1038" s="203">
        <f>_xll.qlCalendarAdvance(Calendar,W1038,NDays&amp;"D")</f>
        <v>46156</v>
      </c>
      <c r="Y1038" s="204">
        <v>2.2620118195809946E-2</v>
      </c>
      <c r="Z1038" s="201">
        <v>2.2569162971057821E-2</v>
      </c>
    </row>
    <row r="1039" spans="22:26" x14ac:dyDescent="0.2">
      <c r="V1039" s="202" t="str">
        <f t="shared" si="24"/>
        <v>1w</v>
      </c>
      <c r="W1039" s="200">
        <f>_xll.qlCalendarAdvance(Calendar,W1038,V1039,"f",FALSE)</f>
        <v>46161</v>
      </c>
      <c r="X1039" s="203">
        <f>_xll.qlCalendarAdvance(Calendar,W1039,NDays&amp;"D")</f>
        <v>46163</v>
      </c>
      <c r="Y1039" s="204">
        <v>2.2632973768423881E-2</v>
      </c>
      <c r="Z1039" s="201">
        <v>2.2582441107408258E-2</v>
      </c>
    </row>
    <row r="1040" spans="22:26" x14ac:dyDescent="0.2">
      <c r="V1040" s="202" t="str">
        <f t="shared" si="24"/>
        <v>1w</v>
      </c>
      <c r="W1040" s="200">
        <f>_xll.qlCalendarAdvance(Calendar,W1039,V1040,"f",FALSE)</f>
        <v>46168</v>
      </c>
      <c r="X1040" s="203">
        <f>_xll.qlCalendarAdvance(Calendar,W1040,NDays&amp;"D")</f>
        <v>46170</v>
      </c>
      <c r="Y1040" s="204">
        <v>2.2645626836272359E-2</v>
      </c>
      <c r="Z1040" s="201">
        <v>2.259551711904173E-2</v>
      </c>
    </row>
    <row r="1041" spans="22:26" x14ac:dyDescent="0.2">
      <c r="V1041" s="202" t="str">
        <f t="shared" si="24"/>
        <v>1w</v>
      </c>
      <c r="W1041" s="200">
        <f>_xll.qlCalendarAdvance(Calendar,W1040,V1041,"f",FALSE)</f>
        <v>46175</v>
      </c>
      <c r="X1041" s="203">
        <f>_xll.qlCalendarAdvance(Calendar,W1041,NDays&amp;"D")</f>
        <v>46177</v>
      </c>
      <c r="Y1041" s="204">
        <v>2.2658077398675924E-2</v>
      </c>
      <c r="Z1041" s="201">
        <v>2.2608391005878303E-2</v>
      </c>
    </row>
    <row r="1042" spans="22:26" x14ac:dyDescent="0.2">
      <c r="V1042" s="202" t="str">
        <f t="shared" si="24"/>
        <v>1w</v>
      </c>
      <c r="W1042" s="200">
        <f>_xll.qlCalendarAdvance(Calendar,W1041,V1042,"f",FALSE)</f>
        <v>46182</v>
      </c>
      <c r="X1042" s="203">
        <f>_xll.qlCalendarAdvance(Calendar,W1042,NDays&amp;"D")</f>
        <v>46184</v>
      </c>
      <c r="Y1042" s="204">
        <v>2.2670325454962614E-2</v>
      </c>
      <c r="Z1042" s="201">
        <v>2.262106276783804E-2</v>
      </c>
    </row>
    <row r="1043" spans="22:26" x14ac:dyDescent="0.2">
      <c r="V1043" s="202" t="str">
        <f t="shared" si="24"/>
        <v>1w</v>
      </c>
      <c r="W1043" s="200">
        <f>_xll.qlCalendarAdvance(Calendar,W1042,V1043,"f",FALSE)</f>
        <v>46189</v>
      </c>
      <c r="X1043" s="203">
        <f>_xll.qlCalendarAdvance(Calendar,W1043,NDays&amp;"D")</f>
        <v>46191</v>
      </c>
      <c r="Y1043" s="204">
        <v>2.2682371004467961E-2</v>
      </c>
      <c r="Z1043" s="201">
        <v>2.2633532405000878E-2</v>
      </c>
    </row>
    <row r="1044" spans="22:26" x14ac:dyDescent="0.2">
      <c r="V1044" s="202" t="str">
        <f t="shared" si="24"/>
        <v>1w</v>
      </c>
      <c r="W1044" s="200">
        <f>_xll.qlCalendarAdvance(Calendar,W1043,V1044,"f",FALSE)</f>
        <v>46196</v>
      </c>
      <c r="X1044" s="203">
        <f>_xll.qlCalendarAdvance(Calendar,W1044,NDays&amp;"D")</f>
        <v>46198</v>
      </c>
      <c r="Y1044" s="204">
        <v>2.2694214046547478E-2</v>
      </c>
      <c r="Z1044" s="201">
        <v>2.2645799917206944E-2</v>
      </c>
    </row>
    <row r="1045" spans="22:26" x14ac:dyDescent="0.2">
      <c r="V1045" s="202" t="str">
        <f t="shared" ref="V1045:V1108" si="25">V1044</f>
        <v>1w</v>
      </c>
      <c r="W1045" s="200">
        <f>_xll.qlCalendarAdvance(Calendar,W1044,V1045,"f",FALSE)</f>
        <v>46203</v>
      </c>
      <c r="X1045" s="203">
        <f>_xll.qlCalendarAdvance(Calendar,W1045,NDays&amp;"D")</f>
        <v>46205</v>
      </c>
      <c r="Y1045" s="204">
        <v>2.2705854580564178E-2</v>
      </c>
      <c r="Z1045" s="201">
        <v>2.2657865304616109E-2</v>
      </c>
    </row>
    <row r="1046" spans="22:26" x14ac:dyDescent="0.2">
      <c r="V1046" s="202" t="str">
        <f t="shared" si="25"/>
        <v>1w</v>
      </c>
      <c r="W1046" s="200">
        <f>_xll.qlCalendarAdvance(Calendar,W1045,V1046,"f",FALSE)</f>
        <v>46210</v>
      </c>
      <c r="X1046" s="203">
        <f>_xll.qlCalendarAdvance(Calendar,W1046,NDays&amp;"D")</f>
        <v>46212</v>
      </c>
      <c r="Y1046" s="204">
        <v>2.2717292605888562E-2</v>
      </c>
      <c r="Z1046" s="201">
        <v>2.2669728567148439E-2</v>
      </c>
    </row>
    <row r="1047" spans="22:26" x14ac:dyDescent="0.2">
      <c r="V1047" s="202" t="str">
        <f t="shared" si="25"/>
        <v>1w</v>
      </c>
      <c r="W1047" s="200">
        <f>_xll.qlCalendarAdvance(Calendar,W1046,V1047,"f",FALSE)</f>
        <v>46217</v>
      </c>
      <c r="X1047" s="203">
        <f>_xll.qlCalendarAdvance(Calendar,W1047,NDays&amp;"D")</f>
        <v>46219</v>
      </c>
      <c r="Y1047" s="204">
        <v>2.2728528121903624E-2</v>
      </c>
      <c r="Z1047" s="201">
        <v>2.2681389704723998E-2</v>
      </c>
    </row>
    <row r="1048" spans="22:26" x14ac:dyDescent="0.2">
      <c r="V1048" s="202" t="str">
        <f t="shared" si="25"/>
        <v>1w</v>
      </c>
      <c r="W1048" s="200">
        <f>_xll.qlCalendarAdvance(Calendar,W1047,V1048,"f",FALSE)</f>
        <v>46224</v>
      </c>
      <c r="X1048" s="203">
        <f>_xll.qlCalendarAdvance(Calendar,W1048,NDays&amp;"D")</f>
        <v>46226</v>
      </c>
      <c r="Y1048" s="204">
        <v>2.273956112800235E-2</v>
      </c>
      <c r="Z1048" s="201">
        <v>2.2692848717342784E-2</v>
      </c>
    </row>
    <row r="1049" spans="22:26" x14ac:dyDescent="0.2">
      <c r="V1049" s="202" t="str">
        <f t="shared" si="25"/>
        <v>1w</v>
      </c>
      <c r="W1049" s="200">
        <f>_xll.qlCalendarAdvance(Calendar,W1048,V1049,"f",FALSE)</f>
        <v>46231</v>
      </c>
      <c r="X1049" s="203">
        <f>_xll.qlCalendarAdvance(Calendar,W1049,NDays&amp;"D")</f>
        <v>46233</v>
      </c>
      <c r="Y1049" s="204">
        <v>2.2750391623592714E-2</v>
      </c>
      <c r="Z1049" s="201">
        <v>2.2704105605004798E-2</v>
      </c>
    </row>
    <row r="1050" spans="22:26" x14ac:dyDescent="0.2">
      <c r="V1050" s="202" t="str">
        <f t="shared" si="25"/>
        <v>1w</v>
      </c>
      <c r="W1050" s="200">
        <f>_xll.qlCalendarAdvance(Calendar,W1049,V1050,"f",FALSE)</f>
        <v>46238</v>
      </c>
      <c r="X1050" s="203">
        <f>_xll.qlCalendarAdvance(Calendar,W1050,NDays&amp;"D")</f>
        <v>46240</v>
      </c>
      <c r="Y1050" s="204">
        <v>2.2761019608090183E-2</v>
      </c>
      <c r="Z1050" s="201">
        <v>2.2715160367710041E-2</v>
      </c>
    </row>
    <row r="1051" spans="22:26" x14ac:dyDescent="0.2">
      <c r="V1051" s="202" t="str">
        <f t="shared" si="25"/>
        <v>1w</v>
      </c>
      <c r="W1051" s="200">
        <f>_xll.qlCalendarAdvance(Calendar,W1050,V1051,"f",FALSE)</f>
        <v>46245</v>
      </c>
      <c r="X1051" s="203">
        <f>_xll.qlCalendarAdvance(Calendar,W1051,NDays&amp;"D")</f>
        <v>46247</v>
      </c>
      <c r="Y1051" s="204">
        <v>2.2771448069734412E-2</v>
      </c>
      <c r="Z1051" s="201">
        <v>2.2726013005378576E-2</v>
      </c>
    </row>
    <row r="1052" spans="22:26" x14ac:dyDescent="0.2">
      <c r="V1052" s="202" t="str">
        <f t="shared" si="25"/>
        <v>1w</v>
      </c>
      <c r="W1052" s="200">
        <f>_xll.qlCalendarAdvance(Calendar,W1051,V1052,"f",FALSE)</f>
        <v>46252</v>
      </c>
      <c r="X1052" s="203">
        <f>_xll.qlCalendarAdvance(Calendar,W1052,NDays&amp;"D")</f>
        <v>46254</v>
      </c>
      <c r="Y1052" s="204">
        <v>2.2781698441640685E-2</v>
      </c>
      <c r="Z1052" s="201">
        <v>2.2736663518010403E-2</v>
      </c>
    </row>
    <row r="1053" spans="22:26" x14ac:dyDescent="0.2">
      <c r="V1053" s="202" t="str">
        <f t="shared" si="25"/>
        <v>1w</v>
      </c>
      <c r="W1053" s="200">
        <f>_xll.qlCalendarAdvance(Calendar,W1052,V1053,"f",FALSE)</f>
        <v>46259</v>
      </c>
      <c r="X1053" s="203">
        <f>_xll.qlCalendarAdvance(Calendar,W1053,NDays&amp;"D")</f>
        <v>46261</v>
      </c>
      <c r="Y1053" s="204">
        <v>2.2791799186268891E-2</v>
      </c>
      <c r="Z1053" s="201">
        <v>2.2747111905605522E-2</v>
      </c>
    </row>
    <row r="1054" spans="22:26" x14ac:dyDescent="0.2">
      <c r="V1054" s="202" t="str">
        <f t="shared" si="25"/>
        <v>1w</v>
      </c>
      <c r="W1054" s="200">
        <f>_xll.qlCalendarAdvance(Calendar,W1053,V1054,"f",FALSE)</f>
        <v>46266</v>
      </c>
      <c r="X1054" s="203">
        <f>_xll.qlCalendarAdvance(Calendar,W1054,NDays&amp;"D")</f>
        <v>46268</v>
      </c>
      <c r="Y1054" s="204">
        <v>2.2801778780025261E-2</v>
      </c>
      <c r="Z1054" s="201">
        <v>2.2757358168163933E-2</v>
      </c>
    </row>
    <row r="1055" spans="22:26" x14ac:dyDescent="0.2">
      <c r="V1055" s="202" t="str">
        <f t="shared" si="25"/>
        <v>1w</v>
      </c>
      <c r="W1055" s="200">
        <f>_xll.qlCalendarAdvance(Calendar,W1054,V1055,"f",FALSE)</f>
        <v>46273</v>
      </c>
      <c r="X1055" s="203">
        <f>_xll.qlCalendarAdvance(Calendar,W1055,NDays&amp;"D")</f>
        <v>46275</v>
      </c>
      <c r="Y1055" s="204">
        <v>2.2811665588721997E-2</v>
      </c>
      <c r="Z1055" s="201">
        <v>2.2767410702169144E-2</v>
      </c>
    </row>
    <row r="1056" spans="22:26" x14ac:dyDescent="0.2">
      <c r="V1056" s="202" t="str">
        <f t="shared" si="25"/>
        <v>1w</v>
      </c>
      <c r="W1056" s="200">
        <f>_xll.qlCalendarAdvance(Calendar,W1055,V1056,"f",FALSE)</f>
        <v>46280</v>
      </c>
      <c r="X1056" s="203">
        <f>_xll.qlCalendarAdvance(Calendar,W1056,NDays&amp;"D")</f>
        <v>46282</v>
      </c>
      <c r="Y1056" s="204">
        <v>2.2821478333778511E-2</v>
      </c>
      <c r="Z1056" s="201">
        <v>2.2777364078532258E-2</v>
      </c>
    </row>
    <row r="1057" spans="22:26" x14ac:dyDescent="0.2">
      <c r="V1057" s="202" t="str">
        <f t="shared" si="25"/>
        <v>1w</v>
      </c>
      <c r="W1057" s="200">
        <f>_xll.qlCalendarAdvance(Calendar,W1056,V1057,"f",FALSE)</f>
        <v>46287</v>
      </c>
      <c r="X1057" s="203">
        <f>_xll.qlCalendarAdvance(Calendar,W1057,NDays&amp;"D")</f>
        <v>46289</v>
      </c>
      <c r="Y1057" s="204">
        <v>2.2831218744646387E-2</v>
      </c>
      <c r="Z1057" s="201">
        <v>2.2787245254329846E-2</v>
      </c>
    </row>
    <row r="1058" spans="22:26" x14ac:dyDescent="0.2">
      <c r="V1058" s="202" t="str">
        <f t="shared" si="25"/>
        <v>1w</v>
      </c>
      <c r="W1058" s="200">
        <f>_xll.qlCalendarAdvance(Calendar,W1057,V1058,"f",FALSE)</f>
        <v>46294</v>
      </c>
      <c r="X1058" s="203">
        <f>_xll.qlCalendarAdvance(Calendar,W1058,NDays&amp;"D")</f>
        <v>46296</v>
      </c>
      <c r="Y1058" s="204">
        <v>2.2840886821143269E-2</v>
      </c>
      <c r="Z1058" s="201">
        <v>2.2797054229641844E-2</v>
      </c>
    </row>
    <row r="1059" spans="22:26" x14ac:dyDescent="0.2">
      <c r="V1059" s="202" t="str">
        <f t="shared" si="25"/>
        <v>1w</v>
      </c>
      <c r="W1059" s="200">
        <f>_xll.qlCalendarAdvance(Calendar,W1058,V1059,"f",FALSE)</f>
        <v>46301</v>
      </c>
      <c r="X1059" s="203">
        <f>_xll.qlCalendarAdvance(Calendar,W1059,NDays&amp;"D")</f>
        <v>46303</v>
      </c>
      <c r="Y1059" s="204">
        <v>2.2850482563076813E-2</v>
      </c>
      <c r="Z1059" s="201">
        <v>2.2806791004468252E-2</v>
      </c>
    </row>
    <row r="1060" spans="22:26" x14ac:dyDescent="0.2">
      <c r="V1060" s="202" t="str">
        <f t="shared" si="25"/>
        <v>1w</v>
      </c>
      <c r="W1060" s="200">
        <f>_xll.qlCalendarAdvance(Calendar,W1059,V1060,"f",FALSE)</f>
        <v>46308</v>
      </c>
      <c r="X1060" s="203">
        <f>_xll.qlCalendarAdvance(Calendar,W1060,NDays&amp;"D")</f>
        <v>46310</v>
      </c>
      <c r="Y1060" s="204">
        <v>2.2860005970269659E-2</v>
      </c>
      <c r="Z1060" s="201">
        <v>2.2816455578729133E-2</v>
      </c>
    </row>
    <row r="1061" spans="22:26" x14ac:dyDescent="0.2">
      <c r="V1061" s="202" t="str">
        <f t="shared" si="25"/>
        <v>1w</v>
      </c>
      <c r="W1061" s="200">
        <f>_xll.qlCalendarAdvance(Calendar,W1060,V1061,"f",FALSE)</f>
        <v>46315</v>
      </c>
      <c r="X1061" s="203">
        <f>_xll.qlCalendarAdvance(Calendar,W1061,NDays&amp;"D")</f>
        <v>46317</v>
      </c>
      <c r="Y1061" s="204">
        <v>2.2869457042529462E-2</v>
      </c>
      <c r="Z1061" s="201">
        <v>2.2826047952504425E-2</v>
      </c>
    </row>
    <row r="1062" spans="22:26" x14ac:dyDescent="0.2">
      <c r="V1062" s="202" t="str">
        <f t="shared" si="25"/>
        <v>1w</v>
      </c>
      <c r="W1062" s="200">
        <f>_xll.qlCalendarAdvance(Calendar,W1061,V1062,"f",FALSE)</f>
        <v>46322</v>
      </c>
      <c r="X1062" s="203">
        <f>_xll.qlCalendarAdvance(Calendar,W1062,NDays&amp;"D")</f>
        <v>46324</v>
      </c>
      <c r="Y1062" s="204">
        <v>2.2878835779678863E-2</v>
      </c>
      <c r="Z1062" s="201">
        <v>2.283556812571419E-2</v>
      </c>
    </row>
    <row r="1063" spans="22:26" x14ac:dyDescent="0.2">
      <c r="V1063" s="202" t="str">
        <f t="shared" si="25"/>
        <v>1w</v>
      </c>
      <c r="W1063" s="200">
        <f>_xll.qlCalendarAdvance(Calendar,W1062,V1063,"f",FALSE)</f>
        <v>46329</v>
      </c>
      <c r="X1063" s="203">
        <f>_xll.qlCalendarAdvance(Calendar,W1063,NDays&amp;"D")</f>
        <v>46331</v>
      </c>
      <c r="Y1063" s="204">
        <v>2.2888142181538007E-2</v>
      </c>
      <c r="Z1063" s="201">
        <v>2.2845016098358428E-2</v>
      </c>
    </row>
    <row r="1064" spans="22:26" x14ac:dyDescent="0.2">
      <c r="V1064" s="202" t="str">
        <f t="shared" si="25"/>
        <v>1w</v>
      </c>
      <c r="W1064" s="200">
        <f>_xll.qlCalendarAdvance(Calendar,W1063,V1064,"f",FALSE)</f>
        <v>46336</v>
      </c>
      <c r="X1064" s="203">
        <f>_xll.qlCalendarAdvance(Calendar,W1064,NDays&amp;"D")</f>
        <v>46338</v>
      </c>
      <c r="Y1064" s="204">
        <v>2.2897376247927037E-2</v>
      </c>
      <c r="Z1064" s="201">
        <v>2.2854391870517077E-2</v>
      </c>
    </row>
    <row r="1065" spans="22:26" x14ac:dyDescent="0.2">
      <c r="V1065" s="202" t="str">
        <f t="shared" si="25"/>
        <v>1w</v>
      </c>
      <c r="W1065" s="200">
        <f>_xll.qlCalendarAdvance(Calendar,W1064,V1065,"f",FALSE)</f>
        <v>46343</v>
      </c>
      <c r="X1065" s="203">
        <f>_xll.qlCalendarAdvance(Calendar,W1065,NDays&amp;"D")</f>
        <v>46345</v>
      </c>
      <c r="Y1065" s="204">
        <v>2.2906537978668595E-2</v>
      </c>
      <c r="Z1065" s="201">
        <v>2.2863695442110199E-2</v>
      </c>
    </row>
    <row r="1066" spans="22:26" x14ac:dyDescent="0.2">
      <c r="V1066" s="202" t="str">
        <f t="shared" si="25"/>
        <v>1w</v>
      </c>
      <c r="W1066" s="200">
        <f>_xll.qlCalendarAdvance(Calendar,W1065,V1066,"f",FALSE)</f>
        <v>46350</v>
      </c>
      <c r="X1066" s="203">
        <f>_xll.qlCalendarAdvance(Calendar,W1066,NDays&amp;"D")</f>
        <v>46352</v>
      </c>
      <c r="Y1066" s="204">
        <v>2.2915627373585323E-2</v>
      </c>
      <c r="Z1066" s="201">
        <v>2.2872926813057859E-2</v>
      </c>
    </row>
    <row r="1067" spans="22:26" x14ac:dyDescent="0.2">
      <c r="V1067" s="202" t="str">
        <f t="shared" si="25"/>
        <v>1w</v>
      </c>
      <c r="W1067" s="200">
        <f>_xll.qlCalendarAdvance(Calendar,W1066,V1067,"f",FALSE)</f>
        <v>46357</v>
      </c>
      <c r="X1067" s="203">
        <f>_xll.qlCalendarAdvance(Calendar,W1067,NDays&amp;"D")</f>
        <v>46359</v>
      </c>
      <c r="Y1067" s="204">
        <v>2.2924644432502361E-2</v>
      </c>
      <c r="Z1067" s="201">
        <v>2.2882085983519929E-2</v>
      </c>
    </row>
    <row r="1068" spans="22:26" x14ac:dyDescent="0.2">
      <c r="V1068" s="202" t="str">
        <f t="shared" si="25"/>
        <v>1w</v>
      </c>
      <c r="W1068" s="200">
        <f>_xll.qlCalendarAdvance(Calendar,W1067,V1068,"f",FALSE)</f>
        <v>46364</v>
      </c>
      <c r="X1068" s="203">
        <f>_xll.qlCalendarAdvance(Calendar,W1068,NDays&amp;"D")</f>
        <v>46366</v>
      </c>
      <c r="Y1068" s="204">
        <v>2.2933589155247347E-2</v>
      </c>
      <c r="Z1068" s="201">
        <v>2.2891172953416472E-2</v>
      </c>
    </row>
    <row r="1069" spans="22:26" x14ac:dyDescent="0.2">
      <c r="V1069" s="202" t="str">
        <f t="shared" si="25"/>
        <v>1w</v>
      </c>
      <c r="W1069" s="200">
        <f>_xll.qlCalendarAdvance(Calendar,W1068,V1069,"f",FALSE)</f>
        <v>46371</v>
      </c>
      <c r="X1069" s="203">
        <f>_xll.qlCalendarAdvance(Calendar,W1069,NDays&amp;"D")</f>
        <v>46373</v>
      </c>
      <c r="Y1069" s="204">
        <v>2.294246154164542E-2</v>
      </c>
      <c r="Z1069" s="201">
        <v>2.2900187722747489E-2</v>
      </c>
    </row>
    <row r="1070" spans="22:26" x14ac:dyDescent="0.2">
      <c r="V1070" s="202" t="str">
        <f t="shared" si="25"/>
        <v>1w</v>
      </c>
      <c r="W1070" s="200">
        <f>_xll.qlCalendarAdvance(Calendar,W1069,V1070,"f",FALSE)</f>
        <v>46378</v>
      </c>
      <c r="X1070" s="203">
        <f>_xll.qlCalendarAdvance(Calendar,W1070,NDays&amp;"D")</f>
        <v>46380</v>
      </c>
      <c r="Y1070" s="204">
        <v>2.2951261591526717E-2</v>
      </c>
      <c r="Z1070" s="201">
        <v>2.2913223482898815E-2</v>
      </c>
    </row>
    <row r="1071" spans="22:26" x14ac:dyDescent="0.2">
      <c r="V1071" s="202" t="str">
        <f t="shared" si="25"/>
        <v>1w</v>
      </c>
      <c r="W1071" s="200">
        <f>_xll.qlCalendarAdvance(Calendar,W1070,V1071,"f",FALSE)</f>
        <v>46385</v>
      </c>
      <c r="X1071" s="203">
        <f>_xll.qlCalendarAdvance(Calendar,W1071,NDays&amp;"D")</f>
        <v>46387</v>
      </c>
      <c r="Y1071" s="204">
        <v>2.2955941909691985E-2</v>
      </c>
      <c r="Z1071" s="201">
        <v>2.2922080070562068E-2</v>
      </c>
    </row>
    <row r="1072" spans="22:26" x14ac:dyDescent="0.2">
      <c r="V1072" s="202" t="str">
        <f t="shared" si="25"/>
        <v>1w</v>
      </c>
      <c r="W1072" s="200">
        <f>_xll.qlCalendarAdvance(Calendar,W1071,V1072,"f",FALSE)</f>
        <v>46392</v>
      </c>
      <c r="X1072" s="203">
        <f>_xll.qlCalendarAdvance(Calendar,W1072,NDays&amp;"D")</f>
        <v>46394</v>
      </c>
      <c r="Y1072" s="204">
        <v>2.2968644681067019E-2</v>
      </c>
      <c r="Z1072" s="201">
        <v>2.2926798827187511E-2</v>
      </c>
    </row>
    <row r="1073" spans="22:26" x14ac:dyDescent="0.2">
      <c r="V1073" s="202" t="str">
        <f t="shared" si="25"/>
        <v>1w</v>
      </c>
      <c r="W1073" s="200">
        <f>_xll.qlCalendarAdvance(Calendar,W1072,V1073,"f",FALSE)</f>
        <v>46399</v>
      </c>
      <c r="X1073" s="203">
        <f>_xll.qlCalendarAdvance(Calendar,W1073,NDays&amp;"D")</f>
        <v>46401</v>
      </c>
      <c r="Y1073" s="204">
        <v>2.2977227720393789E-2</v>
      </c>
      <c r="Z1073" s="201">
        <v>2.2935524794256423E-2</v>
      </c>
    </row>
    <row r="1074" spans="22:26" x14ac:dyDescent="0.2">
      <c r="V1074" s="202" t="str">
        <f t="shared" si="25"/>
        <v>1w</v>
      </c>
      <c r="W1074" s="200">
        <f>_xll.qlCalendarAdvance(Calendar,W1073,V1074,"f",FALSE)</f>
        <v>46406</v>
      </c>
      <c r="X1074" s="203">
        <f>_xll.qlCalendarAdvance(Calendar,W1074,NDays&amp;"D")</f>
        <v>46408</v>
      </c>
      <c r="Y1074" s="204">
        <v>2.2985738422529323E-2</v>
      </c>
      <c r="Z1074" s="201">
        <v>2.2944178560520001E-2</v>
      </c>
    </row>
    <row r="1075" spans="22:26" x14ac:dyDescent="0.2">
      <c r="V1075" s="202" t="str">
        <f t="shared" si="25"/>
        <v>1w</v>
      </c>
      <c r="W1075" s="200">
        <f>_xll.qlCalendarAdvance(Calendar,W1074,V1075,"f",FALSE)</f>
        <v>46413</v>
      </c>
      <c r="X1075" s="203">
        <f>_xll.qlCalendarAdvance(Calendar,W1075,NDays&amp;"D")</f>
        <v>46415</v>
      </c>
      <c r="Y1075" s="204">
        <v>2.2990184845497502E-2</v>
      </c>
      <c r="Z1075" s="201">
        <v>2.2952760126377925E-2</v>
      </c>
    </row>
    <row r="1076" spans="22:26" x14ac:dyDescent="0.2">
      <c r="V1076" s="202" t="str">
        <f t="shared" si="25"/>
        <v>1w</v>
      </c>
      <c r="W1076" s="200">
        <f>_xll.qlCalendarAdvance(Calendar,W1075,V1076,"f",FALSE)</f>
        <v>46420</v>
      </c>
      <c r="X1076" s="203">
        <f>_xll.qlCalendarAdvance(Calendar,W1076,NDays&amp;"D")</f>
        <v>46422</v>
      </c>
      <c r="Y1076" s="204">
        <v>2.2997237983752226E-2</v>
      </c>
      <c r="Z1076" s="201">
        <v>2.2961269491430514E-2</v>
      </c>
    </row>
    <row r="1077" spans="22:26" x14ac:dyDescent="0.2">
      <c r="V1077" s="202" t="str">
        <f t="shared" si="25"/>
        <v>1w</v>
      </c>
      <c r="W1077" s="200">
        <f>_xll.qlCalendarAdvance(Calendar,W1076,V1077,"f",FALSE)</f>
        <v>46427</v>
      </c>
      <c r="X1077" s="203">
        <f>_xll.qlCalendarAdvance(Calendar,W1077,NDays&amp;"D")</f>
        <v>46429</v>
      </c>
      <c r="Y1077" s="204">
        <v>2.3005550218549838E-2</v>
      </c>
      <c r="Z1077" s="201">
        <v>2.2969706655997513E-2</v>
      </c>
    </row>
    <row r="1078" spans="22:26" x14ac:dyDescent="0.2">
      <c r="V1078" s="202" t="str">
        <f t="shared" si="25"/>
        <v>1w</v>
      </c>
      <c r="W1078" s="200">
        <f>_xll.qlCalendarAdvance(Calendar,W1077,V1078,"f",FALSE)</f>
        <v>46434</v>
      </c>
      <c r="X1078" s="203">
        <f>_xll.qlCalendarAdvance(Calendar,W1078,NDays&amp;"D")</f>
        <v>46436</v>
      </c>
      <c r="Y1078" s="204">
        <v>2.3013790133274661E-2</v>
      </c>
      <c r="Z1078" s="201">
        <v>2.2978071619919049E-2</v>
      </c>
    </row>
    <row r="1079" spans="22:26" x14ac:dyDescent="0.2">
      <c r="V1079" s="202" t="str">
        <f t="shared" si="25"/>
        <v>1w</v>
      </c>
      <c r="W1079" s="200">
        <f>_xll.qlCalendarAdvance(Calendar,W1078,V1079,"f",FALSE)</f>
        <v>46441</v>
      </c>
      <c r="X1079" s="203">
        <f>_xll.qlCalendarAdvance(Calendar,W1079,NDays&amp;"D")</f>
        <v>46443</v>
      </c>
      <c r="Y1079" s="204">
        <v>2.3021957727783957E-2</v>
      </c>
      <c r="Z1079" s="201">
        <v>2.2986364383195124E-2</v>
      </c>
    </row>
    <row r="1080" spans="22:26" x14ac:dyDescent="0.2">
      <c r="V1080" s="202" t="str">
        <f t="shared" si="25"/>
        <v>1w</v>
      </c>
      <c r="W1080" s="200">
        <f>_xll.qlCalendarAdvance(Calendar,W1079,V1080,"f",FALSE)</f>
        <v>46448</v>
      </c>
      <c r="X1080" s="203">
        <f>_xll.qlCalendarAdvance(Calendar,W1080,NDays&amp;"D")</f>
        <v>46450</v>
      </c>
      <c r="Y1080" s="204">
        <v>2.3035283545391194E-2</v>
      </c>
      <c r="Z1080" s="201">
        <v>2.2994584945905672E-2</v>
      </c>
    </row>
    <row r="1081" spans="22:26" x14ac:dyDescent="0.2">
      <c r="V1081" s="202" t="str">
        <f t="shared" si="25"/>
        <v>1w</v>
      </c>
      <c r="W1081" s="200">
        <f>_xll.qlCalendarAdvance(Calendar,W1080,V1081,"f",FALSE)</f>
        <v>46455</v>
      </c>
      <c r="X1081" s="203">
        <f>_xll.qlCalendarAdvance(Calendar,W1081,NDays&amp;"D")</f>
        <v>46457</v>
      </c>
      <c r="Y1081" s="204">
        <v>2.3043287882721641E-2</v>
      </c>
      <c r="Z1081" s="201">
        <v>2.3002733307890821E-2</v>
      </c>
    </row>
    <row r="1082" spans="22:26" x14ac:dyDescent="0.2">
      <c r="V1082" s="202" t="str">
        <f t="shared" si="25"/>
        <v>1w</v>
      </c>
      <c r="W1082" s="200">
        <f>_xll.qlCalendarAdvance(Calendar,W1081,V1082,"f",FALSE)</f>
        <v>46462</v>
      </c>
      <c r="X1082" s="203">
        <f>_xll.qlCalendarAdvance(Calendar,W1082,NDays&amp;"D")</f>
        <v>46464</v>
      </c>
      <c r="Y1082" s="204">
        <v>2.3051219881596863E-2</v>
      </c>
      <c r="Z1082" s="201">
        <v>2.3010809469310445E-2</v>
      </c>
    </row>
    <row r="1083" spans="22:26" x14ac:dyDescent="0.2">
      <c r="V1083" s="202" t="str">
        <f t="shared" si="25"/>
        <v>1w</v>
      </c>
      <c r="W1083" s="200">
        <f>_xll.qlCalendarAdvance(Calendar,W1082,V1083,"f",FALSE)</f>
        <v>46469</v>
      </c>
      <c r="X1083" s="203">
        <f>_xll.qlCalendarAdvance(Calendar,W1083,NDays&amp;"D")</f>
        <v>46471</v>
      </c>
      <c r="Y1083" s="204">
        <v>2.3059079541861982E-2</v>
      </c>
      <c r="Z1083" s="201">
        <v>2.3024030009269225E-2</v>
      </c>
    </row>
    <row r="1084" spans="22:26" x14ac:dyDescent="0.2">
      <c r="V1084" s="202" t="str">
        <f t="shared" si="25"/>
        <v>1w</v>
      </c>
      <c r="W1084" s="200">
        <f>_xll.qlCalendarAdvance(Calendar,W1083,V1084,"f",FALSE)</f>
        <v>46476</v>
      </c>
      <c r="X1084" s="203">
        <f>_xll.qlCalendarAdvance(Calendar,W1084,NDays&amp;"D")</f>
        <v>46478</v>
      </c>
      <c r="Y1084" s="204">
        <v>2.3066866863367119E-2</v>
      </c>
      <c r="Z1084" s="201">
        <v>2.3026745190133369E-2</v>
      </c>
    </row>
    <row r="1085" spans="22:26" x14ac:dyDescent="0.2">
      <c r="V1085" s="202" t="str">
        <f t="shared" si="25"/>
        <v>1w</v>
      </c>
      <c r="W1085" s="200">
        <f>_xll.qlCalendarAdvance(Calendar,W1084,V1085,"f",FALSE)</f>
        <v>46483</v>
      </c>
      <c r="X1085" s="203">
        <f>_xll.qlCalendarAdvance(Calendar,W1085,NDays&amp;"D")</f>
        <v>46485</v>
      </c>
      <c r="Y1085" s="204">
        <v>2.3074581845957398E-2</v>
      </c>
      <c r="Z1085" s="201">
        <v>2.3034604749536669E-2</v>
      </c>
    </row>
    <row r="1086" spans="22:26" x14ac:dyDescent="0.2">
      <c r="V1086" s="202" t="str">
        <f t="shared" si="25"/>
        <v>1w</v>
      </c>
      <c r="W1086" s="200">
        <f>_xll.qlCalendarAdvance(Calendar,W1085,V1086,"f",FALSE)</f>
        <v>46490</v>
      </c>
      <c r="X1086" s="203">
        <f>_xll.qlCalendarAdvance(Calendar,W1086,NDays&amp;"D")</f>
        <v>46492</v>
      </c>
      <c r="Y1086" s="204">
        <v>2.3082224489490433E-2</v>
      </c>
      <c r="Z1086" s="201">
        <v>2.3042392108294507E-2</v>
      </c>
    </row>
    <row r="1087" spans="22:26" x14ac:dyDescent="0.2">
      <c r="V1087" s="202" t="str">
        <f t="shared" si="25"/>
        <v>1w</v>
      </c>
      <c r="W1087" s="200">
        <f>_xll.qlCalendarAdvance(Calendar,W1086,V1087,"f",FALSE)</f>
        <v>46497</v>
      </c>
      <c r="X1087" s="203">
        <f>_xll.qlCalendarAdvance(Calendar,W1087,NDays&amp;"D")</f>
        <v>46499</v>
      </c>
      <c r="Y1087" s="204">
        <v>2.3089794793816343E-2</v>
      </c>
      <c r="Z1087" s="201">
        <v>2.3050107266406883E-2</v>
      </c>
    </row>
    <row r="1088" spans="22:26" x14ac:dyDescent="0.2">
      <c r="V1088" s="202" t="str">
        <f t="shared" si="25"/>
        <v>1w</v>
      </c>
      <c r="W1088" s="200">
        <f>_xll.qlCalendarAdvance(Calendar,W1087,V1088,"f",FALSE)</f>
        <v>46504</v>
      </c>
      <c r="X1088" s="203">
        <f>_xll.qlCalendarAdvance(Calendar,W1088,NDays&amp;"D")</f>
        <v>46506</v>
      </c>
      <c r="Y1088" s="204">
        <v>2.3097292758787746E-2</v>
      </c>
      <c r="Z1088" s="201">
        <v>2.305775022379386E-2</v>
      </c>
    </row>
    <row r="1089" spans="22:26" x14ac:dyDescent="0.2">
      <c r="V1089" s="202" t="str">
        <f t="shared" si="25"/>
        <v>1w</v>
      </c>
      <c r="W1089" s="200">
        <f>_xll.qlCalendarAdvance(Calendar,W1088,V1089,"f",FALSE)</f>
        <v>46511</v>
      </c>
      <c r="X1089" s="203">
        <f>_xll.qlCalendarAdvance(Calendar,W1089,NDays&amp;"D")</f>
        <v>46513</v>
      </c>
      <c r="Y1089" s="204">
        <v>2.3104718384264755E-2</v>
      </c>
      <c r="Z1089" s="201">
        <v>2.3065320980615311E-2</v>
      </c>
    </row>
    <row r="1090" spans="22:26" x14ac:dyDescent="0.2">
      <c r="V1090" s="202" t="str">
        <f t="shared" si="25"/>
        <v>1w</v>
      </c>
      <c r="W1090" s="200">
        <f>_xll.qlCalendarAdvance(Calendar,W1089,V1090,"f",FALSE)</f>
        <v>46518</v>
      </c>
      <c r="X1090" s="203">
        <f>_xll.qlCalendarAdvance(Calendar,W1090,NDays&amp;"D")</f>
        <v>46520</v>
      </c>
      <c r="Y1090" s="204">
        <v>2.3112071670102485E-2</v>
      </c>
      <c r="Z1090" s="201">
        <v>2.3072819536631428E-2</v>
      </c>
    </row>
    <row r="1091" spans="22:26" x14ac:dyDescent="0.2">
      <c r="V1091" s="202" t="str">
        <f t="shared" si="25"/>
        <v>1w</v>
      </c>
      <c r="W1091" s="200">
        <f>_xll.qlCalendarAdvance(Calendar,W1090,V1091,"f",FALSE)</f>
        <v>46525</v>
      </c>
      <c r="X1091" s="203">
        <f>_xll.qlCalendarAdvance(Calendar,W1091,NDays&amp;"D")</f>
        <v>46527</v>
      </c>
      <c r="Y1091" s="204">
        <v>2.3119352616156053E-2</v>
      </c>
      <c r="Z1091" s="201">
        <v>2.3080245892082019E-2</v>
      </c>
    </row>
    <row r="1092" spans="22:26" x14ac:dyDescent="0.2">
      <c r="V1092" s="202" t="str">
        <f t="shared" si="25"/>
        <v>1w</v>
      </c>
      <c r="W1092" s="200">
        <f>_xll.qlCalendarAdvance(Calendar,W1091,V1092,"f",FALSE)</f>
        <v>46532</v>
      </c>
      <c r="X1092" s="203">
        <f>_xll.qlCalendarAdvance(Calendar,W1092,NDays&amp;"D")</f>
        <v>46534</v>
      </c>
      <c r="Y1092" s="204">
        <v>2.3126561222293063E-2</v>
      </c>
      <c r="Z1092" s="201">
        <v>2.3087600046807211E-2</v>
      </c>
    </row>
    <row r="1093" spans="22:26" x14ac:dyDescent="0.2">
      <c r="V1093" s="202" t="str">
        <f t="shared" si="25"/>
        <v>1w</v>
      </c>
      <c r="W1093" s="200">
        <f>_xll.qlCalendarAdvance(Calendar,W1092,V1093,"f",FALSE)</f>
        <v>46539</v>
      </c>
      <c r="X1093" s="203">
        <f>_xll.qlCalendarAdvance(Calendar,W1093,NDays&amp;"D")</f>
        <v>46541</v>
      </c>
      <c r="Y1093" s="204">
        <v>2.3133697488363636E-2</v>
      </c>
      <c r="Z1093" s="201">
        <v>2.3094882000807004E-2</v>
      </c>
    </row>
    <row r="1094" spans="22:26" x14ac:dyDescent="0.2">
      <c r="V1094" s="202" t="str">
        <f t="shared" si="25"/>
        <v>1w</v>
      </c>
      <c r="W1094" s="200">
        <f>_xll.qlCalendarAdvance(Calendar,W1093,V1094,"f",FALSE)</f>
        <v>46546</v>
      </c>
      <c r="X1094" s="203">
        <f>_xll.qlCalendarAdvance(Calendar,W1094,NDays&amp;"D")</f>
        <v>46548</v>
      </c>
      <c r="Y1094" s="204">
        <v>2.3140761414242872E-2</v>
      </c>
      <c r="Z1094" s="201">
        <v>2.3102091754161336E-2</v>
      </c>
    </row>
    <row r="1095" spans="22:26" x14ac:dyDescent="0.2">
      <c r="V1095" s="202" t="str">
        <f t="shared" si="25"/>
        <v>1w</v>
      </c>
      <c r="W1095" s="200">
        <f>_xll.qlCalendarAdvance(Calendar,W1094,V1095,"f",FALSE)</f>
        <v>46553</v>
      </c>
      <c r="X1095" s="203">
        <f>_xll.qlCalendarAdvance(Calendar,W1095,NDays&amp;"D")</f>
        <v>46555</v>
      </c>
      <c r="Y1095" s="204">
        <v>2.3147752999783389E-2</v>
      </c>
      <c r="Z1095" s="201">
        <v>2.3109229306790269E-2</v>
      </c>
    </row>
    <row r="1096" spans="22:26" x14ac:dyDescent="0.2">
      <c r="V1096" s="202" t="str">
        <f t="shared" si="25"/>
        <v>1w</v>
      </c>
      <c r="W1096" s="200">
        <f>_xll.qlCalendarAdvance(Calendar,W1095,V1096,"f",FALSE)</f>
        <v>46560</v>
      </c>
      <c r="X1096" s="203">
        <f>_xll.qlCalendarAdvance(Calendar,W1096,NDays&amp;"D")</f>
        <v>46562</v>
      </c>
      <c r="Y1096" s="204">
        <v>2.3154672244857788E-2</v>
      </c>
      <c r="Z1096" s="201">
        <v>2.3116294658693803E-2</v>
      </c>
    </row>
    <row r="1097" spans="22:26" x14ac:dyDescent="0.2">
      <c r="V1097" s="202" t="str">
        <f t="shared" si="25"/>
        <v>1w</v>
      </c>
      <c r="W1097" s="200">
        <f>_xll.qlCalendarAdvance(Calendar,W1096,V1097,"f",FALSE)</f>
        <v>46567</v>
      </c>
      <c r="X1097" s="203">
        <f>_xll.qlCalendarAdvance(Calendar,W1097,NDays&amp;"D")</f>
        <v>46569</v>
      </c>
      <c r="Y1097" s="204">
        <v>2.316151914932868E-2</v>
      </c>
      <c r="Z1097" s="201">
        <v>2.312328780987194E-2</v>
      </c>
    </row>
    <row r="1098" spans="22:26" x14ac:dyDescent="0.2">
      <c r="V1098" s="202" t="str">
        <f t="shared" si="25"/>
        <v>1w</v>
      </c>
      <c r="W1098" s="200">
        <f>_xll.qlCalendarAdvance(Calendar,W1097,V1098,"f",FALSE)</f>
        <v>46574</v>
      </c>
      <c r="X1098" s="203">
        <f>_xll.qlCalendarAdvance(Calendar,W1098,NDays&amp;"D")</f>
        <v>46576</v>
      </c>
      <c r="Y1098" s="204">
        <v>2.3168293713071164E-2</v>
      </c>
      <c r="Z1098" s="201">
        <v>2.3130208760404614E-2</v>
      </c>
    </row>
    <row r="1099" spans="22:26" x14ac:dyDescent="0.2">
      <c r="V1099" s="202" t="str">
        <f t="shared" si="25"/>
        <v>1w</v>
      </c>
      <c r="W1099" s="200">
        <f>_xll.qlCalendarAdvance(Calendar,W1098,V1099,"f",FALSE)</f>
        <v>46581</v>
      </c>
      <c r="X1099" s="203">
        <f>_xll.qlCalendarAdvance(Calendar,W1099,NDays&amp;"D")</f>
        <v>46583</v>
      </c>
      <c r="Y1099" s="204">
        <v>2.3174995935945353E-2</v>
      </c>
      <c r="Z1099" s="201">
        <v>2.3137057510131953E-2</v>
      </c>
    </row>
    <row r="1100" spans="22:26" x14ac:dyDescent="0.2">
      <c r="V1100" s="202" t="str">
        <f t="shared" si="25"/>
        <v>1w</v>
      </c>
      <c r="W1100" s="200">
        <f>_xll.qlCalendarAdvance(Calendar,W1099,V1100,"f",FALSE)</f>
        <v>46588</v>
      </c>
      <c r="X1100" s="203">
        <f>_xll.qlCalendarAdvance(Calendar,W1100,NDays&amp;"D")</f>
        <v>46590</v>
      </c>
      <c r="Y1100" s="204">
        <v>2.3181625817828844E-2</v>
      </c>
      <c r="Z1100" s="201">
        <v>2.314383405921383E-2</v>
      </c>
    </row>
    <row r="1101" spans="22:26" x14ac:dyDescent="0.2">
      <c r="V1101" s="202" t="str">
        <f t="shared" si="25"/>
        <v>1w</v>
      </c>
      <c r="W1101" s="200">
        <f>_xll.qlCalendarAdvance(Calendar,W1100,V1101,"f",FALSE)</f>
        <v>46595</v>
      </c>
      <c r="X1101" s="203">
        <f>_xll.qlCalendarAdvance(Calendar,W1101,NDays&amp;"D")</f>
        <v>46597</v>
      </c>
      <c r="Y1101" s="204">
        <v>2.3188183358589243E-2</v>
      </c>
      <c r="Z1101" s="201">
        <v>2.3150538407570309E-2</v>
      </c>
    </row>
    <row r="1102" spans="22:26" x14ac:dyDescent="0.2">
      <c r="V1102" s="202" t="str">
        <f t="shared" si="25"/>
        <v>1w</v>
      </c>
      <c r="W1102" s="200">
        <f>_xll.qlCalendarAdvance(Calendar,W1101,V1102,"f",FALSE)</f>
        <v>46602</v>
      </c>
      <c r="X1102" s="203">
        <f>_xll.qlCalendarAdvance(Calendar,W1102,NDays&amp;"D")</f>
        <v>46604</v>
      </c>
      <c r="Y1102" s="204">
        <v>2.3194668558106646E-2</v>
      </c>
      <c r="Z1102" s="201">
        <v>2.315717055520139E-2</v>
      </c>
    </row>
    <row r="1103" spans="22:26" x14ac:dyDescent="0.2">
      <c r="V1103" s="202" t="str">
        <f t="shared" si="25"/>
        <v>1w</v>
      </c>
      <c r="W1103" s="200">
        <f>_xll.qlCalendarAdvance(Calendar,W1102,V1103,"f",FALSE)</f>
        <v>46609</v>
      </c>
      <c r="X1103" s="203">
        <f>_xll.qlCalendarAdvance(Calendar,W1103,NDays&amp;"D")</f>
        <v>46611</v>
      </c>
      <c r="Y1103" s="204">
        <v>2.3201081416251157E-2</v>
      </c>
      <c r="Z1103" s="201">
        <v>2.3163730502107072E-2</v>
      </c>
    </row>
    <row r="1104" spans="22:26" x14ac:dyDescent="0.2">
      <c r="V1104" s="202" t="str">
        <f t="shared" si="25"/>
        <v>1w</v>
      </c>
      <c r="W1104" s="200">
        <f>_xll.qlCalendarAdvance(Calendar,W1103,V1104,"f",FALSE)</f>
        <v>46616</v>
      </c>
      <c r="X1104" s="203">
        <f>_xll.qlCalendarAdvance(Calendar,W1104,NDays&amp;"D")</f>
        <v>46618</v>
      </c>
      <c r="Y1104" s="204">
        <v>2.3207421932902872E-2</v>
      </c>
      <c r="Z1104" s="201">
        <v>2.3170218248207419E-2</v>
      </c>
    </row>
    <row r="1105" spans="22:26" x14ac:dyDescent="0.2">
      <c r="V1105" s="202" t="str">
        <f t="shared" si="25"/>
        <v>1w</v>
      </c>
      <c r="W1105" s="200">
        <f>_xll.qlCalendarAdvance(Calendar,W1104,V1105,"f",FALSE)</f>
        <v>46623</v>
      </c>
      <c r="X1105" s="203">
        <f>_xll.qlCalendarAdvance(Calendar,W1105,NDays&amp;"D")</f>
        <v>46625</v>
      </c>
      <c r="Y1105" s="204">
        <v>2.3213690107931895E-2</v>
      </c>
      <c r="Z1105" s="201">
        <v>2.3176633793502432E-2</v>
      </c>
    </row>
    <row r="1106" spans="22:26" x14ac:dyDescent="0.2">
      <c r="V1106" s="202" t="str">
        <f t="shared" si="25"/>
        <v>1w</v>
      </c>
      <c r="W1106" s="200">
        <f>_xll.qlCalendarAdvance(Calendar,W1105,V1106,"f",FALSE)</f>
        <v>46630</v>
      </c>
      <c r="X1106" s="203">
        <f>_xll.qlCalendarAdvance(Calendar,W1106,NDays&amp;"D")</f>
        <v>46632</v>
      </c>
      <c r="Y1106" s="204">
        <v>2.3219885941228313E-2</v>
      </c>
      <c r="Z1106" s="201">
        <v>2.3182977138231919E-2</v>
      </c>
    </row>
    <row r="1107" spans="22:26" x14ac:dyDescent="0.2">
      <c r="V1107" s="202" t="str">
        <f t="shared" si="25"/>
        <v>1w</v>
      </c>
      <c r="W1107" s="200">
        <f>_xll.qlCalendarAdvance(Calendar,W1106,V1107,"f",FALSE)</f>
        <v>46637</v>
      </c>
      <c r="X1107" s="203">
        <f>_xll.qlCalendarAdvance(Calendar,W1107,NDays&amp;"D")</f>
        <v>46639</v>
      </c>
      <c r="Y1107" s="204">
        <v>2.3226009432664729E-2</v>
      </c>
      <c r="Z1107" s="201">
        <v>2.3189248282076136E-2</v>
      </c>
    </row>
    <row r="1108" spans="22:26" x14ac:dyDescent="0.2">
      <c r="V1108" s="202" t="str">
        <f t="shared" si="25"/>
        <v>1w</v>
      </c>
      <c r="W1108" s="200">
        <f>_xll.qlCalendarAdvance(Calendar,W1107,V1108,"f",FALSE)</f>
        <v>46644</v>
      </c>
      <c r="X1108" s="203">
        <f>_xll.qlCalendarAdvance(Calendar,W1108,NDays&amp;"D")</f>
        <v>46646</v>
      </c>
      <c r="Y1108" s="204">
        <v>2.3232060582128733E-2</v>
      </c>
      <c r="Z1108" s="201">
        <v>2.319544722527489E-2</v>
      </c>
    </row>
    <row r="1109" spans="22:26" x14ac:dyDescent="0.2">
      <c r="V1109" s="202" t="str">
        <f t="shared" ref="V1109:V1172" si="26">V1108</f>
        <v>1w</v>
      </c>
      <c r="W1109" s="200">
        <f>_xll.qlCalendarAdvance(Calendar,W1108,V1109,"f",FALSE)</f>
        <v>46651</v>
      </c>
      <c r="X1109" s="203">
        <f>_xll.qlCalendarAdvance(Calendar,W1109,NDays&amp;"D")</f>
        <v>46653</v>
      </c>
      <c r="Y1109" s="204">
        <v>2.323803938950042E-2</v>
      </c>
      <c r="Z1109" s="201">
        <v>2.320157396766831E-2</v>
      </c>
    </row>
    <row r="1110" spans="22:26" x14ac:dyDescent="0.2">
      <c r="V1110" s="202" t="str">
        <f t="shared" si="26"/>
        <v>1w</v>
      </c>
      <c r="W1110" s="200">
        <f>_xll.qlCalendarAdvance(Calendar,W1109,V1110,"f",FALSE)</f>
        <v>46658</v>
      </c>
      <c r="X1110" s="203">
        <f>_xll.qlCalendarAdvance(Calendar,W1110,NDays&amp;"D")</f>
        <v>46660</v>
      </c>
      <c r="Y1110" s="204">
        <v>2.3240448295951628E-2</v>
      </c>
      <c r="Z1110" s="201">
        <v>2.3207628509256395E-2</v>
      </c>
    </row>
    <row r="1111" spans="22:26" x14ac:dyDescent="0.2">
      <c r="V1111" s="202" t="str">
        <f t="shared" si="26"/>
        <v>1w</v>
      </c>
      <c r="W1111" s="200">
        <f>_xll.qlCalendarAdvance(Calendar,W1110,V1111,"f",FALSE)</f>
        <v>46665</v>
      </c>
      <c r="X1111" s="203">
        <f>_xll.qlCalendarAdvance(Calendar,W1111,NDays&amp;"D")</f>
        <v>46667</v>
      </c>
      <c r="Y1111" s="204">
        <v>2.324977997750971E-2</v>
      </c>
      <c r="Z1111" s="201">
        <v>2.3213610850119082E-2</v>
      </c>
    </row>
    <row r="1112" spans="22:26" x14ac:dyDescent="0.2">
      <c r="V1112" s="202" t="str">
        <f t="shared" si="26"/>
        <v>1w</v>
      </c>
      <c r="W1112" s="200">
        <f>_xll.qlCalendarAdvance(Calendar,W1111,V1112,"f",FALSE)</f>
        <v>46672</v>
      </c>
      <c r="X1112" s="203">
        <f>_xll.qlCalendarAdvance(Calendar,W1112,NDays&amp;"D")</f>
        <v>46674</v>
      </c>
      <c r="Y1112" s="204">
        <v>2.3255541757922493E-2</v>
      </c>
      <c r="Z1112" s="201">
        <v>2.321952099025637E-2</v>
      </c>
    </row>
    <row r="1113" spans="22:26" x14ac:dyDescent="0.2">
      <c r="V1113" s="202" t="str">
        <f t="shared" si="26"/>
        <v>1w</v>
      </c>
      <c r="W1113" s="200">
        <f>_xll.qlCalendarAdvance(Calendar,W1112,V1113,"f",FALSE)</f>
        <v>46679</v>
      </c>
      <c r="X1113" s="203">
        <f>_xll.qlCalendarAdvance(Calendar,W1113,NDays&amp;"D")</f>
        <v>46681</v>
      </c>
      <c r="Y1113" s="204">
        <v>2.3261231195790821E-2</v>
      </c>
      <c r="Z1113" s="201">
        <v>2.3225358929508388E-2</v>
      </c>
    </row>
    <row r="1114" spans="22:26" x14ac:dyDescent="0.2">
      <c r="V1114" s="202" t="str">
        <f t="shared" si="26"/>
        <v>1w</v>
      </c>
      <c r="W1114" s="200">
        <f>_xll.qlCalendarAdvance(Calendar,W1113,V1114,"f",FALSE)</f>
        <v>46686</v>
      </c>
      <c r="X1114" s="203">
        <f>_xll.qlCalendarAdvance(Calendar,W1114,NDays&amp;"D")</f>
        <v>46688</v>
      </c>
      <c r="Y1114" s="204">
        <v>2.326684829100728E-2</v>
      </c>
      <c r="Z1114" s="201">
        <v>2.3231124668114944E-2</v>
      </c>
    </row>
    <row r="1115" spans="22:26" x14ac:dyDescent="0.2">
      <c r="V1115" s="202" t="str">
        <f t="shared" si="26"/>
        <v>1w</v>
      </c>
      <c r="W1115" s="200">
        <f>_xll.qlCalendarAdvance(Calendar,W1114,V1115,"f",FALSE)</f>
        <v>46693</v>
      </c>
      <c r="X1115" s="203">
        <f>_xll.qlCalendarAdvance(Calendar,W1115,NDays&amp;"D")</f>
        <v>46695</v>
      </c>
      <c r="Y1115" s="204">
        <v>2.3272393043461959E-2</v>
      </c>
      <c r="Z1115" s="201">
        <v>2.3236818205836229E-2</v>
      </c>
    </row>
    <row r="1116" spans="22:26" x14ac:dyDescent="0.2">
      <c r="V1116" s="202" t="str">
        <f t="shared" si="26"/>
        <v>1w</v>
      </c>
      <c r="W1116" s="200">
        <f>_xll.qlCalendarAdvance(Calendar,W1115,V1116,"f",FALSE)</f>
        <v>46700</v>
      </c>
      <c r="X1116" s="203">
        <f>_xll.qlCalendarAdvance(Calendar,W1116,NDays&amp;"D")</f>
        <v>46702</v>
      </c>
      <c r="Y1116" s="204">
        <v>2.327786545304994E-2</v>
      </c>
      <c r="Z1116" s="201">
        <v>2.3242439542832116E-2</v>
      </c>
    </row>
    <row r="1117" spans="22:26" x14ac:dyDescent="0.2">
      <c r="V1117" s="202" t="str">
        <f t="shared" si="26"/>
        <v>1w</v>
      </c>
      <c r="W1117" s="200">
        <f>_xll.qlCalendarAdvance(Calendar,W1116,V1117,"f",FALSE)</f>
        <v>46707</v>
      </c>
      <c r="X1117" s="203">
        <f>_xll.qlCalendarAdvance(Calendar,W1117,NDays&amp;"D")</f>
        <v>46709</v>
      </c>
      <c r="Y1117" s="204">
        <v>2.3283265519663809E-2</v>
      </c>
      <c r="Z1117" s="201">
        <v>2.3247988679022669E-2</v>
      </c>
    </row>
    <row r="1118" spans="22:26" x14ac:dyDescent="0.2">
      <c r="V1118" s="202" t="str">
        <f t="shared" si="26"/>
        <v>1w</v>
      </c>
      <c r="W1118" s="200">
        <f>_xll.qlCalendarAdvance(Calendar,W1117,V1118,"f",FALSE)</f>
        <v>46714</v>
      </c>
      <c r="X1118" s="203">
        <f>_xll.qlCalendarAdvance(Calendar,W1118,NDays&amp;"D")</f>
        <v>46716</v>
      </c>
      <c r="Y1118" s="204">
        <v>2.328859324320115E-2</v>
      </c>
      <c r="Z1118" s="201">
        <v>2.3253465614487823E-2</v>
      </c>
    </row>
    <row r="1119" spans="22:26" x14ac:dyDescent="0.2">
      <c r="V1119" s="202" t="str">
        <f t="shared" si="26"/>
        <v>1w</v>
      </c>
      <c r="W1119" s="200">
        <f>_xll.qlCalendarAdvance(Calendar,W1118,V1119,"f",FALSE)</f>
        <v>46721</v>
      </c>
      <c r="X1119" s="203">
        <f>_xll.qlCalendarAdvance(Calendar,W1119,NDays&amp;"D")</f>
        <v>46723</v>
      </c>
      <c r="Y1119" s="204">
        <v>2.3293848623557045E-2</v>
      </c>
      <c r="Z1119" s="201">
        <v>2.3258870349147642E-2</v>
      </c>
    </row>
    <row r="1120" spans="22:26" x14ac:dyDescent="0.2">
      <c r="V1120" s="202" t="str">
        <f t="shared" si="26"/>
        <v>1w</v>
      </c>
      <c r="W1120" s="200">
        <f>_xll.qlCalendarAdvance(Calendar,W1119,V1120,"f",FALSE)</f>
        <v>46728</v>
      </c>
      <c r="X1120" s="203">
        <f>_xll.qlCalendarAdvance(Calendar,W1120,NDays&amp;"D")</f>
        <v>46730</v>
      </c>
      <c r="Y1120" s="204">
        <v>2.3299031660631575E-2</v>
      </c>
      <c r="Z1120" s="201">
        <v>2.3264202882922191E-2</v>
      </c>
    </row>
    <row r="1121" spans="22:26" x14ac:dyDescent="0.2">
      <c r="V1121" s="202" t="str">
        <f t="shared" si="26"/>
        <v>1w</v>
      </c>
      <c r="W1121" s="200">
        <f>_xll.qlCalendarAdvance(Calendar,W1120,V1121,"f",FALSE)</f>
        <v>46735</v>
      </c>
      <c r="X1121" s="203">
        <f>_xll.qlCalendarAdvance(Calendar,W1121,NDays&amp;"D")</f>
        <v>46737</v>
      </c>
      <c r="Y1121" s="204">
        <v>2.3304142354329815E-2</v>
      </c>
      <c r="Z1121" s="201">
        <v>2.3269463215971342E-2</v>
      </c>
    </row>
    <row r="1122" spans="22:26" x14ac:dyDescent="0.2">
      <c r="V1122" s="202" t="str">
        <f t="shared" si="26"/>
        <v>1w</v>
      </c>
      <c r="W1122" s="200">
        <f>_xll.qlCalendarAdvance(Calendar,W1121,V1122,"f",FALSE)</f>
        <v>46742</v>
      </c>
      <c r="X1122" s="203">
        <f>_xll.qlCalendarAdvance(Calendar,W1122,NDays&amp;"D")</f>
        <v>46744</v>
      </c>
      <c r="Y1122" s="204">
        <v>2.3309180704544352E-2</v>
      </c>
      <c r="Z1122" s="201">
        <v>2.3274651348135222E-2</v>
      </c>
    </row>
    <row r="1123" spans="22:26" x14ac:dyDescent="0.2">
      <c r="V1123" s="202" t="str">
        <f t="shared" si="26"/>
        <v>1w</v>
      </c>
      <c r="W1123" s="200">
        <f>_xll.qlCalendarAdvance(Calendar,W1122,V1123,"f",FALSE)</f>
        <v>46749</v>
      </c>
      <c r="X1123" s="203">
        <f>_xll.qlCalendarAdvance(Calendar,W1123,NDays&amp;"D")</f>
        <v>46751</v>
      </c>
      <c r="Y1123" s="204">
        <v>2.3314146711187755E-2</v>
      </c>
      <c r="Z1123" s="201">
        <v>2.327976727965364E-2</v>
      </c>
    </row>
    <row r="1124" spans="22:26" x14ac:dyDescent="0.2">
      <c r="V1124" s="202" t="str">
        <f t="shared" si="26"/>
        <v>1w</v>
      </c>
      <c r="W1124" s="200">
        <f>_xll.qlCalendarAdvance(Calendar,W1123,V1124,"f",FALSE)</f>
        <v>46756</v>
      </c>
      <c r="X1124" s="203">
        <f>_xll.qlCalendarAdvance(Calendar,W1124,NDays&amp;"D")</f>
        <v>46758</v>
      </c>
      <c r="Y1124" s="204">
        <v>2.3319040374152611E-2</v>
      </c>
      <c r="Z1124" s="201">
        <v>2.3284811010206852E-2</v>
      </c>
    </row>
    <row r="1125" spans="22:26" x14ac:dyDescent="0.2">
      <c r="V1125" s="202" t="str">
        <f t="shared" si="26"/>
        <v>1w</v>
      </c>
      <c r="W1125" s="200">
        <f>_xll.qlCalendarAdvance(Calendar,W1124,V1125,"f",FALSE)</f>
        <v>46763</v>
      </c>
      <c r="X1125" s="203">
        <f>_xll.qlCalendarAdvance(Calendar,W1125,NDays&amp;"D")</f>
        <v>46765</v>
      </c>
      <c r="Y1125" s="204">
        <v>2.3323861693356485E-2</v>
      </c>
      <c r="Z1125" s="201">
        <v>2.3289782540034665E-2</v>
      </c>
    </row>
    <row r="1126" spans="22:26" x14ac:dyDescent="0.2">
      <c r="V1126" s="202" t="str">
        <f t="shared" si="26"/>
        <v>1w</v>
      </c>
      <c r="W1126" s="200">
        <f>_xll.qlCalendarAdvance(Calendar,W1125,V1126,"f",FALSE)</f>
        <v>46770</v>
      </c>
      <c r="X1126" s="203">
        <f>_xll.qlCalendarAdvance(Calendar,W1126,NDays&amp;"D")</f>
        <v>46772</v>
      </c>
      <c r="Y1126" s="204">
        <v>2.3328610668699457E-2</v>
      </c>
      <c r="Z1126" s="201">
        <v>2.3294681869057143E-2</v>
      </c>
    </row>
    <row r="1127" spans="22:26" x14ac:dyDescent="0.2">
      <c r="V1127" s="202" t="str">
        <f t="shared" si="26"/>
        <v>1w</v>
      </c>
      <c r="W1127" s="200">
        <f>_xll.qlCalendarAdvance(Calendar,W1126,V1127,"f",FALSE)</f>
        <v>46777</v>
      </c>
      <c r="X1127" s="203">
        <f>_xll.qlCalendarAdvance(Calendar,W1127,NDays&amp;"D")</f>
        <v>46779</v>
      </c>
      <c r="Y1127" s="204">
        <v>2.3333287300094097E-2</v>
      </c>
      <c r="Z1127" s="201">
        <v>2.3299508997194351E-2</v>
      </c>
    </row>
    <row r="1128" spans="22:26" x14ac:dyDescent="0.2">
      <c r="V1128" s="202" t="str">
        <f t="shared" si="26"/>
        <v>1w</v>
      </c>
      <c r="W1128" s="200">
        <f>_xll.qlCalendarAdvance(Calendar,W1127,V1128,"f",FALSE)</f>
        <v>46784</v>
      </c>
      <c r="X1128" s="203">
        <f>_xll.qlCalendarAdvance(Calendar,W1128,NDays&amp;"D")</f>
        <v>46786</v>
      </c>
      <c r="Y1128" s="204">
        <v>2.3334654800449633E-2</v>
      </c>
      <c r="Z1128" s="201">
        <v>2.3304263924526225E-2</v>
      </c>
    </row>
    <row r="1129" spans="22:26" x14ac:dyDescent="0.2">
      <c r="V1129" s="202" t="str">
        <f t="shared" si="26"/>
        <v>1w</v>
      </c>
      <c r="W1129" s="200">
        <f>_xll.qlCalendarAdvance(Calendar,W1128,V1129,"f",FALSE)</f>
        <v>46791</v>
      </c>
      <c r="X1129" s="203">
        <f>_xll.qlCalendarAdvance(Calendar,W1129,NDays&amp;"D")</f>
        <v>46793</v>
      </c>
      <c r="Y1129" s="204">
        <v>2.3339201362552988E-2</v>
      </c>
      <c r="Z1129" s="201">
        <v>2.33089466511327E-2</v>
      </c>
    </row>
    <row r="1130" spans="22:26" x14ac:dyDescent="0.2">
      <c r="V1130" s="202" t="str">
        <f t="shared" si="26"/>
        <v>1w</v>
      </c>
      <c r="W1130" s="200">
        <f>_xll.qlCalendarAdvance(Calendar,W1129,V1130,"f",FALSE)</f>
        <v>46798</v>
      </c>
      <c r="X1130" s="203">
        <f>_xll.qlCalendarAdvance(Calendar,W1130,NDays&amp;"D")</f>
        <v>46800</v>
      </c>
      <c r="Y1130" s="204">
        <v>2.3343675594349082E-2</v>
      </c>
      <c r="Z1130" s="201">
        <v>2.3313557176853905E-2</v>
      </c>
    </row>
    <row r="1131" spans="22:26" x14ac:dyDescent="0.2">
      <c r="V1131" s="202" t="str">
        <f t="shared" si="26"/>
        <v>1w</v>
      </c>
      <c r="W1131" s="200">
        <f>_xll.qlCalendarAdvance(Calendar,W1130,V1131,"f",FALSE)</f>
        <v>46805</v>
      </c>
      <c r="X1131" s="203">
        <f>_xll.qlCalendarAdvance(Calendar,W1131,NDays&amp;"D")</f>
        <v>46807</v>
      </c>
      <c r="Y1131" s="204">
        <v>2.334807749574971E-2</v>
      </c>
      <c r="Z1131" s="201">
        <v>2.3318095501689839E-2</v>
      </c>
    </row>
    <row r="1132" spans="22:26" x14ac:dyDescent="0.2">
      <c r="V1132" s="202" t="str">
        <f t="shared" si="26"/>
        <v>1w</v>
      </c>
      <c r="W1132" s="200">
        <f>_xll.qlCalendarAdvance(Calendar,W1131,V1132,"f",FALSE)</f>
        <v>46812</v>
      </c>
      <c r="X1132" s="203">
        <f>_xll.qlCalendarAdvance(Calendar,W1132,NDays&amp;"D")</f>
        <v>46814</v>
      </c>
      <c r="Y1132" s="204">
        <v>2.3355585294709824E-2</v>
      </c>
      <c r="Z1132" s="201">
        <v>2.3322561625800375E-2</v>
      </c>
    </row>
    <row r="1133" spans="22:26" x14ac:dyDescent="0.2">
      <c r="V1133" s="202" t="str">
        <f t="shared" si="26"/>
        <v>1w</v>
      </c>
      <c r="W1133" s="200">
        <f>_xll.qlCalendarAdvance(Calendar,W1132,V1133,"f",FALSE)</f>
        <v>46819</v>
      </c>
      <c r="X1133" s="203">
        <f>_xll.qlCalendarAdvance(Calendar,W1133,NDays&amp;"D")</f>
        <v>46821</v>
      </c>
      <c r="Y1133" s="204">
        <v>2.3359827860558458E-2</v>
      </c>
      <c r="Z1133" s="201">
        <v>2.3326955548945705E-2</v>
      </c>
    </row>
    <row r="1134" spans="22:26" x14ac:dyDescent="0.2">
      <c r="V1134" s="202" t="str">
        <f t="shared" si="26"/>
        <v>1w</v>
      </c>
      <c r="W1134" s="200">
        <f>_xll.qlCalendarAdvance(Calendar,W1133,V1134,"f",FALSE)</f>
        <v>46826</v>
      </c>
      <c r="X1134" s="203">
        <f>_xll.qlCalendarAdvance(Calendar,W1134,NDays&amp;"D")</f>
        <v>46828</v>
      </c>
      <c r="Y1134" s="204">
        <v>2.336504686041559E-2</v>
      </c>
      <c r="Z1134" s="201">
        <v>2.3331277271365636E-2</v>
      </c>
    </row>
    <row r="1135" spans="22:26" x14ac:dyDescent="0.2">
      <c r="V1135" s="202" t="str">
        <f t="shared" si="26"/>
        <v>1w</v>
      </c>
      <c r="W1135" s="200">
        <f>_xll.qlCalendarAdvance(Calendar,W1134,V1135,"f",FALSE)</f>
        <v>46833</v>
      </c>
      <c r="X1135" s="203">
        <f>_xll.qlCalendarAdvance(Calendar,W1135,NDays&amp;"D")</f>
        <v>46835</v>
      </c>
      <c r="Y1135" s="204">
        <v>2.3368095958529733E-2</v>
      </c>
      <c r="Z1135" s="201">
        <v>2.3335526792900296E-2</v>
      </c>
    </row>
    <row r="1136" spans="22:26" x14ac:dyDescent="0.2">
      <c r="V1136" s="202" t="str">
        <f t="shared" si="26"/>
        <v>1w</v>
      </c>
      <c r="W1136" s="200">
        <f>_xll.qlCalendarAdvance(Calendar,W1135,V1136,"f",FALSE)</f>
        <v>46840</v>
      </c>
      <c r="X1136" s="203">
        <f>_xll.qlCalendarAdvance(Calendar,W1136,NDays&amp;"D")</f>
        <v>46842</v>
      </c>
      <c r="Y1136" s="204">
        <v>2.3369002044295976E-2</v>
      </c>
      <c r="Z1136" s="201">
        <v>2.3339704113629622E-2</v>
      </c>
    </row>
    <row r="1137" spans="22:26" x14ac:dyDescent="0.2">
      <c r="V1137" s="202" t="str">
        <f t="shared" si="26"/>
        <v>1w</v>
      </c>
      <c r="W1137" s="200">
        <f>_xll.qlCalendarAdvance(Calendar,W1136,V1137,"f",FALSE)</f>
        <v>46847</v>
      </c>
      <c r="X1137" s="203">
        <f>_xll.qlCalendarAdvance(Calendar,W1137,NDays&amp;"D")</f>
        <v>46849</v>
      </c>
      <c r="Y1137" s="204">
        <v>2.3376074677655123E-2</v>
      </c>
      <c r="Z1137" s="201">
        <v>2.3343809233473678E-2</v>
      </c>
    </row>
    <row r="1138" spans="22:26" x14ac:dyDescent="0.2">
      <c r="V1138" s="202" t="str">
        <f t="shared" si="26"/>
        <v>1w</v>
      </c>
      <c r="W1138" s="200">
        <f>_xll.qlCalendarAdvance(Calendar,W1137,V1138,"f",FALSE)</f>
        <v>46854</v>
      </c>
      <c r="X1138" s="203">
        <f>_xll.qlCalendarAdvance(Calendar,W1138,NDays&amp;"D")</f>
        <v>46856</v>
      </c>
      <c r="Y1138" s="204">
        <v>2.3379955519962636E-2</v>
      </c>
      <c r="Z1138" s="201">
        <v>2.3352008625822762E-2</v>
      </c>
    </row>
    <row r="1139" spans="22:26" x14ac:dyDescent="0.2">
      <c r="V1139" s="202" t="str">
        <f t="shared" si="26"/>
        <v>1w</v>
      </c>
      <c r="W1139" s="200">
        <f>_xll.qlCalendarAdvance(Calendar,W1138,V1139,"f",FALSE)</f>
        <v>46861</v>
      </c>
      <c r="X1139" s="203">
        <f>_xll.qlCalendarAdvance(Calendar,W1139,NDays&amp;"D")</f>
        <v>46863</v>
      </c>
      <c r="Y1139" s="204">
        <v>2.3383764017330111E-2</v>
      </c>
      <c r="Z1139" s="201">
        <v>2.335180287066585E-2</v>
      </c>
    </row>
    <row r="1140" spans="22:26" x14ac:dyDescent="0.2">
      <c r="V1140" s="202" t="str">
        <f t="shared" si="26"/>
        <v>1w</v>
      </c>
      <c r="W1140" s="200">
        <f>_xll.qlCalendarAdvance(Calendar,W1139,V1140,"f",FALSE)</f>
        <v>46868</v>
      </c>
      <c r="X1140" s="203">
        <f>_xll.qlCalendarAdvance(Calendar,W1140,NDays&amp;"D")</f>
        <v>46870</v>
      </c>
      <c r="Y1140" s="204">
        <v>2.3387500169685105E-2</v>
      </c>
      <c r="Z1140" s="201">
        <v>2.3355691388013966E-2</v>
      </c>
    </row>
    <row r="1141" spans="22:26" x14ac:dyDescent="0.2">
      <c r="V1141" s="202" t="str">
        <f t="shared" si="26"/>
        <v>1w</v>
      </c>
      <c r="W1141" s="200">
        <f>_xll.qlCalendarAdvance(Calendar,W1140,V1141,"f",FALSE)</f>
        <v>46875</v>
      </c>
      <c r="X1141" s="203">
        <f>_xll.qlCalendarAdvance(Calendar,W1141,NDays&amp;"D")</f>
        <v>46877</v>
      </c>
      <c r="Y1141" s="204">
        <v>2.3391163976957674E-2</v>
      </c>
      <c r="Z1141" s="201">
        <v>2.3359507704476812E-2</v>
      </c>
    </row>
    <row r="1142" spans="22:26" x14ac:dyDescent="0.2">
      <c r="V1142" s="202" t="str">
        <f t="shared" si="26"/>
        <v>1w</v>
      </c>
      <c r="W1142" s="200">
        <f>_xll.qlCalendarAdvance(Calendar,W1141,V1142,"f",FALSE)</f>
        <v>46882</v>
      </c>
      <c r="X1142" s="203">
        <f>_xll.qlCalendarAdvance(Calendar,W1142,NDays&amp;"D")</f>
        <v>46884</v>
      </c>
      <c r="Y1142" s="204">
        <v>2.3394755439075376E-2</v>
      </c>
      <c r="Z1142" s="201">
        <v>2.3363251820054387E-2</v>
      </c>
    </row>
    <row r="1143" spans="22:26" x14ac:dyDescent="0.2">
      <c r="V1143" s="202" t="str">
        <f t="shared" si="26"/>
        <v>1w</v>
      </c>
      <c r="W1143" s="200">
        <f>_xll.qlCalendarAdvance(Calendar,W1142,V1143,"f",FALSE)</f>
        <v>46889</v>
      </c>
      <c r="X1143" s="203">
        <f>_xll.qlCalendarAdvance(Calendar,W1143,NDays&amp;"D")</f>
        <v>46891</v>
      </c>
      <c r="Y1143" s="204">
        <v>2.3398274555968268E-2</v>
      </c>
      <c r="Z1143" s="201">
        <v>2.3366923734746692E-2</v>
      </c>
    </row>
    <row r="1144" spans="22:26" x14ac:dyDescent="0.2">
      <c r="V1144" s="202" t="str">
        <f t="shared" si="26"/>
        <v>1w</v>
      </c>
      <c r="W1144" s="200">
        <f>_xll.qlCalendarAdvance(Calendar,W1143,V1144,"f",FALSE)</f>
        <v>46896</v>
      </c>
      <c r="X1144" s="203">
        <f>_xll.qlCalendarAdvance(Calendar,W1144,NDays&amp;"D")</f>
        <v>46898</v>
      </c>
      <c r="Y1144" s="204">
        <v>2.3401721327571401E-2</v>
      </c>
      <c r="Z1144" s="201">
        <v>2.3370523448633662E-2</v>
      </c>
    </row>
    <row r="1145" spans="22:26" x14ac:dyDescent="0.2">
      <c r="V1145" s="202" t="str">
        <f t="shared" si="26"/>
        <v>1w</v>
      </c>
      <c r="W1145" s="200">
        <f>_xll.qlCalendarAdvance(Calendar,W1144,V1145,"f",FALSE)</f>
        <v>46903</v>
      </c>
      <c r="X1145" s="203">
        <f>_xll.qlCalendarAdvance(Calendar,W1145,NDays&amp;"D")</f>
        <v>46905</v>
      </c>
      <c r="Y1145" s="204">
        <v>2.3405095753814831E-2</v>
      </c>
      <c r="Z1145" s="201">
        <v>2.3374050961715298E-2</v>
      </c>
    </row>
    <row r="1146" spans="22:26" x14ac:dyDescent="0.2">
      <c r="V1146" s="202" t="str">
        <f t="shared" si="26"/>
        <v>1w</v>
      </c>
      <c r="W1146" s="200">
        <f>_xll.qlCalendarAdvance(Calendar,W1145,V1146,"f",FALSE)</f>
        <v>46910</v>
      </c>
      <c r="X1146" s="203">
        <f>_xll.qlCalendarAdvance(Calendar,W1146,NDays&amp;"D")</f>
        <v>46912</v>
      </c>
      <c r="Y1146" s="204">
        <v>2.3408397834636108E-2</v>
      </c>
      <c r="Z1146" s="201">
        <v>2.3377506273831727E-2</v>
      </c>
    </row>
    <row r="1147" spans="22:26" x14ac:dyDescent="0.2">
      <c r="V1147" s="202" t="str">
        <f t="shared" si="26"/>
        <v>1w</v>
      </c>
      <c r="W1147" s="200">
        <f>_xll.qlCalendarAdvance(Calendar,W1146,V1147,"f",FALSE)</f>
        <v>46917</v>
      </c>
      <c r="X1147" s="203">
        <f>_xll.qlCalendarAdvance(Calendar,W1147,NDays&amp;"D")</f>
        <v>46919</v>
      </c>
      <c r="Y1147" s="204">
        <v>2.3411627569972782E-2</v>
      </c>
      <c r="Z1147" s="201">
        <v>2.3380889385142822E-2</v>
      </c>
    </row>
    <row r="1148" spans="22:26" x14ac:dyDescent="0.2">
      <c r="V1148" s="202" t="str">
        <f t="shared" si="26"/>
        <v>1w</v>
      </c>
      <c r="W1148" s="200">
        <f>_xll.qlCalendarAdvance(Calendar,W1147,V1148,"f",FALSE)</f>
        <v>46924</v>
      </c>
      <c r="X1148" s="203">
        <f>_xll.qlCalendarAdvance(Calendar,W1148,NDays&amp;"D")</f>
        <v>46926</v>
      </c>
      <c r="Y1148" s="204">
        <v>2.3414784959759904E-2</v>
      </c>
      <c r="Z1148" s="201">
        <v>2.3384200295568647E-2</v>
      </c>
    </row>
    <row r="1149" spans="22:26" x14ac:dyDescent="0.2">
      <c r="V1149" s="202" t="str">
        <f t="shared" si="26"/>
        <v>1w</v>
      </c>
      <c r="W1149" s="200">
        <f>_xll.qlCalendarAdvance(Calendar,W1148,V1149,"f",FALSE)</f>
        <v>46931</v>
      </c>
      <c r="X1149" s="203">
        <f>_xll.qlCalendarAdvance(Calendar,W1149,NDays&amp;"D")</f>
        <v>46933</v>
      </c>
      <c r="Y1149" s="204">
        <v>2.3417870003937524E-2</v>
      </c>
      <c r="Z1149" s="201">
        <v>2.3387439005189137E-2</v>
      </c>
    </row>
    <row r="1150" spans="22:26" x14ac:dyDescent="0.2">
      <c r="V1150" s="202" t="str">
        <f t="shared" si="26"/>
        <v>1w</v>
      </c>
      <c r="W1150" s="200">
        <f>_xll.qlCalendarAdvance(Calendar,W1149,V1150,"f",FALSE)</f>
        <v>46938</v>
      </c>
      <c r="X1150" s="203">
        <f>_xll.qlCalendarAdvance(Calendar,W1150,NDays&amp;"D")</f>
        <v>46940</v>
      </c>
      <c r="Y1150" s="204">
        <v>2.3420882702448187E-2</v>
      </c>
      <c r="Z1150" s="201">
        <v>2.339060551384442E-2</v>
      </c>
    </row>
    <row r="1151" spans="22:26" x14ac:dyDescent="0.2">
      <c r="V1151" s="202" t="str">
        <f t="shared" si="26"/>
        <v>1w</v>
      </c>
      <c r="W1151" s="200">
        <f>_xll.qlCalendarAdvance(Calendar,W1150,V1151,"f",FALSE)</f>
        <v>46945</v>
      </c>
      <c r="X1151" s="203">
        <f>_xll.qlCalendarAdvance(Calendar,W1151,NDays&amp;"D")</f>
        <v>46947</v>
      </c>
      <c r="Y1151" s="204">
        <v>2.342382305523194E-2</v>
      </c>
      <c r="Z1151" s="201">
        <v>2.3393699821694369E-2</v>
      </c>
    </row>
    <row r="1152" spans="22:26" x14ac:dyDescent="0.2">
      <c r="V1152" s="202" t="str">
        <f t="shared" si="26"/>
        <v>1w</v>
      </c>
      <c r="W1152" s="200">
        <f>_xll.qlCalendarAdvance(Calendar,W1151,V1152,"f",FALSE)</f>
        <v>46952</v>
      </c>
      <c r="X1152" s="203">
        <f>_xll.qlCalendarAdvance(Calendar,W1152,NDays&amp;"D")</f>
        <v>46954</v>
      </c>
      <c r="Y1152" s="204">
        <v>2.3426691062231331E-2</v>
      </c>
      <c r="Z1152" s="201">
        <v>2.3396721928579112E-2</v>
      </c>
    </row>
    <row r="1153" spans="22:26" x14ac:dyDescent="0.2">
      <c r="V1153" s="202" t="str">
        <f t="shared" si="26"/>
        <v>1w</v>
      </c>
      <c r="W1153" s="200">
        <f>_xll.qlCalendarAdvance(Calendar,W1152,V1153,"f",FALSE)</f>
        <v>46959</v>
      </c>
      <c r="X1153" s="203">
        <f>_xll.qlCalendarAdvance(Calendar,W1153,NDays&amp;"D")</f>
        <v>46961</v>
      </c>
      <c r="Y1153" s="204">
        <v>2.3429486723391402E-2</v>
      </c>
      <c r="Z1153" s="201">
        <v>2.339967183465852E-2</v>
      </c>
    </row>
    <row r="1154" spans="22:26" x14ac:dyDescent="0.2">
      <c r="V1154" s="202" t="str">
        <f t="shared" si="26"/>
        <v>1w</v>
      </c>
      <c r="W1154" s="200">
        <f>_xll.qlCalendarAdvance(Calendar,W1153,V1154,"f",FALSE)</f>
        <v>46966</v>
      </c>
      <c r="X1154" s="203">
        <f>_xll.qlCalendarAdvance(Calendar,W1154,NDays&amp;"D")</f>
        <v>46968</v>
      </c>
      <c r="Y1154" s="204">
        <v>2.3432210038662193E-2</v>
      </c>
      <c r="Z1154" s="201">
        <v>2.3402549539852657E-2</v>
      </c>
    </row>
    <row r="1155" spans="22:26" x14ac:dyDescent="0.2">
      <c r="V1155" s="202" t="str">
        <f t="shared" si="26"/>
        <v>1w</v>
      </c>
      <c r="W1155" s="200">
        <f>_xll.qlCalendarAdvance(Calendar,W1154,V1155,"f",FALSE)</f>
        <v>46973</v>
      </c>
      <c r="X1155" s="203">
        <f>_xll.qlCalendarAdvance(Calendar,W1155,NDays&amp;"D")</f>
        <v>46975</v>
      </c>
      <c r="Y1155" s="204">
        <v>2.3434861007986252E-2</v>
      </c>
      <c r="Z1155" s="201">
        <v>2.3405355044161524E-2</v>
      </c>
    </row>
    <row r="1156" spans="22:26" x14ac:dyDescent="0.2">
      <c r="V1156" s="202" t="str">
        <f t="shared" si="26"/>
        <v>1w</v>
      </c>
      <c r="W1156" s="200">
        <f>_xll.qlCalendarAdvance(Calendar,W1155,V1156,"f",FALSE)</f>
        <v>46980</v>
      </c>
      <c r="X1156" s="203">
        <f>_xll.qlCalendarAdvance(Calendar,W1156,NDays&amp;"D")</f>
        <v>46982</v>
      </c>
      <c r="Y1156" s="204">
        <v>2.3437439631316115E-2</v>
      </c>
      <c r="Z1156" s="201">
        <v>2.3408088347585121E-2</v>
      </c>
    </row>
    <row r="1157" spans="22:26" x14ac:dyDescent="0.2">
      <c r="V1157" s="202" t="str">
        <f t="shared" si="26"/>
        <v>1w</v>
      </c>
      <c r="W1157" s="200">
        <f>_xll.qlCalendarAdvance(Calendar,W1156,V1157,"f",FALSE)</f>
        <v>46987</v>
      </c>
      <c r="X1157" s="203">
        <f>_xll.qlCalendarAdvance(Calendar,W1157,NDays&amp;"D")</f>
        <v>46989</v>
      </c>
      <c r="Y1157" s="204">
        <v>2.3439945908599324E-2</v>
      </c>
      <c r="Z1157" s="201">
        <v>2.3410749450043511E-2</v>
      </c>
    </row>
    <row r="1158" spans="22:26" x14ac:dyDescent="0.2">
      <c r="V1158" s="202" t="str">
        <f t="shared" si="26"/>
        <v>1w</v>
      </c>
      <c r="W1158" s="200">
        <f>_xll.qlCalendarAdvance(Calendar,W1157,V1158,"f",FALSE)</f>
        <v>46994</v>
      </c>
      <c r="X1158" s="203">
        <f>_xll.qlCalendarAdvance(Calendar,W1158,NDays&amp;"D")</f>
        <v>46996</v>
      </c>
      <c r="Y1158" s="204">
        <v>2.343958769598372E-2</v>
      </c>
      <c r="Z1158" s="201">
        <v>2.3413338351776503E-2</v>
      </c>
    </row>
    <row r="1159" spans="22:26" x14ac:dyDescent="0.2">
      <c r="V1159" s="202" t="str">
        <f t="shared" si="26"/>
        <v>1w</v>
      </c>
      <c r="W1159" s="200">
        <f>_xll.qlCalendarAdvance(Calendar,W1158,V1159,"f",FALSE)</f>
        <v>47001</v>
      </c>
      <c r="X1159" s="203">
        <f>_xll.qlCalendarAdvance(Calendar,W1159,NDays&amp;"D")</f>
        <v>47003</v>
      </c>
      <c r="Y1159" s="204">
        <v>2.3444741424838433E-2</v>
      </c>
      <c r="Z1159" s="201">
        <v>2.3415855052464352E-2</v>
      </c>
    </row>
    <row r="1160" spans="22:26" x14ac:dyDescent="0.2">
      <c r="V1160" s="202" t="str">
        <f t="shared" si="26"/>
        <v>1w</v>
      </c>
      <c r="W1160" s="200">
        <f>_xll.qlCalendarAdvance(Calendar,W1159,V1160,"f",FALSE)</f>
        <v>47008</v>
      </c>
      <c r="X1160" s="203">
        <f>_xll.qlCalendarAdvance(Calendar,W1160,NDays&amp;"D")</f>
        <v>47010</v>
      </c>
      <c r="Y1160" s="204">
        <v>2.3447030663701907E-2</v>
      </c>
      <c r="Z1160" s="201">
        <v>2.3418299552346866E-2</v>
      </c>
    </row>
    <row r="1161" spans="22:26" x14ac:dyDescent="0.2">
      <c r="V1161" s="202" t="str">
        <f t="shared" si="26"/>
        <v>1w</v>
      </c>
      <c r="W1161" s="200">
        <f>_xll.qlCalendarAdvance(Calendar,W1160,V1161,"f",FALSE)</f>
        <v>47015</v>
      </c>
      <c r="X1161" s="203">
        <f>_xll.qlCalendarAdvance(Calendar,W1161,NDays&amp;"D")</f>
        <v>47017</v>
      </c>
      <c r="Y1161" s="204">
        <v>2.3449247556336372E-2</v>
      </c>
      <c r="Z1161" s="201">
        <v>2.342067185134411E-2</v>
      </c>
    </row>
    <row r="1162" spans="22:26" x14ac:dyDescent="0.2">
      <c r="V1162" s="202" t="str">
        <f t="shared" si="26"/>
        <v>1w</v>
      </c>
      <c r="W1162" s="200">
        <f>_xll.qlCalendarAdvance(Calendar,W1161,V1162,"f",FALSE)</f>
        <v>47022</v>
      </c>
      <c r="X1162" s="203">
        <f>_xll.qlCalendarAdvance(Calendar,W1162,NDays&amp;"D")</f>
        <v>47024</v>
      </c>
      <c r="Y1162" s="204">
        <v>2.3451392102694368E-2</v>
      </c>
      <c r="Z1162" s="201">
        <v>2.3422971949376148E-2</v>
      </c>
    </row>
    <row r="1163" spans="22:26" x14ac:dyDescent="0.2">
      <c r="V1163" s="202" t="str">
        <f t="shared" si="26"/>
        <v>1w</v>
      </c>
      <c r="W1163" s="200">
        <f>_xll.qlCalendarAdvance(Calendar,W1162,V1163,"f",FALSE)</f>
        <v>47029</v>
      </c>
      <c r="X1163" s="203">
        <f>_xll.qlCalendarAdvance(Calendar,W1163,NDays&amp;"D")</f>
        <v>47031</v>
      </c>
      <c r="Y1163" s="204">
        <v>2.3453464302743421E-2</v>
      </c>
      <c r="Z1163" s="201">
        <v>2.3425199846602851E-2</v>
      </c>
    </row>
    <row r="1164" spans="22:26" x14ac:dyDescent="0.2">
      <c r="V1164" s="202" t="str">
        <f t="shared" si="26"/>
        <v>1w</v>
      </c>
      <c r="W1164" s="200">
        <f>_xll.qlCalendarAdvance(Calendar,W1163,V1164,"f",FALSE)</f>
        <v>47036</v>
      </c>
      <c r="X1164" s="203">
        <f>_xll.qlCalendarAdvance(Calendar,W1164,NDays&amp;"D")</f>
        <v>47038</v>
      </c>
      <c r="Y1164" s="204">
        <v>2.3455464156436068E-2</v>
      </c>
      <c r="Z1164" s="201">
        <v>2.3427355542864348E-2</v>
      </c>
    </row>
    <row r="1165" spans="22:26" x14ac:dyDescent="0.2">
      <c r="V1165" s="202" t="str">
        <f t="shared" si="26"/>
        <v>1w</v>
      </c>
      <c r="W1165" s="200">
        <f>_xll.qlCalendarAdvance(Calendar,W1164,V1165,"f",FALSE)</f>
        <v>47043</v>
      </c>
      <c r="X1165" s="203">
        <f>_xll.qlCalendarAdvance(Calendar,W1165,NDays&amp;"D")</f>
        <v>47045</v>
      </c>
      <c r="Y1165" s="204">
        <v>2.3457391663734839E-2</v>
      </c>
      <c r="Z1165" s="201">
        <v>2.3429439038240574E-2</v>
      </c>
    </row>
    <row r="1166" spans="22:26" x14ac:dyDescent="0.2">
      <c r="V1166" s="202" t="str">
        <f t="shared" si="26"/>
        <v>1w</v>
      </c>
      <c r="W1166" s="200">
        <f>_xll.qlCalendarAdvance(Calendar,W1165,V1166,"f",FALSE)</f>
        <v>47050</v>
      </c>
      <c r="X1166" s="203">
        <f>_xll.qlCalendarAdvance(Calendar,W1166,NDays&amp;"D")</f>
        <v>47052</v>
      </c>
      <c r="Y1166" s="204">
        <v>2.3459246824607261E-2</v>
      </c>
      <c r="Z1166" s="201">
        <v>2.3431450332811465E-2</v>
      </c>
    </row>
    <row r="1167" spans="22:26" x14ac:dyDescent="0.2">
      <c r="V1167" s="202" t="str">
        <f t="shared" si="26"/>
        <v>1w</v>
      </c>
      <c r="W1167" s="200">
        <f>_xll.qlCalendarAdvance(Calendar,W1166,V1167,"f",FALSE)</f>
        <v>47057</v>
      </c>
      <c r="X1167" s="203">
        <f>_xll.qlCalendarAdvance(Calendar,W1167,NDays&amp;"D")</f>
        <v>47059</v>
      </c>
      <c r="Y1167" s="204">
        <v>2.3461029639013364E-2</v>
      </c>
      <c r="Z1167" s="201">
        <v>2.3433389426417151E-2</v>
      </c>
    </row>
    <row r="1168" spans="22:26" x14ac:dyDescent="0.2">
      <c r="V1168" s="202" t="str">
        <f t="shared" si="26"/>
        <v>1w</v>
      </c>
      <c r="W1168" s="200">
        <f>_xll.qlCalendarAdvance(Calendar,W1167,V1168,"f",FALSE)</f>
        <v>47064</v>
      </c>
      <c r="X1168" s="203">
        <f>_xll.qlCalendarAdvance(Calendar,W1168,NDays&amp;"D")</f>
        <v>47066</v>
      </c>
      <c r="Y1168" s="204">
        <v>2.3462740106918178E-2</v>
      </c>
      <c r="Z1168" s="201">
        <v>2.3435256319137565E-2</v>
      </c>
    </row>
    <row r="1169" spans="22:26" x14ac:dyDescent="0.2">
      <c r="V1169" s="202" t="str">
        <f t="shared" si="26"/>
        <v>1w</v>
      </c>
      <c r="W1169" s="200">
        <f>_xll.qlCalendarAdvance(Calendar,W1168,V1169,"f",FALSE)</f>
        <v>47071</v>
      </c>
      <c r="X1169" s="203">
        <f>_xll.qlCalendarAdvance(Calendar,W1169,NDays&amp;"D")</f>
        <v>47073</v>
      </c>
      <c r="Y1169" s="204">
        <v>2.3464378228294225E-2</v>
      </c>
      <c r="Z1169" s="201">
        <v>2.3437051010892773E-2</v>
      </c>
    </row>
    <row r="1170" spans="22:26" x14ac:dyDescent="0.2">
      <c r="V1170" s="202" t="str">
        <f t="shared" si="26"/>
        <v>1w</v>
      </c>
      <c r="W1170" s="200">
        <f>_xll.qlCalendarAdvance(Calendar,W1169,V1170,"f",FALSE)</f>
        <v>47078</v>
      </c>
      <c r="X1170" s="203">
        <f>_xll.qlCalendarAdvance(Calendar,W1170,NDays&amp;"D")</f>
        <v>47080</v>
      </c>
      <c r="Y1170" s="204">
        <v>2.346768227489569E-2</v>
      </c>
      <c r="Z1170" s="201">
        <v>2.3438773501842647E-2</v>
      </c>
    </row>
    <row r="1171" spans="22:26" x14ac:dyDescent="0.2">
      <c r="V1171" s="202" t="str">
        <f t="shared" si="26"/>
        <v>1w</v>
      </c>
      <c r="W1171" s="200">
        <f>_xll.qlCalendarAdvance(Calendar,W1170,V1171,"f",FALSE)</f>
        <v>47085</v>
      </c>
      <c r="X1171" s="203">
        <f>_xll.qlCalendarAdvance(Calendar,W1171,NDays&amp;"D")</f>
        <v>47087</v>
      </c>
      <c r="Y1171" s="204">
        <v>2.3464841892552161E-2</v>
      </c>
      <c r="Z1171" s="201">
        <v>2.3440423791827314E-2</v>
      </c>
    </row>
    <row r="1172" spans="22:26" x14ac:dyDescent="0.2">
      <c r="V1172" s="202" t="str">
        <f t="shared" si="26"/>
        <v>1w</v>
      </c>
      <c r="W1172" s="200">
        <f>_xll.qlCalendarAdvance(Calendar,W1171,V1172,"f",FALSE)</f>
        <v>47092</v>
      </c>
      <c r="X1172" s="203">
        <f>_xll.qlCalendarAdvance(Calendar,W1172,NDays&amp;"D")</f>
        <v>47094</v>
      </c>
      <c r="Y1172" s="204">
        <v>2.3468858512912527E-2</v>
      </c>
      <c r="Z1172" s="201">
        <v>2.3442001880926711E-2</v>
      </c>
    </row>
    <row r="1173" spans="22:26" x14ac:dyDescent="0.2">
      <c r="V1173" s="202" t="str">
        <f t="shared" ref="V1173:V1236" si="27">V1172</f>
        <v>1w</v>
      </c>
      <c r="W1173" s="200">
        <f>_xll.qlCalendarAdvance(Calendar,W1172,V1173,"f",FALSE)</f>
        <v>47099</v>
      </c>
      <c r="X1173" s="203">
        <f>_xll.qlCalendarAdvance(Calendar,W1173,NDays&amp;"D")</f>
        <v>47101</v>
      </c>
      <c r="Y1173" s="204">
        <v>2.3470207247856256E-2</v>
      </c>
      <c r="Z1173" s="201">
        <v>2.3443507769060901E-2</v>
      </c>
    </row>
    <row r="1174" spans="22:26" x14ac:dyDescent="0.2">
      <c r="V1174" s="202" t="str">
        <f t="shared" si="27"/>
        <v>1w</v>
      </c>
      <c r="W1174" s="200">
        <f>_xll.qlCalendarAdvance(Calendar,W1173,V1174,"f",FALSE)</f>
        <v>47106</v>
      </c>
      <c r="X1174" s="203">
        <f>_xll.qlCalendarAdvance(Calendar,W1174,NDays&amp;"D")</f>
        <v>47108</v>
      </c>
      <c r="Y1174" s="204">
        <v>2.3471483636121337E-2</v>
      </c>
      <c r="Z1174" s="201">
        <v>2.3444941456389756E-2</v>
      </c>
    </row>
    <row r="1175" spans="22:26" x14ac:dyDescent="0.2">
      <c r="V1175" s="202" t="str">
        <f t="shared" si="27"/>
        <v>1w</v>
      </c>
      <c r="W1175" s="200">
        <f>_xll.qlCalendarAdvance(Calendar,W1174,V1175,"f",FALSE)</f>
        <v>47114</v>
      </c>
      <c r="X1175" s="203">
        <f>_xll.qlCalendarAdvance(Calendar,W1175,NDays&amp;"D")</f>
        <v>47116</v>
      </c>
      <c r="Y1175" s="204">
        <v>2.3473697008297864E-2</v>
      </c>
      <c r="Z1175" s="201">
        <v>2.3449061498157509E-2</v>
      </c>
    </row>
    <row r="1176" spans="22:26" x14ac:dyDescent="0.2">
      <c r="V1176" s="202" t="str">
        <f t="shared" si="27"/>
        <v>1w</v>
      </c>
      <c r="W1176" s="200">
        <f>_xll.qlCalendarAdvance(Calendar,W1175,V1176,"f",FALSE)</f>
        <v>47121</v>
      </c>
      <c r="X1176" s="203">
        <f>_xll.qlCalendarAdvance(Calendar,W1176,NDays&amp;"D")</f>
        <v>47123</v>
      </c>
      <c r="Y1176" s="204">
        <v>2.3473136552402525E-2</v>
      </c>
      <c r="Z1176" s="201">
        <v>2.3449474115544433E-2</v>
      </c>
    </row>
    <row r="1177" spans="22:26" x14ac:dyDescent="0.2">
      <c r="V1177" s="202" t="str">
        <f t="shared" si="27"/>
        <v>1w</v>
      </c>
      <c r="W1177" s="200">
        <f>_xll.qlCalendarAdvance(Calendar,W1176,V1177,"f",FALSE)</f>
        <v>47128</v>
      </c>
      <c r="X1177" s="203">
        <f>_xll.qlCalendarAdvance(Calendar,W1177,NDays&amp;"D")</f>
        <v>47130</v>
      </c>
      <c r="Y1177" s="204">
        <v>2.3474190664209398E-2</v>
      </c>
      <c r="Z1177" s="201">
        <v>2.3450670727154233E-2</v>
      </c>
    </row>
    <row r="1178" spans="22:26" x14ac:dyDescent="0.2">
      <c r="V1178" s="202" t="str">
        <f t="shared" si="27"/>
        <v>1w</v>
      </c>
      <c r="W1178" s="200">
        <f>_xll.qlCalendarAdvance(Calendar,W1177,V1178,"f",FALSE)</f>
        <v>47135</v>
      </c>
      <c r="X1178" s="203">
        <f>_xll.qlCalendarAdvance(Calendar,W1178,NDays&amp;"D")</f>
        <v>47137</v>
      </c>
      <c r="Y1178" s="204">
        <v>2.3475172433958767E-2</v>
      </c>
      <c r="Z1178" s="201">
        <v>2.3451795128472952E-2</v>
      </c>
    </row>
    <row r="1179" spans="22:26" x14ac:dyDescent="0.2">
      <c r="V1179" s="202" t="str">
        <f t="shared" si="27"/>
        <v>1w</v>
      </c>
      <c r="W1179" s="200">
        <f>_xll.qlCalendarAdvance(Calendar,W1178,V1179,"f",FALSE)</f>
        <v>47142</v>
      </c>
      <c r="X1179" s="203">
        <f>_xll.qlCalendarAdvance(Calendar,W1179,NDays&amp;"D")</f>
        <v>47144</v>
      </c>
      <c r="Y1179" s="204">
        <v>2.3476081861627422E-2</v>
      </c>
      <c r="Z1179" s="201">
        <v>2.3452847319420655E-2</v>
      </c>
    </row>
    <row r="1180" spans="22:26" x14ac:dyDescent="0.2">
      <c r="V1180" s="202" t="str">
        <f t="shared" si="27"/>
        <v>1w</v>
      </c>
      <c r="W1180" s="200">
        <f>_xll.qlCalendarAdvance(Calendar,W1179,V1180,"f",FALSE)</f>
        <v>47149</v>
      </c>
      <c r="X1180" s="203">
        <f>_xll.qlCalendarAdvance(Calendar,W1180,NDays&amp;"D")</f>
        <v>47151</v>
      </c>
      <c r="Y1180" s="204">
        <v>2.3474461753410898E-2</v>
      </c>
      <c r="Z1180" s="201">
        <v>2.3453827300103924E-2</v>
      </c>
    </row>
    <row r="1181" spans="22:26" x14ac:dyDescent="0.2">
      <c r="V1181" s="202" t="str">
        <f t="shared" si="27"/>
        <v>1w</v>
      </c>
      <c r="W1181" s="200">
        <f>_xll.qlCalendarAdvance(Calendar,W1180,V1181,"f",FALSE)</f>
        <v>47156</v>
      </c>
      <c r="X1181" s="203">
        <f>_xll.qlCalendarAdvance(Calendar,W1181,NDays&amp;"D")</f>
        <v>47158</v>
      </c>
      <c r="Y1181" s="204">
        <v>2.3475241846278343E-2</v>
      </c>
      <c r="Z1181" s="201">
        <v>2.3454735070442823E-2</v>
      </c>
    </row>
    <row r="1182" spans="22:26" x14ac:dyDescent="0.2">
      <c r="V1182" s="202" t="str">
        <f t="shared" si="27"/>
        <v>1w</v>
      </c>
      <c r="W1182" s="200">
        <f>_xll.qlCalendarAdvance(Calendar,W1181,V1182,"f",FALSE)</f>
        <v>47163</v>
      </c>
      <c r="X1182" s="203">
        <f>_xll.qlCalendarAdvance(Calendar,W1182,NDays&amp;"D")</f>
        <v>47165</v>
      </c>
      <c r="Y1182" s="204">
        <v>2.3475949611162186E-2</v>
      </c>
      <c r="Z1182" s="201">
        <v>2.3455570630490641E-2</v>
      </c>
    </row>
    <row r="1183" spans="22:26" x14ac:dyDescent="0.2">
      <c r="V1183" s="202" t="str">
        <f t="shared" si="27"/>
        <v>1w</v>
      </c>
      <c r="W1183" s="200">
        <f>_xll.qlCalendarAdvance(Calendar,W1182,V1183,"f",FALSE)</f>
        <v>47170</v>
      </c>
      <c r="X1183" s="203">
        <f>_xll.qlCalendarAdvance(Calendar,W1183,NDays&amp;"D")</f>
        <v>47172</v>
      </c>
      <c r="Y1183" s="204">
        <v>2.3476585048048153E-2</v>
      </c>
      <c r="Z1183" s="201">
        <v>2.3456333980220734E-2</v>
      </c>
    </row>
    <row r="1184" spans="22:26" x14ac:dyDescent="0.2">
      <c r="V1184" s="202" t="str">
        <f t="shared" si="27"/>
        <v>1w</v>
      </c>
      <c r="W1184" s="200">
        <f>_xll.qlCalendarAdvance(Calendar,W1183,V1184,"f",FALSE)</f>
        <v>47177</v>
      </c>
      <c r="X1184" s="203">
        <f>_xll.qlCalendarAdvance(Calendar,W1184,NDays&amp;"D")</f>
        <v>47179</v>
      </c>
      <c r="Y1184" s="204">
        <v>2.3480341529640014E-2</v>
      </c>
      <c r="Z1184" s="201">
        <v>2.3457025119606456E-2</v>
      </c>
    </row>
    <row r="1185" spans="22:26" x14ac:dyDescent="0.2">
      <c r="V1185" s="202" t="str">
        <f t="shared" si="27"/>
        <v>1w</v>
      </c>
      <c r="W1185" s="200">
        <f>_xll.qlCalendarAdvance(Calendar,W1184,V1185,"f",FALSE)</f>
        <v>47184</v>
      </c>
      <c r="X1185" s="203">
        <f>_xll.qlCalendarAdvance(Calendar,W1185,NDays&amp;"D")</f>
        <v>47186</v>
      </c>
      <c r="Y1185" s="204">
        <v>2.3480019243199174E-2</v>
      </c>
      <c r="Z1185" s="201">
        <v>2.3457644048674453E-2</v>
      </c>
    </row>
    <row r="1186" spans="22:26" x14ac:dyDescent="0.2">
      <c r="V1186" s="202" t="str">
        <f t="shared" si="27"/>
        <v>1w</v>
      </c>
      <c r="W1186" s="200">
        <f>_xll.qlCalendarAdvance(Calendar,W1185,V1186,"f",FALSE)</f>
        <v>47191</v>
      </c>
      <c r="X1186" s="203">
        <f>_xll.qlCalendarAdvance(Calendar,W1186,NDays&amp;"D")</f>
        <v>47193</v>
      </c>
      <c r="Y1186" s="204">
        <v>2.3480422275936681E-2</v>
      </c>
      <c r="Z1186" s="201">
        <v>2.345819076745137E-2</v>
      </c>
    </row>
    <row r="1187" spans="22:26" x14ac:dyDescent="0.2">
      <c r="V1187" s="202" t="str">
        <f t="shared" si="27"/>
        <v>1w</v>
      </c>
      <c r="W1187" s="200">
        <f>_xll.qlCalendarAdvance(Calendar,W1186,V1187,"f",FALSE)</f>
        <v>47198</v>
      </c>
      <c r="X1187" s="203">
        <f>_xll.qlCalendarAdvance(Calendar,W1187,NDays&amp;"D")</f>
        <v>47200</v>
      </c>
      <c r="Y1187" s="204">
        <v>2.3480752966500644E-2</v>
      </c>
      <c r="Z1187" s="201">
        <v>2.3458665275910562E-2</v>
      </c>
    </row>
    <row r="1188" spans="22:26" x14ac:dyDescent="0.2">
      <c r="V1188" s="202" t="str">
        <f t="shared" si="27"/>
        <v>1w</v>
      </c>
      <c r="W1188" s="200">
        <f>_xll.qlCalendarAdvance(Calendar,W1187,V1188,"f",FALSE)</f>
        <v>47205</v>
      </c>
      <c r="X1188" s="203">
        <f>_xll.qlCalendarAdvance(Calendar,W1188,NDays&amp;"D")</f>
        <v>47211</v>
      </c>
      <c r="Y1188" s="204">
        <v>2.3480351863684135E-2</v>
      </c>
      <c r="Z1188" s="201">
        <v>2.3457689831385409E-2</v>
      </c>
    </row>
    <row r="1189" spans="22:26" x14ac:dyDescent="0.2">
      <c r="V1189" s="202" t="str">
        <f t="shared" si="27"/>
        <v>1w</v>
      </c>
      <c r="W1189" s="200">
        <f>_xll.qlCalendarAdvance(Calendar,W1188,V1189,"f",FALSE)</f>
        <v>47212</v>
      </c>
      <c r="X1189" s="203">
        <f>_xll.qlCalendarAdvance(Calendar,W1189,NDays&amp;"D")</f>
        <v>47214</v>
      </c>
      <c r="Y1189" s="204">
        <v>2.348119732108216E-2</v>
      </c>
      <c r="Z1189" s="201">
        <v>2.3459397661795833E-2</v>
      </c>
    </row>
    <row r="1190" spans="22:26" x14ac:dyDescent="0.2">
      <c r="V1190" s="202" t="str">
        <f t="shared" si="27"/>
        <v>1w</v>
      </c>
      <c r="W1190" s="200">
        <f>_xll.qlCalendarAdvance(Calendar,W1189,V1190,"f",FALSE)</f>
        <v>47219</v>
      </c>
      <c r="X1190" s="203">
        <f>_xll.qlCalendarAdvance(Calendar,W1190,NDays&amp;"D")</f>
        <v>47221</v>
      </c>
      <c r="Y1190" s="204">
        <v>2.3481310985091979E-2</v>
      </c>
      <c r="Z1190" s="201">
        <v>2.3459655539275204E-2</v>
      </c>
    </row>
    <row r="1191" spans="22:26" x14ac:dyDescent="0.2">
      <c r="V1191" s="202" t="str">
        <f t="shared" si="27"/>
        <v>1w</v>
      </c>
      <c r="W1191" s="200">
        <f>_xll.qlCalendarAdvance(Calendar,W1190,V1191,"f",FALSE)</f>
        <v>47226</v>
      </c>
      <c r="X1191" s="203">
        <f>_xll.qlCalendarAdvance(Calendar,W1191,NDays&amp;"D")</f>
        <v>47228</v>
      </c>
      <c r="Y1191" s="204">
        <v>2.3481352306912784E-2</v>
      </c>
      <c r="Z1191" s="201">
        <v>2.3459841206410204E-2</v>
      </c>
    </row>
    <row r="1192" spans="22:26" x14ac:dyDescent="0.2">
      <c r="V1192" s="202" t="str">
        <f t="shared" si="27"/>
        <v>1w</v>
      </c>
      <c r="W1192" s="200">
        <f>_xll.qlCalendarAdvance(Calendar,W1191,V1192,"f",FALSE)</f>
        <v>47233</v>
      </c>
      <c r="X1192" s="203">
        <f>_xll.qlCalendarAdvance(Calendar,W1192,NDays&amp;"D")</f>
        <v>47235</v>
      </c>
      <c r="Y1192" s="204">
        <v>2.3481321286541994E-2</v>
      </c>
      <c r="Z1192" s="201">
        <v>2.3459954663254123E-2</v>
      </c>
    </row>
    <row r="1193" spans="22:26" x14ac:dyDescent="0.2">
      <c r="V1193" s="202" t="str">
        <f t="shared" si="27"/>
        <v>1w</v>
      </c>
      <c r="W1193" s="200">
        <f>_xll.qlCalendarAdvance(Calendar,W1192,V1193,"f",FALSE)</f>
        <v>47240</v>
      </c>
      <c r="X1193" s="203">
        <f>_xll.qlCalendarAdvance(Calendar,W1193,NDays&amp;"D")</f>
        <v>47242</v>
      </c>
      <c r="Y1193" s="204">
        <v>2.3481217923977036E-2</v>
      </c>
      <c r="Z1193" s="201">
        <v>2.3459995909727027E-2</v>
      </c>
    </row>
    <row r="1194" spans="22:26" x14ac:dyDescent="0.2">
      <c r="V1194" s="202" t="str">
        <f t="shared" si="27"/>
        <v>1w</v>
      </c>
      <c r="W1194" s="200">
        <f>_xll.qlCalendarAdvance(Calendar,W1193,V1194,"f",FALSE)</f>
        <v>47247</v>
      </c>
      <c r="X1194" s="203">
        <f>_xll.qlCalendarAdvance(Calendar,W1194,NDays&amp;"D")</f>
        <v>47249</v>
      </c>
      <c r="Y1194" s="204">
        <v>2.3481042219225642E-2</v>
      </c>
      <c r="Z1194" s="201">
        <v>2.3459964945908851E-2</v>
      </c>
    </row>
    <row r="1195" spans="22:26" x14ac:dyDescent="0.2">
      <c r="V1195" s="202" t="str">
        <f t="shared" si="27"/>
        <v>1w</v>
      </c>
      <c r="W1195" s="200">
        <f>_xll.qlCalendarAdvance(Calendar,W1194,V1195,"f",FALSE)</f>
        <v>47254</v>
      </c>
      <c r="X1195" s="203">
        <f>_xll.qlCalendarAdvance(Calendar,W1195,NDays&amp;"D")</f>
        <v>47256</v>
      </c>
      <c r="Y1195" s="204">
        <v>2.3480794172287812E-2</v>
      </c>
      <c r="Z1195" s="201">
        <v>2.3459861771746304E-2</v>
      </c>
    </row>
    <row r="1196" spans="22:26" x14ac:dyDescent="0.2">
      <c r="V1196" s="202" t="str">
        <f t="shared" si="27"/>
        <v>1w</v>
      </c>
      <c r="W1196" s="200">
        <f>_xll.qlCalendarAdvance(Calendar,W1195,V1196,"f",FALSE)</f>
        <v>47261</v>
      </c>
      <c r="X1196" s="203">
        <f>_xll.qlCalendarAdvance(Calendar,W1196,NDays&amp;"D")</f>
        <v>47263</v>
      </c>
      <c r="Y1196" s="204">
        <v>2.3480473783168709E-2</v>
      </c>
      <c r="Z1196" s="201">
        <v>2.3459686387266032E-2</v>
      </c>
    </row>
    <row r="1197" spans="22:26" x14ac:dyDescent="0.2">
      <c r="V1197" s="202" t="str">
        <f t="shared" si="27"/>
        <v>1w</v>
      </c>
      <c r="W1197" s="200">
        <f>_xll.qlCalendarAdvance(Calendar,W1196,V1197,"f",FALSE)</f>
        <v>47268</v>
      </c>
      <c r="X1197" s="203">
        <f>_xll.qlCalendarAdvance(Calendar,W1197,NDays&amp;"D")</f>
        <v>47270</v>
      </c>
      <c r="Y1197" s="204">
        <v>2.3480081051876059E-2</v>
      </c>
      <c r="Z1197" s="201">
        <v>2.3459438792468035E-2</v>
      </c>
    </row>
    <row r="1198" spans="22:26" x14ac:dyDescent="0.2">
      <c r="V1198" s="202" t="str">
        <f t="shared" si="27"/>
        <v>1w</v>
      </c>
      <c r="W1198" s="200">
        <f>_xll.qlCalendarAdvance(Calendar,W1197,V1198,"f",FALSE)</f>
        <v>47275</v>
      </c>
      <c r="X1198" s="203">
        <f>_xll.qlCalendarAdvance(Calendar,W1198,NDays&amp;"D")</f>
        <v>47277</v>
      </c>
      <c r="Y1198" s="204">
        <v>2.3479615978415028E-2</v>
      </c>
      <c r="Z1198" s="201">
        <v>2.3459118987352312E-2</v>
      </c>
    </row>
    <row r="1199" spans="22:26" x14ac:dyDescent="0.2">
      <c r="V1199" s="202" t="str">
        <f t="shared" si="27"/>
        <v>1w</v>
      </c>
      <c r="W1199" s="200">
        <f>_xll.qlCalendarAdvance(Calendar,W1198,V1199,"f",FALSE)</f>
        <v>47282</v>
      </c>
      <c r="X1199" s="203">
        <f>_xll.qlCalendarAdvance(Calendar,W1199,NDays&amp;"D")</f>
        <v>47284</v>
      </c>
      <c r="Y1199" s="204">
        <v>2.3479078562795925E-2</v>
      </c>
      <c r="Z1199" s="201">
        <v>2.3458726971918864E-2</v>
      </c>
    </row>
    <row r="1200" spans="22:26" x14ac:dyDescent="0.2">
      <c r="V1200" s="202" t="str">
        <f t="shared" si="27"/>
        <v>1w</v>
      </c>
      <c r="W1200" s="200">
        <f>_xll.qlCalendarAdvance(Calendar,W1199,V1200,"f",FALSE)</f>
        <v>47289</v>
      </c>
      <c r="X1200" s="203">
        <f>_xll.qlCalendarAdvance(Calendar,W1200,NDays&amp;"D")</f>
        <v>47291</v>
      </c>
      <c r="Y1200" s="204">
        <v>2.3478468805026485E-2</v>
      </c>
      <c r="Z1200" s="201">
        <v>2.3458262746141045E-2</v>
      </c>
    </row>
    <row r="1201" spans="22:26" x14ac:dyDescent="0.2">
      <c r="V1201" s="202" t="str">
        <f t="shared" si="27"/>
        <v>1w</v>
      </c>
      <c r="W1201" s="200">
        <f>_xll.qlCalendarAdvance(Calendar,W1200,V1201,"f",FALSE)</f>
        <v>47296</v>
      </c>
      <c r="X1201" s="203">
        <f>_xll.qlCalendarAdvance(Calendar,W1201,NDays&amp;"D")</f>
        <v>47298</v>
      </c>
      <c r="Y1201" s="204">
        <v>2.347849640218419E-2</v>
      </c>
      <c r="Z1201" s="201">
        <v>2.3457726310045501E-2</v>
      </c>
    </row>
    <row r="1202" spans="22:26" x14ac:dyDescent="0.2">
      <c r="V1202" s="202" t="str">
        <f t="shared" si="27"/>
        <v>1w</v>
      </c>
      <c r="W1202" s="200">
        <f>_xll.qlCalendarAdvance(Calendar,W1201,V1202,"f",FALSE)</f>
        <v>47303</v>
      </c>
      <c r="X1202" s="203">
        <f>_xll.qlCalendarAdvance(Calendar,W1202,NDays&amp;"D")</f>
        <v>47305</v>
      </c>
      <c r="Y1202" s="204">
        <v>2.34770322630856E-2</v>
      </c>
      <c r="Z1202" s="201">
        <v>2.3457117663632232E-2</v>
      </c>
    </row>
    <row r="1203" spans="22:26" x14ac:dyDescent="0.2">
      <c r="V1203" s="202" t="str">
        <f t="shared" si="27"/>
        <v>1w</v>
      </c>
      <c r="W1203" s="200">
        <f>_xll.qlCalendarAdvance(Calendar,W1202,V1203,"f",FALSE)</f>
        <v>47310</v>
      </c>
      <c r="X1203" s="203">
        <f>_xll.qlCalendarAdvance(Calendar,W1203,NDays&amp;"D")</f>
        <v>47312</v>
      </c>
      <c r="Y1203" s="204">
        <v>2.3476205478939936E-2</v>
      </c>
      <c r="Z1203" s="201">
        <v>2.3456436806901237E-2</v>
      </c>
    </row>
    <row r="1204" spans="22:26" x14ac:dyDescent="0.2">
      <c r="V1204" s="202" t="str">
        <f t="shared" si="27"/>
        <v>1w</v>
      </c>
      <c r="W1204" s="200">
        <f>_xll.qlCalendarAdvance(Calendar,W1203,V1204,"f",FALSE)</f>
        <v>47317</v>
      </c>
      <c r="X1204" s="203">
        <f>_xll.qlCalendarAdvance(Calendar,W1204,NDays&amp;"D")</f>
        <v>47319</v>
      </c>
      <c r="Y1204" s="204">
        <v>2.3475306352703246E-2</v>
      </c>
      <c r="Z1204" s="201">
        <v>2.3455683739852518E-2</v>
      </c>
    </row>
    <row r="1205" spans="22:26" x14ac:dyDescent="0.2">
      <c r="V1205" s="202" t="str">
        <f t="shared" si="27"/>
        <v>1w</v>
      </c>
      <c r="W1205" s="200">
        <f>_xll.qlCalendarAdvance(Calendar,W1204,V1205,"f",FALSE)</f>
        <v>47324</v>
      </c>
      <c r="X1205" s="203">
        <f>_xll.qlCalendarAdvance(Calendar,W1205,NDays&amp;"D")</f>
        <v>47326</v>
      </c>
      <c r="Y1205" s="204">
        <v>2.3474334884383264E-2</v>
      </c>
      <c r="Z1205" s="201">
        <v>2.3454858462486072E-2</v>
      </c>
    </row>
    <row r="1206" spans="22:26" x14ac:dyDescent="0.2">
      <c r="V1206" s="202" t="str">
        <f t="shared" si="27"/>
        <v>1w</v>
      </c>
      <c r="W1206" s="200">
        <f>_xll.qlCalendarAdvance(Calendar,W1205,V1206,"f",FALSE)</f>
        <v>47331</v>
      </c>
      <c r="X1206" s="203">
        <f>_xll.qlCalendarAdvance(Calendar,W1206,NDays&amp;"D")</f>
        <v>47333</v>
      </c>
      <c r="Y1206" s="204">
        <v>2.3473291074005777E-2</v>
      </c>
      <c r="Z1206" s="201">
        <v>2.3453960974801902E-2</v>
      </c>
    </row>
    <row r="1207" spans="22:26" x14ac:dyDescent="0.2">
      <c r="V1207" s="202" t="str">
        <f t="shared" si="27"/>
        <v>1w</v>
      </c>
      <c r="W1207" s="200">
        <f>_xll.qlCalendarAdvance(Calendar,W1206,V1207,"f",FALSE)</f>
        <v>47338</v>
      </c>
      <c r="X1207" s="203">
        <f>_xll.qlCalendarAdvance(Calendar,W1207,NDays&amp;"D")</f>
        <v>47340</v>
      </c>
      <c r="Y1207" s="204">
        <v>2.3472174921588835E-2</v>
      </c>
      <c r="Z1207" s="201">
        <v>2.3452991276800006E-2</v>
      </c>
    </row>
    <row r="1208" spans="22:26" x14ac:dyDescent="0.2">
      <c r="V1208" s="202" t="str">
        <f t="shared" si="27"/>
        <v>1w</v>
      </c>
      <c r="W1208" s="200">
        <f>_xll.qlCalendarAdvance(Calendar,W1207,V1208,"f",FALSE)</f>
        <v>47345</v>
      </c>
      <c r="X1208" s="203">
        <f>_xll.qlCalendarAdvance(Calendar,W1208,NDays&amp;"D")</f>
        <v>47347</v>
      </c>
      <c r="Y1208" s="204">
        <v>2.3470988708259984E-2</v>
      </c>
      <c r="Z1208" s="201">
        <v>2.3451949368480385E-2</v>
      </c>
    </row>
    <row r="1209" spans="22:26" x14ac:dyDescent="0.2">
      <c r="V1209" s="202" t="str">
        <f t="shared" si="27"/>
        <v>1w</v>
      </c>
      <c r="W1209" s="200">
        <f>_xll.qlCalendarAdvance(Calendar,W1208,V1209,"f",FALSE)</f>
        <v>47352</v>
      </c>
      <c r="X1209" s="203">
        <f>_xll.qlCalendarAdvance(Calendar,W1209,NDays&amp;"D")</f>
        <v>47354</v>
      </c>
      <c r="Y1209" s="204">
        <v>2.346974383960795E-2</v>
      </c>
      <c r="Z1209" s="201">
        <v>2.3450835249869684E-2</v>
      </c>
    </row>
    <row r="1210" spans="22:26" x14ac:dyDescent="0.2">
      <c r="V1210" s="202" t="str">
        <f t="shared" si="27"/>
        <v>1w</v>
      </c>
      <c r="W1210" s="200">
        <f>_xll.qlCalendarAdvance(Calendar,W1209,V1210,"f",FALSE)</f>
        <v>47359</v>
      </c>
      <c r="X1210" s="203">
        <f>_xll.qlCalendarAdvance(Calendar,W1210,NDays&amp;"D")</f>
        <v>47361</v>
      </c>
      <c r="Y1210" s="204">
        <v>2.3466444782943414E-2</v>
      </c>
      <c r="Z1210" s="201">
        <v>2.3449648920941257E-2</v>
      </c>
    </row>
    <row r="1211" spans="22:26" x14ac:dyDescent="0.2">
      <c r="V1211" s="202" t="str">
        <f t="shared" si="27"/>
        <v>1w</v>
      </c>
      <c r="W1211" s="200">
        <f>_xll.qlCalendarAdvance(Calendar,W1210,V1211,"f",FALSE)</f>
        <v>47366</v>
      </c>
      <c r="X1211" s="203">
        <f>_xll.qlCalendarAdvance(Calendar,W1211,NDays&amp;"D")</f>
        <v>47368</v>
      </c>
      <c r="Y1211" s="204">
        <v>2.3467132883085995E-2</v>
      </c>
      <c r="Z1211" s="201">
        <v>2.3448390381695106E-2</v>
      </c>
    </row>
    <row r="1212" spans="22:26" x14ac:dyDescent="0.2">
      <c r="V1212" s="202" t="str">
        <f t="shared" si="27"/>
        <v>1w</v>
      </c>
      <c r="W1212" s="200">
        <f>_xll.qlCalendarAdvance(Calendar,W1211,V1212,"f",FALSE)</f>
        <v>47373</v>
      </c>
      <c r="X1212" s="203">
        <f>_xll.qlCalendarAdvance(Calendar,W1212,NDays&amp;"D")</f>
        <v>47375</v>
      </c>
      <c r="Y1212" s="204">
        <v>2.3465793742950439E-2</v>
      </c>
      <c r="Z1212" s="201">
        <v>2.3447078770555407E-2</v>
      </c>
    </row>
    <row r="1213" spans="22:26" x14ac:dyDescent="0.2">
      <c r="V1213" s="202" t="str">
        <f t="shared" si="27"/>
        <v>1w</v>
      </c>
      <c r="W1213" s="200">
        <f>_xll.qlCalendarAdvance(Calendar,W1212,V1213,"f",FALSE)</f>
        <v>47380</v>
      </c>
      <c r="X1213" s="203">
        <f>_xll.qlCalendarAdvance(Calendar,W1213,NDays&amp;"D")</f>
        <v>47382</v>
      </c>
      <c r="Y1213" s="204">
        <v>2.3464442693703767E-2</v>
      </c>
      <c r="Z1213" s="201">
        <v>2.3445753598956287E-2</v>
      </c>
    </row>
    <row r="1214" spans="22:26" x14ac:dyDescent="0.2">
      <c r="V1214" s="202" t="str">
        <f t="shared" si="27"/>
        <v>1w</v>
      </c>
      <c r="W1214" s="200">
        <f>_xll.qlCalendarAdvance(Calendar,W1213,V1214,"f",FALSE)</f>
        <v>47387</v>
      </c>
      <c r="X1214" s="203">
        <f>_xll.qlCalendarAdvance(Calendar,W1214,NDays&amp;"D")</f>
        <v>47389</v>
      </c>
      <c r="Y1214" s="204">
        <v>2.3464411221305201E-2</v>
      </c>
      <c r="Z1214" s="201">
        <v>2.3444416719042849E-2</v>
      </c>
    </row>
    <row r="1215" spans="22:26" x14ac:dyDescent="0.2">
      <c r="V1215" s="202" t="str">
        <f t="shared" si="27"/>
        <v>1w</v>
      </c>
      <c r="W1215" s="200">
        <f>_xll.qlCalendarAdvance(Calendar,W1214,V1215,"f",FALSE)</f>
        <v>47394</v>
      </c>
      <c r="X1215" s="203">
        <f>_xll.qlCalendarAdvance(Calendar,W1215,NDays&amp;"D")</f>
        <v>47396</v>
      </c>
      <c r="Y1215" s="204">
        <v>2.3461705406579061E-2</v>
      </c>
      <c r="Z1215" s="201">
        <v>2.3443068130841738E-2</v>
      </c>
    </row>
    <row r="1216" spans="22:26" x14ac:dyDescent="0.2">
      <c r="V1216" s="202" t="str">
        <f t="shared" si="27"/>
        <v>1w</v>
      </c>
      <c r="W1216" s="200">
        <f>_xll.qlCalendarAdvance(Calendar,W1215,V1216,"f",FALSE)</f>
        <v>47401</v>
      </c>
      <c r="X1216" s="203">
        <f>_xll.qlCalendarAdvance(Calendar,W1216,NDays&amp;"D")</f>
        <v>47403</v>
      </c>
      <c r="Y1216" s="204">
        <v>2.346031916871134E-2</v>
      </c>
      <c r="Z1216" s="201">
        <v>2.3441707834273018E-2</v>
      </c>
    </row>
    <row r="1217" spans="22:26" x14ac:dyDescent="0.2">
      <c r="V1217" s="202" t="str">
        <f t="shared" si="27"/>
        <v>1w</v>
      </c>
      <c r="W1217" s="200">
        <f>_xll.qlCalendarAdvance(Calendar,W1216,V1217,"f",FALSE)</f>
        <v>47408</v>
      </c>
      <c r="X1217" s="203">
        <f>_xll.qlCalendarAdvance(Calendar,W1217,NDays&amp;"D")</f>
        <v>47410</v>
      </c>
      <c r="Y1217" s="204">
        <v>2.3458921201310143E-2</v>
      </c>
      <c r="Z1217" s="201">
        <v>2.3440335829416625E-2</v>
      </c>
    </row>
    <row r="1218" spans="22:26" x14ac:dyDescent="0.2">
      <c r="V1218" s="202" t="str">
        <f t="shared" si="27"/>
        <v>1w</v>
      </c>
      <c r="W1218" s="200">
        <f>_xll.qlCalendarAdvance(Calendar,W1217,V1218,"f",FALSE)</f>
        <v>47415</v>
      </c>
      <c r="X1218" s="203">
        <f>_xll.qlCalendarAdvance(Calendar,W1218,NDays&amp;"D")</f>
        <v>47417</v>
      </c>
      <c r="Y1218" s="204">
        <v>2.3457511504380635E-2</v>
      </c>
      <c r="Z1218" s="201">
        <v>2.3438952116219269E-2</v>
      </c>
    </row>
    <row r="1219" spans="22:26" x14ac:dyDescent="0.2">
      <c r="V1219" s="202" t="str">
        <f t="shared" si="27"/>
        <v>1w</v>
      </c>
      <c r="W1219" s="200">
        <f>_xll.qlCalendarAdvance(Calendar,W1218,V1219,"f",FALSE)</f>
        <v>47422</v>
      </c>
      <c r="X1219" s="203">
        <f>_xll.qlCalendarAdvance(Calendar,W1219,NDays&amp;"D")</f>
        <v>47424</v>
      </c>
      <c r="Y1219" s="204">
        <v>2.3456090077927962E-2</v>
      </c>
      <c r="Z1219" s="201">
        <v>2.3437556694707595E-2</v>
      </c>
    </row>
    <row r="1220" spans="22:26" x14ac:dyDescent="0.2">
      <c r="V1220" s="202" t="str">
        <f t="shared" si="27"/>
        <v>1w</v>
      </c>
      <c r="W1220" s="200">
        <f>_xll.qlCalendarAdvance(Calendar,W1219,V1220,"f",FALSE)</f>
        <v>47429</v>
      </c>
      <c r="X1220" s="203">
        <f>_xll.qlCalendarAdvance(Calendar,W1220,NDays&amp;"D")</f>
        <v>47431</v>
      </c>
      <c r="Y1220" s="204">
        <v>2.3454656921954711E-2</v>
      </c>
      <c r="Z1220" s="201">
        <v>2.3436149564881603E-2</v>
      </c>
    </row>
    <row r="1221" spans="22:26" x14ac:dyDescent="0.2">
      <c r="V1221" s="202" t="str">
        <f t="shared" si="27"/>
        <v>1w</v>
      </c>
      <c r="W1221" s="200">
        <f>_xll.qlCalendarAdvance(Calendar,W1220,V1221,"f",FALSE)</f>
        <v>47436</v>
      </c>
      <c r="X1221" s="203">
        <f>_xll.qlCalendarAdvance(Calendar,W1221,NDays&amp;"D")</f>
        <v>47438</v>
      </c>
      <c r="Y1221" s="204">
        <v>2.3453212036466036E-2</v>
      </c>
      <c r="Z1221" s="201">
        <v>2.3434730726741293E-2</v>
      </c>
    </row>
    <row r="1222" spans="22:26" x14ac:dyDescent="0.2">
      <c r="V1222" s="202" t="str">
        <f t="shared" si="27"/>
        <v>1w</v>
      </c>
      <c r="W1222" s="200">
        <f>_xll.qlCalendarAdvance(Calendar,W1221,V1222,"f",FALSE)</f>
        <v>47443</v>
      </c>
      <c r="X1222" s="203">
        <f>_xll.qlCalendarAdvance(Calendar,W1222,NDays&amp;"D")</f>
        <v>47445</v>
      </c>
      <c r="Y1222" s="204">
        <v>2.3451755421469676E-2</v>
      </c>
      <c r="Z1222" s="201">
        <v>2.3433300180260019E-2</v>
      </c>
    </row>
    <row r="1223" spans="22:26" x14ac:dyDescent="0.2">
      <c r="V1223" s="202" t="str">
        <f t="shared" si="27"/>
        <v>1w</v>
      </c>
      <c r="W1223" s="200">
        <f>_xll.qlCalendarAdvance(Calendar,W1222,V1223,"f",FALSE)</f>
        <v>47450</v>
      </c>
      <c r="X1223" s="203">
        <f>_xll.qlCalendarAdvance(Calendar,W1223,NDays&amp;"D")</f>
        <v>47452</v>
      </c>
      <c r="Y1223" s="204">
        <v>2.3450287076963047E-2</v>
      </c>
      <c r="Z1223" s="201">
        <v>2.3431857925464428E-2</v>
      </c>
    </row>
    <row r="1224" spans="22:26" x14ac:dyDescent="0.2">
      <c r="V1224" s="202" t="str">
        <f t="shared" si="27"/>
        <v>1w</v>
      </c>
      <c r="W1224" s="200">
        <f>_xll.qlCalendarAdvance(Calendar,W1223,V1224,"f",FALSE)</f>
        <v>47457</v>
      </c>
      <c r="X1224" s="203">
        <f>_xll.qlCalendarAdvance(Calendar,W1224,NDays&amp;"D")</f>
        <v>47459</v>
      </c>
      <c r="Y1224" s="204">
        <v>2.3448807002956467E-2</v>
      </c>
      <c r="Z1224" s="201">
        <v>2.3430403962354518E-2</v>
      </c>
    </row>
    <row r="1225" spans="22:26" x14ac:dyDescent="0.2">
      <c r="V1225" s="202" t="str">
        <f t="shared" si="27"/>
        <v>1w</v>
      </c>
      <c r="W1225" s="200">
        <f>_xll.qlCalendarAdvance(Calendar,W1224,V1225,"f",FALSE)</f>
        <v>47464</v>
      </c>
      <c r="X1225" s="203">
        <f>_xll.qlCalendarAdvance(Calendar,W1225,NDays&amp;"D")</f>
        <v>47466</v>
      </c>
      <c r="Y1225" s="204">
        <v>2.3447315199455091E-2</v>
      </c>
      <c r="Z1225" s="201">
        <v>2.342893829093029E-2</v>
      </c>
    </row>
    <row r="1226" spans="22:26" x14ac:dyDescent="0.2">
      <c r="V1226" s="202" t="str">
        <f t="shared" si="27"/>
        <v>1w</v>
      </c>
      <c r="W1226" s="200">
        <f>_xll.qlCalendarAdvance(Calendar,W1225,V1226,"f",FALSE)</f>
        <v>47471</v>
      </c>
      <c r="X1226" s="203">
        <f>_xll.qlCalendarAdvance(Calendar,W1226,NDays&amp;"D")</f>
        <v>47473</v>
      </c>
      <c r="Y1226" s="204">
        <v>2.3445811666456342E-2</v>
      </c>
      <c r="Z1226" s="201">
        <v>2.3427460911191744E-2</v>
      </c>
    </row>
    <row r="1227" spans="22:26" x14ac:dyDescent="0.2">
      <c r="V1227" s="202" t="str">
        <f t="shared" si="27"/>
        <v>1w</v>
      </c>
      <c r="W1227" s="200">
        <f>_xll.qlCalendarAdvance(Calendar,W1226,V1227,"f",FALSE)</f>
        <v>47479</v>
      </c>
      <c r="X1227" s="203">
        <f>_xll.qlCalendarAdvance(Calendar,W1227,NDays&amp;"D")</f>
        <v>47483</v>
      </c>
      <c r="Y1227" s="204">
        <v>2.3443643415104975E-2</v>
      </c>
      <c r="Z1227" s="201">
        <v>2.3424675130092609E-2</v>
      </c>
    </row>
    <row r="1228" spans="22:26" x14ac:dyDescent="0.2">
      <c r="V1228" s="202" t="str">
        <f t="shared" si="27"/>
        <v>1w</v>
      </c>
      <c r="W1228" s="200">
        <f>_xll.qlCalendarAdvance(Calendar,W1227,V1228,"f",FALSE)</f>
        <v>47486</v>
      </c>
      <c r="X1228" s="203">
        <f>_xll.qlCalendarAdvance(Calendar,W1228,NDays&amp;"D")</f>
        <v>47490</v>
      </c>
      <c r="Y1228" s="204">
        <v>2.3442111396213872E-2</v>
      </c>
      <c r="Z1228" s="201">
        <v>2.3422516195381604E-2</v>
      </c>
    </row>
    <row r="1229" spans="22:26" x14ac:dyDescent="0.2">
      <c r="V1229" s="202" t="str">
        <f t="shared" si="27"/>
        <v>1w</v>
      </c>
      <c r="W1229" s="200">
        <f>_xll.qlCalendarAdvance(Calendar,W1228,V1229,"f",FALSE)</f>
        <v>47493</v>
      </c>
      <c r="X1229" s="203">
        <f>_xll.qlCalendarAdvance(Calendar,W1229,NDays&amp;"D")</f>
        <v>47497</v>
      </c>
      <c r="Y1229" s="204">
        <v>2.3440567647846026E-2</v>
      </c>
      <c r="Z1229" s="201">
        <v>2.3421000542658277E-2</v>
      </c>
    </row>
    <row r="1230" spans="22:26" x14ac:dyDescent="0.2">
      <c r="V1230" s="202" t="str">
        <f t="shared" si="27"/>
        <v>1w</v>
      </c>
      <c r="W1230" s="200">
        <f>_xll.qlCalendarAdvance(Calendar,W1229,V1230,"f",FALSE)</f>
        <v>47500</v>
      </c>
      <c r="X1230" s="203">
        <f>_xll.qlCalendarAdvance(Calendar,W1230,NDays&amp;"D")</f>
        <v>47504</v>
      </c>
      <c r="Y1230" s="204">
        <v>2.3439012170009169E-2</v>
      </c>
      <c r="Z1230" s="201">
        <v>2.3419473183139417E-2</v>
      </c>
    </row>
    <row r="1231" spans="22:26" x14ac:dyDescent="0.2">
      <c r="V1231" s="202" t="str">
        <f t="shared" si="27"/>
        <v>1w</v>
      </c>
      <c r="W1231" s="200">
        <f>_xll.qlCalendarAdvance(Calendar,W1230,V1231,"f",FALSE)</f>
        <v>47507</v>
      </c>
      <c r="X1231" s="203">
        <f>_xll.qlCalendarAdvance(Calendar,W1231,NDays&amp;"D")</f>
        <v>47511</v>
      </c>
      <c r="Y1231" s="204">
        <v>2.3437444962700723E-2</v>
      </c>
      <c r="Z1231" s="201">
        <v>2.3417934116825023E-2</v>
      </c>
    </row>
    <row r="1232" spans="22:26" x14ac:dyDescent="0.2">
      <c r="V1232" s="202" t="str">
        <f t="shared" si="27"/>
        <v>1w</v>
      </c>
      <c r="W1232" s="200">
        <f>_xll.qlCalendarAdvance(Calendar,W1231,V1232,"f",FALSE)</f>
        <v>47514</v>
      </c>
      <c r="X1232" s="203">
        <f>_xll.qlCalendarAdvance(Calendar,W1232,NDays&amp;"D")</f>
        <v>47518</v>
      </c>
      <c r="Y1232" s="204">
        <v>2.3433920243270481E-2</v>
      </c>
      <c r="Z1232" s="201">
        <v>2.3416383343715097E-2</v>
      </c>
    </row>
    <row r="1233" spans="22:26" x14ac:dyDescent="0.2">
      <c r="V1233" s="202" t="str">
        <f t="shared" si="27"/>
        <v>1w</v>
      </c>
      <c r="W1233" s="200">
        <f>_xll.qlCalendarAdvance(Calendar,W1232,V1233,"f",FALSE)</f>
        <v>47521</v>
      </c>
      <c r="X1233" s="203">
        <f>_xll.qlCalendarAdvance(Calendar,W1233,NDays&amp;"D")</f>
        <v>47525</v>
      </c>
      <c r="Y1233" s="204">
        <v>2.3432332400313362E-2</v>
      </c>
      <c r="Z1233" s="201">
        <v>2.3414820863809638E-2</v>
      </c>
    </row>
    <row r="1234" spans="22:26" x14ac:dyDescent="0.2">
      <c r="V1234" s="202" t="str">
        <f t="shared" si="27"/>
        <v>1w</v>
      </c>
      <c r="W1234" s="200">
        <f>_xll.qlCalendarAdvance(Calendar,W1233,V1234,"f",FALSE)</f>
        <v>47528</v>
      </c>
      <c r="X1234" s="203">
        <f>_xll.qlCalendarAdvance(Calendar,W1234,NDays&amp;"D")</f>
        <v>47532</v>
      </c>
      <c r="Y1234" s="204">
        <v>2.3430732830168451E-2</v>
      </c>
      <c r="Z1234" s="201">
        <v>2.3413246677108646E-2</v>
      </c>
    </row>
    <row r="1235" spans="22:26" x14ac:dyDescent="0.2">
      <c r="V1235" s="202" t="str">
        <f t="shared" si="27"/>
        <v>1w</v>
      </c>
      <c r="W1235" s="200">
        <f>_xll.qlCalendarAdvance(Calendar,W1234,V1235,"f",FALSE)</f>
        <v>47535</v>
      </c>
      <c r="X1235" s="203">
        <f>_xll.qlCalendarAdvance(Calendar,W1235,NDays&amp;"D")</f>
        <v>47539</v>
      </c>
      <c r="Y1235" s="204">
        <v>2.3429121532838604E-2</v>
      </c>
      <c r="Z1235" s="201">
        <v>2.3411660783532184E-2</v>
      </c>
    </row>
    <row r="1236" spans="22:26" x14ac:dyDescent="0.2">
      <c r="V1236" s="202" t="str">
        <f t="shared" si="27"/>
        <v>1w</v>
      </c>
      <c r="W1236" s="200">
        <f>_xll.qlCalendarAdvance(Calendar,W1235,V1236,"f",FALSE)</f>
        <v>47542</v>
      </c>
      <c r="X1236" s="203">
        <f>_xll.qlCalendarAdvance(Calendar,W1236,NDays&amp;"D")</f>
        <v>47546</v>
      </c>
      <c r="Y1236" s="204">
        <v>2.3429432984314182E-2</v>
      </c>
      <c r="Z1236" s="201">
        <v>2.3410063183240126E-2</v>
      </c>
    </row>
    <row r="1237" spans="22:26" x14ac:dyDescent="0.2">
      <c r="V1237" s="202" t="str">
        <f t="shared" ref="V1237:V1300" si="28">V1236</f>
        <v>1w</v>
      </c>
      <c r="W1237" s="200">
        <f>_xll.qlCalendarAdvance(Calendar,W1236,V1237,"f",FALSE)</f>
        <v>47549</v>
      </c>
      <c r="X1237" s="203">
        <f>_xll.qlCalendarAdvance(Calendar,W1237,NDays&amp;"D")</f>
        <v>47553</v>
      </c>
      <c r="Y1237" s="204">
        <v>2.3427795400299982E-2</v>
      </c>
      <c r="Z1237" s="201">
        <v>2.3408453876072599E-2</v>
      </c>
    </row>
    <row r="1238" spans="22:26" x14ac:dyDescent="0.2">
      <c r="V1238" s="202" t="str">
        <f t="shared" si="28"/>
        <v>1w</v>
      </c>
      <c r="W1238" s="200">
        <f>_xll.qlCalendarAdvance(Calendar,W1237,V1238,"f",FALSE)</f>
        <v>47556</v>
      </c>
      <c r="X1238" s="203">
        <f>_xll.qlCalendarAdvance(Calendar,W1238,NDays&amp;"D")</f>
        <v>47560</v>
      </c>
      <c r="Y1238" s="204">
        <v>2.3426146086852877E-2</v>
      </c>
      <c r="Z1238" s="201">
        <v>2.3406832862109539E-2</v>
      </c>
    </row>
    <row r="1239" spans="22:26" x14ac:dyDescent="0.2">
      <c r="V1239" s="202" t="str">
        <f t="shared" si="28"/>
        <v>1w</v>
      </c>
      <c r="W1239" s="200">
        <f>_xll.qlCalendarAdvance(Calendar,W1238,V1239,"f",FALSE)</f>
        <v>47563</v>
      </c>
      <c r="X1239" s="203">
        <f>_xll.qlCalendarAdvance(Calendar,W1239,NDays&amp;"D")</f>
        <v>47567</v>
      </c>
      <c r="Y1239" s="204">
        <v>2.342448504397544E-2</v>
      </c>
      <c r="Z1239" s="201">
        <v>2.3405200141350946E-2</v>
      </c>
    </row>
    <row r="1240" spans="22:26" x14ac:dyDescent="0.2">
      <c r="V1240" s="202" t="str">
        <f t="shared" si="28"/>
        <v>1w</v>
      </c>
      <c r="W1240" s="200">
        <f>_xll.qlCalendarAdvance(Calendar,W1239,V1240,"f",FALSE)</f>
        <v>47570</v>
      </c>
      <c r="X1240" s="203">
        <f>_xll.qlCalendarAdvance(Calendar,W1240,NDays&amp;"D")</f>
        <v>47574</v>
      </c>
      <c r="Y1240" s="204">
        <v>2.3422812271675409E-2</v>
      </c>
      <c r="Z1240" s="201">
        <v>2.3403555713716884E-2</v>
      </c>
    </row>
    <row r="1241" spans="22:26" x14ac:dyDescent="0.2">
      <c r="V1241" s="202" t="str">
        <f t="shared" si="28"/>
        <v>1w</v>
      </c>
      <c r="W1241" s="200">
        <f>_xll.qlCalendarAdvance(Calendar,W1240,V1241,"f",FALSE)</f>
        <v>47577</v>
      </c>
      <c r="X1241" s="203">
        <f>_xll.qlCalendarAdvance(Calendar,W1241,NDays&amp;"D")</f>
        <v>47581</v>
      </c>
      <c r="Y1241" s="204">
        <v>2.3420487735277717E-2</v>
      </c>
      <c r="Z1241" s="201">
        <v>2.3401899579367225E-2</v>
      </c>
    </row>
    <row r="1242" spans="22:26" x14ac:dyDescent="0.2">
      <c r="V1242" s="202" t="str">
        <f t="shared" si="28"/>
        <v>1w</v>
      </c>
      <c r="W1242" s="200">
        <f>_xll.qlCalendarAdvance(Calendar,W1241,V1242,"f",FALSE)</f>
        <v>47584</v>
      </c>
      <c r="X1242" s="203">
        <f>_xll.qlCalendarAdvance(Calendar,W1242,NDays&amp;"D")</f>
        <v>47588</v>
      </c>
      <c r="Y1242" s="204">
        <v>2.3418792452142512E-2</v>
      </c>
      <c r="Z1242" s="201">
        <v>2.3400231738222033E-2</v>
      </c>
    </row>
    <row r="1243" spans="22:26" x14ac:dyDescent="0.2">
      <c r="V1243" s="202" t="str">
        <f t="shared" si="28"/>
        <v>1w</v>
      </c>
      <c r="W1243" s="200">
        <f>_xll.qlCalendarAdvance(Calendar,W1242,V1243,"f",FALSE)</f>
        <v>47591</v>
      </c>
      <c r="X1243" s="203">
        <f>_xll.qlCalendarAdvance(Calendar,W1243,NDays&amp;"D")</f>
        <v>47597</v>
      </c>
      <c r="Y1243" s="204">
        <v>2.3416595568454213E-2</v>
      </c>
      <c r="Z1243" s="201">
        <v>2.3398070169218244E-2</v>
      </c>
    </row>
    <row r="1244" spans="22:26" x14ac:dyDescent="0.2">
      <c r="V1244" s="202" t="str">
        <f t="shared" si="28"/>
        <v>1w</v>
      </c>
      <c r="W1244" s="200">
        <f>_xll.qlCalendarAdvance(Calendar,W1243,V1244,"f",FALSE)</f>
        <v>47598</v>
      </c>
      <c r="X1244" s="203">
        <f>_xll.qlCalendarAdvance(Calendar,W1244,NDays&amp;"D")</f>
        <v>47602</v>
      </c>
      <c r="Y1244" s="204">
        <v>2.3415366699908624E-2</v>
      </c>
      <c r="Z1244" s="201">
        <v>2.3396860935465114E-2</v>
      </c>
    </row>
    <row r="1245" spans="22:26" x14ac:dyDescent="0.2">
      <c r="V1245" s="202" t="str">
        <f t="shared" si="28"/>
        <v>1w</v>
      </c>
      <c r="W1245" s="200">
        <f>_xll.qlCalendarAdvance(Calendar,W1244,V1245,"f",FALSE)</f>
        <v>47605</v>
      </c>
      <c r="X1245" s="203">
        <f>_xll.qlCalendarAdvance(Calendar,W1245,NDays&amp;"D")</f>
        <v>47609</v>
      </c>
      <c r="Y1245" s="204">
        <v>2.3414272468993629E-2</v>
      </c>
      <c r="Z1245" s="201">
        <v>2.3395157973933323E-2</v>
      </c>
    </row>
    <row r="1246" spans="22:26" x14ac:dyDescent="0.2">
      <c r="V1246" s="202" t="str">
        <f t="shared" si="28"/>
        <v>1w</v>
      </c>
      <c r="W1246" s="200">
        <f>_xll.qlCalendarAdvance(Calendar,W1245,V1246,"f",FALSE)</f>
        <v>47612</v>
      </c>
      <c r="X1246" s="203">
        <f>_xll.qlCalendarAdvance(Calendar,W1246,NDays&amp;"D")</f>
        <v>47616</v>
      </c>
      <c r="Y1246" s="204">
        <v>2.3412529320256018E-2</v>
      </c>
      <c r="Z1246" s="201">
        <v>2.3393443305526063E-2</v>
      </c>
    </row>
    <row r="1247" spans="22:26" x14ac:dyDescent="0.2">
      <c r="V1247" s="202" t="str">
        <f t="shared" si="28"/>
        <v>1w</v>
      </c>
      <c r="W1247" s="200">
        <f>_xll.qlCalendarAdvance(Calendar,W1246,V1247,"f",FALSE)</f>
        <v>47619</v>
      </c>
      <c r="X1247" s="203">
        <f>_xll.qlCalendarAdvance(Calendar,W1247,NDays&amp;"D")</f>
        <v>47623</v>
      </c>
      <c r="Y1247" s="204">
        <v>2.341077444213191E-2</v>
      </c>
      <c r="Z1247" s="201">
        <v>2.3391716930403206E-2</v>
      </c>
    </row>
    <row r="1248" spans="22:26" x14ac:dyDescent="0.2">
      <c r="V1248" s="202" t="str">
        <f t="shared" si="28"/>
        <v>1w</v>
      </c>
      <c r="W1248" s="200">
        <f>_xll.qlCalendarAdvance(Calendar,W1247,V1248,"f",FALSE)</f>
        <v>47626</v>
      </c>
      <c r="X1248" s="203">
        <f>_xll.qlCalendarAdvance(Calendar,W1248,NDays&amp;"D")</f>
        <v>47630</v>
      </c>
      <c r="Y1248" s="204">
        <v>2.3409007834623886E-2</v>
      </c>
      <c r="Z1248" s="201">
        <v>2.338997884840488E-2</v>
      </c>
    </row>
    <row r="1249" spans="22:26" x14ac:dyDescent="0.2">
      <c r="V1249" s="202" t="str">
        <f t="shared" si="28"/>
        <v>1w</v>
      </c>
      <c r="W1249" s="200">
        <f>_xll.qlCalendarAdvance(Calendar,W1248,V1249,"f",FALSE)</f>
        <v>47633</v>
      </c>
      <c r="X1249" s="203">
        <f>_xll.qlCalendarAdvance(Calendar,W1249,NDays&amp;"D")</f>
        <v>47637</v>
      </c>
      <c r="Y1249" s="204">
        <v>2.3406597068138524E-2</v>
      </c>
      <c r="Z1249" s="201">
        <v>2.3388229059611021E-2</v>
      </c>
    </row>
    <row r="1250" spans="22:26" x14ac:dyDescent="0.2">
      <c r="V1250" s="202" t="str">
        <f t="shared" si="28"/>
        <v>1w</v>
      </c>
      <c r="W1250" s="200">
        <f>_xll.qlCalendarAdvance(Calendar,W1249,V1250,"f",FALSE)</f>
        <v>47640</v>
      </c>
      <c r="X1250" s="203">
        <f>_xll.qlCalendarAdvance(Calendar,W1250,NDays&amp;"D")</f>
        <v>47644</v>
      </c>
      <c r="Y1250" s="204">
        <v>2.3404807955904161E-2</v>
      </c>
      <c r="Z1250" s="201">
        <v>2.3386467564021629E-2</v>
      </c>
    </row>
    <row r="1251" spans="22:26" x14ac:dyDescent="0.2">
      <c r="V1251" s="202" t="str">
        <f t="shared" si="28"/>
        <v>1w</v>
      </c>
      <c r="W1251" s="200">
        <f>_xll.qlCalendarAdvance(Calendar,W1250,V1251,"f",FALSE)</f>
        <v>47647</v>
      </c>
      <c r="X1251" s="203">
        <f>_xll.qlCalendarAdvance(Calendar,W1251,NDays&amp;"D")</f>
        <v>47651</v>
      </c>
      <c r="Y1251" s="204">
        <v>2.3403007115057051E-2</v>
      </c>
      <c r="Z1251" s="201">
        <v>2.3384694361636704E-2</v>
      </c>
    </row>
    <row r="1252" spans="22:26" x14ac:dyDescent="0.2">
      <c r="V1252" s="202" t="str">
        <f t="shared" si="28"/>
        <v>1w</v>
      </c>
      <c r="W1252" s="200">
        <f>_xll.qlCalendarAdvance(Calendar,W1251,V1252,"f",FALSE)</f>
        <v>47654</v>
      </c>
      <c r="X1252" s="203">
        <f>_xll.qlCalendarAdvance(Calendar,W1252,NDays&amp;"D")</f>
        <v>47658</v>
      </c>
      <c r="Y1252" s="204">
        <v>2.3401194545602522E-2</v>
      </c>
      <c r="Z1252" s="201">
        <v>2.3382909452456246E-2</v>
      </c>
    </row>
    <row r="1253" spans="22:26" x14ac:dyDescent="0.2">
      <c r="V1253" s="202" t="str">
        <f t="shared" si="28"/>
        <v>1w</v>
      </c>
      <c r="W1253" s="200">
        <f>_xll.qlCalendarAdvance(Calendar,W1252,V1253,"f",FALSE)</f>
        <v>47661</v>
      </c>
      <c r="X1253" s="203">
        <f>_xll.qlCalendarAdvance(Calendar,W1253,NDays&amp;"D")</f>
        <v>47665</v>
      </c>
      <c r="Y1253" s="204">
        <v>2.3399998856541641E-2</v>
      </c>
      <c r="Z1253" s="201">
        <v>2.3381112836480256E-2</v>
      </c>
    </row>
    <row r="1254" spans="22:26" x14ac:dyDescent="0.2">
      <c r="V1254" s="202" t="str">
        <f t="shared" si="28"/>
        <v>1w</v>
      </c>
      <c r="W1254" s="200">
        <f>_xll.qlCalendarAdvance(Calendar,W1253,V1254,"f",FALSE)</f>
        <v>47668</v>
      </c>
      <c r="X1254" s="203">
        <f>_xll.qlCalendarAdvance(Calendar,W1254,NDays&amp;"D")</f>
        <v>47672</v>
      </c>
      <c r="Y1254" s="204">
        <v>2.3398161872853897E-2</v>
      </c>
      <c r="Z1254" s="201">
        <v>2.3379304513628796E-2</v>
      </c>
    </row>
    <row r="1255" spans="22:26" x14ac:dyDescent="0.2">
      <c r="V1255" s="202" t="str">
        <f t="shared" si="28"/>
        <v>1w</v>
      </c>
      <c r="W1255" s="200">
        <f>_xll.qlCalendarAdvance(Calendar,W1254,V1255,"f",FALSE)</f>
        <v>47675</v>
      </c>
      <c r="X1255" s="203">
        <f>_xll.qlCalendarAdvance(Calendar,W1255,NDays&amp;"D")</f>
        <v>47679</v>
      </c>
      <c r="Y1255" s="204">
        <v>2.3396313159820915E-2</v>
      </c>
      <c r="Z1255" s="201">
        <v>2.3377484484061739E-2</v>
      </c>
    </row>
    <row r="1256" spans="22:26" x14ac:dyDescent="0.2">
      <c r="V1256" s="202" t="str">
        <f t="shared" si="28"/>
        <v>1w</v>
      </c>
      <c r="W1256" s="200">
        <f>_xll.qlCalendarAdvance(Calendar,W1255,V1256,"f",FALSE)</f>
        <v>47682</v>
      </c>
      <c r="X1256" s="203">
        <f>_xll.qlCalendarAdvance(Calendar,W1256,NDays&amp;"D")</f>
        <v>47686</v>
      </c>
      <c r="Y1256" s="204">
        <v>2.3394452717450432E-2</v>
      </c>
      <c r="Z1256" s="201">
        <v>2.3375652747699149E-2</v>
      </c>
    </row>
    <row r="1257" spans="22:26" x14ac:dyDescent="0.2">
      <c r="V1257" s="202" t="str">
        <f t="shared" si="28"/>
        <v>1w</v>
      </c>
      <c r="W1257" s="200">
        <f>_xll.qlCalendarAdvance(Calendar,W1256,V1257,"f",FALSE)</f>
        <v>47689</v>
      </c>
      <c r="X1257" s="203">
        <f>_xll.qlCalendarAdvance(Calendar,W1257,NDays&amp;"D")</f>
        <v>47693</v>
      </c>
      <c r="Y1257" s="204">
        <v>2.3392580545745025E-2</v>
      </c>
      <c r="Z1257" s="201">
        <v>2.3373809304461091E-2</v>
      </c>
    </row>
    <row r="1258" spans="22:26" x14ac:dyDescent="0.2">
      <c r="V1258" s="202" t="str">
        <f t="shared" si="28"/>
        <v>1w</v>
      </c>
      <c r="W1258" s="200">
        <f>_xll.qlCalendarAdvance(Calendar,W1257,V1258,"f",FALSE)</f>
        <v>47696</v>
      </c>
      <c r="X1258" s="203">
        <f>_xll.qlCalendarAdvance(Calendar,W1258,NDays&amp;"D")</f>
        <v>47700</v>
      </c>
      <c r="Y1258" s="204">
        <v>2.3390696644715013E-2</v>
      </c>
      <c r="Z1258" s="201">
        <v>2.3371954154427499E-2</v>
      </c>
    </row>
    <row r="1259" spans="22:26" x14ac:dyDescent="0.2">
      <c r="V1259" s="202" t="str">
        <f t="shared" si="28"/>
        <v>1w</v>
      </c>
      <c r="W1259" s="200">
        <f>_xll.qlCalendarAdvance(Calendar,W1258,V1259,"f",FALSE)</f>
        <v>47703</v>
      </c>
      <c r="X1259" s="203">
        <f>_xll.qlCalendarAdvance(Calendar,W1259,NDays&amp;"D")</f>
        <v>47707</v>
      </c>
      <c r="Y1259" s="204">
        <v>2.338880101436297E-2</v>
      </c>
      <c r="Z1259" s="201">
        <v>2.337008729767831E-2</v>
      </c>
    </row>
    <row r="1260" spans="22:26" x14ac:dyDescent="0.2">
      <c r="V1260" s="202" t="str">
        <f t="shared" si="28"/>
        <v>1w</v>
      </c>
      <c r="W1260" s="200">
        <f>_xll.qlCalendarAdvance(Calendar,W1259,V1260,"f",FALSE)</f>
        <v>47710</v>
      </c>
      <c r="X1260" s="203">
        <f>_xll.qlCalendarAdvance(Calendar,W1260,NDays&amp;"D")</f>
        <v>47714</v>
      </c>
      <c r="Y1260" s="204">
        <v>2.3386893654691474E-2</v>
      </c>
      <c r="Z1260" s="201">
        <v>2.3368208734053653E-2</v>
      </c>
    </row>
    <row r="1261" spans="22:26" x14ac:dyDescent="0.2">
      <c r="V1261" s="202" t="str">
        <f t="shared" si="28"/>
        <v>1w</v>
      </c>
      <c r="W1261" s="200">
        <f>_xll.qlCalendarAdvance(Calendar,W1260,V1261,"f",FALSE)</f>
        <v>47717</v>
      </c>
      <c r="X1261" s="203">
        <f>_xll.qlCalendarAdvance(Calendar,W1261,NDays&amp;"D")</f>
        <v>47721</v>
      </c>
      <c r="Y1261" s="204">
        <v>2.338497456571342E-2</v>
      </c>
      <c r="Z1261" s="201">
        <v>2.3366318463633462E-2</v>
      </c>
    </row>
    <row r="1262" spans="22:26" x14ac:dyDescent="0.2">
      <c r="V1262" s="202" t="str">
        <f t="shared" si="28"/>
        <v>1w</v>
      </c>
      <c r="W1262" s="200">
        <f>_xll.qlCalendarAdvance(Calendar,W1261,V1262,"f",FALSE)</f>
        <v>47724</v>
      </c>
      <c r="X1262" s="203">
        <f>_xll.qlCalendarAdvance(Calendar,W1262,NDays&amp;"D")</f>
        <v>47728</v>
      </c>
      <c r="Y1262" s="204">
        <v>2.3382423778768313E-2</v>
      </c>
      <c r="Z1262" s="201">
        <v>2.3364416486417738E-2</v>
      </c>
    </row>
    <row r="1263" spans="22:26" x14ac:dyDescent="0.2">
      <c r="V1263" s="202" t="str">
        <f t="shared" si="28"/>
        <v>1w</v>
      </c>
      <c r="W1263" s="200">
        <f>_xll.qlCalendarAdvance(Calendar,W1262,V1263,"f",FALSE)</f>
        <v>47731</v>
      </c>
      <c r="X1263" s="203">
        <f>_xll.qlCalendarAdvance(Calendar,W1263,NDays&amp;"D")</f>
        <v>47735</v>
      </c>
      <c r="Y1263" s="204">
        <v>2.3380482194975905E-2</v>
      </c>
      <c r="Z1263" s="201">
        <v>2.3362502802486418E-2</v>
      </c>
    </row>
    <row r="1264" spans="22:26" x14ac:dyDescent="0.2">
      <c r="V1264" s="202" t="str">
        <f t="shared" si="28"/>
        <v>1w</v>
      </c>
      <c r="W1264" s="200">
        <f>_xll.qlCalendarAdvance(Calendar,W1263,V1264,"f",FALSE)</f>
        <v>47738</v>
      </c>
      <c r="X1264" s="203">
        <f>_xll.qlCalendarAdvance(Calendar,W1264,NDays&amp;"D")</f>
        <v>47742</v>
      </c>
      <c r="Y1264" s="204">
        <v>2.3378528882640026E-2</v>
      </c>
      <c r="Z1264" s="201">
        <v>2.3360577411679628E-2</v>
      </c>
    </row>
    <row r="1265" spans="22:26" x14ac:dyDescent="0.2">
      <c r="V1265" s="202" t="str">
        <f t="shared" si="28"/>
        <v>1w</v>
      </c>
      <c r="W1265" s="200">
        <f>_xll.qlCalendarAdvance(Calendar,W1264,V1265,"f",FALSE)</f>
        <v>47745</v>
      </c>
      <c r="X1265" s="203">
        <f>_xll.qlCalendarAdvance(Calendar,W1265,NDays&amp;"D")</f>
        <v>47749</v>
      </c>
      <c r="Y1265" s="204">
        <v>2.3376563841768672E-2</v>
      </c>
      <c r="Z1265" s="201">
        <v>2.3358640314077306E-2</v>
      </c>
    </row>
    <row r="1266" spans="22:26" x14ac:dyDescent="0.2">
      <c r="V1266" s="202" t="str">
        <f t="shared" si="28"/>
        <v>1w</v>
      </c>
      <c r="W1266" s="200">
        <f>_xll.qlCalendarAdvance(Calendar,W1265,V1266,"f",FALSE)</f>
        <v>47752</v>
      </c>
      <c r="X1266" s="203">
        <f>_xll.qlCalendarAdvance(Calendar,W1266,NDays&amp;"D")</f>
        <v>47756</v>
      </c>
      <c r="Y1266" s="204">
        <v>2.3375203181366603E-2</v>
      </c>
      <c r="Z1266" s="201">
        <v>2.335669150967945E-2</v>
      </c>
    </row>
    <row r="1267" spans="22:26" x14ac:dyDescent="0.2">
      <c r="V1267" s="202" t="str">
        <f t="shared" si="28"/>
        <v>1w</v>
      </c>
      <c r="W1267" s="200">
        <f>_xll.qlCalendarAdvance(Calendar,W1266,V1267,"f",FALSE)</f>
        <v>47759</v>
      </c>
      <c r="X1267" s="203">
        <f>_xll.qlCalendarAdvance(Calendar,W1267,NDays&amp;"D")</f>
        <v>47763</v>
      </c>
      <c r="Y1267" s="204">
        <v>2.3373213716644605E-2</v>
      </c>
      <c r="Z1267" s="201">
        <v>2.3354730998486062E-2</v>
      </c>
    </row>
    <row r="1268" spans="22:26" x14ac:dyDescent="0.2">
      <c r="V1268" s="202" t="str">
        <f t="shared" si="28"/>
        <v>1w</v>
      </c>
      <c r="W1268" s="200">
        <f>_xll.qlCalendarAdvance(Calendar,W1267,V1268,"f",FALSE)</f>
        <v>47766</v>
      </c>
      <c r="X1268" s="203">
        <f>_xll.qlCalendarAdvance(Calendar,W1268,NDays&amp;"D")</f>
        <v>47770</v>
      </c>
      <c r="Y1268" s="204">
        <v>2.337121252265989E-2</v>
      </c>
      <c r="Z1268" s="201">
        <v>2.335275878049714E-2</v>
      </c>
    </row>
    <row r="1269" spans="22:26" x14ac:dyDescent="0.2">
      <c r="V1269" s="202" t="str">
        <f t="shared" si="28"/>
        <v>1w</v>
      </c>
      <c r="W1269" s="200">
        <f>_xll.qlCalendarAdvance(Calendar,W1268,V1269,"f",FALSE)</f>
        <v>47773</v>
      </c>
      <c r="X1269" s="203">
        <f>_xll.qlCalendarAdvance(Calendar,W1269,NDays&amp;"D")</f>
        <v>47777</v>
      </c>
      <c r="Y1269" s="204">
        <v>2.3369199599409869E-2</v>
      </c>
      <c r="Z1269" s="201">
        <v>2.3350774855712686E-2</v>
      </c>
    </row>
    <row r="1270" spans="22:26" x14ac:dyDescent="0.2">
      <c r="V1270" s="202" t="str">
        <f t="shared" si="28"/>
        <v>1w</v>
      </c>
      <c r="W1270" s="200">
        <f>_xll.qlCalendarAdvance(Calendar,W1269,V1270,"f",FALSE)</f>
        <v>47780</v>
      </c>
      <c r="X1270" s="203">
        <f>_xll.qlCalendarAdvance(Calendar,W1270,NDays&amp;"D")</f>
        <v>47784</v>
      </c>
      <c r="Y1270" s="204">
        <v>2.3367174946904865E-2</v>
      </c>
      <c r="Z1270" s="201">
        <v>2.3348779224052763E-2</v>
      </c>
    </row>
    <row r="1271" spans="22:26" x14ac:dyDescent="0.2">
      <c r="V1271" s="202" t="str">
        <f t="shared" si="28"/>
        <v>1w</v>
      </c>
      <c r="W1271" s="200">
        <f>_xll.qlCalendarAdvance(Calendar,W1270,V1271,"f",FALSE)</f>
        <v>47787</v>
      </c>
      <c r="X1271" s="203">
        <f>_xll.qlCalendarAdvance(Calendar,W1271,NDays&amp;"D")</f>
        <v>47791</v>
      </c>
      <c r="Y1271" s="204">
        <v>2.3364527297588644E-2</v>
      </c>
      <c r="Z1271" s="201">
        <v>2.3346771885677242E-2</v>
      </c>
    </row>
    <row r="1272" spans="22:26" x14ac:dyDescent="0.2">
      <c r="V1272" s="202" t="str">
        <f t="shared" si="28"/>
        <v>1w</v>
      </c>
      <c r="W1272" s="200">
        <f>_xll.qlCalendarAdvance(Calendar,W1271,V1272,"f",FALSE)</f>
        <v>47794</v>
      </c>
      <c r="X1272" s="203">
        <f>_xll.qlCalendarAdvance(Calendar,W1272,NDays&amp;"D")</f>
        <v>47798</v>
      </c>
      <c r="Y1272" s="204">
        <v>2.33624801571235E-2</v>
      </c>
      <c r="Z1272" s="201">
        <v>2.3344752840426253E-2</v>
      </c>
    </row>
    <row r="1273" spans="22:26" x14ac:dyDescent="0.2">
      <c r="V1273" s="202" t="str">
        <f t="shared" si="28"/>
        <v>1w</v>
      </c>
      <c r="W1273" s="200">
        <f>_xll.qlCalendarAdvance(Calendar,W1272,V1273,"f",FALSE)</f>
        <v>47801</v>
      </c>
      <c r="X1273" s="203">
        <f>_xll.qlCalendarAdvance(Calendar,W1273,NDays&amp;"D")</f>
        <v>47805</v>
      </c>
      <c r="Y1273" s="204">
        <v>2.3360421288165512E-2</v>
      </c>
      <c r="Z1273" s="201">
        <v>2.3342722088459666E-2</v>
      </c>
    </row>
    <row r="1274" spans="22:26" x14ac:dyDescent="0.2">
      <c r="V1274" s="202" t="str">
        <f t="shared" si="28"/>
        <v>1w</v>
      </c>
      <c r="W1274" s="200">
        <f>_xll.qlCalendarAdvance(Calendar,W1273,V1274,"f",FALSE)</f>
        <v>47808</v>
      </c>
      <c r="X1274" s="203">
        <f>_xll.qlCalendarAdvance(Calendar,W1274,NDays&amp;"D")</f>
        <v>47812</v>
      </c>
      <c r="Y1274" s="204">
        <v>2.3359567331764919E-2</v>
      </c>
      <c r="Z1274" s="201">
        <v>2.3340679629697547E-2</v>
      </c>
    </row>
    <row r="1275" spans="22:26" x14ac:dyDescent="0.2">
      <c r="V1275" s="202" t="str">
        <f t="shared" si="28"/>
        <v>1w</v>
      </c>
      <c r="W1275" s="200">
        <f>_xll.qlCalendarAdvance(Calendar,W1274,V1275,"f",FALSE)</f>
        <v>47815</v>
      </c>
      <c r="X1275" s="203">
        <f>_xll.qlCalendarAdvance(Calendar,W1275,NDays&amp;"D")</f>
        <v>47819</v>
      </c>
      <c r="Y1275" s="204">
        <v>2.3356875745735538E-2</v>
      </c>
      <c r="Z1275" s="201">
        <v>2.3338625464059959E-2</v>
      </c>
    </row>
    <row r="1276" spans="22:26" x14ac:dyDescent="0.2">
      <c r="V1276" s="202" t="str">
        <f t="shared" si="28"/>
        <v>1w</v>
      </c>
      <c r="W1276" s="200">
        <f>_xll.qlCalendarAdvance(Calendar,W1275,V1276,"f",FALSE)</f>
        <v>47822</v>
      </c>
      <c r="X1276" s="203">
        <f>_xll.qlCalendarAdvance(Calendar,W1276,NDays&amp;"D")</f>
        <v>47826</v>
      </c>
      <c r="Y1276" s="204">
        <v>2.3354780717816648E-2</v>
      </c>
      <c r="Z1276" s="201">
        <v>2.3336559591706774E-2</v>
      </c>
    </row>
    <row r="1277" spans="22:26" x14ac:dyDescent="0.2">
      <c r="V1277" s="202" t="str">
        <f t="shared" si="28"/>
        <v>1w</v>
      </c>
      <c r="W1277" s="200">
        <f>_xll.qlCalendarAdvance(Calendar,W1276,V1277,"f",FALSE)</f>
        <v>47829</v>
      </c>
      <c r="X1277" s="203">
        <f>_xll.qlCalendarAdvance(Calendar,W1277,NDays&amp;"D")</f>
        <v>47833</v>
      </c>
      <c r="Y1277" s="204">
        <v>2.3352673960689189E-2</v>
      </c>
      <c r="Z1277" s="201">
        <v>2.3334482012558055E-2</v>
      </c>
    </row>
    <row r="1278" spans="22:26" x14ac:dyDescent="0.2">
      <c r="V1278" s="202" t="str">
        <f t="shared" si="28"/>
        <v>1w</v>
      </c>
      <c r="W1278" s="200">
        <f>_xll.qlCalendarAdvance(Calendar,W1277,V1278,"f",FALSE)</f>
        <v>47836</v>
      </c>
      <c r="X1278" s="203">
        <f>_xll.qlCalendarAdvance(Calendar,W1278,NDays&amp;"D")</f>
        <v>47840</v>
      </c>
      <c r="Y1278" s="204">
        <v>2.3350555474350578E-2</v>
      </c>
      <c r="Z1278" s="201">
        <v>2.3332392726613804E-2</v>
      </c>
    </row>
    <row r="1279" spans="22:26" x14ac:dyDescent="0.2">
      <c r="V1279" s="202" t="str">
        <f t="shared" si="28"/>
        <v>1w</v>
      </c>
      <c r="W1279" s="200">
        <f>_xll.qlCalendarAdvance(Calendar,W1278,V1279,"f",FALSE)</f>
        <v>47844</v>
      </c>
      <c r="X1279" s="203">
        <f>_xll.qlCalendarAdvance(Calendar,W1279,NDays&amp;"D")</f>
        <v>47848</v>
      </c>
      <c r="Y1279" s="204">
        <v>2.3348119984821815E-2</v>
      </c>
      <c r="Z1279" s="201">
        <v>2.3330595914554664E-2</v>
      </c>
    </row>
    <row r="1280" spans="22:26" x14ac:dyDescent="0.2">
      <c r="V1280" s="202" t="str">
        <f t="shared" si="28"/>
        <v>1w</v>
      </c>
      <c r="W1280" s="200">
        <f>_xll.qlCalendarAdvance(Calendar,W1279,V1280,"f",FALSE)</f>
        <v>47851</v>
      </c>
      <c r="X1280" s="203">
        <f>_xll.qlCalendarAdvance(Calendar,W1280,NDays&amp;"D")</f>
        <v>47855</v>
      </c>
      <c r="Y1280" s="204">
        <v>2.334597636449541E-2</v>
      </c>
      <c r="Z1280" s="201">
        <v>2.3327876264369607E-2</v>
      </c>
    </row>
    <row r="1281" spans="22:26" x14ac:dyDescent="0.2">
      <c r="V1281" s="202" t="str">
        <f t="shared" si="28"/>
        <v>1w</v>
      </c>
      <c r="W1281" s="200">
        <f>_xll.qlCalendarAdvance(Calendar,W1280,V1281,"f",FALSE)</f>
        <v>47858</v>
      </c>
      <c r="X1281" s="203">
        <f>_xll.qlCalendarAdvance(Calendar,W1281,NDays&amp;"D")</f>
        <v>47862</v>
      </c>
      <c r="Y1281" s="204">
        <v>2.3343821014975903E-2</v>
      </c>
      <c r="Z1281" s="201">
        <v>2.3325750185616556E-2</v>
      </c>
    </row>
    <row r="1282" spans="22:26" x14ac:dyDescent="0.2">
      <c r="V1282" s="202" t="str">
        <f t="shared" si="28"/>
        <v>1w</v>
      </c>
      <c r="W1282" s="200">
        <f>_xll.qlCalendarAdvance(Calendar,W1281,V1282,"f",FALSE)</f>
        <v>47865</v>
      </c>
      <c r="X1282" s="203">
        <f>_xll.qlCalendarAdvance(Calendar,W1282,NDays&amp;"D")</f>
        <v>47869</v>
      </c>
      <c r="Y1282" s="204">
        <v>2.3341653936281348E-2</v>
      </c>
      <c r="Z1282" s="201">
        <v>2.3323612399988036E-2</v>
      </c>
    </row>
    <row r="1283" spans="22:26" x14ac:dyDescent="0.2">
      <c r="V1283" s="202" t="str">
        <f t="shared" si="28"/>
        <v>1w</v>
      </c>
      <c r="W1283" s="200">
        <f>_xll.qlCalendarAdvance(Calendar,W1282,V1283,"f",FALSE)</f>
        <v>47872</v>
      </c>
      <c r="X1283" s="203">
        <f>_xll.qlCalendarAdvance(Calendar,W1283,NDays&amp;"D")</f>
        <v>47876</v>
      </c>
      <c r="Y1283" s="204">
        <v>2.3339475128411738E-2</v>
      </c>
      <c r="Z1283" s="201">
        <v>2.3321462907723856E-2</v>
      </c>
    </row>
    <row r="1284" spans="22:26" x14ac:dyDescent="0.2">
      <c r="V1284" s="202" t="str">
        <f t="shared" si="28"/>
        <v>1w</v>
      </c>
      <c r="W1284" s="200">
        <f>_xll.qlCalendarAdvance(Calendar,W1283,V1284,"f",FALSE)</f>
        <v>47879</v>
      </c>
      <c r="X1284" s="203">
        <f>_xll.qlCalendarAdvance(Calendar,W1284,NDays&amp;"D")</f>
        <v>47883</v>
      </c>
      <c r="Y1284" s="204">
        <v>2.3335489031857431E-2</v>
      </c>
      <c r="Z1284" s="201">
        <v>2.331930170850427E-2</v>
      </c>
    </row>
    <row r="1285" spans="22:26" x14ac:dyDescent="0.2">
      <c r="V1285" s="202" t="str">
        <f t="shared" si="28"/>
        <v>1w</v>
      </c>
      <c r="W1285" s="200">
        <f>_xll.qlCalendarAdvance(Calendar,W1284,V1285,"f",FALSE)</f>
        <v>47886</v>
      </c>
      <c r="X1285" s="203">
        <f>_xll.qlCalendarAdvance(Calendar,W1285,NDays&amp;"D")</f>
        <v>47890</v>
      </c>
      <c r="Y1285" s="204">
        <v>2.3333289706372842E-2</v>
      </c>
      <c r="Z1285" s="201">
        <v>2.3317128802569087E-2</v>
      </c>
    </row>
    <row r="1286" spans="22:26" x14ac:dyDescent="0.2">
      <c r="V1286" s="202" t="str">
        <f t="shared" si="28"/>
        <v>1w</v>
      </c>
      <c r="W1286" s="200">
        <f>_xll.qlCalendarAdvance(Calendar,W1285,V1286,"f",FALSE)</f>
        <v>47893</v>
      </c>
      <c r="X1286" s="203">
        <f>_xll.qlCalendarAdvance(Calendar,W1286,NDays&amp;"D")</f>
        <v>47897</v>
      </c>
      <c r="Y1286" s="204">
        <v>2.3331078653968822E-2</v>
      </c>
      <c r="Z1286" s="201">
        <v>2.3314944189758435E-2</v>
      </c>
    </row>
    <row r="1287" spans="22:26" x14ac:dyDescent="0.2">
      <c r="V1287" s="202" t="str">
        <f t="shared" si="28"/>
        <v>1w</v>
      </c>
      <c r="W1287" s="200">
        <f>_xll.qlCalendarAdvance(Calendar,W1286,V1287,"f",FALSE)</f>
        <v>47900</v>
      </c>
      <c r="X1287" s="203">
        <f>_xll.qlCalendarAdvance(Calendar,W1287,NDays&amp;"D")</f>
        <v>47904</v>
      </c>
      <c r="Y1287" s="204">
        <v>2.3328855874653925E-2</v>
      </c>
      <c r="Z1287" s="201">
        <v>2.3312747870232187E-2</v>
      </c>
    </row>
    <row r="1288" spans="22:26" x14ac:dyDescent="0.2">
      <c r="V1288" s="202" t="str">
        <f t="shared" si="28"/>
        <v>1w</v>
      </c>
      <c r="W1288" s="200">
        <f>_xll.qlCalendarAdvance(Calendar,W1287,V1288,"f",FALSE)</f>
        <v>47907</v>
      </c>
      <c r="X1288" s="203">
        <f>_xll.qlCalendarAdvance(Calendar,W1288,NDays&amp;"D")</f>
        <v>47911</v>
      </c>
      <c r="Y1288" s="204">
        <v>2.332840515169322E-2</v>
      </c>
      <c r="Z1288" s="201">
        <v>2.3310539843910405E-2</v>
      </c>
    </row>
    <row r="1289" spans="22:26" x14ac:dyDescent="0.2">
      <c r="V1289" s="202" t="str">
        <f t="shared" si="28"/>
        <v>1w</v>
      </c>
      <c r="W1289" s="200">
        <f>_xll.qlCalendarAdvance(Calendar,W1288,V1289,"f",FALSE)</f>
        <v>47914</v>
      </c>
      <c r="X1289" s="203">
        <f>_xll.qlCalendarAdvance(Calendar,W1289,NDays&amp;"D")</f>
        <v>47918</v>
      </c>
      <c r="Y1289" s="204">
        <v>2.332852945985131E-2</v>
      </c>
      <c r="Z1289" s="201">
        <v>2.330832011079309E-2</v>
      </c>
    </row>
    <row r="1290" spans="22:26" x14ac:dyDescent="0.2">
      <c r="V1290" s="202" t="str">
        <f t="shared" si="28"/>
        <v>1w</v>
      </c>
      <c r="W1290" s="200">
        <f>_xll.qlCalendarAdvance(Calendar,W1289,V1290,"f",FALSE)</f>
        <v>47921</v>
      </c>
      <c r="X1290" s="203">
        <f>_xll.qlCalendarAdvance(Calendar,W1290,NDays&amp;"D")</f>
        <v>47925</v>
      </c>
      <c r="Y1290" s="204">
        <v>2.3323895057023879E-2</v>
      </c>
      <c r="Z1290" s="201">
        <v>2.3306088670880243E-2</v>
      </c>
    </row>
    <row r="1291" spans="22:26" x14ac:dyDescent="0.2">
      <c r="V1291" s="202" t="str">
        <f t="shared" si="28"/>
        <v>1w</v>
      </c>
      <c r="W1291" s="200">
        <f>_xll.qlCalendarAdvance(Calendar,W1290,V1291,"f",FALSE)</f>
        <v>47928</v>
      </c>
      <c r="X1291" s="203">
        <f>_xll.qlCalendarAdvance(Calendar,W1291,NDays&amp;"D")</f>
        <v>47932</v>
      </c>
      <c r="Y1291" s="204">
        <v>2.3321622416006566E-2</v>
      </c>
      <c r="Z1291" s="201">
        <v>2.3303845524171862E-2</v>
      </c>
    </row>
    <row r="1292" spans="22:26" x14ac:dyDescent="0.2">
      <c r="V1292" s="202" t="str">
        <f t="shared" si="28"/>
        <v>1w</v>
      </c>
      <c r="W1292" s="200">
        <f>_xll.qlCalendarAdvance(Calendar,W1291,V1292,"f",FALSE)</f>
        <v>47935</v>
      </c>
      <c r="X1292" s="203">
        <f>_xll.qlCalendarAdvance(Calendar,W1292,NDays&amp;"D")</f>
        <v>47939</v>
      </c>
      <c r="Y1292" s="204">
        <v>2.331933804587609E-2</v>
      </c>
      <c r="Z1292" s="201">
        <v>2.3301590670667949E-2</v>
      </c>
    </row>
    <row r="1293" spans="22:26" x14ac:dyDescent="0.2">
      <c r="V1293" s="202" t="str">
        <f t="shared" si="28"/>
        <v>1w</v>
      </c>
      <c r="W1293" s="200">
        <f>_xll.qlCalendarAdvance(Calendar,W1292,V1293,"f",FALSE)</f>
        <v>47942</v>
      </c>
      <c r="X1293" s="203">
        <f>_xll.qlCalendarAdvance(Calendar,W1293,NDays&amp;"D")</f>
        <v>47946</v>
      </c>
      <c r="Y1293" s="204">
        <v>2.3316452344322336E-2</v>
      </c>
      <c r="Z1293" s="201">
        <v>2.3299324110368502E-2</v>
      </c>
    </row>
    <row r="1294" spans="22:26" x14ac:dyDescent="0.2">
      <c r="V1294" s="202" t="str">
        <f t="shared" si="28"/>
        <v>1w</v>
      </c>
      <c r="W1294" s="200">
        <f>_xll.qlCalendarAdvance(Calendar,W1293,V1294,"f",FALSE)</f>
        <v>47953</v>
      </c>
      <c r="X1294" s="203">
        <f>_xll.qlCalendarAdvance(Calendar,W1294,NDays&amp;"D")</f>
        <v>47955</v>
      </c>
      <c r="Y1294" s="204">
        <v>2.3314660848827717E-2</v>
      </c>
      <c r="Z1294" s="201">
        <v>2.3296392759526441E-2</v>
      </c>
    </row>
    <row r="1295" spans="22:26" x14ac:dyDescent="0.2">
      <c r="V1295" s="202" t="str">
        <f t="shared" si="28"/>
        <v>1w</v>
      </c>
      <c r="W1295" s="200">
        <f>_xll.qlCalendarAdvance(Calendar,W1294,V1295,"f",FALSE)</f>
        <v>47960</v>
      </c>
      <c r="X1295" s="203">
        <f>_xll.qlCalendarAdvance(Calendar,W1295,NDays&amp;"D")</f>
        <v>47962</v>
      </c>
      <c r="Y1295" s="204">
        <v>2.3312336952105162E-2</v>
      </c>
      <c r="Z1295" s="201">
        <v>2.3294099440871463E-2</v>
      </c>
    </row>
    <row r="1296" spans="22:26" x14ac:dyDescent="0.2">
      <c r="V1296" s="202" t="str">
        <f t="shared" si="28"/>
        <v>1w</v>
      </c>
      <c r="W1296" s="200">
        <f>_xll.qlCalendarAdvance(Calendar,W1295,V1296,"f",FALSE)</f>
        <v>47967</v>
      </c>
      <c r="X1296" s="203">
        <f>_xll.qlCalendarAdvance(Calendar,W1296,NDays&amp;"D")</f>
        <v>47970</v>
      </c>
      <c r="Y1296" s="204">
        <v>2.3309080561042958E-2</v>
      </c>
      <c r="Z1296" s="201">
        <v>2.3292640519594343E-2</v>
      </c>
    </row>
    <row r="1297" spans="22:26" x14ac:dyDescent="0.2">
      <c r="V1297" s="202" t="str">
        <f t="shared" si="28"/>
        <v>1w</v>
      </c>
      <c r="W1297" s="200">
        <f>_xll.qlCalendarAdvance(Calendar,W1296,V1297,"f",FALSE)</f>
        <v>47974</v>
      </c>
      <c r="X1297" s="203">
        <f>_xll.qlCalendarAdvance(Calendar,W1297,NDays&amp;"D")</f>
        <v>47976</v>
      </c>
      <c r="Y1297" s="204">
        <v>2.3307653969193709E-2</v>
      </c>
      <c r="Z1297" s="201">
        <v>2.3289477683094972E-2</v>
      </c>
    </row>
    <row r="1298" spans="22:26" x14ac:dyDescent="0.2">
      <c r="V1298" s="202" t="str">
        <f t="shared" si="28"/>
        <v>1w</v>
      </c>
      <c r="W1298" s="200">
        <f>_xll.qlCalendarAdvance(Calendar,W1297,V1298,"f",FALSE)</f>
        <v>47981</v>
      </c>
      <c r="X1298" s="203">
        <f>_xll.qlCalendarAdvance(Calendar,W1298,NDays&amp;"D")</f>
        <v>47983</v>
      </c>
      <c r="Y1298" s="204">
        <v>2.3305294883014804E-2</v>
      </c>
      <c r="Z1298" s="201">
        <v>2.3287149244053396E-2</v>
      </c>
    </row>
    <row r="1299" spans="22:26" x14ac:dyDescent="0.2">
      <c r="V1299" s="202" t="str">
        <f t="shared" si="28"/>
        <v>1w</v>
      </c>
      <c r="W1299" s="200">
        <f>_xll.qlCalendarAdvance(Calendar,W1298,V1299,"f",FALSE)</f>
        <v>47988</v>
      </c>
      <c r="X1299" s="203">
        <f>_xll.qlCalendarAdvance(Calendar,W1299,NDays&amp;"D")</f>
        <v>47990</v>
      </c>
      <c r="Y1299" s="204">
        <v>2.3302924067031272E-2</v>
      </c>
      <c r="Z1299" s="201">
        <v>2.328480909813635E-2</v>
      </c>
    </row>
    <row r="1300" spans="22:26" x14ac:dyDescent="0.2">
      <c r="V1300" s="202" t="str">
        <f t="shared" si="28"/>
        <v>1w</v>
      </c>
      <c r="W1300" s="200">
        <f>_xll.qlCalendarAdvance(Calendar,W1299,V1300,"f",FALSE)</f>
        <v>47995</v>
      </c>
      <c r="X1300" s="203">
        <f>_xll.qlCalendarAdvance(Calendar,W1300,NDays&amp;"D")</f>
        <v>47997</v>
      </c>
      <c r="Y1300" s="204">
        <v>2.3300541521255602E-2</v>
      </c>
      <c r="Z1300" s="201">
        <v>2.3282457245503707E-2</v>
      </c>
    </row>
    <row r="1301" spans="22:26" x14ac:dyDescent="0.2">
      <c r="V1301" s="202" t="str">
        <f t="shared" ref="V1301:V1364" si="29">V1300</f>
        <v>1w</v>
      </c>
      <c r="W1301" s="200">
        <f>_xll.qlCalendarAdvance(Calendar,W1300,V1301,"f",FALSE)</f>
        <v>48002</v>
      </c>
      <c r="X1301" s="203">
        <f>_xll.qlCalendarAdvance(Calendar,W1301,NDays&amp;"D")</f>
        <v>48004</v>
      </c>
      <c r="Y1301" s="204">
        <v>2.3298147245685297E-2</v>
      </c>
      <c r="Z1301" s="201">
        <v>2.3280093685995595E-2</v>
      </c>
    </row>
    <row r="1302" spans="22:26" x14ac:dyDescent="0.2">
      <c r="V1302" s="202" t="str">
        <f t="shared" si="29"/>
        <v>1w</v>
      </c>
      <c r="W1302" s="200">
        <f>_xll.qlCalendarAdvance(Calendar,W1301,V1302,"f",FALSE)</f>
        <v>48009</v>
      </c>
      <c r="X1302" s="203">
        <f>_xll.qlCalendarAdvance(Calendar,W1302,NDays&amp;"D")</f>
        <v>48011</v>
      </c>
      <c r="Y1302" s="204">
        <v>2.3295741240335344E-2</v>
      </c>
      <c r="Z1302" s="201">
        <v>2.3277718419851823E-2</v>
      </c>
    </row>
    <row r="1303" spans="22:26" x14ac:dyDescent="0.2">
      <c r="V1303" s="202" t="str">
        <f t="shared" si="29"/>
        <v>1w</v>
      </c>
      <c r="W1303" s="200">
        <f>_xll.qlCalendarAdvance(Calendar,W1302,V1303,"f",FALSE)</f>
        <v>48016</v>
      </c>
      <c r="X1303" s="203">
        <f>_xll.qlCalendarAdvance(Calendar,W1303,NDays&amp;"D")</f>
        <v>48018</v>
      </c>
      <c r="Y1303" s="204">
        <v>2.3293323505210739E-2</v>
      </c>
      <c r="Z1303" s="201">
        <v>2.3275331446832581E-2</v>
      </c>
    </row>
    <row r="1304" spans="22:26" x14ac:dyDescent="0.2">
      <c r="V1304" s="202" t="str">
        <f t="shared" si="29"/>
        <v>1w</v>
      </c>
      <c r="W1304" s="200">
        <f>_xll.qlCalendarAdvance(Calendar,W1303,V1304,"f",FALSE)</f>
        <v>48023</v>
      </c>
      <c r="X1304" s="203">
        <f>_xll.qlCalendarAdvance(Calendar,W1304,NDays&amp;"D")</f>
        <v>48025</v>
      </c>
      <c r="Y1304" s="204">
        <v>2.3290894040321475E-2</v>
      </c>
      <c r="Z1304" s="201">
        <v>2.3272932767017807E-2</v>
      </c>
    </row>
    <row r="1305" spans="22:26" x14ac:dyDescent="0.2">
      <c r="V1305" s="202" t="str">
        <f t="shared" si="29"/>
        <v>1w</v>
      </c>
      <c r="W1305" s="200">
        <f>_xll.qlCalendarAdvance(Calendar,W1304,V1305,"f",FALSE)</f>
        <v>48030</v>
      </c>
      <c r="X1305" s="203">
        <f>_xll.qlCalendarAdvance(Calendar,W1305,NDays&amp;"D")</f>
        <v>48032</v>
      </c>
      <c r="Y1305" s="204">
        <v>2.3288452845670049E-2</v>
      </c>
      <c r="Z1305" s="201">
        <v>2.3270522380327563E-2</v>
      </c>
    </row>
    <row r="1306" spans="22:26" x14ac:dyDescent="0.2">
      <c r="V1306" s="202" t="str">
        <f t="shared" si="29"/>
        <v>1w</v>
      </c>
      <c r="W1306" s="200">
        <f>_xll.qlCalendarAdvance(Calendar,W1305,V1306,"f",FALSE)</f>
        <v>48037</v>
      </c>
      <c r="X1306" s="203">
        <f>_xll.qlCalendarAdvance(Calendar,W1306,NDays&amp;"D")</f>
        <v>48039</v>
      </c>
      <c r="Y1306" s="204">
        <v>2.3285999921266454E-2</v>
      </c>
      <c r="Z1306" s="201">
        <v>2.3268100287001658E-2</v>
      </c>
    </row>
    <row r="1307" spans="22:26" x14ac:dyDescent="0.2">
      <c r="V1307" s="202" t="str">
        <f t="shared" si="29"/>
        <v>1w</v>
      </c>
      <c r="W1307" s="200">
        <f>_xll.qlCalendarAdvance(Calendar,W1306,V1307,"f",FALSE)</f>
        <v>48044</v>
      </c>
      <c r="X1307" s="203">
        <f>_xll.qlCalendarAdvance(Calendar,W1307,NDays&amp;"D")</f>
        <v>48046</v>
      </c>
      <c r="Y1307" s="204">
        <v>2.3283535267118183E-2</v>
      </c>
      <c r="Z1307" s="201">
        <v>2.3265666486720349E-2</v>
      </c>
    </row>
    <row r="1308" spans="22:26" x14ac:dyDescent="0.2">
      <c r="V1308" s="202" t="str">
        <f t="shared" si="29"/>
        <v>1w</v>
      </c>
      <c r="W1308" s="200">
        <f>_xll.qlCalendarAdvance(Calendar,W1307,V1308,"f",FALSE)</f>
        <v>48051</v>
      </c>
      <c r="X1308" s="203">
        <f>_xll.qlCalendarAdvance(Calendar,W1308,NDays&amp;"D")</f>
        <v>48053</v>
      </c>
      <c r="Y1308" s="204">
        <v>2.3281058883237726E-2</v>
      </c>
      <c r="Z1308" s="201">
        <v>2.3263220979803378E-2</v>
      </c>
    </row>
    <row r="1309" spans="22:26" x14ac:dyDescent="0.2">
      <c r="V1309" s="202" t="str">
        <f t="shared" si="29"/>
        <v>1w</v>
      </c>
      <c r="W1309" s="200">
        <f>_xll.qlCalendarAdvance(Calendar,W1308,V1309,"f",FALSE)</f>
        <v>48058</v>
      </c>
      <c r="X1309" s="203">
        <f>_xll.qlCalendarAdvance(Calendar,W1309,NDays&amp;"D")</f>
        <v>48060</v>
      </c>
      <c r="Y1309" s="204">
        <v>2.3276850464557977E-2</v>
      </c>
      <c r="Z1309" s="201">
        <v>2.3260763765931003E-2</v>
      </c>
    </row>
    <row r="1310" spans="22:26" x14ac:dyDescent="0.2">
      <c r="V1310" s="202" t="str">
        <f t="shared" si="29"/>
        <v>1w</v>
      </c>
      <c r="W1310" s="200">
        <f>_xll.qlCalendarAdvance(Calendar,W1309,V1310,"f",FALSE)</f>
        <v>48065</v>
      </c>
      <c r="X1310" s="203">
        <f>_xll.qlCalendarAdvance(Calendar,W1310,NDays&amp;"D")</f>
        <v>48067</v>
      </c>
      <c r="Y1310" s="204">
        <v>2.3276070926295245E-2</v>
      </c>
      <c r="Z1310" s="201">
        <v>2.3258294845422967E-2</v>
      </c>
    </row>
    <row r="1311" spans="22:26" x14ac:dyDescent="0.2">
      <c r="V1311" s="202" t="str">
        <f t="shared" si="29"/>
        <v>1w</v>
      </c>
      <c r="W1311" s="200">
        <f>_xll.qlCalendarAdvance(Calendar,W1310,V1311,"f",FALSE)</f>
        <v>48072</v>
      </c>
      <c r="X1311" s="203">
        <f>_xll.qlCalendarAdvance(Calendar,W1311,NDays&amp;"D")</f>
        <v>48074</v>
      </c>
      <c r="Y1311" s="204">
        <v>2.3273559353248208E-2</v>
      </c>
      <c r="Z1311" s="201">
        <v>2.3255814218119397E-2</v>
      </c>
    </row>
    <row r="1312" spans="22:26" x14ac:dyDescent="0.2">
      <c r="V1312" s="202" t="str">
        <f t="shared" si="29"/>
        <v>1w</v>
      </c>
      <c r="W1312" s="200">
        <f>_xll.qlCalendarAdvance(Calendar,W1311,V1312,"f",FALSE)</f>
        <v>48079</v>
      </c>
      <c r="X1312" s="203">
        <f>_xll.qlCalendarAdvance(Calendar,W1312,NDays&amp;"D")</f>
        <v>48081</v>
      </c>
      <c r="Y1312" s="204">
        <v>2.3271036050496463E-2</v>
      </c>
      <c r="Z1312" s="201">
        <v>2.3253321883940359E-2</v>
      </c>
    </row>
    <row r="1313" spans="22:26" x14ac:dyDescent="0.2">
      <c r="V1313" s="202" t="str">
        <f t="shared" si="29"/>
        <v>1w</v>
      </c>
      <c r="W1313" s="200">
        <f>_xll.qlCalendarAdvance(Calendar,W1312,V1313,"f",FALSE)</f>
        <v>48086</v>
      </c>
      <c r="X1313" s="203">
        <f>_xll.qlCalendarAdvance(Calendar,W1313,NDays&amp;"D")</f>
        <v>48088</v>
      </c>
      <c r="Y1313" s="204">
        <v>2.3268501018052501E-2</v>
      </c>
      <c r="Z1313" s="201">
        <v>2.3250817843045724E-2</v>
      </c>
    </row>
    <row r="1314" spans="22:26" x14ac:dyDescent="0.2">
      <c r="V1314" s="202" t="str">
        <f t="shared" si="29"/>
        <v>1w</v>
      </c>
      <c r="W1314" s="200">
        <f>_xll.qlCalendarAdvance(Calendar,W1313,V1314,"f",FALSE)</f>
        <v>48093</v>
      </c>
      <c r="X1314" s="203">
        <f>_xll.qlCalendarAdvance(Calendar,W1314,NDays&amp;"D")</f>
        <v>48095</v>
      </c>
      <c r="Y1314" s="204">
        <v>2.3265954255913823E-2</v>
      </c>
      <c r="Z1314" s="201">
        <v>2.3248302095275619E-2</v>
      </c>
    </row>
    <row r="1315" spans="22:26" x14ac:dyDescent="0.2">
      <c r="V1315" s="202" t="str">
        <f t="shared" si="29"/>
        <v>1w</v>
      </c>
      <c r="W1315" s="200">
        <f>_xll.qlCalendarAdvance(Calendar,W1314,V1315,"f",FALSE)</f>
        <v>48100</v>
      </c>
      <c r="X1315" s="203">
        <f>_xll.qlCalendarAdvance(Calendar,W1315,NDays&amp;"D")</f>
        <v>48102</v>
      </c>
      <c r="Y1315" s="204">
        <v>2.3263395764095418E-2</v>
      </c>
      <c r="Z1315" s="201">
        <v>2.3245774640709982E-2</v>
      </c>
    </row>
    <row r="1316" spans="22:26" x14ac:dyDescent="0.2">
      <c r="V1316" s="202" t="str">
        <f t="shared" si="29"/>
        <v>1w</v>
      </c>
      <c r="W1316" s="200">
        <f>_xll.qlCalendarAdvance(Calendar,W1315,V1316,"f",FALSE)</f>
        <v>48107</v>
      </c>
      <c r="X1316" s="203">
        <f>_xll.qlCalendarAdvance(Calendar,W1316,NDays&amp;"D")</f>
        <v>48109</v>
      </c>
      <c r="Y1316" s="204">
        <v>2.3260825542602281E-2</v>
      </c>
      <c r="Z1316" s="201">
        <v>2.3243235479428748E-2</v>
      </c>
    </row>
    <row r="1317" spans="22:26" x14ac:dyDescent="0.2">
      <c r="V1317" s="202" t="str">
        <f t="shared" si="29"/>
        <v>1w</v>
      </c>
      <c r="W1317" s="200">
        <f>_xll.qlCalendarAdvance(Calendar,W1316,V1317,"f",FALSE)</f>
        <v>48114</v>
      </c>
      <c r="X1317" s="203">
        <f>_xll.qlCalendarAdvance(Calendar,W1317,NDays&amp;"D")</f>
        <v>48116</v>
      </c>
      <c r="Y1317" s="204">
        <v>2.3258243591444405E-2</v>
      </c>
      <c r="Z1317" s="201">
        <v>2.324068461135198E-2</v>
      </c>
    </row>
    <row r="1318" spans="22:26" x14ac:dyDescent="0.2">
      <c r="V1318" s="202" t="str">
        <f t="shared" si="29"/>
        <v>1w</v>
      </c>
      <c r="W1318" s="200">
        <f>_xll.qlCalendarAdvance(Calendar,W1317,V1318,"f",FALSE)</f>
        <v>48121</v>
      </c>
      <c r="X1318" s="203">
        <f>_xll.qlCalendarAdvance(Calendar,W1318,NDays&amp;"D")</f>
        <v>48123</v>
      </c>
      <c r="Y1318" s="204">
        <v>2.3255649910629284E-2</v>
      </c>
      <c r="Z1318" s="201">
        <v>2.323812203647968E-2</v>
      </c>
    </row>
    <row r="1319" spans="22:26" x14ac:dyDescent="0.2">
      <c r="V1319" s="202" t="str">
        <f t="shared" si="29"/>
        <v>1w</v>
      </c>
      <c r="W1319" s="200">
        <f>_xll.qlCalendarAdvance(Calendar,W1318,V1319,"f",FALSE)</f>
        <v>48128</v>
      </c>
      <c r="X1319" s="203">
        <f>_xll.qlCalendarAdvance(Calendar,W1319,NDays&amp;"D")</f>
        <v>48130</v>
      </c>
      <c r="Y1319" s="204">
        <v>2.3253044500166908E-2</v>
      </c>
      <c r="Z1319" s="201">
        <v>2.3235547754811847E-2</v>
      </c>
    </row>
    <row r="1320" spans="22:26" x14ac:dyDescent="0.2">
      <c r="V1320" s="202" t="str">
        <f t="shared" si="29"/>
        <v>1w</v>
      </c>
      <c r="W1320" s="200">
        <f>_xll.qlCalendarAdvance(Calendar,W1319,V1320,"f",FALSE)</f>
        <v>48135</v>
      </c>
      <c r="X1320" s="203">
        <f>_xll.qlCalendarAdvance(Calendar,W1320,NDays&amp;"D")</f>
        <v>48137</v>
      </c>
      <c r="Y1320" s="204">
        <v>2.3250427360062276E-2</v>
      </c>
      <c r="Z1320" s="201">
        <v>2.3232961766428417E-2</v>
      </c>
    </row>
    <row r="1321" spans="22:26" x14ac:dyDescent="0.2">
      <c r="V1321" s="202" t="str">
        <f t="shared" si="29"/>
        <v>1w</v>
      </c>
      <c r="W1321" s="200">
        <f>_xll.qlCalendarAdvance(Calendar,W1320,V1321,"f",FALSE)</f>
        <v>48142</v>
      </c>
      <c r="X1321" s="203">
        <f>_xll.qlCalendarAdvance(Calendar,W1321,NDays&amp;"D")</f>
        <v>48144</v>
      </c>
      <c r="Y1321" s="204">
        <v>2.324779849032288E-2</v>
      </c>
      <c r="Z1321" s="201">
        <v>2.3230364071169518E-2</v>
      </c>
    </row>
    <row r="1322" spans="22:26" x14ac:dyDescent="0.2">
      <c r="V1322" s="202" t="str">
        <f t="shared" si="29"/>
        <v>1w</v>
      </c>
      <c r="W1322" s="200">
        <f>_xll.qlCalendarAdvance(Calendar,W1321,V1322,"f",FALSE)</f>
        <v>48149</v>
      </c>
      <c r="X1322" s="203">
        <f>_xll.qlCalendarAdvance(Calendar,W1322,NDays&amp;"D")</f>
        <v>48151</v>
      </c>
      <c r="Y1322" s="204">
        <v>2.3243476724959883E-2</v>
      </c>
      <c r="Z1322" s="201">
        <v>2.3227754669195022E-2</v>
      </c>
    </row>
    <row r="1323" spans="22:26" x14ac:dyDescent="0.2">
      <c r="V1323" s="202" t="str">
        <f t="shared" si="29"/>
        <v>1w</v>
      </c>
      <c r="W1323" s="200">
        <f>_xll.qlCalendarAdvance(Calendar,W1322,V1323,"f",FALSE)</f>
        <v>48156</v>
      </c>
      <c r="X1323" s="203">
        <f>_xll.qlCalendarAdvance(Calendar,W1323,NDays&amp;"D")</f>
        <v>48158</v>
      </c>
      <c r="Y1323" s="204">
        <v>2.3242505561979765E-2</v>
      </c>
      <c r="Z1323" s="201">
        <v>2.3225133560265121E-2</v>
      </c>
    </row>
    <row r="1324" spans="22:26" x14ac:dyDescent="0.2">
      <c r="V1324" s="202" t="str">
        <f t="shared" si="29"/>
        <v>1w</v>
      </c>
      <c r="W1324" s="200">
        <f>_xll.qlCalendarAdvance(Calendar,W1323,V1324,"f",FALSE)</f>
        <v>48163</v>
      </c>
      <c r="X1324" s="203">
        <f>_xll.qlCalendarAdvance(Calendar,W1324,NDays&amp;"D")</f>
        <v>48165</v>
      </c>
      <c r="Y1324" s="204">
        <v>2.3239841503393532E-2</v>
      </c>
      <c r="Z1324" s="201">
        <v>2.3222500744699559E-2</v>
      </c>
    </row>
    <row r="1325" spans="22:26" x14ac:dyDescent="0.2">
      <c r="V1325" s="202" t="str">
        <f t="shared" si="29"/>
        <v>1w</v>
      </c>
      <c r="W1325" s="200">
        <f>_xll.qlCalendarAdvance(Calendar,W1324,V1325,"f",FALSE)</f>
        <v>48170</v>
      </c>
      <c r="X1325" s="203">
        <f>_xll.qlCalendarAdvance(Calendar,W1325,NDays&amp;"D")</f>
        <v>48172</v>
      </c>
      <c r="Y1325" s="204">
        <v>2.323716571520501E-2</v>
      </c>
      <c r="Z1325" s="201">
        <v>2.3219856222338464E-2</v>
      </c>
    </row>
    <row r="1326" spans="22:26" x14ac:dyDescent="0.2">
      <c r="V1326" s="202" t="str">
        <f t="shared" si="29"/>
        <v>1w</v>
      </c>
      <c r="W1326" s="200">
        <f>_xll.qlCalendarAdvance(Calendar,W1325,V1326,"f",FALSE)</f>
        <v>48177</v>
      </c>
      <c r="X1326" s="203">
        <f>_xll.qlCalendarAdvance(Calendar,W1326,NDays&amp;"D")</f>
        <v>48179</v>
      </c>
      <c r="Y1326" s="204">
        <v>2.3234478197426689E-2</v>
      </c>
      <c r="Z1326" s="201">
        <v>2.3217199993181836E-2</v>
      </c>
    </row>
    <row r="1327" spans="22:26" x14ac:dyDescent="0.2">
      <c r="V1327" s="202" t="str">
        <f t="shared" si="29"/>
        <v>1w</v>
      </c>
      <c r="W1327" s="200">
        <f>_xll.qlCalendarAdvance(Calendar,W1326,V1327,"f",FALSE)</f>
        <v>48184</v>
      </c>
      <c r="X1327" s="203">
        <f>_xll.qlCalendarAdvance(Calendar,W1327,NDays&amp;"D")</f>
        <v>48186</v>
      </c>
      <c r="Y1327" s="204">
        <v>2.3231778950061066E-2</v>
      </c>
      <c r="Z1327" s="201">
        <v>2.3214532057149739E-2</v>
      </c>
    </row>
    <row r="1328" spans="22:26" x14ac:dyDescent="0.2">
      <c r="V1328" s="202" t="str">
        <f t="shared" si="29"/>
        <v>1w</v>
      </c>
      <c r="W1328" s="200">
        <f>_xll.qlCalendarAdvance(Calendar,W1327,V1328,"f",FALSE)</f>
        <v>48191</v>
      </c>
      <c r="X1328" s="203">
        <f>_xll.qlCalendarAdvance(Calendar,W1328,NDays&amp;"D")</f>
        <v>48193</v>
      </c>
      <c r="Y1328" s="204">
        <v>2.3229067973125628E-2</v>
      </c>
      <c r="Z1328" s="201">
        <v>2.3211852414481982E-2</v>
      </c>
    </row>
    <row r="1329" spans="22:26" x14ac:dyDescent="0.2">
      <c r="V1329" s="202" t="str">
        <f t="shared" si="29"/>
        <v>1w</v>
      </c>
      <c r="W1329" s="200">
        <f>_xll.qlCalendarAdvance(Calendar,W1328,V1329,"f",FALSE)</f>
        <v>48198</v>
      </c>
      <c r="X1329" s="203">
        <f>_xll.qlCalendarAdvance(Calendar,W1329,NDays&amp;"D")</f>
        <v>48200</v>
      </c>
      <c r="Y1329" s="204">
        <v>2.3226345266622872E-2</v>
      </c>
      <c r="Z1329" s="201">
        <v>2.3209161064938755E-2</v>
      </c>
    </row>
    <row r="1330" spans="22:26" x14ac:dyDescent="0.2">
      <c r="V1330" s="202" t="str">
        <f t="shared" si="29"/>
        <v>1w</v>
      </c>
      <c r="W1330" s="200">
        <f>_xll.qlCalendarAdvance(Calendar,W1329,V1330,"f",FALSE)</f>
        <v>48205</v>
      </c>
      <c r="X1330" s="203">
        <f>_xll.qlCalendarAdvance(Calendar,W1330,NDays&amp;"D")</f>
        <v>48211</v>
      </c>
      <c r="Y1330" s="204">
        <v>2.3221491383779554E-2</v>
      </c>
      <c r="Z1330" s="201">
        <v>2.3204908148919401E-2</v>
      </c>
    </row>
    <row r="1331" spans="22:26" x14ac:dyDescent="0.2">
      <c r="V1331" s="202" t="str">
        <f t="shared" si="29"/>
        <v>1w</v>
      </c>
      <c r="W1331" s="200">
        <f>_xll.qlCalendarAdvance(Calendar,W1330,V1331,"f",FALSE)</f>
        <v>48212</v>
      </c>
      <c r="X1331" s="203">
        <f>_xll.qlCalendarAdvance(Calendar,W1331,NDays&amp;"D")</f>
        <v>48215</v>
      </c>
      <c r="Y1331" s="204">
        <v>2.3219920332498225E-2</v>
      </c>
      <c r="Z1331" s="201">
        <v>2.3204460894552525E-2</v>
      </c>
    </row>
    <row r="1332" spans="22:26" x14ac:dyDescent="0.2">
      <c r="V1332" s="202" t="str">
        <f t="shared" si="29"/>
        <v>1w</v>
      </c>
      <c r="W1332" s="200">
        <f>_xll.qlCalendarAdvance(Calendar,W1331,V1332,"f",FALSE)</f>
        <v>48219</v>
      </c>
      <c r="X1332" s="203">
        <f>_xll.qlCalendarAdvance(Calendar,W1332,NDays&amp;"D")</f>
        <v>48221</v>
      </c>
      <c r="Y1332" s="204">
        <v>2.3218106769800628E-2</v>
      </c>
      <c r="Z1332" s="201">
        <v>2.3201016775695749E-2</v>
      </c>
    </row>
    <row r="1333" spans="22:26" x14ac:dyDescent="0.2">
      <c r="V1333" s="202" t="str">
        <f t="shared" si="29"/>
        <v>1w</v>
      </c>
      <c r="W1333" s="200">
        <f>_xll.qlCalendarAdvance(Calendar,W1332,V1333,"f",FALSE)</f>
        <v>48226</v>
      </c>
      <c r="X1333" s="203">
        <f>_xll.qlCalendarAdvance(Calendar,W1333,NDays&amp;"D")</f>
        <v>48228</v>
      </c>
      <c r="Y1333" s="204">
        <v>2.3215337145116033E-2</v>
      </c>
      <c r="Z1333" s="201">
        <v>2.319827859897039E-2</v>
      </c>
    </row>
    <row r="1334" spans="22:26" x14ac:dyDescent="0.2">
      <c r="V1334" s="202" t="str">
        <f t="shared" si="29"/>
        <v>1w</v>
      </c>
      <c r="W1334" s="200">
        <f>_xll.qlCalendarAdvance(Calendar,W1333,V1334,"f",FALSE)</f>
        <v>48233</v>
      </c>
      <c r="X1334" s="203">
        <f>_xll.qlCalendarAdvance(Calendar,W1334,NDays&amp;"D")</f>
        <v>48235</v>
      </c>
      <c r="Y1334" s="204">
        <v>2.3212555790909084E-2</v>
      </c>
      <c r="Z1334" s="201">
        <v>2.3195528715529434E-2</v>
      </c>
    </row>
    <row r="1335" spans="22:26" x14ac:dyDescent="0.2">
      <c r="V1335" s="202" t="str">
        <f t="shared" si="29"/>
        <v>1w</v>
      </c>
      <c r="W1335" s="200">
        <f>_xll.qlCalendarAdvance(Calendar,W1334,V1335,"f",FALSE)</f>
        <v>48240</v>
      </c>
      <c r="X1335" s="203">
        <f>_xll.qlCalendarAdvance(Calendar,W1335,NDays&amp;"D")</f>
        <v>48242</v>
      </c>
      <c r="Y1335" s="204">
        <v>2.3208121053686463E-2</v>
      </c>
      <c r="Z1335" s="201">
        <v>2.3192767125292946E-2</v>
      </c>
    </row>
    <row r="1336" spans="22:26" x14ac:dyDescent="0.2">
      <c r="V1336" s="202" t="str">
        <f t="shared" si="29"/>
        <v>1w</v>
      </c>
      <c r="W1336" s="200">
        <f>_xll.qlCalendarAdvance(Calendar,W1335,V1336,"f",FALSE)</f>
        <v>48247</v>
      </c>
      <c r="X1336" s="203">
        <f>_xll.qlCalendarAdvance(Calendar,W1336,NDays&amp;"D")</f>
        <v>48249</v>
      </c>
      <c r="Y1336" s="204">
        <v>2.3205319295302545E-2</v>
      </c>
      <c r="Z1336" s="201">
        <v>2.3189993828260924E-2</v>
      </c>
    </row>
    <row r="1337" spans="22:26" x14ac:dyDescent="0.2">
      <c r="V1337" s="202" t="str">
        <f t="shared" si="29"/>
        <v>1w</v>
      </c>
      <c r="W1337" s="200">
        <f>_xll.qlCalendarAdvance(Calendar,W1336,V1337,"f",FALSE)</f>
        <v>48254</v>
      </c>
      <c r="X1337" s="203">
        <f>_xll.qlCalendarAdvance(Calendar,W1337,NDays&amp;"D")</f>
        <v>48256</v>
      </c>
      <c r="Y1337" s="204">
        <v>2.3202505809615363E-2</v>
      </c>
      <c r="Z1337" s="201">
        <v>2.3187208824513306E-2</v>
      </c>
    </row>
    <row r="1338" spans="22:26" x14ac:dyDescent="0.2">
      <c r="V1338" s="202" t="str">
        <f t="shared" si="29"/>
        <v>1w</v>
      </c>
      <c r="W1338" s="200">
        <f>_xll.qlCalendarAdvance(Calendar,W1337,V1338,"f",FALSE)</f>
        <v>48261</v>
      </c>
      <c r="X1338" s="203">
        <f>_xll.qlCalendarAdvance(Calendar,W1338,NDays&amp;"D")</f>
        <v>48263</v>
      </c>
      <c r="Y1338" s="204">
        <v>2.3199680596641448E-2</v>
      </c>
      <c r="Z1338" s="201">
        <v>2.3184412113970154E-2</v>
      </c>
    </row>
    <row r="1339" spans="22:26" x14ac:dyDescent="0.2">
      <c r="V1339" s="202" t="str">
        <f t="shared" si="29"/>
        <v>1w</v>
      </c>
      <c r="W1339" s="200">
        <f>_xll.qlCalendarAdvance(Calendar,W1338,V1339,"f",FALSE)</f>
        <v>48268</v>
      </c>
      <c r="X1339" s="203">
        <f>_xll.qlCalendarAdvance(Calendar,W1339,NDays&amp;"D")</f>
        <v>48270</v>
      </c>
      <c r="Y1339" s="204">
        <v>2.3199016069694878E-2</v>
      </c>
      <c r="Z1339" s="201">
        <v>2.318160369663147E-2</v>
      </c>
    </row>
    <row r="1340" spans="22:26" x14ac:dyDescent="0.2">
      <c r="V1340" s="202" t="str">
        <f t="shared" si="29"/>
        <v>1w</v>
      </c>
      <c r="W1340" s="200">
        <f>_xll.qlCalendarAdvance(Calendar,W1339,V1340,"f",FALSE)</f>
        <v>48275</v>
      </c>
      <c r="X1340" s="203">
        <f>_xll.qlCalendarAdvance(Calendar,W1340,NDays&amp;"D")</f>
        <v>48277</v>
      </c>
      <c r="Y1340" s="204">
        <v>2.3195621346165096E-2</v>
      </c>
      <c r="Z1340" s="201">
        <v>2.3178783572417316E-2</v>
      </c>
    </row>
    <row r="1341" spans="22:26" x14ac:dyDescent="0.2">
      <c r="V1341" s="202" t="str">
        <f t="shared" si="29"/>
        <v>1w</v>
      </c>
      <c r="W1341" s="200">
        <f>_xll.qlCalendarAdvance(Calendar,W1340,V1341,"f",FALSE)</f>
        <v>48282</v>
      </c>
      <c r="X1341" s="203">
        <f>_xll.qlCalendarAdvance(Calendar,W1341,NDays&amp;"D")</f>
        <v>48284</v>
      </c>
      <c r="Y1341" s="204">
        <v>2.3192757885538984E-2</v>
      </c>
      <c r="Z1341" s="201">
        <v>2.3175951741567502E-2</v>
      </c>
    </row>
    <row r="1342" spans="22:26" x14ac:dyDescent="0.2">
      <c r="V1342" s="202" t="str">
        <f t="shared" si="29"/>
        <v>1w</v>
      </c>
      <c r="W1342" s="200">
        <f>_xll.qlCalendarAdvance(Calendar,W1341,V1342,"f",FALSE)</f>
        <v>48289</v>
      </c>
      <c r="X1342" s="203">
        <f>_xll.qlCalendarAdvance(Calendar,W1342,NDays&amp;"D")</f>
        <v>48291</v>
      </c>
      <c r="Y1342" s="204">
        <v>2.3189882695460462E-2</v>
      </c>
      <c r="Z1342" s="201">
        <v>2.3173108203842219E-2</v>
      </c>
    </row>
    <row r="1343" spans="22:26" x14ac:dyDescent="0.2">
      <c r="V1343" s="202" t="str">
        <f t="shared" si="29"/>
        <v>1w</v>
      </c>
      <c r="W1343" s="200">
        <f>_xll.qlCalendarAdvance(Calendar,W1342,V1343,"f",FALSE)</f>
        <v>48296</v>
      </c>
      <c r="X1343" s="203">
        <f>_xll.qlCalendarAdvance(Calendar,W1343,NDays&amp;"D")</f>
        <v>48298</v>
      </c>
      <c r="Y1343" s="204">
        <v>2.3186995775937025E-2</v>
      </c>
      <c r="Z1343" s="201">
        <v>2.3172417326374983E-2</v>
      </c>
    </row>
    <row r="1344" spans="22:26" x14ac:dyDescent="0.2">
      <c r="V1344" s="202" t="str">
        <f t="shared" si="29"/>
        <v>1w</v>
      </c>
      <c r="W1344" s="200">
        <f>_xll.qlCalendarAdvance(Calendar,W1343,V1344,"f",FALSE)</f>
        <v>48303</v>
      </c>
      <c r="X1344" s="203">
        <f>_xll.qlCalendarAdvance(Calendar,W1344,NDays&amp;"D")</f>
        <v>48305</v>
      </c>
      <c r="Y1344" s="204">
        <v>2.3184097126978664E-2</v>
      </c>
      <c r="Z1344" s="201">
        <v>2.3167386008084989E-2</v>
      </c>
    </row>
    <row r="1345" spans="22:26" x14ac:dyDescent="0.2">
      <c r="V1345" s="202" t="str">
        <f t="shared" si="29"/>
        <v>1w</v>
      </c>
      <c r="W1345" s="200">
        <f>_xll.qlCalendarAdvance(Calendar,W1344,V1345,"f",FALSE)</f>
        <v>48310</v>
      </c>
      <c r="X1345" s="203">
        <f>_xll.qlCalendarAdvance(Calendar,W1345,NDays&amp;"D")</f>
        <v>48312</v>
      </c>
      <c r="Y1345" s="204">
        <v>2.3181186748595373E-2</v>
      </c>
      <c r="Z1345" s="201">
        <v>2.3164507349973107E-2</v>
      </c>
    </row>
    <row r="1346" spans="22:26" x14ac:dyDescent="0.2">
      <c r="V1346" s="202" t="str">
        <f t="shared" si="29"/>
        <v>1w</v>
      </c>
      <c r="W1346" s="200">
        <f>_xll.qlCalendarAdvance(Calendar,W1345,V1346,"f",FALSE)</f>
        <v>48317</v>
      </c>
      <c r="X1346" s="203">
        <f>_xll.qlCalendarAdvance(Calendar,W1346,NDays&amp;"D")</f>
        <v>48319</v>
      </c>
      <c r="Y1346" s="204">
        <v>2.3178264640797142E-2</v>
      </c>
      <c r="Z1346" s="201">
        <v>2.3161616985225564E-2</v>
      </c>
    </row>
    <row r="1347" spans="22:26" x14ac:dyDescent="0.2">
      <c r="V1347" s="202" t="str">
        <f t="shared" si="29"/>
        <v>1w</v>
      </c>
      <c r="W1347" s="200">
        <f>_xll.qlCalendarAdvance(Calendar,W1346,V1347,"f",FALSE)</f>
        <v>48324</v>
      </c>
      <c r="X1347" s="203">
        <f>_xll.qlCalendarAdvance(Calendar,W1347,NDays&amp;"D")</f>
        <v>48326</v>
      </c>
      <c r="Y1347" s="204">
        <v>2.3175330803586469E-2</v>
      </c>
      <c r="Z1347" s="201">
        <v>2.3158714913522616E-2</v>
      </c>
    </row>
    <row r="1348" spans="22:26" x14ac:dyDescent="0.2">
      <c r="V1348" s="202" t="str">
        <f t="shared" si="29"/>
        <v>1w</v>
      </c>
      <c r="W1348" s="200">
        <f>_xll.qlCalendarAdvance(Calendar,W1347,V1348,"f",FALSE)</f>
        <v>48331</v>
      </c>
      <c r="X1348" s="203">
        <f>_xll.qlCalendarAdvance(Calendar,W1348,NDays&amp;"D")</f>
        <v>48333</v>
      </c>
      <c r="Y1348" s="204">
        <v>2.3172385236980841E-2</v>
      </c>
      <c r="Z1348" s="201">
        <v>2.3155801135184007E-2</v>
      </c>
    </row>
    <row r="1349" spans="22:26" x14ac:dyDescent="0.2">
      <c r="V1349" s="202" t="str">
        <f t="shared" si="29"/>
        <v>1w</v>
      </c>
      <c r="W1349" s="200">
        <f>_xll.qlCalendarAdvance(Calendar,W1348,V1349,"f",FALSE)</f>
        <v>48338</v>
      </c>
      <c r="X1349" s="203">
        <f>_xll.qlCalendarAdvance(Calendar,W1349,NDays&amp;"D")</f>
        <v>48340</v>
      </c>
      <c r="Y1349" s="204">
        <v>2.3169427940985254E-2</v>
      </c>
      <c r="Z1349" s="201">
        <v>2.3152875650049864E-2</v>
      </c>
    </row>
    <row r="1350" spans="22:26" x14ac:dyDescent="0.2">
      <c r="V1350" s="202" t="str">
        <f t="shared" si="29"/>
        <v>1w</v>
      </c>
      <c r="W1350" s="200">
        <f>_xll.qlCalendarAdvance(Calendar,W1349,V1350,"f",FALSE)</f>
        <v>48345</v>
      </c>
      <c r="X1350" s="203">
        <f>_xll.qlCalendarAdvance(Calendar,W1350,NDays&amp;"D")</f>
        <v>48347</v>
      </c>
      <c r="Y1350" s="204">
        <v>2.3166458915607202E-2</v>
      </c>
      <c r="Z1350" s="201">
        <v>2.3149938458040253E-2</v>
      </c>
    </row>
    <row r="1351" spans="22:26" x14ac:dyDescent="0.2">
      <c r="V1351" s="202" t="str">
        <f t="shared" si="29"/>
        <v>1w</v>
      </c>
      <c r="W1351" s="200">
        <f>_xll.qlCalendarAdvance(Calendar,W1350,V1351,"f",FALSE)</f>
        <v>48352</v>
      </c>
      <c r="X1351" s="203">
        <f>_xll.qlCalendarAdvance(Calendar,W1351,NDays&amp;"D")</f>
        <v>48354</v>
      </c>
      <c r="Y1351" s="204">
        <v>2.316347816086417E-2</v>
      </c>
      <c r="Z1351" s="201">
        <v>2.3146989559315045E-2</v>
      </c>
    </row>
    <row r="1352" spans="22:26" x14ac:dyDescent="0.2">
      <c r="V1352" s="202" t="str">
        <f t="shared" si="29"/>
        <v>1w</v>
      </c>
      <c r="W1352" s="200">
        <f>_xll.qlCalendarAdvance(Calendar,W1351,V1352,"f",FALSE)</f>
        <v>48359</v>
      </c>
      <c r="X1352" s="203">
        <f>_xll.qlCalendarAdvance(Calendar,W1352,NDays&amp;"D")</f>
        <v>48361</v>
      </c>
      <c r="Y1352" s="204">
        <v>2.3160485676753662E-2</v>
      </c>
      <c r="Z1352" s="201">
        <v>2.3144028953794304E-2</v>
      </c>
    </row>
    <row r="1353" spans="22:26" x14ac:dyDescent="0.2">
      <c r="V1353" s="202" t="str">
        <f t="shared" si="29"/>
        <v>1w</v>
      </c>
      <c r="W1353" s="200">
        <f>_xll.qlCalendarAdvance(Calendar,W1352,V1353,"f",FALSE)</f>
        <v>48366</v>
      </c>
      <c r="X1353" s="203">
        <f>_xll.qlCalendarAdvance(Calendar,W1353,NDays&amp;"D")</f>
        <v>48368</v>
      </c>
      <c r="Y1353" s="204">
        <v>2.3157481463290663E-2</v>
      </c>
      <c r="Z1353" s="201">
        <v>2.3141056641478031E-2</v>
      </c>
    </row>
    <row r="1354" spans="22:26" x14ac:dyDescent="0.2">
      <c r="V1354" s="202" t="str">
        <f t="shared" si="29"/>
        <v>1w</v>
      </c>
      <c r="W1354" s="200">
        <f>_xll.qlCalendarAdvance(Calendar,W1353,V1354,"f",FALSE)</f>
        <v>48373</v>
      </c>
      <c r="X1354" s="203">
        <f>_xll.qlCalendarAdvance(Calendar,W1354,NDays&amp;"D")</f>
        <v>48375</v>
      </c>
      <c r="Y1354" s="204">
        <v>2.3154465520490164E-2</v>
      </c>
      <c r="Z1354" s="201">
        <v>2.313807262244616E-2</v>
      </c>
    </row>
    <row r="1355" spans="22:26" x14ac:dyDescent="0.2">
      <c r="V1355" s="202" t="str">
        <f t="shared" si="29"/>
        <v>1w</v>
      </c>
      <c r="W1355" s="200">
        <f>_xll.qlCalendarAdvance(Calendar,W1354,V1355,"f",FALSE)</f>
        <v>48380</v>
      </c>
      <c r="X1355" s="203">
        <f>_xll.qlCalendarAdvance(Calendar,W1355,NDays&amp;"D")</f>
        <v>48382</v>
      </c>
      <c r="Y1355" s="204">
        <v>2.3151437848352163E-2</v>
      </c>
      <c r="Z1355" s="201">
        <v>2.3135076896618756E-2</v>
      </c>
    </row>
    <row r="1356" spans="22:26" x14ac:dyDescent="0.2">
      <c r="V1356" s="202" t="str">
        <f t="shared" si="29"/>
        <v>1w</v>
      </c>
      <c r="W1356" s="200">
        <f>_xll.qlCalendarAdvance(Calendar,W1355,V1356,"f",FALSE)</f>
        <v>48387</v>
      </c>
      <c r="X1356" s="203">
        <f>_xll.qlCalendarAdvance(Calendar,W1356,NDays&amp;"D")</f>
        <v>48389</v>
      </c>
      <c r="Y1356" s="204">
        <v>2.3148398446891649E-2</v>
      </c>
      <c r="Z1356" s="201">
        <v>2.3132069463995819E-2</v>
      </c>
    </row>
    <row r="1357" spans="22:26" x14ac:dyDescent="0.2">
      <c r="V1357" s="202" t="str">
        <f t="shared" si="29"/>
        <v>1w</v>
      </c>
      <c r="W1357" s="200">
        <f>_xll.qlCalendarAdvance(Calendar,W1356,V1357,"f",FALSE)</f>
        <v>48394</v>
      </c>
      <c r="X1357" s="203">
        <f>_xll.qlCalendarAdvance(Calendar,W1357,NDays&amp;"D")</f>
        <v>48396</v>
      </c>
      <c r="Y1357" s="204">
        <v>2.3145347316113618E-2</v>
      </c>
      <c r="Z1357" s="201">
        <v>2.3129050324577349E-2</v>
      </c>
    </row>
    <row r="1358" spans="22:26" x14ac:dyDescent="0.2">
      <c r="V1358" s="202" t="str">
        <f t="shared" si="29"/>
        <v>1w</v>
      </c>
      <c r="W1358" s="200">
        <f>_xll.qlCalendarAdvance(Calendar,W1357,V1358,"f",FALSE)</f>
        <v>48401</v>
      </c>
      <c r="X1358" s="203">
        <f>_xll.qlCalendarAdvance(Calendar,W1358,NDays&amp;"D")</f>
        <v>48403</v>
      </c>
      <c r="Y1358" s="204">
        <v>2.3142284456035556E-2</v>
      </c>
      <c r="Z1358" s="201">
        <v>2.3126019478523219E-2</v>
      </c>
    </row>
    <row r="1359" spans="22:26" x14ac:dyDescent="0.2">
      <c r="V1359" s="202" t="str">
        <f t="shared" si="29"/>
        <v>1w</v>
      </c>
      <c r="W1359" s="200">
        <f>_xll.qlCalendarAdvance(Calendar,W1358,V1359,"f",FALSE)</f>
        <v>48408</v>
      </c>
      <c r="X1359" s="203">
        <f>_xll.qlCalendarAdvance(Calendar,W1359,NDays&amp;"D")</f>
        <v>48410</v>
      </c>
      <c r="Y1359" s="204">
        <v>2.3139209866657462E-2</v>
      </c>
      <c r="Z1359" s="201">
        <v>2.3122976925433747E-2</v>
      </c>
    </row>
    <row r="1360" spans="22:26" x14ac:dyDescent="0.2">
      <c r="V1360" s="202" t="str">
        <f t="shared" si="29"/>
        <v>1w</v>
      </c>
      <c r="W1360" s="200">
        <f>_xll.qlCalendarAdvance(Calendar,W1359,V1360,"f",FALSE)</f>
        <v>48415</v>
      </c>
      <c r="X1360" s="203">
        <f>_xll.qlCalendarAdvance(Calendar,W1360,NDays&amp;"D")</f>
        <v>48417</v>
      </c>
      <c r="Y1360" s="204">
        <v>2.3136123547996823E-2</v>
      </c>
      <c r="Z1360" s="201">
        <v>2.3119922665708614E-2</v>
      </c>
    </row>
    <row r="1361" spans="22:26" x14ac:dyDescent="0.2">
      <c r="V1361" s="202" t="str">
        <f t="shared" si="29"/>
        <v>1w</v>
      </c>
      <c r="W1361" s="200">
        <f>_xll.qlCalendarAdvance(Calendar,W1360,V1361,"f",FALSE)</f>
        <v>48422</v>
      </c>
      <c r="X1361" s="203">
        <f>_xll.qlCalendarAdvance(Calendar,W1361,NDays&amp;"D")</f>
        <v>48424</v>
      </c>
      <c r="Y1361" s="204">
        <v>2.3133025500058635E-2</v>
      </c>
      <c r="Z1361" s="201">
        <v>2.3116856699267885E-2</v>
      </c>
    </row>
    <row r="1362" spans="22:26" x14ac:dyDescent="0.2">
      <c r="V1362" s="202" t="str">
        <f t="shared" si="29"/>
        <v>1w</v>
      </c>
      <c r="W1362" s="200">
        <f>_xll.qlCalendarAdvance(Calendar,W1361,V1362,"f",FALSE)</f>
        <v>48429</v>
      </c>
      <c r="X1362" s="203">
        <f>_xll.qlCalendarAdvance(Calendar,W1362,NDays&amp;"D")</f>
        <v>48431</v>
      </c>
      <c r="Y1362" s="204">
        <v>2.3129915722855388E-2</v>
      </c>
      <c r="Z1362" s="201">
        <v>2.3113779026031622E-2</v>
      </c>
    </row>
    <row r="1363" spans="22:26" x14ac:dyDescent="0.2">
      <c r="V1363" s="202" t="str">
        <f t="shared" si="29"/>
        <v>1w</v>
      </c>
      <c r="W1363" s="200">
        <f>_xll.qlCalendarAdvance(Calendar,W1362,V1363,"f",FALSE)</f>
        <v>48436</v>
      </c>
      <c r="X1363" s="203">
        <f>_xll.qlCalendarAdvance(Calendar,W1363,NDays&amp;"D")</f>
        <v>48438</v>
      </c>
      <c r="Y1363" s="204">
        <v>2.3126794216394575E-2</v>
      </c>
      <c r="Z1363" s="201">
        <v>2.3110689645919891E-2</v>
      </c>
    </row>
    <row r="1364" spans="22:26" x14ac:dyDescent="0.2">
      <c r="V1364" s="202" t="str">
        <f t="shared" si="29"/>
        <v>1w</v>
      </c>
      <c r="W1364" s="200">
        <f>_xll.qlCalendarAdvance(Calendar,W1363,V1364,"f",FALSE)</f>
        <v>48443</v>
      </c>
      <c r="X1364" s="203">
        <f>_xll.qlCalendarAdvance(Calendar,W1364,NDays&amp;"D")</f>
        <v>48445</v>
      </c>
      <c r="Y1364" s="204">
        <v>2.3123660980686189E-2</v>
      </c>
      <c r="Z1364" s="201">
        <v>2.3107588559092562E-2</v>
      </c>
    </row>
    <row r="1365" spans="22:26" x14ac:dyDescent="0.2">
      <c r="V1365" s="202" t="str">
        <f t="shared" ref="V1365:V1428" si="30">V1364</f>
        <v>1w</v>
      </c>
      <c r="W1365" s="200">
        <f>_xll.qlCalendarAdvance(Calendar,W1364,V1365,"f",FALSE)</f>
        <v>48450</v>
      </c>
      <c r="X1365" s="203">
        <f>_xll.qlCalendarAdvance(Calendar,W1365,NDays&amp;"D")</f>
        <v>48452</v>
      </c>
      <c r="Y1365" s="204">
        <v>2.3120516015740222E-2</v>
      </c>
      <c r="Z1365" s="201">
        <v>2.3104475765469701E-2</v>
      </c>
    </row>
    <row r="1366" spans="22:26" x14ac:dyDescent="0.2">
      <c r="V1366" s="202" t="str">
        <f t="shared" si="30"/>
        <v>1w</v>
      </c>
      <c r="W1366" s="200">
        <f>_xll.qlCalendarAdvance(Calendar,W1365,V1366,"f",FALSE)</f>
        <v>48457</v>
      </c>
      <c r="X1366" s="203">
        <f>_xll.qlCalendarAdvance(Calendar,W1366,NDays&amp;"D")</f>
        <v>48459</v>
      </c>
      <c r="Y1366" s="204">
        <v>2.3117359321566666E-2</v>
      </c>
      <c r="Z1366" s="201">
        <v>2.3101351265131242E-2</v>
      </c>
    </row>
    <row r="1367" spans="22:26" x14ac:dyDescent="0.2">
      <c r="V1367" s="202" t="str">
        <f t="shared" si="30"/>
        <v>1w</v>
      </c>
      <c r="W1367" s="200">
        <f>_xll.qlCalendarAdvance(Calendar,W1366,V1367,"f",FALSE)</f>
        <v>48464</v>
      </c>
      <c r="X1367" s="203">
        <f>_xll.qlCalendarAdvance(Calendar,W1367,NDays&amp;"D")</f>
        <v>48466</v>
      </c>
      <c r="Y1367" s="204">
        <v>2.3114190898175513E-2</v>
      </c>
      <c r="Z1367" s="201">
        <v>2.3098215057997251E-2</v>
      </c>
    </row>
    <row r="1368" spans="22:26" x14ac:dyDescent="0.2">
      <c r="V1368" s="202" t="str">
        <f t="shared" si="30"/>
        <v>1w</v>
      </c>
      <c r="W1368" s="200">
        <f>_xll.qlCalendarAdvance(Calendar,W1367,V1368,"f",FALSE)</f>
        <v>48471</v>
      </c>
      <c r="X1368" s="203">
        <f>_xll.qlCalendarAdvance(Calendar,W1368,NDays&amp;"D")</f>
        <v>48473</v>
      </c>
      <c r="Y1368" s="204">
        <v>2.3111010745579252E-2</v>
      </c>
      <c r="Z1368" s="201">
        <v>2.3095067143987791E-2</v>
      </c>
    </row>
    <row r="1369" spans="22:26" x14ac:dyDescent="0.2">
      <c r="V1369" s="202" t="str">
        <f t="shared" si="30"/>
        <v>1w</v>
      </c>
      <c r="W1369" s="200">
        <f>_xll.qlCalendarAdvance(Calendar,W1368,V1369,"f",FALSE)</f>
        <v>48478</v>
      </c>
      <c r="X1369" s="203">
        <f>_xll.qlCalendarAdvance(Calendar,W1369,NDays&amp;"D")</f>
        <v>48480</v>
      </c>
      <c r="Y1369" s="204">
        <v>2.3107818863782881E-2</v>
      </c>
      <c r="Z1369" s="201">
        <v>2.309190752334267E-2</v>
      </c>
    </row>
    <row r="1370" spans="22:26" x14ac:dyDescent="0.2">
      <c r="V1370" s="202" t="str">
        <f t="shared" si="30"/>
        <v>1w</v>
      </c>
      <c r="W1370" s="200">
        <f>_xll.qlCalendarAdvance(Calendar,W1369,V1370,"f",FALSE)</f>
        <v>48485</v>
      </c>
      <c r="X1370" s="203">
        <f>_xll.qlCalendarAdvance(Calendar,W1370,NDays&amp;"D")</f>
        <v>48487</v>
      </c>
      <c r="Y1370" s="204">
        <v>2.3103081821174536E-2</v>
      </c>
      <c r="Z1370" s="201">
        <v>2.3088736195822079E-2</v>
      </c>
    </row>
    <row r="1371" spans="22:26" x14ac:dyDescent="0.2">
      <c r="V1371" s="202" t="str">
        <f t="shared" si="30"/>
        <v>1w</v>
      </c>
      <c r="W1371" s="200">
        <f>_xll.qlCalendarAdvance(Calendar,W1370,V1371,"f",FALSE)</f>
        <v>48492</v>
      </c>
      <c r="X1371" s="203">
        <f>_xll.qlCalendarAdvance(Calendar,W1371,NDays&amp;"D")</f>
        <v>48494</v>
      </c>
      <c r="Y1371" s="204">
        <v>2.3101399912637266E-2</v>
      </c>
      <c r="Z1371" s="201">
        <v>2.3085553161585892E-2</v>
      </c>
    </row>
    <row r="1372" spans="22:26" x14ac:dyDescent="0.2">
      <c r="V1372" s="202" t="str">
        <f t="shared" si="30"/>
        <v>1w</v>
      </c>
      <c r="W1372" s="200">
        <f>_xll.qlCalendarAdvance(Calendar,W1371,V1372,"f",FALSE)</f>
        <v>48499</v>
      </c>
      <c r="X1372" s="203">
        <f>_xll.qlCalendarAdvance(Calendar,W1372,NDays&amp;"D")</f>
        <v>48501</v>
      </c>
      <c r="Y1372" s="204">
        <v>2.3098172843308007E-2</v>
      </c>
      <c r="Z1372" s="201">
        <v>2.3082358420634108E-2</v>
      </c>
    </row>
    <row r="1373" spans="22:26" x14ac:dyDescent="0.2">
      <c r="V1373" s="202" t="str">
        <f t="shared" si="30"/>
        <v>1w</v>
      </c>
      <c r="W1373" s="200">
        <f>_xll.qlCalendarAdvance(Calendar,W1372,V1373,"f",FALSE)</f>
        <v>48506</v>
      </c>
      <c r="X1373" s="203">
        <f>_xll.qlCalendarAdvance(Calendar,W1373,NDays&amp;"D")</f>
        <v>48508</v>
      </c>
      <c r="Y1373" s="204">
        <v>2.3094934044818605E-2</v>
      </c>
      <c r="Z1373" s="201">
        <v>2.3079151972806855E-2</v>
      </c>
    </row>
    <row r="1374" spans="22:26" x14ac:dyDescent="0.2">
      <c r="V1374" s="202" t="str">
        <f t="shared" si="30"/>
        <v>1w</v>
      </c>
      <c r="W1374" s="200">
        <f>_xll.qlCalendarAdvance(Calendar,W1373,V1374,"f",FALSE)</f>
        <v>48513</v>
      </c>
      <c r="X1374" s="203">
        <f>_xll.qlCalendarAdvance(Calendar,W1374,NDays&amp;"D")</f>
        <v>48515</v>
      </c>
      <c r="Y1374" s="204">
        <v>2.3091683517186545E-2</v>
      </c>
      <c r="Z1374" s="201">
        <v>2.3075933818264005E-2</v>
      </c>
    </row>
    <row r="1375" spans="22:26" x14ac:dyDescent="0.2">
      <c r="V1375" s="202" t="str">
        <f t="shared" si="30"/>
        <v>1w</v>
      </c>
      <c r="W1375" s="200">
        <f>_xll.qlCalendarAdvance(Calendar,W1374,V1375,"f",FALSE)</f>
        <v>48520</v>
      </c>
      <c r="X1375" s="203">
        <f>_xll.qlCalendarAdvance(Calendar,W1375,NDays&amp;"D")</f>
        <v>48522</v>
      </c>
      <c r="Y1375" s="204">
        <v>2.3088421260411829E-2</v>
      </c>
      <c r="Z1375" s="201">
        <v>2.3072703956925622E-2</v>
      </c>
    </row>
    <row r="1376" spans="22:26" x14ac:dyDescent="0.2">
      <c r="V1376" s="202" t="str">
        <f t="shared" si="30"/>
        <v>1w</v>
      </c>
      <c r="W1376" s="200">
        <f>_xll.qlCalendarAdvance(Calendar,W1375,V1376,"f",FALSE)</f>
        <v>48527</v>
      </c>
      <c r="X1376" s="203">
        <f>_xll.qlCalendarAdvance(Calendar,W1376,NDays&amp;"D")</f>
        <v>48529</v>
      </c>
      <c r="Y1376" s="204">
        <v>2.3085147274511941E-2</v>
      </c>
      <c r="Z1376" s="201">
        <v>2.3069462388791706E-2</v>
      </c>
    </row>
    <row r="1377" spans="22:26" x14ac:dyDescent="0.2">
      <c r="V1377" s="202" t="str">
        <f t="shared" si="30"/>
        <v>1w</v>
      </c>
      <c r="W1377" s="200">
        <f>_xll.qlCalendarAdvance(Calendar,W1376,V1377,"f",FALSE)</f>
        <v>48534</v>
      </c>
      <c r="X1377" s="203">
        <f>_xll.qlCalendarAdvance(Calendar,W1377,NDays&amp;"D")</f>
        <v>48536</v>
      </c>
      <c r="Y1377" s="204">
        <v>2.3081861559496875E-2</v>
      </c>
      <c r="Z1377" s="201">
        <v>2.3066209113942193E-2</v>
      </c>
    </row>
    <row r="1378" spans="22:26" x14ac:dyDescent="0.2">
      <c r="V1378" s="202" t="str">
        <f t="shared" si="30"/>
        <v>1w</v>
      </c>
      <c r="W1378" s="200">
        <f>_xll.qlCalendarAdvance(Calendar,W1377,V1378,"f",FALSE)</f>
        <v>48541</v>
      </c>
      <c r="X1378" s="203">
        <f>_xll.qlCalendarAdvance(Calendar,W1378,NDays&amp;"D")</f>
        <v>48543</v>
      </c>
      <c r="Y1378" s="204">
        <v>2.3078564115374123E-2</v>
      </c>
      <c r="Z1378" s="201">
        <v>2.3062944132297147E-2</v>
      </c>
    </row>
    <row r="1379" spans="22:26" x14ac:dyDescent="0.2">
      <c r="V1379" s="202" t="str">
        <f t="shared" si="30"/>
        <v>1w</v>
      </c>
      <c r="W1379" s="200">
        <f>_xll.qlCalendarAdvance(Calendar,W1378,V1379,"f",FALSE)</f>
        <v>48548</v>
      </c>
      <c r="X1379" s="203">
        <f>_xll.qlCalendarAdvance(Calendar,W1379,NDays&amp;"D")</f>
        <v>48550</v>
      </c>
      <c r="Y1379" s="204">
        <v>2.3075254942156176E-2</v>
      </c>
      <c r="Z1379" s="201">
        <v>2.3059667443856569E-2</v>
      </c>
    </row>
    <row r="1380" spans="22:26" x14ac:dyDescent="0.2">
      <c r="V1380" s="202" t="str">
        <f t="shared" si="30"/>
        <v>1w</v>
      </c>
      <c r="W1380" s="200">
        <f>_xll.qlCalendarAdvance(Calendar,W1379,V1380,"f",FALSE)</f>
        <v>48555</v>
      </c>
      <c r="X1380" s="203">
        <f>_xll.qlCalendarAdvance(Calendar,W1380,NDays&amp;"D")</f>
        <v>48557</v>
      </c>
      <c r="Y1380" s="204">
        <v>2.307193403984803E-2</v>
      </c>
      <c r="Z1380" s="201">
        <v>2.3056379048700393E-2</v>
      </c>
    </row>
    <row r="1381" spans="22:26" x14ac:dyDescent="0.2">
      <c r="V1381" s="202" t="str">
        <f t="shared" si="30"/>
        <v>1w</v>
      </c>
      <c r="W1381" s="200">
        <f>_xll.qlCalendarAdvance(Calendar,W1380,V1381,"f",FALSE)</f>
        <v>48562</v>
      </c>
      <c r="X1381" s="203">
        <f>_xll.qlCalendarAdvance(Calendar,W1381,NDays&amp;"D")</f>
        <v>48564</v>
      </c>
      <c r="Y1381" s="204">
        <v>2.3068601408464673E-2</v>
      </c>
      <c r="Z1381" s="201">
        <v>2.3053078946668748E-2</v>
      </c>
    </row>
    <row r="1382" spans="22:26" x14ac:dyDescent="0.2">
      <c r="V1382" s="202" t="str">
        <f t="shared" si="30"/>
        <v>1w</v>
      </c>
      <c r="W1382" s="200">
        <f>_xll.qlCalendarAdvance(Calendar,W1381,V1382,"f",FALSE)</f>
        <v>48569</v>
      </c>
      <c r="X1382" s="203">
        <f>_xll.qlCalendarAdvance(Calendar,W1382,NDays&amp;"D")</f>
        <v>48571</v>
      </c>
      <c r="Y1382" s="204">
        <v>2.3065257048018595E-2</v>
      </c>
      <c r="Z1382" s="201">
        <v>2.3049767138001442E-2</v>
      </c>
    </row>
    <row r="1383" spans="22:26" x14ac:dyDescent="0.2">
      <c r="V1383" s="202" t="str">
        <f t="shared" si="30"/>
        <v>1w</v>
      </c>
      <c r="W1383" s="200">
        <f>_xll.qlCalendarAdvance(Calendar,W1382,V1383,"f",FALSE)</f>
        <v>48576</v>
      </c>
      <c r="X1383" s="203">
        <f>_xll.qlCalendarAdvance(Calendar,W1383,NDays&amp;"D")</f>
        <v>48578</v>
      </c>
      <c r="Y1383" s="204">
        <v>2.306190095851729E-2</v>
      </c>
      <c r="Z1383" s="201">
        <v>2.3046443622458668E-2</v>
      </c>
    </row>
    <row r="1384" spans="22:26" x14ac:dyDescent="0.2">
      <c r="V1384" s="202" t="str">
        <f t="shared" si="30"/>
        <v>1w</v>
      </c>
      <c r="W1384" s="200">
        <f>_xll.qlCalendarAdvance(Calendar,W1383,V1384,"f",FALSE)</f>
        <v>48583</v>
      </c>
      <c r="X1384" s="203">
        <f>_xll.qlCalendarAdvance(Calendar,W1384,NDays&amp;"D")</f>
        <v>48585</v>
      </c>
      <c r="Y1384" s="204">
        <v>2.3058533139970749E-2</v>
      </c>
      <c r="Z1384" s="201">
        <v>2.3043108400200296E-2</v>
      </c>
    </row>
    <row r="1385" spans="22:26" x14ac:dyDescent="0.2">
      <c r="V1385" s="202" t="str">
        <f t="shared" si="30"/>
        <v>1w</v>
      </c>
      <c r="W1385" s="200">
        <f>_xll.qlCalendarAdvance(Calendar,W1384,V1385,"f",FALSE)</f>
        <v>48590</v>
      </c>
      <c r="X1385" s="203">
        <f>_xll.qlCalendarAdvance(Calendar,W1385,NDays&amp;"D")</f>
        <v>48592</v>
      </c>
      <c r="Y1385" s="204">
        <v>2.3055153592388966E-2</v>
      </c>
      <c r="Z1385" s="201">
        <v>2.3039761471146392E-2</v>
      </c>
    </row>
    <row r="1386" spans="22:26" x14ac:dyDescent="0.2">
      <c r="V1386" s="202" t="str">
        <f t="shared" si="30"/>
        <v>1w</v>
      </c>
      <c r="W1386" s="200">
        <f>_xll.qlCalendarAdvance(Calendar,W1385,V1386,"f",FALSE)</f>
        <v>48597</v>
      </c>
      <c r="X1386" s="203">
        <f>_xll.qlCalendarAdvance(Calendar,W1386,NDays&amp;"D")</f>
        <v>48599</v>
      </c>
      <c r="Y1386" s="204">
        <v>2.305176231578443E-2</v>
      </c>
      <c r="Z1386" s="201">
        <v>2.3036402835296954E-2</v>
      </c>
    </row>
    <row r="1387" spans="22:26" x14ac:dyDescent="0.2">
      <c r="V1387" s="202" t="str">
        <f t="shared" si="30"/>
        <v>1w</v>
      </c>
      <c r="W1387" s="200">
        <f>_xll.qlCalendarAdvance(Calendar,W1386,V1387,"f",FALSE)</f>
        <v>48604</v>
      </c>
      <c r="X1387" s="203">
        <f>_xll.qlCalendarAdvance(Calendar,W1387,NDays&amp;"D")</f>
        <v>48606</v>
      </c>
      <c r="Y1387" s="204">
        <v>2.3048359310172128E-2</v>
      </c>
      <c r="Z1387" s="201">
        <v>2.3033032492811856E-2</v>
      </c>
    </row>
    <row r="1388" spans="22:26" x14ac:dyDescent="0.2">
      <c r="V1388" s="202" t="str">
        <f t="shared" si="30"/>
        <v>1w</v>
      </c>
      <c r="W1388" s="200">
        <f>_xll.qlCalendarAdvance(Calendar,W1387,V1388,"f",FALSE)</f>
        <v>48611</v>
      </c>
      <c r="X1388" s="203">
        <f>_xll.qlCalendarAdvance(Calendar,W1388,NDays&amp;"D")</f>
        <v>48613</v>
      </c>
      <c r="Y1388" s="204">
        <v>2.3042975432252213E-2</v>
      </c>
      <c r="Z1388" s="201">
        <v>2.3029650443451288E-2</v>
      </c>
    </row>
    <row r="1389" spans="22:26" x14ac:dyDescent="0.2">
      <c r="V1389" s="202" t="str">
        <f t="shared" si="30"/>
        <v>1w</v>
      </c>
      <c r="W1389" s="200">
        <f>_xll.qlCalendarAdvance(Calendar,W1388,V1389,"f",FALSE)</f>
        <v>48618</v>
      </c>
      <c r="X1389" s="203">
        <f>_xll.qlCalendarAdvance(Calendar,W1389,NDays&amp;"D")</f>
        <v>48620</v>
      </c>
      <c r="Y1389" s="204">
        <v>2.3039553195247007E-2</v>
      </c>
      <c r="Z1389" s="201">
        <v>2.3026256687295188E-2</v>
      </c>
    </row>
    <row r="1390" spans="22:26" x14ac:dyDescent="0.2">
      <c r="V1390" s="202" t="str">
        <f t="shared" si="30"/>
        <v>1w</v>
      </c>
      <c r="W1390" s="200">
        <f>_xll.qlCalendarAdvance(Calendar,W1389,V1390,"f",FALSE)</f>
        <v>48625</v>
      </c>
      <c r="X1390" s="203">
        <f>_xll.qlCalendarAdvance(Calendar,W1390,NDays&amp;"D")</f>
        <v>48627</v>
      </c>
      <c r="Y1390" s="204">
        <v>2.3036119232130288E-2</v>
      </c>
      <c r="Z1390" s="201">
        <v>2.3022851224423491E-2</v>
      </c>
    </row>
    <row r="1391" spans="22:26" x14ac:dyDescent="0.2">
      <c r="V1391" s="202" t="str">
        <f t="shared" si="30"/>
        <v>1w</v>
      </c>
      <c r="W1391" s="200">
        <f>_xll.qlCalendarAdvance(Calendar,W1390,V1391,"f",FALSE)</f>
        <v>48632</v>
      </c>
      <c r="X1391" s="203">
        <f>_xll.qlCalendarAdvance(Calendar,W1391,NDays&amp;"D")</f>
        <v>48634</v>
      </c>
      <c r="Y1391" s="204">
        <v>2.3032673542907771E-2</v>
      </c>
      <c r="Z1391" s="201">
        <v>2.3019434054836196E-2</v>
      </c>
    </row>
    <row r="1392" spans="22:26" x14ac:dyDescent="0.2">
      <c r="V1392" s="202" t="str">
        <f t="shared" si="30"/>
        <v>1w</v>
      </c>
      <c r="W1392" s="200">
        <f>_xll.qlCalendarAdvance(Calendar,W1391,V1392,"f",FALSE)</f>
        <v>48639</v>
      </c>
      <c r="X1392" s="203">
        <f>_xll.qlCalendarAdvance(Calendar,W1392,NDays&amp;"D")</f>
        <v>48641</v>
      </c>
      <c r="Y1392" s="204">
        <v>2.3031168347266429E-2</v>
      </c>
      <c r="Z1392" s="201">
        <v>2.3016005178373433E-2</v>
      </c>
    </row>
    <row r="1393" spans="22:26" x14ac:dyDescent="0.2">
      <c r="V1393" s="202" t="str">
        <f t="shared" si="30"/>
        <v>1w</v>
      </c>
      <c r="W1393" s="200">
        <f>_xll.qlCalendarAdvance(Calendar,W1392,V1393,"f",FALSE)</f>
        <v>48646</v>
      </c>
      <c r="X1393" s="203">
        <f>_xll.qlCalendarAdvance(Calendar,W1393,NDays&amp;"D")</f>
        <v>48648</v>
      </c>
      <c r="Y1393" s="204">
        <v>2.3027694967797385E-2</v>
      </c>
      <c r="Z1393" s="201">
        <v>2.3012564595275009E-2</v>
      </c>
    </row>
    <row r="1394" spans="22:26" x14ac:dyDescent="0.2">
      <c r="V1394" s="202" t="str">
        <f t="shared" si="30"/>
        <v>1w</v>
      </c>
      <c r="W1394" s="200">
        <f>_xll.qlCalendarAdvance(Calendar,W1393,V1394,"f",FALSE)</f>
        <v>48653</v>
      </c>
      <c r="X1394" s="203">
        <f>_xll.qlCalendarAdvance(Calendar,W1394,NDays&amp;"D")</f>
        <v>48655</v>
      </c>
      <c r="Y1394" s="204">
        <v>2.3024695593626309E-2</v>
      </c>
      <c r="Z1394" s="201">
        <v>2.3009112305301116E-2</v>
      </c>
    </row>
    <row r="1395" spans="22:26" x14ac:dyDescent="0.2">
      <c r="V1395" s="202" t="str">
        <f t="shared" si="30"/>
        <v>1w</v>
      </c>
      <c r="W1395" s="200">
        <f>_xll.qlCalendarAdvance(Calendar,W1394,V1395,"f",FALSE)</f>
        <v>48660</v>
      </c>
      <c r="X1395" s="203">
        <f>_xll.qlCalendarAdvance(Calendar,W1395,NDays&amp;"D")</f>
        <v>48662</v>
      </c>
      <c r="Y1395" s="204">
        <v>2.302071302205333E-2</v>
      </c>
      <c r="Z1395" s="201">
        <v>2.3005648308611626E-2</v>
      </c>
    </row>
    <row r="1396" spans="22:26" x14ac:dyDescent="0.2">
      <c r="V1396" s="202" t="str">
        <f t="shared" si="30"/>
        <v>1w</v>
      </c>
      <c r="W1396" s="200">
        <f>_xll.qlCalendarAdvance(Calendar,W1395,V1396,"f",FALSE)</f>
        <v>48667</v>
      </c>
      <c r="X1396" s="203">
        <f>_xll.qlCalendarAdvance(Calendar,W1396,NDays&amp;"D")</f>
        <v>48669</v>
      </c>
      <c r="Y1396" s="204">
        <v>2.3015753138985452E-2</v>
      </c>
      <c r="Z1396" s="201">
        <v>2.3002172605206539E-2</v>
      </c>
    </row>
    <row r="1397" spans="22:26" x14ac:dyDescent="0.2">
      <c r="V1397" s="202" t="str">
        <f t="shared" si="30"/>
        <v>1w</v>
      </c>
      <c r="W1397" s="200">
        <f>_xll.qlCalendarAdvance(Calendar,W1396,V1397,"f",FALSE)</f>
        <v>48674</v>
      </c>
      <c r="X1397" s="203">
        <f>_xll.qlCalendarAdvance(Calendar,W1397,NDays&amp;"D")</f>
        <v>48676</v>
      </c>
      <c r="Y1397" s="204">
        <v>2.3013684160647918E-2</v>
      </c>
      <c r="Z1397" s="201">
        <v>2.2998685194846047E-2</v>
      </c>
    </row>
    <row r="1398" spans="22:26" x14ac:dyDescent="0.2">
      <c r="V1398" s="202" t="str">
        <f t="shared" si="30"/>
        <v>1w</v>
      </c>
      <c r="W1398" s="200">
        <f>_xll.qlCalendarAdvance(Calendar,W1397,V1398,"f",FALSE)</f>
        <v>48681</v>
      </c>
      <c r="X1398" s="203">
        <f>_xll.qlCalendarAdvance(Calendar,W1398,NDays&amp;"D")</f>
        <v>48683</v>
      </c>
      <c r="Y1398" s="204">
        <v>2.301015213660218E-2</v>
      </c>
      <c r="Z1398" s="201">
        <v>2.2997121531423304E-2</v>
      </c>
    </row>
    <row r="1399" spans="22:26" x14ac:dyDescent="0.2">
      <c r="V1399" s="202" t="str">
        <f t="shared" si="30"/>
        <v>1w</v>
      </c>
      <c r="W1399" s="200">
        <f>_xll.qlCalendarAdvance(Calendar,W1398,V1399,"f",FALSE)</f>
        <v>48688</v>
      </c>
      <c r="X1399" s="203">
        <f>_xll.qlCalendarAdvance(Calendar,W1399,NDays&amp;"D")</f>
        <v>48690</v>
      </c>
      <c r="Y1399" s="204">
        <v>2.3006608383668581E-2</v>
      </c>
      <c r="Z1399" s="201">
        <v>2.2991675254138144E-2</v>
      </c>
    </row>
    <row r="1400" spans="22:26" x14ac:dyDescent="0.2">
      <c r="V1400" s="202" t="str">
        <f t="shared" si="30"/>
        <v>1w</v>
      </c>
      <c r="W1400" s="200">
        <f>_xll.qlCalendarAdvance(Calendar,W1399,V1400,"f",FALSE)</f>
        <v>48695</v>
      </c>
      <c r="X1400" s="203">
        <f>_xll.qlCalendarAdvance(Calendar,W1400,NDays&amp;"D")</f>
        <v>48697</v>
      </c>
      <c r="Y1400" s="204">
        <v>2.3003052901867105E-2</v>
      </c>
      <c r="Z1400" s="201">
        <v>2.2988152723630861E-2</v>
      </c>
    </row>
    <row r="1401" spans="22:26" x14ac:dyDescent="0.2">
      <c r="V1401" s="202" t="str">
        <f t="shared" si="30"/>
        <v>1w</v>
      </c>
      <c r="W1401" s="200">
        <f>_xll.qlCalendarAdvance(Calendar,W1400,V1401,"f",FALSE)</f>
        <v>48702</v>
      </c>
      <c r="X1401" s="203">
        <f>_xll.qlCalendarAdvance(Calendar,W1401,NDays&amp;"D")</f>
        <v>48704</v>
      </c>
      <c r="Y1401" s="204">
        <v>2.299948569120025E-2</v>
      </c>
      <c r="Z1401" s="201">
        <v>2.2984618486328046E-2</v>
      </c>
    </row>
    <row r="1402" spans="22:26" x14ac:dyDescent="0.2">
      <c r="V1402" s="202" t="str">
        <f t="shared" si="30"/>
        <v>1w</v>
      </c>
      <c r="W1402" s="200">
        <f>_xll.qlCalendarAdvance(Calendar,W1401,V1402,"f",FALSE)</f>
        <v>48709</v>
      </c>
      <c r="X1402" s="203">
        <f>_xll.qlCalendarAdvance(Calendar,W1402,NDays&amp;"D")</f>
        <v>48711</v>
      </c>
      <c r="Y1402" s="204">
        <v>2.2995906751685502E-2</v>
      </c>
      <c r="Z1402" s="201">
        <v>2.2981072542229697E-2</v>
      </c>
    </row>
    <row r="1403" spans="22:26" x14ac:dyDescent="0.2">
      <c r="V1403" s="202" t="str">
        <f t="shared" si="30"/>
        <v>1w</v>
      </c>
      <c r="W1403" s="200">
        <f>_xll.qlCalendarAdvance(Calendar,W1402,V1403,"f",FALSE)</f>
        <v>48716</v>
      </c>
      <c r="X1403" s="203">
        <f>_xll.qlCalendarAdvance(Calendar,W1403,NDays&amp;"D")</f>
        <v>48718</v>
      </c>
      <c r="Y1403" s="204">
        <v>2.2992316083335351E-2</v>
      </c>
      <c r="Z1403" s="201">
        <v>2.2977514891415751E-2</v>
      </c>
    </row>
    <row r="1404" spans="22:26" x14ac:dyDescent="0.2">
      <c r="V1404" s="202" t="str">
        <f t="shared" si="30"/>
        <v>1w</v>
      </c>
      <c r="W1404" s="200">
        <f>_xll.qlCalendarAdvance(Calendar,W1403,V1404,"f",FALSE)</f>
        <v>48723</v>
      </c>
      <c r="X1404" s="203">
        <f>_xll.qlCalendarAdvance(Calendar,W1404,NDays&amp;"D")</f>
        <v>48725</v>
      </c>
      <c r="Y1404" s="204">
        <v>2.2988713686152296E-2</v>
      </c>
      <c r="Z1404" s="201">
        <v>2.2973945533806273E-2</v>
      </c>
    </row>
    <row r="1405" spans="22:26" x14ac:dyDescent="0.2">
      <c r="V1405" s="202" t="str">
        <f t="shared" si="30"/>
        <v>1w</v>
      </c>
      <c r="W1405" s="200">
        <f>_xll.qlCalendarAdvance(Calendar,W1404,V1405,"f",FALSE)</f>
        <v>48730</v>
      </c>
      <c r="X1405" s="203">
        <f>_xll.qlCalendarAdvance(Calendar,W1405,NDays&amp;"D")</f>
        <v>48732</v>
      </c>
      <c r="Y1405" s="204">
        <v>2.2985099560158817E-2</v>
      </c>
      <c r="Z1405" s="201">
        <v>2.2970364469561133E-2</v>
      </c>
    </row>
    <row r="1406" spans="22:26" x14ac:dyDescent="0.2">
      <c r="V1406" s="202" t="str">
        <f t="shared" si="30"/>
        <v>1w</v>
      </c>
      <c r="W1406" s="200">
        <f>_xll.qlCalendarAdvance(Calendar,W1405,V1406,"f",FALSE)</f>
        <v>48737</v>
      </c>
      <c r="X1406" s="203">
        <f>_xll.qlCalendarAdvance(Calendar,W1406,NDays&amp;"D")</f>
        <v>48739</v>
      </c>
      <c r="Y1406" s="204">
        <v>2.2981473705357414E-2</v>
      </c>
      <c r="Z1406" s="201">
        <v>2.2966771698440525E-2</v>
      </c>
    </row>
    <row r="1407" spans="22:26" x14ac:dyDescent="0.2">
      <c r="V1407" s="202" t="str">
        <f t="shared" si="30"/>
        <v>1w</v>
      </c>
      <c r="W1407" s="200">
        <f>_xll.qlCalendarAdvance(Calendar,W1406,V1407,"f",FALSE)</f>
        <v>48744</v>
      </c>
      <c r="X1407" s="203">
        <f>_xll.qlCalendarAdvance(Calendar,W1407,NDays&amp;"D")</f>
        <v>48746</v>
      </c>
      <c r="Y1407" s="204">
        <v>2.2977836121765571E-2</v>
      </c>
      <c r="Z1407" s="201">
        <v>2.2963167220604319E-2</v>
      </c>
    </row>
    <row r="1408" spans="22:26" x14ac:dyDescent="0.2">
      <c r="V1408" s="202" t="str">
        <f t="shared" si="30"/>
        <v>1w</v>
      </c>
      <c r="W1408" s="200">
        <f>_xll.qlCalendarAdvance(Calendar,W1407,V1408,"f",FALSE)</f>
        <v>48751</v>
      </c>
      <c r="X1408" s="203">
        <f>_xll.qlCalendarAdvance(Calendar,W1408,NDays&amp;"D")</f>
        <v>48753</v>
      </c>
      <c r="Y1408" s="204">
        <v>2.2974186809388286E-2</v>
      </c>
      <c r="Z1408" s="201">
        <v>2.2959551035972581E-2</v>
      </c>
    </row>
    <row r="1409" spans="22:26" x14ac:dyDescent="0.2">
      <c r="V1409" s="202" t="str">
        <f t="shared" si="30"/>
        <v>1w</v>
      </c>
      <c r="W1409" s="200">
        <f>_xll.qlCalendarAdvance(Calendar,W1408,V1409,"f",FALSE)</f>
        <v>48758</v>
      </c>
      <c r="X1409" s="203">
        <f>_xll.qlCalendarAdvance(Calendar,W1409,NDays&amp;"D")</f>
        <v>48760</v>
      </c>
      <c r="Y1409" s="204">
        <v>2.2969116053015819E-2</v>
      </c>
      <c r="Z1409" s="201">
        <v>2.2955923144545309E-2</v>
      </c>
    </row>
    <row r="1410" spans="22:26" x14ac:dyDescent="0.2">
      <c r="V1410" s="202" t="str">
        <f t="shared" si="30"/>
        <v>1w</v>
      </c>
      <c r="W1410" s="200">
        <f>_xll.qlCalendarAdvance(Calendar,W1409,V1410,"f",FALSE)</f>
        <v>48765</v>
      </c>
      <c r="X1410" s="203">
        <f>_xll.qlCalendarAdvance(Calendar,W1410,NDays&amp;"D")</f>
        <v>48767</v>
      </c>
      <c r="Y1410" s="204">
        <v>2.2966852998334841E-2</v>
      </c>
      <c r="Z1410" s="201">
        <v>2.2952283546402441E-2</v>
      </c>
    </row>
    <row r="1411" spans="22:26" x14ac:dyDescent="0.2">
      <c r="V1411" s="202" t="str">
        <f t="shared" si="30"/>
        <v>1w</v>
      </c>
      <c r="W1411" s="200">
        <f>_xll.qlCalendarAdvance(Calendar,W1410,V1411,"f",FALSE)</f>
        <v>48772</v>
      </c>
      <c r="X1411" s="203">
        <f>_xll.qlCalendarAdvance(Calendar,W1411,NDays&amp;"D")</f>
        <v>48774</v>
      </c>
      <c r="Y1411" s="204">
        <v>2.2963168499681164E-2</v>
      </c>
      <c r="Z1411" s="201">
        <v>2.2948632241543976E-2</v>
      </c>
    </row>
    <row r="1412" spans="22:26" x14ac:dyDescent="0.2">
      <c r="V1412" s="202" t="str">
        <f t="shared" si="30"/>
        <v>1w</v>
      </c>
      <c r="W1412" s="200">
        <f>_xll.qlCalendarAdvance(Calendar,W1411,V1412,"f",FALSE)</f>
        <v>48779</v>
      </c>
      <c r="X1412" s="203">
        <f>_xll.qlCalendarAdvance(Calendar,W1412,NDays&amp;"D")</f>
        <v>48781</v>
      </c>
      <c r="Y1412" s="204">
        <v>2.2959472272289505E-2</v>
      </c>
      <c r="Z1412" s="201">
        <v>2.2944969229810042E-2</v>
      </c>
    </row>
    <row r="1413" spans="22:26" x14ac:dyDescent="0.2">
      <c r="V1413" s="202" t="str">
        <f t="shared" si="30"/>
        <v>1w</v>
      </c>
      <c r="W1413" s="200">
        <f>_xll.qlCalendarAdvance(Calendar,W1412,V1413,"f",FALSE)</f>
        <v>48786</v>
      </c>
      <c r="X1413" s="203">
        <f>_xll.qlCalendarAdvance(Calendar,W1413,NDays&amp;"D")</f>
        <v>48788</v>
      </c>
      <c r="Y1413" s="204">
        <v>2.2955764316174854E-2</v>
      </c>
      <c r="Z1413" s="201">
        <v>2.2941294511440447E-2</v>
      </c>
    </row>
    <row r="1414" spans="22:26" x14ac:dyDescent="0.2">
      <c r="V1414" s="202" t="str">
        <f t="shared" si="30"/>
        <v>1w</v>
      </c>
      <c r="W1414" s="200">
        <f>_xll.qlCalendarAdvance(Calendar,W1413,V1414,"f",FALSE)</f>
        <v>48793</v>
      </c>
      <c r="X1414" s="203">
        <f>_xll.qlCalendarAdvance(Calendar,W1414,NDays&amp;"D")</f>
        <v>48795</v>
      </c>
      <c r="Y1414" s="204">
        <v>2.2952044631347202E-2</v>
      </c>
      <c r="Z1414" s="201">
        <v>2.2937608086275318E-2</v>
      </c>
    </row>
    <row r="1415" spans="22:26" x14ac:dyDescent="0.2">
      <c r="V1415" s="202" t="str">
        <f t="shared" si="30"/>
        <v>1w</v>
      </c>
      <c r="W1415" s="200">
        <f>_xll.qlCalendarAdvance(Calendar,W1414,V1415,"f",FALSE)</f>
        <v>48800</v>
      </c>
      <c r="X1415" s="203">
        <f>_xll.qlCalendarAdvance(Calendar,W1415,NDays&amp;"D")</f>
        <v>48802</v>
      </c>
      <c r="Y1415" s="204">
        <v>2.2948313217816541E-2</v>
      </c>
      <c r="Z1415" s="201">
        <v>2.2933909954234721E-2</v>
      </c>
    </row>
    <row r="1416" spans="22:26" x14ac:dyDescent="0.2">
      <c r="V1416" s="202" t="str">
        <f t="shared" si="30"/>
        <v>1w</v>
      </c>
      <c r="W1416" s="200">
        <f>_xll.qlCalendarAdvance(Calendar,W1415,V1416,"f",FALSE)</f>
        <v>48807</v>
      </c>
      <c r="X1416" s="203">
        <f>_xll.qlCalendarAdvance(Calendar,W1416,NDays&amp;"D")</f>
        <v>48809</v>
      </c>
      <c r="Y1416" s="204">
        <v>2.2944570075597859E-2</v>
      </c>
      <c r="Z1416" s="201">
        <v>2.2930200115638399E-2</v>
      </c>
    </row>
    <row r="1417" spans="22:26" x14ac:dyDescent="0.2">
      <c r="V1417" s="202" t="str">
        <f t="shared" si="30"/>
        <v>1w</v>
      </c>
      <c r="W1417" s="200">
        <f>_xll.qlCalendarAdvance(Calendar,W1416,V1417,"f",FALSE)</f>
        <v>48814</v>
      </c>
      <c r="X1417" s="203">
        <f>_xll.qlCalendarAdvance(Calendar,W1417,NDays&amp;"D")</f>
        <v>48816</v>
      </c>
      <c r="Y1417" s="204">
        <v>2.2940815204701148E-2</v>
      </c>
      <c r="Z1417" s="201">
        <v>2.2926478570166609E-2</v>
      </c>
    </row>
    <row r="1418" spans="22:26" x14ac:dyDescent="0.2">
      <c r="V1418" s="202" t="str">
        <f t="shared" si="30"/>
        <v>1w</v>
      </c>
      <c r="W1418" s="200">
        <f>_xll.qlCalendarAdvance(Calendar,W1417,V1418,"f",FALSE)</f>
        <v>48821</v>
      </c>
      <c r="X1418" s="203">
        <f>_xll.qlCalendarAdvance(Calendar,W1418,NDays&amp;"D")</f>
        <v>48823</v>
      </c>
      <c r="Y1418" s="204">
        <v>2.2937048605136401E-2</v>
      </c>
      <c r="Z1418" s="201">
        <v>2.2922745317899285E-2</v>
      </c>
    </row>
    <row r="1419" spans="22:26" x14ac:dyDescent="0.2">
      <c r="V1419" s="202" t="str">
        <f t="shared" si="30"/>
        <v>1w</v>
      </c>
      <c r="W1419" s="200">
        <f>_xll.qlCalendarAdvance(Calendar,W1418,V1419,"f",FALSE)</f>
        <v>48828</v>
      </c>
      <c r="X1419" s="203">
        <f>_xll.qlCalendarAdvance(Calendar,W1419,NDays&amp;"D")</f>
        <v>48830</v>
      </c>
      <c r="Y1419" s="204">
        <v>2.2933270276916107E-2</v>
      </c>
      <c r="Z1419" s="201">
        <v>2.29190003589963E-2</v>
      </c>
    </row>
    <row r="1420" spans="22:26" x14ac:dyDescent="0.2">
      <c r="V1420" s="202" t="str">
        <f t="shared" si="30"/>
        <v>1w</v>
      </c>
      <c r="W1420" s="200">
        <f>_xll.qlCalendarAdvance(Calendar,W1419,V1420,"f",FALSE)</f>
        <v>48835</v>
      </c>
      <c r="X1420" s="203">
        <f>_xll.qlCalendarAdvance(Calendar,W1420,NDays&amp;"D")</f>
        <v>48837</v>
      </c>
      <c r="Y1420" s="204">
        <v>2.2929480220055254E-2</v>
      </c>
      <c r="Z1420" s="201">
        <v>2.2915243693297782E-2</v>
      </c>
    </row>
    <row r="1421" spans="22:26" x14ac:dyDescent="0.2">
      <c r="V1421" s="202" t="str">
        <f t="shared" si="30"/>
        <v>1w</v>
      </c>
      <c r="W1421" s="200">
        <f>_xll.qlCalendarAdvance(Calendar,W1420,V1421,"f",FALSE)</f>
        <v>48842</v>
      </c>
      <c r="X1421" s="203">
        <f>_xll.qlCalendarAdvance(Calendar,W1421,NDays&amp;"D")</f>
        <v>48844</v>
      </c>
      <c r="Y1421" s="204">
        <v>2.2925678434561336E-2</v>
      </c>
      <c r="Z1421" s="201">
        <v>2.2911475320723795E-2</v>
      </c>
    </row>
    <row r="1422" spans="22:26" x14ac:dyDescent="0.2">
      <c r="V1422" s="202" t="str">
        <f t="shared" si="30"/>
        <v>1w</v>
      </c>
      <c r="W1422" s="200">
        <f>_xll.qlCalendarAdvance(Calendar,W1421,V1422,"f",FALSE)</f>
        <v>48849</v>
      </c>
      <c r="X1422" s="203">
        <f>_xll.qlCalendarAdvance(Calendar,W1422,NDays&amp;"D")</f>
        <v>48851</v>
      </c>
      <c r="Y1422" s="204">
        <v>2.2921864920449342E-2</v>
      </c>
      <c r="Z1422" s="201">
        <v>2.2907695241434212E-2</v>
      </c>
    </row>
    <row r="1423" spans="22:26" x14ac:dyDescent="0.2">
      <c r="V1423" s="202" t="str">
        <f t="shared" si="30"/>
        <v>1w</v>
      </c>
      <c r="W1423" s="200">
        <f>_xll.qlCalendarAdvance(Calendar,W1422,V1423,"f",FALSE)</f>
        <v>48856</v>
      </c>
      <c r="X1423" s="203">
        <f>_xll.qlCalendarAdvance(Calendar,W1423,NDays&amp;"D")</f>
        <v>48858</v>
      </c>
      <c r="Y1423" s="204">
        <v>2.2918039677729263E-2</v>
      </c>
      <c r="Z1423" s="201">
        <v>2.2903903455588903E-2</v>
      </c>
    </row>
    <row r="1424" spans="22:26" x14ac:dyDescent="0.2">
      <c r="V1424" s="202" t="str">
        <f t="shared" si="30"/>
        <v>1w</v>
      </c>
      <c r="W1424" s="200">
        <f>_xll.qlCalendarAdvance(Calendar,W1423,V1424,"f",FALSE)</f>
        <v>48863</v>
      </c>
      <c r="X1424" s="203">
        <f>_xll.qlCalendarAdvance(Calendar,W1424,NDays&amp;"D")</f>
        <v>48865</v>
      </c>
      <c r="Y1424" s="204">
        <v>2.2914202706413589E-2</v>
      </c>
      <c r="Z1424" s="201">
        <v>2.290009996278819E-2</v>
      </c>
    </row>
    <row r="1425" spans="22:26" x14ac:dyDescent="0.2">
      <c r="V1425" s="202" t="str">
        <f t="shared" si="30"/>
        <v>1w</v>
      </c>
      <c r="W1425" s="200">
        <f>_xll.qlCalendarAdvance(Calendar,W1424,V1425,"f",FALSE)</f>
        <v>48870</v>
      </c>
      <c r="X1425" s="203">
        <f>_xll.qlCalendarAdvance(Calendar,W1425,NDays&amp;"D")</f>
        <v>48872</v>
      </c>
      <c r="Y1425" s="204">
        <v>2.2910354006517308E-2</v>
      </c>
      <c r="Z1425" s="201">
        <v>2.2896284763351815E-2</v>
      </c>
    </row>
    <row r="1426" spans="22:26" x14ac:dyDescent="0.2">
      <c r="V1426" s="202" t="str">
        <f t="shared" si="30"/>
        <v>1w</v>
      </c>
      <c r="W1426" s="200">
        <f>_xll.qlCalendarAdvance(Calendar,W1425,V1426,"f",FALSE)</f>
        <v>48877</v>
      </c>
      <c r="X1426" s="203">
        <f>_xll.qlCalendarAdvance(Calendar,W1426,NDays&amp;"D")</f>
        <v>48879</v>
      </c>
      <c r="Y1426" s="204">
        <v>2.2906493578045417E-2</v>
      </c>
      <c r="Z1426" s="201">
        <v>2.2892457857039972E-2</v>
      </c>
    </row>
    <row r="1427" spans="22:26" x14ac:dyDescent="0.2">
      <c r="V1427" s="202" t="str">
        <f t="shared" si="30"/>
        <v>1w</v>
      </c>
      <c r="W1427" s="200">
        <f>_xll.qlCalendarAdvance(Calendar,W1426,V1427,"f",FALSE)</f>
        <v>48884</v>
      </c>
      <c r="X1427" s="203">
        <f>_xll.qlCalendarAdvance(Calendar,W1427,NDays&amp;"D")</f>
        <v>48886</v>
      </c>
      <c r="Y1427" s="204">
        <v>2.2902621421015401E-2</v>
      </c>
      <c r="Z1427" s="201">
        <v>2.2888619244012531E-2</v>
      </c>
    </row>
    <row r="1428" spans="22:26" x14ac:dyDescent="0.2">
      <c r="V1428" s="202" t="str">
        <f t="shared" si="30"/>
        <v>1w</v>
      </c>
      <c r="W1428" s="200">
        <f>_xll.qlCalendarAdvance(Calendar,W1427,V1428,"f",FALSE)</f>
        <v>48891</v>
      </c>
      <c r="X1428" s="203">
        <f>_xll.qlCalendarAdvance(Calendar,W1428,NDays&amp;"D")</f>
        <v>48893</v>
      </c>
      <c r="Y1428" s="204">
        <v>2.289873753543975E-2</v>
      </c>
      <c r="Z1428" s="201">
        <v>2.2884768924269494E-2</v>
      </c>
    </row>
    <row r="1429" spans="22:26" x14ac:dyDescent="0.2">
      <c r="V1429" s="202" t="str">
        <f t="shared" ref="V1429:V1492" si="31">V1428</f>
        <v>1w</v>
      </c>
      <c r="W1429" s="200">
        <f>_xll.qlCalendarAdvance(Calendar,W1428,V1429,"f",FALSE)</f>
        <v>48898</v>
      </c>
      <c r="X1429" s="203">
        <f>_xll.qlCalendarAdvance(Calendar,W1429,NDays&amp;"D")</f>
        <v>48900</v>
      </c>
      <c r="Y1429" s="204">
        <v>2.2894841921328457E-2</v>
      </c>
      <c r="Z1429" s="201">
        <v>2.2880906897730924E-2</v>
      </c>
    </row>
    <row r="1430" spans="22:26" x14ac:dyDescent="0.2">
      <c r="V1430" s="202" t="str">
        <f t="shared" si="31"/>
        <v>1w</v>
      </c>
      <c r="W1430" s="200">
        <f>_xll.qlCalendarAdvance(Calendar,W1429,V1430,"f",FALSE)</f>
        <v>48905</v>
      </c>
      <c r="X1430" s="203">
        <f>_xll.qlCalendarAdvance(Calendar,W1430,NDays&amp;"D")</f>
        <v>48907</v>
      </c>
      <c r="Y1430" s="204">
        <v>2.289138166082904E-2</v>
      </c>
      <c r="Z1430" s="201">
        <v>2.2877033164476757E-2</v>
      </c>
    </row>
    <row r="1431" spans="22:26" x14ac:dyDescent="0.2">
      <c r="V1431" s="202" t="str">
        <f t="shared" si="31"/>
        <v>1w</v>
      </c>
      <c r="W1431" s="200">
        <f>_xll.qlCalendarAdvance(Calendar,W1430,V1431,"f",FALSE)</f>
        <v>48912</v>
      </c>
      <c r="X1431" s="203">
        <f>_xll.qlCalendarAdvance(Calendar,W1431,NDays&amp;"D")</f>
        <v>48914</v>
      </c>
      <c r="Y1431" s="204">
        <v>2.2887015507546404E-2</v>
      </c>
      <c r="Z1431" s="201">
        <v>2.2873147724427056E-2</v>
      </c>
    </row>
    <row r="1432" spans="22:26" x14ac:dyDescent="0.2">
      <c r="V1432" s="202" t="str">
        <f t="shared" si="31"/>
        <v>1w</v>
      </c>
      <c r="W1432" s="200">
        <f>_xll.qlCalendarAdvance(Calendar,W1431,V1432,"f",FALSE)</f>
        <v>48919</v>
      </c>
      <c r="X1432" s="203">
        <f>_xll.qlCalendarAdvance(Calendar,W1432,NDays&amp;"D")</f>
        <v>48921</v>
      </c>
      <c r="Y1432" s="204">
        <v>2.2883084707903123E-2</v>
      </c>
      <c r="Z1432" s="201">
        <v>2.2869250577661759E-2</v>
      </c>
    </row>
    <row r="1433" spans="22:26" x14ac:dyDescent="0.2">
      <c r="V1433" s="202" t="str">
        <f t="shared" si="31"/>
        <v>1w</v>
      </c>
      <c r="W1433" s="200">
        <f>_xll.qlCalendarAdvance(Calendar,W1432,V1433,"f",FALSE)</f>
        <v>48926</v>
      </c>
      <c r="X1433" s="203">
        <f>_xll.qlCalendarAdvance(Calendar,W1433,NDays&amp;"D")</f>
        <v>48928</v>
      </c>
      <c r="Y1433" s="204">
        <v>2.2879142179771661E-2</v>
      </c>
      <c r="Z1433" s="201">
        <v>2.2865341724100929E-2</v>
      </c>
    </row>
    <row r="1434" spans="22:26" x14ac:dyDescent="0.2">
      <c r="V1434" s="202" t="str">
        <f t="shared" si="31"/>
        <v>1w</v>
      </c>
      <c r="W1434" s="200">
        <f>_xll.qlCalendarAdvance(Calendar,W1433,V1434,"f",FALSE)</f>
        <v>48933</v>
      </c>
      <c r="X1434" s="203">
        <f>_xll.qlCalendarAdvance(Calendar,W1434,NDays&amp;"D")</f>
        <v>48935</v>
      </c>
      <c r="Y1434" s="204">
        <v>2.2875187923167006E-2</v>
      </c>
      <c r="Z1434" s="201">
        <v>2.2861421163904438E-2</v>
      </c>
    </row>
    <row r="1435" spans="22:26" x14ac:dyDescent="0.2">
      <c r="V1435" s="202" t="str">
        <f t="shared" si="31"/>
        <v>1w</v>
      </c>
      <c r="W1435" s="200">
        <f>_xll.qlCalendarAdvance(Calendar,W1434,V1435,"f",FALSE)</f>
        <v>48940</v>
      </c>
      <c r="X1435" s="203">
        <f>_xll.qlCalendarAdvance(Calendar,W1435,NDays&amp;"D")</f>
        <v>48942</v>
      </c>
      <c r="Y1435" s="204">
        <v>2.2871221938101649E-2</v>
      </c>
      <c r="Z1435" s="201">
        <v>2.2857488896832479E-2</v>
      </c>
    </row>
    <row r="1436" spans="22:26" x14ac:dyDescent="0.2">
      <c r="V1436" s="202" t="str">
        <f t="shared" si="31"/>
        <v>1w</v>
      </c>
      <c r="W1436" s="200">
        <f>_xll.qlCalendarAdvance(Calendar,W1435,V1436,"f",FALSE)</f>
        <v>48947</v>
      </c>
      <c r="X1436" s="203">
        <f>_xll.qlCalendarAdvance(Calendar,W1436,NDays&amp;"D")</f>
        <v>48949</v>
      </c>
      <c r="Y1436" s="204">
        <v>2.2867244224585581E-2</v>
      </c>
      <c r="Z1436" s="201">
        <v>2.2853544923044922E-2</v>
      </c>
    </row>
    <row r="1437" spans="22:26" x14ac:dyDescent="0.2">
      <c r="V1437" s="202" t="str">
        <f t="shared" si="31"/>
        <v>1w</v>
      </c>
      <c r="W1437" s="200">
        <f>_xll.qlCalendarAdvance(Calendar,W1436,V1437,"f",FALSE)</f>
        <v>48954</v>
      </c>
      <c r="X1437" s="203">
        <f>_xll.qlCalendarAdvance(Calendar,W1437,NDays&amp;"D")</f>
        <v>48956</v>
      </c>
      <c r="Y1437" s="204">
        <v>2.2863254782631293E-2</v>
      </c>
      <c r="Z1437" s="201">
        <v>2.2849589242541768E-2</v>
      </c>
    </row>
    <row r="1438" spans="22:26" x14ac:dyDescent="0.2">
      <c r="V1438" s="202" t="str">
        <f t="shared" si="31"/>
        <v>1w</v>
      </c>
      <c r="W1438" s="200">
        <f>_xll.qlCalendarAdvance(Calendar,W1437,V1438,"f",FALSE)</f>
        <v>48961</v>
      </c>
      <c r="X1438" s="203">
        <f>_xll.qlCalendarAdvance(Calendar,W1438,NDays&amp;"D")</f>
        <v>48963</v>
      </c>
      <c r="Y1438" s="204">
        <v>2.285925361225627E-2</v>
      </c>
      <c r="Z1438" s="201">
        <v>2.2845621855243081E-2</v>
      </c>
    </row>
    <row r="1439" spans="22:26" x14ac:dyDescent="0.2">
      <c r="V1439" s="202" t="str">
        <f t="shared" si="31"/>
        <v>1w</v>
      </c>
      <c r="W1439" s="200">
        <f>_xll.qlCalendarAdvance(Calendar,W1438,V1439,"f",FALSE)</f>
        <v>48968</v>
      </c>
      <c r="X1439" s="203">
        <f>_xll.qlCalendarAdvance(Calendar,W1439,NDays&amp;"D")</f>
        <v>48970</v>
      </c>
      <c r="Y1439" s="204">
        <v>2.2855240713468006E-2</v>
      </c>
      <c r="Z1439" s="201">
        <v>2.2841642761228798E-2</v>
      </c>
    </row>
    <row r="1440" spans="22:26" x14ac:dyDescent="0.2">
      <c r="V1440" s="202" t="str">
        <f t="shared" si="31"/>
        <v>1w</v>
      </c>
      <c r="W1440" s="200">
        <f>_xll.qlCalendarAdvance(Calendar,W1439,V1440,"f",FALSE)</f>
        <v>48975</v>
      </c>
      <c r="X1440" s="203">
        <f>_xll.qlCalendarAdvance(Calendar,W1440,NDays&amp;"D")</f>
        <v>48977</v>
      </c>
      <c r="Y1440" s="204">
        <v>2.2849470495840723E-2</v>
      </c>
      <c r="Z1440" s="201">
        <v>2.2837651960418981E-2</v>
      </c>
    </row>
    <row r="1441" spans="22:26" x14ac:dyDescent="0.2">
      <c r="V1441" s="202" t="str">
        <f t="shared" si="31"/>
        <v>1w</v>
      </c>
      <c r="W1441" s="200">
        <f>_xll.qlCalendarAdvance(Calendar,W1440,V1441,"f",FALSE)</f>
        <v>48982</v>
      </c>
      <c r="X1441" s="203">
        <f>_xll.qlCalendarAdvance(Calendar,W1441,NDays&amp;"D")</f>
        <v>48984</v>
      </c>
      <c r="Y1441" s="204">
        <v>2.2845438514015166E-2</v>
      </c>
      <c r="Z1441" s="201">
        <v>2.2833649452973503E-2</v>
      </c>
    </row>
    <row r="1442" spans="22:26" x14ac:dyDescent="0.2">
      <c r="V1442" s="202" t="str">
        <f t="shared" si="31"/>
        <v>1w</v>
      </c>
      <c r="W1442" s="200">
        <f>_xll.qlCalendarAdvance(Calendar,W1441,V1442,"f",FALSE)</f>
        <v>48989</v>
      </c>
      <c r="X1442" s="203">
        <f>_xll.qlCalendarAdvance(Calendar,W1442,NDays&amp;"D")</f>
        <v>48991</v>
      </c>
      <c r="Y1442" s="204">
        <v>2.2841394806603393E-2</v>
      </c>
      <c r="Z1442" s="201">
        <v>2.2829635238652557E-2</v>
      </c>
    </row>
    <row r="1443" spans="22:26" x14ac:dyDescent="0.2">
      <c r="V1443" s="202" t="str">
        <f t="shared" si="31"/>
        <v>1w</v>
      </c>
      <c r="W1443" s="200">
        <f>_xll.qlCalendarAdvance(Calendar,W1442,V1443,"f",FALSE)</f>
        <v>48996</v>
      </c>
      <c r="X1443" s="203">
        <f>_xll.qlCalendarAdvance(Calendar,W1443,NDays&amp;"D")</f>
        <v>48998</v>
      </c>
      <c r="Y1443" s="204">
        <v>2.2837339373619679E-2</v>
      </c>
      <c r="Z1443" s="201">
        <v>2.282560931769595E-2</v>
      </c>
    </row>
    <row r="1444" spans="22:26" x14ac:dyDescent="0.2">
      <c r="V1444" s="202" t="str">
        <f t="shared" si="31"/>
        <v>1w</v>
      </c>
      <c r="W1444" s="200">
        <f>_xll.qlCalendarAdvance(Calendar,W1443,V1444,"f",FALSE)</f>
        <v>49003</v>
      </c>
      <c r="X1444" s="203">
        <f>_xll.qlCalendarAdvance(Calendar,W1444,NDays&amp;"D")</f>
        <v>49005</v>
      </c>
      <c r="Y1444" s="204">
        <v>2.2835000293782715E-2</v>
      </c>
      <c r="Z1444" s="201">
        <v>2.2821571689863873E-2</v>
      </c>
    </row>
    <row r="1445" spans="22:26" x14ac:dyDescent="0.2">
      <c r="V1445" s="202" t="str">
        <f t="shared" si="31"/>
        <v>1w</v>
      </c>
      <c r="W1445" s="200">
        <f>_xll.qlCalendarAdvance(Calendar,W1444,V1445,"f",FALSE)</f>
        <v>49010</v>
      </c>
      <c r="X1445" s="203">
        <f>_xll.qlCalendarAdvance(Calendar,W1445,NDays&amp;"D")</f>
        <v>49012</v>
      </c>
      <c r="Y1445" s="204">
        <v>2.283134773249626E-2</v>
      </c>
      <c r="Z1445" s="201">
        <v>2.2817522355396136E-2</v>
      </c>
    </row>
    <row r="1446" spans="22:26" x14ac:dyDescent="0.2">
      <c r="V1446" s="202" t="str">
        <f t="shared" si="31"/>
        <v>1w</v>
      </c>
      <c r="W1446" s="200">
        <f>_xll.qlCalendarAdvance(Calendar,W1445,V1446,"f",FALSE)</f>
        <v>49017</v>
      </c>
      <c r="X1446" s="203">
        <f>_xll.qlCalendarAdvance(Calendar,W1446,NDays&amp;"D")</f>
        <v>49019</v>
      </c>
      <c r="Y1446" s="204">
        <v>2.282682202747105E-2</v>
      </c>
      <c r="Z1446" s="201">
        <v>2.281346131405293E-2</v>
      </c>
    </row>
    <row r="1447" spans="22:26" x14ac:dyDescent="0.2">
      <c r="V1447" s="202" t="str">
        <f t="shared" si="31"/>
        <v>1w</v>
      </c>
      <c r="W1447" s="200">
        <f>_xll.qlCalendarAdvance(Calendar,W1446,V1447,"f",FALSE)</f>
        <v>49024</v>
      </c>
      <c r="X1447" s="203">
        <f>_xll.qlCalendarAdvance(Calendar,W1447,NDays&amp;"D")</f>
        <v>49026</v>
      </c>
      <c r="Y1447" s="204">
        <v>2.2822715301838992E-2</v>
      </c>
      <c r="Z1447" s="201">
        <v>2.2809388566074063E-2</v>
      </c>
    </row>
    <row r="1448" spans="22:26" x14ac:dyDescent="0.2">
      <c r="V1448" s="202" t="str">
        <f t="shared" si="31"/>
        <v>1w</v>
      </c>
      <c r="W1448" s="200">
        <f>_xll.qlCalendarAdvance(Calendar,W1447,V1448,"f",FALSE)</f>
        <v>49031</v>
      </c>
      <c r="X1448" s="203">
        <f>_xll.qlCalendarAdvance(Calendar,W1448,NDays&amp;"D")</f>
        <v>49033</v>
      </c>
      <c r="Y1448" s="204">
        <v>2.2817314086027485E-2</v>
      </c>
      <c r="Z1448" s="201">
        <v>2.2805304111299662E-2</v>
      </c>
    </row>
    <row r="1449" spans="22:26" x14ac:dyDescent="0.2">
      <c r="V1449" s="202" t="str">
        <f t="shared" si="31"/>
        <v>1w</v>
      </c>
      <c r="W1449" s="200">
        <f>_xll.qlCalendarAdvance(Calendar,W1448,V1449,"f",FALSE)</f>
        <v>49038</v>
      </c>
      <c r="X1449" s="203">
        <f>_xll.qlCalendarAdvance(Calendar,W1449,NDays&amp;"D")</f>
        <v>49040</v>
      </c>
      <c r="Y1449" s="204">
        <v>2.2814466665699862E-2</v>
      </c>
      <c r="Z1449" s="201">
        <v>2.2802923420679022E-2</v>
      </c>
    </row>
    <row r="1450" spans="22:26" x14ac:dyDescent="0.2">
      <c r="V1450" s="202" t="str">
        <f t="shared" si="31"/>
        <v>1w</v>
      </c>
      <c r="W1450" s="200">
        <f>_xll.qlCalendarAdvance(Calendar,W1449,V1450,"f",FALSE)</f>
        <v>49045</v>
      </c>
      <c r="X1450" s="203">
        <f>_xll.qlCalendarAdvance(Calendar,W1450,NDays&amp;"D")</f>
        <v>49047</v>
      </c>
      <c r="Y1450" s="204">
        <v>2.2810324755212774E-2</v>
      </c>
      <c r="Z1450" s="201">
        <v>2.2797100081604071E-2</v>
      </c>
    </row>
    <row r="1451" spans="22:26" x14ac:dyDescent="0.2">
      <c r="V1451" s="202" t="str">
        <f t="shared" si="31"/>
        <v>1w</v>
      </c>
      <c r="W1451" s="200">
        <f>_xll.qlCalendarAdvance(Calendar,W1450,V1451,"f",FALSE)</f>
        <v>49052</v>
      </c>
      <c r="X1451" s="203">
        <f>_xll.qlCalendarAdvance(Calendar,W1451,NDays&amp;"D")</f>
        <v>49054</v>
      </c>
      <c r="Y1451" s="204">
        <v>2.280617111646982E-2</v>
      </c>
      <c r="Z1451" s="201">
        <v>2.2792980506602945E-2</v>
      </c>
    </row>
    <row r="1452" spans="22:26" x14ac:dyDescent="0.2">
      <c r="V1452" s="202" t="str">
        <f t="shared" si="31"/>
        <v>1w</v>
      </c>
      <c r="W1452" s="200">
        <f>_xll.qlCalendarAdvance(Calendar,W1451,V1452,"f",FALSE)</f>
        <v>49059</v>
      </c>
      <c r="X1452" s="203">
        <f>_xll.qlCalendarAdvance(Calendar,W1452,NDays&amp;"D")</f>
        <v>49061</v>
      </c>
      <c r="Y1452" s="204">
        <v>2.2802005749478493E-2</v>
      </c>
      <c r="Z1452" s="201">
        <v>2.2788849224886221E-2</v>
      </c>
    </row>
    <row r="1453" spans="22:26" x14ac:dyDescent="0.2">
      <c r="V1453" s="202" t="str">
        <f t="shared" si="31"/>
        <v>1w</v>
      </c>
      <c r="W1453" s="200">
        <f>_xll.qlCalendarAdvance(Calendar,W1452,V1453,"f",FALSE)</f>
        <v>49066</v>
      </c>
      <c r="X1453" s="203">
        <f>_xll.qlCalendarAdvance(Calendar,W1453,NDays&amp;"D")</f>
        <v>49068</v>
      </c>
      <c r="Y1453" s="204">
        <v>2.279782865425628E-2</v>
      </c>
      <c r="Z1453" s="201">
        <v>2.2784706236373964E-2</v>
      </c>
    </row>
    <row r="1454" spans="22:26" x14ac:dyDescent="0.2">
      <c r="V1454" s="202" t="str">
        <f t="shared" si="31"/>
        <v>1w</v>
      </c>
      <c r="W1454" s="200">
        <f>_xll.qlCalendarAdvance(Calendar,W1453,V1454,"f",FALSE)</f>
        <v>49073</v>
      </c>
      <c r="X1454" s="203">
        <f>_xll.qlCalendarAdvance(Calendar,W1454,NDays&amp;"D")</f>
        <v>49075</v>
      </c>
      <c r="Y1454" s="204">
        <v>2.2793639830813173E-2</v>
      </c>
      <c r="Z1454" s="201">
        <v>2.2780551541226046E-2</v>
      </c>
    </row>
    <row r="1455" spans="22:26" x14ac:dyDescent="0.2">
      <c r="V1455" s="202" t="str">
        <f t="shared" si="31"/>
        <v>1w</v>
      </c>
      <c r="W1455" s="200">
        <f>_xll.qlCalendarAdvance(Calendar,W1454,V1455,"f",FALSE)</f>
        <v>49080</v>
      </c>
      <c r="X1455" s="203">
        <f>_xll.qlCalendarAdvance(Calendar,W1455,NDays&amp;"D")</f>
        <v>49082</v>
      </c>
      <c r="Y1455" s="204">
        <v>2.2789439279159163E-2</v>
      </c>
      <c r="Z1455" s="201">
        <v>2.2776385139122723E-2</v>
      </c>
    </row>
    <row r="1456" spans="22:26" x14ac:dyDescent="0.2">
      <c r="V1456" s="202" t="str">
        <f t="shared" si="31"/>
        <v>1w</v>
      </c>
      <c r="W1456" s="200">
        <f>_xll.qlCalendarAdvance(Calendar,W1455,V1456,"f",FALSE)</f>
        <v>49087</v>
      </c>
      <c r="X1456" s="203">
        <f>_xll.qlCalendarAdvance(Calendar,W1456,NDays&amp;"D")</f>
        <v>49089</v>
      </c>
      <c r="Y1456" s="204">
        <v>2.2785226999316732E-2</v>
      </c>
      <c r="Z1456" s="201">
        <v>2.2772207030463676E-2</v>
      </c>
    </row>
    <row r="1457" spans="22:26" x14ac:dyDescent="0.2">
      <c r="V1457" s="202" t="str">
        <f t="shared" si="31"/>
        <v>1w</v>
      </c>
      <c r="W1457" s="200">
        <f>_xll.qlCalendarAdvance(Calendar,W1456,V1457,"f",FALSE)</f>
        <v>49094</v>
      </c>
      <c r="X1457" s="203">
        <f>_xll.qlCalendarAdvance(Calendar,W1457,NDays&amp;"D")</f>
        <v>49096</v>
      </c>
      <c r="Y1457" s="204">
        <v>2.2781002991288379E-2</v>
      </c>
      <c r="Z1457" s="201">
        <v>2.2768017215009095E-2</v>
      </c>
    </row>
    <row r="1458" spans="22:26" x14ac:dyDescent="0.2">
      <c r="V1458" s="202" t="str">
        <f t="shared" si="31"/>
        <v>1w</v>
      </c>
      <c r="W1458" s="200">
        <f>_xll.qlCalendarAdvance(Calendar,W1457,V1458,"f",FALSE)</f>
        <v>49101</v>
      </c>
      <c r="X1458" s="203">
        <f>_xll.qlCalendarAdvance(Calendar,W1458,NDays&amp;"D")</f>
        <v>49103</v>
      </c>
      <c r="Y1458" s="204">
        <v>2.2776767255096586E-2</v>
      </c>
      <c r="Z1458" s="201">
        <v>2.2763815692838918E-2</v>
      </c>
    </row>
    <row r="1459" spans="22:26" x14ac:dyDescent="0.2">
      <c r="V1459" s="202" t="str">
        <f t="shared" si="31"/>
        <v>1w</v>
      </c>
      <c r="W1459" s="200">
        <f>_xll.qlCalendarAdvance(Calendar,W1458,V1459,"f",FALSE)</f>
        <v>49108</v>
      </c>
      <c r="X1459" s="203">
        <f>_xll.qlCalendarAdvance(Calendar,W1459,NDays&amp;"D")</f>
        <v>49110</v>
      </c>
      <c r="Y1459" s="204">
        <v>2.2772519790748846E-2</v>
      </c>
      <c r="Z1459" s="201">
        <v>2.2759602463873208E-2</v>
      </c>
    </row>
    <row r="1460" spans="22:26" x14ac:dyDescent="0.2">
      <c r="V1460" s="202" t="str">
        <f t="shared" si="31"/>
        <v>1w</v>
      </c>
      <c r="W1460" s="200">
        <f>_xll.qlCalendarAdvance(Calendar,W1459,V1460,"f",FALSE)</f>
        <v>49115</v>
      </c>
      <c r="X1460" s="203">
        <f>_xll.qlCalendarAdvance(Calendar,W1460,NDays&amp;"D")</f>
        <v>49117</v>
      </c>
      <c r="Y1460" s="204">
        <v>2.2768260598260148E-2</v>
      </c>
      <c r="Z1460" s="201">
        <v>2.2755377528271836E-2</v>
      </c>
    </row>
    <row r="1461" spans="22:26" x14ac:dyDescent="0.2">
      <c r="V1461" s="202" t="str">
        <f t="shared" si="31"/>
        <v>1w</v>
      </c>
      <c r="W1461" s="200">
        <f>_xll.qlCalendarAdvance(Calendar,W1460,V1461,"f",FALSE)</f>
        <v>49122</v>
      </c>
      <c r="X1461" s="203">
        <f>_xll.qlCalendarAdvance(Calendar,W1461,NDays&amp;"D")</f>
        <v>49124</v>
      </c>
      <c r="Y1461" s="204">
        <v>2.2763989677642982E-2</v>
      </c>
      <c r="Z1461" s="201">
        <v>2.2751140885874932E-2</v>
      </c>
    </row>
    <row r="1462" spans="22:26" x14ac:dyDescent="0.2">
      <c r="V1462" s="202" t="str">
        <f t="shared" si="31"/>
        <v>1w</v>
      </c>
      <c r="W1462" s="200">
        <f>_xll.qlCalendarAdvance(Calendar,W1461,V1462,"f",FALSE)</f>
        <v>49129</v>
      </c>
      <c r="X1462" s="203">
        <f>_xll.qlCalendarAdvance(Calendar,W1462,NDays&amp;"D")</f>
        <v>49131</v>
      </c>
      <c r="Y1462" s="204">
        <v>2.2759707028909837E-2</v>
      </c>
      <c r="Z1462" s="201">
        <v>2.2746892536682495E-2</v>
      </c>
    </row>
    <row r="1463" spans="22:26" x14ac:dyDescent="0.2">
      <c r="V1463" s="202" t="str">
        <f t="shared" si="31"/>
        <v>1w</v>
      </c>
      <c r="W1463" s="200">
        <f>_xll.qlCalendarAdvance(Calendar,W1462,V1463,"f",FALSE)</f>
        <v>49136</v>
      </c>
      <c r="X1463" s="203">
        <f>_xll.qlCalendarAdvance(Calendar,W1463,NDays&amp;"D")</f>
        <v>49138</v>
      </c>
      <c r="Y1463" s="204">
        <v>2.2755412652080698E-2</v>
      </c>
      <c r="Z1463" s="201">
        <v>2.2742632480854397E-2</v>
      </c>
    </row>
    <row r="1464" spans="22:26" x14ac:dyDescent="0.2">
      <c r="V1464" s="202" t="str">
        <f t="shared" si="31"/>
        <v>1w</v>
      </c>
      <c r="W1464" s="200">
        <f>_xll.qlCalendarAdvance(Calendar,W1463,V1464,"f",FALSE)</f>
        <v>49143</v>
      </c>
      <c r="X1464" s="203">
        <f>_xll.qlCalendarAdvance(Calendar,W1464,NDays&amp;"D")</f>
        <v>49145</v>
      </c>
      <c r="Y1464" s="204">
        <v>2.2751106547158062E-2</v>
      </c>
      <c r="Z1464" s="201">
        <v>2.273836071815083E-2</v>
      </c>
    </row>
    <row r="1465" spans="22:26" x14ac:dyDescent="0.2">
      <c r="V1465" s="202" t="str">
        <f t="shared" si="31"/>
        <v>1w</v>
      </c>
      <c r="W1465" s="200">
        <f>_xll.qlCalendarAdvance(Calendar,W1464,V1465,"f",FALSE)</f>
        <v>49150</v>
      </c>
      <c r="X1465" s="203">
        <f>_xll.qlCalendarAdvance(Calendar,W1465,NDays&amp;"D")</f>
        <v>49152</v>
      </c>
      <c r="Y1465" s="204">
        <v>2.2746788714161914E-2</v>
      </c>
      <c r="Z1465" s="201">
        <v>2.2734077248731666E-2</v>
      </c>
    </row>
    <row r="1466" spans="22:26" x14ac:dyDescent="0.2">
      <c r="V1466" s="202" t="str">
        <f t="shared" si="31"/>
        <v>1w</v>
      </c>
      <c r="W1466" s="200">
        <f>_xll.qlCalendarAdvance(Calendar,W1465,V1466,"f",FALSE)</f>
        <v>49157</v>
      </c>
      <c r="X1466" s="203">
        <f>_xll.qlCalendarAdvance(Calendar,W1466,NDays&amp;"D")</f>
        <v>49159</v>
      </c>
      <c r="Y1466" s="204">
        <v>2.2742459153107242E-2</v>
      </c>
      <c r="Z1466" s="201">
        <v>2.2729782072676841E-2</v>
      </c>
    </row>
    <row r="1467" spans="22:26" x14ac:dyDescent="0.2">
      <c r="V1467" s="202" t="str">
        <f t="shared" si="31"/>
        <v>1w</v>
      </c>
      <c r="W1467" s="200">
        <f>_xll.qlCalendarAdvance(Calendar,W1466,V1467,"f",FALSE)</f>
        <v>49164</v>
      </c>
      <c r="X1467" s="203">
        <f>_xll.qlCalendarAdvance(Calendar,W1467,NDays&amp;"D")</f>
        <v>49166</v>
      </c>
      <c r="Y1467" s="204">
        <v>2.2738117905400923E-2</v>
      </c>
      <c r="Z1467" s="201">
        <v>2.2725475189906419E-2</v>
      </c>
    </row>
    <row r="1468" spans="22:26" x14ac:dyDescent="0.2">
      <c r="V1468" s="202" t="str">
        <f t="shared" si="31"/>
        <v>1w</v>
      </c>
      <c r="W1468" s="200">
        <f>_xll.qlCalendarAdvance(Calendar,W1467,V1468,"f",FALSE)</f>
        <v>49171</v>
      </c>
      <c r="X1468" s="203">
        <f>_xll.qlCalendarAdvance(Calendar,W1468,NDays&amp;"D")</f>
        <v>49173</v>
      </c>
      <c r="Y1468" s="204">
        <v>2.2733766380008402E-2</v>
      </c>
      <c r="Z1468" s="201">
        <v>2.2721156600180592E-2</v>
      </c>
    </row>
    <row r="1469" spans="22:26" x14ac:dyDescent="0.2">
      <c r="V1469" s="202" t="str">
        <f t="shared" si="31"/>
        <v>1w</v>
      </c>
      <c r="W1469" s="200">
        <f>_xll.qlCalendarAdvance(Calendar,W1468,V1469,"f",FALSE)</f>
        <v>49178</v>
      </c>
      <c r="X1469" s="203">
        <f>_xll.qlCalendarAdvance(Calendar,W1469,NDays&amp;"D")</f>
        <v>49180</v>
      </c>
      <c r="Y1469" s="204">
        <v>2.2729407634031751E-2</v>
      </c>
      <c r="Z1469" s="201">
        <v>2.271682630389904E-2</v>
      </c>
    </row>
    <row r="1470" spans="22:26" x14ac:dyDescent="0.2">
      <c r="V1470" s="202" t="str">
        <f t="shared" si="31"/>
        <v>1w</v>
      </c>
      <c r="W1470" s="200">
        <f>_xll.qlCalendarAdvance(Calendar,W1469,V1470,"f",FALSE)</f>
        <v>49185</v>
      </c>
      <c r="X1470" s="203">
        <f>_xll.qlCalendarAdvance(Calendar,W1470,NDays&amp;"D")</f>
        <v>49187</v>
      </c>
      <c r="Y1470" s="204">
        <v>2.2723829548242098E-2</v>
      </c>
      <c r="Z1470" s="201">
        <v>2.2712484300901892E-2</v>
      </c>
    </row>
    <row r="1471" spans="22:26" x14ac:dyDescent="0.2">
      <c r="V1471" s="202" t="str">
        <f t="shared" si="31"/>
        <v>1w</v>
      </c>
      <c r="W1471" s="200">
        <f>_xll.qlCalendarAdvance(Calendar,W1470,V1471,"f",FALSE)</f>
        <v>49192</v>
      </c>
      <c r="X1471" s="203">
        <f>_xll.qlCalendarAdvance(Calendar,W1471,NDays&amp;"D")</f>
        <v>49194</v>
      </c>
      <c r="Y1471" s="204">
        <v>2.2720681101162932E-2</v>
      </c>
      <c r="Z1471" s="201">
        <v>2.2708130591029274E-2</v>
      </c>
    </row>
    <row r="1472" spans="22:26" x14ac:dyDescent="0.2">
      <c r="V1472" s="202" t="str">
        <f t="shared" si="31"/>
        <v>1w</v>
      </c>
      <c r="W1472" s="200">
        <f>_xll.qlCalendarAdvance(Calendar,W1471,V1472,"f",FALSE)</f>
        <v>49199</v>
      </c>
      <c r="X1472" s="203">
        <f>_xll.qlCalendarAdvance(Calendar,W1472,NDays&amp;"D")</f>
        <v>49201</v>
      </c>
      <c r="Y1472" s="204">
        <v>2.2716319293522858E-2</v>
      </c>
      <c r="Z1472" s="201">
        <v>2.2703771393066674E-2</v>
      </c>
    </row>
    <row r="1473" spans="22:26" x14ac:dyDescent="0.2">
      <c r="V1473" s="202" t="str">
        <f t="shared" si="31"/>
        <v>1w</v>
      </c>
      <c r="W1473" s="200">
        <f>_xll.qlCalendarAdvance(Calendar,W1472,V1473,"f",FALSE)</f>
        <v>49206</v>
      </c>
      <c r="X1473" s="203">
        <f>_xll.qlCalendarAdvance(Calendar,W1473,NDays&amp;"D")</f>
        <v>49208</v>
      </c>
      <c r="Y1473" s="204">
        <v>2.2711960180122615E-2</v>
      </c>
      <c r="Z1473" s="201">
        <v>2.2699414834912446E-2</v>
      </c>
    </row>
    <row r="1474" spans="22:26" x14ac:dyDescent="0.2">
      <c r="V1474" s="202" t="str">
        <f t="shared" si="31"/>
        <v>1w</v>
      </c>
      <c r="W1474" s="200">
        <f>_xll.qlCalendarAdvance(Calendar,W1473,V1474,"f",FALSE)</f>
        <v>49213</v>
      </c>
      <c r="X1474" s="203">
        <f>_xll.qlCalendarAdvance(Calendar,W1474,NDays&amp;"D")</f>
        <v>49215</v>
      </c>
      <c r="Y1474" s="204">
        <v>2.2707603762493478E-2</v>
      </c>
      <c r="Z1474" s="201">
        <v>2.2695060965727265E-2</v>
      </c>
    </row>
    <row r="1475" spans="22:26" x14ac:dyDescent="0.2">
      <c r="V1475" s="202" t="str">
        <f t="shared" si="31"/>
        <v>1w</v>
      </c>
      <c r="W1475" s="200">
        <f>_xll.qlCalendarAdvance(Calendar,W1474,V1475,"f",FALSE)</f>
        <v>49220</v>
      </c>
      <c r="X1475" s="203">
        <f>_xll.qlCalendarAdvance(Calendar,W1475,NDays&amp;"D")</f>
        <v>49222</v>
      </c>
      <c r="Y1475" s="204">
        <v>2.270325004063295E-2</v>
      </c>
      <c r="Z1475" s="201">
        <v>2.2690709785431196E-2</v>
      </c>
    </row>
    <row r="1476" spans="22:26" x14ac:dyDescent="0.2">
      <c r="V1476" s="202" t="str">
        <f t="shared" si="31"/>
        <v>1w</v>
      </c>
      <c r="W1476" s="200">
        <f>_xll.qlCalendarAdvance(Calendar,W1475,V1476,"f",FALSE)</f>
        <v>49227</v>
      </c>
      <c r="X1476" s="203">
        <f>_xll.qlCalendarAdvance(Calendar,W1476,NDays&amp;"D")</f>
        <v>49229</v>
      </c>
      <c r="Y1476" s="204">
        <v>2.2698899014538532E-2</v>
      </c>
      <c r="Z1476" s="201">
        <v>2.2686361293864366E-2</v>
      </c>
    </row>
    <row r="1477" spans="22:26" x14ac:dyDescent="0.2">
      <c r="V1477" s="202" t="str">
        <f t="shared" si="31"/>
        <v>1w</v>
      </c>
      <c r="W1477" s="200">
        <f>_xll.qlCalendarAdvance(Calendar,W1476,V1477,"f",FALSE)</f>
        <v>49234</v>
      </c>
      <c r="X1477" s="203">
        <f>_xll.qlCalendarAdvance(Calendar,W1477,NDays&amp;"D")</f>
        <v>49236</v>
      </c>
      <c r="Y1477" s="204">
        <v>2.2694550684205228E-2</v>
      </c>
      <c r="Z1477" s="201">
        <v>2.2682015491346519E-2</v>
      </c>
    </row>
    <row r="1478" spans="22:26" x14ac:dyDescent="0.2">
      <c r="V1478" s="202" t="str">
        <f t="shared" si="31"/>
        <v>1w</v>
      </c>
      <c r="W1478" s="200">
        <f>_xll.qlCalendarAdvance(Calendar,W1477,V1478,"f",FALSE)</f>
        <v>49241</v>
      </c>
      <c r="X1478" s="203">
        <f>_xll.qlCalendarAdvance(Calendar,W1478,NDays&amp;"D")</f>
        <v>49243</v>
      </c>
      <c r="Y1478" s="204">
        <v>2.2690205049635537E-2</v>
      </c>
      <c r="Z1478" s="201">
        <v>2.2677672377637847E-2</v>
      </c>
    </row>
    <row r="1479" spans="22:26" x14ac:dyDescent="0.2">
      <c r="V1479" s="202" t="str">
        <f t="shared" si="31"/>
        <v>1w</v>
      </c>
      <c r="W1479" s="200">
        <f>_xll.qlCalendarAdvance(Calendar,W1478,V1479,"f",FALSE)</f>
        <v>49248</v>
      </c>
      <c r="X1479" s="203">
        <f>_xll.qlCalendarAdvance(Calendar,W1479,NDays&amp;"D")</f>
        <v>49250</v>
      </c>
      <c r="Y1479" s="204">
        <v>2.2685862110816968E-2</v>
      </c>
      <c r="Z1479" s="201">
        <v>2.2673331952898224E-2</v>
      </c>
    </row>
    <row r="1480" spans="22:26" x14ac:dyDescent="0.2">
      <c r="V1480" s="202" t="str">
        <f t="shared" si="31"/>
        <v>1w</v>
      </c>
      <c r="W1480" s="200">
        <f>_xll.qlCalendarAdvance(Calendar,W1479,V1480,"f",FALSE)</f>
        <v>49255</v>
      </c>
      <c r="X1480" s="203">
        <f>_xll.qlCalendarAdvance(Calendar,W1480,NDays&amp;"D")</f>
        <v>49257</v>
      </c>
      <c r="Y1480" s="204">
        <v>2.2681521867754517E-2</v>
      </c>
      <c r="Z1480" s="201">
        <v>2.2668994216967775E-2</v>
      </c>
    </row>
    <row r="1481" spans="22:26" x14ac:dyDescent="0.2">
      <c r="V1481" s="202" t="str">
        <f t="shared" si="31"/>
        <v>1w</v>
      </c>
      <c r="W1481" s="200">
        <f>_xll.qlCalendarAdvance(Calendar,W1480,V1481,"f",FALSE)</f>
        <v>49262</v>
      </c>
      <c r="X1481" s="203">
        <f>_xll.qlCalendarAdvance(Calendar,W1481,NDays&amp;"D")</f>
        <v>49264</v>
      </c>
      <c r="Y1481" s="204">
        <v>2.2677184320440691E-2</v>
      </c>
      <c r="Z1481" s="201">
        <v>2.2664659169926438E-2</v>
      </c>
    </row>
    <row r="1482" spans="22:26" x14ac:dyDescent="0.2">
      <c r="V1482" s="202" t="str">
        <f t="shared" si="31"/>
        <v>1w</v>
      </c>
      <c r="W1482" s="200">
        <f>_xll.qlCalendarAdvance(Calendar,W1481,V1482,"f",FALSE)</f>
        <v>49269</v>
      </c>
      <c r="X1482" s="203">
        <f>_xll.qlCalendarAdvance(Calendar,W1482,NDays&amp;"D")</f>
        <v>49271</v>
      </c>
      <c r="Y1482" s="204">
        <v>2.2673657689691058E-2</v>
      </c>
      <c r="Z1482" s="201">
        <v>2.2660326811694276E-2</v>
      </c>
    </row>
    <row r="1483" spans="22:26" x14ac:dyDescent="0.2">
      <c r="V1483" s="202" t="str">
        <f t="shared" si="31"/>
        <v>1w</v>
      </c>
      <c r="W1483" s="200">
        <f>_xll.qlCalendarAdvance(Calendar,W1482,V1483,"f",FALSE)</f>
        <v>49276</v>
      </c>
      <c r="X1483" s="203">
        <f>_xll.qlCalendarAdvance(Calendar,W1483,NDays&amp;"D")</f>
        <v>49278</v>
      </c>
      <c r="Y1483" s="204">
        <v>2.266730529186042E-2</v>
      </c>
      <c r="Z1483" s="201">
        <v>2.2655997142431161E-2</v>
      </c>
    </row>
    <row r="1484" spans="22:26" x14ac:dyDescent="0.2">
      <c r="V1484" s="202" t="str">
        <f t="shared" si="31"/>
        <v>1w</v>
      </c>
      <c r="W1484" s="200">
        <f>_xll.qlCalendarAdvance(Calendar,W1483,V1484,"f",FALSE)</f>
        <v>49283</v>
      </c>
      <c r="X1484" s="203">
        <f>_xll.qlCalendarAdvance(Calendar,W1484,NDays&amp;"D")</f>
        <v>49285</v>
      </c>
      <c r="Y1484" s="204">
        <v>2.2664187852965978E-2</v>
      </c>
      <c r="Z1484" s="201">
        <v>2.2651670161977222E-2</v>
      </c>
    </row>
    <row r="1485" spans="22:26" x14ac:dyDescent="0.2">
      <c r="V1485" s="202" t="str">
        <f t="shared" si="31"/>
        <v>1w</v>
      </c>
      <c r="W1485" s="200">
        <f>_xll.qlCalendarAdvance(Calendar,W1484,V1485,"f",FALSE)</f>
        <v>49290</v>
      </c>
      <c r="X1485" s="203">
        <f>_xll.qlCalendarAdvance(Calendar,W1485,NDays&amp;"D")</f>
        <v>49292</v>
      </c>
      <c r="Y1485" s="204">
        <v>2.2659861088619171E-2</v>
      </c>
      <c r="Z1485" s="201">
        <v>2.264734587049233E-2</v>
      </c>
    </row>
    <row r="1486" spans="22:26" x14ac:dyDescent="0.2">
      <c r="V1486" s="202" t="str">
        <f t="shared" si="31"/>
        <v>1w</v>
      </c>
      <c r="W1486" s="200">
        <f>_xll.qlCalendarAdvance(Calendar,W1485,V1486,"f",FALSE)</f>
        <v>49297</v>
      </c>
      <c r="X1486" s="203">
        <f>_xll.qlCalendarAdvance(Calendar,W1486,NDays&amp;"D")</f>
        <v>49299</v>
      </c>
      <c r="Y1486" s="204">
        <v>2.2655537020008498E-2</v>
      </c>
      <c r="Z1486" s="201">
        <v>2.2643024267816614E-2</v>
      </c>
    </row>
    <row r="1487" spans="22:26" x14ac:dyDescent="0.2">
      <c r="V1487" s="202" t="str">
        <f t="shared" si="31"/>
        <v>1w</v>
      </c>
      <c r="W1487" s="200">
        <f>_xll.qlCalendarAdvance(Calendar,W1486,V1487,"f",FALSE)</f>
        <v>49305</v>
      </c>
      <c r="X1487" s="203">
        <f>_xll.qlCalendarAdvance(Calendar,W1487,NDays&amp;"D")</f>
        <v>49307</v>
      </c>
      <c r="Y1487" s="204">
        <v>2.2651002224981814E-2</v>
      </c>
      <c r="Z1487" s="201">
        <v>2.2639298831836907E-2</v>
      </c>
    </row>
    <row r="1488" spans="22:26" x14ac:dyDescent="0.2">
      <c r="V1488" s="202" t="str">
        <f t="shared" si="31"/>
        <v>1w</v>
      </c>
      <c r="W1488" s="200">
        <f>_xll.qlCalendarAdvance(Calendar,W1487,V1488,"f",FALSE)</f>
        <v>49312</v>
      </c>
      <c r="X1488" s="203">
        <f>_xll.qlCalendarAdvance(Calendar,W1488,NDays&amp;"D")</f>
        <v>49314</v>
      </c>
      <c r="Y1488" s="204">
        <v>2.2645876627646236E-2</v>
      </c>
      <c r="Z1488" s="201">
        <v>2.2634579407831978E-2</v>
      </c>
    </row>
    <row r="1489" spans="22:26" x14ac:dyDescent="0.2">
      <c r="V1489" s="202" t="str">
        <f t="shared" si="31"/>
        <v>1w</v>
      </c>
      <c r="W1489" s="200">
        <f>_xll.qlCalendarAdvance(Calendar,W1488,V1489,"f",FALSE)</f>
        <v>49319</v>
      </c>
      <c r="X1489" s="203">
        <f>_xll.qlCalendarAdvance(Calendar,W1489,NDays&amp;"D")</f>
        <v>49321</v>
      </c>
      <c r="Y1489" s="204">
        <v>2.2641561109961093E-2</v>
      </c>
      <c r="Z1489" s="201">
        <v>2.2630266097829477E-2</v>
      </c>
    </row>
    <row r="1490" spans="22:26" x14ac:dyDescent="0.2">
      <c r="V1490" s="202" t="str">
        <f t="shared" si="31"/>
        <v>1w</v>
      </c>
      <c r="W1490" s="200">
        <f>_xll.qlCalendarAdvance(Calendar,W1489,V1490,"f",FALSE)</f>
        <v>49326</v>
      </c>
      <c r="X1490" s="203">
        <f>_xll.qlCalendarAdvance(Calendar,W1490,NDays&amp;"D")</f>
        <v>49328</v>
      </c>
      <c r="Y1490" s="204">
        <v>2.2637248287773973E-2</v>
      </c>
      <c r="Z1490" s="201">
        <v>2.2625955477142412E-2</v>
      </c>
    </row>
    <row r="1491" spans="22:26" x14ac:dyDescent="0.2">
      <c r="V1491" s="202" t="str">
        <f t="shared" si="31"/>
        <v>1w</v>
      </c>
      <c r="W1491" s="200">
        <f>_xll.qlCalendarAdvance(Calendar,W1490,V1491,"f",FALSE)</f>
        <v>49333</v>
      </c>
      <c r="X1491" s="203">
        <f>_xll.qlCalendarAdvance(Calendar,W1491,NDays&amp;"D")</f>
        <v>49335</v>
      </c>
      <c r="Y1491" s="204">
        <v>2.2632938161084869E-2</v>
      </c>
      <c r="Z1491" s="201">
        <v>2.2621647545770784E-2</v>
      </c>
    </row>
    <row r="1492" spans="22:26" x14ac:dyDescent="0.2">
      <c r="V1492" s="202" t="str">
        <f t="shared" si="31"/>
        <v>1w</v>
      </c>
      <c r="W1492" s="200">
        <f>_xll.qlCalendarAdvance(Calendar,W1491,V1492,"f",FALSE)</f>
        <v>49340</v>
      </c>
      <c r="X1492" s="203">
        <f>_xll.qlCalendarAdvance(Calendar,W1492,NDays&amp;"D")</f>
        <v>49342</v>
      </c>
      <c r="Y1492" s="204">
        <v>2.2627420900889521E-2</v>
      </c>
      <c r="Z1492" s="201">
        <v>2.2617342303714594E-2</v>
      </c>
    </row>
    <row r="1493" spans="22:26" x14ac:dyDescent="0.2">
      <c r="V1493" s="202" t="str">
        <f t="shared" ref="V1493:V1556" si="32">V1492</f>
        <v>1w</v>
      </c>
      <c r="W1493" s="200">
        <f>_xll.qlCalendarAdvance(Calendar,W1492,V1493,"f",FALSE)</f>
        <v>49347</v>
      </c>
      <c r="X1493" s="203">
        <f>_xll.qlCalendarAdvance(Calendar,W1493,NDays&amp;"D")</f>
        <v>49349</v>
      </c>
      <c r="Y1493" s="204">
        <v>2.2623116398529257E-2</v>
      </c>
      <c r="Z1493" s="201">
        <v>2.2613039751000485E-2</v>
      </c>
    </row>
    <row r="1494" spans="22:26" x14ac:dyDescent="0.2">
      <c r="V1494" s="202" t="str">
        <f t="shared" si="32"/>
        <v>1w</v>
      </c>
      <c r="W1494" s="200">
        <f>_xll.qlCalendarAdvance(Calendar,W1493,V1494,"f",FALSE)</f>
        <v>49354</v>
      </c>
      <c r="X1494" s="203">
        <f>_xll.qlCalendarAdvance(Calendar,W1494,NDays&amp;"D")</f>
        <v>49356</v>
      </c>
      <c r="Y1494" s="204">
        <v>2.2618814591001915E-2</v>
      </c>
      <c r="Z1494" s="201">
        <v>2.2608739887601814E-2</v>
      </c>
    </row>
    <row r="1495" spans="22:26" x14ac:dyDescent="0.2">
      <c r="V1495" s="202" t="str">
        <f t="shared" si="32"/>
        <v>1w</v>
      </c>
      <c r="W1495" s="200">
        <f>_xll.qlCalendarAdvance(Calendar,W1494,V1495,"f",FALSE)</f>
        <v>49361</v>
      </c>
      <c r="X1495" s="203">
        <f>_xll.qlCalendarAdvance(Calendar,W1495,NDays&amp;"D")</f>
        <v>49363</v>
      </c>
      <c r="Y1495" s="204">
        <v>2.2616127671938602E-2</v>
      </c>
      <c r="Z1495" s="201">
        <v>2.260444271351858E-2</v>
      </c>
    </row>
    <row r="1496" spans="22:26" x14ac:dyDescent="0.2">
      <c r="V1496" s="202" t="str">
        <f t="shared" si="32"/>
        <v>1w</v>
      </c>
      <c r="W1496" s="200">
        <f>_xll.qlCalendarAdvance(Calendar,W1495,V1496,"f",FALSE)</f>
        <v>49368</v>
      </c>
      <c r="X1496" s="203">
        <f>_xll.qlCalendarAdvance(Calendar,W1496,NDays&amp;"D")</f>
        <v>49370</v>
      </c>
      <c r="Y1496" s="204">
        <v>2.2611427959996166E-2</v>
      </c>
      <c r="Z1496" s="201">
        <v>2.2600148228724137E-2</v>
      </c>
    </row>
    <row r="1497" spans="22:26" x14ac:dyDescent="0.2">
      <c r="V1497" s="202" t="str">
        <f t="shared" si="32"/>
        <v>1w</v>
      </c>
      <c r="W1497" s="200">
        <f>_xll.qlCalendarAdvance(Calendar,W1496,V1497,"f",FALSE)</f>
        <v>49375</v>
      </c>
      <c r="X1497" s="203">
        <f>_xll.qlCalendarAdvance(Calendar,W1497,NDays&amp;"D")</f>
        <v>49377</v>
      </c>
      <c r="Y1497" s="204">
        <v>2.2607134006233286E-2</v>
      </c>
      <c r="Z1497" s="201">
        <v>2.2595856433298422E-2</v>
      </c>
    </row>
    <row r="1498" spans="22:26" x14ac:dyDescent="0.2">
      <c r="V1498" s="202" t="str">
        <f t="shared" si="32"/>
        <v>1w</v>
      </c>
      <c r="W1498" s="200">
        <f>_xll.qlCalendarAdvance(Calendar,W1497,V1498,"f",FALSE)</f>
        <v>49382</v>
      </c>
      <c r="X1498" s="203">
        <f>_xll.qlCalendarAdvance(Calendar,W1498,NDays&amp;"D")</f>
        <v>49384</v>
      </c>
      <c r="Y1498" s="204">
        <v>2.260284274794264E-2</v>
      </c>
      <c r="Z1498" s="201">
        <v>2.2591567327134854E-2</v>
      </c>
    </row>
    <row r="1499" spans="22:26" x14ac:dyDescent="0.2">
      <c r="V1499" s="202" t="str">
        <f t="shared" si="32"/>
        <v>1w</v>
      </c>
      <c r="W1499" s="200">
        <f>_xll.qlCalendarAdvance(Calendar,W1498,V1499,"f",FALSE)</f>
        <v>49389</v>
      </c>
      <c r="X1499" s="203">
        <f>_xll.qlCalendarAdvance(Calendar,W1499,NDays&amp;"D")</f>
        <v>49395</v>
      </c>
      <c r="Y1499" s="204">
        <v>2.259610478801586E-2</v>
      </c>
      <c r="Z1499" s="201">
        <v>2.2584027876764168E-2</v>
      </c>
    </row>
    <row r="1500" spans="22:26" x14ac:dyDescent="0.2">
      <c r="V1500" s="202" t="str">
        <f t="shared" si="32"/>
        <v>1w</v>
      </c>
      <c r="W1500" s="200">
        <f>_xll.qlCalendarAdvance(Calendar,W1499,V1500,"f",FALSE)</f>
        <v>49396</v>
      </c>
      <c r="X1500" s="203">
        <f>_xll.qlCalendarAdvance(Calendar,W1500,NDays&amp;"D")</f>
        <v>49398</v>
      </c>
      <c r="Y1500" s="204">
        <v>2.25942683177832E-2</v>
      </c>
      <c r="Z1500" s="201">
        <v>2.2582997182833964E-2</v>
      </c>
    </row>
    <row r="1501" spans="22:26" x14ac:dyDescent="0.2">
      <c r="V1501" s="202" t="str">
        <f t="shared" si="32"/>
        <v>1w</v>
      </c>
      <c r="W1501" s="200">
        <f>_xll.qlCalendarAdvance(Calendar,W1500,V1501,"f",FALSE)</f>
        <v>49403</v>
      </c>
      <c r="X1501" s="203">
        <f>_xll.qlCalendarAdvance(Calendar,W1501,NDays&amp;"D")</f>
        <v>49405</v>
      </c>
      <c r="Y1501" s="204">
        <v>2.2589985145906672E-2</v>
      </c>
      <c r="Z1501" s="201">
        <v>2.2578716144669997E-2</v>
      </c>
    </row>
    <row r="1502" spans="22:26" x14ac:dyDescent="0.2">
      <c r="V1502" s="202" t="str">
        <f t="shared" si="32"/>
        <v>1w</v>
      </c>
      <c r="W1502" s="200">
        <f>_xll.qlCalendarAdvance(Calendar,W1501,V1502,"f",FALSE)</f>
        <v>49410</v>
      </c>
      <c r="X1502" s="203">
        <f>_xll.qlCalendarAdvance(Calendar,W1502,NDays&amp;"D")</f>
        <v>49412</v>
      </c>
      <c r="Y1502" s="204">
        <v>2.258570466949722E-2</v>
      </c>
      <c r="Z1502" s="201">
        <v>2.2574437795821467E-2</v>
      </c>
    </row>
    <row r="1503" spans="22:26" x14ac:dyDescent="0.2">
      <c r="V1503" s="202" t="str">
        <f t="shared" si="32"/>
        <v>1w</v>
      </c>
      <c r="W1503" s="200">
        <f>_xll.qlCalendarAdvance(Calendar,W1502,V1503,"f",FALSE)</f>
        <v>49417</v>
      </c>
      <c r="X1503" s="203">
        <f>_xll.qlCalendarAdvance(Calendar,W1503,NDays&amp;"D")</f>
        <v>49419</v>
      </c>
      <c r="Y1503" s="204">
        <v>2.2581426888547106E-2</v>
      </c>
      <c r="Z1503" s="201">
        <v>2.2570162136261729E-2</v>
      </c>
    </row>
    <row r="1504" spans="22:26" x14ac:dyDescent="0.2">
      <c r="V1504" s="202" t="str">
        <f t="shared" si="32"/>
        <v>1w</v>
      </c>
      <c r="W1504" s="200">
        <f>_xll.qlCalendarAdvance(Calendar,W1503,V1504,"f",FALSE)</f>
        <v>49424</v>
      </c>
      <c r="X1504" s="203">
        <f>_xll.qlCalendarAdvance(Calendar,W1504,NDays&amp;"D")</f>
        <v>49426</v>
      </c>
      <c r="Y1504" s="204">
        <v>2.257715180305633E-2</v>
      </c>
      <c r="Z1504" s="201">
        <v>2.2565889166017428E-2</v>
      </c>
    </row>
    <row r="1505" spans="22:26" x14ac:dyDescent="0.2">
      <c r="V1505" s="202" t="str">
        <f t="shared" si="32"/>
        <v>1w</v>
      </c>
      <c r="W1505" s="200">
        <f>_xll.qlCalendarAdvance(Calendar,W1504,V1505,"f",FALSE)</f>
        <v>49431</v>
      </c>
      <c r="X1505" s="203">
        <f>_xll.qlCalendarAdvance(Calendar,W1505,NDays&amp;"D")</f>
        <v>49433</v>
      </c>
      <c r="Y1505" s="204">
        <v>2.2572879413022318E-2</v>
      </c>
      <c r="Z1505" s="201">
        <v>2.2561618885141854E-2</v>
      </c>
    </row>
    <row r="1506" spans="22:26" x14ac:dyDescent="0.2">
      <c r="V1506" s="202" t="str">
        <f t="shared" si="32"/>
        <v>1w</v>
      </c>
      <c r="W1506" s="200">
        <f>_xll.qlCalendarAdvance(Calendar,W1505,V1506,"f",FALSE)</f>
        <v>49438</v>
      </c>
      <c r="X1506" s="203">
        <f>_xll.qlCalendarAdvance(Calendar,W1506,NDays&amp;"D")</f>
        <v>49440</v>
      </c>
      <c r="Y1506" s="204">
        <v>2.2568609718439908E-2</v>
      </c>
      <c r="Z1506" s="201">
        <v>2.2557351293528427E-2</v>
      </c>
    </row>
    <row r="1507" spans="22:26" x14ac:dyDescent="0.2">
      <c r="V1507" s="202" t="str">
        <f t="shared" si="32"/>
        <v>1w</v>
      </c>
      <c r="W1507" s="200">
        <f>_xll.qlCalendarAdvance(Calendar,W1506,V1507,"f",FALSE)</f>
        <v>49445</v>
      </c>
      <c r="X1507" s="203">
        <f>_xll.qlCalendarAdvance(Calendar,W1507,NDays&amp;"D")</f>
        <v>49447</v>
      </c>
      <c r="Y1507" s="204">
        <v>2.2564342719309103E-2</v>
      </c>
      <c r="Z1507" s="201">
        <v>2.2553086391257082E-2</v>
      </c>
    </row>
    <row r="1508" spans="22:26" x14ac:dyDescent="0.2">
      <c r="V1508" s="202" t="str">
        <f t="shared" si="32"/>
        <v>1w</v>
      </c>
      <c r="W1508" s="200">
        <f>_xll.qlCalendarAdvance(Calendar,W1507,V1508,"f",FALSE)</f>
        <v>49452</v>
      </c>
      <c r="X1508" s="203">
        <f>_xll.qlCalendarAdvance(Calendar,W1508,NDays&amp;"D")</f>
        <v>49454</v>
      </c>
      <c r="Y1508" s="204">
        <v>2.2560078415624747E-2</v>
      </c>
      <c r="Z1508" s="201">
        <v>2.2548824178301174E-2</v>
      </c>
    </row>
    <row r="1509" spans="22:26" x14ac:dyDescent="0.2">
      <c r="V1509" s="202" t="str">
        <f t="shared" si="32"/>
        <v>1w</v>
      </c>
      <c r="W1509" s="200">
        <f>_xll.qlCalendarAdvance(Calendar,W1508,V1509,"f",FALSE)</f>
        <v>49459</v>
      </c>
      <c r="X1509" s="203">
        <f>_xll.qlCalendarAdvance(Calendar,W1509,NDays&amp;"D")</f>
        <v>49461</v>
      </c>
      <c r="Y1509" s="204">
        <v>2.2555816807384256E-2</v>
      </c>
      <c r="Z1509" s="201">
        <v>2.2544564654660704E-2</v>
      </c>
    </row>
    <row r="1510" spans="22:26" x14ac:dyDescent="0.2">
      <c r="V1510" s="202" t="str">
        <f t="shared" si="32"/>
        <v>1w</v>
      </c>
      <c r="W1510" s="200">
        <f>_xll.qlCalendarAdvance(Calendar,W1509,V1510,"f",FALSE)</f>
        <v>49466</v>
      </c>
      <c r="X1510" s="203">
        <f>_xll.qlCalendarAdvance(Calendar,W1510,NDays&amp;"D")</f>
        <v>49468</v>
      </c>
      <c r="Y1510" s="204">
        <v>2.2551557894587633E-2</v>
      </c>
      <c r="Z1510" s="201">
        <v>2.254030782033567E-2</v>
      </c>
    </row>
    <row r="1511" spans="22:26" x14ac:dyDescent="0.2">
      <c r="V1511" s="202" t="str">
        <f t="shared" si="32"/>
        <v>1w</v>
      </c>
      <c r="W1511" s="200">
        <f>_xll.qlCalendarAdvance(Calendar,W1510,V1511,"f",FALSE)</f>
        <v>49473</v>
      </c>
      <c r="X1511" s="203">
        <f>_xll.qlCalendarAdvance(Calendar,W1511,NDays&amp;"D")</f>
        <v>49475</v>
      </c>
      <c r="Y1511" s="204">
        <v>2.2547301677227145E-2</v>
      </c>
      <c r="Z1511" s="201">
        <v>2.2536053675326073E-2</v>
      </c>
    </row>
    <row r="1512" spans="22:26" x14ac:dyDescent="0.2">
      <c r="V1512" s="202" t="str">
        <f t="shared" si="32"/>
        <v>1w</v>
      </c>
      <c r="W1512" s="200">
        <f>_xll.qlCalendarAdvance(Calendar,W1511,V1512,"f",FALSE)</f>
        <v>49480</v>
      </c>
      <c r="X1512" s="203">
        <f>_xll.qlCalendarAdvance(Calendar,W1512,NDays&amp;"D")</f>
        <v>49482</v>
      </c>
      <c r="Y1512" s="204">
        <v>2.2543048155302788E-2</v>
      </c>
      <c r="Z1512" s="201">
        <v>2.2531802219605268E-2</v>
      </c>
    </row>
    <row r="1513" spans="22:26" x14ac:dyDescent="0.2">
      <c r="V1513" s="202" t="str">
        <f t="shared" si="32"/>
        <v>1w</v>
      </c>
      <c r="W1513" s="200">
        <f>_xll.qlCalendarAdvance(Calendar,W1512,V1513,"f",FALSE)</f>
        <v>49487</v>
      </c>
      <c r="X1513" s="203">
        <f>_xll.qlCalendarAdvance(Calendar,W1513,NDays&amp;"D")</f>
        <v>49489</v>
      </c>
      <c r="Y1513" s="204">
        <v>2.2539199037441005E-2</v>
      </c>
      <c r="Z1513" s="201">
        <v>2.2527553453226545E-2</v>
      </c>
    </row>
    <row r="1514" spans="22:26" x14ac:dyDescent="0.2">
      <c r="V1514" s="202" t="str">
        <f t="shared" si="32"/>
        <v>1w</v>
      </c>
      <c r="W1514" s="200">
        <f>_xll.qlCalendarAdvance(Calendar,W1513,V1514,"f",FALSE)</f>
        <v>49494</v>
      </c>
      <c r="X1514" s="203">
        <f>_xll.qlCalendarAdvance(Calendar,W1514,NDays&amp;"D")</f>
        <v>49496</v>
      </c>
      <c r="Y1514" s="204">
        <v>2.2534549197744419E-2</v>
      </c>
      <c r="Z1514" s="201">
        <v>2.252330737616326E-2</v>
      </c>
    </row>
    <row r="1515" spans="22:26" x14ac:dyDescent="0.2">
      <c r="V1515" s="202" t="str">
        <f t="shared" si="32"/>
        <v>1w</v>
      </c>
      <c r="W1515" s="200">
        <f>_xll.qlCalendarAdvance(Calendar,W1514,V1515,"f",FALSE)</f>
        <v>49501</v>
      </c>
      <c r="X1515" s="203">
        <f>_xll.qlCalendarAdvance(Calendar,W1515,NDays&amp;"D")</f>
        <v>49503</v>
      </c>
      <c r="Y1515" s="204">
        <v>2.253030376210783E-2</v>
      </c>
      <c r="Z1515" s="201">
        <v>2.2519063988415411E-2</v>
      </c>
    </row>
    <row r="1516" spans="22:26" x14ac:dyDescent="0.2">
      <c r="V1516" s="202" t="str">
        <f t="shared" si="32"/>
        <v>1w</v>
      </c>
      <c r="W1516" s="200">
        <f>_xll.qlCalendarAdvance(Calendar,W1515,V1516,"f",FALSE)</f>
        <v>49508</v>
      </c>
      <c r="X1516" s="203">
        <f>_xll.qlCalendarAdvance(Calendar,W1516,NDays&amp;"D")</f>
        <v>49510</v>
      </c>
      <c r="Y1516" s="204">
        <v>2.2526061021894479E-2</v>
      </c>
      <c r="Z1516" s="201">
        <v>2.2514823289956354E-2</v>
      </c>
    </row>
    <row r="1517" spans="22:26" x14ac:dyDescent="0.2">
      <c r="V1517" s="202" t="str">
        <f t="shared" si="32"/>
        <v>1w</v>
      </c>
      <c r="W1517" s="200">
        <f>_xll.qlCalendarAdvance(Calendar,W1516,V1517,"f",FALSE)</f>
        <v>49515</v>
      </c>
      <c r="X1517" s="203">
        <f>_xll.qlCalendarAdvance(Calendar,W1517,NDays&amp;"D")</f>
        <v>49517</v>
      </c>
      <c r="Y1517" s="204">
        <v>2.2521820977099212E-2</v>
      </c>
      <c r="Z1517" s="201">
        <v>2.2510585280812734E-2</v>
      </c>
    </row>
    <row r="1518" spans="22:26" x14ac:dyDescent="0.2">
      <c r="V1518" s="202" t="str">
        <f t="shared" si="32"/>
        <v>1w</v>
      </c>
      <c r="W1518" s="200">
        <f>_xll.qlCalendarAdvance(Calendar,W1517,V1518,"f",FALSE)</f>
        <v>49522</v>
      </c>
      <c r="X1518" s="203">
        <f>_xll.qlCalendarAdvance(Calendar,W1518,NDays&amp;"D")</f>
        <v>49524</v>
      </c>
      <c r="Y1518" s="204">
        <v>2.2517583627727183E-2</v>
      </c>
      <c r="Z1518" s="201">
        <v>2.2506349961011196E-2</v>
      </c>
    </row>
    <row r="1519" spans="22:26" x14ac:dyDescent="0.2">
      <c r="V1519" s="202" t="str">
        <f t="shared" si="32"/>
        <v>1w</v>
      </c>
      <c r="W1519" s="200">
        <f>_xll.qlCalendarAdvance(Calendar,W1518,V1519,"f",FALSE)</f>
        <v>49529</v>
      </c>
      <c r="X1519" s="203">
        <f>_xll.qlCalendarAdvance(Calendar,W1519,NDays&amp;"D")</f>
        <v>49531</v>
      </c>
      <c r="Y1519" s="204">
        <v>2.2513348973765505E-2</v>
      </c>
      <c r="Z1519" s="201">
        <v>2.2502117330525095E-2</v>
      </c>
    </row>
    <row r="1520" spans="22:26" x14ac:dyDescent="0.2">
      <c r="V1520" s="202" t="str">
        <f t="shared" si="32"/>
        <v>1w</v>
      </c>
      <c r="W1520" s="200">
        <f>_xll.qlCalendarAdvance(Calendar,W1519,V1520,"f",FALSE)</f>
        <v>49536</v>
      </c>
      <c r="X1520" s="203">
        <f>_xll.qlCalendarAdvance(Calendar,W1520,NDays&amp;"D")</f>
        <v>49538</v>
      </c>
      <c r="Y1520" s="204">
        <v>2.2509117015216747E-2</v>
      </c>
      <c r="Z1520" s="201">
        <v>2.2497887389327786E-2</v>
      </c>
    </row>
    <row r="1521" spans="22:26" x14ac:dyDescent="0.2">
      <c r="V1521" s="202" t="str">
        <f t="shared" si="32"/>
        <v>1w</v>
      </c>
      <c r="W1521" s="200">
        <f>_xll.qlCalendarAdvance(Calendar,W1520,V1521,"f",FALSE)</f>
        <v>49543</v>
      </c>
      <c r="X1521" s="203">
        <f>_xll.qlCalendarAdvance(Calendar,W1521,NDays&amp;"D")</f>
        <v>49545</v>
      </c>
      <c r="Y1521" s="204">
        <v>2.2504887752075757E-2</v>
      </c>
      <c r="Z1521" s="201">
        <v>2.2493660137445914E-2</v>
      </c>
    </row>
    <row r="1522" spans="22:26" x14ac:dyDescent="0.2">
      <c r="V1522" s="202" t="str">
        <f t="shared" si="32"/>
        <v>1w</v>
      </c>
      <c r="W1522" s="200">
        <f>_xll.qlCalendarAdvance(Calendar,W1521,V1522,"f",FALSE)</f>
        <v>49550</v>
      </c>
      <c r="X1522" s="203">
        <f>_xll.qlCalendarAdvance(Calendar,W1522,NDays&amp;"D")</f>
        <v>49552</v>
      </c>
      <c r="Y1522" s="204">
        <v>2.2499458069318617E-2</v>
      </c>
      <c r="Z1522" s="201">
        <v>2.2489435574879479E-2</v>
      </c>
    </row>
    <row r="1523" spans="22:26" x14ac:dyDescent="0.2">
      <c r="V1523" s="202" t="str">
        <f t="shared" si="32"/>
        <v>1w</v>
      </c>
      <c r="W1523" s="200">
        <f>_xll.qlCalendarAdvance(Calendar,W1522,V1523,"f",FALSE)</f>
        <v>49557</v>
      </c>
      <c r="X1523" s="203">
        <f>_xll.qlCalendarAdvance(Calendar,W1523,NDays&amp;"D")</f>
        <v>49559</v>
      </c>
      <c r="Y1523" s="204">
        <v>2.249643731200935E-2</v>
      </c>
      <c r="Z1523" s="201">
        <v>2.2485213701628481E-2</v>
      </c>
    </row>
    <row r="1524" spans="22:26" x14ac:dyDescent="0.2">
      <c r="V1524" s="202" t="str">
        <f t="shared" si="32"/>
        <v>1w</v>
      </c>
      <c r="W1524" s="200">
        <f>_xll.qlCalendarAdvance(Calendar,W1523,V1524,"f",FALSE)</f>
        <v>49564</v>
      </c>
      <c r="X1524" s="203">
        <f>_xll.qlCalendarAdvance(Calendar,W1524,NDays&amp;"D")</f>
        <v>49566</v>
      </c>
      <c r="Y1524" s="204">
        <v>2.2492216135078773E-2</v>
      </c>
      <c r="Z1524" s="201">
        <v>2.248099451769292E-2</v>
      </c>
    </row>
    <row r="1525" spans="22:26" x14ac:dyDescent="0.2">
      <c r="V1525" s="202" t="str">
        <f t="shared" si="32"/>
        <v>1w</v>
      </c>
      <c r="W1525" s="200">
        <f>_xll.qlCalendarAdvance(Calendar,W1524,V1525,"f",FALSE)</f>
        <v>49571</v>
      </c>
      <c r="X1525" s="203">
        <f>_xll.qlCalendarAdvance(Calendar,W1525,NDays&amp;"D")</f>
        <v>49573</v>
      </c>
      <c r="Y1525" s="204">
        <v>2.248799765354307E-2</v>
      </c>
      <c r="Z1525" s="201">
        <v>2.2476778023046151E-2</v>
      </c>
    </row>
    <row r="1526" spans="22:26" x14ac:dyDescent="0.2">
      <c r="V1526" s="202" t="str">
        <f t="shared" si="32"/>
        <v>1w</v>
      </c>
      <c r="W1526" s="200">
        <f>_xll.qlCalendarAdvance(Calendar,W1525,V1526,"f",FALSE)</f>
        <v>49578</v>
      </c>
      <c r="X1526" s="203">
        <f>_xll.qlCalendarAdvance(Calendar,W1526,NDays&amp;"D")</f>
        <v>49580</v>
      </c>
      <c r="Y1526" s="204">
        <v>2.2484583426870038E-2</v>
      </c>
      <c r="Z1526" s="201">
        <v>2.2472564217714819E-2</v>
      </c>
    </row>
    <row r="1527" spans="22:26" x14ac:dyDescent="0.2">
      <c r="V1527" s="202" t="str">
        <f t="shared" si="32"/>
        <v>1w</v>
      </c>
      <c r="W1527" s="200">
        <f>_xll.qlCalendarAdvance(Calendar,W1526,V1527,"f",FALSE)</f>
        <v>49585</v>
      </c>
      <c r="X1527" s="203">
        <f>_xll.qlCalendarAdvance(Calendar,W1527,NDays&amp;"D")</f>
        <v>49587</v>
      </c>
      <c r="Y1527" s="204">
        <v>2.2479568776653712E-2</v>
      </c>
      <c r="Z1527" s="201">
        <v>2.2468353101725569E-2</v>
      </c>
    </row>
    <row r="1528" spans="22:26" x14ac:dyDescent="0.2">
      <c r="V1528" s="202" t="str">
        <f t="shared" si="32"/>
        <v>1w</v>
      </c>
      <c r="W1528" s="200">
        <f>_xll.qlCalendarAdvance(Calendar,W1527,V1528,"f",FALSE)</f>
        <v>49592</v>
      </c>
      <c r="X1528" s="203">
        <f>_xll.qlCalendarAdvance(Calendar,W1528,NDays&amp;"D")</f>
        <v>49594</v>
      </c>
      <c r="Y1528" s="204">
        <v>2.2475358381292321E-2</v>
      </c>
      <c r="Z1528" s="201">
        <v>2.2464144674998465E-2</v>
      </c>
    </row>
    <row r="1529" spans="22:26" x14ac:dyDescent="0.2">
      <c r="V1529" s="202" t="str">
        <f t="shared" si="32"/>
        <v>1w</v>
      </c>
      <c r="W1529" s="200">
        <f>_xll.qlCalendarAdvance(Calendar,W1528,V1529,"f",FALSE)</f>
        <v>49599</v>
      </c>
      <c r="X1529" s="203">
        <f>_xll.qlCalendarAdvance(Calendar,W1529,NDays&amp;"D")</f>
        <v>49601</v>
      </c>
      <c r="Y1529" s="204">
        <v>2.2471150681315489E-2</v>
      </c>
      <c r="Z1529" s="201">
        <v>2.2459938937640089E-2</v>
      </c>
    </row>
    <row r="1530" spans="22:26" x14ac:dyDescent="0.2">
      <c r="V1530" s="202" t="str">
        <f t="shared" si="32"/>
        <v>1w</v>
      </c>
      <c r="W1530" s="200">
        <f>_xll.qlCalendarAdvance(Calendar,W1529,V1530,"f",FALSE)</f>
        <v>49606</v>
      </c>
      <c r="X1530" s="203">
        <f>_xll.qlCalendarAdvance(Calendar,W1530,NDays&amp;"D")</f>
        <v>49608</v>
      </c>
      <c r="Y1530" s="204">
        <v>2.2466945676720643E-2</v>
      </c>
      <c r="Z1530" s="201">
        <v>2.245573588954386E-2</v>
      </c>
    </row>
    <row r="1531" spans="22:26" x14ac:dyDescent="0.2">
      <c r="V1531" s="202" t="str">
        <f t="shared" si="32"/>
        <v>1w</v>
      </c>
      <c r="W1531" s="200">
        <f>_xll.qlCalendarAdvance(Calendar,W1530,V1531,"f",FALSE)</f>
        <v>49613</v>
      </c>
      <c r="X1531" s="203">
        <f>_xll.qlCalendarAdvance(Calendar,W1531,NDays&amp;"D")</f>
        <v>49615</v>
      </c>
      <c r="Y1531" s="204">
        <v>2.2462743367510352E-2</v>
      </c>
      <c r="Z1531" s="201">
        <v>2.2451535530763067E-2</v>
      </c>
    </row>
    <row r="1532" spans="22:26" x14ac:dyDescent="0.2">
      <c r="V1532" s="202" t="str">
        <f t="shared" si="32"/>
        <v>1w</v>
      </c>
      <c r="W1532" s="200">
        <f>_xll.qlCalendarAdvance(Calendar,W1531,V1532,"f",FALSE)</f>
        <v>49620</v>
      </c>
      <c r="X1532" s="203">
        <f>_xll.qlCalendarAdvance(Calendar,W1532,NDays&amp;"D")</f>
        <v>49622</v>
      </c>
      <c r="Y1532" s="204">
        <v>2.2458543753671734E-2</v>
      </c>
      <c r="Z1532" s="201">
        <v>2.2447337861324357E-2</v>
      </c>
    </row>
    <row r="1533" spans="22:26" x14ac:dyDescent="0.2">
      <c r="V1533" s="202" t="str">
        <f t="shared" si="32"/>
        <v>1w</v>
      </c>
      <c r="W1533" s="200">
        <f>_xll.qlCalendarAdvance(Calendar,W1532,V1533,"f",FALSE)</f>
        <v>49627</v>
      </c>
      <c r="X1533" s="203">
        <f>_xll.qlCalendarAdvance(Calendar,W1533,NDays&amp;"D")</f>
        <v>49629</v>
      </c>
      <c r="Y1533" s="204">
        <v>2.245434683520478E-2</v>
      </c>
      <c r="Z1533" s="201">
        <v>2.2443142881147793E-2</v>
      </c>
    </row>
    <row r="1534" spans="22:26" x14ac:dyDescent="0.2">
      <c r="V1534" s="202" t="str">
        <f t="shared" si="32"/>
        <v>1w</v>
      </c>
      <c r="W1534" s="200">
        <f>_xll.qlCalendarAdvance(Calendar,W1533,V1534,"f",FALSE)</f>
        <v>49634</v>
      </c>
      <c r="X1534" s="203">
        <f>_xll.qlCalendarAdvance(Calendar,W1534,NDays&amp;"D")</f>
        <v>49636</v>
      </c>
      <c r="Y1534" s="204">
        <v>2.2450152612114655E-2</v>
      </c>
      <c r="Z1534" s="201">
        <v>2.2438950590286666E-2</v>
      </c>
    </row>
    <row r="1535" spans="22:26" x14ac:dyDescent="0.2">
      <c r="V1535" s="202" t="str">
        <f t="shared" si="32"/>
        <v>1w</v>
      </c>
      <c r="W1535" s="200">
        <f>_xll.qlCalendarAdvance(Calendar,W1534,V1535,"f",FALSE)</f>
        <v>49641</v>
      </c>
      <c r="X1535" s="203">
        <f>_xll.qlCalendarAdvance(Calendar,W1535,NDays&amp;"D")</f>
        <v>49643</v>
      </c>
      <c r="Y1535" s="204">
        <v>2.2445961084385881E-2</v>
      </c>
      <c r="Z1535" s="201">
        <v>2.2434760988767621E-2</v>
      </c>
    </row>
    <row r="1536" spans="22:26" x14ac:dyDescent="0.2">
      <c r="V1536" s="202" t="str">
        <f t="shared" si="32"/>
        <v>1w</v>
      </c>
      <c r="W1536" s="200">
        <f>_xll.qlCalendarAdvance(Calendar,W1535,V1536,"f",FALSE)</f>
        <v>49648</v>
      </c>
      <c r="X1536" s="203">
        <f>_xll.qlCalendarAdvance(Calendar,W1536,NDays&amp;"D")</f>
        <v>49650</v>
      </c>
      <c r="Y1536" s="204">
        <v>2.2441772252028775E-2</v>
      </c>
      <c r="Z1536" s="201">
        <v>2.2430574076537368E-2</v>
      </c>
    </row>
    <row r="1537" spans="22:26" x14ac:dyDescent="0.2">
      <c r="V1537" s="202" t="str">
        <f t="shared" si="32"/>
        <v>1w</v>
      </c>
      <c r="W1537" s="200">
        <f>_xll.qlCalendarAdvance(Calendar,W1536,V1537,"f",FALSE)</f>
        <v>49655</v>
      </c>
      <c r="X1537" s="203">
        <f>_xll.qlCalendarAdvance(Calendar,W1537,NDays&amp;"D")</f>
        <v>49657</v>
      </c>
      <c r="Y1537" s="204">
        <v>2.2437586115030442E-2</v>
      </c>
      <c r="Z1537" s="201">
        <v>2.2426389853595907E-2</v>
      </c>
    </row>
    <row r="1538" spans="22:26" x14ac:dyDescent="0.2">
      <c r="V1538" s="202" t="str">
        <f t="shared" si="32"/>
        <v>1w</v>
      </c>
      <c r="W1538" s="200">
        <f>_xll.qlCalendarAdvance(Calendar,W1537,V1538,"f",FALSE)</f>
        <v>49662</v>
      </c>
      <c r="X1538" s="203">
        <f>_xll.qlCalendarAdvance(Calendar,W1538,NDays&amp;"D")</f>
        <v>49664</v>
      </c>
      <c r="Y1538" s="204">
        <v>2.2433402673390886E-2</v>
      </c>
      <c r="Z1538" s="201">
        <v>2.2422208319996528E-2</v>
      </c>
    </row>
    <row r="1539" spans="22:26" x14ac:dyDescent="0.2">
      <c r="V1539" s="202" t="str">
        <f t="shared" si="32"/>
        <v>1w</v>
      </c>
      <c r="W1539" s="200">
        <f>_xll.qlCalendarAdvance(Calendar,W1538,V1539,"f",FALSE)</f>
        <v>49670</v>
      </c>
      <c r="X1539" s="203">
        <f>_xll.qlCalendarAdvance(Calendar,W1539,NDays&amp;"D")</f>
        <v>49674</v>
      </c>
      <c r="Y1539" s="204">
        <v>2.2427431003806255E-2</v>
      </c>
      <c r="Z1539" s="201">
        <v>2.2415839811249505E-2</v>
      </c>
    </row>
    <row r="1540" spans="22:26" x14ac:dyDescent="0.2">
      <c r="V1540" s="202" t="str">
        <f t="shared" si="32"/>
        <v>1w</v>
      </c>
      <c r="W1540" s="200">
        <f>_xll.qlCalendarAdvance(Calendar,W1539,V1540,"f",FALSE)</f>
        <v>49677</v>
      </c>
      <c r="X1540" s="203">
        <f>_xll.qlCalendarAdvance(Calendar,W1540,NDays&amp;"D")</f>
        <v>49681</v>
      </c>
      <c r="Y1540" s="204">
        <v>2.2423254108027327E-2</v>
      </c>
      <c r="Z1540" s="201">
        <v>2.2411265400199554E-2</v>
      </c>
    </row>
    <row r="1541" spans="22:26" x14ac:dyDescent="0.2">
      <c r="V1541" s="202" t="str">
        <f t="shared" si="32"/>
        <v>1w</v>
      </c>
      <c r="W1541" s="200">
        <f>_xll.qlCalendarAdvance(Calendar,W1540,V1541,"f",FALSE)</f>
        <v>49684</v>
      </c>
      <c r="X1541" s="203">
        <f>_xll.qlCalendarAdvance(Calendar,W1541,NDays&amp;"D")</f>
        <v>49688</v>
      </c>
      <c r="Y1541" s="204">
        <v>2.2419079907596857E-2</v>
      </c>
      <c r="Z1541" s="201">
        <v>2.2407093222316377E-2</v>
      </c>
    </row>
    <row r="1542" spans="22:26" x14ac:dyDescent="0.2">
      <c r="V1542" s="202" t="str">
        <f t="shared" si="32"/>
        <v>1w</v>
      </c>
      <c r="W1542" s="200">
        <f>_xll.qlCalendarAdvance(Calendar,W1541,V1542,"f",FALSE)</f>
        <v>49691</v>
      </c>
      <c r="X1542" s="203">
        <f>_xll.qlCalendarAdvance(Calendar,W1542,NDays&amp;"D")</f>
        <v>49695</v>
      </c>
      <c r="Y1542" s="204">
        <v>2.2414908402512271E-2</v>
      </c>
      <c r="Z1542" s="201">
        <v>2.2402923733322311E-2</v>
      </c>
    </row>
    <row r="1543" spans="22:26" x14ac:dyDescent="0.2">
      <c r="V1543" s="202" t="str">
        <f t="shared" si="32"/>
        <v>1w</v>
      </c>
      <c r="W1543" s="200">
        <f>_xll.qlCalendarAdvance(Calendar,W1542,V1543,"f",FALSE)</f>
        <v>49698</v>
      </c>
      <c r="X1543" s="203">
        <f>_xll.qlCalendarAdvance(Calendar,W1543,NDays&amp;"D")</f>
        <v>49702</v>
      </c>
      <c r="Y1543" s="204">
        <v>2.2410739592770988E-2</v>
      </c>
      <c r="Z1543" s="201">
        <v>2.2398756933217356E-2</v>
      </c>
    </row>
    <row r="1544" spans="22:26" x14ac:dyDescent="0.2">
      <c r="V1544" s="202" t="str">
        <f t="shared" si="32"/>
        <v>1w</v>
      </c>
      <c r="W1544" s="200">
        <f>_xll.qlCalendarAdvance(Calendar,W1543,V1544,"f",FALSE)</f>
        <v>49705</v>
      </c>
      <c r="X1544" s="203">
        <f>_xll.qlCalendarAdvance(Calendar,W1544,NDays&amp;"D")</f>
        <v>49709</v>
      </c>
      <c r="Y1544" s="204">
        <v>2.2405774481635582E-2</v>
      </c>
      <c r="Z1544" s="201">
        <v>2.2394592821921577E-2</v>
      </c>
    </row>
    <row r="1545" spans="22:26" x14ac:dyDescent="0.2">
      <c r="V1545" s="202" t="str">
        <f t="shared" si="32"/>
        <v>1w</v>
      </c>
      <c r="W1545" s="200">
        <f>_xll.qlCalendarAdvance(Calendar,W1544,V1545,"f",FALSE)</f>
        <v>49712</v>
      </c>
      <c r="X1545" s="203">
        <f>_xll.qlCalendarAdvance(Calendar,W1545,NDays&amp;"D")</f>
        <v>49716</v>
      </c>
      <c r="Y1545" s="204">
        <v>2.2401611195274406E-2</v>
      </c>
      <c r="Z1545" s="201">
        <v>2.239043139951491E-2</v>
      </c>
    </row>
    <row r="1546" spans="22:26" x14ac:dyDescent="0.2">
      <c r="V1546" s="202" t="str">
        <f t="shared" si="32"/>
        <v>1w</v>
      </c>
      <c r="W1546" s="200">
        <f>_xll.qlCalendarAdvance(Calendar,W1545,V1546,"f",FALSE)</f>
        <v>49719</v>
      </c>
      <c r="X1546" s="203">
        <f>_xll.qlCalendarAdvance(Calendar,W1546,NDays&amp;"D")</f>
        <v>49723</v>
      </c>
      <c r="Y1546" s="204">
        <v>2.2397450603814085E-2</v>
      </c>
      <c r="Z1546" s="201">
        <v>2.2386272665997353E-2</v>
      </c>
    </row>
    <row r="1547" spans="22:26" x14ac:dyDescent="0.2">
      <c r="V1547" s="202" t="str">
        <f t="shared" si="32"/>
        <v>1w</v>
      </c>
      <c r="W1547" s="200">
        <f>_xll.qlCalendarAdvance(Calendar,W1546,V1547,"f",FALSE)</f>
        <v>49726</v>
      </c>
      <c r="X1547" s="203">
        <f>_xll.qlCalendarAdvance(Calendar,W1547,NDays&amp;"D")</f>
        <v>49730</v>
      </c>
      <c r="Y1547" s="204">
        <v>2.2393292707254618E-2</v>
      </c>
      <c r="Z1547" s="201">
        <v>2.2382116621368908E-2</v>
      </c>
    </row>
    <row r="1548" spans="22:26" x14ac:dyDescent="0.2">
      <c r="V1548" s="202" t="str">
        <f t="shared" si="32"/>
        <v>1w</v>
      </c>
      <c r="W1548" s="200">
        <f>_xll.qlCalendarAdvance(Calendar,W1547,V1548,"f",FALSE)</f>
        <v>49733</v>
      </c>
      <c r="X1548" s="203">
        <f>_xll.qlCalendarAdvance(Calendar,W1548,NDays&amp;"D")</f>
        <v>49737</v>
      </c>
      <c r="Y1548" s="204">
        <v>2.238993597411356E-2</v>
      </c>
      <c r="Z1548" s="201">
        <v>2.2377963265629575E-2</v>
      </c>
    </row>
    <row r="1549" spans="22:26" x14ac:dyDescent="0.2">
      <c r="V1549" s="202" t="str">
        <f t="shared" si="32"/>
        <v>1w</v>
      </c>
      <c r="W1549" s="200">
        <f>_xll.qlCalendarAdvance(Calendar,W1548,V1549,"f",FALSE)</f>
        <v>49740</v>
      </c>
      <c r="X1549" s="203">
        <f>_xll.qlCalendarAdvance(Calendar,W1549,NDays&amp;"D")</f>
        <v>49744</v>
      </c>
      <c r="Y1549" s="204">
        <v>2.238578333637279E-2</v>
      </c>
      <c r="Z1549" s="201">
        <v>2.2373812598699416E-2</v>
      </c>
    </row>
    <row r="1550" spans="22:26" x14ac:dyDescent="0.2">
      <c r="V1550" s="202" t="str">
        <f t="shared" si="32"/>
        <v>1w</v>
      </c>
      <c r="W1550" s="200">
        <f>_xll.qlCalendarAdvance(Calendar,W1549,V1550,"f",FALSE)</f>
        <v>49747</v>
      </c>
      <c r="X1550" s="203">
        <f>_xll.qlCalendarAdvance(Calendar,W1550,NDays&amp;"D")</f>
        <v>49751</v>
      </c>
      <c r="Y1550" s="204">
        <v>2.2381633393954697E-2</v>
      </c>
      <c r="Z1550" s="201">
        <v>2.2369664620738305E-2</v>
      </c>
    </row>
    <row r="1551" spans="22:26" x14ac:dyDescent="0.2">
      <c r="V1551" s="202" t="str">
        <f t="shared" si="32"/>
        <v>1w</v>
      </c>
      <c r="W1551" s="200">
        <f>_xll.qlCalendarAdvance(Calendar,W1550,V1551,"f",FALSE)</f>
        <v>49754</v>
      </c>
      <c r="X1551" s="203">
        <f>_xll.qlCalendarAdvance(Calendar,W1551,NDays&amp;"D")</f>
        <v>49758</v>
      </c>
      <c r="Y1551" s="204">
        <v>2.2377486146856699E-2</v>
      </c>
      <c r="Z1551" s="201">
        <v>2.2365519331506434E-2</v>
      </c>
    </row>
    <row r="1552" spans="22:26" x14ac:dyDescent="0.2">
      <c r="V1552" s="202" t="str">
        <f t="shared" si="32"/>
        <v>1w</v>
      </c>
      <c r="W1552" s="200">
        <f>_xll.qlCalendarAdvance(Calendar,W1551,V1552,"f",FALSE)</f>
        <v>49761</v>
      </c>
      <c r="X1552" s="203">
        <f>_xll.qlCalendarAdvance(Calendar,W1552,NDays&amp;"D")</f>
        <v>49765</v>
      </c>
      <c r="Y1552" s="204">
        <v>2.237294261629863E-2</v>
      </c>
      <c r="Z1552" s="201">
        <v>2.236137673124361E-2</v>
      </c>
    </row>
    <row r="1553" spans="22:26" x14ac:dyDescent="0.2">
      <c r="V1553" s="202" t="str">
        <f t="shared" si="32"/>
        <v>1w</v>
      </c>
      <c r="W1553" s="200">
        <f>_xll.qlCalendarAdvance(Calendar,W1552,V1553,"f",FALSE)</f>
        <v>49768</v>
      </c>
      <c r="X1553" s="203">
        <f>_xll.qlCalendarAdvance(Calendar,W1553,NDays&amp;"D")</f>
        <v>49772</v>
      </c>
      <c r="Y1553" s="204">
        <v>2.2368800824458468E-2</v>
      </c>
      <c r="Z1553" s="201">
        <v>2.2357236819869897E-2</v>
      </c>
    </row>
    <row r="1554" spans="22:26" x14ac:dyDescent="0.2">
      <c r="V1554" s="202" t="str">
        <f t="shared" si="32"/>
        <v>1w</v>
      </c>
      <c r="W1554" s="200">
        <f>_xll.qlCalendarAdvance(Calendar,W1553,V1554,"f",FALSE)</f>
        <v>49775</v>
      </c>
      <c r="X1554" s="203">
        <f>_xll.qlCalendarAdvance(Calendar,W1554,NDays&amp;"D")</f>
        <v>49781</v>
      </c>
      <c r="Y1554" s="204">
        <v>2.2363479623655813E-2</v>
      </c>
      <c r="Z1554" s="201">
        <v>2.2351918027663231E-2</v>
      </c>
    </row>
    <row r="1555" spans="22:26" x14ac:dyDescent="0.2">
      <c r="V1555" s="202" t="str">
        <f t="shared" si="32"/>
        <v>1w</v>
      </c>
      <c r="W1555" s="200">
        <f>_xll.qlCalendarAdvance(Calendar,W1554,V1555,"f",FALSE)</f>
        <v>49782</v>
      </c>
      <c r="X1555" s="203">
        <f>_xll.qlCalendarAdvance(Calendar,W1555,NDays&amp;"D")</f>
        <v>49786</v>
      </c>
      <c r="Y1555" s="204">
        <v>2.2360525326054592E-2</v>
      </c>
      <c r="Z1555" s="201">
        <v>2.2348965063709869E-2</v>
      </c>
    </row>
    <row r="1556" spans="22:26" x14ac:dyDescent="0.2">
      <c r="V1556" s="202" t="str">
        <f t="shared" si="32"/>
        <v>1w</v>
      </c>
      <c r="W1556" s="200">
        <f>_xll.qlCalendarAdvance(Calendar,W1555,V1556,"f",FALSE)</f>
        <v>49789</v>
      </c>
      <c r="X1556" s="203">
        <f>_xll.qlCalendarAdvance(Calendar,W1556,NDays&amp;"D")</f>
        <v>49793</v>
      </c>
      <c r="Y1556" s="204">
        <v>2.2356391619493543E-2</v>
      </c>
      <c r="Z1556" s="201">
        <v>2.2344833218843618E-2</v>
      </c>
    </row>
    <row r="1557" spans="22:26" x14ac:dyDescent="0.2">
      <c r="V1557" s="202" t="str">
        <f t="shared" ref="V1557:V1620" si="33">V1556</f>
        <v>1w</v>
      </c>
      <c r="W1557" s="200">
        <f>_xll.qlCalendarAdvance(Calendar,W1556,V1557,"f",FALSE)</f>
        <v>49797</v>
      </c>
      <c r="X1557" s="203">
        <f>_xll.qlCalendarAdvance(Calendar,W1557,NDays&amp;"D")</f>
        <v>49801</v>
      </c>
      <c r="Y1557" s="204">
        <v>2.2352069332244998E-2</v>
      </c>
      <c r="Z1557" s="201">
        <v>2.234011440310546E-2</v>
      </c>
    </row>
    <row r="1558" spans="22:26" x14ac:dyDescent="0.2">
      <c r="V1558" s="202" t="str">
        <f t="shared" si="33"/>
        <v>1w</v>
      </c>
      <c r="W1558" s="200">
        <f>_xll.qlCalendarAdvance(Calendar,W1557,V1558,"f",FALSE)</f>
        <v>49804</v>
      </c>
      <c r="X1558" s="203">
        <f>_xll.qlCalendarAdvance(Calendar,W1558,NDays&amp;"D")</f>
        <v>49808</v>
      </c>
      <c r="Y1558" s="204">
        <v>2.234794133735199E-2</v>
      </c>
      <c r="Z1558" s="201">
        <v>2.2335988320270062E-2</v>
      </c>
    </row>
    <row r="1559" spans="22:26" x14ac:dyDescent="0.2">
      <c r="V1559" s="202" t="str">
        <f t="shared" si="33"/>
        <v>1w</v>
      </c>
      <c r="W1559" s="200">
        <f>_xll.qlCalendarAdvance(Calendar,W1558,V1559,"f",FALSE)</f>
        <v>49811</v>
      </c>
      <c r="X1559" s="203">
        <f>_xll.qlCalendarAdvance(Calendar,W1559,NDays&amp;"D")</f>
        <v>49815</v>
      </c>
      <c r="Y1559" s="204">
        <v>2.2343816037750715E-2</v>
      </c>
      <c r="Z1559" s="201">
        <v>2.2331864926163902E-2</v>
      </c>
    </row>
    <row r="1560" spans="22:26" x14ac:dyDescent="0.2">
      <c r="V1560" s="202" t="str">
        <f t="shared" si="33"/>
        <v>1w</v>
      </c>
      <c r="W1560" s="200">
        <f>_xll.qlCalendarAdvance(Calendar,W1559,V1560,"f",FALSE)</f>
        <v>49818</v>
      </c>
      <c r="X1560" s="203">
        <f>_xll.qlCalendarAdvance(Calendar,W1560,NDays&amp;"D")</f>
        <v>49822</v>
      </c>
      <c r="Y1560" s="204">
        <v>2.2339693433446328E-2</v>
      </c>
      <c r="Z1560" s="201">
        <v>2.2327744221026791E-2</v>
      </c>
    </row>
    <row r="1561" spans="22:26" x14ac:dyDescent="0.2">
      <c r="V1561" s="202" t="str">
        <f t="shared" si="33"/>
        <v>1w</v>
      </c>
      <c r="W1561" s="200">
        <f>_xll.qlCalendarAdvance(Calendar,W1560,V1561,"f",FALSE)</f>
        <v>49825</v>
      </c>
      <c r="X1561" s="203">
        <f>_xll.qlCalendarAdvance(Calendar,W1561,NDays&amp;"D")</f>
        <v>49829</v>
      </c>
      <c r="Y1561" s="204">
        <v>2.2335175128513463E-2</v>
      </c>
      <c r="Z1561" s="201">
        <v>2.2323626204698854E-2</v>
      </c>
    </row>
    <row r="1562" spans="22:26" x14ac:dyDescent="0.2">
      <c r="V1562" s="202" t="str">
        <f t="shared" si="33"/>
        <v>1w</v>
      </c>
      <c r="W1562" s="200">
        <f>_xll.qlCalendarAdvance(Calendar,W1561,V1562,"f",FALSE)</f>
        <v>49832</v>
      </c>
      <c r="X1562" s="203">
        <f>_xll.qlCalendarAdvance(Calendar,W1562,NDays&amp;"D")</f>
        <v>49836</v>
      </c>
      <c r="Y1562" s="204">
        <v>2.2331057977450719E-2</v>
      </c>
      <c r="Z1562" s="201">
        <v>2.2319510877339965E-2</v>
      </c>
    </row>
    <row r="1563" spans="22:26" x14ac:dyDescent="0.2">
      <c r="V1563" s="202" t="str">
        <f t="shared" si="33"/>
        <v>1w</v>
      </c>
      <c r="W1563" s="200">
        <f>_xll.qlCalendarAdvance(Calendar,W1562,V1563,"f",FALSE)</f>
        <v>49839</v>
      </c>
      <c r="X1563" s="203">
        <f>_xll.qlCalendarAdvance(Calendar,W1563,NDays&amp;"D")</f>
        <v>49843</v>
      </c>
      <c r="Y1563" s="204">
        <v>2.2326943521461473E-2</v>
      </c>
      <c r="Z1563" s="201">
        <v>2.2315398238710316E-2</v>
      </c>
    </row>
    <row r="1564" spans="22:26" x14ac:dyDescent="0.2">
      <c r="V1564" s="202" t="str">
        <f t="shared" si="33"/>
        <v>1w</v>
      </c>
      <c r="W1564" s="200">
        <f>_xll.qlCalendarAdvance(Calendar,W1563,V1564,"f",FALSE)</f>
        <v>49846</v>
      </c>
      <c r="X1564" s="203">
        <f>_xll.qlCalendarAdvance(Calendar,W1564,NDays&amp;"D")</f>
        <v>49850</v>
      </c>
      <c r="Y1564" s="204">
        <v>2.2322831760537731E-2</v>
      </c>
      <c r="Z1564" s="201">
        <v>2.2311288289129649E-2</v>
      </c>
    </row>
    <row r="1565" spans="22:26" x14ac:dyDescent="0.2">
      <c r="V1565" s="202" t="str">
        <f t="shared" si="33"/>
        <v>1w</v>
      </c>
      <c r="W1565" s="200">
        <f>_xll.qlCalendarAdvance(Calendar,W1564,V1565,"f",FALSE)</f>
        <v>49853</v>
      </c>
      <c r="X1565" s="203">
        <f>_xll.qlCalendarAdvance(Calendar,W1565,NDays&amp;"D")</f>
        <v>49857</v>
      </c>
      <c r="Y1565" s="204">
        <v>2.2319120841233327E-2</v>
      </c>
      <c r="Z1565" s="201">
        <v>2.2307181028278222E-2</v>
      </c>
    </row>
    <row r="1566" spans="22:26" x14ac:dyDescent="0.2">
      <c r="V1566" s="202" t="str">
        <f t="shared" si="33"/>
        <v>1w</v>
      </c>
      <c r="W1566" s="200">
        <f>_xll.qlCalendarAdvance(Calendar,W1565,V1566,"f",FALSE)</f>
        <v>49860</v>
      </c>
      <c r="X1566" s="203">
        <f>_xll.qlCalendarAdvance(Calendar,W1566,NDays&amp;"D")</f>
        <v>49864</v>
      </c>
      <c r="Y1566" s="204">
        <v>2.2315014408632917E-2</v>
      </c>
      <c r="Z1566" s="201">
        <v>2.2303076456395843E-2</v>
      </c>
    </row>
    <row r="1567" spans="22:26" x14ac:dyDescent="0.2">
      <c r="V1567" s="202" t="str">
        <f t="shared" si="33"/>
        <v>1w</v>
      </c>
      <c r="W1567" s="200">
        <f>_xll.qlCalendarAdvance(Calendar,W1566,V1567,"f",FALSE)</f>
        <v>49867</v>
      </c>
      <c r="X1567" s="203">
        <f>_xll.qlCalendarAdvance(Calendar,W1567,NDays&amp;"D")</f>
        <v>49871</v>
      </c>
      <c r="Y1567" s="204">
        <v>2.2310910671306187E-2</v>
      </c>
      <c r="Z1567" s="201">
        <v>2.2298974573402575E-2</v>
      </c>
    </row>
    <row r="1568" spans="22:26" x14ac:dyDescent="0.2">
      <c r="V1568" s="202" t="str">
        <f t="shared" si="33"/>
        <v>1w</v>
      </c>
      <c r="W1568" s="200">
        <f>_xll.qlCalendarAdvance(Calendar,W1567,V1568,"f",FALSE)</f>
        <v>49874</v>
      </c>
      <c r="X1568" s="203">
        <f>_xll.qlCalendarAdvance(Calendar,W1568,NDays&amp;"D")</f>
        <v>49878</v>
      </c>
      <c r="Y1568" s="204">
        <v>2.2306809629247984E-2</v>
      </c>
      <c r="Z1568" s="201">
        <v>2.2294875379138546E-2</v>
      </c>
    </row>
    <row r="1569" spans="22:26" x14ac:dyDescent="0.2">
      <c r="V1569" s="202" t="str">
        <f t="shared" si="33"/>
        <v>1w</v>
      </c>
      <c r="W1569" s="200">
        <f>_xll.qlCalendarAdvance(Calendar,W1568,V1569,"f",FALSE)</f>
        <v>49881</v>
      </c>
      <c r="X1569" s="203">
        <f>_xll.qlCalendarAdvance(Calendar,W1569,NDays&amp;"D")</f>
        <v>49885</v>
      </c>
      <c r="Y1569" s="204">
        <v>2.230271128246088E-2</v>
      </c>
      <c r="Z1569" s="201">
        <v>2.2290778873843564E-2</v>
      </c>
    </row>
    <row r="1570" spans="22:26" x14ac:dyDescent="0.2">
      <c r="V1570" s="202" t="str">
        <f t="shared" si="33"/>
        <v>1w</v>
      </c>
      <c r="W1570" s="200">
        <f>_xll.qlCalendarAdvance(Calendar,W1569,V1570,"f",FALSE)</f>
        <v>49888</v>
      </c>
      <c r="X1570" s="203">
        <f>_xll.qlCalendarAdvance(Calendar,W1570,NDays&amp;"D")</f>
        <v>49892</v>
      </c>
      <c r="Y1570" s="204">
        <v>2.2298615630937147E-2</v>
      </c>
      <c r="Z1570" s="201">
        <v>2.2286685057437694E-2</v>
      </c>
    </row>
    <row r="1571" spans="22:26" x14ac:dyDescent="0.2">
      <c r="V1571" s="202" t="str">
        <f t="shared" si="33"/>
        <v>1w</v>
      </c>
      <c r="W1571" s="200">
        <f>_xll.qlCalendarAdvance(Calendar,W1570,V1571,"f",FALSE)</f>
        <v>49895</v>
      </c>
      <c r="X1571" s="203">
        <f>_xll.qlCalendarAdvance(Calendar,W1571,NDays&amp;"D")</f>
        <v>49899</v>
      </c>
      <c r="Y1571" s="204">
        <v>2.2294522674679358E-2</v>
      </c>
      <c r="Z1571" s="201">
        <v>2.2282593929920935E-2</v>
      </c>
    </row>
    <row r="1572" spans="22:26" x14ac:dyDescent="0.2">
      <c r="V1572" s="202" t="str">
        <f t="shared" si="33"/>
        <v>1w</v>
      </c>
      <c r="W1572" s="200">
        <f>_xll.qlCalendarAdvance(Calendar,W1571,V1572,"f",FALSE)</f>
        <v>49902</v>
      </c>
      <c r="X1572" s="203">
        <f>_xll.qlCalendarAdvance(Calendar,W1572,NDays&amp;"D")</f>
        <v>49906</v>
      </c>
      <c r="Y1572" s="204">
        <v>2.2290432413677203E-2</v>
      </c>
      <c r="Z1572" s="201">
        <v>2.2278505491213352E-2</v>
      </c>
    </row>
    <row r="1573" spans="22:26" x14ac:dyDescent="0.2">
      <c r="V1573" s="202" t="str">
        <f t="shared" si="33"/>
        <v>1w</v>
      </c>
      <c r="W1573" s="200">
        <f>_xll.qlCalendarAdvance(Calendar,W1572,V1573,"f",FALSE)</f>
        <v>49909</v>
      </c>
      <c r="X1573" s="203">
        <f>_xll.qlCalendarAdvance(Calendar,W1573,NDays&amp;"D")</f>
        <v>49913</v>
      </c>
      <c r="Y1573" s="204">
        <v>2.2286344847935832E-2</v>
      </c>
      <c r="Z1573" s="201">
        <v>2.227441974139488E-2</v>
      </c>
    </row>
    <row r="1574" spans="22:26" x14ac:dyDescent="0.2">
      <c r="V1574" s="202" t="str">
        <f t="shared" si="33"/>
        <v>1w</v>
      </c>
      <c r="W1574" s="200">
        <f>_xll.qlCalendarAdvance(Calendar,W1573,V1574,"f",FALSE)</f>
        <v>49916</v>
      </c>
      <c r="X1574" s="203">
        <f>_xll.qlCalendarAdvance(Calendar,W1574,NDays&amp;"D")</f>
        <v>49920</v>
      </c>
      <c r="Y1574" s="204">
        <v>2.2281862379500694E-2</v>
      </c>
      <c r="Z1574" s="201">
        <v>2.2270336680385583E-2</v>
      </c>
    </row>
    <row r="1575" spans="22:26" x14ac:dyDescent="0.2">
      <c r="V1575" s="202" t="str">
        <f t="shared" si="33"/>
        <v>1w</v>
      </c>
      <c r="W1575" s="200">
        <f>_xll.qlCalendarAdvance(Calendar,W1574,V1575,"f",FALSE)</f>
        <v>49923</v>
      </c>
      <c r="X1575" s="203">
        <f>_xll.qlCalendarAdvance(Calendar,W1575,NDays&amp;"D")</f>
        <v>49927</v>
      </c>
      <c r="Y1575" s="204">
        <v>2.2277780264153613E-2</v>
      </c>
      <c r="Z1575" s="201">
        <v>2.2266256308345334E-2</v>
      </c>
    </row>
    <row r="1576" spans="22:26" x14ac:dyDescent="0.2">
      <c r="V1576" s="202" t="str">
        <f t="shared" si="33"/>
        <v>1w</v>
      </c>
      <c r="W1576" s="200">
        <f>_xll.qlCalendarAdvance(Calendar,W1575,V1576,"f",FALSE)</f>
        <v>49930</v>
      </c>
      <c r="X1576" s="203">
        <f>_xll.qlCalendarAdvance(Calendar,W1576,NDays&amp;"D")</f>
        <v>49934</v>
      </c>
      <c r="Y1576" s="204">
        <v>2.2273700843842725E-2</v>
      </c>
      <c r="Z1576" s="201">
        <v>2.2262178625114259E-2</v>
      </c>
    </row>
    <row r="1577" spans="22:26" x14ac:dyDescent="0.2">
      <c r="V1577" s="202" t="str">
        <f t="shared" si="33"/>
        <v>1w</v>
      </c>
      <c r="W1577" s="200">
        <f>_xll.qlCalendarAdvance(Calendar,W1576,V1577,"f",FALSE)</f>
        <v>49937</v>
      </c>
      <c r="X1577" s="203">
        <f>_xll.qlCalendarAdvance(Calendar,W1577,NDays&amp;"D")</f>
        <v>49941</v>
      </c>
      <c r="Y1577" s="204">
        <v>2.2269624118562703E-2</v>
      </c>
      <c r="Z1577" s="201">
        <v>2.2258103630852233E-2</v>
      </c>
    </row>
    <row r="1578" spans="22:26" x14ac:dyDescent="0.2">
      <c r="V1578" s="202" t="str">
        <f t="shared" si="33"/>
        <v>1w</v>
      </c>
      <c r="W1578" s="200">
        <f>_xll.qlCalendarAdvance(Calendar,W1577,V1578,"f",FALSE)</f>
        <v>49944</v>
      </c>
      <c r="X1578" s="203">
        <f>_xll.qlCalendarAdvance(Calendar,W1578,NDays&amp;"D")</f>
        <v>49948</v>
      </c>
      <c r="Y1578" s="204">
        <v>2.2265947447970637E-2</v>
      </c>
      <c r="Z1578" s="201">
        <v>2.2254031325319446E-2</v>
      </c>
    </row>
    <row r="1579" spans="22:26" x14ac:dyDescent="0.2">
      <c r="V1579" s="202" t="str">
        <f t="shared" si="33"/>
        <v>1w</v>
      </c>
      <c r="W1579" s="200">
        <f>_xll.qlCalendarAdvance(Calendar,W1578,V1579,"f",FALSE)</f>
        <v>49951</v>
      </c>
      <c r="X1579" s="203">
        <f>_xll.qlCalendarAdvance(Calendar,W1579,NDays&amp;"D")</f>
        <v>49955</v>
      </c>
      <c r="Y1579" s="204">
        <v>2.2261876053708909E-2</v>
      </c>
      <c r="Z1579" s="201">
        <v>2.2249961708755706E-2</v>
      </c>
    </row>
    <row r="1580" spans="22:26" x14ac:dyDescent="0.2">
      <c r="V1580" s="202" t="str">
        <f t="shared" si="33"/>
        <v>1w</v>
      </c>
      <c r="W1580" s="200">
        <f>_xll.qlCalendarAdvance(Calendar,W1579,V1580,"f",FALSE)</f>
        <v>49958</v>
      </c>
      <c r="X1580" s="203">
        <f>_xll.qlCalendarAdvance(Calendar,W1580,NDays&amp;"D")</f>
        <v>49962</v>
      </c>
      <c r="Y1580" s="204">
        <v>2.2257807354682184E-2</v>
      </c>
      <c r="Z1580" s="201">
        <v>2.2245894781081077E-2</v>
      </c>
    </row>
    <row r="1581" spans="22:26" x14ac:dyDescent="0.2">
      <c r="V1581" s="202" t="str">
        <f t="shared" si="33"/>
        <v>1w</v>
      </c>
      <c r="W1581" s="200">
        <f>_xll.qlCalendarAdvance(Calendar,W1580,V1581,"f",FALSE)</f>
        <v>49965</v>
      </c>
      <c r="X1581" s="203">
        <f>_xll.qlCalendarAdvance(Calendar,W1581,NDays&amp;"D")</f>
        <v>49969</v>
      </c>
      <c r="Y1581" s="204">
        <v>2.2253741350893041E-2</v>
      </c>
      <c r="Z1581" s="201">
        <v>2.2241830542215624E-2</v>
      </c>
    </row>
    <row r="1582" spans="22:26" x14ac:dyDescent="0.2">
      <c r="V1582" s="202" t="str">
        <f t="shared" si="33"/>
        <v>1w</v>
      </c>
      <c r="W1582" s="200">
        <f>_xll.qlCalendarAdvance(Calendar,W1581,V1582,"f",FALSE)</f>
        <v>49972</v>
      </c>
      <c r="X1582" s="203">
        <f>_xll.qlCalendarAdvance(Calendar,W1582,NDays&amp;"D")</f>
        <v>49976</v>
      </c>
      <c r="Y1582" s="204">
        <v>2.2249678042333743E-2</v>
      </c>
      <c r="Z1582" s="201">
        <v>2.2237768992239282E-2</v>
      </c>
    </row>
    <row r="1583" spans="22:26" x14ac:dyDescent="0.2">
      <c r="V1583" s="202" t="str">
        <f t="shared" si="33"/>
        <v>1w</v>
      </c>
      <c r="W1583" s="200">
        <f>_xll.qlCalendarAdvance(Calendar,W1582,V1583,"f",FALSE)</f>
        <v>49979</v>
      </c>
      <c r="X1583" s="203">
        <f>_xll.qlCalendarAdvance(Calendar,W1583,NDays&amp;"D")</f>
        <v>49983</v>
      </c>
      <c r="Y1583" s="204">
        <v>2.224522036243215E-2</v>
      </c>
      <c r="Z1583" s="201">
        <v>2.2233710131152051E-2</v>
      </c>
    </row>
    <row r="1584" spans="22:26" x14ac:dyDescent="0.2">
      <c r="V1584" s="202" t="str">
        <f t="shared" si="33"/>
        <v>1w</v>
      </c>
      <c r="W1584" s="200">
        <f>_xll.qlCalendarAdvance(Calendar,W1583,V1584,"f",FALSE)</f>
        <v>49986</v>
      </c>
      <c r="X1584" s="203">
        <f>_xll.qlCalendarAdvance(Calendar,W1584,NDays&amp;"D")</f>
        <v>49990</v>
      </c>
      <c r="Y1584" s="204">
        <v>2.2241162502306899E-2</v>
      </c>
      <c r="Z1584" s="201">
        <v>2.2229653958873996E-2</v>
      </c>
    </row>
    <row r="1585" spans="22:26" x14ac:dyDescent="0.2">
      <c r="V1585" s="202" t="str">
        <f t="shared" si="33"/>
        <v>1w</v>
      </c>
      <c r="W1585" s="200">
        <f>_xll.qlCalendarAdvance(Calendar,W1584,V1585,"f",FALSE)</f>
        <v>49993</v>
      </c>
      <c r="X1585" s="203">
        <f>_xll.qlCalendarAdvance(Calendar,W1585,NDays&amp;"D")</f>
        <v>49997</v>
      </c>
      <c r="Y1585" s="204">
        <v>2.2237107337196527E-2</v>
      </c>
      <c r="Z1585" s="201">
        <v>2.2225600475485052E-2</v>
      </c>
    </row>
    <row r="1586" spans="22:26" x14ac:dyDescent="0.2">
      <c r="V1586" s="202" t="str">
        <f t="shared" si="33"/>
        <v>1w</v>
      </c>
      <c r="W1586" s="200">
        <f>_xll.qlCalendarAdvance(Calendar,W1585,V1586,"f",FALSE)</f>
        <v>50000</v>
      </c>
      <c r="X1586" s="203">
        <f>_xll.qlCalendarAdvance(Calendar,W1586,NDays&amp;"D")</f>
        <v>50004</v>
      </c>
      <c r="Y1586" s="204">
        <v>2.2234642505353428E-2</v>
      </c>
      <c r="Z1586" s="201">
        <v>2.2221549681065156E-2</v>
      </c>
    </row>
    <row r="1587" spans="22:26" x14ac:dyDescent="0.2">
      <c r="V1587" s="202" t="str">
        <f t="shared" si="33"/>
        <v>1w</v>
      </c>
      <c r="W1587" s="200">
        <f>_xll.qlCalendarAdvance(Calendar,W1586,V1587,"f",FALSE)</f>
        <v>50007</v>
      </c>
      <c r="X1587" s="203">
        <f>_xll.qlCalendarAdvance(Calendar,W1587,NDays&amp;"D")</f>
        <v>50011</v>
      </c>
      <c r="Y1587" s="204">
        <v>2.2229401927904999E-2</v>
      </c>
      <c r="Z1587" s="201">
        <v>2.2217501575374499E-2</v>
      </c>
    </row>
    <row r="1588" spans="22:26" x14ac:dyDescent="0.2">
      <c r="V1588" s="202" t="str">
        <f t="shared" si="33"/>
        <v>1w</v>
      </c>
      <c r="W1588" s="200">
        <f>_xll.qlCalendarAdvance(Calendar,W1587,V1588,"f",FALSE)</f>
        <v>50014</v>
      </c>
      <c r="X1588" s="203">
        <f>_xll.qlCalendarAdvance(Calendar,W1588,NDays&amp;"D")</f>
        <v>50018</v>
      </c>
      <c r="Y1588" s="204">
        <v>2.2225354790675781E-2</v>
      </c>
      <c r="Z1588" s="201">
        <v>2.2213456158652889E-2</v>
      </c>
    </row>
    <row r="1589" spans="22:26" x14ac:dyDescent="0.2">
      <c r="V1589" s="202" t="str">
        <f t="shared" si="33"/>
        <v>1w</v>
      </c>
      <c r="W1589" s="200">
        <f>_xll.qlCalendarAdvance(Calendar,W1588,V1589,"f",FALSE)</f>
        <v>50021</v>
      </c>
      <c r="X1589" s="203">
        <f>_xll.qlCalendarAdvance(Calendar,W1589,NDays&amp;"D")</f>
        <v>50025</v>
      </c>
      <c r="Y1589" s="204">
        <v>2.222131034865836E-2</v>
      </c>
      <c r="Z1589" s="201">
        <v>2.2209413430820391E-2</v>
      </c>
    </row>
    <row r="1590" spans="22:26" x14ac:dyDescent="0.2">
      <c r="V1590" s="202" t="str">
        <f t="shared" si="33"/>
        <v>1w</v>
      </c>
      <c r="W1590" s="200">
        <f>_xll.qlCalendarAdvance(Calendar,W1589,V1590,"f",FALSE)</f>
        <v>50028</v>
      </c>
      <c r="X1590" s="203">
        <f>_xll.qlCalendarAdvance(Calendar,W1590,NDays&amp;"D")</f>
        <v>50032</v>
      </c>
      <c r="Y1590" s="204">
        <v>2.2217268601844999E-2</v>
      </c>
      <c r="Z1590" s="201">
        <v>2.2205373391797067E-2</v>
      </c>
    </row>
    <row r="1591" spans="22:26" x14ac:dyDescent="0.2">
      <c r="V1591" s="202" t="str">
        <f t="shared" si="33"/>
        <v>1w</v>
      </c>
      <c r="W1591" s="200">
        <f>_xll.qlCalendarAdvance(Calendar,W1590,V1591,"f",FALSE)</f>
        <v>50038</v>
      </c>
      <c r="X1591" s="203">
        <f>_xll.qlCalendarAdvance(Calendar,W1591,NDays&amp;"D")</f>
        <v>50040</v>
      </c>
      <c r="Y1591" s="204">
        <v>2.2212256162294608E-2</v>
      </c>
      <c r="Z1591" s="201">
        <v>2.220115578093651E-2</v>
      </c>
    </row>
    <row r="1592" spans="22:26" x14ac:dyDescent="0.2">
      <c r="V1592" s="202" t="str">
        <f t="shared" si="33"/>
        <v>1w</v>
      </c>
      <c r="W1592" s="200">
        <f>_xll.qlCalendarAdvance(Calendar,W1591,V1592,"f",FALSE)</f>
        <v>50045</v>
      </c>
      <c r="X1592" s="203">
        <f>_xll.qlCalendarAdvance(Calendar,W1592,NDays&amp;"D")</f>
        <v>50047</v>
      </c>
      <c r="Y1592" s="204">
        <v>2.2209409913057341E-2</v>
      </c>
      <c r="Z1592" s="201">
        <v>2.2196725219618685E-2</v>
      </c>
    </row>
    <row r="1593" spans="22:26" x14ac:dyDescent="0.2">
      <c r="V1593" s="202" t="str">
        <f t="shared" si="33"/>
        <v>1w</v>
      </c>
      <c r="W1593" s="200">
        <f>_xll.qlCalendarAdvance(Calendar,W1592,V1593,"f",FALSE)</f>
        <v>50052</v>
      </c>
      <c r="X1593" s="203">
        <f>_xll.qlCalendarAdvance(Calendar,W1593,NDays&amp;"D")</f>
        <v>50054</v>
      </c>
      <c r="Y1593" s="204">
        <v>2.2205376524832718E-2</v>
      </c>
      <c r="Z1593" s="201">
        <v>2.219269363143539E-2</v>
      </c>
    </row>
    <row r="1594" spans="22:26" x14ac:dyDescent="0.2">
      <c r="V1594" s="202" t="str">
        <f t="shared" si="33"/>
        <v>1w</v>
      </c>
      <c r="W1594" s="200">
        <f>_xll.qlCalendarAdvance(Calendar,W1593,V1594,"f",FALSE)</f>
        <v>50059</v>
      </c>
      <c r="X1594" s="203">
        <f>_xll.qlCalendarAdvance(Calendar,W1594,NDays&amp;"D")</f>
        <v>50061</v>
      </c>
      <c r="Y1594" s="204">
        <v>2.220134583222879E-2</v>
      </c>
      <c r="Z1594" s="201">
        <v>2.218866473206127E-2</v>
      </c>
    </row>
    <row r="1595" spans="22:26" x14ac:dyDescent="0.2">
      <c r="V1595" s="202" t="str">
        <f t="shared" si="33"/>
        <v>1w</v>
      </c>
      <c r="W1595" s="200">
        <f>_xll.qlCalendarAdvance(Calendar,W1594,V1595,"f",FALSE)</f>
        <v>50066</v>
      </c>
      <c r="X1595" s="203">
        <f>_xll.qlCalendarAdvance(Calendar,W1595,NDays&amp;"D")</f>
        <v>50068</v>
      </c>
      <c r="Y1595" s="204">
        <v>2.2196128671767568E-2</v>
      </c>
      <c r="Z1595" s="201">
        <v>2.2184638521496325E-2</v>
      </c>
    </row>
    <row r="1596" spans="22:26" x14ac:dyDescent="0.2">
      <c r="V1596" s="202" t="str">
        <f t="shared" si="33"/>
        <v>1w</v>
      </c>
      <c r="W1596" s="200">
        <f>_xll.qlCalendarAdvance(Calendar,W1595,V1596,"f",FALSE)</f>
        <v>50073</v>
      </c>
      <c r="X1596" s="203">
        <f>_xll.qlCalendarAdvance(Calendar,W1596,NDays&amp;"D")</f>
        <v>50075</v>
      </c>
      <c r="Y1596" s="204">
        <v>2.219131092684171E-2</v>
      </c>
      <c r="Z1596" s="201">
        <v>2.2180614999900428E-2</v>
      </c>
    </row>
    <row r="1597" spans="22:26" x14ac:dyDescent="0.2">
      <c r="V1597" s="202" t="str">
        <f t="shared" si="33"/>
        <v>1w</v>
      </c>
      <c r="W1597" s="200">
        <f>_xll.qlCalendarAdvance(Calendar,W1596,V1597,"f",FALSE)</f>
        <v>50080</v>
      </c>
      <c r="X1597" s="203">
        <f>_xll.qlCalendarAdvance(Calendar,W1597,NDays&amp;"D")</f>
        <v>50082</v>
      </c>
      <c r="Y1597" s="204">
        <v>2.2187288597101E-2</v>
      </c>
      <c r="Z1597" s="201">
        <v>2.217659416703377E-2</v>
      </c>
    </row>
    <row r="1598" spans="22:26" x14ac:dyDescent="0.2">
      <c r="V1598" s="202" t="str">
        <f t="shared" si="33"/>
        <v>1w</v>
      </c>
      <c r="W1598" s="200">
        <f>_xll.qlCalendarAdvance(Calendar,W1597,V1598,"f",FALSE)</f>
        <v>50087</v>
      </c>
      <c r="X1598" s="203">
        <f>_xll.qlCalendarAdvance(Calendar,W1598,NDays&amp;"D")</f>
        <v>50089</v>
      </c>
      <c r="Y1598" s="204">
        <v>2.218326896191344E-2</v>
      </c>
      <c r="Z1598" s="201">
        <v>2.2172576023136159E-2</v>
      </c>
    </row>
    <row r="1599" spans="22:26" x14ac:dyDescent="0.2">
      <c r="V1599" s="202" t="str">
        <f t="shared" si="33"/>
        <v>1w</v>
      </c>
      <c r="W1599" s="200">
        <f>_xll.qlCalendarAdvance(Calendar,W1598,V1599,"f",FALSE)</f>
        <v>50094</v>
      </c>
      <c r="X1599" s="203">
        <f>_xll.qlCalendarAdvance(Calendar,W1599,NDays&amp;"D")</f>
        <v>50096</v>
      </c>
      <c r="Y1599" s="204">
        <v>2.2179252021279031E-2</v>
      </c>
      <c r="Z1599" s="201">
        <v>2.2168560568047724E-2</v>
      </c>
    </row>
    <row r="1600" spans="22:26" x14ac:dyDescent="0.2">
      <c r="V1600" s="202" t="str">
        <f t="shared" si="33"/>
        <v>1w</v>
      </c>
      <c r="W1600" s="200">
        <f>_xll.qlCalendarAdvance(Calendar,W1599,V1600,"f",FALSE)</f>
        <v>50101</v>
      </c>
      <c r="X1600" s="203">
        <f>_xll.qlCalendarAdvance(Calendar,W1600,NDays&amp;"D")</f>
        <v>50103</v>
      </c>
      <c r="Y1600" s="204">
        <v>2.2177614419516267E-2</v>
      </c>
      <c r="Z1600" s="201">
        <v>2.21645478018484E-2</v>
      </c>
    </row>
    <row r="1601" spans="22:26" x14ac:dyDescent="0.2">
      <c r="V1601" s="202" t="str">
        <f t="shared" si="33"/>
        <v>1w</v>
      </c>
      <c r="W1601" s="200">
        <f>_xll.qlCalendarAdvance(Calendar,W1600,V1601,"f",FALSE)</f>
        <v>50108</v>
      </c>
      <c r="X1601" s="203">
        <f>_xll.qlCalendarAdvance(Calendar,W1601,NDays&amp;"D")</f>
        <v>50110</v>
      </c>
      <c r="Y1601" s="204">
        <v>2.2173206461075588E-2</v>
      </c>
      <c r="Z1601" s="201">
        <v>2.2160537724538187E-2</v>
      </c>
    </row>
    <row r="1602" spans="22:26" x14ac:dyDescent="0.2">
      <c r="V1602" s="202" t="str">
        <f t="shared" si="33"/>
        <v>1w</v>
      </c>
      <c r="W1602" s="200">
        <f>_xll.qlCalendarAdvance(Calendar,W1601,V1602,"f",FALSE)</f>
        <v>50115</v>
      </c>
      <c r="X1602" s="203">
        <f>_xll.qlCalendarAdvance(Calendar,W1602,NDays&amp;"D")</f>
        <v>50117</v>
      </c>
      <c r="Y1602" s="204">
        <v>2.2169197333316119E-2</v>
      </c>
      <c r="Z1602" s="201">
        <v>2.2156530336117086E-2</v>
      </c>
    </row>
    <row r="1603" spans="22:26" x14ac:dyDescent="0.2">
      <c r="V1603" s="202" t="str">
        <f t="shared" si="33"/>
        <v>1w</v>
      </c>
      <c r="W1603" s="200">
        <f>_xll.qlCalendarAdvance(Calendar,W1602,V1603,"f",FALSE)</f>
        <v>50122</v>
      </c>
      <c r="X1603" s="203">
        <f>_xll.qlCalendarAdvance(Calendar,W1603,NDays&amp;"D")</f>
        <v>50124</v>
      </c>
      <c r="Y1603" s="204">
        <v>2.2165190901150697E-2</v>
      </c>
      <c r="Z1603" s="201">
        <v>2.215252563650516E-2</v>
      </c>
    </row>
    <row r="1604" spans="22:26" x14ac:dyDescent="0.2">
      <c r="V1604" s="202" t="str">
        <f t="shared" si="33"/>
        <v>1w</v>
      </c>
      <c r="W1604" s="200">
        <f>_xll.qlCalendarAdvance(Calendar,W1603,V1604,"f",FALSE)</f>
        <v>50129</v>
      </c>
      <c r="X1604" s="203">
        <f>_xll.qlCalendarAdvance(Calendar,W1604,NDays&amp;"D")</f>
        <v>50131</v>
      </c>
      <c r="Y1604" s="204">
        <v>2.2161187164569638E-2</v>
      </c>
      <c r="Z1604" s="201">
        <v>2.2148523625862282E-2</v>
      </c>
    </row>
    <row r="1605" spans="22:26" x14ac:dyDescent="0.2">
      <c r="V1605" s="202" t="str">
        <f t="shared" si="33"/>
        <v>1w</v>
      </c>
      <c r="W1605" s="200">
        <f>_xll.qlCalendarAdvance(Calendar,W1604,V1605,"f",FALSE)</f>
        <v>50137</v>
      </c>
      <c r="X1605" s="203">
        <f>_xll.qlCalendarAdvance(Calendar,W1605,NDays&amp;"D")</f>
        <v>50139</v>
      </c>
      <c r="Y1605" s="204">
        <v>2.2156218919527071E-2</v>
      </c>
      <c r="Z1605" s="201">
        <v>2.2143953191751109E-2</v>
      </c>
    </row>
    <row r="1606" spans="22:26" x14ac:dyDescent="0.2">
      <c r="V1606" s="202" t="str">
        <f t="shared" si="33"/>
        <v>1w</v>
      </c>
      <c r="W1606" s="200">
        <f>_xll.qlCalendarAdvance(Calendar,W1605,V1606,"f",FALSE)</f>
        <v>50144</v>
      </c>
      <c r="X1606" s="203">
        <f>_xll.qlCalendarAdvance(Calendar,W1606,NDays&amp;"D")</f>
        <v>50146</v>
      </c>
      <c r="Y1606" s="204">
        <v>2.2152221012456674E-2</v>
      </c>
      <c r="Z1606" s="201">
        <v>2.2139956942899275E-2</v>
      </c>
    </row>
    <row r="1607" spans="22:26" x14ac:dyDescent="0.2">
      <c r="V1607" s="202" t="str">
        <f t="shared" si="33"/>
        <v>1w</v>
      </c>
      <c r="W1607" s="200">
        <f>_xll.qlCalendarAdvance(Calendar,W1606,V1607,"f",FALSE)</f>
        <v>50151</v>
      </c>
      <c r="X1607" s="203">
        <f>_xll.qlCalendarAdvance(Calendar,W1607,NDays&amp;"D")</f>
        <v>50153</v>
      </c>
      <c r="Y1607" s="204">
        <v>2.2148225800755206E-2</v>
      </c>
      <c r="Z1607" s="201">
        <v>2.2135963383016488E-2</v>
      </c>
    </row>
    <row r="1608" spans="22:26" x14ac:dyDescent="0.2">
      <c r="V1608" s="202" t="str">
        <f t="shared" si="33"/>
        <v>1w</v>
      </c>
      <c r="W1608" s="200">
        <f>_xll.qlCalendarAdvance(Calendar,W1607,V1608,"f",FALSE)</f>
        <v>50158</v>
      </c>
      <c r="X1608" s="203">
        <f>_xll.qlCalendarAdvance(Calendar,W1608,NDays&amp;"D")</f>
        <v>50160</v>
      </c>
      <c r="Y1608" s="204">
        <v>2.2143046288577859E-2</v>
      </c>
      <c r="Z1608" s="201">
        <v>2.2133158569515032E-2</v>
      </c>
    </row>
    <row r="1609" spans="22:26" x14ac:dyDescent="0.2">
      <c r="V1609" s="202" t="str">
        <f t="shared" si="33"/>
        <v>1w</v>
      </c>
      <c r="W1609" s="200">
        <f>_xll.qlCalendarAdvance(Calendar,W1608,V1609,"f",FALSE)</f>
        <v>50165</v>
      </c>
      <c r="X1609" s="203">
        <f>_xll.qlCalendarAdvance(Calendar,W1609,NDays&amp;"D")</f>
        <v>50167</v>
      </c>
      <c r="Y1609" s="204">
        <v>2.2140243463451559E-2</v>
      </c>
      <c r="Z1609" s="201">
        <v>2.2127984329598505E-2</v>
      </c>
    </row>
    <row r="1610" spans="22:26" x14ac:dyDescent="0.2">
      <c r="V1610" s="202" t="str">
        <f t="shared" si="33"/>
        <v>1w</v>
      </c>
      <c r="W1610" s="200">
        <f>_xll.qlCalendarAdvance(Calendar,W1609,V1610,"f",FALSE)</f>
        <v>50172</v>
      </c>
      <c r="X1610" s="203">
        <f>_xll.qlCalendarAdvance(Calendar,W1610,NDays&amp;"D")</f>
        <v>50174</v>
      </c>
      <c r="Y1610" s="204">
        <v>2.2136256337844384E-2</v>
      </c>
      <c r="Z1610" s="201">
        <v>2.2123998836303116E-2</v>
      </c>
    </row>
    <row r="1611" spans="22:26" x14ac:dyDescent="0.2">
      <c r="V1611" s="202" t="str">
        <f t="shared" si="33"/>
        <v>1w</v>
      </c>
      <c r="W1611" s="200">
        <f>_xll.qlCalendarAdvance(Calendar,W1610,V1611,"f",FALSE)</f>
        <v>50179</v>
      </c>
      <c r="X1611" s="203">
        <f>_xll.qlCalendarAdvance(Calendar,W1611,NDays&amp;"D")</f>
        <v>50181</v>
      </c>
      <c r="Y1611" s="204">
        <v>2.2132271907596146E-2</v>
      </c>
      <c r="Z1611" s="201">
        <v>2.2120016031736967E-2</v>
      </c>
    </row>
    <row r="1612" spans="22:26" x14ac:dyDescent="0.2">
      <c r="V1612" s="202" t="str">
        <f t="shared" si="33"/>
        <v>1w</v>
      </c>
      <c r="W1612" s="200">
        <f>_xll.qlCalendarAdvance(Calendar,W1611,V1612,"f",FALSE)</f>
        <v>50186</v>
      </c>
      <c r="X1612" s="203">
        <f>_xll.qlCalendarAdvance(Calendar,W1612,NDays&amp;"D")</f>
        <v>50188</v>
      </c>
      <c r="Y1612" s="204">
        <v>2.2128290172704346E-2</v>
      </c>
      <c r="Z1612" s="201">
        <v>2.2116035916139865E-2</v>
      </c>
    </row>
    <row r="1613" spans="22:26" x14ac:dyDescent="0.2">
      <c r="V1613" s="202" t="str">
        <f t="shared" si="33"/>
        <v>1w</v>
      </c>
      <c r="W1613" s="200">
        <f>_xll.qlCalendarAdvance(Calendar,W1612,V1613,"f",FALSE)</f>
        <v>50193</v>
      </c>
      <c r="X1613" s="203">
        <f>_xll.qlCalendarAdvance(Calendar,W1613,NDays&amp;"D")</f>
        <v>50195</v>
      </c>
      <c r="Y1613" s="204">
        <v>2.2124311133163987E-2</v>
      </c>
      <c r="Z1613" s="201">
        <v>2.2112058489351938E-2</v>
      </c>
    </row>
    <row r="1614" spans="22:26" x14ac:dyDescent="0.2">
      <c r="V1614" s="202" t="str">
        <f t="shared" si="33"/>
        <v>1w</v>
      </c>
      <c r="W1614" s="200">
        <f>_xll.qlCalendarAdvance(Calendar,W1613,V1614,"f",FALSE)</f>
        <v>50200</v>
      </c>
      <c r="X1614" s="203">
        <f>_xll.qlCalendarAdvance(Calendar,W1614,NDays&amp;"D")</f>
        <v>50202</v>
      </c>
      <c r="Y1614" s="204">
        <v>2.2120334788975071E-2</v>
      </c>
      <c r="Z1614" s="201">
        <v>2.2108083751453123E-2</v>
      </c>
    </row>
    <row r="1615" spans="22:26" x14ac:dyDescent="0.2">
      <c r="V1615" s="202" t="str">
        <f t="shared" si="33"/>
        <v>1w</v>
      </c>
      <c r="W1615" s="200">
        <f>_xll.qlCalendarAdvance(Calendar,W1614,V1615,"f",FALSE)</f>
        <v>50207</v>
      </c>
      <c r="X1615" s="203">
        <f>_xll.qlCalendarAdvance(Calendar,W1615,NDays&amp;"D")</f>
        <v>50209</v>
      </c>
      <c r="Y1615" s="204">
        <v>2.2116361140135099E-2</v>
      </c>
      <c r="Z1615" s="201">
        <v>2.2104111702443419E-2</v>
      </c>
    </row>
    <row r="1616" spans="22:26" x14ac:dyDescent="0.2">
      <c r="V1616" s="202" t="str">
        <f t="shared" si="33"/>
        <v>1w</v>
      </c>
      <c r="W1616" s="200">
        <f>_xll.qlCalendarAdvance(Calendar,W1615,V1616,"f",FALSE)</f>
        <v>50214</v>
      </c>
      <c r="X1616" s="203">
        <f>_xll.qlCalendarAdvance(Calendar,W1616,NDays&amp;"D")</f>
        <v>50216</v>
      </c>
      <c r="Y1616" s="204">
        <v>2.2112390186636577E-2</v>
      </c>
      <c r="Z1616" s="201">
        <v>2.210014234224289E-2</v>
      </c>
    </row>
    <row r="1617" spans="22:26" x14ac:dyDescent="0.2">
      <c r="V1617" s="202" t="str">
        <f t="shared" si="33"/>
        <v>1w</v>
      </c>
      <c r="W1617" s="200">
        <f>_xll.qlCalendarAdvance(Calendar,W1616,V1617,"f",FALSE)</f>
        <v>50221</v>
      </c>
      <c r="X1617" s="203">
        <f>_xll.qlCalendarAdvance(Calendar,W1617,NDays&amp;"D")</f>
        <v>50223</v>
      </c>
      <c r="Y1617" s="204">
        <v>2.2108421928482003E-2</v>
      </c>
      <c r="Z1617" s="201">
        <v>2.2096175671011409E-2</v>
      </c>
    </row>
    <row r="1618" spans="22:26" x14ac:dyDescent="0.2">
      <c r="V1618" s="202" t="str">
        <f t="shared" si="33"/>
        <v>1w</v>
      </c>
      <c r="W1618" s="200">
        <f>_xll.qlCalendarAdvance(Calendar,W1617,V1618,"f",FALSE)</f>
        <v>50228</v>
      </c>
      <c r="X1618" s="203">
        <f>_xll.qlCalendarAdvance(Calendar,W1618,NDays&amp;"D")</f>
        <v>50230</v>
      </c>
      <c r="Y1618" s="204">
        <v>2.2104456365666381E-2</v>
      </c>
      <c r="Z1618" s="201">
        <v>2.2092211688589103E-2</v>
      </c>
    </row>
    <row r="1619" spans="22:26" x14ac:dyDescent="0.2">
      <c r="V1619" s="202" t="str">
        <f t="shared" si="33"/>
        <v>1w</v>
      </c>
      <c r="W1619" s="200">
        <f>_xll.qlCalendarAdvance(Calendar,W1618,V1619,"f",FALSE)</f>
        <v>50235</v>
      </c>
      <c r="X1619" s="203">
        <f>_xll.qlCalendarAdvance(Calendar,W1619,NDays&amp;"D")</f>
        <v>50237</v>
      </c>
      <c r="Y1619" s="204">
        <v>2.2100493498184715E-2</v>
      </c>
      <c r="Z1619" s="201">
        <v>2.2088250395055908E-2</v>
      </c>
    </row>
    <row r="1620" spans="22:26" x14ac:dyDescent="0.2">
      <c r="V1620" s="202" t="str">
        <f t="shared" si="33"/>
        <v>1w</v>
      </c>
      <c r="W1620" s="200">
        <f>_xll.qlCalendarAdvance(Calendar,W1619,V1620,"f",FALSE)</f>
        <v>50242</v>
      </c>
      <c r="X1620" s="203">
        <f>_xll.qlCalendarAdvance(Calendar,W1620,NDays&amp;"D")</f>
        <v>50244</v>
      </c>
      <c r="Y1620" s="204">
        <v>2.2096533326037004E-2</v>
      </c>
      <c r="Z1620" s="201">
        <v>2.2084291790251953E-2</v>
      </c>
    </row>
    <row r="1621" spans="22:26" x14ac:dyDescent="0.2">
      <c r="V1621" s="202" t="str">
        <f t="shared" ref="V1621:V1684" si="34">V1620</f>
        <v>1w</v>
      </c>
      <c r="W1621" s="200">
        <f>_xll.qlCalendarAdvance(Calendar,W1620,V1621,"f",FALSE)</f>
        <v>50249</v>
      </c>
      <c r="X1621" s="203">
        <f>_xll.qlCalendarAdvance(Calendar,W1621,NDays&amp;"D")</f>
        <v>50251</v>
      </c>
      <c r="Y1621" s="204">
        <v>2.2092575849220752E-2</v>
      </c>
      <c r="Z1621" s="201">
        <v>2.2080335874496981E-2</v>
      </c>
    </row>
    <row r="1622" spans="22:26" x14ac:dyDescent="0.2">
      <c r="V1622" s="202" t="str">
        <f t="shared" si="34"/>
        <v>1w</v>
      </c>
      <c r="W1622" s="200">
        <f>_xll.qlCalendarAdvance(Calendar,W1621,V1622,"f",FALSE)</f>
        <v>50256</v>
      </c>
      <c r="X1622" s="203">
        <f>_xll.qlCalendarAdvance(Calendar,W1622,NDays&amp;"D")</f>
        <v>50258</v>
      </c>
      <c r="Y1622" s="204">
        <v>2.2088621067730962E-2</v>
      </c>
      <c r="Z1622" s="201">
        <v>2.2076382647471249E-2</v>
      </c>
    </row>
    <row r="1623" spans="22:26" x14ac:dyDescent="0.2">
      <c r="V1623" s="202" t="str">
        <f t="shared" si="34"/>
        <v>1w</v>
      </c>
      <c r="W1623" s="200">
        <f>_xll.qlCalendarAdvance(Calendar,W1622,V1623,"f",FALSE)</f>
        <v>50263</v>
      </c>
      <c r="X1623" s="203">
        <f>_xll.qlCalendarAdvance(Calendar,W1623,NDays&amp;"D")</f>
        <v>50265</v>
      </c>
      <c r="Y1623" s="204">
        <v>2.2084668981567634E-2</v>
      </c>
      <c r="Z1623" s="201">
        <v>2.20724321094945E-2</v>
      </c>
    </row>
    <row r="1624" spans="22:26" x14ac:dyDescent="0.2">
      <c r="V1624" s="202" t="str">
        <f t="shared" si="34"/>
        <v>1w</v>
      </c>
      <c r="W1624" s="200">
        <f>_xll.qlCalendarAdvance(Calendar,W1623,V1624,"f",FALSE)</f>
        <v>50270</v>
      </c>
      <c r="X1624" s="203">
        <f>_xll.qlCalendarAdvance(Calendar,W1624,NDays&amp;"D")</f>
        <v>50272</v>
      </c>
      <c r="Y1624" s="204">
        <v>2.2080719590723275E-2</v>
      </c>
      <c r="Z1624" s="201">
        <v>2.2068484260167054E-2</v>
      </c>
    </row>
    <row r="1625" spans="22:26" x14ac:dyDescent="0.2">
      <c r="V1625" s="202" t="str">
        <f t="shared" si="34"/>
        <v>1w</v>
      </c>
      <c r="W1625" s="200">
        <f>_xll.qlCalendarAdvance(Calendar,W1624,V1625,"f",FALSE)</f>
        <v>50277</v>
      </c>
      <c r="X1625" s="203">
        <f>_xll.qlCalendarAdvance(Calendar,W1625,NDays&amp;"D")</f>
        <v>50279</v>
      </c>
      <c r="Y1625" s="204">
        <v>2.2076772895200381E-2</v>
      </c>
      <c r="Z1625" s="201">
        <v>2.2064539099888592E-2</v>
      </c>
    </row>
    <row r="1626" spans="22:26" x14ac:dyDescent="0.2">
      <c r="V1626" s="202" t="str">
        <f t="shared" si="34"/>
        <v>1w</v>
      </c>
      <c r="W1626" s="200">
        <f>_xll.qlCalendarAdvance(Calendar,W1625,V1626,"f",FALSE)</f>
        <v>50284</v>
      </c>
      <c r="X1626" s="203">
        <f>_xll.qlCalendarAdvance(Calendar,W1626,NDays&amp;"D")</f>
        <v>50286</v>
      </c>
      <c r="Y1626" s="204">
        <v>2.2072828894993957E-2</v>
      </c>
      <c r="Z1626" s="201">
        <v>2.2060596628339368E-2</v>
      </c>
    </row>
    <row r="1627" spans="22:26" x14ac:dyDescent="0.2">
      <c r="V1627" s="202" t="str">
        <f t="shared" si="34"/>
        <v>1w</v>
      </c>
      <c r="W1627" s="200">
        <f>_xll.qlCalendarAdvance(Calendar,W1626,V1627,"f",FALSE)</f>
        <v>50291</v>
      </c>
      <c r="X1627" s="203">
        <f>_xll.qlCalendarAdvance(Calendar,W1627,NDays&amp;"D")</f>
        <v>50293</v>
      </c>
      <c r="Y1627" s="204">
        <v>2.2068887590099007E-2</v>
      </c>
      <c r="Z1627" s="201">
        <v>2.2056656845759193E-2</v>
      </c>
    </row>
    <row r="1628" spans="22:26" x14ac:dyDescent="0.2">
      <c r="V1628" s="202" t="str">
        <f t="shared" si="34"/>
        <v>1w</v>
      </c>
      <c r="W1628" s="200">
        <f>_xll.qlCalendarAdvance(Calendar,W1627,V1628,"f",FALSE)</f>
        <v>50298</v>
      </c>
      <c r="X1628" s="203">
        <f>_xll.qlCalendarAdvance(Calendar,W1628,NDays&amp;"D")</f>
        <v>50300</v>
      </c>
      <c r="Y1628" s="204">
        <v>2.2064948980518029E-2</v>
      </c>
      <c r="Z1628" s="201">
        <v>2.2052719752068128E-2</v>
      </c>
    </row>
    <row r="1629" spans="22:26" x14ac:dyDescent="0.2">
      <c r="V1629" s="202" t="str">
        <f t="shared" si="34"/>
        <v>1w</v>
      </c>
      <c r="W1629" s="200">
        <f>_xll.qlCalendarAdvance(Calendar,W1628,V1629,"f",FALSE)</f>
        <v>50305</v>
      </c>
      <c r="X1629" s="203">
        <f>_xll.qlCalendarAdvance(Calendar,W1629,NDays&amp;"D")</f>
        <v>50307</v>
      </c>
      <c r="Y1629" s="204">
        <v>2.2061013066241031E-2</v>
      </c>
      <c r="Z1629" s="201">
        <v>2.2048785347106303E-2</v>
      </c>
    </row>
    <row r="1630" spans="22:26" x14ac:dyDescent="0.2">
      <c r="V1630" s="202" t="str">
        <f t="shared" si="34"/>
        <v>1w</v>
      </c>
      <c r="W1630" s="200">
        <f>_xll.qlCalendarAdvance(Calendar,W1629,V1630,"f",FALSE)</f>
        <v>50312</v>
      </c>
      <c r="X1630" s="203">
        <f>_xll.qlCalendarAdvance(Calendar,W1630,NDays&amp;"D")</f>
        <v>50314</v>
      </c>
      <c r="Y1630" s="204">
        <v>2.2057079847270511E-2</v>
      </c>
      <c r="Z1630" s="201">
        <v>2.2044853631113526E-2</v>
      </c>
    </row>
    <row r="1631" spans="22:26" x14ac:dyDescent="0.2">
      <c r="V1631" s="202" t="str">
        <f t="shared" si="34"/>
        <v>1w</v>
      </c>
      <c r="W1631" s="200">
        <f>_xll.qlCalendarAdvance(Calendar,W1630,V1631,"f",FALSE)</f>
        <v>50319</v>
      </c>
      <c r="X1631" s="203">
        <f>_xll.qlCalendarAdvance(Calendar,W1631,NDays&amp;"D")</f>
        <v>50321</v>
      </c>
      <c r="Y1631" s="204">
        <v>2.2053149323598975E-2</v>
      </c>
      <c r="Z1631" s="201">
        <v>2.2040924603929923E-2</v>
      </c>
    </row>
    <row r="1632" spans="22:26" x14ac:dyDescent="0.2">
      <c r="V1632" s="202" t="str">
        <f t="shared" si="34"/>
        <v>1w</v>
      </c>
      <c r="W1632" s="200">
        <f>_xll.qlCalendarAdvance(Calendar,W1631,V1632,"f",FALSE)</f>
        <v>50326</v>
      </c>
      <c r="X1632" s="203">
        <f>_xll.qlCalendarAdvance(Calendar,W1632,NDays&amp;"D")</f>
        <v>50328</v>
      </c>
      <c r="Y1632" s="204">
        <v>2.2049221495231419E-2</v>
      </c>
      <c r="Z1632" s="201">
        <v>2.2036998265635432E-2</v>
      </c>
    </row>
    <row r="1633" spans="22:26" x14ac:dyDescent="0.2">
      <c r="V1633" s="202" t="str">
        <f t="shared" si="34"/>
        <v>1w</v>
      </c>
      <c r="W1633" s="200">
        <f>_xll.qlCalendarAdvance(Calendar,W1632,V1633,"f",FALSE)</f>
        <v>50333</v>
      </c>
      <c r="X1633" s="203">
        <f>_xll.qlCalendarAdvance(Calendar,W1633,NDays&amp;"D")</f>
        <v>50335</v>
      </c>
      <c r="Y1633" s="204">
        <v>2.2045296362157851E-2</v>
      </c>
      <c r="Z1633" s="201">
        <v>2.2033074616230053E-2</v>
      </c>
    </row>
    <row r="1634" spans="22:26" x14ac:dyDescent="0.2">
      <c r="V1634" s="202" t="str">
        <f t="shared" si="34"/>
        <v>1w</v>
      </c>
      <c r="W1634" s="200">
        <f>_xll.qlCalendarAdvance(Calendar,W1633,V1634,"f",FALSE)</f>
        <v>50340</v>
      </c>
      <c r="X1634" s="203">
        <f>_xll.qlCalendarAdvance(Calendar,W1634,NDays&amp;"D")</f>
        <v>50342</v>
      </c>
      <c r="Y1634" s="204">
        <v>2.2041373924380769E-2</v>
      </c>
      <c r="Z1634" s="201">
        <v>2.2029153655713785E-2</v>
      </c>
    </row>
    <row r="1635" spans="22:26" x14ac:dyDescent="0.2">
      <c r="V1635" s="202" t="str">
        <f t="shared" si="34"/>
        <v>1w</v>
      </c>
      <c r="W1635" s="200">
        <f>_xll.qlCalendarAdvance(Calendar,W1634,V1635,"f",FALSE)</f>
        <v>50347</v>
      </c>
      <c r="X1635" s="203">
        <f>_xll.qlCalendarAdvance(Calendar,W1635,NDays&amp;"D")</f>
        <v>50349</v>
      </c>
      <c r="Y1635" s="204">
        <v>2.2037454181890181E-2</v>
      </c>
      <c r="Z1635" s="201">
        <v>2.2025235384006692E-2</v>
      </c>
    </row>
    <row r="1636" spans="22:26" x14ac:dyDescent="0.2">
      <c r="V1636" s="202" t="str">
        <f t="shared" si="34"/>
        <v>1w</v>
      </c>
      <c r="W1636" s="200">
        <f>_xll.qlCalendarAdvance(Calendar,W1635,V1636,"f",FALSE)</f>
        <v>50354</v>
      </c>
      <c r="X1636" s="203">
        <f>_xll.qlCalendarAdvance(Calendar,W1636,NDays&amp;"D")</f>
        <v>50356</v>
      </c>
      <c r="Y1636" s="204">
        <v>2.2033537134688586E-2</v>
      </c>
      <c r="Z1636" s="201">
        <v>2.2021319801108774E-2</v>
      </c>
    </row>
    <row r="1637" spans="22:26" x14ac:dyDescent="0.2">
      <c r="V1637" s="202" t="str">
        <f t="shared" si="34"/>
        <v>1w</v>
      </c>
      <c r="W1637" s="200">
        <f>_xll.qlCalendarAdvance(Calendar,W1636,V1637,"f",FALSE)</f>
        <v>50361</v>
      </c>
      <c r="X1637" s="203">
        <f>_xll.qlCalendarAdvance(Calendar,W1637,NDays&amp;"D")</f>
        <v>50363</v>
      </c>
      <c r="Y1637" s="204">
        <v>2.2029622782773484E-2</v>
      </c>
      <c r="Z1637" s="201">
        <v>2.201740690725984E-2</v>
      </c>
    </row>
    <row r="1638" spans="22:26" x14ac:dyDescent="0.2">
      <c r="V1638" s="202" t="str">
        <f t="shared" si="34"/>
        <v>1w</v>
      </c>
      <c r="W1638" s="200">
        <f>_xll.qlCalendarAdvance(Calendar,W1637,V1638,"f",FALSE)</f>
        <v>50368</v>
      </c>
      <c r="X1638" s="203">
        <f>_xll.qlCalendarAdvance(Calendar,W1638,NDays&amp;"D")</f>
        <v>50370</v>
      </c>
      <c r="Y1638" s="204">
        <v>2.2025711126142378E-2</v>
      </c>
      <c r="Z1638" s="201">
        <v>2.2013496702140145E-2</v>
      </c>
    </row>
    <row r="1639" spans="22:26" x14ac:dyDescent="0.2">
      <c r="V1639" s="202" t="str">
        <f t="shared" si="34"/>
        <v>1w</v>
      </c>
      <c r="W1639" s="200">
        <f>_xll.qlCalendarAdvance(Calendar,W1638,V1639,"f",FALSE)</f>
        <v>50375</v>
      </c>
      <c r="X1639" s="203">
        <f>_xll.qlCalendarAdvance(Calendar,W1639,NDays&amp;"D")</f>
        <v>50377</v>
      </c>
      <c r="Y1639" s="204">
        <v>2.2021802164787774E-2</v>
      </c>
      <c r="Z1639" s="201">
        <v>2.2009589185909562E-2</v>
      </c>
    </row>
    <row r="1640" spans="22:26" x14ac:dyDescent="0.2">
      <c r="V1640" s="202" t="str">
        <f t="shared" si="34"/>
        <v>1w</v>
      </c>
      <c r="W1640" s="200">
        <f>_xll.qlCalendarAdvance(Calendar,W1639,V1640,"f",FALSE)</f>
        <v>50382</v>
      </c>
      <c r="X1640" s="203">
        <f>_xll.qlCalendarAdvance(Calendar,W1640,NDays&amp;"D")</f>
        <v>50384</v>
      </c>
      <c r="Y1640" s="204">
        <v>2.201789589871217E-2</v>
      </c>
      <c r="Z1640" s="201">
        <v>2.2005684358568089E-2</v>
      </c>
    </row>
    <row r="1641" spans="22:26" x14ac:dyDescent="0.2">
      <c r="V1641" s="202" t="str">
        <f t="shared" si="34"/>
        <v>1w</v>
      </c>
      <c r="W1641" s="200">
        <f>_xll.qlCalendarAdvance(Calendar,W1640,V1641,"f",FALSE)</f>
        <v>50389</v>
      </c>
      <c r="X1641" s="203">
        <f>_xll.qlCalendarAdvance(Calendar,W1641,NDays&amp;"D")</f>
        <v>50391</v>
      </c>
      <c r="Y1641" s="204">
        <v>2.2013992327908072E-2</v>
      </c>
      <c r="Z1641" s="201">
        <v>2.2001782220035793E-2</v>
      </c>
    </row>
    <row r="1642" spans="22:26" x14ac:dyDescent="0.2">
      <c r="V1642" s="202" t="str">
        <f t="shared" si="34"/>
        <v>1w</v>
      </c>
      <c r="W1642" s="200">
        <f>_xll.qlCalendarAdvance(Calendar,W1641,V1642,"f",FALSE)</f>
        <v>50396</v>
      </c>
      <c r="X1642" s="203">
        <f>_xll.qlCalendarAdvance(Calendar,W1642,NDays&amp;"D")</f>
        <v>50398</v>
      </c>
      <c r="Y1642" s="204">
        <v>2.2010091452377978E-2</v>
      </c>
      <c r="Z1642" s="201">
        <v>2.1999063765774096E-2</v>
      </c>
    </row>
    <row r="1643" spans="22:26" x14ac:dyDescent="0.2">
      <c r="V1643" s="202" t="str">
        <f t="shared" si="34"/>
        <v>1w</v>
      </c>
      <c r="W1643" s="200">
        <f>_xll.qlCalendarAdvance(Calendar,W1642,V1643,"f",FALSE)</f>
        <v>50403</v>
      </c>
      <c r="X1643" s="203">
        <f>_xll.qlCalendarAdvance(Calendar,W1643,NDays&amp;"D")</f>
        <v>50405</v>
      </c>
      <c r="Y1643" s="204">
        <v>2.2005011432737167E-2</v>
      </c>
      <c r="Z1643" s="201">
        <v>2.1995166867030402E-2</v>
      </c>
    </row>
    <row r="1644" spans="22:26" x14ac:dyDescent="0.2">
      <c r="V1644" s="202" t="str">
        <f t="shared" si="34"/>
        <v>1w</v>
      </c>
      <c r="W1644" s="200">
        <f>_xll.qlCalendarAdvance(Calendar,W1643,V1644,"f",FALSE)</f>
        <v>50410</v>
      </c>
      <c r="X1644" s="203">
        <f>_xll.qlCalendarAdvance(Calendar,W1644,NDays&amp;"D")</f>
        <v>50412</v>
      </c>
      <c r="Y1644" s="204">
        <v>2.200229778711732E-2</v>
      </c>
      <c r="Z1644" s="201">
        <v>2.199009193777357E-2</v>
      </c>
    </row>
    <row r="1645" spans="22:26" x14ac:dyDescent="0.2">
      <c r="V1645" s="202" t="str">
        <f t="shared" si="34"/>
        <v>1w</v>
      </c>
      <c r="W1645" s="200">
        <f>_xll.qlCalendarAdvance(Calendar,W1644,V1645,"f",FALSE)</f>
        <v>50417</v>
      </c>
      <c r="X1645" s="203">
        <f>_xll.qlCalendarAdvance(Calendar,W1645,NDays&amp;"D")</f>
        <v>50419</v>
      </c>
      <c r="Y1645" s="204">
        <v>2.199840499738176E-2</v>
      </c>
      <c r="Z1645" s="201">
        <v>2.1986200554717783E-2</v>
      </c>
    </row>
    <row r="1646" spans="22:26" x14ac:dyDescent="0.2">
      <c r="V1646" s="202" t="str">
        <f t="shared" si="34"/>
        <v>1w</v>
      </c>
      <c r="W1646" s="200">
        <f>_xll.qlCalendarAdvance(Calendar,W1645,V1646,"f",FALSE)</f>
        <v>50424</v>
      </c>
      <c r="X1646" s="203">
        <f>_xll.qlCalendarAdvance(Calendar,W1646,NDays&amp;"D")</f>
        <v>50426</v>
      </c>
      <c r="Y1646" s="204">
        <v>2.1994514902907714E-2</v>
      </c>
      <c r="Z1646" s="201">
        <v>2.1982311860551107E-2</v>
      </c>
    </row>
    <row r="1647" spans="22:26" x14ac:dyDescent="0.2">
      <c r="V1647" s="202" t="str">
        <f t="shared" si="34"/>
        <v>1w</v>
      </c>
      <c r="W1647" s="200">
        <f>_xll.qlCalendarAdvance(Calendar,W1646,V1647,"f",FALSE)</f>
        <v>50431</v>
      </c>
      <c r="X1647" s="203">
        <f>_xll.qlCalendarAdvance(Calendar,W1647,NDays&amp;"D")</f>
        <v>50433</v>
      </c>
      <c r="Y1647" s="204">
        <v>2.1989446205092449E-2</v>
      </c>
      <c r="Z1647" s="201">
        <v>2.1978425855273542E-2</v>
      </c>
    </row>
    <row r="1648" spans="22:26" x14ac:dyDescent="0.2">
      <c r="V1648" s="202" t="str">
        <f t="shared" si="34"/>
        <v>1w</v>
      </c>
      <c r="W1648" s="200">
        <f>_xll.qlCalendarAdvance(Calendar,W1647,V1648,"f",FALSE)</f>
        <v>50438</v>
      </c>
      <c r="X1648" s="203">
        <f>_xll.qlCalendarAdvance(Calendar,W1648,NDays&amp;"D")</f>
        <v>50440</v>
      </c>
      <c r="Y1648" s="204">
        <v>2.1985167936718102E-2</v>
      </c>
      <c r="Z1648" s="201">
        <v>2.1974542538885089E-2</v>
      </c>
    </row>
    <row r="1649" spans="22:26" x14ac:dyDescent="0.2">
      <c r="V1649" s="202" t="str">
        <f t="shared" si="34"/>
        <v>1w</v>
      </c>
      <c r="W1649" s="200">
        <f>_xll.qlCalendarAdvance(Calendar,W1648,V1649,"f",FALSE)</f>
        <v>50445</v>
      </c>
      <c r="X1649" s="203">
        <f>_xll.qlCalendarAdvance(Calendar,W1649,NDays&amp;"D")</f>
        <v>50447</v>
      </c>
      <c r="Y1649" s="204">
        <v>2.1981286105407425E-2</v>
      </c>
      <c r="Z1649" s="201">
        <v>2.1970661911305811E-2</v>
      </c>
    </row>
    <row r="1650" spans="22:26" x14ac:dyDescent="0.2">
      <c r="V1650" s="202" t="str">
        <f t="shared" si="34"/>
        <v>1w</v>
      </c>
      <c r="W1650" s="200">
        <f>_xll.qlCalendarAdvance(Calendar,W1649,V1650,"f",FALSE)</f>
        <v>50452</v>
      </c>
      <c r="X1650" s="203">
        <f>_xll.qlCalendarAdvance(Calendar,W1650,NDays&amp;"D")</f>
        <v>50454</v>
      </c>
      <c r="Y1650" s="204">
        <v>2.1977406968524286E-2</v>
      </c>
      <c r="Z1650" s="201">
        <v>2.1966783972615644E-2</v>
      </c>
    </row>
    <row r="1651" spans="22:26" x14ac:dyDescent="0.2">
      <c r="V1651" s="202" t="str">
        <f t="shared" si="34"/>
        <v>1w</v>
      </c>
      <c r="W1651" s="200">
        <f>_xll.qlCalendarAdvance(Calendar,W1650,V1651,"f",FALSE)</f>
        <v>50459</v>
      </c>
      <c r="X1651" s="203">
        <f>_xll.qlCalendarAdvance(Calendar,W1651,NDays&amp;"D")</f>
        <v>50461</v>
      </c>
      <c r="Y1651" s="204">
        <v>2.1973530526065828E-2</v>
      </c>
      <c r="Z1651" s="201">
        <v>2.1962908722734653E-2</v>
      </c>
    </row>
    <row r="1652" spans="22:26" x14ac:dyDescent="0.2">
      <c r="V1652" s="202" t="str">
        <f t="shared" si="34"/>
        <v>1w</v>
      </c>
      <c r="W1652" s="200">
        <f>_xll.qlCalendarAdvance(Calendar,W1651,V1652,"f",FALSE)</f>
        <v>50466</v>
      </c>
      <c r="X1652" s="203">
        <f>_xll.qlCalendarAdvance(Calendar,W1652,NDays&amp;"D")</f>
        <v>50468</v>
      </c>
      <c r="Y1652" s="204">
        <v>2.1971230936362884E-2</v>
      </c>
      <c r="Z1652" s="201">
        <v>2.1959036161742773E-2</v>
      </c>
    </row>
    <row r="1653" spans="22:26" x14ac:dyDescent="0.2">
      <c r="V1653" s="202" t="str">
        <f t="shared" si="34"/>
        <v>1w</v>
      </c>
      <c r="W1653" s="200">
        <f>_xll.qlCalendarAdvance(Calendar,W1652,V1653,"f",FALSE)</f>
        <v>50473</v>
      </c>
      <c r="X1653" s="203">
        <f>_xll.qlCalendarAdvance(Calendar,W1653,NDays&amp;"D")</f>
        <v>50475</v>
      </c>
      <c r="Y1653" s="204">
        <v>2.1967359708632006E-2</v>
      </c>
      <c r="Z1653" s="201">
        <v>2.1955166289640005E-2</v>
      </c>
    </row>
    <row r="1654" spans="22:26" x14ac:dyDescent="0.2">
      <c r="V1654" s="202" t="str">
        <f t="shared" si="34"/>
        <v>1w</v>
      </c>
      <c r="W1654" s="200">
        <f>_xll.qlCalendarAdvance(Calendar,W1653,V1654,"f",FALSE)</f>
        <v>50480</v>
      </c>
      <c r="X1654" s="203">
        <f>_xll.qlCalendarAdvance(Calendar,W1654,NDays&amp;"D")</f>
        <v>50482</v>
      </c>
      <c r="Y1654" s="204">
        <v>2.1963491176137662E-2</v>
      </c>
      <c r="Z1654" s="201">
        <v>2.1951299106426347E-2</v>
      </c>
    </row>
    <row r="1655" spans="22:26" x14ac:dyDescent="0.2">
      <c r="V1655" s="202" t="str">
        <f t="shared" si="34"/>
        <v>1w</v>
      </c>
      <c r="W1655" s="200">
        <f>_xll.qlCalendarAdvance(Calendar,W1654,V1655,"f",FALSE)</f>
        <v>50487</v>
      </c>
      <c r="X1655" s="203">
        <f>_xll.qlCalendarAdvance(Calendar,W1655,NDays&amp;"D")</f>
        <v>50489</v>
      </c>
      <c r="Y1655" s="204">
        <v>2.196001877825457E-2</v>
      </c>
      <c r="Z1655" s="201">
        <v>2.1947434612101802E-2</v>
      </c>
    </row>
    <row r="1656" spans="22:26" x14ac:dyDescent="0.2">
      <c r="V1656" s="202" t="str">
        <f t="shared" si="34"/>
        <v>1w</v>
      </c>
      <c r="W1656" s="200">
        <f>_xll.qlCalendarAdvance(Calendar,W1655,V1656,"f",FALSE)</f>
        <v>50494</v>
      </c>
      <c r="X1656" s="203">
        <f>_xll.qlCalendarAdvance(Calendar,W1656,NDays&amp;"D")</f>
        <v>50496</v>
      </c>
      <c r="Y1656" s="204">
        <v>2.1955762196851081E-2</v>
      </c>
      <c r="Z1656" s="201">
        <v>2.1943572806586431E-2</v>
      </c>
    </row>
    <row r="1657" spans="22:26" x14ac:dyDescent="0.2">
      <c r="V1657" s="202" t="str">
        <f t="shared" si="34"/>
        <v>1w</v>
      </c>
      <c r="W1657" s="200">
        <f>_xll.qlCalendarAdvance(Calendar,W1656,V1657,"f",FALSE)</f>
        <v>50501</v>
      </c>
      <c r="X1657" s="203">
        <f>_xll.qlCalendarAdvance(Calendar,W1657,NDays&amp;"D")</f>
        <v>50503</v>
      </c>
      <c r="Y1657" s="204">
        <v>2.195190175005135E-2</v>
      </c>
      <c r="Z1657" s="201">
        <v>2.1939713689880236E-2</v>
      </c>
    </row>
    <row r="1658" spans="22:26" x14ac:dyDescent="0.2">
      <c r="V1658" s="202" t="str">
        <f t="shared" si="34"/>
        <v>1w</v>
      </c>
      <c r="W1658" s="200">
        <f>_xll.qlCalendarAdvance(Calendar,W1657,V1658,"f",FALSE)</f>
        <v>50508</v>
      </c>
      <c r="X1658" s="203">
        <f>_xll.qlCalendarAdvance(Calendar,W1658,NDays&amp;"D")</f>
        <v>50510</v>
      </c>
      <c r="Y1658" s="204">
        <v>2.194804399848066E-2</v>
      </c>
      <c r="Z1658" s="201">
        <v>2.1935857262063152E-2</v>
      </c>
    </row>
    <row r="1659" spans="22:26" x14ac:dyDescent="0.2">
      <c r="V1659" s="202" t="str">
        <f t="shared" si="34"/>
        <v>1w</v>
      </c>
      <c r="W1659" s="200">
        <f>_xll.qlCalendarAdvance(Calendar,W1658,V1659,"f",FALSE)</f>
        <v>50515</v>
      </c>
      <c r="X1659" s="203">
        <f>_xll.qlCalendarAdvance(Calendar,W1659,NDays&amp;"D")</f>
        <v>50517</v>
      </c>
      <c r="Y1659" s="204">
        <v>2.1944188942134013E-2</v>
      </c>
      <c r="Z1659" s="201">
        <v>2.1933575191498633E-2</v>
      </c>
    </row>
    <row r="1660" spans="22:26" x14ac:dyDescent="0.2">
      <c r="V1660" s="202" t="str">
        <f t="shared" si="34"/>
        <v>1w</v>
      </c>
      <c r="W1660" s="200">
        <f>_xll.qlCalendarAdvance(Calendar,W1659,V1660,"f",FALSE)</f>
        <v>50522</v>
      </c>
      <c r="X1660" s="203">
        <f>_xll.qlCalendarAdvance(Calendar,W1660,NDays&amp;"D")</f>
        <v>50524</v>
      </c>
      <c r="Y1660" s="204">
        <v>2.1940336581003916E-2</v>
      </c>
      <c r="Z1660" s="201">
        <v>2.1928152473096318E-2</v>
      </c>
    </row>
    <row r="1661" spans="22:26" x14ac:dyDescent="0.2">
      <c r="V1661" s="202" t="str">
        <f t="shared" si="34"/>
        <v>1w</v>
      </c>
      <c r="W1661" s="200">
        <f>_xll.qlCalendarAdvance(Calendar,W1660,V1661,"f",FALSE)</f>
        <v>50529</v>
      </c>
      <c r="X1661" s="203">
        <f>_xll.qlCalendarAdvance(Calendar,W1661,NDays&amp;"D")</f>
        <v>50531</v>
      </c>
      <c r="Y1661" s="204">
        <v>2.1936486915097864E-2</v>
      </c>
      <c r="Z1661" s="201">
        <v>2.1924304111946569E-2</v>
      </c>
    </row>
    <row r="1662" spans="22:26" x14ac:dyDescent="0.2">
      <c r="V1662" s="202" t="str">
        <f t="shared" si="34"/>
        <v>1w</v>
      </c>
      <c r="W1662" s="200">
        <f>_xll.qlCalendarAdvance(Calendar,W1661,V1662,"f",FALSE)</f>
        <v>50536</v>
      </c>
      <c r="X1662" s="203">
        <f>_xll.qlCalendarAdvance(Calendar,W1662,NDays&amp;"D")</f>
        <v>50538</v>
      </c>
      <c r="Y1662" s="204">
        <v>2.1932639944408361E-2</v>
      </c>
      <c r="Z1662" s="201">
        <v>2.1920458439605994E-2</v>
      </c>
    </row>
    <row r="1663" spans="22:26" x14ac:dyDescent="0.2">
      <c r="V1663" s="202" t="str">
        <f t="shared" si="34"/>
        <v>1w</v>
      </c>
      <c r="W1663" s="200">
        <f>_xll.qlCalendarAdvance(Calendar,W1662,V1663,"f",FALSE)</f>
        <v>50543</v>
      </c>
      <c r="X1663" s="203">
        <f>_xll.qlCalendarAdvance(Calendar,W1663,NDays&amp;"D")</f>
        <v>50545</v>
      </c>
      <c r="Y1663" s="204">
        <v>2.1928795668927914E-2</v>
      </c>
      <c r="Z1663" s="201">
        <v>2.1916615456154531E-2</v>
      </c>
    </row>
    <row r="1664" spans="22:26" x14ac:dyDescent="0.2">
      <c r="V1664" s="202" t="str">
        <f t="shared" si="34"/>
        <v>1w</v>
      </c>
      <c r="W1664" s="200">
        <f>_xll.qlCalendarAdvance(Calendar,W1663,V1664,"f",FALSE)</f>
        <v>50550</v>
      </c>
      <c r="X1664" s="203">
        <f>_xll.qlCalendarAdvance(Calendar,W1664,NDays&amp;"D")</f>
        <v>50552</v>
      </c>
      <c r="Y1664" s="204">
        <v>2.1924954088656523E-2</v>
      </c>
      <c r="Z1664" s="201">
        <v>2.1912775161512243E-2</v>
      </c>
    </row>
    <row r="1665" spans="22:26" x14ac:dyDescent="0.2">
      <c r="V1665" s="202" t="str">
        <f t="shared" si="34"/>
        <v>1w</v>
      </c>
      <c r="W1665" s="200">
        <f>_xll.qlCalendarAdvance(Calendar,W1664,V1665,"f",FALSE)</f>
        <v>50557</v>
      </c>
      <c r="X1665" s="203">
        <f>_xll.qlCalendarAdvance(Calendar,W1665,NDays&amp;"D")</f>
        <v>50559</v>
      </c>
      <c r="Y1665" s="204">
        <v>2.1921115203594188E-2</v>
      </c>
      <c r="Z1665" s="201">
        <v>2.1908937555759067E-2</v>
      </c>
    </row>
    <row r="1666" spans="22:26" x14ac:dyDescent="0.2">
      <c r="V1666" s="202" t="str">
        <f t="shared" si="34"/>
        <v>1w</v>
      </c>
      <c r="W1666" s="200">
        <f>_xll.qlCalendarAdvance(Calendar,W1665,V1666,"f",FALSE)</f>
        <v>50564</v>
      </c>
      <c r="X1666" s="203">
        <f>_xll.qlCalendarAdvance(Calendar,W1666,NDays&amp;"D")</f>
        <v>50566</v>
      </c>
      <c r="Y1666" s="204">
        <v>2.1917279013738411E-2</v>
      </c>
      <c r="Z1666" s="201">
        <v>2.1905102638895002E-2</v>
      </c>
    </row>
    <row r="1667" spans="22:26" x14ac:dyDescent="0.2">
      <c r="V1667" s="202" t="str">
        <f t="shared" si="34"/>
        <v>1w</v>
      </c>
      <c r="W1667" s="200">
        <f>_xll.qlCalendarAdvance(Calendar,W1666,V1667,"f",FALSE)</f>
        <v>50571</v>
      </c>
      <c r="X1667" s="203">
        <f>_xll.qlCalendarAdvance(Calendar,W1667,NDays&amp;"D")</f>
        <v>50573</v>
      </c>
      <c r="Y1667" s="204">
        <v>2.19134455190792E-2</v>
      </c>
      <c r="Z1667" s="201">
        <v>2.1901270410840112E-2</v>
      </c>
    </row>
    <row r="1668" spans="22:26" x14ac:dyDescent="0.2">
      <c r="V1668" s="202" t="str">
        <f t="shared" si="34"/>
        <v>1w</v>
      </c>
      <c r="W1668" s="200">
        <f>_xll.qlCalendarAdvance(Calendar,W1667,V1668,"f",FALSE)</f>
        <v>50578</v>
      </c>
      <c r="X1668" s="203">
        <f>_xll.qlCalendarAdvance(Calendar,W1668,NDays&amp;"D")</f>
        <v>50580</v>
      </c>
      <c r="Y1668" s="204">
        <v>2.1909614719626547E-2</v>
      </c>
      <c r="Z1668" s="201">
        <v>2.1897440871834206E-2</v>
      </c>
    </row>
    <row r="1669" spans="22:26" x14ac:dyDescent="0.2">
      <c r="V1669" s="202" t="str">
        <f t="shared" si="34"/>
        <v>1w</v>
      </c>
      <c r="W1669" s="200">
        <f>_xll.qlCalendarAdvance(Calendar,W1668,V1669,"f",FALSE)</f>
        <v>50585</v>
      </c>
      <c r="X1669" s="203">
        <f>_xll.qlCalendarAdvance(Calendar,W1669,NDays&amp;"D")</f>
        <v>50587</v>
      </c>
      <c r="Y1669" s="204">
        <v>2.1905786615365463E-2</v>
      </c>
      <c r="Z1669" s="201">
        <v>2.1893614021477603E-2</v>
      </c>
    </row>
    <row r="1670" spans="22:26" x14ac:dyDescent="0.2">
      <c r="V1670" s="202" t="str">
        <f t="shared" si="34"/>
        <v>1w</v>
      </c>
      <c r="W1670" s="200">
        <f>_xll.qlCalendarAdvance(Calendar,W1669,V1670,"f",FALSE)</f>
        <v>50592</v>
      </c>
      <c r="X1670" s="203">
        <f>_xll.qlCalendarAdvance(Calendar,W1670,NDays&amp;"D")</f>
        <v>50594</v>
      </c>
      <c r="Y1670" s="204">
        <v>2.1901961206298448E-2</v>
      </c>
      <c r="Z1670" s="201">
        <v>2.1889789860010112E-2</v>
      </c>
    </row>
    <row r="1671" spans="22:26" x14ac:dyDescent="0.2">
      <c r="V1671" s="202" t="str">
        <f t="shared" si="34"/>
        <v>1w</v>
      </c>
      <c r="W1671" s="200">
        <f>_xll.qlCalendarAdvance(Calendar,W1670,V1671,"f",FALSE)</f>
        <v>50599</v>
      </c>
      <c r="X1671" s="203">
        <f>_xll.qlCalendarAdvance(Calendar,W1671,NDays&amp;"D")</f>
        <v>50601</v>
      </c>
      <c r="Y1671" s="204">
        <v>2.1898138492420505E-2</v>
      </c>
      <c r="Z1671" s="201">
        <v>2.1885968387431731E-2</v>
      </c>
    </row>
    <row r="1672" spans="22:26" x14ac:dyDescent="0.2">
      <c r="V1672" s="202" t="str">
        <f t="shared" si="34"/>
        <v>1w</v>
      </c>
      <c r="W1672" s="200">
        <f>_xll.qlCalendarAdvance(Calendar,W1671,V1672,"f",FALSE)</f>
        <v>50606</v>
      </c>
      <c r="X1672" s="203">
        <f>_xll.qlCalendarAdvance(Calendar,W1672,NDays&amp;"D")</f>
        <v>50608</v>
      </c>
      <c r="Y1672" s="204">
        <v>2.1894318473734131E-2</v>
      </c>
      <c r="Z1672" s="201">
        <v>2.1882149603822398E-2</v>
      </c>
    </row>
    <row r="1673" spans="22:26" x14ac:dyDescent="0.2">
      <c r="V1673" s="202" t="str">
        <f t="shared" si="34"/>
        <v>1w</v>
      </c>
      <c r="W1673" s="200">
        <f>_xll.qlCalendarAdvance(Calendar,W1672,V1673,"f",FALSE)</f>
        <v>50613</v>
      </c>
      <c r="X1673" s="203">
        <f>_xll.qlCalendarAdvance(Calendar,W1673,NDays&amp;"D")</f>
        <v>50615</v>
      </c>
      <c r="Y1673" s="204">
        <v>2.1890501150234332E-2</v>
      </c>
      <c r="Z1673" s="201">
        <v>2.1878333509022241E-2</v>
      </c>
    </row>
    <row r="1674" spans="22:26" x14ac:dyDescent="0.2">
      <c r="V1674" s="202" t="str">
        <f t="shared" si="34"/>
        <v>1w</v>
      </c>
      <c r="W1674" s="200">
        <f>_xll.qlCalendarAdvance(Calendar,W1673,V1674,"f",FALSE)</f>
        <v>50620</v>
      </c>
      <c r="X1674" s="203">
        <f>_xll.qlCalendarAdvance(Calendar,W1674,NDays&amp;"D")</f>
        <v>50622</v>
      </c>
      <c r="Y1674" s="204">
        <v>2.1886686521911114E-2</v>
      </c>
      <c r="Z1674" s="201">
        <v>2.1874520102951323E-2</v>
      </c>
    </row>
    <row r="1675" spans="22:26" x14ac:dyDescent="0.2">
      <c r="V1675" s="202" t="str">
        <f t="shared" si="34"/>
        <v>1w</v>
      </c>
      <c r="W1675" s="200">
        <f>_xll.qlCalendarAdvance(Calendar,W1674,V1675,"f",FALSE)</f>
        <v>50627</v>
      </c>
      <c r="X1675" s="203">
        <f>_xll.qlCalendarAdvance(Calendar,W1675,NDays&amp;"D")</f>
        <v>50629</v>
      </c>
      <c r="Y1675" s="204">
        <v>2.188287458877447E-2</v>
      </c>
      <c r="Z1675" s="201">
        <v>2.1870709386009324E-2</v>
      </c>
    </row>
    <row r="1676" spans="22:26" x14ac:dyDescent="0.2">
      <c r="V1676" s="202" t="str">
        <f t="shared" si="34"/>
        <v>1w</v>
      </c>
      <c r="W1676" s="200">
        <f>_xll.qlCalendarAdvance(Calendar,W1675,V1676,"f",FALSE)</f>
        <v>50634</v>
      </c>
      <c r="X1676" s="203">
        <f>_xll.qlCalendarAdvance(Calendar,W1676,NDays&amp;"D")</f>
        <v>50636</v>
      </c>
      <c r="Y1676" s="204">
        <v>2.1879065350809412E-2</v>
      </c>
      <c r="Z1676" s="201">
        <v>2.1866901357716628E-2</v>
      </c>
    </row>
    <row r="1677" spans="22:26" x14ac:dyDescent="0.2">
      <c r="V1677" s="202" t="str">
        <f t="shared" si="34"/>
        <v>1w</v>
      </c>
      <c r="W1677" s="200">
        <f>_xll.qlCalendarAdvance(Calendar,W1676,V1677,"f",FALSE)</f>
        <v>50641</v>
      </c>
      <c r="X1677" s="203">
        <f>_xll.qlCalendarAdvance(Calendar,W1677,NDays&amp;"D")</f>
        <v>50643</v>
      </c>
      <c r="Y1677" s="204">
        <v>2.1875258808023434E-2</v>
      </c>
      <c r="Z1677" s="201">
        <v>2.1863096018313044E-2</v>
      </c>
    </row>
    <row r="1678" spans="22:26" x14ac:dyDescent="0.2">
      <c r="V1678" s="202" t="str">
        <f t="shared" si="34"/>
        <v>1w</v>
      </c>
      <c r="W1678" s="200">
        <f>_xll.qlCalendarAdvance(Calendar,W1677,V1678,"f",FALSE)</f>
        <v>50648</v>
      </c>
      <c r="X1678" s="203">
        <f>_xll.qlCalendarAdvance(Calendar,W1678,NDays&amp;"D")</f>
        <v>50650</v>
      </c>
      <c r="Y1678" s="204">
        <v>2.1871454960404046E-2</v>
      </c>
      <c r="Z1678" s="201">
        <v>2.1859293367718635E-2</v>
      </c>
    </row>
    <row r="1679" spans="22:26" x14ac:dyDescent="0.2">
      <c r="V1679" s="202" t="str">
        <f t="shared" si="34"/>
        <v>1w</v>
      </c>
      <c r="W1679" s="200">
        <f>_xll.qlCalendarAdvance(Calendar,W1678,V1679,"f",FALSE)</f>
        <v>50655</v>
      </c>
      <c r="X1679" s="203">
        <f>_xll.qlCalendarAdvance(Calendar,W1679,NDays&amp;"D")</f>
        <v>50657</v>
      </c>
      <c r="Y1679" s="204">
        <v>2.1867653807958742E-2</v>
      </c>
      <c r="Z1679" s="201">
        <v>2.185549340617321E-2</v>
      </c>
    </row>
    <row r="1680" spans="22:26" x14ac:dyDescent="0.2">
      <c r="V1680" s="202" t="str">
        <f t="shared" si="34"/>
        <v>1w</v>
      </c>
      <c r="W1680" s="200">
        <f>_xll.qlCalendarAdvance(Calendar,W1679,V1680,"f",FALSE)</f>
        <v>50662</v>
      </c>
      <c r="X1680" s="203">
        <f>_xll.qlCalendarAdvance(Calendar,W1680,NDays&amp;"D")</f>
        <v>50664</v>
      </c>
      <c r="Y1680" s="204">
        <v>2.1863855350675032E-2</v>
      </c>
      <c r="Z1680" s="201">
        <v>2.1851696133357024E-2</v>
      </c>
    </row>
    <row r="1681" spans="22:26" x14ac:dyDescent="0.2">
      <c r="V1681" s="202" t="str">
        <f t="shared" si="34"/>
        <v>1w</v>
      </c>
      <c r="W1681" s="200">
        <f>_xll.qlCalendarAdvance(Calendar,W1680,V1681,"f",FALSE)</f>
        <v>50669</v>
      </c>
      <c r="X1681" s="203">
        <f>_xll.qlCalendarAdvance(Calendar,W1681,NDays&amp;"D")</f>
        <v>50671</v>
      </c>
      <c r="Y1681" s="204">
        <v>2.1860059588557912E-2</v>
      </c>
      <c r="Z1681" s="201">
        <v>2.1847901549429949E-2</v>
      </c>
    </row>
    <row r="1682" spans="22:26" x14ac:dyDescent="0.2">
      <c r="V1682" s="202" t="str">
        <f t="shared" si="34"/>
        <v>1w</v>
      </c>
      <c r="W1682" s="200">
        <f>_xll.qlCalendarAdvance(Calendar,W1681,V1682,"f",FALSE)</f>
        <v>50676</v>
      </c>
      <c r="X1682" s="203">
        <f>_xll.qlCalendarAdvance(Calendar,W1682,NDays&amp;"D")</f>
        <v>50678</v>
      </c>
      <c r="Y1682" s="204">
        <v>2.185508953457773E-2</v>
      </c>
      <c r="Z1682" s="201">
        <v>2.1844109654312049E-2</v>
      </c>
    </row>
    <row r="1683" spans="22:26" x14ac:dyDescent="0.2">
      <c r="V1683" s="202" t="str">
        <f t="shared" si="34"/>
        <v>1w</v>
      </c>
      <c r="W1683" s="200">
        <f>_xll.qlCalendarAdvance(Calendar,W1682,V1683,"f",FALSE)</f>
        <v>50683</v>
      </c>
      <c r="X1683" s="203">
        <f>_xll.qlCalendarAdvance(Calendar,W1683,NDays&amp;"D")</f>
        <v>50685</v>
      </c>
      <c r="Y1683" s="204">
        <v>2.1852476149803457E-2</v>
      </c>
      <c r="Z1683" s="201">
        <v>2.1840320448163197E-2</v>
      </c>
    </row>
    <row r="1684" spans="22:26" x14ac:dyDescent="0.2">
      <c r="V1684" s="202" t="str">
        <f t="shared" si="34"/>
        <v>1w</v>
      </c>
      <c r="W1684" s="200">
        <f>_xll.qlCalendarAdvance(Calendar,W1683,V1684,"f",FALSE)</f>
        <v>50690</v>
      </c>
      <c r="X1684" s="203">
        <f>_xll.qlCalendarAdvance(Calendar,W1684,NDays&amp;"D")</f>
        <v>50692</v>
      </c>
      <c r="Y1684" s="204">
        <v>2.1848688473161126E-2</v>
      </c>
      <c r="Z1684" s="201">
        <v>2.1836533930823521E-2</v>
      </c>
    </row>
    <row r="1685" spans="22:26" x14ac:dyDescent="0.2">
      <c r="V1685" s="202" t="str">
        <f t="shared" ref="V1685:V1748" si="35">V1684</f>
        <v>1w</v>
      </c>
      <c r="W1685" s="200">
        <f>_xll.qlCalendarAdvance(Calendar,W1684,V1685,"f",FALSE)</f>
        <v>50697</v>
      </c>
      <c r="X1685" s="203">
        <f>_xll.qlCalendarAdvance(Calendar,W1685,NDays&amp;"D")</f>
        <v>50699</v>
      </c>
      <c r="Y1685" s="204">
        <v>2.18449034916679E-2</v>
      </c>
      <c r="Z1685" s="201">
        <v>2.1832750102293019E-2</v>
      </c>
    </row>
    <row r="1686" spans="22:26" x14ac:dyDescent="0.2">
      <c r="V1686" s="202" t="str">
        <f t="shared" si="35"/>
        <v>1w</v>
      </c>
      <c r="W1686" s="200">
        <f>_xll.qlCalendarAdvance(Calendar,W1685,V1686,"f",FALSE)</f>
        <v>50704</v>
      </c>
      <c r="X1686" s="203">
        <f>_xll.qlCalendarAdvance(Calendar,W1686,NDays&amp;"D")</f>
        <v>50706</v>
      </c>
      <c r="Y1686" s="204">
        <v>2.1841121205328773E-2</v>
      </c>
      <c r="Z1686" s="201">
        <v>2.1828968962651629E-2</v>
      </c>
    </row>
    <row r="1687" spans="22:26" x14ac:dyDescent="0.2">
      <c r="V1687" s="202" t="str">
        <f t="shared" si="35"/>
        <v>1w</v>
      </c>
      <c r="W1687" s="200">
        <f>_xll.qlCalendarAdvance(Calendar,W1686,V1687,"f",FALSE)</f>
        <v>50711</v>
      </c>
      <c r="X1687" s="203">
        <f>_xll.qlCalendarAdvance(Calendar,W1687,NDays&amp;"D")</f>
        <v>50713</v>
      </c>
      <c r="Y1687" s="204">
        <v>2.1837341614133754E-2</v>
      </c>
      <c r="Z1687" s="201">
        <v>2.1825190511979287E-2</v>
      </c>
    </row>
    <row r="1688" spans="22:26" x14ac:dyDescent="0.2">
      <c r="V1688" s="202" t="str">
        <f t="shared" si="35"/>
        <v>1w</v>
      </c>
      <c r="W1688" s="200">
        <f>_xll.qlCalendarAdvance(Calendar,W1687,V1688,"f",FALSE)</f>
        <v>50718</v>
      </c>
      <c r="X1688" s="203">
        <f>_xll.qlCalendarAdvance(Calendar,W1688,NDays&amp;"D")</f>
        <v>50720</v>
      </c>
      <c r="Y1688" s="204">
        <v>2.1833564718082843E-2</v>
      </c>
      <c r="Z1688" s="201">
        <v>2.1821414749956247E-2</v>
      </c>
    </row>
    <row r="1689" spans="22:26" x14ac:dyDescent="0.2">
      <c r="V1689" s="202" t="str">
        <f t="shared" si="35"/>
        <v>1w</v>
      </c>
      <c r="W1689" s="200">
        <f>_xll.qlCalendarAdvance(Calendar,W1688,V1689,"f",FALSE)</f>
        <v>50725</v>
      </c>
      <c r="X1689" s="203">
        <f>_xll.qlCalendarAdvance(Calendar,W1689,NDays&amp;"D")</f>
        <v>50727</v>
      </c>
      <c r="Y1689" s="204">
        <v>2.1829790517178538E-2</v>
      </c>
      <c r="Z1689" s="201">
        <v>2.1817641676982191E-2</v>
      </c>
    </row>
    <row r="1690" spans="22:26" x14ac:dyDescent="0.2">
      <c r="V1690" s="202" t="str">
        <f t="shared" si="35"/>
        <v>1w</v>
      </c>
      <c r="W1690" s="200">
        <f>_xll.qlCalendarAdvance(Calendar,W1689,V1690,"f",FALSE)</f>
        <v>50732</v>
      </c>
      <c r="X1690" s="203">
        <f>_xll.qlCalendarAdvance(Calendar,W1690,NDays&amp;"D")</f>
        <v>50734</v>
      </c>
      <c r="Y1690" s="204">
        <v>2.1826019011410847E-2</v>
      </c>
      <c r="Z1690" s="201">
        <v>2.1813871292897247E-2</v>
      </c>
    </row>
    <row r="1691" spans="22:26" x14ac:dyDescent="0.2">
      <c r="V1691" s="202" t="str">
        <f t="shared" si="35"/>
        <v>1w</v>
      </c>
      <c r="W1691" s="200">
        <f>_xll.qlCalendarAdvance(Calendar,W1690,V1691,"f",FALSE)</f>
        <v>50739</v>
      </c>
      <c r="X1691" s="203">
        <f>_xll.qlCalendarAdvance(Calendar,W1691,NDays&amp;"D")</f>
        <v>50741</v>
      </c>
      <c r="Y1691" s="204">
        <v>2.1822250200777271E-2</v>
      </c>
      <c r="Z1691" s="201">
        <v>2.1810103597541541E-2</v>
      </c>
    </row>
    <row r="1692" spans="22:26" x14ac:dyDescent="0.2">
      <c r="V1692" s="202" t="str">
        <f t="shared" si="35"/>
        <v>1w</v>
      </c>
      <c r="W1692" s="200">
        <f>_xll.qlCalendarAdvance(Calendar,W1691,V1692,"f",FALSE)</f>
        <v>50746</v>
      </c>
      <c r="X1692" s="203">
        <f>_xll.qlCalendarAdvance(Calendar,W1692,NDays&amp;"D")</f>
        <v>50748</v>
      </c>
      <c r="Y1692" s="204">
        <v>2.1818484085282808E-2</v>
      </c>
      <c r="Z1692" s="201">
        <v>2.1806338591074947E-2</v>
      </c>
    </row>
    <row r="1693" spans="22:26" x14ac:dyDescent="0.2">
      <c r="V1693" s="202" t="str">
        <f t="shared" si="35"/>
        <v>1w</v>
      </c>
      <c r="W1693" s="200">
        <f>_xll.qlCalendarAdvance(Calendar,W1692,V1693,"f",FALSE)</f>
        <v>50753</v>
      </c>
      <c r="X1693" s="203">
        <f>_xll.qlCalendarAdvance(Calendar,W1693,NDays&amp;"D")</f>
        <v>50755</v>
      </c>
      <c r="Y1693" s="204">
        <v>2.1814720664912468E-2</v>
      </c>
      <c r="Z1693" s="201">
        <v>2.1802576273497465E-2</v>
      </c>
    </row>
    <row r="1694" spans="22:26" x14ac:dyDescent="0.2">
      <c r="V1694" s="202" t="str">
        <f t="shared" si="35"/>
        <v>1w</v>
      </c>
      <c r="W1694" s="200">
        <f>_xll.qlCalendarAdvance(Calendar,W1693,V1694,"f",FALSE)</f>
        <v>50760</v>
      </c>
      <c r="X1694" s="203">
        <f>_xll.qlCalendarAdvance(Calendar,W1694,NDays&amp;"D")</f>
        <v>50762</v>
      </c>
      <c r="Y1694" s="204">
        <v>2.1810959939673746E-2</v>
      </c>
      <c r="Z1694" s="201">
        <v>2.1798816644729158E-2</v>
      </c>
    </row>
    <row r="1695" spans="22:26" x14ac:dyDescent="0.2">
      <c r="V1695" s="202" t="str">
        <f t="shared" si="35"/>
        <v>1w</v>
      </c>
      <c r="W1695" s="200">
        <f>_xll.qlCalendarAdvance(Calendar,W1694,V1695,"f",FALSE)</f>
        <v>50767</v>
      </c>
      <c r="X1695" s="203">
        <f>_xll.qlCalendarAdvance(Calendar,W1695,NDays&amp;"D")</f>
        <v>50769</v>
      </c>
      <c r="Y1695" s="204">
        <v>2.1807201909561647E-2</v>
      </c>
      <c r="Z1695" s="201">
        <v>2.1795059704849962E-2</v>
      </c>
    </row>
    <row r="1696" spans="22:26" x14ac:dyDescent="0.2">
      <c r="V1696" s="202" t="str">
        <f t="shared" si="35"/>
        <v>1w</v>
      </c>
      <c r="W1696" s="200">
        <f>_xll.qlCalendarAdvance(Calendar,W1695,V1696,"f",FALSE)</f>
        <v>50774</v>
      </c>
      <c r="X1696" s="203">
        <f>_xll.qlCalendarAdvance(Calendar,W1696,NDays&amp;"D")</f>
        <v>50776</v>
      </c>
      <c r="Y1696" s="204">
        <v>2.1803446574571173E-2</v>
      </c>
      <c r="Z1696" s="201">
        <v>2.1791305453859877E-2</v>
      </c>
    </row>
    <row r="1697" spans="22:26" x14ac:dyDescent="0.2">
      <c r="V1697" s="202" t="str">
        <f t="shared" si="35"/>
        <v>1w</v>
      </c>
      <c r="W1697" s="200">
        <f>_xll.qlCalendarAdvance(Calendar,W1696,V1697,"f",FALSE)</f>
        <v>50781</v>
      </c>
      <c r="X1697" s="203">
        <f>_xll.qlCalendarAdvance(Calendar,W1697,NDays&amp;"D")</f>
        <v>50783</v>
      </c>
      <c r="Y1697" s="204">
        <v>2.1799693934699826E-2</v>
      </c>
      <c r="Z1697" s="201">
        <v>2.1787553891758904E-2</v>
      </c>
    </row>
    <row r="1698" spans="22:26" x14ac:dyDescent="0.2">
      <c r="V1698" s="202" t="str">
        <f t="shared" si="35"/>
        <v>1w</v>
      </c>
      <c r="W1698" s="200">
        <f>_xll.qlCalendarAdvance(Calendar,W1697,V1698,"f",FALSE)</f>
        <v>50788</v>
      </c>
      <c r="X1698" s="203">
        <f>_xll.qlCalendarAdvance(Calendar,W1698,NDays&amp;"D")</f>
        <v>50790</v>
      </c>
      <c r="Y1698" s="204">
        <v>2.1795943989947608E-2</v>
      </c>
      <c r="Z1698" s="201">
        <v>2.1783805018467106E-2</v>
      </c>
    </row>
    <row r="1699" spans="22:26" x14ac:dyDescent="0.2">
      <c r="V1699" s="202" t="str">
        <f t="shared" si="35"/>
        <v>1w</v>
      </c>
      <c r="W1699" s="200">
        <f>_xll.qlCalendarAdvance(Calendar,W1698,V1699,"f",FALSE)</f>
        <v>50795</v>
      </c>
      <c r="X1699" s="203">
        <f>_xll.qlCalendarAdvance(Calendar,W1699,NDays&amp;"D")</f>
        <v>50797</v>
      </c>
      <c r="Y1699" s="204">
        <v>2.179219674031202E-2</v>
      </c>
      <c r="Z1699" s="201">
        <v>2.178005883406442E-2</v>
      </c>
    </row>
    <row r="1700" spans="22:26" x14ac:dyDescent="0.2">
      <c r="V1700" s="202" t="str">
        <f t="shared" si="35"/>
        <v>1w</v>
      </c>
      <c r="W1700" s="200">
        <f>_xll.qlCalendarAdvance(Calendar,W1699,V1700,"f",FALSE)</f>
        <v>50802</v>
      </c>
      <c r="X1700" s="203">
        <f>_xll.qlCalendarAdvance(Calendar,W1700,NDays&amp;"D")</f>
        <v>50804</v>
      </c>
      <c r="Y1700" s="204">
        <v>2.1786885462912346E-2</v>
      </c>
      <c r="Z1700" s="201">
        <v>2.1776315338470909E-2</v>
      </c>
    </row>
    <row r="1701" spans="22:26" x14ac:dyDescent="0.2">
      <c r="V1701" s="202" t="str">
        <f t="shared" si="35"/>
        <v>1w</v>
      </c>
      <c r="W1701" s="200">
        <f>_xll.qlCalendarAdvance(Calendar,W1700,V1701,"f",FALSE)</f>
        <v>50809</v>
      </c>
      <c r="X1701" s="203">
        <f>_xll.qlCalendarAdvance(Calendar,W1701,NDays&amp;"D")</f>
        <v>50811</v>
      </c>
      <c r="Y1701" s="204">
        <v>2.1783143738513453E-2</v>
      </c>
      <c r="Z1701" s="201">
        <v>2.1772574531846445E-2</v>
      </c>
    </row>
    <row r="1702" spans="22:26" x14ac:dyDescent="0.2">
      <c r="V1702" s="202" t="str">
        <f t="shared" si="35"/>
        <v>1w</v>
      </c>
      <c r="W1702" s="200">
        <f>_xll.qlCalendarAdvance(Calendar,W1701,V1702,"f",FALSE)</f>
        <v>50816</v>
      </c>
      <c r="X1702" s="203">
        <f>_xll.qlCalendarAdvance(Calendar,W1702,NDays&amp;"D")</f>
        <v>50818</v>
      </c>
      <c r="Y1702" s="204">
        <v>2.1779404708416487E-2</v>
      </c>
      <c r="Z1702" s="201">
        <v>2.176883641395122E-2</v>
      </c>
    </row>
    <row r="1703" spans="22:26" x14ac:dyDescent="0.2">
      <c r="V1703" s="202" t="str">
        <f t="shared" si="35"/>
        <v>1w</v>
      </c>
      <c r="W1703" s="200">
        <f>_xll.qlCalendarAdvance(Calendar,W1702,V1703,"f",FALSE)</f>
        <v>50823</v>
      </c>
      <c r="X1703" s="203">
        <f>_xll.qlCalendarAdvance(Calendar,W1703,NDays&amp;"D")</f>
        <v>50825</v>
      </c>
      <c r="Y1703" s="204">
        <v>2.1775668372615735E-2</v>
      </c>
      <c r="Z1703" s="201">
        <v>2.1765100984945107E-2</v>
      </c>
    </row>
    <row r="1704" spans="22:26" x14ac:dyDescent="0.2">
      <c r="V1704" s="202" t="str">
        <f t="shared" si="35"/>
        <v>1w</v>
      </c>
      <c r="W1704" s="200">
        <f>_xll.qlCalendarAdvance(Calendar,W1703,V1704,"f",FALSE)</f>
        <v>50830</v>
      </c>
      <c r="X1704" s="203">
        <f>_xll.qlCalendarAdvance(Calendar,W1704,NDays&amp;"D")</f>
        <v>50832</v>
      </c>
      <c r="Y1704" s="204">
        <v>2.1773500918748634E-2</v>
      </c>
      <c r="Z1704" s="201">
        <v>2.1761368244828105E-2</v>
      </c>
    </row>
    <row r="1705" spans="22:26" x14ac:dyDescent="0.2">
      <c r="V1705" s="202" t="str">
        <f t="shared" si="35"/>
        <v>1w</v>
      </c>
      <c r="W1705" s="200">
        <f>_xll.qlCalendarAdvance(Calendar,W1704,V1705,"f",FALSE)</f>
        <v>50837</v>
      </c>
      <c r="X1705" s="203">
        <f>_xll.qlCalendarAdvance(Calendar,W1705,NDays&amp;"D")</f>
        <v>50839</v>
      </c>
      <c r="Y1705" s="204">
        <v>2.177016138534443E-2</v>
      </c>
      <c r="Z1705" s="201">
        <v>2.1757638193520279E-2</v>
      </c>
    </row>
    <row r="1706" spans="22:26" x14ac:dyDescent="0.2">
      <c r="V1706" s="202" t="str">
        <f t="shared" si="35"/>
        <v>1w</v>
      </c>
      <c r="W1706" s="200">
        <f>_xll.qlCalendarAdvance(Calendar,W1705,V1706,"f",FALSE)</f>
        <v>50844</v>
      </c>
      <c r="X1706" s="203">
        <f>_xll.qlCalendarAdvance(Calendar,W1706,NDays&amp;"D")</f>
        <v>50846</v>
      </c>
      <c r="Y1706" s="204">
        <v>2.1766041455836271E-2</v>
      </c>
      <c r="Z1706" s="201">
        <v>2.17539108311815E-2</v>
      </c>
    </row>
    <row r="1707" spans="22:26" x14ac:dyDescent="0.2">
      <c r="V1707" s="202" t="str">
        <f t="shared" si="35"/>
        <v>1w</v>
      </c>
      <c r="W1707" s="200">
        <f>_xll.qlCalendarAdvance(Calendar,W1706,V1707,"f",FALSE)</f>
        <v>50851</v>
      </c>
      <c r="X1707" s="203">
        <f>_xll.qlCalendarAdvance(Calendar,W1707,NDays&amp;"D")</f>
        <v>50853</v>
      </c>
      <c r="Y1707" s="204">
        <v>2.1762315767021312E-2</v>
      </c>
      <c r="Z1707" s="201">
        <v>2.1750186157651896E-2</v>
      </c>
    </row>
    <row r="1708" spans="22:26" x14ac:dyDescent="0.2">
      <c r="V1708" s="202" t="str">
        <f t="shared" si="35"/>
        <v>1w</v>
      </c>
      <c r="W1708" s="200">
        <f>_xll.qlCalendarAdvance(Calendar,W1707,V1708,"f",FALSE)</f>
        <v>50858</v>
      </c>
      <c r="X1708" s="203">
        <f>_xll.qlCalendarAdvance(Calendar,W1708,NDays&amp;"D")</f>
        <v>50860</v>
      </c>
      <c r="Y1708" s="204">
        <v>2.1757418505285776E-2</v>
      </c>
      <c r="Z1708" s="201">
        <v>2.1746464172931468E-2</v>
      </c>
    </row>
    <row r="1709" spans="22:26" x14ac:dyDescent="0.2">
      <c r="V1709" s="202" t="str">
        <f t="shared" si="35"/>
        <v>1w</v>
      </c>
      <c r="W1709" s="200">
        <f>_xll.qlCalendarAdvance(Calendar,W1708,V1709,"f",FALSE)</f>
        <v>50865</v>
      </c>
      <c r="X1709" s="203">
        <f>_xll.qlCalendarAdvance(Calendar,W1709,NDays&amp;"D")</f>
        <v>50867</v>
      </c>
      <c r="Y1709" s="204">
        <v>2.175487247465635E-2</v>
      </c>
      <c r="Z1709" s="201">
        <v>2.1744309043928212E-2</v>
      </c>
    </row>
    <row r="1710" spans="22:26" x14ac:dyDescent="0.2">
      <c r="V1710" s="202" t="str">
        <f t="shared" si="35"/>
        <v>1w</v>
      </c>
      <c r="W1710" s="200">
        <f>_xll.qlCalendarAdvance(Calendar,W1709,V1710,"f",FALSE)</f>
        <v>50872</v>
      </c>
      <c r="X1710" s="203">
        <f>_xll.qlCalendarAdvance(Calendar,W1710,NDays&amp;"D")</f>
        <v>50874</v>
      </c>
      <c r="Y1710" s="204">
        <v>2.1751154871106348E-2</v>
      </c>
      <c r="Z1710" s="201">
        <v>2.1739028270237881E-2</v>
      </c>
    </row>
    <row r="1711" spans="22:26" x14ac:dyDescent="0.2">
      <c r="V1711" s="202" t="str">
        <f t="shared" si="35"/>
        <v>1w</v>
      </c>
      <c r="W1711" s="200">
        <f>_xll.qlCalendarAdvance(Calendar,W1710,V1711,"f",FALSE)</f>
        <v>50879</v>
      </c>
      <c r="X1711" s="203">
        <f>_xll.qlCalendarAdvance(Calendar,W1711,NDays&amp;"D")</f>
        <v>50881</v>
      </c>
      <c r="Y1711" s="204">
        <v>2.1747439962638004E-2</v>
      </c>
      <c r="Z1711" s="201">
        <v>2.1735314352024915E-2</v>
      </c>
    </row>
    <row r="1712" spans="22:26" x14ac:dyDescent="0.2">
      <c r="V1712" s="202" t="str">
        <f t="shared" si="35"/>
        <v>1w</v>
      </c>
      <c r="W1712" s="200">
        <f>_xll.qlCalendarAdvance(Calendar,W1711,V1712,"f",FALSE)</f>
        <v>50886</v>
      </c>
      <c r="X1712" s="203">
        <f>_xll.qlCalendarAdvance(Calendar,W1712,NDays&amp;"D")</f>
        <v>50888</v>
      </c>
      <c r="Y1712" s="204">
        <v>2.174372774924882E-2</v>
      </c>
      <c r="Z1712" s="201">
        <v>2.1731603122860932E-2</v>
      </c>
    </row>
    <row r="1713" spans="22:26" x14ac:dyDescent="0.2">
      <c r="V1713" s="202" t="str">
        <f t="shared" si="35"/>
        <v>1w</v>
      </c>
      <c r="W1713" s="200">
        <f>_xll.qlCalendarAdvance(Calendar,W1712,V1713,"f",FALSE)</f>
        <v>50893</v>
      </c>
      <c r="X1713" s="203">
        <f>_xll.qlCalendarAdvance(Calendar,W1713,NDays&amp;"D")</f>
        <v>50895</v>
      </c>
      <c r="Y1713" s="204">
        <v>2.1740018230936298E-2</v>
      </c>
      <c r="Z1713" s="201">
        <v>2.1727894582506124E-2</v>
      </c>
    </row>
    <row r="1714" spans="22:26" x14ac:dyDescent="0.2">
      <c r="V1714" s="202" t="str">
        <f t="shared" si="35"/>
        <v>1w</v>
      </c>
      <c r="W1714" s="200">
        <f>_xll.qlCalendarAdvance(Calendar,W1713,V1714,"f",FALSE)</f>
        <v>50900</v>
      </c>
      <c r="X1714" s="203">
        <f>_xll.qlCalendarAdvance(Calendar,W1714,NDays&amp;"D")</f>
        <v>50902</v>
      </c>
      <c r="Y1714" s="204">
        <v>2.1736311407700437E-2</v>
      </c>
      <c r="Z1714" s="201">
        <v>2.1724188730880556E-2</v>
      </c>
    </row>
    <row r="1715" spans="22:26" x14ac:dyDescent="0.2">
      <c r="V1715" s="202" t="str">
        <f t="shared" si="35"/>
        <v>1w</v>
      </c>
      <c r="W1715" s="200">
        <f>_xll.qlCalendarAdvance(Calendar,W1714,V1715,"f",FALSE)</f>
        <v>50907</v>
      </c>
      <c r="X1715" s="203">
        <f>_xll.qlCalendarAdvance(Calendar,W1715,NDays&amp;"D")</f>
        <v>50909</v>
      </c>
      <c r="Y1715" s="204">
        <v>2.1732607279536242E-2</v>
      </c>
      <c r="Z1715" s="201">
        <v>2.1720485568303971E-2</v>
      </c>
    </row>
    <row r="1716" spans="22:26" x14ac:dyDescent="0.2">
      <c r="V1716" s="202" t="str">
        <f t="shared" si="35"/>
        <v>1w</v>
      </c>
      <c r="W1716" s="200">
        <f>_xll.qlCalendarAdvance(Calendar,W1715,V1716,"f",FALSE)</f>
        <v>50914</v>
      </c>
      <c r="X1716" s="203">
        <f>_xll.qlCalendarAdvance(Calendar,W1716,NDays&amp;"D")</f>
        <v>50916</v>
      </c>
      <c r="Y1716" s="204">
        <v>2.1728905846441215E-2</v>
      </c>
      <c r="Z1716" s="201">
        <v>2.1716785094456625E-2</v>
      </c>
    </row>
    <row r="1717" spans="22:26" x14ac:dyDescent="0.2">
      <c r="V1717" s="202" t="str">
        <f t="shared" si="35"/>
        <v>1w</v>
      </c>
      <c r="W1717" s="200">
        <f>_xll.qlCalendarAdvance(Calendar,W1716,V1717,"f",FALSE)</f>
        <v>50921</v>
      </c>
      <c r="X1717" s="203">
        <f>_xll.qlCalendarAdvance(Calendar,W1717,NDays&amp;"D")</f>
        <v>50923</v>
      </c>
      <c r="Y1717" s="204">
        <v>2.1725207108412858E-2</v>
      </c>
      <c r="Z1717" s="201">
        <v>2.1713087309578327E-2</v>
      </c>
    </row>
    <row r="1718" spans="22:26" x14ac:dyDescent="0.2">
      <c r="V1718" s="202" t="str">
        <f t="shared" si="35"/>
        <v>1w</v>
      </c>
      <c r="W1718" s="200">
        <f>_xll.qlCalendarAdvance(Calendar,W1717,V1718,"f",FALSE)</f>
        <v>50928</v>
      </c>
      <c r="X1718" s="203">
        <f>_xll.qlCalendarAdvance(Calendar,W1718,NDays&amp;"D")</f>
        <v>50930</v>
      </c>
      <c r="Y1718" s="204">
        <v>2.1721511065448673E-2</v>
      </c>
      <c r="Z1718" s="201">
        <v>2.1709392213429268E-2</v>
      </c>
    </row>
    <row r="1719" spans="22:26" x14ac:dyDescent="0.2">
      <c r="V1719" s="202" t="str">
        <f t="shared" si="35"/>
        <v>1w</v>
      </c>
      <c r="W1719" s="200">
        <f>_xll.qlCalendarAdvance(Calendar,W1718,V1719,"f",FALSE)</f>
        <v>50935</v>
      </c>
      <c r="X1719" s="203">
        <f>_xll.qlCalendarAdvance(Calendar,W1719,NDays&amp;"D")</f>
        <v>50937</v>
      </c>
      <c r="Y1719" s="204">
        <v>2.1717817717546162E-2</v>
      </c>
      <c r="Z1719" s="201">
        <v>2.1705699806249257E-2</v>
      </c>
    </row>
    <row r="1720" spans="22:26" x14ac:dyDescent="0.2">
      <c r="V1720" s="202" t="str">
        <f t="shared" si="35"/>
        <v>1w</v>
      </c>
      <c r="W1720" s="200">
        <f>_xll.qlCalendarAdvance(Calendar,W1719,V1720,"f",FALSE)</f>
        <v>50942</v>
      </c>
      <c r="X1720" s="203">
        <f>_xll.qlCalendarAdvance(Calendar,W1720,NDays&amp;"D")</f>
        <v>50944</v>
      </c>
      <c r="Y1720" s="204">
        <v>2.1714127064700328E-2</v>
      </c>
      <c r="Z1720" s="201">
        <v>2.1702010087878421E-2</v>
      </c>
    </row>
    <row r="1721" spans="22:26" x14ac:dyDescent="0.2">
      <c r="V1721" s="202" t="str">
        <f t="shared" si="35"/>
        <v>1w</v>
      </c>
      <c r="W1721" s="200">
        <f>_xll.qlCalendarAdvance(Calendar,W1720,V1721,"f",FALSE)</f>
        <v>50949</v>
      </c>
      <c r="X1721" s="203">
        <f>_xll.qlCalendarAdvance(Calendar,W1721,NDays&amp;"D")</f>
        <v>50951</v>
      </c>
      <c r="Y1721" s="204">
        <v>2.1709266045321581E-2</v>
      </c>
      <c r="Z1721" s="201">
        <v>2.1698323058396696E-2</v>
      </c>
    </row>
    <row r="1722" spans="22:26" x14ac:dyDescent="0.2">
      <c r="V1722" s="202" t="str">
        <f t="shared" si="35"/>
        <v>1w</v>
      </c>
      <c r="W1722" s="200">
        <f>_xll.qlCalendarAdvance(Calendar,W1721,V1722,"f",FALSE)</f>
        <v>50956</v>
      </c>
      <c r="X1722" s="203">
        <f>_xll.qlCalendarAdvance(Calendar,W1722,NDays&amp;"D")</f>
        <v>50958</v>
      </c>
      <c r="Y1722" s="204">
        <v>2.1706753844176196E-2</v>
      </c>
      <c r="Z1722" s="201">
        <v>2.1694638717724146E-2</v>
      </c>
    </row>
    <row r="1723" spans="22:26" x14ac:dyDescent="0.2">
      <c r="V1723" s="202" t="str">
        <f t="shared" si="35"/>
        <v>1w</v>
      </c>
      <c r="W1723" s="200">
        <f>_xll.qlCalendarAdvance(Calendar,W1722,V1723,"f",FALSE)</f>
        <v>50963</v>
      </c>
      <c r="X1723" s="203">
        <f>_xll.qlCalendarAdvance(Calendar,W1723,NDays&amp;"D")</f>
        <v>50965</v>
      </c>
      <c r="Y1723" s="204">
        <v>2.17030712764954E-2</v>
      </c>
      <c r="Z1723" s="201">
        <v>2.1690957065940708E-2</v>
      </c>
    </row>
    <row r="1724" spans="22:26" x14ac:dyDescent="0.2">
      <c r="V1724" s="202" t="str">
        <f t="shared" si="35"/>
        <v>1w</v>
      </c>
      <c r="W1724" s="200">
        <f>_xll.qlCalendarAdvance(Calendar,W1723,V1724,"f",FALSE)</f>
        <v>50970</v>
      </c>
      <c r="X1724" s="203">
        <f>_xll.qlCalendarAdvance(Calendar,W1724,NDays&amp;"D")</f>
        <v>50972</v>
      </c>
      <c r="Y1724" s="204">
        <v>2.169939140386129E-2</v>
      </c>
      <c r="Z1724" s="201">
        <v>2.1687278103046381E-2</v>
      </c>
    </row>
    <row r="1725" spans="22:26" x14ac:dyDescent="0.2">
      <c r="V1725" s="202" t="str">
        <f t="shared" si="35"/>
        <v>1w</v>
      </c>
      <c r="W1725" s="200">
        <f>_xll.qlCalendarAdvance(Calendar,W1724,V1725,"f",FALSE)</f>
        <v>50977</v>
      </c>
      <c r="X1725" s="203">
        <f>_xll.qlCalendarAdvance(Calendar,W1725,NDays&amp;"D")</f>
        <v>50979</v>
      </c>
      <c r="Y1725" s="204">
        <v>2.169571422626887E-2</v>
      </c>
      <c r="Z1725" s="201">
        <v>2.168360182896123E-2</v>
      </c>
    </row>
    <row r="1726" spans="22:26" x14ac:dyDescent="0.2">
      <c r="V1726" s="202" t="str">
        <f t="shared" si="35"/>
        <v>1w</v>
      </c>
      <c r="W1726" s="200">
        <f>_xll.qlCalendarAdvance(Calendar,W1725,V1726,"f",FALSE)</f>
        <v>50984</v>
      </c>
      <c r="X1726" s="203">
        <f>_xll.qlCalendarAdvance(Calendar,W1726,NDays&amp;"D")</f>
        <v>50986</v>
      </c>
      <c r="Y1726" s="204">
        <v>2.1692039743723135E-2</v>
      </c>
      <c r="Z1726" s="201">
        <v>2.1679928243685254E-2</v>
      </c>
    </row>
    <row r="1727" spans="22:26" x14ac:dyDescent="0.2">
      <c r="V1727" s="202" t="str">
        <f t="shared" si="35"/>
        <v>1w</v>
      </c>
      <c r="W1727" s="200">
        <f>_xll.qlCalendarAdvance(Calendar,W1726,V1727,"f",FALSE)</f>
        <v>50991</v>
      </c>
      <c r="X1727" s="203">
        <f>_xll.qlCalendarAdvance(Calendar,W1727,NDays&amp;"D")</f>
        <v>50993</v>
      </c>
      <c r="Y1727" s="204">
        <v>2.1688368117087908E-2</v>
      </c>
      <c r="Z1727" s="201">
        <v>2.1676257347298389E-2</v>
      </c>
    </row>
    <row r="1728" spans="22:26" x14ac:dyDescent="0.2">
      <c r="V1728" s="202" t="str">
        <f t="shared" si="35"/>
        <v>1w</v>
      </c>
      <c r="W1728" s="200">
        <f>_xll.qlCalendarAdvance(Calendar,W1727,V1728,"f",FALSE)</f>
        <v>50998</v>
      </c>
      <c r="X1728" s="203">
        <f>_xll.qlCalendarAdvance(Calendar,W1728,NDays&amp;"D")</f>
        <v>51000</v>
      </c>
      <c r="Y1728" s="204">
        <v>2.1684702209378015E-2</v>
      </c>
      <c r="Z1728" s="201">
        <v>2.1672589139880571E-2</v>
      </c>
    </row>
    <row r="1729" spans="22:26" x14ac:dyDescent="0.2">
      <c r="V1729" s="202" t="str">
        <f t="shared" si="35"/>
        <v>1w</v>
      </c>
      <c r="W1729" s="200">
        <f>_xll.qlCalendarAdvance(Calendar,W1728,V1729,"f",FALSE)</f>
        <v>51005</v>
      </c>
      <c r="X1729" s="203">
        <f>_xll.qlCalendarAdvance(Calendar,W1729,NDays&amp;"D")</f>
        <v>51007</v>
      </c>
      <c r="Y1729" s="204">
        <v>2.1681047125752251E-2</v>
      </c>
      <c r="Z1729" s="201">
        <v>2.1668923621271929E-2</v>
      </c>
    </row>
    <row r="1730" spans="22:26" x14ac:dyDescent="0.2">
      <c r="V1730" s="202" t="str">
        <f t="shared" si="35"/>
        <v>1w</v>
      </c>
      <c r="W1730" s="200">
        <f>_xll.qlCalendarAdvance(Calendar,W1729,V1730,"f",FALSE)</f>
        <v>51012</v>
      </c>
      <c r="X1730" s="203">
        <f>_xll.qlCalendarAdvance(Calendar,W1730,NDays&amp;"D")</f>
        <v>51014</v>
      </c>
      <c r="Y1730" s="204">
        <v>2.167740803922763E-2</v>
      </c>
      <c r="Z1730" s="201">
        <v>2.1665260791552399E-2</v>
      </c>
    </row>
    <row r="1731" spans="22:26" x14ac:dyDescent="0.2">
      <c r="V1731" s="202" t="str">
        <f t="shared" si="35"/>
        <v>1w</v>
      </c>
      <c r="W1731" s="200">
        <f>_xll.qlCalendarAdvance(Calendar,W1730,V1731,"f",FALSE)</f>
        <v>51019</v>
      </c>
      <c r="X1731" s="203">
        <f>_xll.qlCalendarAdvance(Calendar,W1731,NDays&amp;"D")</f>
        <v>51021</v>
      </c>
      <c r="Y1731" s="204">
        <v>2.167379012281867E-2</v>
      </c>
      <c r="Z1731" s="201">
        <v>2.1661600730817909E-2</v>
      </c>
    </row>
    <row r="1732" spans="22:26" x14ac:dyDescent="0.2">
      <c r="V1732" s="202" t="str">
        <f t="shared" si="35"/>
        <v>1w</v>
      </c>
      <c r="W1732" s="200">
        <f>_xll.qlCalendarAdvance(Calendar,W1731,V1732,"f",FALSE)</f>
        <v>51026</v>
      </c>
      <c r="X1732" s="203">
        <f>_xll.qlCalendarAdvance(Calendar,W1732,NDays&amp;"D")</f>
        <v>51028</v>
      </c>
      <c r="Y1732" s="204">
        <v>2.1670197687362058E-2</v>
      </c>
      <c r="Z1732" s="201">
        <v>2.1657956766807374E-2</v>
      </c>
    </row>
    <row r="1733" spans="22:26" x14ac:dyDescent="0.2">
      <c r="V1733" s="202" t="str">
        <f t="shared" si="35"/>
        <v>1w</v>
      </c>
      <c r="W1733" s="200">
        <f>_xll.qlCalendarAdvance(Calendar,W1732,V1733,"f",FALSE)</f>
        <v>51033</v>
      </c>
      <c r="X1733" s="203">
        <f>_xll.qlCalendarAdvance(Calendar,W1733,NDays&amp;"D")</f>
        <v>51035</v>
      </c>
      <c r="Y1733" s="204">
        <v>2.166663159500315E-2</v>
      </c>
      <c r="Z1733" s="201">
        <v>2.1654339095684705E-2</v>
      </c>
    </row>
    <row r="1734" spans="22:26" x14ac:dyDescent="0.2">
      <c r="V1734" s="202" t="str">
        <f t="shared" si="35"/>
        <v>1w</v>
      </c>
      <c r="W1734" s="200">
        <f>_xll.qlCalendarAdvance(Calendar,W1733,V1734,"f",FALSE)</f>
        <v>51040</v>
      </c>
      <c r="X1734" s="203">
        <f>_xll.qlCalendarAdvance(Calendar,W1734,NDays&amp;"D")</f>
        <v>51042</v>
      </c>
      <c r="Y1734" s="204">
        <v>2.1663091845716964E-2</v>
      </c>
      <c r="Z1734" s="201">
        <v>2.1650747717609775E-2</v>
      </c>
    </row>
    <row r="1735" spans="22:26" x14ac:dyDescent="0.2">
      <c r="V1735" s="202" t="str">
        <f t="shared" si="35"/>
        <v>1w</v>
      </c>
      <c r="W1735" s="200">
        <f>_xll.qlCalendarAdvance(Calendar,W1734,V1735,"f",FALSE)</f>
        <v>51047</v>
      </c>
      <c r="X1735" s="203">
        <f>_xll.qlCalendarAdvance(Calendar,W1735,NDays&amp;"D")</f>
        <v>51049</v>
      </c>
      <c r="Y1735" s="204">
        <v>2.165957843948102E-2</v>
      </c>
      <c r="Z1735" s="201">
        <v>2.1647182632342776E-2</v>
      </c>
    </row>
    <row r="1736" spans="22:26" x14ac:dyDescent="0.2">
      <c r="V1736" s="202" t="str">
        <f t="shared" si="35"/>
        <v>1w</v>
      </c>
      <c r="W1736" s="200">
        <f>_xll.qlCalendarAdvance(Calendar,W1735,V1736,"f",FALSE)</f>
        <v>51054</v>
      </c>
      <c r="X1736" s="203">
        <f>_xll.qlCalendarAdvance(Calendar,W1736,NDays&amp;"D")</f>
        <v>51056</v>
      </c>
      <c r="Y1736" s="204">
        <v>2.1656091376267839E-2</v>
      </c>
      <c r="Z1736" s="201">
        <v>2.1643643840123516E-2</v>
      </c>
    </row>
    <row r="1737" spans="22:26" x14ac:dyDescent="0.2">
      <c r="V1737" s="202" t="str">
        <f t="shared" si="35"/>
        <v>1w</v>
      </c>
      <c r="W1737" s="200">
        <f>_xll.qlCalendarAdvance(Calendar,W1736,V1737,"f",FALSE)</f>
        <v>51061</v>
      </c>
      <c r="X1737" s="203">
        <f>_xll.qlCalendarAdvance(Calendar,W1737,NDays&amp;"D")</f>
        <v>51063</v>
      </c>
      <c r="Y1737" s="204">
        <v>2.1652630656049943E-2</v>
      </c>
      <c r="Z1737" s="201">
        <v>2.1640131340792124E-2</v>
      </c>
    </row>
    <row r="1738" spans="22:26" x14ac:dyDescent="0.2">
      <c r="V1738" s="202" t="str">
        <f t="shared" si="35"/>
        <v>1w</v>
      </c>
      <c r="W1738" s="200">
        <f>_xll.qlCalendarAdvance(Calendar,W1737,V1738,"f",FALSE)</f>
        <v>51068</v>
      </c>
      <c r="X1738" s="203">
        <f>_xll.qlCalendarAdvance(Calendar,W1738,NDays&amp;"D")</f>
        <v>51070</v>
      </c>
      <c r="Y1738" s="204">
        <v>2.1649196278809846E-2</v>
      </c>
      <c r="Z1738" s="201">
        <v>2.1636645134348598E-2</v>
      </c>
    </row>
    <row r="1739" spans="22:26" x14ac:dyDescent="0.2">
      <c r="V1739" s="202" t="str">
        <f t="shared" si="35"/>
        <v>1w</v>
      </c>
      <c r="W1739" s="200">
        <f>_xll.qlCalendarAdvance(Calendar,W1738,V1739,"f",FALSE)</f>
        <v>51075</v>
      </c>
      <c r="X1739" s="203">
        <f>_xll.qlCalendarAdvance(Calendar,W1739,NDays&amp;"D")</f>
        <v>51077</v>
      </c>
      <c r="Y1739" s="204">
        <v>2.164578824452007E-2</v>
      </c>
      <c r="Z1739" s="201">
        <v>2.1633185220872875E-2</v>
      </c>
    </row>
    <row r="1740" spans="22:26" x14ac:dyDescent="0.2">
      <c r="V1740" s="202" t="str">
        <f t="shared" si="35"/>
        <v>1w</v>
      </c>
      <c r="W1740" s="200">
        <f>_xll.qlCalendarAdvance(Calendar,W1739,V1740,"f",FALSE)</f>
        <v>51082</v>
      </c>
      <c r="X1740" s="203">
        <f>_xll.qlCalendarAdvance(Calendar,W1740,NDays&amp;"D")</f>
        <v>51084</v>
      </c>
      <c r="Y1740" s="204">
        <v>2.1642406553158133E-2</v>
      </c>
      <c r="Z1740" s="201">
        <v>2.1629751600364955E-2</v>
      </c>
    </row>
    <row r="1741" spans="22:26" x14ac:dyDescent="0.2">
      <c r="V1741" s="202" t="str">
        <f t="shared" si="35"/>
        <v>1w</v>
      </c>
      <c r="W1741" s="200">
        <f>_xll.qlCalendarAdvance(Calendar,W1740,V1741,"f",FALSE)</f>
        <v>51089</v>
      </c>
      <c r="X1741" s="203">
        <f>_xll.qlCalendarAdvance(Calendar,W1741,NDays&amp;"D")</f>
        <v>51091</v>
      </c>
      <c r="Y1741" s="204">
        <v>2.163905120469406E-2</v>
      </c>
      <c r="Z1741" s="201">
        <v>2.1626344272664966E-2</v>
      </c>
    </row>
    <row r="1742" spans="22:26" x14ac:dyDescent="0.2">
      <c r="V1742" s="202" t="str">
        <f t="shared" si="35"/>
        <v>1w</v>
      </c>
      <c r="W1742" s="200">
        <f>_xll.qlCalendarAdvance(Calendar,W1741,V1742,"f",FALSE)</f>
        <v>51096</v>
      </c>
      <c r="X1742" s="203">
        <f>_xll.qlCalendarAdvance(Calendar,W1742,NDays&amp;"D")</f>
        <v>51098</v>
      </c>
      <c r="Y1742" s="204">
        <v>2.1636136604592113E-2</v>
      </c>
      <c r="Z1742" s="201">
        <v>2.1622963238012716E-2</v>
      </c>
    </row>
    <row r="1743" spans="22:26" x14ac:dyDescent="0.2">
      <c r="V1743" s="202" t="str">
        <f t="shared" si="35"/>
        <v>1w</v>
      </c>
      <c r="W1743" s="200">
        <f>_xll.qlCalendarAdvance(Calendar,W1742,V1743,"f",FALSE)</f>
        <v>51103</v>
      </c>
      <c r="X1743" s="203">
        <f>_xll.qlCalendarAdvance(Calendar,W1743,NDays&amp;"D")</f>
        <v>51105</v>
      </c>
      <c r="Y1743" s="204">
        <v>2.1632419536389558E-2</v>
      </c>
      <c r="Z1743" s="201">
        <v>2.1619608496248333E-2</v>
      </c>
    </row>
    <row r="1744" spans="22:26" x14ac:dyDescent="0.2">
      <c r="V1744" s="202" t="str">
        <f t="shared" si="35"/>
        <v>1w</v>
      </c>
      <c r="W1744" s="200">
        <f>_xll.qlCalendarAdvance(Calendar,W1743,V1744,"f",FALSE)</f>
        <v>51110</v>
      </c>
      <c r="X1744" s="203">
        <f>_xll.qlCalendarAdvance(Calendar,W1744,NDays&amp;"D")</f>
        <v>51112</v>
      </c>
      <c r="Y1744" s="204">
        <v>2.1629143216499169E-2</v>
      </c>
      <c r="Z1744" s="201">
        <v>2.1616280047451752E-2</v>
      </c>
    </row>
    <row r="1745" spans="22:26" x14ac:dyDescent="0.2">
      <c r="V1745" s="202" t="str">
        <f t="shared" si="35"/>
        <v>1w</v>
      </c>
      <c r="W1745" s="200">
        <f>_xll.qlCalendarAdvance(Calendar,W1744,V1745,"f",FALSE)</f>
        <v>51117</v>
      </c>
      <c r="X1745" s="203">
        <f>_xll.qlCalendarAdvance(Calendar,W1745,NDays&amp;"D")</f>
        <v>51119</v>
      </c>
      <c r="Y1745" s="204">
        <v>2.1625893239416716E-2</v>
      </c>
      <c r="Z1745" s="201">
        <v>2.1612977891543039E-2</v>
      </c>
    </row>
    <row r="1746" spans="22:26" x14ac:dyDescent="0.2">
      <c r="V1746" s="202" t="str">
        <f t="shared" si="35"/>
        <v>1w</v>
      </c>
      <c r="W1746" s="200">
        <f>_xll.qlCalendarAdvance(Calendar,W1745,V1746,"f",FALSE)</f>
        <v>51124</v>
      </c>
      <c r="X1746" s="203">
        <f>_xll.qlCalendarAdvance(Calendar,W1746,NDays&amp;"D")</f>
        <v>51126</v>
      </c>
      <c r="Y1746" s="204">
        <v>2.1622669605122213E-2</v>
      </c>
      <c r="Z1746" s="201">
        <v>2.1609702028602129E-2</v>
      </c>
    </row>
    <row r="1747" spans="22:26" x14ac:dyDescent="0.2">
      <c r="V1747" s="202" t="str">
        <f t="shared" si="35"/>
        <v>1w</v>
      </c>
      <c r="W1747" s="200">
        <f>_xll.qlCalendarAdvance(Calendar,W1746,V1747,"f",FALSE)</f>
        <v>51131</v>
      </c>
      <c r="X1747" s="203">
        <f>_xll.qlCalendarAdvance(Calendar,W1747,NDays&amp;"D")</f>
        <v>51133</v>
      </c>
      <c r="Y1747" s="204">
        <v>2.161947231359318E-2</v>
      </c>
      <c r="Z1747" s="201">
        <v>2.160645245846915E-2</v>
      </c>
    </row>
    <row r="1748" spans="22:26" x14ac:dyDescent="0.2">
      <c r="V1748" s="202" t="str">
        <f t="shared" si="35"/>
        <v>1w</v>
      </c>
      <c r="W1748" s="200">
        <f>_xll.qlCalendarAdvance(Calendar,W1747,V1748,"f",FALSE)</f>
        <v>51138</v>
      </c>
      <c r="X1748" s="203">
        <f>_xll.qlCalendarAdvance(Calendar,W1748,NDays&amp;"D")</f>
        <v>51140</v>
      </c>
      <c r="Y1748" s="204">
        <v>2.1616301364804635E-2</v>
      </c>
      <c r="Z1748" s="201">
        <v>2.1603229181383909E-2</v>
      </c>
    </row>
    <row r="1749" spans="22:26" x14ac:dyDescent="0.2">
      <c r="V1749" s="202" t="str">
        <f t="shared" ref="V1749:V1812" si="36">V1748</f>
        <v>1w</v>
      </c>
      <c r="W1749" s="200">
        <f>_xll.qlCalendarAdvance(Calendar,W1748,V1749,"f",FALSE)</f>
        <v>51145</v>
      </c>
      <c r="X1749" s="203">
        <f>_xll.qlCalendarAdvance(Calendar,W1749,NDays&amp;"D")</f>
        <v>51147</v>
      </c>
      <c r="Y1749" s="204">
        <v>2.1613156758736596E-2</v>
      </c>
      <c r="Z1749" s="201">
        <v>2.1600032197186536E-2</v>
      </c>
    </row>
    <row r="1750" spans="22:26" x14ac:dyDescent="0.2">
      <c r="V1750" s="202" t="str">
        <f t="shared" si="36"/>
        <v>1w</v>
      </c>
      <c r="W1750" s="200">
        <f>_xll.qlCalendarAdvance(Calendar,W1749,V1750,"f",FALSE)</f>
        <v>51152</v>
      </c>
      <c r="X1750" s="203">
        <f>_xll.qlCalendarAdvance(Calendar,W1750,NDays&amp;"D")</f>
        <v>51154</v>
      </c>
      <c r="Y1750" s="204">
        <v>2.1610038495369077E-2</v>
      </c>
      <c r="Z1750" s="201">
        <v>2.159686150587703E-2</v>
      </c>
    </row>
    <row r="1751" spans="22:26" x14ac:dyDescent="0.2">
      <c r="V1751" s="202" t="str">
        <f t="shared" si="36"/>
        <v>1w</v>
      </c>
      <c r="W1751" s="200">
        <f>_xll.qlCalendarAdvance(Calendar,W1750,V1751,"f",FALSE)</f>
        <v>51159</v>
      </c>
      <c r="X1751" s="203">
        <f>_xll.qlCalendarAdvance(Calendar,W1751,NDays&amp;"D")</f>
        <v>51161</v>
      </c>
      <c r="Y1751" s="204">
        <v>2.1606946574674601E-2</v>
      </c>
      <c r="Z1751" s="201">
        <v>2.1593717107535326E-2</v>
      </c>
    </row>
    <row r="1752" spans="22:26" x14ac:dyDescent="0.2">
      <c r="V1752" s="202" t="str">
        <f t="shared" si="36"/>
        <v>1w</v>
      </c>
      <c r="W1752" s="200">
        <f>_xll.qlCalendarAdvance(Calendar,W1751,V1752,"f",FALSE)</f>
        <v>51166</v>
      </c>
      <c r="X1752" s="203">
        <f>_xll.qlCalendarAdvance(Calendar,W1752,NDays&amp;"D")</f>
        <v>51168</v>
      </c>
      <c r="Y1752" s="204">
        <v>2.1602588134003214E-2</v>
      </c>
      <c r="Z1752" s="201">
        <v>2.159059900208149E-2</v>
      </c>
    </row>
    <row r="1753" spans="22:26" x14ac:dyDescent="0.2">
      <c r="V1753" s="202" t="str">
        <f t="shared" si="36"/>
        <v>1w</v>
      </c>
      <c r="W1753" s="200">
        <f>_xll.qlCalendarAdvance(Calendar,W1752,V1753,"f",FALSE)</f>
        <v>51173</v>
      </c>
      <c r="X1753" s="203">
        <f>_xll.qlCalendarAdvance(Calendar,W1753,NDays&amp;"D")</f>
        <v>51175</v>
      </c>
      <c r="Y1753" s="204">
        <v>2.1599543801330362E-2</v>
      </c>
      <c r="Z1753" s="201">
        <v>2.1587507189595456E-2</v>
      </c>
    </row>
    <row r="1754" spans="22:26" x14ac:dyDescent="0.2">
      <c r="V1754" s="202" t="str">
        <f t="shared" si="36"/>
        <v>1w</v>
      </c>
      <c r="W1754" s="200">
        <f>_xll.qlCalendarAdvance(Calendar,W1753,V1754,"f",FALSE)</f>
        <v>51180</v>
      </c>
      <c r="X1754" s="203">
        <f>_xll.qlCalendarAdvance(Calendar,W1754,NDays&amp;"D")</f>
        <v>51182</v>
      </c>
      <c r="Y1754" s="204">
        <v>2.1596525806458419E-2</v>
      </c>
      <c r="Z1754" s="201">
        <v>2.158444166999729E-2</v>
      </c>
    </row>
    <row r="1755" spans="22:26" x14ac:dyDescent="0.2">
      <c r="V1755" s="202" t="str">
        <f t="shared" si="36"/>
        <v>1w</v>
      </c>
      <c r="W1755" s="200">
        <f>_xll.qlCalendarAdvance(Calendar,W1754,V1755,"f",FALSE)</f>
        <v>51187</v>
      </c>
      <c r="X1755" s="203">
        <f>_xll.qlCalendarAdvance(Calendar,W1755,NDays&amp;"D")</f>
        <v>51189</v>
      </c>
      <c r="Y1755" s="204">
        <v>2.1593534149376356E-2</v>
      </c>
      <c r="Z1755" s="201">
        <v>2.1581402443366926E-2</v>
      </c>
    </row>
    <row r="1756" spans="22:26" x14ac:dyDescent="0.2">
      <c r="V1756" s="202" t="str">
        <f t="shared" si="36"/>
        <v>1w</v>
      </c>
      <c r="W1756" s="200">
        <f>_xll.qlCalendarAdvance(Calendar,W1755,V1756,"f",FALSE)</f>
        <v>51194</v>
      </c>
      <c r="X1756" s="203">
        <f>_xll.qlCalendarAdvance(Calendar,W1756,NDays&amp;"D")</f>
        <v>51196</v>
      </c>
      <c r="Y1756" s="204">
        <v>2.1592320230732008E-2</v>
      </c>
      <c r="Z1756" s="201">
        <v>2.1578389509544493E-2</v>
      </c>
    </row>
    <row r="1757" spans="22:26" x14ac:dyDescent="0.2">
      <c r="V1757" s="202" t="str">
        <f t="shared" si="36"/>
        <v>1w</v>
      </c>
      <c r="W1757" s="200">
        <f>_xll.qlCalendarAdvance(Calendar,W1756,V1757,"f",FALSE)</f>
        <v>51201</v>
      </c>
      <c r="X1757" s="203">
        <f>_xll.qlCalendarAdvance(Calendar,W1757,NDays&amp;"D")</f>
        <v>51203</v>
      </c>
      <c r="Y1757" s="204">
        <v>2.1588948245510053E-2</v>
      </c>
      <c r="Z1757" s="201">
        <v>2.1575402868689864E-2</v>
      </c>
    </row>
    <row r="1758" spans="22:26" x14ac:dyDescent="0.2">
      <c r="V1758" s="202" t="str">
        <f t="shared" si="36"/>
        <v>1w</v>
      </c>
      <c r="W1758" s="200">
        <f>_xll.qlCalendarAdvance(Calendar,W1757,V1758,"f",FALSE)</f>
        <v>51208</v>
      </c>
      <c r="X1758" s="203">
        <f>_xll.qlCalendarAdvance(Calendar,W1758,NDays&amp;"D")</f>
        <v>51210</v>
      </c>
      <c r="Y1758" s="204">
        <v>2.1586040722952338E-2</v>
      </c>
      <c r="Z1758" s="201">
        <v>2.1572442520723101E-2</v>
      </c>
    </row>
    <row r="1759" spans="22:26" x14ac:dyDescent="0.2">
      <c r="V1759" s="202" t="str">
        <f t="shared" si="36"/>
        <v>1w</v>
      </c>
      <c r="W1759" s="200">
        <f>_xll.qlCalendarAdvance(Calendar,W1758,V1759,"f",FALSE)</f>
        <v>51215</v>
      </c>
      <c r="X1759" s="203">
        <f>_xll.qlCalendarAdvance(Calendar,W1759,NDays&amp;"D")</f>
        <v>51217</v>
      </c>
      <c r="Y1759" s="204">
        <v>2.1583159542902797E-2</v>
      </c>
      <c r="Z1759" s="201">
        <v>2.1569508465804077E-2</v>
      </c>
    </row>
    <row r="1760" spans="22:26" x14ac:dyDescent="0.2">
      <c r="V1760" s="202" t="str">
        <f t="shared" si="36"/>
        <v>1w</v>
      </c>
      <c r="W1760" s="200">
        <f>_xll.qlCalendarAdvance(Calendar,W1759,V1760,"f",FALSE)</f>
        <v>51222</v>
      </c>
      <c r="X1760" s="203">
        <f>_xll.qlCalendarAdvance(Calendar,W1760,NDays&amp;"D")</f>
        <v>51224</v>
      </c>
      <c r="Y1760" s="204">
        <v>2.1580304705341447E-2</v>
      </c>
      <c r="Z1760" s="201">
        <v>2.15683592278193E-2</v>
      </c>
    </row>
    <row r="1761" spans="22:26" x14ac:dyDescent="0.2">
      <c r="V1761" s="202" t="str">
        <f t="shared" si="36"/>
        <v>1w</v>
      </c>
      <c r="W1761" s="200">
        <f>_xll.qlCalendarAdvance(Calendar,W1760,V1761,"f",FALSE)</f>
        <v>51229</v>
      </c>
      <c r="X1761" s="203">
        <f>_xll.qlCalendarAdvance(Calendar,W1761,NDays&amp;"D")</f>
        <v>51231</v>
      </c>
      <c r="Y1761" s="204">
        <v>2.1577476210245805E-2</v>
      </c>
      <c r="Z1761" s="201">
        <v>2.1563719234469758E-2</v>
      </c>
    </row>
    <row r="1762" spans="22:26" x14ac:dyDescent="0.2">
      <c r="V1762" s="202" t="str">
        <f t="shared" si="36"/>
        <v>1w</v>
      </c>
      <c r="W1762" s="200">
        <f>_xll.qlCalendarAdvance(Calendar,W1761,V1762,"f",FALSE)</f>
        <v>51236</v>
      </c>
      <c r="X1762" s="203">
        <f>_xll.qlCalendarAdvance(Calendar,W1762,NDays&amp;"D")</f>
        <v>51238</v>
      </c>
      <c r="Y1762" s="204">
        <v>2.1574674057600884E-2</v>
      </c>
      <c r="Z1762" s="201">
        <v>2.1560864058374207E-2</v>
      </c>
    </row>
    <row r="1763" spans="22:26" x14ac:dyDescent="0.2">
      <c r="V1763" s="202" t="str">
        <f t="shared" si="36"/>
        <v>1w</v>
      </c>
      <c r="W1763" s="200">
        <f>_xll.qlCalendarAdvance(Calendar,W1762,V1763,"f",FALSE)</f>
        <v>51243</v>
      </c>
      <c r="X1763" s="203">
        <f>_xll.qlCalendarAdvance(Calendar,W1763,NDays&amp;"D")</f>
        <v>51245</v>
      </c>
      <c r="Y1763" s="204">
        <v>2.1571898247379206E-2</v>
      </c>
      <c r="Z1763" s="201">
        <v>2.1558035174926715E-2</v>
      </c>
    </row>
    <row r="1764" spans="22:26" x14ac:dyDescent="0.2">
      <c r="V1764" s="202" t="str">
        <f t="shared" si="36"/>
        <v>1w</v>
      </c>
      <c r="W1764" s="200">
        <f>_xll.qlCalendarAdvance(Calendar,W1763,V1764,"f",FALSE)</f>
        <v>51250</v>
      </c>
      <c r="X1764" s="203">
        <f>_xll.qlCalendarAdvance(Calendar,W1764,NDays&amp;"D")</f>
        <v>51252</v>
      </c>
      <c r="Y1764" s="204">
        <v>2.1569148779573277E-2</v>
      </c>
      <c r="Z1764" s="201">
        <v>2.1555232584606898E-2</v>
      </c>
    </row>
    <row r="1765" spans="22:26" x14ac:dyDescent="0.2">
      <c r="V1765" s="202" t="str">
        <f t="shared" si="36"/>
        <v>1w</v>
      </c>
      <c r="W1765" s="200">
        <f>_xll.qlCalendarAdvance(Calendar,W1764,V1765,"f",FALSE)</f>
        <v>51258</v>
      </c>
      <c r="X1765" s="203">
        <f>_xll.qlCalendarAdvance(Calendar,W1765,NDays&amp;"D")</f>
        <v>51260</v>
      </c>
      <c r="Y1765" s="204">
        <v>2.1565585191863516E-2</v>
      </c>
      <c r="Z1765" s="201">
        <v>2.1552958299766445E-2</v>
      </c>
    </row>
    <row r="1766" spans="22:26" x14ac:dyDescent="0.2">
      <c r="V1766" s="202" t="str">
        <f t="shared" si="36"/>
        <v>1w</v>
      </c>
      <c r="W1766" s="200">
        <f>_xll.qlCalendarAdvance(Calendar,W1765,V1766,"f",FALSE)</f>
        <v>51265</v>
      </c>
      <c r="X1766" s="203">
        <f>_xll.qlCalendarAdvance(Calendar,W1766,NDays&amp;"D")</f>
        <v>51267</v>
      </c>
      <c r="Y1766" s="204">
        <v>2.1562890451685423E-2</v>
      </c>
      <c r="Z1766" s="201">
        <v>2.1550215479075874E-2</v>
      </c>
    </row>
    <row r="1767" spans="22:26" x14ac:dyDescent="0.2">
      <c r="V1767" s="202" t="str">
        <f t="shared" si="36"/>
        <v>1w</v>
      </c>
      <c r="W1767" s="200">
        <f>_xll.qlCalendarAdvance(Calendar,W1766,V1767,"f",FALSE)</f>
        <v>51272</v>
      </c>
      <c r="X1767" s="203">
        <f>_xll.qlCalendarAdvance(Calendar,W1767,NDays&amp;"D")</f>
        <v>51274</v>
      </c>
      <c r="Y1767" s="204">
        <v>2.1560222052256262E-2</v>
      </c>
      <c r="Z1767" s="201">
        <v>2.1547498954470612E-2</v>
      </c>
    </row>
    <row r="1768" spans="22:26" x14ac:dyDescent="0.2">
      <c r="V1768" s="202" t="str">
        <f t="shared" si="36"/>
        <v>1w</v>
      </c>
      <c r="W1768" s="200">
        <f>_xll.qlCalendarAdvance(Calendar,W1767,V1768,"f",FALSE)</f>
        <v>51279</v>
      </c>
      <c r="X1768" s="203">
        <f>_xll.qlCalendarAdvance(Calendar,W1768,NDays&amp;"D")</f>
        <v>51281</v>
      </c>
      <c r="Y1768" s="204">
        <v>2.1557579993565727E-2</v>
      </c>
      <c r="Z1768" s="201">
        <v>2.154480872600395E-2</v>
      </c>
    </row>
    <row r="1769" spans="22:26" x14ac:dyDescent="0.2">
      <c r="V1769" s="202" t="str">
        <f t="shared" si="36"/>
        <v>1w</v>
      </c>
      <c r="W1769" s="200">
        <f>_xll.qlCalendarAdvance(Calendar,W1768,V1769,"f",FALSE)</f>
        <v>51286</v>
      </c>
      <c r="X1769" s="203">
        <f>_xll.qlCalendarAdvance(Calendar,W1769,NDays&amp;"D")</f>
        <v>51288</v>
      </c>
      <c r="Y1769" s="204">
        <v>2.1554964275590602E-2</v>
      </c>
      <c r="Z1769" s="201">
        <v>2.1542144793595952E-2</v>
      </c>
    </row>
    <row r="1770" spans="22:26" x14ac:dyDescent="0.2">
      <c r="V1770" s="202" t="str">
        <f t="shared" si="36"/>
        <v>1w</v>
      </c>
      <c r="W1770" s="200">
        <f>_xll.qlCalendarAdvance(Calendar,W1769,V1770,"f",FALSE)</f>
        <v>51293</v>
      </c>
      <c r="X1770" s="203">
        <f>_xll.qlCalendarAdvance(Calendar,W1770,NDays&amp;"D")</f>
        <v>51295</v>
      </c>
      <c r="Y1770" s="204">
        <v>2.1552374898318002E-2</v>
      </c>
      <c r="Z1770" s="201">
        <v>2.1539507157326554E-2</v>
      </c>
    </row>
    <row r="1771" spans="22:26" x14ac:dyDescent="0.2">
      <c r="V1771" s="202" t="str">
        <f t="shared" si="36"/>
        <v>1w</v>
      </c>
      <c r="W1771" s="200">
        <f>_xll.qlCalendarAdvance(Calendar,W1770,V1771,"f",FALSE)</f>
        <v>51300</v>
      </c>
      <c r="X1771" s="203">
        <f>_xll.qlCalendarAdvance(Calendar,W1771,NDays&amp;"D")</f>
        <v>51302</v>
      </c>
      <c r="Y1771" s="204">
        <v>2.1549811861724721E-2</v>
      </c>
      <c r="Z1771" s="201">
        <v>2.153689581711582E-2</v>
      </c>
    </row>
    <row r="1772" spans="22:26" x14ac:dyDescent="0.2">
      <c r="V1772" s="202" t="str">
        <f t="shared" si="36"/>
        <v>1w</v>
      </c>
      <c r="W1772" s="200">
        <f>_xll.qlCalendarAdvance(Calendar,W1771,V1772,"f",FALSE)</f>
        <v>51307</v>
      </c>
      <c r="X1772" s="203">
        <f>_xll.qlCalendarAdvance(Calendar,W1772,NDays&amp;"D")</f>
        <v>51309</v>
      </c>
      <c r="Y1772" s="204">
        <v>2.1547275165800437E-2</v>
      </c>
      <c r="Z1772" s="201">
        <v>2.153431077301704E-2</v>
      </c>
    </row>
    <row r="1773" spans="22:26" x14ac:dyDescent="0.2">
      <c r="V1773" s="202" t="str">
        <f t="shared" si="36"/>
        <v>1w</v>
      </c>
      <c r="W1773" s="200">
        <f>_xll.qlCalendarAdvance(Calendar,W1772,V1773,"f",FALSE)</f>
        <v>51314</v>
      </c>
      <c r="X1773" s="203">
        <f>_xll.qlCalendarAdvance(Calendar,W1773,NDays&amp;"D")</f>
        <v>51316</v>
      </c>
      <c r="Y1773" s="204">
        <v>2.1545232212516474E-2</v>
      </c>
      <c r="Z1773" s="201">
        <v>2.153175202500357E-2</v>
      </c>
    </row>
    <row r="1774" spans="22:26" x14ac:dyDescent="0.2">
      <c r="V1774" s="202" t="str">
        <f t="shared" si="36"/>
        <v>1w</v>
      </c>
      <c r="W1774" s="200">
        <f>_xll.qlCalendarAdvance(Calendar,W1773,V1774,"f",FALSE)</f>
        <v>51321</v>
      </c>
      <c r="X1774" s="203">
        <f>_xll.qlCalendarAdvance(Calendar,W1774,NDays&amp;"D")</f>
        <v>51323</v>
      </c>
      <c r="Y1774" s="204">
        <v>2.1542280795876358E-2</v>
      </c>
      <c r="Z1774" s="201">
        <v>2.1529219573102054E-2</v>
      </c>
    </row>
    <row r="1775" spans="22:26" x14ac:dyDescent="0.2">
      <c r="V1775" s="202" t="str">
        <f t="shared" si="36"/>
        <v>1w</v>
      </c>
      <c r="W1775" s="200">
        <f>_xll.qlCalendarAdvance(Calendar,W1774,V1775,"f",FALSE)</f>
        <v>51328</v>
      </c>
      <c r="X1775" s="203">
        <f>_xll.qlCalendarAdvance(Calendar,W1775,NDays&amp;"D")</f>
        <v>51330</v>
      </c>
      <c r="Y1775" s="204">
        <v>2.1539823121840461E-2</v>
      </c>
      <c r="Z1775" s="201">
        <v>2.1526713417259202E-2</v>
      </c>
    </row>
    <row r="1776" spans="22:26" x14ac:dyDescent="0.2">
      <c r="V1776" s="202" t="str">
        <f t="shared" si="36"/>
        <v>1w</v>
      </c>
      <c r="W1776" s="200">
        <f>_xll.qlCalendarAdvance(Calendar,W1775,V1776,"f",FALSE)</f>
        <v>51335</v>
      </c>
      <c r="X1776" s="203">
        <f>_xll.qlCalendarAdvance(Calendar,W1776,NDays&amp;"D")</f>
        <v>51337</v>
      </c>
      <c r="Y1776" s="204">
        <v>2.1537391788403946E-2</v>
      </c>
      <c r="Z1776" s="201">
        <v>2.152423355750166E-2</v>
      </c>
    </row>
    <row r="1777" spans="22:26" x14ac:dyDescent="0.2">
      <c r="V1777" s="202" t="str">
        <f t="shared" si="36"/>
        <v>1w</v>
      </c>
      <c r="W1777" s="200">
        <f>_xll.qlCalendarAdvance(Calendar,W1776,V1777,"f",FALSE)</f>
        <v>51342</v>
      </c>
      <c r="X1777" s="203">
        <f>_xll.qlCalendarAdvance(Calendar,W1777,NDays&amp;"D")</f>
        <v>51344</v>
      </c>
      <c r="Y1777" s="204">
        <v>2.1534986795548758E-2</v>
      </c>
      <c r="Z1777" s="201">
        <v>2.1521779993829426E-2</v>
      </c>
    </row>
    <row r="1778" spans="22:26" x14ac:dyDescent="0.2">
      <c r="V1778" s="202" t="str">
        <f t="shared" si="36"/>
        <v>1w</v>
      </c>
      <c r="W1778" s="200">
        <f>_xll.qlCalendarAdvance(Calendar,W1777,V1778,"f",FALSE)</f>
        <v>51349</v>
      </c>
      <c r="X1778" s="203">
        <f>_xll.qlCalendarAdvance(Calendar,W1778,NDays&amp;"D")</f>
        <v>51351</v>
      </c>
      <c r="Y1778" s="204">
        <v>2.1532608143254271E-2</v>
      </c>
      <c r="Z1778" s="201">
        <v>2.1519352726242502E-2</v>
      </c>
    </row>
    <row r="1779" spans="22:26" x14ac:dyDescent="0.2">
      <c r="V1779" s="202" t="str">
        <f t="shared" si="36"/>
        <v>1w</v>
      </c>
      <c r="W1779" s="200">
        <f>_xll.qlCalendarAdvance(Calendar,W1778,V1779,"f",FALSE)</f>
        <v>51356</v>
      </c>
      <c r="X1779" s="203">
        <f>_xll.qlCalendarAdvance(Calendar,W1779,NDays&amp;"D")</f>
        <v>51358</v>
      </c>
      <c r="Y1779" s="204">
        <v>2.1530255831512749E-2</v>
      </c>
      <c r="Z1779" s="201">
        <v>2.1516951754740887E-2</v>
      </c>
    </row>
    <row r="1780" spans="22:26" x14ac:dyDescent="0.2">
      <c r="V1780" s="202" t="str">
        <f t="shared" si="36"/>
        <v>1w</v>
      </c>
      <c r="W1780" s="200">
        <f>_xll.qlCalendarAdvance(Calendar,W1779,V1780,"f",FALSE)</f>
        <v>51363</v>
      </c>
      <c r="X1780" s="203">
        <f>_xll.qlCalendarAdvance(Calendar,W1780,NDays&amp;"D")</f>
        <v>51365</v>
      </c>
      <c r="Y1780" s="204">
        <v>2.1527929860300981E-2</v>
      </c>
      <c r="Z1780" s="201">
        <v>2.1514577079324582E-2</v>
      </c>
    </row>
    <row r="1781" spans="22:26" x14ac:dyDescent="0.2">
      <c r="V1781" s="202" t="str">
        <f t="shared" si="36"/>
        <v>1w</v>
      </c>
      <c r="W1781" s="200">
        <f>_xll.qlCalendarAdvance(Calendar,W1780,V1781,"f",FALSE)</f>
        <v>51370</v>
      </c>
      <c r="X1781" s="203">
        <f>_xll.qlCalendarAdvance(Calendar,W1781,NDays&amp;"D")</f>
        <v>51372</v>
      </c>
      <c r="Y1781" s="204">
        <v>2.1525630229606081E-2</v>
      </c>
      <c r="Z1781" s="201">
        <v>2.1512228699993585E-2</v>
      </c>
    </row>
    <row r="1782" spans="22:26" x14ac:dyDescent="0.2">
      <c r="V1782" s="202" t="str">
        <f t="shared" si="36"/>
        <v>1w</v>
      </c>
      <c r="W1782" s="200">
        <f>_xll.qlCalendarAdvance(Calendar,W1781,V1782,"f",FALSE)</f>
        <v>51377</v>
      </c>
      <c r="X1782" s="203">
        <f>_xll.qlCalendarAdvance(Calendar,W1782,NDays&amp;"D")</f>
        <v>51379</v>
      </c>
      <c r="Y1782" s="204">
        <v>2.1521908882866012E-2</v>
      </c>
      <c r="Z1782" s="201">
        <v>2.1509906616721253E-2</v>
      </c>
    </row>
    <row r="1783" spans="22:26" x14ac:dyDescent="0.2">
      <c r="V1783" s="202" t="str">
        <f t="shared" si="36"/>
        <v>1w</v>
      </c>
      <c r="W1783" s="200">
        <f>_xll.qlCalendarAdvance(Calendar,W1782,V1783,"f",FALSE)</f>
        <v>51384</v>
      </c>
      <c r="X1783" s="203">
        <f>_xll.qlCalendarAdvance(Calendar,W1783,NDays&amp;"D")</f>
        <v>51386</v>
      </c>
      <c r="Y1783" s="204">
        <v>2.1521109989702407E-2</v>
      </c>
      <c r="Z1783" s="201">
        <v>2.1507610829534229E-2</v>
      </c>
    </row>
    <row r="1784" spans="22:26" x14ac:dyDescent="0.2">
      <c r="V1784" s="202" t="str">
        <f t="shared" si="36"/>
        <v>1w</v>
      </c>
      <c r="W1784" s="200">
        <f>_xll.qlCalendarAdvance(Calendar,W1783,V1784,"f",FALSE)</f>
        <v>51391</v>
      </c>
      <c r="X1784" s="203">
        <f>_xll.qlCalendarAdvance(Calendar,W1784,NDays&amp;"D")</f>
        <v>51393</v>
      </c>
      <c r="Y1784" s="204">
        <v>2.1518889380462692E-2</v>
      </c>
      <c r="Z1784" s="201">
        <v>2.150534133840587E-2</v>
      </c>
    </row>
    <row r="1785" spans="22:26" x14ac:dyDescent="0.2">
      <c r="V1785" s="202" t="str">
        <f t="shared" si="36"/>
        <v>1w</v>
      </c>
      <c r="W1785" s="200">
        <f>_xll.qlCalendarAdvance(Calendar,W1784,V1785,"f",FALSE)</f>
        <v>51398</v>
      </c>
      <c r="X1785" s="203">
        <f>_xll.qlCalendarAdvance(Calendar,W1785,NDays&amp;"D")</f>
        <v>51400</v>
      </c>
      <c r="Y1785" s="204">
        <v>2.1516695111680535E-2</v>
      </c>
      <c r="Z1785" s="201">
        <v>2.150309814336282E-2</v>
      </c>
    </row>
    <row r="1786" spans="22:26" x14ac:dyDescent="0.2">
      <c r="V1786" s="202" t="str">
        <f t="shared" si="36"/>
        <v>1w</v>
      </c>
      <c r="W1786" s="200">
        <f>_xll.qlCalendarAdvance(Calendar,W1785,V1786,"f",FALSE)</f>
        <v>51405</v>
      </c>
      <c r="X1786" s="203">
        <f>_xll.qlCalendarAdvance(Calendar,W1786,NDays&amp;"D")</f>
        <v>51407</v>
      </c>
      <c r="Y1786" s="204">
        <v>2.1515507481508971E-2</v>
      </c>
      <c r="Z1786" s="201">
        <v>2.1500881244405079E-2</v>
      </c>
    </row>
    <row r="1787" spans="22:26" x14ac:dyDescent="0.2">
      <c r="V1787" s="202" t="str">
        <f t="shared" si="36"/>
        <v>1w</v>
      </c>
      <c r="W1787" s="200">
        <f>_xll.qlCalendarAdvance(Calendar,W1786,V1787,"f",FALSE)</f>
        <v>51412</v>
      </c>
      <c r="X1787" s="203">
        <f>_xll.qlCalendarAdvance(Calendar,W1787,NDays&amp;"D")</f>
        <v>51414</v>
      </c>
      <c r="Y1787" s="204">
        <v>2.151238559541669E-2</v>
      </c>
      <c r="Z1787" s="201">
        <v>2.1498690641479357E-2</v>
      </c>
    </row>
    <row r="1788" spans="22:26" x14ac:dyDescent="0.2">
      <c r="V1788" s="202" t="str">
        <f t="shared" si="36"/>
        <v>1w</v>
      </c>
      <c r="W1788" s="200">
        <f>_xll.qlCalendarAdvance(Calendar,W1787,V1788,"f",FALSE)</f>
        <v>51419</v>
      </c>
      <c r="X1788" s="203">
        <f>_xll.qlCalendarAdvance(Calendar,W1788,NDays&amp;"D")</f>
        <v>51421</v>
      </c>
      <c r="Y1788" s="204">
        <v>2.1510270347909217E-2</v>
      </c>
      <c r="Z1788" s="201">
        <v>2.1496526334665589E-2</v>
      </c>
    </row>
    <row r="1789" spans="22:26" x14ac:dyDescent="0.2">
      <c r="V1789" s="202" t="str">
        <f t="shared" si="36"/>
        <v>1w</v>
      </c>
      <c r="W1789" s="200">
        <f>_xll.qlCalendarAdvance(Calendar,W1788,V1789,"f",FALSE)</f>
        <v>51426</v>
      </c>
      <c r="X1789" s="203">
        <f>_xll.qlCalendarAdvance(Calendar,W1789,NDays&amp;"D")</f>
        <v>51428</v>
      </c>
      <c r="Y1789" s="204">
        <v>2.1508181440797417E-2</v>
      </c>
      <c r="Z1789" s="201">
        <v>2.149438832388384E-2</v>
      </c>
    </row>
    <row r="1790" spans="22:26" x14ac:dyDescent="0.2">
      <c r="V1790" s="202" t="str">
        <f t="shared" si="36"/>
        <v>1w</v>
      </c>
      <c r="W1790" s="200">
        <f>_xll.qlCalendarAdvance(Calendar,W1789,V1790,"f",FALSE)</f>
        <v>51433</v>
      </c>
      <c r="X1790" s="203">
        <f>_xll.qlCalendarAdvance(Calendar,W1790,NDays&amp;"D")</f>
        <v>51435</v>
      </c>
      <c r="Y1790" s="204">
        <v>2.1506118874068392E-2</v>
      </c>
      <c r="Z1790" s="201">
        <v>2.1492276609160754E-2</v>
      </c>
    </row>
    <row r="1791" spans="22:26" x14ac:dyDescent="0.2">
      <c r="V1791" s="202" t="str">
        <f t="shared" si="36"/>
        <v>1w</v>
      </c>
      <c r="W1791" s="200">
        <f>_xll.qlCalendarAdvance(Calendar,W1790,V1791,"f",FALSE)</f>
        <v>51440</v>
      </c>
      <c r="X1791" s="203">
        <f>_xll.qlCalendarAdvance(Calendar,W1791,NDays&amp;"D")</f>
        <v>51442</v>
      </c>
      <c r="Y1791" s="204">
        <v>2.1504082647709255E-2</v>
      </c>
      <c r="Z1791" s="201">
        <v>2.1490191190522978E-2</v>
      </c>
    </row>
    <row r="1792" spans="22:26" x14ac:dyDescent="0.2">
      <c r="V1792" s="202" t="str">
        <f t="shared" si="36"/>
        <v>1w</v>
      </c>
      <c r="W1792" s="200">
        <f>_xll.qlCalendarAdvance(Calendar,W1791,V1792,"f",FALSE)</f>
        <v>51447</v>
      </c>
      <c r="X1792" s="203">
        <f>_xll.qlCalendarAdvance(Calendar,W1792,NDays&amp;"D")</f>
        <v>51449</v>
      </c>
      <c r="Y1792" s="204">
        <v>2.1502072761699371E-2</v>
      </c>
      <c r="Z1792" s="201">
        <v>2.1488132067943866E-2</v>
      </c>
    </row>
    <row r="1793" spans="22:26" x14ac:dyDescent="0.2">
      <c r="V1793" s="202" t="str">
        <f t="shared" si="36"/>
        <v>1w</v>
      </c>
      <c r="W1793" s="200">
        <f>_xll.qlCalendarAdvance(Calendar,W1792,V1793,"f",FALSE)</f>
        <v>51454</v>
      </c>
      <c r="X1793" s="203">
        <f>_xll.qlCalendarAdvance(Calendar,W1793,NDays&amp;"D")</f>
        <v>51456</v>
      </c>
      <c r="Y1793" s="204">
        <v>2.1500089216036168E-2</v>
      </c>
      <c r="Z1793" s="201">
        <v>2.1486099241423418E-2</v>
      </c>
    </row>
    <row r="1794" spans="22:26" x14ac:dyDescent="0.2">
      <c r="V1794" s="202" t="str">
        <f t="shared" si="36"/>
        <v>1w</v>
      </c>
      <c r="W1794" s="200">
        <f>_xll.qlCalendarAdvance(Calendar,W1793,V1794,"f",FALSE)</f>
        <v>51461</v>
      </c>
      <c r="X1794" s="203">
        <f>_xll.qlCalendarAdvance(Calendar,W1794,NDays&amp;"D")</f>
        <v>51463</v>
      </c>
      <c r="Y1794" s="204">
        <v>2.1498132010696433E-2</v>
      </c>
      <c r="Z1794" s="201">
        <v>2.1484092710961633E-2</v>
      </c>
    </row>
    <row r="1795" spans="22:26" x14ac:dyDescent="0.2">
      <c r="V1795" s="202" t="str">
        <f t="shared" si="36"/>
        <v>1w</v>
      </c>
      <c r="W1795" s="200">
        <f>_xll.qlCalendarAdvance(Calendar,W1794,V1795,"f",FALSE)</f>
        <v>51468</v>
      </c>
      <c r="X1795" s="203">
        <f>_xll.qlCalendarAdvance(Calendar,W1795,NDays&amp;"D")</f>
        <v>51470</v>
      </c>
      <c r="Y1795" s="204">
        <v>2.1496201145672435E-2</v>
      </c>
      <c r="Z1795" s="201">
        <v>2.1482112476585158E-2</v>
      </c>
    </row>
    <row r="1796" spans="22:26" x14ac:dyDescent="0.2">
      <c r="V1796" s="202" t="str">
        <f t="shared" si="36"/>
        <v>1w</v>
      </c>
      <c r="W1796" s="200">
        <f>_xll.qlCalendarAdvance(Calendar,W1795,V1796,"f",FALSE)</f>
        <v>51475</v>
      </c>
      <c r="X1796" s="203">
        <f>_xll.qlCalendarAdvance(Calendar,W1796,NDays&amp;"D")</f>
        <v>51477</v>
      </c>
      <c r="Y1796" s="204">
        <v>2.1494296620946124E-2</v>
      </c>
      <c r="Z1796" s="201">
        <v>2.148015853818741E-2</v>
      </c>
    </row>
    <row r="1797" spans="22:26" x14ac:dyDescent="0.2">
      <c r="V1797" s="202" t="str">
        <f t="shared" si="36"/>
        <v>1w</v>
      </c>
      <c r="W1797" s="200">
        <f>_xll.qlCalendarAdvance(Calendar,W1796,V1797,"f",FALSE)</f>
        <v>51482</v>
      </c>
      <c r="X1797" s="203">
        <f>_xll.qlCalendarAdvance(Calendar,W1797,NDays&amp;"D")</f>
        <v>51484</v>
      </c>
      <c r="Y1797" s="204">
        <v>2.1492418436509758E-2</v>
      </c>
      <c r="Z1797" s="201">
        <v>2.1478230895928263E-2</v>
      </c>
    </row>
    <row r="1798" spans="22:26" x14ac:dyDescent="0.2">
      <c r="V1798" s="202" t="str">
        <f t="shared" si="36"/>
        <v>1w</v>
      </c>
      <c r="W1798" s="200">
        <f>_xll.qlCalendarAdvance(Calendar,W1797,V1798,"f",FALSE)</f>
        <v>51489</v>
      </c>
      <c r="X1798" s="203">
        <f>_xll.qlCalendarAdvance(Calendar,W1798,NDays&amp;"D")</f>
        <v>51491</v>
      </c>
      <c r="Y1798" s="204">
        <v>2.1490566592350453E-2</v>
      </c>
      <c r="Z1798" s="201">
        <v>2.1476329549674489E-2</v>
      </c>
    </row>
    <row r="1799" spans="22:26" x14ac:dyDescent="0.2">
      <c r="V1799" s="202" t="str">
        <f t="shared" si="36"/>
        <v>1w</v>
      </c>
      <c r="W1799" s="200">
        <f>_xll.qlCalendarAdvance(Calendar,W1798,V1799,"f",FALSE)</f>
        <v>51497</v>
      </c>
      <c r="X1799" s="203">
        <f>_xll.qlCalendarAdvance(Calendar,W1799,NDays&amp;"D")</f>
        <v>51501</v>
      </c>
      <c r="Y1799" s="204">
        <v>2.1487966792981119E-2</v>
      </c>
      <c r="Z1799" s="201">
        <v>2.1473150700996868E-2</v>
      </c>
    </row>
    <row r="1800" spans="22:26" x14ac:dyDescent="0.2">
      <c r="V1800" s="202" t="str">
        <f t="shared" si="36"/>
        <v>1w</v>
      </c>
      <c r="W1800" s="200">
        <f>_xll.qlCalendarAdvance(Calendar,W1799,V1800,"f",FALSE)</f>
        <v>51504</v>
      </c>
      <c r="X1800" s="203">
        <f>_xll.qlCalendarAdvance(Calendar,W1800,NDays&amp;"D")</f>
        <v>51508</v>
      </c>
      <c r="Y1800" s="204">
        <v>2.1486178918007887E-2</v>
      </c>
      <c r="Z1800" s="201">
        <v>2.1470801612952783E-2</v>
      </c>
    </row>
    <row r="1801" spans="22:26" x14ac:dyDescent="0.2">
      <c r="V1801" s="202" t="str">
        <f t="shared" si="36"/>
        <v>1w</v>
      </c>
      <c r="W1801" s="200">
        <f>_xll.qlCalendarAdvance(Calendar,W1800,V1801,"f",FALSE)</f>
        <v>51511</v>
      </c>
      <c r="X1801" s="203">
        <f>_xll.qlCalendarAdvance(Calendar,W1801,NDays&amp;"D")</f>
        <v>51515</v>
      </c>
      <c r="Y1801" s="204">
        <v>2.1484417383267878E-2</v>
      </c>
      <c r="Z1801" s="201">
        <v>2.1468986884425334E-2</v>
      </c>
    </row>
    <row r="1802" spans="22:26" x14ac:dyDescent="0.2">
      <c r="V1802" s="202" t="str">
        <f t="shared" si="36"/>
        <v>1w</v>
      </c>
      <c r="W1802" s="200">
        <f>_xll.qlCalendarAdvance(Calendar,W1801,V1802,"f",FALSE)</f>
        <v>51518</v>
      </c>
      <c r="X1802" s="203">
        <f>_xll.qlCalendarAdvance(Calendar,W1802,NDays&amp;"D")</f>
        <v>51522</v>
      </c>
      <c r="Y1802" s="204">
        <v>2.1482682188748194E-2</v>
      </c>
      <c r="Z1802" s="201">
        <v>2.1467198448865688E-2</v>
      </c>
    </row>
    <row r="1803" spans="22:26" x14ac:dyDescent="0.2">
      <c r="V1803" s="202" t="str">
        <f t="shared" si="36"/>
        <v>1w</v>
      </c>
      <c r="W1803" s="200">
        <f>_xll.qlCalendarAdvance(Calendar,W1802,V1803,"f",FALSE)</f>
        <v>51525</v>
      </c>
      <c r="X1803" s="203">
        <f>_xll.qlCalendarAdvance(Calendar,W1803,NDays&amp;"D")</f>
        <v>51529</v>
      </c>
      <c r="Y1803" s="204">
        <v>2.1480973334438526E-2</v>
      </c>
      <c r="Z1803" s="201">
        <v>2.1465436306193908E-2</v>
      </c>
    </row>
    <row r="1804" spans="22:26" x14ac:dyDescent="0.2">
      <c r="V1804" s="202" t="str">
        <f t="shared" si="36"/>
        <v>1w</v>
      </c>
      <c r="W1804" s="200">
        <f>_xll.qlCalendarAdvance(Calendar,W1803,V1804,"f",FALSE)</f>
        <v>51532</v>
      </c>
      <c r="X1804" s="203">
        <f>_xll.qlCalendarAdvance(Calendar,W1804,NDays&amp;"D")</f>
        <v>51536</v>
      </c>
      <c r="Y1804" s="204">
        <v>2.1477724079418552E-2</v>
      </c>
      <c r="Z1804" s="201">
        <v>2.1463700456330059E-2</v>
      </c>
    </row>
    <row r="1805" spans="22:26" x14ac:dyDescent="0.2">
      <c r="V1805" s="202" t="str">
        <f t="shared" si="36"/>
        <v>1w</v>
      </c>
      <c r="W1805" s="200">
        <f>_xll.qlCalendarAdvance(Calendar,W1804,V1805,"f",FALSE)</f>
        <v>51539</v>
      </c>
      <c r="X1805" s="203">
        <f>_xll.qlCalendarAdvance(Calendar,W1805,NDays&amp;"D")</f>
        <v>51543</v>
      </c>
      <c r="Y1805" s="204">
        <v>2.1476062558314992E-2</v>
      </c>
      <c r="Z1805" s="201">
        <v>2.146199089951395E-2</v>
      </c>
    </row>
    <row r="1806" spans="22:26" x14ac:dyDescent="0.2">
      <c r="V1806" s="202" t="str">
        <f t="shared" si="36"/>
        <v>1w</v>
      </c>
      <c r="W1806" s="200">
        <f>_xll.qlCalendarAdvance(Calendar,W1805,V1806,"f",FALSE)</f>
        <v>51546</v>
      </c>
      <c r="X1806" s="203">
        <f>_xll.qlCalendarAdvance(Calendar,W1806,NDays&amp;"D")</f>
        <v>51550</v>
      </c>
      <c r="Y1806" s="204">
        <v>2.1474427372656684E-2</v>
      </c>
      <c r="Z1806" s="201">
        <v>2.1460307635505771E-2</v>
      </c>
    </row>
    <row r="1807" spans="22:26" x14ac:dyDescent="0.2">
      <c r="V1807" s="202" t="str">
        <f t="shared" si="36"/>
        <v>1w</v>
      </c>
      <c r="W1807" s="200">
        <f>_xll.qlCalendarAdvance(Calendar,W1806,V1807,"f",FALSE)</f>
        <v>51553</v>
      </c>
      <c r="X1807" s="203">
        <f>_xll.qlCalendarAdvance(Calendar,W1807,NDays&amp;"D")</f>
        <v>51557</v>
      </c>
      <c r="Y1807" s="204">
        <v>2.1472818522435069E-2</v>
      </c>
      <c r="Z1807" s="201">
        <v>2.1458650664465395E-2</v>
      </c>
    </row>
    <row r="1808" spans="22:26" x14ac:dyDescent="0.2">
      <c r="V1808" s="202" t="str">
        <f t="shared" si="36"/>
        <v>1w</v>
      </c>
      <c r="W1808" s="200">
        <f>_xll.qlCalendarAdvance(Calendar,W1807,V1808,"f",FALSE)</f>
        <v>51560</v>
      </c>
      <c r="X1808" s="203">
        <f>_xll.qlCalendarAdvance(Calendar,W1808,NDays&amp;"D")</f>
        <v>51564</v>
      </c>
      <c r="Y1808" s="204">
        <v>2.1472824165622646E-2</v>
      </c>
      <c r="Z1808" s="201">
        <v>2.145701998623295E-2</v>
      </c>
    </row>
    <row r="1809" spans="22:26" x14ac:dyDescent="0.2">
      <c r="V1809" s="202" t="str">
        <f t="shared" si="36"/>
        <v>1w</v>
      </c>
      <c r="W1809" s="200">
        <f>_xll.qlCalendarAdvance(Calendar,W1808,V1809,"f",FALSE)</f>
        <v>51567</v>
      </c>
      <c r="X1809" s="203">
        <f>_xll.qlCalendarAdvance(Calendar,W1809,NDays&amp;"D")</f>
        <v>51571</v>
      </c>
      <c r="Y1809" s="204">
        <v>2.1471273352330667E-2</v>
      </c>
      <c r="Z1809" s="201">
        <v>2.1455415600968308E-2</v>
      </c>
    </row>
    <row r="1810" spans="22:26" x14ac:dyDescent="0.2">
      <c r="V1810" s="202" t="str">
        <f t="shared" si="36"/>
        <v>1w</v>
      </c>
      <c r="W1810" s="200">
        <f>_xll.qlCalendarAdvance(Calendar,W1809,V1810,"f",FALSE)</f>
        <v>51574</v>
      </c>
      <c r="X1810" s="203">
        <f>_xll.qlCalendarAdvance(Calendar,W1810,NDays&amp;"D")</f>
        <v>51578</v>
      </c>
      <c r="Y1810" s="204">
        <v>2.1469748879168766E-2</v>
      </c>
      <c r="Z1810" s="201">
        <v>2.1453837508511597E-2</v>
      </c>
    </row>
    <row r="1811" spans="22:26" x14ac:dyDescent="0.2">
      <c r="V1811" s="202" t="str">
        <f t="shared" si="36"/>
        <v>1w</v>
      </c>
      <c r="W1811" s="200">
        <f>_xll.qlCalendarAdvance(Calendar,W1810,V1811,"f",FALSE)</f>
        <v>51581</v>
      </c>
      <c r="X1811" s="203">
        <f>_xll.qlCalendarAdvance(Calendar,W1811,NDays&amp;"D")</f>
        <v>51585</v>
      </c>
      <c r="Y1811" s="204">
        <v>2.1468250746124049E-2</v>
      </c>
      <c r="Z1811" s="201">
        <v>2.1452285708942753E-2</v>
      </c>
    </row>
    <row r="1812" spans="22:26" x14ac:dyDescent="0.2">
      <c r="V1812" s="202" t="str">
        <f t="shared" si="36"/>
        <v>1w</v>
      </c>
      <c r="W1812" s="200">
        <f>_xll.qlCalendarAdvance(Calendar,W1811,V1812,"f",FALSE)</f>
        <v>51588</v>
      </c>
      <c r="X1812" s="203">
        <f>_xll.qlCalendarAdvance(Calendar,W1812,NDays&amp;"D")</f>
        <v>51592</v>
      </c>
      <c r="Y1812" s="204">
        <v>2.1466778953199098E-2</v>
      </c>
      <c r="Z1812" s="201">
        <v>2.1450760202341712E-2</v>
      </c>
    </row>
    <row r="1813" spans="22:26" x14ac:dyDescent="0.2">
      <c r="V1813" s="202" t="str">
        <f t="shared" ref="V1813:V1876" si="37">V1812</f>
        <v>1w</v>
      </c>
      <c r="W1813" s="200">
        <f>_xll.qlCalendarAdvance(Calendar,W1812,V1813,"f",FALSE)</f>
        <v>51595</v>
      </c>
      <c r="X1813" s="203">
        <f>_xll.qlCalendarAdvance(Calendar,W1813,NDays&amp;"D")</f>
        <v>51599</v>
      </c>
      <c r="Y1813" s="204">
        <v>2.1464794962618328E-2</v>
      </c>
      <c r="Z1813" s="201">
        <v>2.1449260988548602E-2</v>
      </c>
    </row>
    <row r="1814" spans="22:26" x14ac:dyDescent="0.2">
      <c r="V1814" s="202" t="str">
        <f t="shared" si="37"/>
        <v>1w</v>
      </c>
      <c r="W1814" s="200">
        <f>_xll.qlCalendarAdvance(Calendar,W1813,V1814,"f",FALSE)</f>
        <v>51602</v>
      </c>
      <c r="X1814" s="203">
        <f>_xll.qlCalendarAdvance(Calendar,W1814,NDays&amp;"D")</f>
        <v>51606</v>
      </c>
      <c r="Y1814" s="204">
        <v>2.1463374053092288E-2</v>
      </c>
      <c r="Z1814" s="201">
        <v>2.1447788067723295E-2</v>
      </c>
    </row>
    <row r="1815" spans="22:26" x14ac:dyDescent="0.2">
      <c r="V1815" s="202" t="str">
        <f t="shared" si="37"/>
        <v>1w</v>
      </c>
      <c r="W1815" s="200">
        <f>_xll.qlCalendarAdvance(Calendar,W1814,V1815,"f",FALSE)</f>
        <v>51609</v>
      </c>
      <c r="X1815" s="203">
        <f>_xll.qlCalendarAdvance(Calendar,W1815,NDays&amp;"D")</f>
        <v>51615</v>
      </c>
      <c r="Y1815" s="204">
        <v>2.1461585870892641E-2</v>
      </c>
      <c r="Z1815" s="201">
        <v>2.1445932946706492E-2</v>
      </c>
    </row>
    <row r="1816" spans="22:26" x14ac:dyDescent="0.2">
      <c r="V1816" s="202" t="str">
        <f t="shared" si="37"/>
        <v>1w</v>
      </c>
      <c r="W1816" s="200">
        <f>_xll.qlCalendarAdvance(Calendar,W1815,V1816,"f",FALSE)</f>
        <v>51616</v>
      </c>
      <c r="X1816" s="203">
        <f>_xll.qlCalendarAdvance(Calendar,W1816,NDays&amp;"D")</f>
        <v>51620</v>
      </c>
      <c r="Y1816" s="204">
        <v>2.1460611249549011E-2</v>
      </c>
      <c r="Z1816" s="201">
        <v>2.1444921104656345E-2</v>
      </c>
    </row>
    <row r="1817" spans="22:26" x14ac:dyDescent="0.2">
      <c r="V1817" s="202" t="str">
        <f t="shared" si="37"/>
        <v>1w</v>
      </c>
      <c r="W1817" s="200">
        <f>_xll.qlCalendarAdvance(Calendar,W1816,V1817,"f",FALSE)</f>
        <v>51623</v>
      </c>
      <c r="X1817" s="203">
        <f>_xll.qlCalendarAdvance(Calendar,W1817,NDays&amp;"D")</f>
        <v>51627</v>
      </c>
      <c r="Y1817" s="204">
        <v>2.1459815089867947E-2</v>
      </c>
      <c r="Z1817" s="201">
        <v>2.1443527062494638E-2</v>
      </c>
    </row>
    <row r="1818" spans="22:26" x14ac:dyDescent="0.2">
      <c r="V1818" s="202" t="str">
        <f t="shared" si="37"/>
        <v>1w</v>
      </c>
      <c r="W1818" s="200">
        <f>_xll.qlCalendarAdvance(Calendar,W1817,V1818,"f",FALSE)</f>
        <v>51630</v>
      </c>
      <c r="X1818" s="203">
        <f>_xll.qlCalendarAdvance(Calendar,W1818,NDays&amp;"D")</f>
        <v>51634</v>
      </c>
      <c r="Y1818" s="204">
        <v>2.1458501337401133E-2</v>
      </c>
      <c r="Z1818" s="201">
        <v>2.1442159313220799E-2</v>
      </c>
    </row>
    <row r="1819" spans="22:26" x14ac:dyDescent="0.2">
      <c r="V1819" s="202" t="str">
        <f t="shared" si="37"/>
        <v>1w</v>
      </c>
      <c r="W1819" s="200">
        <f>_xll.qlCalendarAdvance(Calendar,W1818,V1819,"f",FALSE)</f>
        <v>51637</v>
      </c>
      <c r="X1819" s="203">
        <f>_xll.qlCalendarAdvance(Calendar,W1819,NDays&amp;"D")</f>
        <v>51641</v>
      </c>
      <c r="Y1819" s="204">
        <v>2.1457213924979304E-2</v>
      </c>
      <c r="Z1819" s="201">
        <v>2.144081785675489E-2</v>
      </c>
    </row>
    <row r="1820" spans="22:26" x14ac:dyDescent="0.2">
      <c r="V1820" s="202" t="str">
        <f t="shared" si="37"/>
        <v>1w</v>
      </c>
      <c r="W1820" s="200">
        <f>_xll.qlCalendarAdvance(Calendar,W1819,V1820,"f",FALSE)</f>
        <v>51644</v>
      </c>
      <c r="X1820" s="203">
        <f>_xll.qlCalendarAdvance(Calendar,W1820,NDays&amp;"D")</f>
        <v>51648</v>
      </c>
      <c r="Y1820" s="204">
        <v>2.1455952852594721E-2</v>
      </c>
      <c r="Z1820" s="201">
        <v>2.1439502693256784E-2</v>
      </c>
    </row>
    <row r="1821" spans="22:26" x14ac:dyDescent="0.2">
      <c r="V1821" s="202" t="str">
        <f t="shared" si="37"/>
        <v>1w</v>
      </c>
      <c r="W1821" s="200">
        <f>_xll.qlCalendarAdvance(Calendar,W1820,V1821,"f",FALSE)</f>
        <v>51651</v>
      </c>
      <c r="X1821" s="203">
        <f>_xll.qlCalendarAdvance(Calendar,W1821,NDays&amp;"D")</f>
        <v>51655</v>
      </c>
      <c r="Y1821" s="204">
        <v>2.1454165164118244E-2</v>
      </c>
      <c r="Z1821" s="201">
        <v>2.143821382256661E-2</v>
      </c>
    </row>
    <row r="1822" spans="22:26" x14ac:dyDescent="0.2">
      <c r="V1822" s="202" t="str">
        <f t="shared" si="37"/>
        <v>1w</v>
      </c>
      <c r="W1822" s="200">
        <f>_xll.qlCalendarAdvance(Calendar,W1821,V1822,"f",FALSE)</f>
        <v>51658</v>
      </c>
      <c r="X1822" s="203">
        <f>_xll.qlCalendarAdvance(Calendar,W1822,NDays&amp;"D")</f>
        <v>51662</v>
      </c>
      <c r="Y1822" s="204">
        <v>2.1452954962406068E-2</v>
      </c>
      <c r="Z1822" s="201">
        <v>2.1436951244844238E-2</v>
      </c>
    </row>
    <row r="1823" spans="22:26" x14ac:dyDescent="0.2">
      <c r="V1823" s="202" t="str">
        <f t="shared" si="37"/>
        <v>1w</v>
      </c>
      <c r="W1823" s="200">
        <f>_xll.qlCalendarAdvance(Calendar,W1822,V1823,"f",FALSE)</f>
        <v>51665</v>
      </c>
      <c r="X1823" s="203">
        <f>_xll.qlCalendarAdvance(Calendar,W1823,NDays&amp;"D")</f>
        <v>51669</v>
      </c>
      <c r="Y1823" s="204">
        <v>2.1451771099134653E-2</v>
      </c>
      <c r="Z1823" s="201">
        <v>2.1435714960009733E-2</v>
      </c>
    </row>
    <row r="1824" spans="22:26" x14ac:dyDescent="0.2">
      <c r="V1824" s="202" t="str">
        <f t="shared" si="37"/>
        <v>1w</v>
      </c>
      <c r="W1824" s="200">
        <f>_xll.qlCalendarAdvance(Calendar,W1823,V1824,"f",FALSE)</f>
        <v>51672</v>
      </c>
      <c r="X1824" s="203">
        <f>_xll.qlCalendarAdvance(Calendar,W1824,NDays&amp;"D")</f>
        <v>51676</v>
      </c>
      <c r="Y1824" s="204">
        <v>2.1450613574293342E-2</v>
      </c>
      <c r="Z1824" s="201">
        <v>2.1434504968063095E-2</v>
      </c>
    </row>
    <row r="1825" spans="22:26" x14ac:dyDescent="0.2">
      <c r="V1825" s="202" t="str">
        <f t="shared" si="37"/>
        <v>1w</v>
      </c>
      <c r="W1825" s="200">
        <f>_xll.qlCalendarAdvance(Calendar,W1824,V1825,"f",FALSE)</f>
        <v>51679</v>
      </c>
      <c r="X1825" s="203">
        <f>_xll.qlCalendarAdvance(Calendar,W1825,NDays&amp;"D")</f>
        <v>51683</v>
      </c>
      <c r="Y1825" s="204">
        <v>2.145004259090821E-2</v>
      </c>
      <c r="Z1825" s="201">
        <v>2.1433321268924388E-2</v>
      </c>
    </row>
    <row r="1826" spans="22:26" x14ac:dyDescent="0.2">
      <c r="V1826" s="202" t="str">
        <f t="shared" si="37"/>
        <v>1w</v>
      </c>
      <c r="W1826" s="200">
        <f>_xll.qlCalendarAdvance(Calendar,W1825,V1826,"f",FALSE)</f>
        <v>51686</v>
      </c>
      <c r="X1826" s="203">
        <f>_xll.qlCalendarAdvance(Calendar,W1826,NDays&amp;"D")</f>
        <v>51690</v>
      </c>
      <c r="Y1826" s="204">
        <v>2.1448939558564039E-2</v>
      </c>
      <c r="Z1826" s="201">
        <v>2.1432163862673548E-2</v>
      </c>
    </row>
    <row r="1827" spans="22:26" x14ac:dyDescent="0.2">
      <c r="V1827" s="202" t="str">
        <f t="shared" si="37"/>
        <v>1w</v>
      </c>
      <c r="W1827" s="200">
        <f>_xll.qlCalendarAdvance(Calendar,W1826,V1827,"f",FALSE)</f>
        <v>51693</v>
      </c>
      <c r="X1827" s="203">
        <f>_xll.qlCalendarAdvance(Calendar,W1827,NDays&amp;"D")</f>
        <v>51697</v>
      </c>
      <c r="Y1827" s="204">
        <v>2.1447862866200384E-2</v>
      </c>
      <c r="Z1827" s="201">
        <v>2.1431032749470447E-2</v>
      </c>
    </row>
    <row r="1828" spans="22:26" x14ac:dyDescent="0.2">
      <c r="V1828" s="202" t="str">
        <f t="shared" si="37"/>
        <v>1w</v>
      </c>
      <c r="W1828" s="200">
        <f>_xll.qlCalendarAdvance(Calendar,W1827,V1828,"f",FALSE)</f>
        <v>51700</v>
      </c>
      <c r="X1828" s="203">
        <f>_xll.qlCalendarAdvance(Calendar,W1828,NDays&amp;"D")</f>
        <v>51704</v>
      </c>
      <c r="Y1828" s="204">
        <v>2.1446812513806937E-2</v>
      </c>
      <c r="Z1828" s="201">
        <v>2.142992792899534E-2</v>
      </c>
    </row>
    <row r="1829" spans="22:26" x14ac:dyDescent="0.2">
      <c r="V1829" s="202" t="str">
        <f t="shared" si="37"/>
        <v>1w</v>
      </c>
      <c r="W1829" s="200">
        <f>_xll.qlCalendarAdvance(Calendar,W1828,V1829,"f",FALSE)</f>
        <v>51707</v>
      </c>
      <c r="X1829" s="203">
        <f>_xll.qlCalendarAdvance(Calendar,W1829,NDays&amp;"D")</f>
        <v>51711</v>
      </c>
      <c r="Y1829" s="204">
        <v>2.1445788501383692E-2</v>
      </c>
      <c r="Z1829" s="201">
        <v>2.1428849401488037E-2</v>
      </c>
    </row>
    <row r="1830" spans="22:26" x14ac:dyDescent="0.2">
      <c r="V1830" s="202" t="str">
        <f t="shared" si="37"/>
        <v>1w</v>
      </c>
      <c r="W1830" s="200">
        <f>_xll.qlCalendarAdvance(Calendar,W1829,V1830,"f",FALSE)</f>
        <v>51714</v>
      </c>
      <c r="X1830" s="203">
        <f>_xll.qlCalendarAdvance(Calendar,W1830,NDays&amp;"D")</f>
        <v>51718</v>
      </c>
      <c r="Y1830" s="204">
        <v>2.1444790828915181E-2</v>
      </c>
      <c r="Z1830" s="201">
        <v>2.1427797166868601E-2</v>
      </c>
    </row>
    <row r="1831" spans="22:26" x14ac:dyDescent="0.2">
      <c r="V1831" s="202" t="str">
        <f t="shared" si="37"/>
        <v>1w</v>
      </c>
      <c r="W1831" s="200">
        <f>_xll.qlCalendarAdvance(Calendar,W1830,V1831,"f",FALSE)</f>
        <v>51721</v>
      </c>
      <c r="X1831" s="203">
        <f>_xll.qlCalendarAdvance(Calendar,W1831,NDays&amp;"D")</f>
        <v>51725</v>
      </c>
      <c r="Y1831" s="204">
        <v>2.1443819496398828E-2</v>
      </c>
      <c r="Z1831" s="201">
        <v>2.1426771225057095E-2</v>
      </c>
    </row>
    <row r="1832" spans="22:26" x14ac:dyDescent="0.2">
      <c r="V1832" s="202" t="str">
        <f t="shared" si="37"/>
        <v>1w</v>
      </c>
      <c r="W1832" s="200">
        <f>_xll.qlCalendarAdvance(Calendar,W1831,V1832,"f",FALSE)</f>
        <v>51728</v>
      </c>
      <c r="X1832" s="203">
        <f>_xll.qlCalendarAdvance(Calendar,W1832,NDays&amp;"D")</f>
        <v>51732</v>
      </c>
      <c r="Y1832" s="204">
        <v>2.1442874503829468E-2</v>
      </c>
      <c r="Z1832" s="201">
        <v>2.1425771576213393E-2</v>
      </c>
    </row>
    <row r="1833" spans="22:26" x14ac:dyDescent="0.2">
      <c r="V1833" s="202" t="str">
        <f t="shared" si="37"/>
        <v>1w</v>
      </c>
      <c r="W1833" s="200">
        <f>_xll.qlCalendarAdvance(Calendar,W1832,V1833,"f",FALSE)</f>
        <v>51735</v>
      </c>
      <c r="X1833" s="203">
        <f>_xll.qlCalendarAdvance(Calendar,W1833,NDays&amp;"D")</f>
        <v>51739</v>
      </c>
      <c r="Y1833" s="204">
        <v>2.1441955851196796E-2</v>
      </c>
      <c r="Z1833" s="201">
        <v>2.1424798220177621E-2</v>
      </c>
    </row>
    <row r="1834" spans="22:26" x14ac:dyDescent="0.2">
      <c r="V1834" s="202" t="str">
        <f t="shared" si="37"/>
        <v>1w</v>
      </c>
      <c r="W1834" s="200">
        <f>_xll.qlCalendarAdvance(Calendar,W1833,V1834,"f",FALSE)</f>
        <v>51742</v>
      </c>
      <c r="X1834" s="203">
        <f>_xll.qlCalendarAdvance(Calendar,W1834,NDays&amp;"D")</f>
        <v>51746</v>
      </c>
      <c r="Y1834" s="204">
        <v>2.1440486938027803E-2</v>
      </c>
      <c r="Z1834" s="201">
        <v>2.1423851157109652E-2</v>
      </c>
    </row>
    <row r="1835" spans="22:26" x14ac:dyDescent="0.2">
      <c r="V1835" s="202" t="str">
        <f t="shared" si="37"/>
        <v>1w</v>
      </c>
      <c r="W1835" s="200">
        <f>_xll.qlCalendarAdvance(Calendar,W1834,V1835,"f",FALSE)</f>
        <v>51749</v>
      </c>
      <c r="X1835" s="203">
        <f>_xll.qlCalendarAdvance(Calendar,W1835,NDays&amp;"D")</f>
        <v>51753</v>
      </c>
      <c r="Y1835" s="204">
        <v>2.1439619135469989E-2</v>
      </c>
      <c r="Z1835" s="201">
        <v>2.1422930386849615E-2</v>
      </c>
    </row>
    <row r="1836" spans="22:26" x14ac:dyDescent="0.2">
      <c r="V1836" s="202" t="str">
        <f t="shared" si="37"/>
        <v>1w</v>
      </c>
      <c r="W1836" s="200">
        <f>_xll.qlCalendarAdvance(Calendar,W1835,V1836,"f",FALSE)</f>
        <v>51756</v>
      </c>
      <c r="X1836" s="203">
        <f>_xll.qlCalendarAdvance(Calendar,W1836,NDays&amp;"D")</f>
        <v>51760</v>
      </c>
      <c r="Y1836" s="204">
        <v>2.1438777671265008E-2</v>
      </c>
      <c r="Z1836" s="201">
        <v>2.142203590955738E-2</v>
      </c>
    </row>
    <row r="1837" spans="22:26" x14ac:dyDescent="0.2">
      <c r="V1837" s="202" t="str">
        <f t="shared" si="37"/>
        <v>1w</v>
      </c>
      <c r="W1837" s="200">
        <f>_xll.qlCalendarAdvance(Calendar,W1836,V1837,"f",FALSE)</f>
        <v>51763</v>
      </c>
      <c r="X1837" s="203">
        <f>_xll.qlCalendarAdvance(Calendar,W1837,NDays&amp;"D")</f>
        <v>51767</v>
      </c>
      <c r="Y1837" s="204">
        <v>2.14379625454022E-2</v>
      </c>
      <c r="Z1837" s="201">
        <v>2.1421167725073076E-2</v>
      </c>
    </row>
    <row r="1838" spans="22:26" x14ac:dyDescent="0.2">
      <c r="V1838" s="202" t="str">
        <f t="shared" si="37"/>
        <v>1w</v>
      </c>
      <c r="W1838" s="200">
        <f>_xll.qlCalendarAdvance(Calendar,W1837,V1838,"f",FALSE)</f>
        <v>51770</v>
      </c>
      <c r="X1838" s="203">
        <f>_xll.qlCalendarAdvance(Calendar,W1838,NDays&amp;"D")</f>
        <v>51774</v>
      </c>
      <c r="Y1838" s="204">
        <v>2.1437757686905756E-2</v>
      </c>
      <c r="Z1838" s="201">
        <v>2.1420325833476639E-2</v>
      </c>
    </row>
    <row r="1839" spans="22:26" x14ac:dyDescent="0.2">
      <c r="V1839" s="202" t="str">
        <f t="shared" si="37"/>
        <v>1w</v>
      </c>
      <c r="W1839" s="200">
        <f>_xll.qlCalendarAdvance(Calendar,W1838,V1839,"f",FALSE)</f>
        <v>51777</v>
      </c>
      <c r="X1839" s="203">
        <f>_xll.qlCalendarAdvance(Calendar,W1839,NDays&amp;"D")</f>
        <v>51781</v>
      </c>
      <c r="Y1839" s="204">
        <v>2.1436997073779725E-2</v>
      </c>
      <c r="Z1839" s="201">
        <v>2.1419510234768069E-2</v>
      </c>
    </row>
    <row r="1840" spans="22:26" x14ac:dyDescent="0.2">
      <c r="V1840" s="202" t="str">
        <f t="shared" si="37"/>
        <v>1w</v>
      </c>
      <c r="W1840" s="200">
        <f>_xll.qlCalendarAdvance(Calendar,W1839,V1840,"f",FALSE)</f>
        <v>51784</v>
      </c>
      <c r="X1840" s="203">
        <f>_xll.qlCalendarAdvance(Calendar,W1840,NDays&amp;"D")</f>
        <v>51788</v>
      </c>
      <c r="Y1840" s="204">
        <v>2.1436262800551695E-2</v>
      </c>
      <c r="Z1840" s="201">
        <v>2.1418720928947366E-2</v>
      </c>
    </row>
    <row r="1841" spans="22:26" x14ac:dyDescent="0.2">
      <c r="V1841" s="202" t="str">
        <f t="shared" si="37"/>
        <v>1w</v>
      </c>
      <c r="W1841" s="200">
        <f>_xll.qlCalendarAdvance(Calendar,W1840,V1841,"f",FALSE)</f>
        <v>51791</v>
      </c>
      <c r="X1841" s="203">
        <f>_xll.qlCalendarAdvance(Calendar,W1841,NDays&amp;"D")</f>
        <v>51795</v>
      </c>
      <c r="Y1841" s="204">
        <v>2.1435554867219098E-2</v>
      </c>
      <c r="Z1841" s="201">
        <v>2.1417957916014529E-2</v>
      </c>
    </row>
    <row r="1842" spans="22:26" x14ac:dyDescent="0.2">
      <c r="V1842" s="202" t="str">
        <f t="shared" si="37"/>
        <v>1w</v>
      </c>
      <c r="W1842" s="200">
        <f>_xll.qlCalendarAdvance(Calendar,W1841,V1842,"f",FALSE)</f>
        <v>51798</v>
      </c>
      <c r="X1842" s="203">
        <f>_xll.qlCalendarAdvance(Calendar,W1842,NDays&amp;"D")</f>
        <v>51802</v>
      </c>
      <c r="Y1842" s="204">
        <v>2.1434873273779343E-2</v>
      </c>
      <c r="Z1842" s="201">
        <v>2.1417221196049496E-2</v>
      </c>
    </row>
    <row r="1843" spans="22:26" x14ac:dyDescent="0.2">
      <c r="V1843" s="202" t="str">
        <f t="shared" si="37"/>
        <v>1w</v>
      </c>
      <c r="W1843" s="200">
        <f>_xll.qlCalendarAdvance(Calendar,W1842,V1843,"f",FALSE)</f>
        <v>51805</v>
      </c>
      <c r="X1843" s="203">
        <f>_xll.qlCalendarAdvance(Calendar,W1843,NDays&amp;"D")</f>
        <v>51809</v>
      </c>
      <c r="Y1843" s="204">
        <v>2.1433624895221826E-2</v>
      </c>
      <c r="Z1843" s="201">
        <v>2.1416510768812458E-2</v>
      </c>
    </row>
    <row r="1844" spans="22:26" x14ac:dyDescent="0.2">
      <c r="V1844" s="202" t="str">
        <f t="shared" si="37"/>
        <v>1w</v>
      </c>
      <c r="W1844" s="200">
        <f>_xll.qlCalendarAdvance(Calendar,W1843,V1844,"f",FALSE)</f>
        <v>51812</v>
      </c>
      <c r="X1844" s="203">
        <f>_xll.qlCalendarAdvance(Calendar,W1844,NDays&amp;"D")</f>
        <v>51816</v>
      </c>
      <c r="Y1844" s="204">
        <v>2.1432994137642325E-2</v>
      </c>
      <c r="Z1844" s="201">
        <v>2.1415826634623158E-2</v>
      </c>
    </row>
    <row r="1845" spans="22:26" x14ac:dyDescent="0.2">
      <c r="V1845" s="202" t="str">
        <f t="shared" si="37"/>
        <v>1w</v>
      </c>
      <c r="W1845" s="200">
        <f>_xll.qlCalendarAdvance(Calendar,W1844,V1845,"f",FALSE)</f>
        <v>51819</v>
      </c>
      <c r="X1845" s="203">
        <f>_xll.qlCalendarAdvance(Calendar,W1845,NDays&amp;"D")</f>
        <v>51823</v>
      </c>
      <c r="Y1845" s="204">
        <v>2.1432389718375688E-2</v>
      </c>
      <c r="Z1845" s="201">
        <v>2.141516879324179E-2</v>
      </c>
    </row>
    <row r="1846" spans="22:26" x14ac:dyDescent="0.2">
      <c r="V1846" s="202" t="str">
        <f t="shared" si="37"/>
        <v>1w</v>
      </c>
      <c r="W1846" s="200">
        <f>_xll.qlCalendarAdvance(Calendar,W1845,V1846,"f",FALSE)</f>
        <v>51826</v>
      </c>
      <c r="X1846" s="203">
        <f>_xll.qlCalendarAdvance(Calendar,W1846,NDays&amp;"D")</f>
        <v>51830</v>
      </c>
      <c r="Y1846" s="204">
        <v>2.1433009160050642E-2</v>
      </c>
      <c r="Z1846" s="201">
        <v>2.1414537244668352E-2</v>
      </c>
    </row>
    <row r="1847" spans="22:26" x14ac:dyDescent="0.2">
      <c r="V1847" s="202" t="str">
        <f t="shared" si="37"/>
        <v>1w</v>
      </c>
      <c r="W1847" s="200">
        <f>_xll.qlCalendarAdvance(Calendar,W1846,V1847,"f",FALSE)</f>
        <v>51833</v>
      </c>
      <c r="X1847" s="203">
        <f>_xll.qlCalendarAdvance(Calendar,W1847,NDays&amp;"D")</f>
        <v>51837</v>
      </c>
      <c r="Y1847" s="204">
        <v>2.1431860404741217E-2</v>
      </c>
      <c r="Z1847" s="201">
        <v>2.1413931989142654E-2</v>
      </c>
    </row>
    <row r="1848" spans="22:26" x14ac:dyDescent="0.2">
      <c r="V1848" s="202" t="str">
        <f t="shared" si="37"/>
        <v>1w</v>
      </c>
      <c r="W1848" s="200">
        <f>_xll.qlCalendarAdvance(Calendar,W1847,V1848,"f",FALSE)</f>
        <v>51840</v>
      </c>
      <c r="X1848" s="203">
        <f>_xll.qlCalendarAdvance(Calendar,W1848,NDays&amp;"D")</f>
        <v>51844</v>
      </c>
      <c r="Y1848" s="204">
        <v>2.1431336850537355E-2</v>
      </c>
      <c r="Z1848" s="201">
        <v>2.141335302634495E-2</v>
      </c>
    </row>
    <row r="1849" spans="22:26" x14ac:dyDescent="0.2">
      <c r="V1849" s="202" t="str">
        <f t="shared" si="37"/>
        <v>1w</v>
      </c>
      <c r="W1849" s="200">
        <f>_xll.qlCalendarAdvance(Calendar,W1848,V1849,"f",FALSE)</f>
        <v>51847</v>
      </c>
      <c r="X1849" s="203">
        <f>_xll.qlCalendarAdvance(Calendar,W1849,NDays&amp;"D")</f>
        <v>51851</v>
      </c>
      <c r="Y1849" s="204">
        <v>2.1430839636197976E-2</v>
      </c>
      <c r="Z1849" s="201">
        <v>2.1412800356515049E-2</v>
      </c>
    </row>
    <row r="1850" spans="22:26" x14ac:dyDescent="0.2">
      <c r="V1850" s="202" t="str">
        <f t="shared" si="37"/>
        <v>1w</v>
      </c>
      <c r="W1850" s="200">
        <f>_xll.qlCalendarAdvance(Calendar,W1849,V1850,"f",FALSE)</f>
        <v>51854</v>
      </c>
      <c r="X1850" s="203">
        <f>_xll.qlCalendarAdvance(Calendar,W1850,NDays&amp;"D")</f>
        <v>51858</v>
      </c>
      <c r="Y1850" s="204">
        <v>2.1430368761715345E-2</v>
      </c>
      <c r="Z1850" s="201">
        <v>2.1412273979573015E-2</v>
      </c>
    </row>
    <row r="1851" spans="22:26" x14ac:dyDescent="0.2">
      <c r="V1851" s="202" t="str">
        <f t="shared" si="37"/>
        <v>1w</v>
      </c>
      <c r="W1851" s="200">
        <f>_xll.qlCalendarAdvance(Calendar,W1850,V1851,"f",FALSE)</f>
        <v>51862</v>
      </c>
      <c r="X1851" s="203">
        <f>_xll.qlCalendarAdvance(Calendar,W1851,NDays&amp;"D")</f>
        <v>51866</v>
      </c>
      <c r="Y1851" s="204">
        <v>2.1429862872330768E-2</v>
      </c>
      <c r="Z1851" s="201">
        <v>2.1412306971901884E-2</v>
      </c>
    </row>
    <row r="1852" spans="22:26" x14ac:dyDescent="0.2">
      <c r="V1852" s="202" t="str">
        <f t="shared" si="37"/>
        <v>1w</v>
      </c>
      <c r="W1852" s="200">
        <f>_xll.qlCalendarAdvance(Calendar,W1851,V1852,"f",FALSE)</f>
        <v>51869</v>
      </c>
      <c r="X1852" s="203">
        <f>_xll.qlCalendarAdvance(Calendar,W1852,NDays&amp;"D")</f>
        <v>51873</v>
      </c>
      <c r="Y1852" s="204">
        <v>2.14294484403891E-2</v>
      </c>
      <c r="Z1852" s="201">
        <v>2.141123456621763E-2</v>
      </c>
    </row>
    <row r="1853" spans="22:26" x14ac:dyDescent="0.2">
      <c r="V1853" s="202" t="str">
        <f t="shared" si="37"/>
        <v>1w</v>
      </c>
      <c r="W1853" s="200">
        <f>_xll.qlCalendarAdvance(Calendar,W1852,V1853,"f",FALSE)</f>
        <v>51876</v>
      </c>
      <c r="X1853" s="203">
        <f>_xll.qlCalendarAdvance(Calendar,W1853,NDays&amp;"D")</f>
        <v>51880</v>
      </c>
      <c r="Y1853" s="204">
        <v>2.1429060348291288E-2</v>
      </c>
      <c r="Z1853" s="201">
        <v>2.1410790823894743E-2</v>
      </c>
    </row>
    <row r="1854" spans="22:26" x14ac:dyDescent="0.2">
      <c r="V1854" s="202" t="str">
        <f t="shared" si="37"/>
        <v>1w</v>
      </c>
      <c r="W1854" s="200">
        <f>_xll.qlCalendarAdvance(Calendar,W1853,V1854,"f",FALSE)</f>
        <v>51883</v>
      </c>
      <c r="X1854" s="203">
        <f>_xll.qlCalendarAdvance(Calendar,W1854,NDays&amp;"D")</f>
        <v>51887</v>
      </c>
      <c r="Y1854" s="204">
        <v>2.1428698596039908E-2</v>
      </c>
      <c r="Z1854" s="201">
        <v>2.1410373374619596E-2</v>
      </c>
    </row>
    <row r="1855" spans="22:26" x14ac:dyDescent="0.2">
      <c r="V1855" s="202" t="str">
        <f t="shared" si="37"/>
        <v>1w</v>
      </c>
      <c r="W1855" s="200">
        <f>_xll.qlCalendarAdvance(Calendar,W1854,V1855,"f",FALSE)</f>
        <v>51890</v>
      </c>
      <c r="X1855" s="203">
        <f>_xll.qlCalendarAdvance(Calendar,W1855,NDays&amp;"D")</f>
        <v>51894</v>
      </c>
      <c r="Y1855" s="204">
        <v>2.1428363183632382E-2</v>
      </c>
      <c r="Z1855" s="201">
        <v>2.1409982218232315E-2</v>
      </c>
    </row>
    <row r="1856" spans="22:26" x14ac:dyDescent="0.2">
      <c r="V1856" s="202" t="str">
        <f t="shared" si="37"/>
        <v>1w</v>
      </c>
      <c r="W1856" s="200">
        <f>_xll.qlCalendarAdvance(Calendar,W1855,V1856,"f",FALSE)</f>
        <v>51897</v>
      </c>
      <c r="X1856" s="203">
        <f>_xll.qlCalendarAdvance(Calendar,W1856,NDays&amp;"D")</f>
        <v>51901</v>
      </c>
      <c r="Y1856" s="204">
        <v>2.1426202264815317E-2</v>
      </c>
      <c r="Z1856" s="201">
        <v>2.140961735457303E-2</v>
      </c>
    </row>
    <row r="1857" spans="22:26" x14ac:dyDescent="0.2">
      <c r="V1857" s="202" t="str">
        <f t="shared" si="37"/>
        <v>1w</v>
      </c>
      <c r="W1857" s="200">
        <f>_xll.qlCalendarAdvance(Calendar,W1856,V1857,"f",FALSE)</f>
        <v>51904</v>
      </c>
      <c r="X1857" s="203">
        <f>_xll.qlCalendarAdvance(Calendar,W1857,NDays&amp;"D")</f>
        <v>51908</v>
      </c>
      <c r="Y1857" s="204">
        <v>2.1425913939277588E-2</v>
      </c>
      <c r="Z1857" s="201">
        <v>2.1409278783961483E-2</v>
      </c>
    </row>
    <row r="1858" spans="22:26" x14ac:dyDescent="0.2">
      <c r="V1858" s="202" t="str">
        <f t="shared" si="37"/>
        <v>1w</v>
      </c>
      <c r="W1858" s="200">
        <f>_xll.qlCalendarAdvance(Calendar,W1857,V1858,"f",FALSE)</f>
        <v>51911</v>
      </c>
      <c r="X1858" s="203">
        <f>_xll.qlCalendarAdvance(Calendar,W1858,NDays&amp;"D")</f>
        <v>51915</v>
      </c>
      <c r="Y1858" s="204">
        <v>2.1425651948873928E-2</v>
      </c>
      <c r="Z1858" s="201">
        <v>2.1408966506157867E-2</v>
      </c>
    </row>
    <row r="1859" spans="22:26" x14ac:dyDescent="0.2">
      <c r="V1859" s="202" t="str">
        <f t="shared" si="37"/>
        <v>1w</v>
      </c>
      <c r="W1859" s="200">
        <f>_xll.qlCalendarAdvance(Calendar,W1858,V1859,"f",FALSE)</f>
        <v>51918</v>
      </c>
      <c r="X1859" s="203">
        <f>_xll.qlCalendarAdvance(Calendar,W1859,NDays&amp;"D")</f>
        <v>51922</v>
      </c>
      <c r="Y1859" s="204">
        <v>2.1425416293610056E-2</v>
      </c>
      <c r="Z1859" s="201">
        <v>2.1408680521322054E-2</v>
      </c>
    </row>
    <row r="1860" spans="22:26" x14ac:dyDescent="0.2">
      <c r="V1860" s="202" t="str">
        <f t="shared" si="37"/>
        <v>1w</v>
      </c>
      <c r="W1860" s="200">
        <f>_xll.qlCalendarAdvance(Calendar,W1859,V1860,"f",FALSE)</f>
        <v>51925</v>
      </c>
      <c r="X1860" s="203">
        <f>_xll.qlCalendarAdvance(Calendar,W1860,NDays&amp;"D")</f>
        <v>51929</v>
      </c>
      <c r="Y1860" s="204">
        <v>2.1429583055489587E-2</v>
      </c>
      <c r="Z1860" s="201">
        <v>2.1408420829294172E-2</v>
      </c>
    </row>
    <row r="1861" spans="22:26" x14ac:dyDescent="0.2">
      <c r="V1861" s="202" t="str">
        <f t="shared" si="37"/>
        <v>1w</v>
      </c>
      <c r="W1861" s="200">
        <f>_xll.qlCalendarAdvance(Calendar,W1860,V1861,"f",FALSE)</f>
        <v>51932</v>
      </c>
      <c r="X1861" s="203">
        <f>_xll.qlCalendarAdvance(Calendar,W1861,NDays&amp;"D")</f>
        <v>51936</v>
      </c>
      <c r="Y1861" s="204">
        <v>2.1426903845756035E-2</v>
      </c>
      <c r="Z1861" s="201">
        <v>2.1408187430154157E-2</v>
      </c>
    </row>
    <row r="1862" spans="22:26" x14ac:dyDescent="0.2">
      <c r="V1862" s="202" t="str">
        <f t="shared" si="37"/>
        <v>1w</v>
      </c>
      <c r="W1862" s="200">
        <f>_xll.qlCalendarAdvance(Calendar,W1861,V1862,"f",FALSE)</f>
        <v>51939</v>
      </c>
      <c r="X1862" s="203">
        <f>_xll.qlCalendarAdvance(Calendar,W1862,NDays&amp;"D")</f>
        <v>51943</v>
      </c>
      <c r="Y1862" s="204">
        <v>2.1426752812191023E-2</v>
      </c>
      <c r="Z1862" s="201">
        <v>2.1407980323902009E-2</v>
      </c>
    </row>
    <row r="1863" spans="22:26" x14ac:dyDescent="0.2">
      <c r="V1863" s="202" t="str">
        <f t="shared" si="37"/>
        <v>1w</v>
      </c>
      <c r="W1863" s="200">
        <f>_xll.qlCalendarAdvance(Calendar,W1862,V1863,"f",FALSE)</f>
        <v>51946</v>
      </c>
      <c r="X1863" s="203">
        <f>_xll.qlCalendarAdvance(Calendar,W1863,NDays&amp;"D")</f>
        <v>51950</v>
      </c>
      <c r="Y1863" s="204">
        <v>2.1426628118454399E-2</v>
      </c>
      <c r="Z1863" s="201">
        <v>2.1407799510537728E-2</v>
      </c>
    </row>
    <row r="1864" spans="22:26" x14ac:dyDescent="0.2">
      <c r="V1864" s="202" t="str">
        <f t="shared" si="37"/>
        <v>1w</v>
      </c>
      <c r="W1864" s="200">
        <f>_xll.qlCalendarAdvance(Calendar,W1863,V1864,"f",FALSE)</f>
        <v>51953</v>
      </c>
      <c r="X1864" s="203">
        <f>_xll.qlCalendarAdvance(Calendar,W1864,NDays&amp;"D")</f>
        <v>51957</v>
      </c>
      <c r="Y1864" s="204">
        <v>2.1426529764546155E-2</v>
      </c>
      <c r="Z1864" s="201">
        <v>2.1407644989981378E-2</v>
      </c>
    </row>
    <row r="1865" spans="22:26" x14ac:dyDescent="0.2">
      <c r="V1865" s="202" t="str">
        <f t="shared" si="37"/>
        <v>1w</v>
      </c>
      <c r="W1865" s="200">
        <f>_xll.qlCalendarAdvance(Calendar,W1864,V1865,"f",FALSE)</f>
        <v>51964</v>
      </c>
      <c r="X1865" s="203">
        <f>_xll.qlCalendarAdvance(Calendar,W1865,NDays&amp;"D")</f>
        <v>51966</v>
      </c>
      <c r="Y1865" s="204">
        <v>2.1427077074660239E-2</v>
      </c>
      <c r="Z1865" s="201">
        <v>2.1407484955275891E-2</v>
      </c>
    </row>
    <row r="1866" spans="22:26" x14ac:dyDescent="0.2">
      <c r="V1866" s="202" t="str">
        <f t="shared" si="37"/>
        <v>1w</v>
      </c>
      <c r="W1866" s="200">
        <f>_xll.qlCalendarAdvance(Calendar,W1865,V1866,"f",FALSE)</f>
        <v>51971</v>
      </c>
      <c r="X1866" s="203">
        <f>_xll.qlCalendarAdvance(Calendar,W1866,NDays&amp;"D")</f>
        <v>51973</v>
      </c>
      <c r="Y1866" s="204">
        <v>2.14270408053302E-2</v>
      </c>
      <c r="Z1866" s="201">
        <v>2.1407390532726112E-2</v>
      </c>
    </row>
    <row r="1867" spans="22:26" x14ac:dyDescent="0.2">
      <c r="V1867" s="202" t="str">
        <f t="shared" si="37"/>
        <v>1w</v>
      </c>
      <c r="W1867" s="200">
        <f>_xll.qlCalendarAdvance(Calendar,W1866,V1867,"f",FALSE)</f>
        <v>51978</v>
      </c>
      <c r="X1867" s="203">
        <f>_xll.qlCalendarAdvance(Calendar,W1867,NDays&amp;"D")</f>
        <v>51980</v>
      </c>
      <c r="Y1867" s="204">
        <v>2.1427030877391728E-2</v>
      </c>
      <c r="Z1867" s="201">
        <v>2.14073224030642E-2</v>
      </c>
    </row>
    <row r="1868" spans="22:26" x14ac:dyDescent="0.2">
      <c r="V1868" s="202" t="str">
        <f t="shared" si="37"/>
        <v>1w</v>
      </c>
      <c r="W1868" s="200">
        <f>_xll.qlCalendarAdvance(Calendar,W1867,V1868,"f",FALSE)</f>
        <v>51985</v>
      </c>
      <c r="X1868" s="203">
        <f>_xll.qlCalendarAdvance(Calendar,W1868,NDays&amp;"D")</f>
        <v>51988</v>
      </c>
      <c r="Y1868" s="204">
        <v>2.1426410812711967E-2</v>
      </c>
      <c r="Z1868" s="201">
        <v>2.1408546622456726E-2</v>
      </c>
    </row>
    <row r="1869" spans="22:26" x14ac:dyDescent="0.2">
      <c r="V1869" s="202" t="str">
        <f t="shared" si="37"/>
        <v>1w</v>
      </c>
      <c r="W1869" s="200">
        <f>_xll.qlCalendarAdvance(Calendar,W1868,V1869,"f",FALSE)</f>
        <v>51992</v>
      </c>
      <c r="X1869" s="203">
        <f>_xll.qlCalendarAdvance(Calendar,W1869,NDays&amp;"D")</f>
        <v>51994</v>
      </c>
      <c r="Y1869" s="204">
        <v>2.142709004570198E-2</v>
      </c>
      <c r="Z1869" s="201">
        <v>2.1407265022483912E-2</v>
      </c>
    </row>
    <row r="1870" spans="22:26" x14ac:dyDescent="0.2">
      <c r="V1870" s="202" t="str">
        <f t="shared" si="37"/>
        <v>1w</v>
      </c>
      <c r="W1870" s="200">
        <f>_xll.qlCalendarAdvance(Calendar,W1869,V1870,"f",FALSE)</f>
        <v>51999</v>
      </c>
      <c r="X1870" s="203">
        <f>_xll.qlCalendarAdvance(Calendar,W1870,NDays&amp;"D")</f>
        <v>52001</v>
      </c>
      <c r="Y1870" s="204">
        <v>2.1427159141943208E-2</v>
      </c>
      <c r="Z1870" s="201">
        <v>2.1407275771565537E-2</v>
      </c>
    </row>
    <row r="1871" spans="22:26" x14ac:dyDescent="0.2">
      <c r="V1871" s="202" t="str">
        <f t="shared" si="37"/>
        <v>1w</v>
      </c>
      <c r="W1871" s="200">
        <f>_xll.qlCalendarAdvance(Calendar,W1870,V1871,"f",FALSE)</f>
        <v>52006</v>
      </c>
      <c r="X1871" s="203">
        <f>_xll.qlCalendarAdvance(Calendar,W1871,NDays&amp;"D")</f>
        <v>52008</v>
      </c>
      <c r="Y1871" s="204">
        <v>2.1427254579583499E-2</v>
      </c>
      <c r="Z1871" s="201">
        <v>2.1407312813535029E-2</v>
      </c>
    </row>
    <row r="1872" spans="22:26" x14ac:dyDescent="0.2">
      <c r="V1872" s="202" t="str">
        <f t="shared" si="37"/>
        <v>1w</v>
      </c>
      <c r="W1872" s="200">
        <f>_xll.qlCalendarAdvance(Calendar,W1871,V1872,"f",FALSE)</f>
        <v>52013</v>
      </c>
      <c r="X1872" s="203">
        <f>_xll.qlCalendarAdvance(Calendar,W1872,NDays&amp;"D")</f>
        <v>52015</v>
      </c>
      <c r="Y1872" s="204">
        <v>2.1427376358615358E-2</v>
      </c>
      <c r="Z1872" s="201">
        <v>2.1407376148312451E-2</v>
      </c>
    </row>
    <row r="1873" spans="22:26" x14ac:dyDescent="0.2">
      <c r="V1873" s="202" t="str">
        <f t="shared" si="37"/>
        <v>1w</v>
      </c>
      <c r="W1873" s="200">
        <f>_xll.qlCalendarAdvance(Calendar,W1872,V1873,"f",FALSE)</f>
        <v>52020</v>
      </c>
      <c r="X1873" s="203">
        <f>_xll.qlCalendarAdvance(Calendar,W1873,NDays&amp;"D")</f>
        <v>52022</v>
      </c>
      <c r="Y1873" s="204">
        <v>2.142752447904378E-2</v>
      </c>
      <c r="Z1873" s="201">
        <v>2.1407465776057677E-2</v>
      </c>
    </row>
    <row r="1874" spans="22:26" x14ac:dyDescent="0.2">
      <c r="V1874" s="202" t="str">
        <f t="shared" si="37"/>
        <v>1w</v>
      </c>
      <c r="W1874" s="200">
        <f>_xll.qlCalendarAdvance(Calendar,W1873,V1874,"f",FALSE)</f>
        <v>52027</v>
      </c>
      <c r="X1874" s="203">
        <f>_xll.qlCalendarAdvance(Calendar,W1874,NDays&amp;"D")</f>
        <v>52029</v>
      </c>
      <c r="Y1874" s="204">
        <v>2.1427698940866269E-2</v>
      </c>
      <c r="Z1874" s="201">
        <v>2.1407581696530897E-2</v>
      </c>
    </row>
    <row r="1875" spans="22:26" x14ac:dyDescent="0.2">
      <c r="V1875" s="202" t="str">
        <f t="shared" si="37"/>
        <v>1w</v>
      </c>
      <c r="W1875" s="200">
        <f>_xll.qlCalendarAdvance(Calendar,W1874,V1875,"f",FALSE)</f>
        <v>52034</v>
      </c>
      <c r="X1875" s="203">
        <f>_xll.qlCalendarAdvance(Calendar,W1875,NDays&amp;"D")</f>
        <v>52036</v>
      </c>
      <c r="Y1875" s="204">
        <v>2.1427899744087819E-2</v>
      </c>
      <c r="Z1875" s="201">
        <v>2.1407723910051857E-2</v>
      </c>
    </row>
    <row r="1876" spans="22:26" x14ac:dyDescent="0.2">
      <c r="V1876" s="202" t="str">
        <f t="shared" si="37"/>
        <v>1w</v>
      </c>
      <c r="W1876" s="200">
        <f>_xll.qlCalendarAdvance(Calendar,W1875,V1876,"f",FALSE)</f>
        <v>52041</v>
      </c>
      <c r="X1876" s="203">
        <f>_xll.qlCalendarAdvance(Calendar,W1876,NDays&amp;"D")</f>
        <v>52043</v>
      </c>
      <c r="Y1876" s="204">
        <v>2.1428126888708432E-2</v>
      </c>
      <c r="Z1876" s="201">
        <v>2.1407892416300811E-2</v>
      </c>
    </row>
    <row r="1877" spans="22:26" x14ac:dyDescent="0.2">
      <c r="V1877" s="202" t="str">
        <f t="shared" ref="V1877:V1940" si="38">V1876</f>
        <v>1w</v>
      </c>
      <c r="W1877" s="200">
        <f>_xll.qlCalendarAdvance(Calendar,W1876,V1877,"f",FALSE)</f>
        <v>52048</v>
      </c>
      <c r="X1877" s="203">
        <f>_xll.qlCalendarAdvance(Calendar,W1877,NDays&amp;"D")</f>
        <v>52050</v>
      </c>
      <c r="Y1877" s="204">
        <v>2.1428380374730605E-2</v>
      </c>
      <c r="Z1877" s="201">
        <v>2.1408087215517568E-2</v>
      </c>
    </row>
    <row r="1878" spans="22:26" x14ac:dyDescent="0.2">
      <c r="V1878" s="202" t="str">
        <f t="shared" si="38"/>
        <v>1w</v>
      </c>
      <c r="W1878" s="200">
        <f>_xll.qlCalendarAdvance(Calendar,W1877,V1878,"f",FALSE)</f>
        <v>52055</v>
      </c>
      <c r="X1878" s="203">
        <f>_xll.qlCalendarAdvance(Calendar,W1878,NDays&amp;"D")</f>
        <v>52057</v>
      </c>
      <c r="Y1878" s="204">
        <v>2.1428660202156835E-2</v>
      </c>
      <c r="Z1878" s="201">
        <v>2.1408308307622193E-2</v>
      </c>
    </row>
    <row r="1879" spans="22:26" x14ac:dyDescent="0.2">
      <c r="V1879" s="202" t="str">
        <f t="shared" si="38"/>
        <v>1w</v>
      </c>
      <c r="W1879" s="200">
        <f>_xll.qlCalendarAdvance(Calendar,W1878,V1879,"f",FALSE)</f>
        <v>52062</v>
      </c>
      <c r="X1879" s="203">
        <f>_xll.qlCalendarAdvance(Calendar,W1879,NDays&amp;"D")</f>
        <v>52064</v>
      </c>
      <c r="Y1879" s="204">
        <v>2.1428966370982128E-2</v>
      </c>
      <c r="Z1879" s="201">
        <v>2.1408555692614684E-2</v>
      </c>
    </row>
    <row r="1880" spans="22:26" x14ac:dyDescent="0.2">
      <c r="V1880" s="202" t="str">
        <f t="shared" si="38"/>
        <v>1w</v>
      </c>
      <c r="W1880" s="200">
        <f>_xll.qlCalendarAdvance(Calendar,W1879,V1880,"f",FALSE)</f>
        <v>52069</v>
      </c>
      <c r="X1880" s="203">
        <f>_xll.qlCalendarAdvance(Calendar,W1880,NDays&amp;"D")</f>
        <v>52071</v>
      </c>
      <c r="Y1880" s="204">
        <v>2.1429298881218972E-2</v>
      </c>
      <c r="Z1880" s="201">
        <v>2.1408829370495042E-2</v>
      </c>
    </row>
    <row r="1881" spans="22:26" x14ac:dyDescent="0.2">
      <c r="V1881" s="202" t="str">
        <f t="shared" si="38"/>
        <v>1w</v>
      </c>
      <c r="W1881" s="200">
        <f>_xll.qlCalendarAdvance(Calendar,W1880,V1881,"f",FALSE)</f>
        <v>52076</v>
      </c>
      <c r="X1881" s="203">
        <f>_xll.qlCalendarAdvance(Calendar,W1881,NDays&amp;"D")</f>
        <v>52078</v>
      </c>
      <c r="Y1881" s="204">
        <v>2.1427662402605401E-2</v>
      </c>
      <c r="Z1881" s="201">
        <v>2.1409129341183331E-2</v>
      </c>
    </row>
    <row r="1882" spans="22:26" x14ac:dyDescent="0.2">
      <c r="V1882" s="202" t="str">
        <f t="shared" si="38"/>
        <v>1w</v>
      </c>
      <c r="W1882" s="200">
        <f>_xll.qlCalendarAdvance(Calendar,W1881,V1882,"f",FALSE)</f>
        <v>52083</v>
      </c>
      <c r="X1882" s="203">
        <f>_xll.qlCalendarAdvance(Calendar,W1882,NDays&amp;"D")</f>
        <v>52085</v>
      </c>
      <c r="Y1882" s="204">
        <v>2.1430042925919823E-2</v>
      </c>
      <c r="Z1882" s="201">
        <v>2.1409455604839422E-2</v>
      </c>
    </row>
    <row r="1883" spans="22:26" x14ac:dyDescent="0.2">
      <c r="V1883" s="202" t="str">
        <f t="shared" si="38"/>
        <v>1w</v>
      </c>
      <c r="W1883" s="200">
        <f>_xll.qlCalendarAdvance(Calendar,W1882,V1883,"f",FALSE)</f>
        <v>52090</v>
      </c>
      <c r="X1883" s="203">
        <f>_xll.qlCalendarAdvance(Calendar,W1883,NDays&amp;"D")</f>
        <v>52092</v>
      </c>
      <c r="Y1883" s="204">
        <v>2.1430454460386328E-2</v>
      </c>
      <c r="Z1883" s="201">
        <v>2.1409808161383381E-2</v>
      </c>
    </row>
    <row r="1884" spans="22:26" x14ac:dyDescent="0.2">
      <c r="V1884" s="202" t="str">
        <f t="shared" si="38"/>
        <v>1w</v>
      </c>
      <c r="W1884" s="200">
        <f>_xll.qlCalendarAdvance(Calendar,W1883,V1884,"f",FALSE)</f>
        <v>52097</v>
      </c>
      <c r="X1884" s="203">
        <f>_xll.qlCalendarAdvance(Calendar,W1884,NDays&amp;"D")</f>
        <v>52099</v>
      </c>
      <c r="Y1884" s="204">
        <v>2.1430892336274376E-2</v>
      </c>
      <c r="Z1884" s="201">
        <v>2.1410187010735271E-2</v>
      </c>
    </row>
    <row r="1885" spans="22:26" x14ac:dyDescent="0.2">
      <c r="V1885" s="202" t="str">
        <f t="shared" si="38"/>
        <v>1w</v>
      </c>
      <c r="W1885" s="200">
        <f>_xll.qlCalendarAdvance(Calendar,W1884,V1885,"f",FALSE)</f>
        <v>52104</v>
      </c>
      <c r="X1885" s="203">
        <f>_xll.qlCalendarAdvance(Calendar,W1885,NDays&amp;"D")</f>
        <v>52106</v>
      </c>
      <c r="Y1885" s="204">
        <v>2.1431356553581471E-2</v>
      </c>
      <c r="Z1885" s="201">
        <v>2.1410592152975028E-2</v>
      </c>
    </row>
    <row r="1886" spans="22:26" x14ac:dyDescent="0.2">
      <c r="V1886" s="202" t="str">
        <f t="shared" si="38"/>
        <v>1w</v>
      </c>
      <c r="W1886" s="200">
        <f>_xll.qlCalendarAdvance(Calendar,W1885,V1886,"f",FALSE)</f>
        <v>52111</v>
      </c>
      <c r="X1886" s="203">
        <f>_xll.qlCalendarAdvance(Calendar,W1886,NDays&amp;"D")</f>
        <v>52113</v>
      </c>
      <c r="Y1886" s="204">
        <v>2.143184711231011E-2</v>
      </c>
      <c r="Z1886" s="201">
        <v>2.1411023588102651E-2</v>
      </c>
    </row>
    <row r="1887" spans="22:26" x14ac:dyDescent="0.2">
      <c r="V1887" s="202" t="str">
        <f t="shared" si="38"/>
        <v>1w</v>
      </c>
      <c r="W1887" s="200">
        <f>_xll.qlCalendarAdvance(Calendar,W1886,V1887,"f",FALSE)</f>
        <v>52118</v>
      </c>
      <c r="X1887" s="203">
        <f>_xll.qlCalendarAdvance(Calendar,W1887,NDays&amp;"D")</f>
        <v>52120</v>
      </c>
      <c r="Y1887" s="204">
        <v>2.1432364012467786E-2</v>
      </c>
      <c r="Z1887" s="201">
        <v>2.1411481316118142E-2</v>
      </c>
    </row>
    <row r="1888" spans="22:26" x14ac:dyDescent="0.2">
      <c r="V1888" s="202" t="str">
        <f t="shared" si="38"/>
        <v>1w</v>
      </c>
      <c r="W1888" s="200">
        <f>_xll.qlCalendarAdvance(Calendar,W1887,V1888,"f",FALSE)</f>
        <v>52125</v>
      </c>
      <c r="X1888" s="203">
        <f>_xll.qlCalendarAdvance(Calendar,W1888,NDays&amp;"D")</f>
        <v>52127</v>
      </c>
      <c r="Y1888" s="204">
        <v>2.1432907254056999E-2</v>
      </c>
      <c r="Z1888" s="201">
        <v>2.1411965337021499E-2</v>
      </c>
    </row>
    <row r="1889" spans="22:26" x14ac:dyDescent="0.2">
      <c r="V1889" s="202" t="str">
        <f t="shared" si="38"/>
        <v>1w</v>
      </c>
      <c r="W1889" s="200">
        <f>_xll.qlCalendarAdvance(Calendar,W1888,V1889,"f",FALSE)</f>
        <v>52132</v>
      </c>
      <c r="X1889" s="203">
        <f>_xll.qlCalendarAdvance(Calendar,W1889,NDays&amp;"D")</f>
        <v>52134</v>
      </c>
      <c r="Y1889" s="204">
        <v>2.1433476837077747E-2</v>
      </c>
      <c r="Z1889" s="201">
        <v>2.1412475650892659E-2</v>
      </c>
    </row>
    <row r="1890" spans="22:26" x14ac:dyDescent="0.2">
      <c r="V1890" s="202" t="str">
        <f t="shared" si="38"/>
        <v>1w</v>
      </c>
      <c r="W1890" s="200">
        <f>_xll.qlCalendarAdvance(Calendar,W1889,V1890,"f",FALSE)</f>
        <v>52139</v>
      </c>
      <c r="X1890" s="203">
        <f>_xll.qlCalendarAdvance(Calendar,W1890,NDays&amp;"D")</f>
        <v>52141</v>
      </c>
      <c r="Y1890" s="204">
        <v>2.1434072761537526E-2</v>
      </c>
      <c r="Z1890" s="201">
        <v>2.1413012257571751E-2</v>
      </c>
    </row>
    <row r="1891" spans="22:26" x14ac:dyDescent="0.2">
      <c r="V1891" s="202" t="str">
        <f t="shared" si="38"/>
        <v>1w</v>
      </c>
      <c r="W1891" s="200">
        <f>_xll.qlCalendarAdvance(Calendar,W1890,V1891,"f",FALSE)</f>
        <v>52146</v>
      </c>
      <c r="X1891" s="203">
        <f>_xll.qlCalendarAdvance(Calendar,W1891,NDays&amp;"D")</f>
        <v>52148</v>
      </c>
      <c r="Y1891" s="204">
        <v>2.1434695027441331E-2</v>
      </c>
      <c r="Z1891" s="201">
        <v>2.1413575157058773E-2</v>
      </c>
    </row>
    <row r="1892" spans="22:26" x14ac:dyDescent="0.2">
      <c r="V1892" s="202" t="str">
        <f t="shared" si="38"/>
        <v>1w</v>
      </c>
      <c r="W1892" s="200">
        <f>_xll.qlCalendarAdvance(Calendar,W1891,V1892,"f",FALSE)</f>
        <v>52153</v>
      </c>
      <c r="X1892" s="203">
        <f>_xll.qlCalendarAdvance(Calendar,W1892,NDays&amp;"D")</f>
        <v>52155</v>
      </c>
      <c r="Y1892" s="204">
        <v>2.1435343634786663E-2</v>
      </c>
      <c r="Z1892" s="201">
        <v>2.1414164349513598E-2</v>
      </c>
    </row>
    <row r="1893" spans="22:26" x14ac:dyDescent="0.2">
      <c r="V1893" s="202" t="str">
        <f t="shared" si="38"/>
        <v>1w</v>
      </c>
      <c r="W1893" s="200">
        <f>_xll.qlCalendarAdvance(Calendar,W1892,V1893,"f",FALSE)</f>
        <v>52160</v>
      </c>
      <c r="X1893" s="203">
        <f>_xll.qlCalendarAdvance(Calendar,W1893,NDays&amp;"D")</f>
        <v>52162</v>
      </c>
      <c r="Y1893" s="204">
        <v>2.1436018583586014E-2</v>
      </c>
      <c r="Z1893" s="201">
        <v>2.1414779834776354E-2</v>
      </c>
    </row>
    <row r="1894" spans="22:26" x14ac:dyDescent="0.2">
      <c r="V1894" s="202" t="str">
        <f t="shared" si="38"/>
        <v>1w</v>
      </c>
      <c r="W1894" s="200">
        <f>_xll.qlCalendarAdvance(Calendar,W1893,V1894,"f",FALSE)</f>
        <v>52167</v>
      </c>
      <c r="X1894" s="203">
        <f>_xll.qlCalendarAdvance(Calendar,W1894,NDays&amp;"D")</f>
        <v>52169</v>
      </c>
      <c r="Y1894" s="204">
        <v>2.1434649916924283E-2</v>
      </c>
      <c r="Z1894" s="201">
        <v>2.1415421613086849E-2</v>
      </c>
    </row>
    <row r="1895" spans="22:26" x14ac:dyDescent="0.2">
      <c r="V1895" s="202" t="str">
        <f t="shared" si="38"/>
        <v>1w</v>
      </c>
      <c r="W1895" s="200">
        <f>_xll.qlCalendarAdvance(Calendar,W1894,V1895,"f",FALSE)</f>
        <v>52174</v>
      </c>
      <c r="X1895" s="203">
        <f>_xll.qlCalendarAdvance(Calendar,W1895,NDays&amp;"D")</f>
        <v>52176</v>
      </c>
      <c r="Y1895" s="204">
        <v>2.1437447505561757E-2</v>
      </c>
      <c r="Z1895" s="201">
        <v>2.1416089684125339E-2</v>
      </c>
    </row>
    <row r="1896" spans="22:26" x14ac:dyDescent="0.2">
      <c r="V1896" s="202" t="str">
        <f t="shared" si="38"/>
        <v>1w</v>
      </c>
      <c r="W1896" s="200">
        <f>_xll.qlCalendarAdvance(Calendar,W1895,V1896,"f",FALSE)</f>
        <v>52181</v>
      </c>
      <c r="X1896" s="203">
        <f>_xll.qlCalendarAdvance(Calendar,W1896,NDays&amp;"D")</f>
        <v>52183</v>
      </c>
      <c r="Y1896" s="204">
        <v>2.1438201478745644E-2</v>
      </c>
      <c r="Z1896" s="201">
        <v>2.1416784048131632E-2</v>
      </c>
    </row>
    <row r="1897" spans="22:26" x14ac:dyDescent="0.2">
      <c r="V1897" s="202" t="str">
        <f t="shared" si="38"/>
        <v>1w</v>
      </c>
      <c r="W1897" s="200">
        <f>_xll.qlCalendarAdvance(Calendar,W1896,V1897,"f",FALSE)</f>
        <v>52188</v>
      </c>
      <c r="X1897" s="203">
        <f>_xll.qlCalendarAdvance(Calendar,W1897,NDays&amp;"D")</f>
        <v>52190</v>
      </c>
      <c r="Y1897" s="204">
        <v>2.1438981793398537E-2</v>
      </c>
      <c r="Z1897" s="201">
        <v>2.1417504704945856E-2</v>
      </c>
    </row>
    <row r="1898" spans="22:26" x14ac:dyDescent="0.2">
      <c r="V1898" s="202" t="str">
        <f t="shared" si="38"/>
        <v>1w</v>
      </c>
      <c r="W1898" s="200">
        <f>_xll.qlCalendarAdvance(Calendar,W1897,V1898,"f",FALSE)</f>
        <v>52195</v>
      </c>
      <c r="X1898" s="203">
        <f>_xll.qlCalendarAdvance(Calendar,W1898,NDays&amp;"D")</f>
        <v>52197</v>
      </c>
      <c r="Y1898" s="204">
        <v>2.1439788449530428E-2</v>
      </c>
      <c r="Z1898" s="201">
        <v>2.1418251654727882E-2</v>
      </c>
    </row>
    <row r="1899" spans="22:26" x14ac:dyDescent="0.2">
      <c r="V1899" s="202" t="str">
        <f t="shared" si="38"/>
        <v>1w</v>
      </c>
      <c r="W1899" s="200">
        <f>_xll.qlCalendarAdvance(Calendar,W1898,V1899,"f",FALSE)</f>
        <v>52202</v>
      </c>
      <c r="X1899" s="203">
        <f>_xll.qlCalendarAdvance(Calendar,W1899,NDays&amp;"D")</f>
        <v>52204</v>
      </c>
      <c r="Y1899" s="204">
        <v>2.1440621447143815E-2</v>
      </c>
      <c r="Z1899" s="201">
        <v>2.141902489731784E-2</v>
      </c>
    </row>
    <row r="1900" spans="22:26" x14ac:dyDescent="0.2">
      <c r="V1900" s="202" t="str">
        <f t="shared" si="38"/>
        <v>1w</v>
      </c>
      <c r="W1900" s="200">
        <f>_xll.qlCalendarAdvance(Calendar,W1899,V1900,"f",FALSE)</f>
        <v>52209</v>
      </c>
      <c r="X1900" s="203">
        <f>_xll.qlCalendarAdvance(Calendar,W1900,NDays&amp;"D")</f>
        <v>52211</v>
      </c>
      <c r="Y1900" s="204">
        <v>2.1441480786246192E-2</v>
      </c>
      <c r="Z1900" s="201">
        <v>2.14198244328756E-2</v>
      </c>
    </row>
    <row r="1901" spans="22:26" x14ac:dyDescent="0.2">
      <c r="V1901" s="202" t="str">
        <f t="shared" si="38"/>
        <v>1w</v>
      </c>
      <c r="W1901" s="200">
        <f>_xll.qlCalendarAdvance(Calendar,W1900,V1901,"f",FALSE)</f>
        <v>52216</v>
      </c>
      <c r="X1901" s="203">
        <f>_xll.qlCalendarAdvance(Calendar,W1901,NDays&amp;"D")</f>
        <v>52218</v>
      </c>
      <c r="Y1901" s="204">
        <v>2.1442366466840057E-2</v>
      </c>
      <c r="Z1901" s="201">
        <v>2.1420650261161356E-2</v>
      </c>
    </row>
    <row r="1902" spans="22:26" x14ac:dyDescent="0.2">
      <c r="V1902" s="202" t="str">
        <f t="shared" si="38"/>
        <v>1w</v>
      </c>
      <c r="W1902" s="200">
        <f>_xll.qlCalendarAdvance(Calendar,W1901,V1902,"f",FALSE)</f>
        <v>52223</v>
      </c>
      <c r="X1902" s="203">
        <f>_xll.qlCalendarAdvance(Calendar,W1902,NDays&amp;"D")</f>
        <v>52229</v>
      </c>
      <c r="Y1902" s="204">
        <v>2.1443104726475579E-2</v>
      </c>
      <c r="Z1902" s="201">
        <v>2.1422001113871048E-2</v>
      </c>
    </row>
    <row r="1903" spans="22:26" x14ac:dyDescent="0.2">
      <c r="V1903" s="202" t="str">
        <f t="shared" si="38"/>
        <v>1w</v>
      </c>
      <c r="W1903" s="200">
        <f>_xll.qlCalendarAdvance(Calendar,W1902,V1903,"f",FALSE)</f>
        <v>52230</v>
      </c>
      <c r="X1903" s="203">
        <f>_xll.qlCalendarAdvance(Calendar,W1903,NDays&amp;"D")</f>
        <v>52233</v>
      </c>
      <c r="Y1903" s="204">
        <v>2.1443645202738032E-2</v>
      </c>
      <c r="Z1903" s="201">
        <v>2.1423911609392832E-2</v>
      </c>
    </row>
    <row r="1904" spans="22:26" x14ac:dyDescent="0.2">
      <c r="V1904" s="202" t="str">
        <f t="shared" si="38"/>
        <v>1w</v>
      </c>
      <c r="W1904" s="200">
        <f>_xll.qlCalendarAdvance(Calendar,W1903,V1904,"f",FALSE)</f>
        <v>52237</v>
      </c>
      <c r="X1904" s="203">
        <f>_xll.qlCalendarAdvance(Calendar,W1904,NDays&amp;"D")</f>
        <v>52239</v>
      </c>
      <c r="Y1904" s="204">
        <v>2.1445181557660509E-2</v>
      </c>
      <c r="Z1904" s="201">
        <v>2.1423285503745504E-2</v>
      </c>
    </row>
    <row r="1905" spans="22:26" x14ac:dyDescent="0.2">
      <c r="V1905" s="202" t="str">
        <f t="shared" si="38"/>
        <v>1w</v>
      </c>
      <c r="W1905" s="200">
        <f>_xll.qlCalendarAdvance(Calendar,W1904,V1905,"f",FALSE)</f>
        <v>52244</v>
      </c>
      <c r="X1905" s="203">
        <f>_xll.qlCalendarAdvance(Calendar,W1905,NDays&amp;"D")</f>
        <v>52246</v>
      </c>
      <c r="Y1905" s="204">
        <v>2.1446172604297764E-2</v>
      </c>
      <c r="Z1905" s="201">
        <v>2.1424216503582727E-2</v>
      </c>
    </row>
    <row r="1906" spans="22:26" x14ac:dyDescent="0.2">
      <c r="V1906" s="202" t="str">
        <f t="shared" si="38"/>
        <v>1w</v>
      </c>
      <c r="W1906" s="200">
        <f>_xll.qlCalendarAdvance(Calendar,W1905,V1906,"f",FALSE)</f>
        <v>52251</v>
      </c>
      <c r="X1906" s="203">
        <f>_xll.qlCalendarAdvance(Calendar,W1906,NDays&amp;"D")</f>
        <v>52253</v>
      </c>
      <c r="Y1906" s="204">
        <v>2.144718999246148E-2</v>
      </c>
      <c r="Z1906" s="201">
        <v>2.1425173796387753E-2</v>
      </c>
    </row>
    <row r="1907" spans="22:26" x14ac:dyDescent="0.2">
      <c r="V1907" s="202" t="str">
        <f t="shared" si="38"/>
        <v>1w</v>
      </c>
      <c r="W1907" s="200">
        <f>_xll.qlCalendarAdvance(Calendar,W1906,V1907,"f",FALSE)</f>
        <v>52258</v>
      </c>
      <c r="X1907" s="203">
        <f>_xll.qlCalendarAdvance(Calendar,W1907,NDays&amp;"D")</f>
        <v>52260</v>
      </c>
      <c r="Y1907" s="204">
        <v>2.144608834322697E-2</v>
      </c>
      <c r="Z1907" s="201">
        <v>2.1426157382160582E-2</v>
      </c>
    </row>
    <row r="1908" spans="22:26" x14ac:dyDescent="0.2">
      <c r="V1908" s="202" t="str">
        <f t="shared" si="38"/>
        <v>1w</v>
      </c>
      <c r="W1908" s="200">
        <f>_xll.qlCalendarAdvance(Calendar,W1907,V1908,"f",FALSE)</f>
        <v>52265</v>
      </c>
      <c r="X1908" s="203">
        <f>_xll.qlCalendarAdvance(Calendar,W1908,NDays&amp;"D")</f>
        <v>52267</v>
      </c>
      <c r="Y1908" s="204">
        <v>2.1446435936279342E-2</v>
      </c>
      <c r="Z1908" s="201">
        <v>2.1427167260741342E-2</v>
      </c>
    </row>
    <row r="1909" spans="22:26" x14ac:dyDescent="0.2">
      <c r="V1909" s="202" t="str">
        <f t="shared" si="38"/>
        <v>1w</v>
      </c>
      <c r="W1909" s="200">
        <f>_xll.qlCalendarAdvance(Calendar,W1908,V1909,"f",FALSE)</f>
        <v>52272</v>
      </c>
      <c r="X1909" s="203">
        <f>_xll.qlCalendarAdvance(Calendar,W1909,NDays&amp;"D")</f>
        <v>52274</v>
      </c>
      <c r="Y1909" s="204">
        <v>2.144752456367614E-2</v>
      </c>
      <c r="Z1909" s="201">
        <v>2.1428203432209969E-2</v>
      </c>
    </row>
    <row r="1910" spans="22:26" x14ac:dyDescent="0.2">
      <c r="V1910" s="202" t="str">
        <f t="shared" si="38"/>
        <v>1w</v>
      </c>
      <c r="W1910" s="200">
        <f>_xll.qlCalendarAdvance(Calendar,W1909,V1910,"f",FALSE)</f>
        <v>52279</v>
      </c>
      <c r="X1910" s="203">
        <f>_xll.qlCalendarAdvance(Calendar,W1910,NDays&amp;"D")</f>
        <v>52281</v>
      </c>
      <c r="Y1910" s="204">
        <v>2.1448639526344047E-2</v>
      </c>
      <c r="Z1910" s="201">
        <v>2.1429265896486527E-2</v>
      </c>
    </row>
    <row r="1911" spans="22:26" x14ac:dyDescent="0.2">
      <c r="V1911" s="202" t="str">
        <f t="shared" si="38"/>
        <v>1w</v>
      </c>
      <c r="W1911" s="200">
        <f>_xll.qlCalendarAdvance(Calendar,W1910,V1911,"f",FALSE)</f>
        <v>52286</v>
      </c>
      <c r="X1911" s="203">
        <f>_xll.qlCalendarAdvance(Calendar,W1911,NDays&amp;"D")</f>
        <v>52288</v>
      </c>
      <c r="Y1911" s="204">
        <v>2.1449780824285915E-2</v>
      </c>
      <c r="Z1911" s="201">
        <v>2.1430354653730888E-2</v>
      </c>
    </row>
    <row r="1912" spans="22:26" x14ac:dyDescent="0.2">
      <c r="V1912" s="202" t="str">
        <f t="shared" si="38"/>
        <v>1w</v>
      </c>
      <c r="W1912" s="200">
        <f>_xll.qlCalendarAdvance(Calendar,W1911,V1912,"f",FALSE)</f>
        <v>52293</v>
      </c>
      <c r="X1912" s="203">
        <f>_xll.qlCalendarAdvance(Calendar,W1912,NDays&amp;"D")</f>
        <v>52295</v>
      </c>
      <c r="Y1912" s="204">
        <v>2.1453847493936584E-2</v>
      </c>
      <c r="Z1912" s="201">
        <v>2.1431469703943051E-2</v>
      </c>
    </row>
    <row r="1913" spans="22:26" x14ac:dyDescent="0.2">
      <c r="V1913" s="202" t="str">
        <f t="shared" si="38"/>
        <v>1w</v>
      </c>
      <c r="W1913" s="200">
        <f>_xll.qlCalendarAdvance(Calendar,W1912,V1913,"f",FALSE)</f>
        <v>52300</v>
      </c>
      <c r="X1913" s="203">
        <f>_xll.qlCalendarAdvance(Calendar,W1913,NDays&amp;"D")</f>
        <v>52302</v>
      </c>
      <c r="Y1913" s="204">
        <v>2.1455049273000348E-2</v>
      </c>
      <c r="Z1913" s="201">
        <v>2.1432611046963146E-2</v>
      </c>
    </row>
    <row r="1914" spans="22:26" x14ac:dyDescent="0.2">
      <c r="V1914" s="202" t="str">
        <f t="shared" si="38"/>
        <v>1w</v>
      </c>
      <c r="W1914" s="200">
        <f>_xll.qlCalendarAdvance(Calendar,W1913,V1914,"f",FALSE)</f>
        <v>52307</v>
      </c>
      <c r="X1914" s="203">
        <f>_xll.qlCalendarAdvance(Calendar,W1914,NDays&amp;"D")</f>
        <v>52309</v>
      </c>
      <c r="Y1914" s="204">
        <v>2.1456277393653023E-2</v>
      </c>
      <c r="Z1914" s="201">
        <v>2.1433778682791171E-2</v>
      </c>
    </row>
    <row r="1915" spans="22:26" x14ac:dyDescent="0.2">
      <c r="V1915" s="202" t="str">
        <f t="shared" si="38"/>
        <v>1w</v>
      </c>
      <c r="W1915" s="200">
        <f>_xll.qlCalendarAdvance(Calendar,W1914,V1915,"f",FALSE)</f>
        <v>52314</v>
      </c>
      <c r="X1915" s="203">
        <f>_xll.qlCalendarAdvance(Calendar,W1915,NDays&amp;"D")</f>
        <v>52316</v>
      </c>
      <c r="Y1915" s="204">
        <v>2.1457531855907097E-2</v>
      </c>
      <c r="Z1915" s="201">
        <v>2.1437871879276926E-2</v>
      </c>
    </row>
    <row r="1916" spans="22:26" x14ac:dyDescent="0.2">
      <c r="V1916" s="202" t="str">
        <f t="shared" si="38"/>
        <v>1w</v>
      </c>
      <c r="W1916" s="200">
        <f>_xll.qlCalendarAdvance(Calendar,W1915,V1916,"f",FALSE)</f>
        <v>52321</v>
      </c>
      <c r="X1916" s="203">
        <f>_xll.qlCalendarAdvance(Calendar,W1916,NDays&amp;"D")</f>
        <v>52323</v>
      </c>
      <c r="Y1916" s="204">
        <v>2.1458812659767568E-2</v>
      </c>
      <c r="Z1916" s="201">
        <v>2.1436192833350631E-2</v>
      </c>
    </row>
    <row r="1917" spans="22:26" x14ac:dyDescent="0.2">
      <c r="V1917" s="202" t="str">
        <f t="shared" si="38"/>
        <v>1w</v>
      </c>
      <c r="W1917" s="200">
        <f>_xll.qlCalendarAdvance(Calendar,W1916,V1917,"f",FALSE)</f>
        <v>52328</v>
      </c>
      <c r="X1917" s="203">
        <f>_xll.qlCalendarAdvance(Calendar,W1917,NDays&amp;"D")</f>
        <v>52330</v>
      </c>
      <c r="Y1917" s="204">
        <v>2.1460119805244426E-2</v>
      </c>
      <c r="Z1917" s="201">
        <v>2.1437439347842258E-2</v>
      </c>
    </row>
    <row r="1918" spans="22:26" x14ac:dyDescent="0.2">
      <c r="V1918" s="202" t="str">
        <f t="shared" si="38"/>
        <v>1w</v>
      </c>
      <c r="W1918" s="200">
        <f>_xll.qlCalendarAdvance(Calendar,W1917,V1918,"f",FALSE)</f>
        <v>52335</v>
      </c>
      <c r="X1918" s="203">
        <f>_xll.qlCalendarAdvance(Calendar,W1918,NDays&amp;"D")</f>
        <v>52337</v>
      </c>
      <c r="Y1918" s="204">
        <v>2.1461453292345167E-2</v>
      </c>
      <c r="Z1918" s="201">
        <v>2.1438712155381623E-2</v>
      </c>
    </row>
    <row r="1919" spans="22:26" x14ac:dyDescent="0.2">
      <c r="V1919" s="202" t="str">
        <f t="shared" si="38"/>
        <v>1w</v>
      </c>
      <c r="W1919" s="200">
        <f>_xll.qlCalendarAdvance(Calendar,W1918,V1919,"f",FALSE)</f>
        <v>52342</v>
      </c>
      <c r="X1919" s="203">
        <f>_xll.qlCalendarAdvance(Calendar,W1919,NDays&amp;"D")</f>
        <v>52344</v>
      </c>
      <c r="Y1919" s="204">
        <v>2.1462813121077284E-2</v>
      </c>
      <c r="Z1919" s="201">
        <v>2.1440011255569047E-2</v>
      </c>
    </row>
    <row r="1920" spans="22:26" x14ac:dyDescent="0.2">
      <c r="V1920" s="202" t="str">
        <f t="shared" si="38"/>
        <v>1w</v>
      </c>
      <c r="W1920" s="200">
        <f>_xll.qlCalendarAdvance(Calendar,W1919,V1920,"f",FALSE)</f>
        <v>52349</v>
      </c>
      <c r="X1920" s="203">
        <f>_xll.qlCalendarAdvance(Calendar,W1920,NDays&amp;"D")</f>
        <v>52351</v>
      </c>
      <c r="Y1920" s="204">
        <v>2.1461977693809833E-2</v>
      </c>
      <c r="Z1920" s="201">
        <v>2.1443540090813062E-2</v>
      </c>
    </row>
    <row r="1921" spans="22:26" x14ac:dyDescent="0.2">
      <c r="V1921" s="202" t="str">
        <f t="shared" si="38"/>
        <v>1w</v>
      </c>
      <c r="W1921" s="200">
        <f>_xll.qlCalendarAdvance(Calendar,W1920,V1921,"f",FALSE)</f>
        <v>52356</v>
      </c>
      <c r="X1921" s="203">
        <f>_xll.qlCalendarAdvance(Calendar,W1921,NDays&amp;"D")</f>
        <v>52358</v>
      </c>
      <c r="Y1921" s="204">
        <v>2.1465611803490603E-2</v>
      </c>
      <c r="Z1921" s="201">
        <v>2.1442688335007176E-2</v>
      </c>
    </row>
    <row r="1922" spans="22:26" x14ac:dyDescent="0.2">
      <c r="V1922" s="202" t="str">
        <f t="shared" si="38"/>
        <v>1w</v>
      </c>
      <c r="W1922" s="200">
        <f>_xll.qlCalendarAdvance(Calendar,W1921,V1922,"f",FALSE)</f>
        <v>52363</v>
      </c>
      <c r="X1922" s="203">
        <f>_xll.qlCalendarAdvance(Calendar,W1922,NDays&amp;"D")</f>
        <v>52365</v>
      </c>
      <c r="Y1922" s="204">
        <v>2.1467050657189291E-2</v>
      </c>
      <c r="Z1922" s="201">
        <v>2.1444066314018073E-2</v>
      </c>
    </row>
    <row r="1923" spans="22:26" x14ac:dyDescent="0.2">
      <c r="V1923" s="202" t="str">
        <f t="shared" si="38"/>
        <v>1w</v>
      </c>
      <c r="W1923" s="200">
        <f>_xll.qlCalendarAdvance(Calendar,W1922,V1923,"f",FALSE)</f>
        <v>52370</v>
      </c>
      <c r="X1923" s="203">
        <f>_xll.qlCalendarAdvance(Calendar,W1923,NDays&amp;"D")</f>
        <v>52372</v>
      </c>
      <c r="Y1923" s="204">
        <v>2.1468515852556824E-2</v>
      </c>
      <c r="Z1923" s="201">
        <v>2.1445470585916837E-2</v>
      </c>
    </row>
    <row r="1924" spans="22:26" x14ac:dyDescent="0.2">
      <c r="V1924" s="202" t="str">
        <f t="shared" si="38"/>
        <v>1w</v>
      </c>
      <c r="W1924" s="200">
        <f>_xll.qlCalendarAdvance(Calendar,W1923,V1924,"f",FALSE)</f>
        <v>52377</v>
      </c>
      <c r="X1924" s="203">
        <f>_xll.qlCalendarAdvance(Calendar,W1924,NDays&amp;"D")</f>
        <v>52379</v>
      </c>
      <c r="Y1924" s="204">
        <v>2.147000738961069E-2</v>
      </c>
      <c r="Z1924" s="201">
        <v>2.1446901150703468E-2</v>
      </c>
    </row>
    <row r="1925" spans="22:26" x14ac:dyDescent="0.2">
      <c r="V1925" s="202" t="str">
        <f t="shared" si="38"/>
        <v>1w</v>
      </c>
      <c r="W1925" s="200">
        <f>_xll.qlCalendarAdvance(Calendar,W1924,V1925,"f",FALSE)</f>
        <v>52384</v>
      </c>
      <c r="X1925" s="203">
        <f>_xll.qlCalendarAdvance(Calendar,W1925,NDays&amp;"D")</f>
        <v>52386</v>
      </c>
      <c r="Y1925" s="204">
        <v>2.1471525268358382E-2</v>
      </c>
      <c r="Z1925" s="201">
        <v>2.1448358008377966E-2</v>
      </c>
    </row>
    <row r="1926" spans="22:26" x14ac:dyDescent="0.2">
      <c r="V1926" s="202" t="str">
        <f t="shared" si="38"/>
        <v>1w</v>
      </c>
      <c r="W1926" s="200">
        <f>_xll.qlCalendarAdvance(Calendar,W1925,V1926,"f",FALSE)</f>
        <v>52391</v>
      </c>
      <c r="X1926" s="203">
        <f>_xll.qlCalendarAdvance(Calendar,W1926,NDays&amp;"D")</f>
        <v>52393</v>
      </c>
      <c r="Y1926" s="204">
        <v>2.1473069488809893E-2</v>
      </c>
      <c r="Z1926" s="201">
        <v>2.144984115894033E-2</v>
      </c>
    </row>
    <row r="1927" spans="22:26" x14ac:dyDescent="0.2">
      <c r="V1927" s="202" t="str">
        <f t="shared" si="38"/>
        <v>1w</v>
      </c>
      <c r="W1927" s="200">
        <f>_xll.qlCalendarAdvance(Calendar,W1926,V1927,"f",FALSE)</f>
        <v>52398</v>
      </c>
      <c r="X1927" s="203">
        <f>_xll.qlCalendarAdvance(Calendar,W1927,NDays&amp;"D")</f>
        <v>52400</v>
      </c>
      <c r="Y1927" s="204">
        <v>2.1474640050977711E-2</v>
      </c>
      <c r="Z1927" s="201">
        <v>2.1451350602390562E-2</v>
      </c>
    </row>
    <row r="1928" spans="22:26" x14ac:dyDescent="0.2">
      <c r="V1928" s="202" t="str">
        <f t="shared" si="38"/>
        <v>1w</v>
      </c>
      <c r="W1928" s="200">
        <f>_xll.qlCalendarAdvance(Calendar,W1927,V1928,"f",FALSE)</f>
        <v>52405</v>
      </c>
      <c r="X1928" s="203">
        <f>_xll.qlCalendarAdvance(Calendar,W1928,NDays&amp;"D")</f>
        <v>52407</v>
      </c>
      <c r="Y1928" s="204">
        <v>2.1476236954874328E-2</v>
      </c>
      <c r="Z1928" s="201">
        <v>2.1452886338648725E-2</v>
      </c>
    </row>
    <row r="1929" spans="22:26" x14ac:dyDescent="0.2">
      <c r="V1929" s="202" t="str">
        <f t="shared" si="38"/>
        <v>1w</v>
      </c>
      <c r="W1929" s="200">
        <f>_xll.qlCalendarAdvance(Calendar,W1928,V1929,"f",FALSE)</f>
        <v>52412</v>
      </c>
      <c r="X1929" s="203">
        <f>_xll.qlCalendarAdvance(Calendar,W1929,NDays&amp;"D")</f>
        <v>52414</v>
      </c>
      <c r="Y1929" s="204">
        <v>2.1477860200507237E-2</v>
      </c>
      <c r="Z1929" s="201">
        <v>2.1454448368034562E-2</v>
      </c>
    </row>
    <row r="1930" spans="22:26" x14ac:dyDescent="0.2">
      <c r="V1930" s="202" t="str">
        <f t="shared" si="38"/>
        <v>1w</v>
      </c>
      <c r="W1930" s="200">
        <f>_xll.qlCalendarAdvance(Calendar,W1929,V1930,"f",FALSE)</f>
        <v>52419</v>
      </c>
      <c r="X1930" s="203">
        <f>_xll.qlCalendarAdvance(Calendar,W1930,NDays&amp;"D")</f>
        <v>52421</v>
      </c>
      <c r="Y1930" s="204">
        <v>2.1479509787891427E-2</v>
      </c>
      <c r="Z1930" s="201">
        <v>2.1456036690068458E-2</v>
      </c>
    </row>
    <row r="1931" spans="22:26" x14ac:dyDescent="0.2">
      <c r="V1931" s="202" t="str">
        <f t="shared" si="38"/>
        <v>1w</v>
      </c>
      <c r="W1931" s="200">
        <f>_xll.qlCalendarAdvance(Calendar,W1930,V1931,"f",FALSE)</f>
        <v>52426</v>
      </c>
      <c r="X1931" s="203">
        <f>_xll.qlCalendarAdvance(Calendar,W1931,NDays&amp;"D")</f>
        <v>52428</v>
      </c>
      <c r="Y1931" s="204">
        <v>2.148118571703439E-2</v>
      </c>
      <c r="Z1931" s="201">
        <v>2.1457651305150094E-2</v>
      </c>
    </row>
    <row r="1932" spans="22:26" x14ac:dyDescent="0.2">
      <c r="V1932" s="202" t="str">
        <f t="shared" si="38"/>
        <v>1w</v>
      </c>
      <c r="W1932" s="200">
        <f>_xll.qlCalendarAdvance(Calendar,W1931,V1932,"f",FALSE)</f>
        <v>52433</v>
      </c>
      <c r="X1932" s="203">
        <f>_xll.qlCalendarAdvance(Calendar,W1932,NDays&amp;"D")</f>
        <v>52435</v>
      </c>
      <c r="Y1932" s="204">
        <v>2.1482887987953614E-2</v>
      </c>
      <c r="Z1932" s="201">
        <v>2.1459292213119596E-2</v>
      </c>
    </row>
    <row r="1933" spans="22:26" x14ac:dyDescent="0.2">
      <c r="V1933" s="202" t="str">
        <f t="shared" si="38"/>
        <v>1w</v>
      </c>
      <c r="W1933" s="200">
        <f>_xll.qlCalendarAdvance(Calendar,W1932,V1933,"f",FALSE)</f>
        <v>52440</v>
      </c>
      <c r="X1933" s="203">
        <f>_xll.qlCalendarAdvance(Calendar,W1933,NDays&amp;"D")</f>
        <v>52442</v>
      </c>
      <c r="Y1933" s="204">
        <v>2.1484616600651596E-2</v>
      </c>
      <c r="Z1933" s="201">
        <v>2.1460959413817093E-2</v>
      </c>
    </row>
    <row r="1934" spans="22:26" x14ac:dyDescent="0.2">
      <c r="V1934" s="202" t="str">
        <f t="shared" si="38"/>
        <v>1w</v>
      </c>
      <c r="W1934" s="200">
        <f>_xll.qlCalendarAdvance(Calendar,W1933,V1934,"f",FALSE)</f>
        <v>52447</v>
      </c>
      <c r="X1934" s="203">
        <f>_xll.qlCalendarAdvance(Calendar,W1934,NDays&amp;"D")</f>
        <v>52449</v>
      </c>
      <c r="Y1934" s="204">
        <v>2.148637155514832E-2</v>
      </c>
      <c r="Z1934" s="201">
        <v>2.146265290756233E-2</v>
      </c>
    </row>
    <row r="1935" spans="22:26" x14ac:dyDescent="0.2">
      <c r="V1935" s="202" t="str">
        <f t="shared" si="38"/>
        <v>1w</v>
      </c>
      <c r="W1935" s="200">
        <f>_xll.qlCalendarAdvance(Calendar,W1934,V1935,"f",FALSE)</f>
        <v>52454</v>
      </c>
      <c r="X1935" s="203">
        <f>_xll.qlCalendarAdvance(Calendar,W1935,NDays&amp;"D")</f>
        <v>52456</v>
      </c>
      <c r="Y1935" s="204">
        <v>2.1488152851453779E-2</v>
      </c>
      <c r="Z1935" s="201">
        <v>2.1464372694035561E-2</v>
      </c>
    </row>
    <row r="1936" spans="22:26" x14ac:dyDescent="0.2">
      <c r="V1936" s="202" t="str">
        <f t="shared" si="38"/>
        <v>1w</v>
      </c>
      <c r="W1936" s="200">
        <f>_xll.qlCalendarAdvance(Calendar,W1935,V1936,"f",FALSE)</f>
        <v>52461</v>
      </c>
      <c r="X1936" s="203">
        <f>_xll.qlCalendarAdvance(Calendar,W1936,NDays&amp;"D")</f>
        <v>52463</v>
      </c>
      <c r="Y1936" s="204">
        <v>2.1489960489585458E-2</v>
      </c>
      <c r="Z1936" s="201">
        <v>2.1466118773716403E-2</v>
      </c>
    </row>
    <row r="1937" spans="22:26" x14ac:dyDescent="0.2">
      <c r="V1937" s="202" t="str">
        <f t="shared" si="38"/>
        <v>1w</v>
      </c>
      <c r="W1937" s="200">
        <f>_xll.qlCalendarAdvance(Calendar,W1936,V1937,"f",FALSE)</f>
        <v>52468</v>
      </c>
      <c r="X1937" s="203">
        <f>_xll.qlCalendarAdvance(Calendar,W1937,NDays&amp;"D")</f>
        <v>52470</v>
      </c>
      <c r="Y1937" s="204">
        <v>2.1491794469548353E-2</v>
      </c>
      <c r="Z1937" s="201">
        <v>2.1467891145965368E-2</v>
      </c>
    </row>
    <row r="1938" spans="22:26" x14ac:dyDescent="0.2">
      <c r="V1938" s="202" t="str">
        <f t="shared" si="38"/>
        <v>1w</v>
      </c>
      <c r="W1938" s="200">
        <f>_xll.qlCalendarAdvance(Calendar,W1937,V1938,"f",FALSE)</f>
        <v>52475</v>
      </c>
      <c r="X1938" s="203">
        <f>_xll.qlCalendarAdvance(Calendar,W1938,NDays&amp;"D")</f>
        <v>52477</v>
      </c>
      <c r="Y1938" s="204">
        <v>2.1493654791357453E-2</v>
      </c>
      <c r="Z1938" s="201">
        <v>2.1469689811342008E-2</v>
      </c>
    </row>
    <row r="1939" spans="22:26" x14ac:dyDescent="0.2">
      <c r="V1939" s="202" t="str">
        <f t="shared" si="38"/>
        <v>1w</v>
      </c>
      <c r="W1939" s="200">
        <f>_xll.qlCalendarAdvance(Calendar,W1938,V1939,"f",FALSE)</f>
        <v>52482</v>
      </c>
      <c r="X1939" s="203">
        <f>_xll.qlCalendarAdvance(Calendar,W1939,NDays&amp;"D")</f>
        <v>52484</v>
      </c>
      <c r="Y1939" s="204">
        <v>2.1495541455027745E-2</v>
      </c>
      <c r="Z1939" s="201">
        <v>2.1471514769446642E-2</v>
      </c>
    </row>
    <row r="1940" spans="22:26" x14ac:dyDescent="0.2">
      <c r="V1940" s="202" t="str">
        <f t="shared" si="38"/>
        <v>1w</v>
      </c>
      <c r="W1940" s="200">
        <f>_xll.qlCalendarAdvance(Calendar,W1939,V1940,"f",FALSE)</f>
        <v>52489</v>
      </c>
      <c r="X1940" s="203">
        <f>_xll.qlCalendarAdvance(Calendar,W1940,NDays&amp;"D")</f>
        <v>52491</v>
      </c>
      <c r="Y1940" s="204">
        <v>2.1497454460569221E-2</v>
      </c>
      <c r="Z1940" s="201">
        <v>2.147336602051908E-2</v>
      </c>
    </row>
    <row r="1941" spans="22:26" x14ac:dyDescent="0.2">
      <c r="V1941" s="202" t="str">
        <f t="shared" ref="V1941:V2004" si="39">V1940</f>
        <v>1w</v>
      </c>
      <c r="W1941" s="200">
        <f>_xll.qlCalendarAdvance(Calendar,W1940,V1941,"f",FALSE)</f>
        <v>52496</v>
      </c>
      <c r="X1941" s="203">
        <f>_xll.qlCalendarAdvance(Calendar,W1941,NDays&amp;"D")</f>
        <v>52498</v>
      </c>
      <c r="Y1941" s="204">
        <v>2.1499393807999367E-2</v>
      </c>
      <c r="Z1941" s="201">
        <v>2.1475243564479385E-2</v>
      </c>
    </row>
    <row r="1942" spans="22:26" x14ac:dyDescent="0.2">
      <c r="V1942" s="202" t="str">
        <f t="shared" si="39"/>
        <v>1w</v>
      </c>
      <c r="W1942" s="200">
        <f>_xll.qlCalendarAdvance(Calendar,W1941,V1942,"f",FALSE)</f>
        <v>52503</v>
      </c>
      <c r="X1942" s="203">
        <f>_xll.qlCalendarAdvance(Calendar,W1942,NDays&amp;"D")</f>
        <v>52505</v>
      </c>
      <c r="Y1942" s="204">
        <v>2.1501359497330674E-2</v>
      </c>
      <c r="Z1942" s="201">
        <v>2.1477147401327557E-2</v>
      </c>
    </row>
    <row r="1943" spans="22:26" x14ac:dyDescent="0.2">
      <c r="V1943" s="202" t="str">
        <f t="shared" si="39"/>
        <v>1w</v>
      </c>
      <c r="W1943" s="200">
        <f>_xll.qlCalendarAdvance(Calendar,W1942,V1943,"f",FALSE)</f>
        <v>52510</v>
      </c>
      <c r="X1943" s="203">
        <f>_xll.qlCalendarAdvance(Calendar,W1943,NDays&amp;"D")</f>
        <v>52512</v>
      </c>
      <c r="Y1943" s="204">
        <v>2.1503351528575632E-2</v>
      </c>
      <c r="Z1943" s="201">
        <v>2.1479077531143531E-2</v>
      </c>
    </row>
    <row r="1944" spans="22:26" x14ac:dyDescent="0.2">
      <c r="V1944" s="202" t="str">
        <f t="shared" si="39"/>
        <v>1w</v>
      </c>
      <c r="W1944" s="200">
        <f>_xll.qlCalendarAdvance(Calendar,W1943,V1944,"f",FALSE)</f>
        <v>52517</v>
      </c>
      <c r="X1944" s="203">
        <f>_xll.qlCalendarAdvance(Calendar,W1944,NDays&amp;"D")</f>
        <v>52519</v>
      </c>
      <c r="Y1944" s="204">
        <v>2.1505369901746729E-2</v>
      </c>
      <c r="Z1944" s="201">
        <v>2.1481033953767437E-2</v>
      </c>
    </row>
    <row r="1945" spans="22:26" x14ac:dyDescent="0.2">
      <c r="V1945" s="202" t="str">
        <f t="shared" si="39"/>
        <v>1w</v>
      </c>
      <c r="W1945" s="200">
        <f>_xll.qlCalendarAdvance(Calendar,W1944,V1945,"f",FALSE)</f>
        <v>52524</v>
      </c>
      <c r="X1945" s="203">
        <f>_xll.qlCalendarAdvance(Calendar,W1945,NDays&amp;"D")</f>
        <v>52526</v>
      </c>
      <c r="Y1945" s="204">
        <v>2.1507414616861453E-2</v>
      </c>
      <c r="Z1945" s="201">
        <v>2.1483016669359145E-2</v>
      </c>
    </row>
    <row r="1946" spans="22:26" x14ac:dyDescent="0.2">
      <c r="V1946" s="202" t="str">
        <f t="shared" si="39"/>
        <v>1w</v>
      </c>
      <c r="W1946" s="200">
        <f>_xll.qlCalendarAdvance(Calendar,W1945,V1946,"f",FALSE)</f>
        <v>52531</v>
      </c>
      <c r="X1946" s="203">
        <f>_xll.qlCalendarAdvance(Calendar,W1946,NDays&amp;"D")</f>
        <v>52533</v>
      </c>
      <c r="Y1946" s="204">
        <v>2.1509485673929796E-2</v>
      </c>
      <c r="Z1946" s="201">
        <v>2.1485025677758784E-2</v>
      </c>
    </row>
    <row r="1947" spans="22:26" x14ac:dyDescent="0.2">
      <c r="V1947" s="202" t="str">
        <f t="shared" si="39"/>
        <v>1w</v>
      </c>
      <c r="W1947" s="200">
        <f>_xll.qlCalendarAdvance(Calendar,W1946,V1947,"f",FALSE)</f>
        <v>52538</v>
      </c>
      <c r="X1947" s="203">
        <f>_xll.qlCalendarAdvance(Calendar,W1947,NDays&amp;"D")</f>
        <v>52540</v>
      </c>
      <c r="Y1947" s="204">
        <v>2.1511583072976737E-2</v>
      </c>
      <c r="Z1947" s="201">
        <v>2.1487060979126227E-2</v>
      </c>
    </row>
    <row r="1948" spans="22:26" x14ac:dyDescent="0.2">
      <c r="V1948" s="202" t="str">
        <f t="shared" si="39"/>
        <v>1w</v>
      </c>
      <c r="W1948" s="200">
        <f>_xll.qlCalendarAdvance(Calendar,W1947,V1948,"f",FALSE)</f>
        <v>52545</v>
      </c>
      <c r="X1948" s="203">
        <f>_xll.qlCalendarAdvance(Calendar,W1948,NDays&amp;"D")</f>
        <v>52547</v>
      </c>
      <c r="Y1948" s="204">
        <v>2.1513706814002276E-2</v>
      </c>
      <c r="Z1948" s="201">
        <v>2.14891225733016E-2</v>
      </c>
    </row>
    <row r="1949" spans="22:26" x14ac:dyDescent="0.2">
      <c r="V1949" s="202" t="str">
        <f t="shared" si="39"/>
        <v>1w</v>
      </c>
      <c r="W1949" s="200">
        <f>_xll.qlCalendarAdvance(Calendar,W1948,V1949,"f",FALSE)</f>
        <v>52552</v>
      </c>
      <c r="X1949" s="203">
        <f>_xll.qlCalendarAdvance(Calendar,W1949,NDays&amp;"D")</f>
        <v>52554</v>
      </c>
      <c r="Y1949" s="204">
        <v>2.1515856897033891E-2</v>
      </c>
      <c r="Z1949" s="201">
        <v>2.1491210460524712E-2</v>
      </c>
    </row>
    <row r="1950" spans="22:26" x14ac:dyDescent="0.2">
      <c r="V1950" s="202" t="str">
        <f t="shared" si="39"/>
        <v>1w</v>
      </c>
      <c r="W1950" s="200">
        <f>_xll.qlCalendarAdvance(Calendar,W1949,V1950,"f",FALSE)</f>
        <v>52559</v>
      </c>
      <c r="X1950" s="203">
        <f>_xll.qlCalendarAdvance(Calendar,W1950,NDays&amp;"D")</f>
        <v>52561</v>
      </c>
      <c r="Y1950" s="204">
        <v>2.151803332207658E-2</v>
      </c>
      <c r="Z1950" s="201">
        <v>2.1493324640475819E-2</v>
      </c>
    </row>
    <row r="1951" spans="22:26" x14ac:dyDescent="0.2">
      <c r="V1951" s="202" t="str">
        <f t="shared" si="39"/>
        <v>1w</v>
      </c>
      <c r="W1951" s="200">
        <f>_xll.qlCalendarAdvance(Calendar,W1950,V1951,"f",FALSE)</f>
        <v>52566</v>
      </c>
      <c r="X1951" s="203">
        <f>_xll.qlCalendarAdvance(Calendar,W1951,NDays&amp;"D")</f>
        <v>52568</v>
      </c>
      <c r="Y1951" s="204">
        <v>2.1520236089152822E-2</v>
      </c>
      <c r="Z1951" s="201">
        <v>2.1495465113474665E-2</v>
      </c>
    </row>
    <row r="1952" spans="22:26" x14ac:dyDescent="0.2">
      <c r="V1952" s="202" t="str">
        <f t="shared" si="39"/>
        <v>1w</v>
      </c>
      <c r="W1952" s="200">
        <f>_xll.qlCalendarAdvance(Calendar,W1951,V1952,"f",FALSE)</f>
        <v>52573</v>
      </c>
      <c r="X1952" s="203">
        <f>_xll.qlCalendarAdvance(Calendar,W1952,NDays&amp;"D")</f>
        <v>52575</v>
      </c>
      <c r="Y1952" s="204">
        <v>2.1522465198275109E-2</v>
      </c>
      <c r="Z1952" s="201">
        <v>2.1497631879281442E-2</v>
      </c>
    </row>
    <row r="1953" spans="22:26" x14ac:dyDescent="0.2">
      <c r="V1953" s="202" t="str">
        <f t="shared" si="39"/>
        <v>1w</v>
      </c>
      <c r="W1953" s="200">
        <f>_xll.qlCalendarAdvance(Calendar,W1952,V1953,"f",FALSE)</f>
        <v>52580</v>
      </c>
      <c r="X1953" s="203">
        <f>_xll.qlCalendarAdvance(Calendar,W1953,NDays&amp;"D")</f>
        <v>52582</v>
      </c>
      <c r="Y1953" s="204">
        <v>2.1524720649458429E-2</v>
      </c>
      <c r="Z1953" s="201">
        <v>2.1499824938135959E-2</v>
      </c>
    </row>
    <row r="1954" spans="22:26" x14ac:dyDescent="0.2">
      <c r="V1954" s="202" t="str">
        <f t="shared" si="39"/>
        <v>1w</v>
      </c>
      <c r="W1954" s="200">
        <f>_xll.qlCalendarAdvance(Calendar,W1953,V1954,"f",FALSE)</f>
        <v>52587</v>
      </c>
      <c r="X1954" s="203">
        <f>_xll.qlCalendarAdvance(Calendar,W1954,NDays&amp;"D")</f>
        <v>52589</v>
      </c>
      <c r="Y1954" s="204">
        <v>2.1527002442720267E-2</v>
      </c>
      <c r="Z1954" s="201">
        <v>2.1504450191756064E-2</v>
      </c>
    </row>
    <row r="1955" spans="22:26" x14ac:dyDescent="0.2">
      <c r="V1955" s="202" t="str">
        <f t="shared" si="39"/>
        <v>1w</v>
      </c>
      <c r="W1955" s="200">
        <f>_xll.qlCalendarAdvance(Calendar,W1954,V1955,"f",FALSE)</f>
        <v>52594</v>
      </c>
      <c r="X1955" s="203">
        <f>_xll.qlCalendarAdvance(Calendar,W1955,NDays&amp;"D")</f>
        <v>52596</v>
      </c>
      <c r="Y1955" s="204">
        <v>2.1526879800172167E-2</v>
      </c>
      <c r="Z1955" s="201">
        <v>2.1506701873956757E-2</v>
      </c>
    </row>
    <row r="1956" spans="22:26" x14ac:dyDescent="0.2">
      <c r="V1956" s="202" t="str">
        <f t="shared" si="39"/>
        <v>1w</v>
      </c>
      <c r="W1956" s="200">
        <f>_xll.qlCalendarAdvance(Calendar,W1955,V1956,"f",FALSE)</f>
        <v>52601</v>
      </c>
      <c r="X1956" s="203">
        <f>_xll.qlCalendarAdvance(Calendar,W1956,NDays&amp;"D")</f>
        <v>52603</v>
      </c>
      <c r="Y1956" s="204">
        <v>2.1531645055544446E-2</v>
      </c>
      <c r="Z1956" s="201">
        <v>2.1506561871706964E-2</v>
      </c>
    </row>
    <row r="1957" spans="22:26" x14ac:dyDescent="0.2">
      <c r="V1957" s="202" t="str">
        <f t="shared" si="39"/>
        <v>1w</v>
      </c>
      <c r="W1957" s="200">
        <f>_xll.qlCalendarAdvance(Calendar,W1956,V1957,"f",FALSE)</f>
        <v>52608</v>
      </c>
      <c r="X1957" s="203">
        <f>_xll.qlCalendarAdvance(Calendar,W1957,NDays&amp;"D")</f>
        <v>52610</v>
      </c>
      <c r="Y1957" s="204">
        <v>2.1534005875136764E-2</v>
      </c>
      <c r="Z1957" s="201">
        <v>2.1508860102033012E-2</v>
      </c>
    </row>
    <row r="1958" spans="22:26" x14ac:dyDescent="0.2">
      <c r="V1958" s="202" t="str">
        <f t="shared" si="39"/>
        <v>1w</v>
      </c>
      <c r="W1958" s="200">
        <f>_xll.qlCalendarAdvance(Calendar,W1957,V1958,"f",FALSE)</f>
        <v>52615</v>
      </c>
      <c r="X1958" s="203">
        <f>_xll.qlCalendarAdvance(Calendar,W1958,NDays&amp;"D")</f>
        <v>52617</v>
      </c>
      <c r="Y1958" s="204">
        <v>2.153639303687005E-2</v>
      </c>
      <c r="Z1958" s="201">
        <v>2.1511184625326862E-2</v>
      </c>
    </row>
    <row r="1959" spans="22:26" x14ac:dyDescent="0.2">
      <c r="V1959" s="202" t="str">
        <f t="shared" si="39"/>
        <v>1w</v>
      </c>
      <c r="W1959" s="200">
        <f>_xll.qlCalendarAdvance(Calendar,W1958,V1959,"f",FALSE)</f>
        <v>52622</v>
      </c>
      <c r="X1959" s="203">
        <f>_xll.qlCalendarAdvance(Calendar,W1959,NDays&amp;"D")</f>
        <v>52624</v>
      </c>
      <c r="Y1959" s="204">
        <v>2.1538806540766786E-2</v>
      </c>
      <c r="Z1959" s="201">
        <v>2.1513535441428644E-2</v>
      </c>
    </row>
    <row r="1960" spans="22:26" x14ac:dyDescent="0.2">
      <c r="V1960" s="202" t="str">
        <f t="shared" si="39"/>
        <v>1w</v>
      </c>
      <c r="W1960" s="200">
        <f>_xll.qlCalendarAdvance(Calendar,W1959,V1960,"f",FALSE)</f>
        <v>52629</v>
      </c>
      <c r="X1960" s="203">
        <f>_xll.qlCalendarAdvance(Calendar,W1960,NDays&amp;"D")</f>
        <v>52631</v>
      </c>
      <c r="Y1960" s="204">
        <v>2.1538785250541169E-2</v>
      </c>
      <c r="Z1960" s="201">
        <v>2.1515912550578165E-2</v>
      </c>
    </row>
    <row r="1961" spans="22:26" x14ac:dyDescent="0.2">
      <c r="V1961" s="202" t="str">
        <f t="shared" si="39"/>
        <v>1w</v>
      </c>
      <c r="W1961" s="200">
        <f>_xll.qlCalendarAdvance(Calendar,W1960,V1961,"f",FALSE)</f>
        <v>52636</v>
      </c>
      <c r="X1961" s="203">
        <f>_xll.qlCalendarAdvance(Calendar,W1961,NDays&amp;"D")</f>
        <v>52638</v>
      </c>
      <c r="Y1961" s="204">
        <v>2.1541245352803759E-2</v>
      </c>
      <c r="Z1961" s="201">
        <v>2.151831595245568E-2</v>
      </c>
    </row>
    <row r="1962" spans="22:26" x14ac:dyDescent="0.2">
      <c r="V1962" s="202" t="str">
        <f t="shared" si="39"/>
        <v>1w</v>
      </c>
      <c r="W1962" s="200">
        <f>_xll.qlCalendarAdvance(Calendar,W1961,V1962,"f",FALSE)</f>
        <v>52643</v>
      </c>
      <c r="X1962" s="203">
        <f>_xll.qlCalendarAdvance(Calendar,W1962,NDays&amp;"D")</f>
        <v>52645</v>
      </c>
      <c r="Y1962" s="204">
        <v>2.1543731792497897E-2</v>
      </c>
      <c r="Z1962" s="201">
        <v>2.1520745647380934E-2</v>
      </c>
    </row>
    <row r="1963" spans="22:26" x14ac:dyDescent="0.2">
      <c r="V1963" s="202" t="str">
        <f t="shared" si="39"/>
        <v>1w</v>
      </c>
      <c r="W1963" s="200">
        <f>_xll.qlCalendarAdvance(Calendar,W1962,V1963,"f",FALSE)</f>
        <v>52650</v>
      </c>
      <c r="X1963" s="203">
        <f>_xll.qlCalendarAdvance(Calendar,W1963,NDays&amp;"D")</f>
        <v>52652</v>
      </c>
      <c r="Y1963" s="204">
        <v>2.1546244569642877E-2</v>
      </c>
      <c r="Z1963" s="201">
        <v>2.1523201635273992E-2</v>
      </c>
    </row>
    <row r="1964" spans="22:26" x14ac:dyDescent="0.2">
      <c r="V1964" s="202" t="str">
        <f t="shared" si="39"/>
        <v>1w</v>
      </c>
      <c r="W1964" s="200">
        <f>_xll.qlCalendarAdvance(Calendar,W1963,V1964,"f",FALSE)</f>
        <v>52657</v>
      </c>
      <c r="X1964" s="203">
        <f>_xll.qlCalendarAdvance(Calendar,W1964,NDays&amp;"D")</f>
        <v>52659</v>
      </c>
      <c r="Y1964" s="204">
        <v>2.1551269193241795E-2</v>
      </c>
      <c r="Z1964" s="201">
        <v>2.1525683915895044E-2</v>
      </c>
    </row>
    <row r="1965" spans="22:26" x14ac:dyDescent="0.2">
      <c r="V1965" s="202" t="str">
        <f t="shared" si="39"/>
        <v>1w</v>
      </c>
      <c r="W1965" s="200">
        <f>_xll.qlCalendarAdvance(Calendar,W1964,V1965,"f",FALSE)</f>
        <v>52664</v>
      </c>
      <c r="X1965" s="203">
        <f>_xll.qlCalendarAdvance(Calendar,W1965,NDays&amp;"D")</f>
        <v>52666</v>
      </c>
      <c r="Y1965" s="204">
        <v>2.1553840750453968E-2</v>
      </c>
      <c r="Z1965" s="201">
        <v>2.1528192489483899E-2</v>
      </c>
    </row>
    <row r="1966" spans="22:26" x14ac:dyDescent="0.2">
      <c r="V1966" s="202" t="str">
        <f t="shared" si="39"/>
        <v>1w</v>
      </c>
      <c r="W1966" s="200">
        <f>_xll.qlCalendarAdvance(Calendar,W1965,V1966,"f",FALSE)</f>
        <v>52671</v>
      </c>
      <c r="X1966" s="203">
        <f>_xll.qlCalendarAdvance(Calendar,W1966,NDays&amp;"D")</f>
        <v>52673</v>
      </c>
      <c r="Y1966" s="204">
        <v>2.155727167940779E-2</v>
      </c>
      <c r="Z1966" s="201">
        <v>2.1530727355960622E-2</v>
      </c>
    </row>
    <row r="1967" spans="22:26" x14ac:dyDescent="0.2">
      <c r="V1967" s="202" t="str">
        <f t="shared" si="39"/>
        <v>1w</v>
      </c>
      <c r="W1967" s="200">
        <f>_xll.qlCalendarAdvance(Calendar,W1966,V1967,"f",FALSE)</f>
        <v>52678</v>
      </c>
      <c r="X1967" s="203">
        <f>_xll.qlCalendarAdvance(Calendar,W1967,NDays&amp;"D")</f>
        <v>52680</v>
      </c>
      <c r="Y1967" s="204">
        <v>2.1559062891753356E-2</v>
      </c>
      <c r="Z1967" s="201">
        <v>2.1533288515405147E-2</v>
      </c>
    </row>
    <row r="1968" spans="22:26" x14ac:dyDescent="0.2">
      <c r="V1968" s="202" t="str">
        <f t="shared" si="39"/>
        <v>1w</v>
      </c>
      <c r="W1968" s="200">
        <f>_xll.qlCalendarAdvance(Calendar,W1967,V1968,"f",FALSE)</f>
        <v>52685</v>
      </c>
      <c r="X1968" s="203">
        <f>_xll.qlCalendarAdvance(Calendar,W1968,NDays&amp;"D")</f>
        <v>52687</v>
      </c>
      <c r="Y1968" s="204">
        <v>2.1559203517640325E-2</v>
      </c>
      <c r="Z1968" s="201">
        <v>2.1535875967737539E-2</v>
      </c>
    </row>
    <row r="1969" spans="22:26" x14ac:dyDescent="0.2">
      <c r="V1969" s="202" t="str">
        <f t="shared" si="39"/>
        <v>1w</v>
      </c>
      <c r="W1969" s="200">
        <f>_xll.qlCalendarAdvance(Calendar,W1968,V1969,"f",FALSE)</f>
        <v>52692</v>
      </c>
      <c r="X1969" s="203">
        <f>_xll.qlCalendarAdvance(Calendar,W1969,NDays&amp;"D")</f>
        <v>52694</v>
      </c>
      <c r="Y1969" s="204">
        <v>2.1564390402323552E-2</v>
      </c>
      <c r="Z1969" s="201">
        <v>2.1538489712957798E-2</v>
      </c>
    </row>
    <row r="1970" spans="22:26" x14ac:dyDescent="0.2">
      <c r="V1970" s="202" t="str">
        <f t="shared" si="39"/>
        <v>1w</v>
      </c>
      <c r="W1970" s="200">
        <f>_xll.qlCalendarAdvance(Calendar,W1969,V1970,"f",FALSE)</f>
        <v>52699</v>
      </c>
      <c r="X1970" s="203">
        <f>_xll.qlCalendarAdvance(Calendar,W1970,NDays&amp;"D")</f>
        <v>52701</v>
      </c>
      <c r="Y1970" s="204">
        <v>2.1567093671132354E-2</v>
      </c>
      <c r="Z1970" s="201">
        <v>2.154446764011908E-2</v>
      </c>
    </row>
    <row r="1971" spans="22:26" x14ac:dyDescent="0.2">
      <c r="V1971" s="202" t="str">
        <f t="shared" si="39"/>
        <v>1w</v>
      </c>
      <c r="W1971" s="200">
        <f>_xll.qlCalendarAdvance(Calendar,W1970,V1971,"f",FALSE)</f>
        <v>52706</v>
      </c>
      <c r="X1971" s="203">
        <f>_xll.qlCalendarAdvance(Calendar,W1971,NDays&amp;"D")</f>
        <v>52708</v>
      </c>
      <c r="Y1971" s="204">
        <v>2.1569823282319434E-2</v>
      </c>
      <c r="Z1971" s="201">
        <v>2.1543796082141853E-2</v>
      </c>
    </row>
    <row r="1972" spans="22:26" x14ac:dyDescent="0.2">
      <c r="V1972" s="202" t="str">
        <f t="shared" si="39"/>
        <v>1w</v>
      </c>
      <c r="W1972" s="200">
        <f>_xll.qlCalendarAdvance(Calendar,W1971,V1972,"f",FALSE)</f>
        <v>52713</v>
      </c>
      <c r="X1972" s="203">
        <f>_xll.qlCalendarAdvance(Calendar,W1972,NDays&amp;"D")</f>
        <v>52715</v>
      </c>
      <c r="Y1972" s="204">
        <v>2.1572579235897282E-2</v>
      </c>
      <c r="Z1972" s="201">
        <v>2.1546488706105649E-2</v>
      </c>
    </row>
    <row r="1973" spans="22:26" x14ac:dyDescent="0.2">
      <c r="V1973" s="202" t="str">
        <f t="shared" si="39"/>
        <v>1w</v>
      </c>
      <c r="W1973" s="200">
        <f>_xll.qlCalendarAdvance(Calendar,W1972,V1973,"f",FALSE)</f>
        <v>52720</v>
      </c>
      <c r="X1973" s="203">
        <f>_xll.qlCalendarAdvance(Calendar,W1973,NDays&amp;"D")</f>
        <v>52722</v>
      </c>
      <c r="Y1973" s="204">
        <v>2.157536153189088E-2</v>
      </c>
      <c r="Z1973" s="201">
        <v>2.1549207623037248E-2</v>
      </c>
    </row>
    <row r="1974" spans="22:26" x14ac:dyDescent="0.2">
      <c r="V1974" s="202" t="str">
        <f t="shared" si="39"/>
        <v>1w</v>
      </c>
      <c r="W1974" s="200">
        <f>_xll.qlCalendarAdvance(Calendar,W1973,V1974,"f",FALSE)</f>
        <v>52727</v>
      </c>
      <c r="X1974" s="203">
        <f>_xll.qlCalendarAdvance(Calendar,W1974,NDays&amp;"D")</f>
        <v>52729</v>
      </c>
      <c r="Y1974" s="204">
        <v>2.1578170170317712E-2</v>
      </c>
      <c r="Z1974" s="201">
        <v>2.1551952832776777E-2</v>
      </c>
    </row>
    <row r="1975" spans="22:26" x14ac:dyDescent="0.2">
      <c r="V1975" s="202" t="str">
        <f t="shared" si="39"/>
        <v>1w</v>
      </c>
      <c r="W1975" s="200">
        <f>_xll.qlCalendarAdvance(Calendar,W1974,V1975,"f",FALSE)</f>
        <v>52734</v>
      </c>
      <c r="X1975" s="203">
        <f>_xll.qlCalendarAdvance(Calendar,W1975,NDays&amp;"D")</f>
        <v>52736</v>
      </c>
      <c r="Y1975" s="204">
        <v>2.1581005151195265E-2</v>
      </c>
      <c r="Z1975" s="201">
        <v>2.155472433548411E-2</v>
      </c>
    </row>
    <row r="1976" spans="22:26" x14ac:dyDescent="0.2">
      <c r="V1976" s="202" t="str">
        <f t="shared" si="39"/>
        <v>1w</v>
      </c>
      <c r="W1976" s="200">
        <f>_xll.qlCalendarAdvance(Calendar,W1975,V1976,"f",FALSE)</f>
        <v>52741</v>
      </c>
      <c r="X1976" s="203">
        <f>_xll.qlCalendarAdvance(Calendar,W1976,NDays&amp;"D")</f>
        <v>52743</v>
      </c>
      <c r="Y1976" s="204">
        <v>2.1583866474546021E-2</v>
      </c>
      <c r="Z1976" s="201">
        <v>2.155752213107931E-2</v>
      </c>
    </row>
    <row r="1977" spans="22:26" x14ac:dyDescent="0.2">
      <c r="V1977" s="202" t="str">
        <f t="shared" si="39"/>
        <v>1w</v>
      </c>
      <c r="W1977" s="200">
        <f>_xll.qlCalendarAdvance(Calendar,W1976,V1977,"f",FALSE)</f>
        <v>52748</v>
      </c>
      <c r="X1977" s="203">
        <f>_xll.qlCalendarAdvance(Calendar,W1977,NDays&amp;"D")</f>
        <v>52750</v>
      </c>
      <c r="Y1977" s="204">
        <v>2.1586754140389963E-2</v>
      </c>
      <c r="Z1977" s="201">
        <v>2.1560346219722248E-2</v>
      </c>
    </row>
    <row r="1978" spans="22:26" x14ac:dyDescent="0.2">
      <c r="V1978" s="202" t="str">
        <f t="shared" si="39"/>
        <v>1w</v>
      </c>
      <c r="W1978" s="200">
        <f>_xll.qlCalendarAdvance(Calendar,W1977,V1978,"f",FALSE)</f>
        <v>52755</v>
      </c>
      <c r="X1978" s="203">
        <f>_xll.qlCalendarAdvance(Calendar,W1978,NDays&amp;"D")</f>
        <v>52757</v>
      </c>
      <c r="Y1978" s="204">
        <v>2.1589668148747077E-2</v>
      </c>
      <c r="Z1978" s="201">
        <v>2.1563196601093182E-2</v>
      </c>
    </row>
    <row r="1979" spans="22:26" x14ac:dyDescent="0.2">
      <c r="V1979" s="202" t="str">
        <f t="shared" si="39"/>
        <v>1w</v>
      </c>
      <c r="W1979" s="200">
        <f>_xll.qlCalendarAdvance(Calendar,W1978,V1979,"f",FALSE)</f>
        <v>52762</v>
      </c>
      <c r="X1979" s="203">
        <f>_xll.qlCalendarAdvance(Calendar,W1979,NDays&amp;"D")</f>
        <v>52764</v>
      </c>
      <c r="Y1979" s="204">
        <v>2.1592608499637345E-2</v>
      </c>
      <c r="Z1979" s="201">
        <v>2.1566073275431918E-2</v>
      </c>
    </row>
    <row r="1980" spans="22:26" x14ac:dyDescent="0.2">
      <c r="V1980" s="202" t="str">
        <f t="shared" si="39"/>
        <v>1w</v>
      </c>
      <c r="W1980" s="200">
        <f>_xll.qlCalendarAdvance(Calendar,W1979,V1980,"f",FALSE)</f>
        <v>52769</v>
      </c>
      <c r="X1980" s="203">
        <f>_xll.qlCalendarAdvance(Calendar,W1980,NDays&amp;"D")</f>
        <v>52771</v>
      </c>
      <c r="Y1980" s="204">
        <v>2.1595575193078254E-2</v>
      </c>
      <c r="Z1980" s="201">
        <v>2.1568976242738458E-2</v>
      </c>
    </row>
    <row r="1981" spans="22:26" x14ac:dyDescent="0.2">
      <c r="V1981" s="202" t="str">
        <f t="shared" si="39"/>
        <v>1w</v>
      </c>
      <c r="W1981" s="200">
        <f>_xll.qlCalendarAdvance(Calendar,W1980,V1981,"f",FALSE)</f>
        <v>52776</v>
      </c>
      <c r="X1981" s="203">
        <f>_xll.qlCalendarAdvance(Calendar,W1981,NDays&amp;"D")</f>
        <v>52778</v>
      </c>
      <c r="Y1981" s="204">
        <v>2.1595978280839093E-2</v>
      </c>
      <c r="Z1981" s="201">
        <v>2.1571905502852928E-2</v>
      </c>
    </row>
    <row r="1982" spans="22:26" x14ac:dyDescent="0.2">
      <c r="V1982" s="202" t="str">
        <f t="shared" si="39"/>
        <v>1w</v>
      </c>
      <c r="W1982" s="200">
        <f>_xll.qlCalendarAdvance(Calendar,W1981,V1982,"f",FALSE)</f>
        <v>52783</v>
      </c>
      <c r="X1982" s="203">
        <f>_xll.qlCalendarAdvance(Calendar,W1982,NDays&amp;"D")</f>
        <v>52785</v>
      </c>
      <c r="Y1982" s="204">
        <v>2.1601587607711914E-2</v>
      </c>
      <c r="Z1982" s="201">
        <v>2.1574861056015138E-2</v>
      </c>
    </row>
    <row r="1983" spans="22:26" x14ac:dyDescent="0.2">
      <c r="V1983" s="202" t="str">
        <f t="shared" si="39"/>
        <v>1w</v>
      </c>
      <c r="W1983" s="200">
        <f>_xll.qlCalendarAdvance(Calendar,W1982,V1983,"f",FALSE)</f>
        <v>52790</v>
      </c>
      <c r="X1983" s="203">
        <f>_xll.qlCalendarAdvance(Calendar,W1983,NDays&amp;"D")</f>
        <v>52792</v>
      </c>
      <c r="Y1983" s="204">
        <v>2.1604633328944634E-2</v>
      </c>
      <c r="Z1983" s="201">
        <v>2.1577842902065214E-2</v>
      </c>
    </row>
    <row r="1984" spans="22:26" x14ac:dyDescent="0.2">
      <c r="V1984" s="202" t="str">
        <f t="shared" si="39"/>
        <v>1w</v>
      </c>
      <c r="W1984" s="200">
        <f>_xll.qlCalendarAdvance(Calendar,W1983,V1984,"f",FALSE)</f>
        <v>52797</v>
      </c>
      <c r="X1984" s="203">
        <f>_xll.qlCalendarAdvance(Calendar,W1984,NDays&amp;"D")</f>
        <v>52799</v>
      </c>
      <c r="Y1984" s="204">
        <v>2.1607705392810428E-2</v>
      </c>
      <c r="Z1984" s="201">
        <v>2.1580851040923221E-2</v>
      </c>
    </row>
    <row r="1985" spans="22:26" x14ac:dyDescent="0.2">
      <c r="V1985" s="202" t="str">
        <f t="shared" si="39"/>
        <v>1w</v>
      </c>
      <c r="W1985" s="200">
        <f>_xll.qlCalendarAdvance(Calendar,W1984,V1985,"f",FALSE)</f>
        <v>52804</v>
      </c>
      <c r="X1985" s="203">
        <f>_xll.qlCalendarAdvance(Calendar,W1985,NDays&amp;"D")</f>
        <v>52806</v>
      </c>
      <c r="Y1985" s="204">
        <v>2.1610803799341771E-2</v>
      </c>
      <c r="Z1985" s="201">
        <v>2.1583885472908904E-2</v>
      </c>
    </row>
    <row r="1986" spans="22:26" x14ac:dyDescent="0.2">
      <c r="V1986" s="202" t="str">
        <f t="shared" si="39"/>
        <v>1w</v>
      </c>
      <c r="W1986" s="200">
        <f>_xll.qlCalendarAdvance(Calendar,W1985,V1986,"f",FALSE)</f>
        <v>52811</v>
      </c>
      <c r="X1986" s="203">
        <f>_xll.qlCalendarAdvance(Calendar,W1986,NDays&amp;"D")</f>
        <v>52813</v>
      </c>
      <c r="Y1986" s="204">
        <v>2.1613928548548655E-2</v>
      </c>
      <c r="Z1986" s="201">
        <v>2.1586946197622581E-2</v>
      </c>
    </row>
    <row r="1987" spans="22:26" x14ac:dyDescent="0.2">
      <c r="V1987" s="202" t="str">
        <f t="shared" si="39"/>
        <v>1w</v>
      </c>
      <c r="W1987" s="200">
        <f>_xll.qlCalendarAdvance(Calendar,W1986,V1987,"f",FALSE)</f>
        <v>52818</v>
      </c>
      <c r="X1987" s="203">
        <f>_xll.qlCalendarAdvance(Calendar,W1987,NDays&amp;"D")</f>
        <v>52820</v>
      </c>
      <c r="Y1987" s="204">
        <v>2.1617079362475922E-2</v>
      </c>
      <c r="Z1987" s="201">
        <v>2.1590033215383997E-2</v>
      </c>
    </row>
    <row r="1988" spans="22:26" x14ac:dyDescent="0.2">
      <c r="V1988" s="202" t="str">
        <f t="shared" si="39"/>
        <v>1w</v>
      </c>
      <c r="W1988" s="200">
        <f>_xll.qlCalendarAdvance(Calendar,W1987,V1988,"f",FALSE)</f>
        <v>52825</v>
      </c>
      <c r="X1988" s="203">
        <f>_xll.qlCalendarAdvance(Calendar,W1988,NDays&amp;"D")</f>
        <v>52827</v>
      </c>
      <c r="Y1988" s="204">
        <v>2.1620251293813508E-2</v>
      </c>
      <c r="Z1988" s="201">
        <v>2.1593146525953344E-2</v>
      </c>
    </row>
    <row r="1989" spans="22:26" x14ac:dyDescent="0.2">
      <c r="V1989" s="202" t="str">
        <f t="shared" si="39"/>
        <v>1w</v>
      </c>
      <c r="W1989" s="200">
        <f>_xll.qlCalendarAdvance(Calendar,W1988,V1989,"f",FALSE)</f>
        <v>52832</v>
      </c>
      <c r="X1989" s="203">
        <f>_xll.qlCalendarAdvance(Calendar,W1989,NDays&amp;"D")</f>
        <v>52834</v>
      </c>
      <c r="Y1989" s="204">
        <v>2.1623435520783107E-2</v>
      </c>
      <c r="Z1989" s="201">
        <v>2.1596286129490494E-2</v>
      </c>
    </row>
    <row r="1990" spans="22:26" x14ac:dyDescent="0.2">
      <c r="V1990" s="202" t="str">
        <f t="shared" si="39"/>
        <v>1w</v>
      </c>
      <c r="W1990" s="200">
        <f>_xll.qlCalendarAdvance(Calendar,W1989,V1990,"f",FALSE)</f>
        <v>52839</v>
      </c>
      <c r="X1990" s="203">
        <f>_xll.qlCalendarAdvance(Calendar,W1990,NDays&amp;"D")</f>
        <v>52841</v>
      </c>
      <c r="Y1990" s="204">
        <v>2.1626623104325227E-2</v>
      </c>
      <c r="Z1990" s="201">
        <v>2.1599452025995447E-2</v>
      </c>
    </row>
    <row r="1991" spans="22:26" x14ac:dyDescent="0.2">
      <c r="V1991" s="202" t="str">
        <f t="shared" si="39"/>
        <v>1w</v>
      </c>
      <c r="W1991" s="200">
        <f>_xll.qlCalendarAdvance(Calendar,W1990,V1991,"f",FALSE)</f>
        <v>52846</v>
      </c>
      <c r="X1991" s="203">
        <f>_xll.qlCalendarAdvance(Calendar,W1991,NDays&amp;"D")</f>
        <v>52848</v>
      </c>
      <c r="Y1991" s="204">
        <v>2.1629805105367883E-2</v>
      </c>
      <c r="Z1991" s="201">
        <v>2.1602644076619271E-2</v>
      </c>
    </row>
    <row r="1992" spans="22:26" x14ac:dyDescent="0.2">
      <c r="V1992" s="202" t="str">
        <f t="shared" si="39"/>
        <v>1w</v>
      </c>
      <c r="W1992" s="200">
        <f>_xll.qlCalendarAdvance(Calendar,W1991,V1992,"f",FALSE)</f>
        <v>52853</v>
      </c>
      <c r="X1992" s="203">
        <f>_xll.qlCalendarAdvance(Calendar,W1992,NDays&amp;"D")</f>
        <v>52855</v>
      </c>
      <c r="Y1992" s="204">
        <v>2.1632974074677347E-2</v>
      </c>
      <c r="Z1992" s="201">
        <v>2.1605839251304104E-2</v>
      </c>
    </row>
    <row r="1993" spans="22:26" x14ac:dyDescent="0.2">
      <c r="V1993" s="202" t="str">
        <f t="shared" si="39"/>
        <v>1w</v>
      </c>
      <c r="W1993" s="200">
        <f>_xll.qlCalendarAdvance(Calendar,W1992,V1993,"f",FALSE)</f>
        <v>52860</v>
      </c>
      <c r="X1993" s="203">
        <f>_xll.qlCalendarAdvance(Calendar,W1993,NDays&amp;"D")</f>
        <v>52862</v>
      </c>
      <c r="Y1993" s="204">
        <v>2.1636128522392883E-2</v>
      </c>
      <c r="Z1993" s="201">
        <v>2.1609019930624029E-2</v>
      </c>
    </row>
    <row r="1994" spans="22:26" x14ac:dyDescent="0.2">
      <c r="V1994" s="202" t="str">
        <f t="shared" si="39"/>
        <v>1w</v>
      </c>
      <c r="W1994" s="200">
        <f>_xll.qlCalendarAdvance(Calendar,W1993,V1994,"f",FALSE)</f>
        <v>52867</v>
      </c>
      <c r="X1994" s="203">
        <f>_xll.qlCalendarAdvance(Calendar,W1994,NDays&amp;"D")</f>
        <v>52869</v>
      </c>
      <c r="Y1994" s="204">
        <v>2.1639268448502003E-2</v>
      </c>
      <c r="Z1994" s="201">
        <v>2.1612186114419174E-2</v>
      </c>
    </row>
    <row r="1995" spans="22:26" x14ac:dyDescent="0.2">
      <c r="V1995" s="202" t="str">
        <f t="shared" si="39"/>
        <v>1w</v>
      </c>
      <c r="W1995" s="200">
        <f>_xll.qlCalendarAdvance(Calendar,W1994,V1995,"f",FALSE)</f>
        <v>52874</v>
      </c>
      <c r="X1995" s="203">
        <f>_xll.qlCalendarAdvance(Calendar,W1995,NDays&amp;"D")</f>
        <v>52876</v>
      </c>
      <c r="Y1995" s="204">
        <v>2.1642393852992214E-2</v>
      </c>
      <c r="Z1995" s="201">
        <v>2.1615337802689538E-2</v>
      </c>
    </row>
    <row r="1996" spans="22:26" x14ac:dyDescent="0.2">
      <c r="V1996" s="202" t="str">
        <f t="shared" si="39"/>
        <v>1w</v>
      </c>
      <c r="W1996" s="200">
        <f>_xll.qlCalendarAdvance(Calendar,W1995,V1996,"f",FALSE)</f>
        <v>52881</v>
      </c>
      <c r="X1996" s="203">
        <f>_xll.qlCalendarAdvance(Calendar,W1996,NDays&amp;"D")</f>
        <v>52883</v>
      </c>
      <c r="Y1996" s="204">
        <v>2.1645504735856025E-2</v>
      </c>
      <c r="Z1996" s="201">
        <v>2.1618474995515058E-2</v>
      </c>
    </row>
    <row r="1997" spans="22:26" x14ac:dyDescent="0.2">
      <c r="V1997" s="202" t="str">
        <f t="shared" si="39"/>
        <v>1w</v>
      </c>
      <c r="W1997" s="200">
        <f>_xll.qlCalendarAdvance(Calendar,W1996,V1997,"f",FALSE)</f>
        <v>52888</v>
      </c>
      <c r="X1997" s="203">
        <f>_xll.qlCalendarAdvance(Calendar,W1997,NDays&amp;"D")</f>
        <v>52890</v>
      </c>
      <c r="Y1997" s="204">
        <v>2.1648601097078446E-2</v>
      </c>
      <c r="Z1997" s="201">
        <v>2.1621597692975669E-2</v>
      </c>
    </row>
    <row r="1998" spans="22:26" x14ac:dyDescent="0.2">
      <c r="V1998" s="202" t="str">
        <f t="shared" si="39"/>
        <v>1w</v>
      </c>
      <c r="W1998" s="200">
        <f>_xll.qlCalendarAdvance(Calendar,W1997,V1998,"f",FALSE)</f>
        <v>52895</v>
      </c>
      <c r="X1998" s="203">
        <f>_xll.qlCalendarAdvance(Calendar,W1998,NDays&amp;"D")</f>
        <v>52897</v>
      </c>
      <c r="Y1998" s="204">
        <v>2.165168293664449E-2</v>
      </c>
      <c r="Z1998" s="201">
        <v>2.1624705894991436E-2</v>
      </c>
    </row>
    <row r="1999" spans="22:26" x14ac:dyDescent="0.2">
      <c r="V1999" s="202" t="str">
        <f t="shared" si="39"/>
        <v>1w</v>
      </c>
      <c r="W1999" s="200">
        <f>_xll.qlCalendarAdvance(Calendar,W1998,V1999,"f",FALSE)</f>
        <v>52902</v>
      </c>
      <c r="X1999" s="203">
        <f>_xll.qlCalendarAdvance(Calendar,W1999,NDays&amp;"D")</f>
        <v>52904</v>
      </c>
      <c r="Y1999" s="204">
        <v>2.1654750254546662E-2</v>
      </c>
      <c r="Z1999" s="201">
        <v>2.1627799601482423E-2</v>
      </c>
    </row>
    <row r="2000" spans="22:26" x14ac:dyDescent="0.2">
      <c r="V2000" s="202" t="str">
        <f t="shared" si="39"/>
        <v>1w</v>
      </c>
      <c r="W2000" s="200">
        <f>_xll.qlCalendarAdvance(Calendar,W1999,V2000,"f",FALSE)</f>
        <v>52909</v>
      </c>
      <c r="X2000" s="203">
        <f>_xll.qlCalendarAdvance(Calendar,W2000,NDays&amp;"D")</f>
        <v>52911</v>
      </c>
      <c r="Y2000" s="204">
        <v>2.1657803050769975E-2</v>
      </c>
      <c r="Z2000" s="201">
        <v>2.1630878812528564E-2</v>
      </c>
    </row>
    <row r="2001" spans="22:26" x14ac:dyDescent="0.2">
      <c r="V2001" s="202" t="str">
        <f t="shared" si="39"/>
        <v>1w</v>
      </c>
      <c r="W2001" s="200">
        <f>_xll.qlCalendarAdvance(Calendar,W2000,V2001,"f",FALSE)</f>
        <v>52916</v>
      </c>
      <c r="X2001" s="203">
        <f>_xll.qlCalendarAdvance(Calendar,W2001,NDays&amp;"D")</f>
        <v>52918</v>
      </c>
      <c r="Y2001" s="204">
        <v>2.1660841325306934E-2</v>
      </c>
      <c r="Z2001" s="201">
        <v>2.1633943528209798E-2</v>
      </c>
    </row>
    <row r="2002" spans="22:26" x14ac:dyDescent="0.2">
      <c r="V2002" s="202" t="str">
        <f t="shared" si="39"/>
        <v>1w</v>
      </c>
      <c r="W2002" s="200">
        <f>_xll.qlCalendarAdvance(Calendar,W2001,V2002,"f",FALSE)</f>
        <v>52923</v>
      </c>
      <c r="X2002" s="203">
        <f>_xll.qlCalendarAdvance(Calendar,W2002,NDays&amp;"D")</f>
        <v>52925</v>
      </c>
      <c r="Y2002" s="204">
        <v>2.1664731147640642E-2</v>
      </c>
      <c r="Z2002" s="201">
        <v>2.1636993748286315E-2</v>
      </c>
    </row>
    <row r="2003" spans="22:26" x14ac:dyDescent="0.2">
      <c r="V2003" s="202" t="str">
        <f t="shared" si="39"/>
        <v>1w</v>
      </c>
      <c r="W2003" s="200">
        <f>_xll.qlCalendarAdvance(Calendar,W2002,V2003,"f",FALSE)</f>
        <v>52930</v>
      </c>
      <c r="X2003" s="203">
        <f>_xll.qlCalendarAdvance(Calendar,W2003,NDays&amp;"D")</f>
        <v>52932</v>
      </c>
      <c r="Y2003" s="204">
        <v>2.1666874309264339E-2</v>
      </c>
      <c r="Z2003" s="201">
        <v>2.1640029472997924E-2</v>
      </c>
    </row>
    <row r="2004" spans="22:26" x14ac:dyDescent="0.2">
      <c r="V2004" s="202" t="str">
        <f t="shared" si="39"/>
        <v>1w</v>
      </c>
      <c r="W2004" s="200">
        <f>_xll.qlCalendarAdvance(Calendar,W2003,V2004,"f",FALSE)</f>
        <v>52937</v>
      </c>
      <c r="X2004" s="203">
        <f>_xll.qlCalendarAdvance(Calendar,W2004,NDays&amp;"D")</f>
        <v>52939</v>
      </c>
      <c r="Y2004" s="204">
        <v>2.16698690186648E-2</v>
      </c>
      <c r="Z2004" s="201">
        <v>2.1643050702264688E-2</v>
      </c>
    </row>
    <row r="2005" spans="22:26" x14ac:dyDescent="0.2">
      <c r="V2005" s="202" t="str">
        <f t="shared" ref="V2005:V2068" si="40">V2004</f>
        <v>1w</v>
      </c>
      <c r="W2005" s="200">
        <f>_xll.qlCalendarAdvance(Calendar,W2004,V2005,"f",FALSE)</f>
        <v>52944</v>
      </c>
      <c r="X2005" s="203">
        <f>_xll.qlCalendarAdvance(Calendar,W2005,NDays&amp;"D")</f>
        <v>52946</v>
      </c>
      <c r="Y2005" s="204">
        <v>2.1672849206328948E-2</v>
      </c>
      <c r="Z2005" s="201">
        <v>2.1646057436166544E-2</v>
      </c>
    </row>
    <row r="2006" spans="22:26" x14ac:dyDescent="0.2">
      <c r="V2006" s="202" t="str">
        <f t="shared" si="40"/>
        <v>1w</v>
      </c>
      <c r="W2006" s="200">
        <f>_xll.qlCalendarAdvance(Calendar,W2005,V2006,"f",FALSE)</f>
        <v>52951</v>
      </c>
      <c r="X2006" s="203">
        <f>_xll.qlCalendarAdvance(Calendar,W2006,NDays&amp;"D")</f>
        <v>52953</v>
      </c>
      <c r="Y2006" s="204">
        <v>2.1675814872241794E-2</v>
      </c>
      <c r="Z2006" s="201">
        <v>2.1649049674463683E-2</v>
      </c>
    </row>
    <row r="2007" spans="22:26" x14ac:dyDescent="0.2">
      <c r="V2007" s="202" t="str">
        <f t="shared" si="40"/>
        <v>1w</v>
      </c>
      <c r="W2007" s="200">
        <f>_xll.qlCalendarAdvance(Calendar,W2006,V2007,"f",FALSE)</f>
        <v>52958</v>
      </c>
      <c r="X2007" s="203">
        <f>_xll.qlCalendarAdvance(Calendar,W2007,NDays&amp;"D")</f>
        <v>52960</v>
      </c>
      <c r="Y2007" s="204">
        <v>2.1678766016400841E-2</v>
      </c>
      <c r="Z2007" s="201">
        <v>2.1652027417315978E-2</v>
      </c>
    </row>
    <row r="2008" spans="22:26" x14ac:dyDescent="0.2">
      <c r="V2008" s="202" t="str">
        <f t="shared" si="40"/>
        <v>1w</v>
      </c>
      <c r="W2008" s="200">
        <f>_xll.qlCalendarAdvance(Calendar,W2007,V2008,"f",FALSE)</f>
        <v>52965</v>
      </c>
      <c r="X2008" s="203">
        <f>_xll.qlCalendarAdvance(Calendar,W2008,NDays&amp;"D")</f>
        <v>52967</v>
      </c>
      <c r="Y2008" s="204">
        <v>2.1681702638786104E-2</v>
      </c>
      <c r="Z2008" s="201">
        <v>2.1654990664803364E-2</v>
      </c>
    </row>
    <row r="2009" spans="22:26" x14ac:dyDescent="0.2">
      <c r="V2009" s="202" t="str">
        <f t="shared" si="40"/>
        <v>1w</v>
      </c>
      <c r="W2009" s="200">
        <f>_xll.qlCalendarAdvance(Calendar,W2008,V2009,"f",FALSE)</f>
        <v>52972</v>
      </c>
      <c r="X2009" s="203">
        <f>_xll.qlCalendarAdvance(Calendar,W2009,NDays&amp;"D")</f>
        <v>52974</v>
      </c>
      <c r="Y2009" s="204">
        <v>2.1684624739392588E-2</v>
      </c>
      <c r="Z2009" s="201">
        <v>2.1657939416845906E-2</v>
      </c>
    </row>
    <row r="2010" spans="22:26" x14ac:dyDescent="0.2">
      <c r="V2010" s="202" t="str">
        <f t="shared" si="40"/>
        <v>1w</v>
      </c>
      <c r="W2010" s="200">
        <f>_xll.qlCalendarAdvance(Calendar,W2009,V2010,"f",FALSE)</f>
        <v>52979</v>
      </c>
      <c r="X2010" s="203">
        <f>_xll.qlCalendarAdvance(Calendar,W2010,NDays&amp;"D")</f>
        <v>52981</v>
      </c>
      <c r="Y2010" s="204">
        <v>2.1687532318205305E-2</v>
      </c>
      <c r="Z2010" s="201">
        <v>2.1660873673363668E-2</v>
      </c>
    </row>
    <row r="2011" spans="22:26" x14ac:dyDescent="0.2">
      <c r="V2011" s="202" t="str">
        <f t="shared" si="40"/>
        <v>1w</v>
      </c>
      <c r="W2011" s="200">
        <f>_xll.qlCalendarAdvance(Calendar,W2010,V2011,"f",FALSE)</f>
        <v>52986</v>
      </c>
      <c r="X2011" s="203">
        <f>_xll.qlCalendarAdvance(Calendar,W2011,NDays&amp;"D")</f>
        <v>52988</v>
      </c>
      <c r="Y2011" s="204">
        <v>2.1690425375211764E-2</v>
      </c>
      <c r="Z2011" s="201">
        <v>2.1663793434356649E-2</v>
      </c>
    </row>
    <row r="2012" spans="22:26" x14ac:dyDescent="0.2">
      <c r="V2012" s="202" t="str">
        <f t="shared" si="40"/>
        <v>1w</v>
      </c>
      <c r="W2012" s="200">
        <f>_xll.qlCalendarAdvance(Calendar,W2011,V2012,"f",FALSE)</f>
        <v>52993</v>
      </c>
      <c r="X2012" s="203">
        <f>_xll.qlCalendarAdvance(Calendar,W2012,NDays&amp;"D")</f>
        <v>52995</v>
      </c>
      <c r="Y2012" s="204">
        <v>2.1689873561625866E-2</v>
      </c>
      <c r="Z2012" s="201">
        <v>2.1666698699984721E-2</v>
      </c>
    </row>
    <row r="2013" spans="22:26" x14ac:dyDescent="0.2">
      <c r="V2013" s="202" t="str">
        <f t="shared" si="40"/>
        <v>1w</v>
      </c>
      <c r="W2013" s="200">
        <f>_xll.qlCalendarAdvance(Calendar,W2012,V2013,"f",FALSE)</f>
        <v>53000</v>
      </c>
      <c r="X2013" s="203">
        <f>_xll.qlCalendarAdvance(Calendar,W2013,NDays&amp;"D")</f>
        <v>53002</v>
      </c>
      <c r="Y2013" s="204">
        <v>2.1692741033482968E-2</v>
      </c>
      <c r="Z2013" s="201">
        <v>2.1669589470167949E-2</v>
      </c>
    </row>
    <row r="2014" spans="22:26" x14ac:dyDescent="0.2">
      <c r="V2014" s="202" t="str">
        <f t="shared" si="40"/>
        <v>1w</v>
      </c>
      <c r="W2014" s="200">
        <f>_xll.qlCalendarAdvance(Calendar,W2013,V2014,"f",FALSE)</f>
        <v>53007</v>
      </c>
      <c r="X2014" s="203">
        <f>_xll.qlCalendarAdvance(Calendar,W2014,NDays&amp;"D")</f>
        <v>53009</v>
      </c>
      <c r="Y2014" s="204">
        <v>2.1695593986916464E-2</v>
      </c>
      <c r="Z2014" s="201">
        <v>2.1672465744906333E-2</v>
      </c>
    </row>
    <row r="2015" spans="22:26" x14ac:dyDescent="0.2">
      <c r="V2015" s="202" t="str">
        <f t="shared" si="40"/>
        <v>1w</v>
      </c>
      <c r="W2015" s="200">
        <f>_xll.qlCalendarAdvance(Calendar,W2014,V2015,"f",FALSE)</f>
        <v>53014</v>
      </c>
      <c r="X2015" s="203">
        <f>_xll.qlCalendarAdvance(Calendar,W2015,NDays&amp;"D")</f>
        <v>53016</v>
      </c>
      <c r="Y2015" s="204">
        <v>2.1698432421909226E-2</v>
      </c>
      <c r="Z2015" s="201">
        <v>2.1675327524119936E-2</v>
      </c>
    </row>
    <row r="2016" spans="22:26" x14ac:dyDescent="0.2">
      <c r="V2016" s="202" t="str">
        <f t="shared" si="40"/>
        <v>1w</v>
      </c>
      <c r="W2016" s="200">
        <f>_xll.qlCalendarAdvance(Calendar,W2015,V2016,"f",FALSE)</f>
        <v>53021</v>
      </c>
      <c r="X2016" s="203">
        <f>_xll.qlCalendarAdvance(Calendar,W2016,NDays&amp;"D")</f>
        <v>53023</v>
      </c>
      <c r="Y2016" s="204">
        <v>2.1704672832805472E-2</v>
      </c>
      <c r="Z2016" s="201">
        <v>2.1678174807888695E-2</v>
      </c>
    </row>
    <row r="2017" spans="22:26" x14ac:dyDescent="0.2">
      <c r="V2017" s="202" t="str">
        <f t="shared" si="40"/>
        <v>1w</v>
      </c>
      <c r="W2017" s="200">
        <f>_xll.qlCalendarAdvance(Calendar,W2016,V2017,"f",FALSE)</f>
        <v>53028</v>
      </c>
      <c r="X2017" s="203">
        <f>_xll.qlCalendarAdvance(Calendar,W2017,NDays&amp;"D")</f>
        <v>53030</v>
      </c>
      <c r="Y2017" s="204">
        <v>2.1708331893025672E-2</v>
      </c>
      <c r="Z2017" s="201">
        <v>2.1681007596212609E-2</v>
      </c>
    </row>
    <row r="2018" spans="22:26" x14ac:dyDescent="0.2">
      <c r="V2018" s="202" t="str">
        <f t="shared" si="40"/>
        <v>1w</v>
      </c>
      <c r="W2018" s="200">
        <f>_xll.qlCalendarAdvance(Calendar,W2017,V2018,"f",FALSE)</f>
        <v>53035</v>
      </c>
      <c r="X2018" s="203">
        <f>_xll.qlCalendarAdvance(Calendar,W2018,NDays&amp;"D")</f>
        <v>53037</v>
      </c>
      <c r="Y2018" s="204">
        <v>2.1710270162832446E-2</v>
      </c>
      <c r="Z2018" s="201">
        <v>2.1683825889091679E-2</v>
      </c>
    </row>
    <row r="2019" spans="22:26" x14ac:dyDescent="0.2">
      <c r="V2019" s="202" t="str">
        <f t="shared" si="40"/>
        <v>1w</v>
      </c>
      <c r="W2019" s="200">
        <f>_xll.qlCalendarAdvance(Calendar,W2018,V2019,"f",FALSE)</f>
        <v>53042</v>
      </c>
      <c r="X2019" s="203">
        <f>_xll.qlCalendarAdvance(Calendar,W2019,NDays&amp;"D")</f>
        <v>53044</v>
      </c>
      <c r="Y2019" s="204">
        <v>2.1713047045009148E-2</v>
      </c>
      <c r="Z2019" s="201">
        <v>2.1686629686525905E-2</v>
      </c>
    </row>
    <row r="2020" spans="22:26" x14ac:dyDescent="0.2">
      <c r="V2020" s="202" t="str">
        <f t="shared" si="40"/>
        <v>1w</v>
      </c>
      <c r="W2020" s="200">
        <f>_xll.qlCalendarAdvance(Calendar,W2019,V2020,"f",FALSE)</f>
        <v>53049</v>
      </c>
      <c r="X2020" s="203">
        <f>_xll.qlCalendarAdvance(Calendar,W2020,NDays&amp;"D")</f>
        <v>53051</v>
      </c>
      <c r="Y2020" s="204">
        <v>2.1713257539551892E-2</v>
      </c>
      <c r="Z2020" s="201">
        <v>2.1689418988435349E-2</v>
      </c>
    </row>
    <row r="2021" spans="22:26" x14ac:dyDescent="0.2">
      <c r="V2021" s="202" t="str">
        <f t="shared" si="40"/>
        <v>1w</v>
      </c>
      <c r="W2021" s="200">
        <f>_xll.qlCalendarAdvance(Calendar,W2020,V2021,"f",FALSE)</f>
        <v>53056</v>
      </c>
      <c r="X2021" s="203">
        <f>_xll.qlCalendarAdvance(Calendar,W2021,NDays&amp;"D")</f>
        <v>53058</v>
      </c>
      <c r="Y2021" s="204">
        <v>2.1718557243649017E-2</v>
      </c>
      <c r="Z2021" s="201">
        <v>2.1695598160201612E-2</v>
      </c>
    </row>
    <row r="2022" spans="22:26" x14ac:dyDescent="0.2">
      <c r="V2022" s="202" t="str">
        <f t="shared" si="40"/>
        <v>1w</v>
      </c>
      <c r="W2022" s="200">
        <f>_xll.qlCalendarAdvance(Calendar,W2021,V2022,"f",FALSE)</f>
        <v>53063</v>
      </c>
      <c r="X2022" s="203">
        <f>_xll.qlCalendarAdvance(Calendar,W2022,NDays&amp;"D")</f>
        <v>53065</v>
      </c>
      <c r="Y2022" s="204">
        <v>2.1721290560089701E-2</v>
      </c>
      <c r="Z2022" s="201">
        <v>2.1694954105999642E-2</v>
      </c>
    </row>
    <row r="2023" spans="22:26" x14ac:dyDescent="0.2">
      <c r="V2023" s="202" t="str">
        <f t="shared" si="40"/>
        <v>1w</v>
      </c>
      <c r="W2023" s="200">
        <f>_xll.qlCalendarAdvance(Calendar,W2022,V2023,"f",FALSE)</f>
        <v>53070</v>
      </c>
      <c r="X2023" s="203">
        <f>_xll.qlCalendarAdvance(Calendar,W2023,NDays&amp;"D")</f>
        <v>53072</v>
      </c>
      <c r="Y2023" s="204">
        <v>2.1724009354591733E-2</v>
      </c>
      <c r="Z2023" s="201">
        <v>2.1697699921574554E-2</v>
      </c>
    </row>
    <row r="2024" spans="22:26" x14ac:dyDescent="0.2">
      <c r="V2024" s="202" t="str">
        <f t="shared" si="40"/>
        <v>1w</v>
      </c>
      <c r="W2024" s="200">
        <f>_xll.qlCalendarAdvance(Calendar,W2023,V2024,"f",FALSE)</f>
        <v>53077</v>
      </c>
      <c r="X2024" s="203">
        <f>_xll.qlCalendarAdvance(Calendar,W2024,NDays&amp;"D")</f>
        <v>53079</v>
      </c>
      <c r="Y2024" s="204">
        <v>2.1726713627152616E-2</v>
      </c>
      <c r="Z2024" s="201">
        <v>2.1700431241704621E-2</v>
      </c>
    </row>
    <row r="2025" spans="22:26" x14ac:dyDescent="0.2">
      <c r="V2025" s="202" t="str">
        <f t="shared" si="40"/>
        <v>1w</v>
      </c>
      <c r="W2025" s="200">
        <f>_xll.qlCalendarAdvance(Calendar,W2024,V2025,"f",FALSE)</f>
        <v>53084</v>
      </c>
      <c r="X2025" s="203">
        <f>_xll.qlCalendarAdvance(Calendar,W2025,NDays&amp;"D")</f>
        <v>53086</v>
      </c>
      <c r="Y2025" s="204">
        <v>2.1729403377757361E-2</v>
      </c>
      <c r="Z2025" s="201">
        <v>2.1703148066389844E-2</v>
      </c>
    </row>
    <row r="2026" spans="22:26" x14ac:dyDescent="0.2">
      <c r="V2026" s="202" t="str">
        <f t="shared" si="40"/>
        <v>1w</v>
      </c>
      <c r="W2026" s="200">
        <f>_xll.qlCalendarAdvance(Calendar,W2025,V2026,"f",FALSE)</f>
        <v>53091</v>
      </c>
      <c r="X2026" s="203">
        <f>_xll.qlCalendarAdvance(Calendar,W2026,NDays&amp;"D")</f>
        <v>53093</v>
      </c>
      <c r="Y2026" s="204">
        <v>2.1732078606395977E-2</v>
      </c>
      <c r="Z2026" s="201">
        <v>2.1705850395550286E-2</v>
      </c>
    </row>
    <row r="2027" spans="22:26" x14ac:dyDescent="0.2">
      <c r="V2027" s="202" t="str">
        <f t="shared" si="40"/>
        <v>1w</v>
      </c>
      <c r="W2027" s="200">
        <f>_xll.qlCalendarAdvance(Calendar,W2026,V2027,"f",FALSE)</f>
        <v>53098</v>
      </c>
      <c r="X2027" s="203">
        <f>_xll.qlCalendarAdvance(Calendar,W2027,NDays&amp;"D")</f>
        <v>53100</v>
      </c>
      <c r="Y2027" s="204">
        <v>2.1734739313055973E-2</v>
      </c>
      <c r="Z2027" s="201">
        <v>2.1708538229265884E-2</v>
      </c>
    </row>
    <row r="2028" spans="22:26" x14ac:dyDescent="0.2">
      <c r="V2028" s="202" t="str">
        <f t="shared" si="40"/>
        <v>1w</v>
      </c>
      <c r="W2028" s="200">
        <f>_xll.qlCalendarAdvance(Calendar,W2027,V2028,"f",FALSE)</f>
        <v>53105</v>
      </c>
      <c r="X2028" s="203">
        <f>_xll.qlCalendarAdvance(Calendar,W2028,NDays&amp;"D")</f>
        <v>53107</v>
      </c>
      <c r="Y2028" s="204">
        <v>2.1737385497737349E-2</v>
      </c>
      <c r="Z2028" s="201">
        <v>2.1711211567616573E-2</v>
      </c>
    </row>
    <row r="2029" spans="22:26" x14ac:dyDescent="0.2">
      <c r="V2029" s="202" t="str">
        <f t="shared" si="40"/>
        <v>1w</v>
      </c>
      <c r="W2029" s="200">
        <f>_xll.qlCalendarAdvance(Calendar,W2028,V2029,"f",FALSE)</f>
        <v>53112</v>
      </c>
      <c r="X2029" s="203">
        <f>_xll.qlCalendarAdvance(Calendar,W2029,NDays&amp;"D")</f>
        <v>53114</v>
      </c>
      <c r="Y2029" s="204">
        <v>2.1740017160415126E-2</v>
      </c>
      <c r="Z2029" s="201">
        <v>2.1713870410362546E-2</v>
      </c>
    </row>
    <row r="2030" spans="22:26" x14ac:dyDescent="0.2">
      <c r="V2030" s="202" t="str">
        <f t="shared" si="40"/>
        <v>1w</v>
      </c>
      <c r="W2030" s="200">
        <f>_xll.qlCalendarAdvance(Calendar,W2029,V2030,"f",FALSE)</f>
        <v>53119</v>
      </c>
      <c r="X2030" s="203">
        <f>_xll.qlCalendarAdvance(Calendar,W2030,NDays&amp;"D")</f>
        <v>53121</v>
      </c>
      <c r="Y2030" s="204">
        <v>2.1742634301084307E-2</v>
      </c>
      <c r="Z2030" s="201">
        <v>2.1716514757663674E-2</v>
      </c>
    </row>
    <row r="2031" spans="22:26" x14ac:dyDescent="0.2">
      <c r="V2031" s="202" t="str">
        <f t="shared" si="40"/>
        <v>1w</v>
      </c>
      <c r="W2031" s="200">
        <f>_xll.qlCalendarAdvance(Calendar,W2030,V2031,"f",FALSE)</f>
        <v>53126</v>
      </c>
      <c r="X2031" s="203">
        <f>_xll.qlCalendarAdvance(Calendar,W2031,NDays&amp;"D")</f>
        <v>53128</v>
      </c>
      <c r="Y2031" s="204">
        <v>2.1745236919739896E-2</v>
      </c>
      <c r="Z2031" s="201">
        <v>2.1719144609519958E-2</v>
      </c>
    </row>
    <row r="2032" spans="22:26" x14ac:dyDescent="0.2">
      <c r="V2032" s="202" t="str">
        <f t="shared" si="40"/>
        <v>1w</v>
      </c>
      <c r="W2032" s="200">
        <f>_xll.qlCalendarAdvance(Calendar,W2031,V2032,"f",FALSE)</f>
        <v>53133</v>
      </c>
      <c r="X2032" s="203">
        <f>_xll.qlCalendarAdvance(Calendar,W2032,NDays&amp;"D")</f>
        <v>53135</v>
      </c>
      <c r="Y2032" s="204">
        <v>2.1747825016371902E-2</v>
      </c>
      <c r="Z2032" s="201">
        <v>2.1721759966011334E-2</v>
      </c>
    </row>
    <row r="2033" spans="22:26" x14ac:dyDescent="0.2">
      <c r="V2033" s="202" t="str">
        <f t="shared" si="40"/>
        <v>1w</v>
      </c>
      <c r="W2033" s="200">
        <f>_xll.qlCalendarAdvance(Calendar,W2032,V2033,"f",FALSE)</f>
        <v>53140</v>
      </c>
      <c r="X2033" s="203">
        <f>_xll.qlCalendarAdvance(Calendar,W2033,NDays&amp;"D")</f>
        <v>53142</v>
      </c>
      <c r="Y2033" s="204">
        <v>2.175039859096034E-2</v>
      </c>
      <c r="Z2033" s="201">
        <v>2.1724360826897993E-2</v>
      </c>
    </row>
    <row r="2034" spans="22:26" x14ac:dyDescent="0.2">
      <c r="V2034" s="202" t="str">
        <f t="shared" si="40"/>
        <v>1w</v>
      </c>
      <c r="W2034" s="200">
        <f>_xll.qlCalendarAdvance(Calendar,W2033,V2034,"f",FALSE)</f>
        <v>53147</v>
      </c>
      <c r="X2034" s="203">
        <f>_xll.qlCalendarAdvance(Calendar,W2034,NDays&amp;"D")</f>
        <v>53149</v>
      </c>
      <c r="Y2034" s="204">
        <v>2.1752957643507709E-2</v>
      </c>
      <c r="Z2034" s="201">
        <v>2.1726947192419743E-2</v>
      </c>
    </row>
    <row r="2035" spans="22:26" x14ac:dyDescent="0.2">
      <c r="V2035" s="202" t="str">
        <f t="shared" si="40"/>
        <v>1w</v>
      </c>
      <c r="W2035" s="200">
        <f>_xll.qlCalendarAdvance(Calendar,W2034,V2035,"f",FALSE)</f>
        <v>53154</v>
      </c>
      <c r="X2035" s="203">
        <f>_xll.qlCalendarAdvance(Calendar,W2035,NDays&amp;"D")</f>
        <v>53156</v>
      </c>
      <c r="Y2035" s="204">
        <v>2.1755502173994024E-2</v>
      </c>
      <c r="Z2035" s="201">
        <v>2.1729519062416713E-2</v>
      </c>
    </row>
    <row r="2036" spans="22:26" x14ac:dyDescent="0.2">
      <c r="V2036" s="202" t="str">
        <f t="shared" si="40"/>
        <v>1w</v>
      </c>
      <c r="W2036" s="200">
        <f>_xll.qlCalendarAdvance(Calendar,W2035,V2036,"f",FALSE)</f>
        <v>53161</v>
      </c>
      <c r="X2036" s="203">
        <f>_xll.qlCalendarAdvance(Calendar,W2036,NDays&amp;"D")</f>
        <v>53163</v>
      </c>
      <c r="Y2036" s="204">
        <v>2.1758032182416787E-2</v>
      </c>
      <c r="Z2036" s="201">
        <v>2.1732076436968839E-2</v>
      </c>
    </row>
    <row r="2037" spans="22:26" x14ac:dyDescent="0.2">
      <c r="V2037" s="202" t="str">
        <f t="shared" si="40"/>
        <v>1w</v>
      </c>
      <c r="W2037" s="200">
        <f>_xll.qlCalendarAdvance(Calendar,W2036,V2037,"f",FALSE)</f>
        <v>53168</v>
      </c>
      <c r="X2037" s="203">
        <f>_xll.qlCalendarAdvance(Calendar,W2037,NDays&amp;"D")</f>
        <v>53170</v>
      </c>
      <c r="Y2037" s="204">
        <v>2.176054766876101E-2</v>
      </c>
      <c r="Z2037" s="201">
        <v>2.1734619316156056E-2</v>
      </c>
    </row>
    <row r="2038" spans="22:26" x14ac:dyDescent="0.2">
      <c r="V2038" s="202" t="str">
        <f t="shared" si="40"/>
        <v>1w</v>
      </c>
      <c r="W2038" s="200">
        <f>_xll.qlCalendarAdvance(Calendar,W2037,V2038,"f",FALSE)</f>
        <v>53175</v>
      </c>
      <c r="X2038" s="203">
        <f>_xll.qlCalendarAdvance(Calendar,W2038,NDays&amp;"D")</f>
        <v>53177</v>
      </c>
      <c r="Y2038" s="204">
        <v>2.1763048633016702E-2</v>
      </c>
      <c r="Z2038" s="201">
        <v>2.1737147699658621E-2</v>
      </c>
    </row>
    <row r="2039" spans="22:26" x14ac:dyDescent="0.2">
      <c r="V2039" s="202" t="str">
        <f t="shared" si="40"/>
        <v>1w</v>
      </c>
      <c r="W2039" s="200">
        <f>_xll.qlCalendarAdvance(Calendar,W2038,V2039,"f",FALSE)</f>
        <v>53182</v>
      </c>
      <c r="X2039" s="203">
        <f>_xll.qlCalendarAdvance(Calendar,W2039,NDays&amp;"D")</f>
        <v>53184</v>
      </c>
      <c r="Y2039" s="204">
        <v>2.1765535075181364E-2</v>
      </c>
      <c r="Z2039" s="201">
        <v>2.1739661587876213E-2</v>
      </c>
    </row>
    <row r="2040" spans="22:26" x14ac:dyDescent="0.2">
      <c r="V2040" s="202" t="str">
        <f t="shared" si="40"/>
        <v>1w</v>
      </c>
      <c r="W2040" s="200">
        <f>_xll.qlCalendarAdvance(Calendar,W2039,V2040,"f",FALSE)</f>
        <v>53189</v>
      </c>
      <c r="X2040" s="203">
        <f>_xll.qlCalendarAdvance(Calendar,W2040,NDays&amp;"D")</f>
        <v>53191</v>
      </c>
      <c r="Y2040" s="204">
        <v>2.176800699523751E-2</v>
      </c>
      <c r="Z2040" s="201">
        <v>2.1742160980569025E-2</v>
      </c>
    </row>
    <row r="2041" spans="22:26" x14ac:dyDescent="0.2">
      <c r="V2041" s="202" t="str">
        <f t="shared" si="40"/>
        <v>1w</v>
      </c>
      <c r="W2041" s="200">
        <f>_xll.qlCalendarAdvance(Calendar,W2040,V2041,"f",FALSE)</f>
        <v>53196</v>
      </c>
      <c r="X2041" s="203">
        <f>_xll.qlCalendarAdvance(Calendar,W2041,NDays&amp;"D")</f>
        <v>53198</v>
      </c>
      <c r="Y2041" s="204">
        <v>2.1770464393180144E-2</v>
      </c>
      <c r="Z2041" s="201">
        <v>2.1744645877816993E-2</v>
      </c>
    </row>
    <row r="2042" spans="22:26" x14ac:dyDescent="0.2">
      <c r="V2042" s="202" t="str">
        <f t="shared" si="40"/>
        <v>1w</v>
      </c>
      <c r="W2042" s="200">
        <f>_xll.qlCalendarAdvance(Calendar,W2041,V2042,"f",FALSE)</f>
        <v>53203</v>
      </c>
      <c r="X2042" s="203">
        <f>_xll.qlCalendarAdvance(Calendar,W2042,NDays&amp;"D")</f>
        <v>53205</v>
      </c>
      <c r="Y2042" s="204">
        <v>2.1770413516736135E-2</v>
      </c>
      <c r="Z2042" s="201">
        <v>2.1747116279620116E-2</v>
      </c>
    </row>
    <row r="2043" spans="22:26" x14ac:dyDescent="0.2">
      <c r="V2043" s="202" t="str">
        <f t="shared" si="40"/>
        <v>1w</v>
      </c>
      <c r="W2043" s="200">
        <f>_xll.qlCalendarAdvance(Calendar,W2042,V2043,"f",FALSE)</f>
        <v>53210</v>
      </c>
      <c r="X2043" s="203">
        <f>_xll.qlCalendarAdvance(Calendar,W2043,NDays&amp;"D")</f>
        <v>53212</v>
      </c>
      <c r="Y2043" s="204">
        <v>2.1775335622682412E-2</v>
      </c>
      <c r="Z2043" s="201">
        <v>2.1749572185818522E-2</v>
      </c>
    </row>
    <row r="2044" spans="22:26" x14ac:dyDescent="0.2">
      <c r="V2044" s="202" t="str">
        <f t="shared" si="40"/>
        <v>1w</v>
      </c>
      <c r="W2044" s="200">
        <f>_xll.qlCalendarAdvance(Calendar,W2043,V2044,"f",FALSE)</f>
        <v>53217</v>
      </c>
      <c r="X2044" s="203">
        <f>_xll.qlCalendarAdvance(Calendar,W2044,NDays&amp;"D")</f>
        <v>53219</v>
      </c>
      <c r="Y2044" s="204">
        <v>2.1777749454222062E-2</v>
      </c>
      <c r="Z2044" s="201">
        <v>2.175201359665202E-2</v>
      </c>
    </row>
    <row r="2045" spans="22:26" x14ac:dyDescent="0.2">
      <c r="V2045" s="202" t="str">
        <f t="shared" si="40"/>
        <v>1w</v>
      </c>
      <c r="W2045" s="200">
        <f>_xll.qlCalendarAdvance(Calendar,W2044,V2045,"f",FALSE)</f>
        <v>53224</v>
      </c>
      <c r="X2045" s="203">
        <f>_xll.qlCalendarAdvance(Calendar,W2045,NDays&amp;"D")</f>
        <v>53226</v>
      </c>
      <c r="Y2045" s="204">
        <v>2.1780148763608231E-2</v>
      </c>
      <c r="Z2045" s="201">
        <v>2.1754440512040674E-2</v>
      </c>
    </row>
    <row r="2046" spans="22:26" x14ac:dyDescent="0.2">
      <c r="V2046" s="202" t="str">
        <f t="shared" si="40"/>
        <v>1w</v>
      </c>
      <c r="W2046" s="200">
        <f>_xll.qlCalendarAdvance(Calendar,W2045,V2046,"f",FALSE)</f>
        <v>53231</v>
      </c>
      <c r="X2046" s="203">
        <f>_xll.qlCalendarAdvance(Calendar,W2046,NDays&amp;"D")</f>
        <v>53233</v>
      </c>
      <c r="Y2046" s="204">
        <v>2.1782533550833427E-2</v>
      </c>
      <c r="Z2046" s="201">
        <v>2.1756852931904547E-2</v>
      </c>
    </row>
    <row r="2047" spans="22:26" x14ac:dyDescent="0.2">
      <c r="V2047" s="202" t="str">
        <f t="shared" si="40"/>
        <v>1w</v>
      </c>
      <c r="W2047" s="200">
        <f>_xll.qlCalendarAdvance(Calendar,W2046,V2047,"f",FALSE)</f>
        <v>53238</v>
      </c>
      <c r="X2047" s="203">
        <f>_xll.qlCalendarAdvance(Calendar,W2047,NDays&amp;"D")</f>
        <v>53240</v>
      </c>
      <c r="Y2047" s="204">
        <v>2.1784903815890155E-2</v>
      </c>
      <c r="Z2047" s="201">
        <v>2.1759250856403511E-2</v>
      </c>
    </row>
    <row r="2048" spans="22:26" x14ac:dyDescent="0.2">
      <c r="V2048" s="202" t="str">
        <f t="shared" si="40"/>
        <v>1w</v>
      </c>
      <c r="W2048" s="200">
        <f>_xll.qlCalendarAdvance(Calendar,W2047,V2048,"f",FALSE)</f>
        <v>53245</v>
      </c>
      <c r="X2048" s="203">
        <f>_xll.qlCalendarAdvance(Calendar,W2048,NDays&amp;"D")</f>
        <v>53247</v>
      </c>
      <c r="Y2048" s="204">
        <v>2.1787259558765926E-2</v>
      </c>
      <c r="Z2048" s="201">
        <v>2.1761634285377696E-2</v>
      </c>
    </row>
    <row r="2049" spans="22:26" x14ac:dyDescent="0.2">
      <c r="V2049" s="202" t="str">
        <f t="shared" si="40"/>
        <v>1w</v>
      </c>
      <c r="W2049" s="200">
        <f>_xll.qlCalendarAdvance(Calendar,W2048,V2049,"f",FALSE)</f>
        <v>53252</v>
      </c>
      <c r="X2049" s="203">
        <f>_xll.qlCalendarAdvance(Calendar,W2049,NDays&amp;"D")</f>
        <v>53254</v>
      </c>
      <c r="Y2049" s="204">
        <v>2.1789600779448248E-2</v>
      </c>
      <c r="Z2049" s="201">
        <v>2.1764003218827099E-2</v>
      </c>
    </row>
    <row r="2050" spans="22:26" x14ac:dyDescent="0.2">
      <c r="V2050" s="202" t="str">
        <f t="shared" si="40"/>
        <v>1w</v>
      </c>
      <c r="W2050" s="200">
        <f>_xll.qlCalendarAdvance(Calendar,W2049,V2050,"f",FALSE)</f>
        <v>53259</v>
      </c>
      <c r="X2050" s="203">
        <f>_xll.qlCalendarAdvance(Calendar,W2050,NDays&amp;"D")</f>
        <v>53261</v>
      </c>
      <c r="Y2050" s="204">
        <v>2.1791927477937123E-2</v>
      </c>
      <c r="Z2050" s="201">
        <v>2.1766357656911595E-2</v>
      </c>
    </row>
    <row r="2051" spans="22:26" x14ac:dyDescent="0.2">
      <c r="V2051" s="202" t="str">
        <f t="shared" si="40"/>
        <v>1w</v>
      </c>
      <c r="W2051" s="200">
        <f>_xll.qlCalendarAdvance(Calendar,W2050,V2051,"f",FALSE)</f>
        <v>53266</v>
      </c>
      <c r="X2051" s="203">
        <f>_xll.qlCalendarAdvance(Calendar,W2051,NDays&amp;"D")</f>
        <v>53268</v>
      </c>
      <c r="Y2051" s="204">
        <v>2.1794239654212566E-2</v>
      </c>
      <c r="Z2051" s="201">
        <v>2.1768697599391373E-2</v>
      </c>
    </row>
    <row r="2052" spans="22:26" x14ac:dyDescent="0.2">
      <c r="V2052" s="202" t="str">
        <f t="shared" si="40"/>
        <v>1w</v>
      </c>
      <c r="W2052" s="200">
        <f>_xll.qlCalendarAdvance(Calendar,W2051,V2052,"f",FALSE)</f>
        <v>53273</v>
      </c>
      <c r="X2052" s="203">
        <f>_xll.qlCalendarAdvance(Calendar,W2052,NDays&amp;"D")</f>
        <v>53275</v>
      </c>
      <c r="Y2052" s="204">
        <v>2.1796537308274577E-2</v>
      </c>
      <c r="Z2052" s="201">
        <v>2.1771023046506244E-2</v>
      </c>
    </row>
    <row r="2053" spans="22:26" x14ac:dyDescent="0.2">
      <c r="V2053" s="202" t="str">
        <f t="shared" si="40"/>
        <v>1w</v>
      </c>
      <c r="W2053" s="200">
        <f>_xll.qlCalendarAdvance(Calendar,W2052,V2053,"f",FALSE)</f>
        <v>53280</v>
      </c>
      <c r="X2053" s="203">
        <f>_xll.qlCalendarAdvance(Calendar,W2053,NDays&amp;"D")</f>
        <v>53282</v>
      </c>
      <c r="Y2053" s="204">
        <v>2.1798820440113165E-2</v>
      </c>
      <c r="Z2053" s="201">
        <v>2.1773333998096334E-2</v>
      </c>
    </row>
    <row r="2054" spans="22:26" x14ac:dyDescent="0.2">
      <c r="V2054" s="202" t="str">
        <f t="shared" si="40"/>
        <v>1w</v>
      </c>
      <c r="W2054" s="200">
        <f>_xll.qlCalendarAdvance(Calendar,W2053,V2054,"f",FALSE)</f>
        <v>53287</v>
      </c>
      <c r="X2054" s="203">
        <f>_xll.qlCalendarAdvance(Calendar,W2054,NDays&amp;"D")</f>
        <v>53289</v>
      </c>
      <c r="Y2054" s="204">
        <v>2.1802729804330217E-2</v>
      </c>
      <c r="Z2054" s="201">
        <v>2.1775630454241579E-2</v>
      </c>
    </row>
    <row r="2055" spans="22:26" x14ac:dyDescent="0.2">
      <c r="V2055" s="202" t="str">
        <f t="shared" si="40"/>
        <v>1w</v>
      </c>
      <c r="W2055" s="200">
        <f>_xll.qlCalendarAdvance(Calendar,W2054,V2055,"f",FALSE)</f>
        <v>53294</v>
      </c>
      <c r="X2055" s="203">
        <f>_xll.qlCalendarAdvance(Calendar,W2055,NDays&amp;"D")</f>
        <v>53296</v>
      </c>
      <c r="Y2055" s="204">
        <v>2.1800884311963826E-2</v>
      </c>
      <c r="Z2055" s="201">
        <v>2.177791241494198E-2</v>
      </c>
    </row>
    <row r="2056" spans="22:26" x14ac:dyDescent="0.2">
      <c r="V2056" s="202" t="str">
        <f t="shared" si="40"/>
        <v>1w</v>
      </c>
      <c r="W2056" s="200">
        <f>_xll.qlCalendarAdvance(Calendar,W2055,V2056,"f",FALSE)</f>
        <v>53301</v>
      </c>
      <c r="X2056" s="203">
        <f>_xll.qlCalendarAdvance(Calendar,W2056,NDays&amp;"D")</f>
        <v>53303</v>
      </c>
      <c r="Y2056" s="204">
        <v>2.1805582702183468E-2</v>
      </c>
      <c r="Z2056" s="201">
        <v>2.1780179880117601E-2</v>
      </c>
    </row>
    <row r="2057" spans="22:26" x14ac:dyDescent="0.2">
      <c r="V2057" s="202" t="str">
        <f t="shared" si="40"/>
        <v>1w</v>
      </c>
      <c r="W2057" s="200">
        <f>_xll.qlCalendarAdvance(Calendar,W2056,V2057,"f",FALSE)</f>
        <v>53308</v>
      </c>
      <c r="X2057" s="203">
        <f>_xll.qlCalendarAdvance(Calendar,W2057,NDays&amp;"D")</f>
        <v>53310</v>
      </c>
      <c r="Y2057" s="204">
        <v>2.1807807745030938E-2</v>
      </c>
      <c r="Z2057" s="201">
        <v>2.1782432849928313E-2</v>
      </c>
    </row>
    <row r="2058" spans="22:26" x14ac:dyDescent="0.2">
      <c r="V2058" s="202" t="str">
        <f t="shared" si="40"/>
        <v>1w</v>
      </c>
      <c r="W2058" s="200">
        <f>_xll.qlCalendarAdvance(Calendar,W2057,V2058,"f",FALSE)</f>
        <v>53315</v>
      </c>
      <c r="X2058" s="203">
        <f>_xll.qlCalendarAdvance(Calendar,W2058,NDays&amp;"D")</f>
        <v>53317</v>
      </c>
      <c r="Y2058" s="204">
        <v>2.1810018265610021E-2</v>
      </c>
      <c r="Z2058" s="201">
        <v>2.1784671324134308E-2</v>
      </c>
    </row>
    <row r="2059" spans="22:26" x14ac:dyDescent="0.2">
      <c r="V2059" s="202" t="str">
        <f t="shared" si="40"/>
        <v>1w</v>
      </c>
      <c r="W2059" s="200">
        <f>_xll.qlCalendarAdvance(Calendar,W2058,V2059,"f",FALSE)</f>
        <v>53323</v>
      </c>
      <c r="X2059" s="203">
        <f>_xll.qlCalendarAdvance(Calendar,W2059,NDays&amp;"D")</f>
        <v>53325</v>
      </c>
      <c r="Y2059" s="204">
        <v>2.181334255329969E-2</v>
      </c>
      <c r="Z2059" s="201">
        <v>2.1789663893312383E-2</v>
      </c>
    </row>
    <row r="2060" spans="22:26" x14ac:dyDescent="0.2">
      <c r="V2060" s="202" t="str">
        <f t="shared" si="40"/>
        <v>1w</v>
      </c>
      <c r="W2060" s="200">
        <f>_xll.qlCalendarAdvance(Calendar,W2059,V2060,"f",FALSE)</f>
        <v>53330</v>
      </c>
      <c r="X2060" s="203">
        <f>_xll.qlCalendarAdvance(Calendar,W2060,NDays&amp;"D")</f>
        <v>53332</v>
      </c>
      <c r="Y2060" s="204">
        <v>2.1813891285023909E-2</v>
      </c>
      <c r="Z2060" s="201">
        <v>2.179105220078803E-2</v>
      </c>
    </row>
    <row r="2061" spans="22:26" x14ac:dyDescent="0.2">
      <c r="V2061" s="202" t="str">
        <f t="shared" si="40"/>
        <v>1w</v>
      </c>
      <c r="W2061" s="200">
        <f>_xll.qlCalendarAdvance(Calendar,W2060,V2061,"f",FALSE)</f>
        <v>53337</v>
      </c>
      <c r="X2061" s="203">
        <f>_xll.qlCalendarAdvance(Calendar,W2061,NDays&amp;"D")</f>
        <v>53339</v>
      </c>
      <c r="Y2061" s="204">
        <v>2.1816057070319531E-2</v>
      </c>
      <c r="Z2061" s="201">
        <v>2.1793243312293598E-2</v>
      </c>
    </row>
    <row r="2062" spans="22:26" x14ac:dyDescent="0.2">
      <c r="V2062" s="202" t="str">
        <f t="shared" si="40"/>
        <v>1w</v>
      </c>
      <c r="W2062" s="200">
        <f>_xll.qlCalendarAdvance(Calendar,W2061,V2062,"f",FALSE)</f>
        <v>53344</v>
      </c>
      <c r="X2062" s="203">
        <f>_xll.qlCalendarAdvance(Calendar,W2062,NDays&amp;"D")</f>
        <v>53346</v>
      </c>
      <c r="Y2062" s="204">
        <v>2.1818208334175616E-2</v>
      </c>
      <c r="Z2062" s="201">
        <v>2.1795419926622372E-2</v>
      </c>
    </row>
    <row r="2063" spans="22:26" x14ac:dyDescent="0.2">
      <c r="V2063" s="202" t="str">
        <f t="shared" si="40"/>
        <v>1w</v>
      </c>
      <c r="W2063" s="200">
        <f>_xll.qlCalendarAdvance(Calendar,W2062,V2063,"f",FALSE)</f>
        <v>53351</v>
      </c>
      <c r="X2063" s="203">
        <f>_xll.qlCalendarAdvance(Calendar,W2063,NDays&amp;"D")</f>
        <v>53353</v>
      </c>
      <c r="Y2063" s="204">
        <v>2.1820345076584435E-2</v>
      </c>
      <c r="Z2063" s="201">
        <v>2.179758204374771E-2</v>
      </c>
    </row>
    <row r="2064" spans="22:26" x14ac:dyDescent="0.2">
      <c r="V2064" s="202" t="str">
        <f t="shared" si="40"/>
        <v>1w</v>
      </c>
      <c r="W2064" s="200">
        <f>_xll.qlCalendarAdvance(Calendar,W2063,V2064,"f",FALSE)</f>
        <v>53358</v>
      </c>
      <c r="X2064" s="203">
        <f>_xll.qlCalendarAdvance(Calendar,W2064,NDays&amp;"D")</f>
        <v>53360</v>
      </c>
      <c r="Y2064" s="204">
        <v>2.1820033137580311E-2</v>
      </c>
      <c r="Z2064" s="201">
        <v>2.1799729663669609E-2</v>
      </c>
    </row>
    <row r="2065" spans="22:26" x14ac:dyDescent="0.2">
      <c r="V2065" s="202" t="str">
        <f t="shared" si="40"/>
        <v>1w</v>
      </c>
      <c r="W2065" s="200">
        <f>_xll.qlCalendarAdvance(Calendar,W2064,V2065,"f",FALSE)</f>
        <v>53365</v>
      </c>
      <c r="X2065" s="203">
        <f>_xll.qlCalendarAdvance(Calendar,W2065,NDays&amp;"D")</f>
        <v>53367</v>
      </c>
      <c r="Y2065" s="204">
        <v>2.1822143565341432E-2</v>
      </c>
      <c r="Z2065" s="201">
        <v>2.1801862786388071E-2</v>
      </c>
    </row>
    <row r="2066" spans="22:26" x14ac:dyDescent="0.2">
      <c r="V2066" s="202" t="str">
        <f t="shared" si="40"/>
        <v>1w</v>
      </c>
      <c r="W2066" s="200">
        <f>_xll.qlCalendarAdvance(Calendar,W2065,V2066,"f",FALSE)</f>
        <v>53372</v>
      </c>
      <c r="X2066" s="203">
        <f>_xll.qlCalendarAdvance(Calendar,W2066,NDays&amp;"D")</f>
        <v>53374</v>
      </c>
      <c r="Y2066" s="204">
        <v>2.1824239474242151E-2</v>
      </c>
      <c r="Z2066" s="201">
        <v>2.180398141187645E-2</v>
      </c>
    </row>
    <row r="2067" spans="22:26" x14ac:dyDescent="0.2">
      <c r="V2067" s="202" t="str">
        <f t="shared" si="40"/>
        <v>1w</v>
      </c>
      <c r="W2067" s="200">
        <f>_xll.qlCalendarAdvance(Calendar,W2066,V2067,"f",FALSE)</f>
        <v>53379</v>
      </c>
      <c r="X2067" s="203">
        <f>_xll.qlCalendarAdvance(Calendar,W2067,NDays&amp;"D")</f>
        <v>53381</v>
      </c>
      <c r="Y2067" s="204">
        <v>2.1829555378947152E-2</v>
      </c>
      <c r="Z2067" s="201">
        <v>2.1806085540188036E-2</v>
      </c>
    </row>
    <row r="2068" spans="22:26" x14ac:dyDescent="0.2">
      <c r="V2068" s="202" t="str">
        <f t="shared" si="40"/>
        <v>1w</v>
      </c>
      <c r="W2068" s="200">
        <f>_xll.qlCalendarAdvance(Calendar,W2067,V2068,"f",FALSE)</f>
        <v>53386</v>
      </c>
      <c r="X2068" s="203">
        <f>_xll.qlCalendarAdvance(Calendar,W2068,NDays&amp;"D")</f>
        <v>53388</v>
      </c>
      <c r="Y2068" s="204">
        <v>2.1830810966687382E-2</v>
      </c>
      <c r="Z2068" s="201">
        <v>2.1808175171269539E-2</v>
      </c>
    </row>
    <row r="2069" spans="22:26" x14ac:dyDescent="0.2">
      <c r="V2069" s="202" t="str">
        <f t="shared" ref="V2069:V2132" si="41">V2068</f>
        <v>1w</v>
      </c>
      <c r="W2069" s="200">
        <f>_xll.qlCalendarAdvance(Calendar,W2068,V2069,"f",FALSE)</f>
        <v>53393</v>
      </c>
      <c r="X2069" s="203">
        <f>_xll.qlCalendarAdvance(Calendar,W2069,NDays&amp;"D")</f>
        <v>53395</v>
      </c>
      <c r="Y2069" s="204">
        <v>2.1832860580260439E-2</v>
      </c>
      <c r="Z2069" s="201">
        <v>2.181025030517425E-2</v>
      </c>
    </row>
    <row r="2070" spans="22:26" x14ac:dyDescent="0.2">
      <c r="V2070" s="202" t="str">
        <f t="shared" si="41"/>
        <v>1w</v>
      </c>
      <c r="W2070" s="200">
        <f>_xll.qlCalendarAdvance(Calendar,W2069,V2070,"f",FALSE)</f>
        <v>53400</v>
      </c>
      <c r="X2070" s="203">
        <f>_xll.qlCalendarAdvance(Calendar,W2070,NDays&amp;"D")</f>
        <v>53402</v>
      </c>
      <c r="Y2070" s="204">
        <v>2.1834895672337231E-2</v>
      </c>
      <c r="Z2070" s="201">
        <v>2.1812310941875523E-2</v>
      </c>
    </row>
    <row r="2071" spans="22:26" x14ac:dyDescent="0.2">
      <c r="V2071" s="202" t="str">
        <f t="shared" si="41"/>
        <v>1w</v>
      </c>
      <c r="W2071" s="200">
        <f>_xll.qlCalendarAdvance(Calendar,W2070,V2071,"f",FALSE)</f>
        <v>53407</v>
      </c>
      <c r="X2071" s="203">
        <f>_xll.qlCalendarAdvance(Calendar,W2071,NDays&amp;"D")</f>
        <v>53413</v>
      </c>
      <c r="Y2071" s="204">
        <v>2.1838064334794814E-2</v>
      </c>
      <c r="Z2071" s="201">
        <v>2.1813907836305546E-2</v>
      </c>
    </row>
    <row r="2072" spans="22:26" x14ac:dyDescent="0.2">
      <c r="V2072" s="202" t="str">
        <f t="shared" si="41"/>
        <v>1w</v>
      </c>
      <c r="W2072" s="200">
        <f>_xll.qlCalendarAdvance(Calendar,W2071,V2072,"f",FALSE)</f>
        <v>53414</v>
      </c>
      <c r="X2072" s="203">
        <f>_xll.qlCalendarAdvance(Calendar,W2072,NDays&amp;"D")</f>
        <v>53416</v>
      </c>
      <c r="Y2072" s="204">
        <v>2.183892229195819E-2</v>
      </c>
      <c r="Z2072" s="201">
        <v>2.1816388723614466E-2</v>
      </c>
    </row>
    <row r="2073" spans="22:26" x14ac:dyDescent="0.2">
      <c r="V2073" s="202" t="str">
        <f t="shared" si="41"/>
        <v>1w</v>
      </c>
      <c r="W2073" s="200">
        <f>_xll.qlCalendarAdvance(Calendar,W2072,V2073,"f",FALSE)</f>
        <v>53421</v>
      </c>
      <c r="X2073" s="203">
        <f>_xll.qlCalendarAdvance(Calendar,W2073,NDays&amp;"D")</f>
        <v>53423</v>
      </c>
      <c r="Y2073" s="204">
        <v>2.1840913819486888E-2</v>
      </c>
      <c r="Z2073" s="201">
        <v>2.1818405868678781E-2</v>
      </c>
    </row>
    <row r="2074" spans="22:26" x14ac:dyDescent="0.2">
      <c r="V2074" s="202" t="str">
        <f t="shared" si="41"/>
        <v>1w</v>
      </c>
      <c r="W2074" s="200">
        <f>_xll.qlCalendarAdvance(Calendar,W2073,V2074,"f",FALSE)</f>
        <v>53428</v>
      </c>
      <c r="X2074" s="203">
        <f>_xll.qlCalendarAdvance(Calendar,W2074,NDays&amp;"D")</f>
        <v>53430</v>
      </c>
      <c r="Y2074" s="204">
        <v>2.1842890825485798E-2</v>
      </c>
      <c r="Z2074" s="201">
        <v>2.1820408516539658E-2</v>
      </c>
    </row>
    <row r="2075" spans="22:26" x14ac:dyDescent="0.2">
      <c r="V2075" s="202" t="str">
        <f t="shared" si="41"/>
        <v>1w</v>
      </c>
      <c r="W2075" s="200">
        <f>_xll.qlCalendarAdvance(Calendar,W2074,V2075,"f",FALSE)</f>
        <v>53435</v>
      </c>
      <c r="X2075" s="203">
        <f>_xll.qlCalendarAdvance(Calendar,W2075,NDays&amp;"D")</f>
        <v>53437</v>
      </c>
      <c r="Y2075" s="204">
        <v>2.1844853309947187E-2</v>
      </c>
      <c r="Z2075" s="201">
        <v>2.1822396667197097E-2</v>
      </c>
    </row>
    <row r="2076" spans="22:26" x14ac:dyDescent="0.2">
      <c r="V2076" s="202" t="str">
        <f t="shared" si="41"/>
        <v>1w</v>
      </c>
      <c r="W2076" s="200">
        <f>_xll.qlCalendarAdvance(Calendar,W2075,V2076,"f",FALSE)</f>
        <v>53442</v>
      </c>
      <c r="X2076" s="203">
        <f>_xll.qlCalendarAdvance(Calendar,W2076,NDays&amp;"D")</f>
        <v>53444</v>
      </c>
      <c r="Y2076" s="204">
        <v>2.1846801272865896E-2</v>
      </c>
      <c r="Z2076" s="201">
        <v>2.1824370320651099E-2</v>
      </c>
    </row>
    <row r="2077" spans="22:26" x14ac:dyDescent="0.2">
      <c r="V2077" s="202" t="str">
        <f t="shared" si="41"/>
        <v>1w</v>
      </c>
      <c r="W2077" s="200">
        <f>_xll.qlCalendarAdvance(Calendar,W2076,V2077,"f",FALSE)</f>
        <v>53449</v>
      </c>
      <c r="X2077" s="203">
        <f>_xll.qlCalendarAdvance(Calendar,W2077,NDays&amp;"D")</f>
        <v>53451</v>
      </c>
      <c r="Y2077" s="204">
        <v>2.1848734714231616E-2</v>
      </c>
      <c r="Z2077" s="201">
        <v>2.1826329476848372E-2</v>
      </c>
    </row>
    <row r="2078" spans="22:26" x14ac:dyDescent="0.2">
      <c r="V2078" s="202" t="str">
        <f t="shared" si="41"/>
        <v>1w</v>
      </c>
      <c r="W2078" s="200">
        <f>_xll.qlCalendarAdvance(Calendar,W2077,V2078,"f",FALSE)</f>
        <v>53456</v>
      </c>
      <c r="X2078" s="203">
        <f>_xll.qlCalendarAdvance(Calendar,W2078,NDays&amp;"D")</f>
        <v>53458</v>
      </c>
      <c r="Y2078" s="204">
        <v>2.1850653634036606E-2</v>
      </c>
      <c r="Z2078" s="201">
        <v>2.1828274135842207E-2</v>
      </c>
    </row>
    <row r="2079" spans="22:26" x14ac:dyDescent="0.2">
      <c r="V2079" s="202" t="str">
        <f t="shared" si="41"/>
        <v>1w</v>
      </c>
      <c r="W2079" s="200">
        <f>_xll.qlCalendarAdvance(Calendar,W2078,V2079,"f",FALSE)</f>
        <v>53463</v>
      </c>
      <c r="X2079" s="203">
        <f>_xll.qlCalendarAdvance(Calendar,W2079,NDays&amp;"D")</f>
        <v>53465</v>
      </c>
      <c r="Y2079" s="204">
        <v>2.1852558032275711E-2</v>
      </c>
      <c r="Z2079" s="201">
        <v>2.1830204297632605E-2</v>
      </c>
    </row>
    <row r="2080" spans="22:26" x14ac:dyDescent="0.2">
      <c r="V2080" s="202" t="str">
        <f t="shared" si="41"/>
        <v>1w</v>
      </c>
      <c r="W2080" s="200">
        <f>_xll.qlCalendarAdvance(Calendar,W2079,V2080,"f",FALSE)</f>
        <v>53470</v>
      </c>
      <c r="X2080" s="203">
        <f>_xll.qlCalendarAdvance(Calendar,W2080,NDays&amp;"D")</f>
        <v>53472</v>
      </c>
      <c r="Y2080" s="204">
        <v>2.1854447908941196E-2</v>
      </c>
      <c r="Z2080" s="201">
        <v>2.183211996224621E-2</v>
      </c>
    </row>
    <row r="2081" spans="22:26" x14ac:dyDescent="0.2">
      <c r="V2081" s="202" t="str">
        <f t="shared" si="41"/>
        <v>1w</v>
      </c>
      <c r="W2081" s="200">
        <f>_xll.qlCalendarAdvance(Calendar,W2080,V2081,"f",FALSE)</f>
        <v>53477</v>
      </c>
      <c r="X2081" s="203">
        <f>_xll.qlCalendarAdvance(Calendar,W2081,NDays&amp;"D")</f>
        <v>53479</v>
      </c>
      <c r="Y2081" s="204">
        <v>2.1856323264025323E-2</v>
      </c>
      <c r="Z2081" s="201">
        <v>2.1834021129603087E-2</v>
      </c>
    </row>
    <row r="2082" spans="22:26" x14ac:dyDescent="0.2">
      <c r="V2082" s="202" t="str">
        <f t="shared" si="41"/>
        <v>1w</v>
      </c>
      <c r="W2082" s="200">
        <f>_xll.qlCalendarAdvance(Calendar,W2081,V2082,"f",FALSE)</f>
        <v>53484</v>
      </c>
      <c r="X2082" s="203">
        <f>_xll.qlCalendarAdvance(Calendar,W2082,NDays&amp;"D")</f>
        <v>53486</v>
      </c>
      <c r="Y2082" s="204">
        <v>2.1858184097525515E-2</v>
      </c>
      <c r="Z2082" s="201">
        <v>2.1835907799783172E-2</v>
      </c>
    </row>
    <row r="2083" spans="22:26" x14ac:dyDescent="0.2">
      <c r="V2083" s="202" t="str">
        <f t="shared" si="41"/>
        <v>1w</v>
      </c>
      <c r="W2083" s="200">
        <f>_xll.qlCalendarAdvance(Calendar,W2082,V2083,"f",FALSE)</f>
        <v>53491</v>
      </c>
      <c r="X2083" s="203">
        <f>_xll.qlCalendarAdvance(Calendar,W2083,NDays&amp;"D")</f>
        <v>53493</v>
      </c>
      <c r="Y2083" s="204">
        <v>2.1860030409426301E-2</v>
      </c>
      <c r="Z2083" s="201">
        <v>2.1837779972706528E-2</v>
      </c>
    </row>
    <row r="2084" spans="22:26" x14ac:dyDescent="0.2">
      <c r="V2084" s="202" t="str">
        <f t="shared" si="41"/>
        <v>1w</v>
      </c>
      <c r="W2084" s="200">
        <f>_xll.qlCalendarAdvance(Calendar,W2083,V2084,"f",FALSE)</f>
        <v>53498</v>
      </c>
      <c r="X2084" s="203">
        <f>_xll.qlCalendarAdvance(Calendar,W2084,NDays&amp;"D")</f>
        <v>53500</v>
      </c>
      <c r="Y2084" s="204">
        <v>2.18618621997251E-2</v>
      </c>
      <c r="Z2084" s="201">
        <v>2.1839637648399801E-2</v>
      </c>
    </row>
    <row r="2085" spans="22:26" x14ac:dyDescent="0.2">
      <c r="V2085" s="202" t="str">
        <f t="shared" si="41"/>
        <v>1w</v>
      </c>
      <c r="W2085" s="200">
        <f>_xll.qlCalendarAdvance(Calendar,W2084,V2085,"f",FALSE)</f>
        <v>53505</v>
      </c>
      <c r="X2085" s="203">
        <f>_xll.qlCalendarAdvance(Calendar,W2085,NDays&amp;"D")</f>
        <v>53507</v>
      </c>
      <c r="Y2085" s="204">
        <v>2.1864471461979507E-2</v>
      </c>
      <c r="Z2085" s="201">
        <v>2.1841480826889637E-2</v>
      </c>
    </row>
    <row r="2086" spans="22:26" x14ac:dyDescent="0.2">
      <c r="V2086" s="202" t="str">
        <f t="shared" si="41"/>
        <v>1w</v>
      </c>
      <c r="W2086" s="200">
        <f>_xll.qlCalendarAdvance(Calendar,W2085,V2086,"f",FALSE)</f>
        <v>53512</v>
      </c>
      <c r="X2086" s="203">
        <f>_xll.qlCalendarAdvance(Calendar,W2086,NDays&amp;"D")</f>
        <v>53514</v>
      </c>
      <c r="Y2086" s="204">
        <v>2.1865482215493538E-2</v>
      </c>
      <c r="Z2086" s="201">
        <v>2.184330950820268E-2</v>
      </c>
    </row>
    <row r="2087" spans="22:26" x14ac:dyDescent="0.2">
      <c r="V2087" s="202" t="str">
        <f t="shared" si="41"/>
        <v>1w</v>
      </c>
      <c r="W2087" s="200">
        <f>_xll.qlCalendarAdvance(Calendar,W2086,V2087,"f",FALSE)</f>
        <v>53519</v>
      </c>
      <c r="X2087" s="203">
        <f>_xll.qlCalendarAdvance(Calendar,W2087,NDays&amp;"D")</f>
        <v>53521</v>
      </c>
      <c r="Y2087" s="204">
        <v>2.1867270440950281E-2</v>
      </c>
      <c r="Z2087" s="201">
        <v>2.1845123692258994E-2</v>
      </c>
    </row>
    <row r="2088" spans="22:26" x14ac:dyDescent="0.2">
      <c r="V2088" s="202" t="str">
        <f t="shared" si="41"/>
        <v>1w</v>
      </c>
      <c r="W2088" s="200">
        <f>_xll.qlCalendarAdvance(Calendar,W2087,V2088,"f",FALSE)</f>
        <v>53526</v>
      </c>
      <c r="X2088" s="203">
        <f>_xll.qlCalendarAdvance(Calendar,W2088,NDays&amp;"D")</f>
        <v>53528</v>
      </c>
      <c r="Y2088" s="204">
        <v>2.1869044144774096E-2</v>
      </c>
      <c r="Z2088" s="201">
        <v>2.1846923379085226E-2</v>
      </c>
    </row>
    <row r="2089" spans="22:26" x14ac:dyDescent="0.2">
      <c r="V2089" s="202" t="str">
        <f t="shared" si="41"/>
        <v>1w</v>
      </c>
      <c r="W2089" s="200">
        <f>_xll.qlCalendarAdvance(Calendar,W2088,V2089,"f",FALSE)</f>
        <v>53533</v>
      </c>
      <c r="X2089" s="203">
        <f>_xll.qlCalendarAdvance(Calendar,W2089,NDays&amp;"D")</f>
        <v>53535</v>
      </c>
      <c r="Y2089" s="204">
        <v>2.1870803326964984E-2</v>
      </c>
      <c r="Z2089" s="201">
        <v>2.1848708568734665E-2</v>
      </c>
    </row>
    <row r="2090" spans="22:26" x14ac:dyDescent="0.2">
      <c r="V2090" s="202" t="str">
        <f t="shared" si="41"/>
        <v>1w</v>
      </c>
      <c r="W2090" s="200">
        <f>_xll.qlCalendarAdvance(Calendar,W2089,V2090,"f",FALSE)</f>
        <v>53540</v>
      </c>
      <c r="X2090" s="203">
        <f>_xll.qlCalendarAdvance(Calendar,W2090,NDays&amp;"D")</f>
        <v>53542</v>
      </c>
      <c r="Y2090" s="204">
        <v>2.1872547987512626E-2</v>
      </c>
      <c r="Z2090" s="201">
        <v>2.1850479261127376E-2</v>
      </c>
    </row>
    <row r="2091" spans="22:26" x14ac:dyDescent="0.2">
      <c r="V2091" s="202" t="str">
        <f t="shared" si="41"/>
        <v>1w</v>
      </c>
      <c r="W2091" s="200">
        <f>_xll.qlCalendarAdvance(Calendar,W2090,V2091,"f",FALSE)</f>
        <v>53547</v>
      </c>
      <c r="X2091" s="203">
        <f>_xll.qlCalendarAdvance(Calendar,W2091,NDays&amp;"D")</f>
        <v>53549</v>
      </c>
      <c r="Y2091" s="204">
        <v>2.1874278126414449E-2</v>
      </c>
      <c r="Z2091" s="201">
        <v>2.1852235456343294E-2</v>
      </c>
    </row>
    <row r="2092" spans="22:26" x14ac:dyDescent="0.2">
      <c r="V2092" s="202" t="str">
        <f t="shared" si="41"/>
        <v>1w</v>
      </c>
      <c r="W2092" s="200">
        <f>_xll.qlCalendarAdvance(Calendar,W2091,V2092,"f",FALSE)</f>
        <v>53554</v>
      </c>
      <c r="X2092" s="203">
        <f>_xll.qlCalendarAdvance(Calendar,W2092,NDays&amp;"D")</f>
        <v>53556</v>
      </c>
      <c r="Y2092" s="204">
        <v>2.1875993743654981E-2</v>
      </c>
      <c r="Z2092" s="201">
        <v>2.1853977154302484E-2</v>
      </c>
    </row>
    <row r="2093" spans="22:26" x14ac:dyDescent="0.2">
      <c r="V2093" s="202" t="str">
        <f t="shared" si="41"/>
        <v>1w</v>
      </c>
      <c r="W2093" s="200">
        <f>_xll.qlCalendarAdvance(Calendar,W2092,V2093,"f",FALSE)</f>
        <v>53561</v>
      </c>
      <c r="X2093" s="203">
        <f>_xll.qlCalendarAdvance(Calendar,W2093,NDays&amp;"D")</f>
        <v>53563</v>
      </c>
      <c r="Y2093" s="204">
        <v>2.1877694839244531E-2</v>
      </c>
      <c r="Z2093" s="201">
        <v>2.1855704355058236E-2</v>
      </c>
    </row>
    <row r="2094" spans="22:26" x14ac:dyDescent="0.2">
      <c r="V2094" s="202" t="str">
        <f t="shared" si="41"/>
        <v>1w</v>
      </c>
      <c r="W2094" s="200">
        <f>_xll.qlCalendarAdvance(Calendar,W2093,V2094,"f",FALSE)</f>
        <v>53568</v>
      </c>
      <c r="X2094" s="203">
        <f>_xll.qlCalendarAdvance(Calendar,W2094,NDays&amp;"D")</f>
        <v>53570</v>
      </c>
      <c r="Y2094" s="204">
        <v>2.1877030236495201E-2</v>
      </c>
      <c r="Z2094" s="201">
        <v>2.185741705855726E-2</v>
      </c>
    </row>
    <row r="2095" spans="22:26" x14ac:dyDescent="0.2">
      <c r="V2095" s="202" t="str">
        <f t="shared" si="41"/>
        <v>1w</v>
      </c>
      <c r="W2095" s="200">
        <f>_xll.qlCalendarAdvance(Calendar,W2094,V2095,"f",FALSE)</f>
        <v>53575</v>
      </c>
      <c r="X2095" s="203">
        <f>_xll.qlCalendarAdvance(Calendar,W2095,NDays&amp;"D")</f>
        <v>53577</v>
      </c>
      <c r="Y2095" s="204">
        <v>2.1881053465398499E-2</v>
      </c>
      <c r="Z2095" s="201">
        <v>2.1859115264852846E-2</v>
      </c>
    </row>
    <row r="2096" spans="22:26" x14ac:dyDescent="0.2">
      <c r="V2096" s="202" t="str">
        <f t="shared" si="41"/>
        <v>1w</v>
      </c>
      <c r="W2096" s="200">
        <f>_xll.qlCalendarAdvance(Calendar,W2095,V2096,"f",FALSE)</f>
        <v>53582</v>
      </c>
      <c r="X2096" s="203">
        <f>_xll.qlCalendarAdvance(Calendar,W2096,NDays&amp;"D")</f>
        <v>53584</v>
      </c>
      <c r="Y2096" s="204">
        <v>2.1882710995957757E-2</v>
      </c>
      <c r="Z2096" s="201">
        <v>2.1860798973891704E-2</v>
      </c>
    </row>
    <row r="2097" spans="22:26" x14ac:dyDescent="0.2">
      <c r="V2097" s="202" t="str">
        <f t="shared" si="41"/>
        <v>1w</v>
      </c>
      <c r="W2097" s="200">
        <f>_xll.qlCalendarAdvance(Calendar,W2096,V2097,"f",FALSE)</f>
        <v>53589</v>
      </c>
      <c r="X2097" s="203">
        <f>_xll.qlCalendarAdvance(Calendar,W2097,NDays&amp;"D")</f>
        <v>53591</v>
      </c>
      <c r="Y2097" s="204">
        <v>2.1884354004835096E-2</v>
      </c>
      <c r="Z2097" s="201">
        <v>2.1862468185780415E-2</v>
      </c>
    </row>
    <row r="2098" spans="22:26" x14ac:dyDescent="0.2">
      <c r="V2098" s="202" t="str">
        <f t="shared" si="41"/>
        <v>1w</v>
      </c>
      <c r="W2098" s="200">
        <f>_xll.qlCalendarAdvance(Calendar,W2097,V2098,"f",FALSE)</f>
        <v>53596</v>
      </c>
      <c r="X2098" s="203">
        <f>_xll.qlCalendarAdvance(Calendar,W2098,NDays&amp;"D")</f>
        <v>53598</v>
      </c>
      <c r="Y2098" s="204">
        <v>2.188754215876559E-2</v>
      </c>
      <c r="Z2098" s="201">
        <v>2.1864122900412397E-2</v>
      </c>
    </row>
    <row r="2099" spans="22:26" x14ac:dyDescent="0.2">
      <c r="V2099" s="202" t="str">
        <f t="shared" si="41"/>
        <v>1w</v>
      </c>
      <c r="W2099" s="200">
        <f>_xll.qlCalendarAdvance(Calendar,W2098,V2099,"f",FALSE)</f>
        <v>53603</v>
      </c>
      <c r="X2099" s="203">
        <f>_xll.qlCalendarAdvance(Calendar,W2099,NDays&amp;"D")</f>
        <v>53605</v>
      </c>
      <c r="Y2099" s="204">
        <v>2.1887596457500168E-2</v>
      </c>
      <c r="Z2099" s="201">
        <v>2.1865763117787651E-2</v>
      </c>
    </row>
    <row r="2100" spans="22:26" x14ac:dyDescent="0.2">
      <c r="V2100" s="202" t="str">
        <f t="shared" si="41"/>
        <v>1w</v>
      </c>
      <c r="W2100" s="200">
        <f>_xll.qlCalendarAdvance(Calendar,W2099,V2100,"f",FALSE)</f>
        <v>53610</v>
      </c>
      <c r="X2100" s="203">
        <f>_xll.qlCalendarAdvance(Calendar,W2100,NDays&amp;"D")</f>
        <v>53612</v>
      </c>
      <c r="Y2100" s="204">
        <v>2.1889195901277591E-2</v>
      </c>
      <c r="Z2100" s="201">
        <v>2.1867388837906176E-2</v>
      </c>
    </row>
    <row r="2101" spans="22:26" x14ac:dyDescent="0.2">
      <c r="V2101" s="202" t="str">
        <f t="shared" si="41"/>
        <v>1w</v>
      </c>
      <c r="W2101" s="200">
        <f>_xll.qlCalendarAdvance(Calendar,W2100,V2101,"f",FALSE)</f>
        <v>53617</v>
      </c>
      <c r="X2101" s="203">
        <f>_xll.qlCalendarAdvance(Calendar,W2101,NDays&amp;"D")</f>
        <v>53619</v>
      </c>
      <c r="Y2101" s="204">
        <v>2.189078082334215E-2</v>
      </c>
      <c r="Z2101" s="201">
        <v>2.1869000060874555E-2</v>
      </c>
    </row>
    <row r="2102" spans="22:26" x14ac:dyDescent="0.2">
      <c r="V2102" s="202" t="str">
        <f t="shared" si="41"/>
        <v>1w</v>
      </c>
      <c r="W2102" s="200">
        <f>_xll.qlCalendarAdvance(Calendar,W2101,V2102,"f",FALSE)</f>
        <v>53624</v>
      </c>
      <c r="X2102" s="203">
        <f>_xll.qlCalendarAdvance(Calendar,W2102,NDays&amp;"D")</f>
        <v>53626</v>
      </c>
      <c r="Y2102" s="204">
        <v>2.1892351223693842E-2</v>
      </c>
      <c r="Z2102" s="201">
        <v>2.1870596786586205E-2</v>
      </c>
    </row>
    <row r="2103" spans="22:26" x14ac:dyDescent="0.2">
      <c r="V2103" s="202" t="str">
        <f t="shared" si="41"/>
        <v>1w</v>
      </c>
      <c r="W2103" s="200">
        <f>_xll.qlCalendarAdvance(Calendar,W2102,V2103,"f",FALSE)</f>
        <v>53631</v>
      </c>
      <c r="X2103" s="203">
        <f>_xll.qlCalendarAdvance(Calendar,W2103,NDays&amp;"D")</f>
        <v>53633</v>
      </c>
      <c r="Y2103" s="204">
        <v>2.1893907102322356E-2</v>
      </c>
      <c r="Z2103" s="201">
        <v>2.1872179015067772E-2</v>
      </c>
    </row>
    <row r="2104" spans="22:26" x14ac:dyDescent="0.2">
      <c r="V2104" s="202" t="str">
        <f t="shared" si="41"/>
        <v>1w</v>
      </c>
      <c r="W2104" s="200">
        <f>_xll.qlCalendarAdvance(Calendar,W2103,V2104,"f",FALSE)</f>
        <v>53638</v>
      </c>
      <c r="X2104" s="203">
        <f>_xll.qlCalendarAdvance(Calendar,W2104,NDays&amp;"D")</f>
        <v>53640</v>
      </c>
      <c r="Y2104" s="204">
        <v>2.1895448459219959E-2</v>
      </c>
      <c r="Z2104" s="201">
        <v>2.1873746746345901E-2</v>
      </c>
    </row>
    <row r="2105" spans="22:26" x14ac:dyDescent="0.2">
      <c r="V2105" s="202" t="str">
        <f t="shared" si="41"/>
        <v>1w</v>
      </c>
      <c r="W2105" s="200">
        <f>_xll.qlCalendarAdvance(Calendar,W2104,V2105,"f",FALSE)</f>
        <v>53645</v>
      </c>
      <c r="X2105" s="203">
        <f>_xll.qlCalendarAdvance(Calendar,W2105,NDays&amp;"D")</f>
        <v>53647</v>
      </c>
      <c r="Y2105" s="204">
        <v>2.1896975294386643E-2</v>
      </c>
      <c r="Z2105" s="201">
        <v>2.1875299980340657E-2</v>
      </c>
    </row>
    <row r="2106" spans="22:26" x14ac:dyDescent="0.2">
      <c r="V2106" s="202" t="str">
        <f t="shared" si="41"/>
        <v>1w</v>
      </c>
      <c r="W2106" s="200">
        <f>_xll.qlCalendarAdvance(Calendar,W2105,V2106,"f",FALSE)</f>
        <v>53652</v>
      </c>
      <c r="X2106" s="203">
        <f>_xll.qlCalendarAdvance(Calendar,W2106,NDays&amp;"D")</f>
        <v>53654</v>
      </c>
      <c r="Y2106" s="204">
        <v>2.1898487607809523E-2</v>
      </c>
      <c r="Z2106" s="201">
        <v>2.187683871715862E-2</v>
      </c>
    </row>
    <row r="2107" spans="22:26" x14ac:dyDescent="0.2">
      <c r="V2107" s="202" t="str">
        <f t="shared" si="41"/>
        <v>1w</v>
      </c>
      <c r="W2107" s="200">
        <f>_xll.qlCalendarAdvance(Calendar,W2106,V2107,"f",FALSE)</f>
        <v>53659</v>
      </c>
      <c r="X2107" s="203">
        <f>_xll.qlCalendarAdvance(Calendar,W2107,NDays&amp;"D")</f>
        <v>53661</v>
      </c>
      <c r="Y2107" s="204">
        <v>2.1899985399491173E-2</v>
      </c>
      <c r="Z2107" s="201">
        <v>2.1878362956693209E-2</v>
      </c>
    </row>
    <row r="2108" spans="22:26" x14ac:dyDescent="0.2">
      <c r="V2108" s="202" t="str">
        <f t="shared" si="41"/>
        <v>1w</v>
      </c>
      <c r="W2108" s="200">
        <f>_xll.qlCalendarAdvance(Calendar,W2107,V2108,"f",FALSE)</f>
        <v>53666</v>
      </c>
      <c r="X2108" s="203">
        <f>_xll.qlCalendarAdvance(Calendar,W2108,NDays&amp;"D")</f>
        <v>53668</v>
      </c>
      <c r="Y2108" s="204">
        <v>2.1901468669418698E-2</v>
      </c>
      <c r="Z2108" s="201">
        <v>2.1879872699051006E-2</v>
      </c>
    </row>
    <row r="2109" spans="22:26" x14ac:dyDescent="0.2">
      <c r="V2109" s="202" t="str">
        <f t="shared" si="41"/>
        <v>1w</v>
      </c>
      <c r="W2109" s="200">
        <f>_xll.qlCalendarAdvance(Calendar,W2108,V2109,"f",FALSE)</f>
        <v>53673</v>
      </c>
      <c r="X2109" s="203">
        <f>_xll.qlCalendarAdvance(Calendar,W2109,NDays&amp;"D")</f>
        <v>53675</v>
      </c>
      <c r="Y2109" s="204">
        <v>2.1902937417586948E-2</v>
      </c>
      <c r="Z2109" s="201">
        <v>2.1881367944152075E-2</v>
      </c>
    </row>
    <row r="2110" spans="22:26" x14ac:dyDescent="0.2">
      <c r="V2110" s="202" t="str">
        <f t="shared" si="41"/>
        <v>1w</v>
      </c>
      <c r="W2110" s="200">
        <f>_xll.qlCalendarAdvance(Calendar,W2109,V2110,"f",FALSE)</f>
        <v>53680</v>
      </c>
      <c r="X2110" s="203">
        <f>_xll.qlCalendarAdvance(Calendar,W2110,NDays&amp;"D")</f>
        <v>53682</v>
      </c>
      <c r="Y2110" s="204">
        <v>2.1904391643995918E-2</v>
      </c>
      <c r="Z2110" s="201">
        <v>2.188284869202306E-2</v>
      </c>
    </row>
    <row r="2111" spans="22:26" x14ac:dyDescent="0.2">
      <c r="V2111" s="202" t="str">
        <f t="shared" si="41"/>
        <v>1w</v>
      </c>
      <c r="W2111" s="200">
        <f>_xll.qlCalendarAdvance(Calendar,W2110,V2111,"f",FALSE)</f>
        <v>53688</v>
      </c>
      <c r="X2111" s="203">
        <f>_xll.qlCalendarAdvance(Calendar,W2111,NDays&amp;"D")</f>
        <v>53692</v>
      </c>
      <c r="Y2111" s="204">
        <v>2.190644391947064E-2</v>
      </c>
      <c r="Z2111" s="201">
        <v>2.1884170002950398E-2</v>
      </c>
    </row>
    <row r="2112" spans="22:26" x14ac:dyDescent="0.2">
      <c r="V2112" s="202" t="str">
        <f t="shared" si="41"/>
        <v>1w</v>
      </c>
      <c r="W2112" s="200">
        <f>_xll.qlCalendarAdvance(Calendar,W2111,V2112,"f",FALSE)</f>
        <v>53695</v>
      </c>
      <c r="X2112" s="203">
        <f>_xll.qlCalendarAdvance(Calendar,W2112,NDays&amp;"D")</f>
        <v>53699</v>
      </c>
      <c r="Y2112" s="204">
        <v>2.1907862878722675E-2</v>
      </c>
      <c r="Z2112" s="201">
        <v>2.1884848484381436E-2</v>
      </c>
    </row>
    <row r="2113" spans="22:26" x14ac:dyDescent="0.2">
      <c r="V2113" s="202" t="str">
        <f t="shared" si="41"/>
        <v>1w</v>
      </c>
      <c r="W2113" s="200">
        <f>_xll.qlCalendarAdvance(Calendar,W2112,V2113,"f",FALSE)</f>
        <v>53702</v>
      </c>
      <c r="X2113" s="203">
        <f>_xll.qlCalendarAdvance(Calendar,W2113,NDays&amp;"D")</f>
        <v>53706</v>
      </c>
      <c r="Y2113" s="204">
        <v>2.1909267316189644E-2</v>
      </c>
      <c r="Z2113" s="201">
        <v>2.1886281424308152E-2</v>
      </c>
    </row>
    <row r="2114" spans="22:26" x14ac:dyDescent="0.2">
      <c r="V2114" s="202" t="str">
        <f t="shared" si="41"/>
        <v>1w</v>
      </c>
      <c r="W2114" s="200">
        <f>_xll.qlCalendarAdvance(Calendar,W2113,V2114,"f",FALSE)</f>
        <v>53709</v>
      </c>
      <c r="X2114" s="203">
        <f>_xll.qlCalendarAdvance(Calendar,W2114,NDays&amp;"D")</f>
        <v>53713</v>
      </c>
      <c r="Y2114" s="204">
        <v>2.1910657231871546E-2</v>
      </c>
      <c r="Z2114" s="201">
        <v>2.1887699868710087E-2</v>
      </c>
    </row>
    <row r="2115" spans="22:26" x14ac:dyDescent="0.2">
      <c r="V2115" s="202" t="str">
        <f t="shared" si="41"/>
        <v>1w</v>
      </c>
      <c r="W2115" s="200">
        <f>_xll.qlCalendarAdvance(Calendar,W2114,V2115,"f",FALSE)</f>
        <v>53716</v>
      </c>
      <c r="X2115" s="203">
        <f>_xll.qlCalendarAdvance(Calendar,W2115,NDays&amp;"D")</f>
        <v>53720</v>
      </c>
      <c r="Y2115" s="204">
        <v>2.1912032625765805E-2</v>
      </c>
      <c r="Z2115" s="201">
        <v>2.1889103817587241E-2</v>
      </c>
    </row>
    <row r="2116" spans="22:26" x14ac:dyDescent="0.2">
      <c r="V2116" s="202" t="str">
        <f t="shared" si="41"/>
        <v>1w</v>
      </c>
      <c r="W2116" s="200">
        <f>_xll.qlCalendarAdvance(Calendar,W2115,V2116,"f",FALSE)</f>
        <v>53723</v>
      </c>
      <c r="X2116" s="203">
        <f>_xll.qlCalendarAdvance(Calendar,W2116,NDays&amp;"D")</f>
        <v>53727</v>
      </c>
      <c r="Y2116" s="204">
        <v>2.1911105902055868E-2</v>
      </c>
      <c r="Z2116" s="201">
        <v>2.1890493270939615E-2</v>
      </c>
    </row>
    <row r="2117" spans="22:26" x14ac:dyDescent="0.2">
      <c r="V2117" s="202" t="str">
        <f t="shared" si="41"/>
        <v>1w</v>
      </c>
      <c r="W2117" s="200">
        <f>_xll.qlCalendarAdvance(Calendar,W2116,V2117,"f",FALSE)</f>
        <v>53730</v>
      </c>
      <c r="X2117" s="203">
        <f>_xll.qlCalendarAdvance(Calendar,W2117,NDays&amp;"D")</f>
        <v>53734</v>
      </c>
      <c r="Y2117" s="204">
        <v>2.1912455117991985E-2</v>
      </c>
      <c r="Z2117" s="201">
        <v>2.1891868228927081E-2</v>
      </c>
    </row>
    <row r="2118" spans="22:26" x14ac:dyDescent="0.2">
      <c r="V2118" s="202" t="str">
        <f t="shared" si="41"/>
        <v>1w</v>
      </c>
      <c r="W2118" s="200">
        <f>_xll.qlCalendarAdvance(Calendar,W2117,V2118,"f",FALSE)</f>
        <v>53737</v>
      </c>
      <c r="X2118" s="203">
        <f>_xll.qlCalendarAdvance(Calendar,W2118,NDays&amp;"D")</f>
        <v>53741</v>
      </c>
      <c r="Y2118" s="204">
        <v>2.1913789814750815E-2</v>
      </c>
      <c r="Z2118" s="201">
        <v>2.1893228691389766E-2</v>
      </c>
    </row>
    <row r="2119" spans="22:26" x14ac:dyDescent="0.2">
      <c r="V2119" s="202" t="str">
        <f t="shared" si="41"/>
        <v>1w</v>
      </c>
      <c r="W2119" s="200">
        <f>_xll.qlCalendarAdvance(Calendar,W2118,V2119,"f",FALSE)</f>
        <v>53744</v>
      </c>
      <c r="X2119" s="203">
        <f>_xll.qlCalendarAdvance(Calendar,W2119,NDays&amp;"D")</f>
        <v>53748</v>
      </c>
      <c r="Y2119" s="204">
        <v>2.1915109992332354E-2</v>
      </c>
      <c r="Z2119" s="201">
        <v>2.189457465832767E-2</v>
      </c>
    </row>
    <row r="2120" spans="22:26" x14ac:dyDescent="0.2">
      <c r="V2120" s="202" t="str">
        <f t="shared" si="41"/>
        <v>1w</v>
      </c>
      <c r="W2120" s="200">
        <f>_xll.qlCalendarAdvance(Calendar,W2119,V2120,"f",FALSE)</f>
        <v>53751</v>
      </c>
      <c r="X2120" s="203">
        <f>_xll.qlCalendarAdvance(Calendar,W2120,NDays&amp;"D")</f>
        <v>53755</v>
      </c>
      <c r="Y2120" s="204">
        <v>2.1918691768172332E-2</v>
      </c>
      <c r="Z2120" s="201">
        <v>2.1895906129900666E-2</v>
      </c>
    </row>
    <row r="2121" spans="22:26" x14ac:dyDescent="0.2">
      <c r="V2121" s="202" t="str">
        <f t="shared" si="41"/>
        <v>1w</v>
      </c>
      <c r="W2121" s="200">
        <f>_xll.qlCalendarAdvance(Calendar,W2120,V2121,"f",FALSE)</f>
        <v>53758</v>
      </c>
      <c r="X2121" s="203">
        <f>_xll.qlCalendarAdvance(Calendar,W2121,NDays&amp;"D")</f>
        <v>53762</v>
      </c>
      <c r="Y2121" s="204">
        <v>2.1919980031209225E-2</v>
      </c>
      <c r="Z2121" s="201">
        <v>2.189722310578901E-2</v>
      </c>
    </row>
    <row r="2122" spans="22:26" x14ac:dyDescent="0.2">
      <c r="V2122" s="202" t="str">
        <f t="shared" si="41"/>
        <v>1w</v>
      </c>
      <c r="W2122" s="200">
        <f>_xll.qlCalendarAdvance(Calendar,W2121,V2122,"f",FALSE)</f>
        <v>53765</v>
      </c>
      <c r="X2122" s="203">
        <f>_xll.qlCalendarAdvance(Calendar,W2122,NDays&amp;"D")</f>
        <v>53769</v>
      </c>
      <c r="Y2122" s="204">
        <v>2.1921253772419796E-2</v>
      </c>
      <c r="Z2122" s="201">
        <v>2.1898525586392381E-2</v>
      </c>
    </row>
    <row r="2123" spans="22:26" x14ac:dyDescent="0.2">
      <c r="V2123" s="202" t="str">
        <f t="shared" si="41"/>
        <v>1w</v>
      </c>
      <c r="W2123" s="200">
        <f>_xll.qlCalendarAdvance(Calendar,W2122,V2123,"f",FALSE)</f>
        <v>53772</v>
      </c>
      <c r="X2123" s="203">
        <f>_xll.qlCalendarAdvance(Calendar,W2123,NDays&amp;"D")</f>
        <v>53776</v>
      </c>
      <c r="Y2123" s="204">
        <v>2.1922512991804043E-2</v>
      </c>
      <c r="Z2123" s="201">
        <v>2.18998135713111E-2</v>
      </c>
    </row>
    <row r="2124" spans="22:26" x14ac:dyDescent="0.2">
      <c r="V2124" s="202" t="str">
        <f t="shared" si="41"/>
        <v>1w</v>
      </c>
      <c r="W2124" s="200">
        <f>_xll.qlCalendarAdvance(Calendar,W2123,V2124,"f",FALSE)</f>
        <v>53779</v>
      </c>
      <c r="X2124" s="203">
        <f>_xll.qlCalendarAdvance(Calendar,W2124,NDays&amp;"D")</f>
        <v>53783</v>
      </c>
      <c r="Y2124" s="204">
        <v>2.1923757689343921E-2</v>
      </c>
      <c r="Z2124" s="201">
        <v>2.190108706086491E-2</v>
      </c>
    </row>
    <row r="2125" spans="22:26" x14ac:dyDescent="0.2">
      <c r="V2125" s="202" t="str">
        <f t="shared" si="41"/>
        <v>1w</v>
      </c>
      <c r="W2125" s="200">
        <f>_xll.qlCalendarAdvance(Calendar,W2124,V2125,"f",FALSE)</f>
        <v>53786</v>
      </c>
      <c r="X2125" s="203">
        <f>_xll.qlCalendarAdvance(Calendar,W2125,NDays&amp;"D")</f>
        <v>53790</v>
      </c>
      <c r="Y2125" s="204">
        <v>2.1924234022830724E-2</v>
      </c>
      <c r="Z2125" s="201">
        <v>2.1902346054973876E-2</v>
      </c>
    </row>
    <row r="2126" spans="22:26" x14ac:dyDescent="0.2">
      <c r="V2126" s="202" t="str">
        <f t="shared" si="41"/>
        <v>1w</v>
      </c>
      <c r="W2126" s="200">
        <f>_xll.qlCalendarAdvance(Calendar,W2125,V2126,"f",FALSE)</f>
        <v>53793</v>
      </c>
      <c r="X2126" s="203">
        <f>_xll.qlCalendarAdvance(Calendar,W2126,NDays&amp;"D")</f>
        <v>53799</v>
      </c>
      <c r="Y2126" s="204">
        <v>2.19257955777028E-2</v>
      </c>
      <c r="Z2126" s="201">
        <v>2.1903943462060482E-2</v>
      </c>
    </row>
    <row r="2127" spans="22:26" x14ac:dyDescent="0.2">
      <c r="V2127" s="202" t="str">
        <f t="shared" si="41"/>
        <v>1w</v>
      </c>
      <c r="W2127" s="200">
        <f>_xll.qlCalendarAdvance(Calendar,W2126,V2127,"f",FALSE)</f>
        <v>53800</v>
      </c>
      <c r="X2127" s="203">
        <f>_xll.qlCalendarAdvance(Calendar,W2127,NDays&amp;"D")</f>
        <v>53804</v>
      </c>
      <c r="Y2127" s="204">
        <v>2.1926652736068419E-2</v>
      </c>
      <c r="Z2127" s="201">
        <v>2.1904820556617466E-2</v>
      </c>
    </row>
    <row r="2128" spans="22:26" x14ac:dyDescent="0.2">
      <c r="V2128" s="202" t="str">
        <f t="shared" si="41"/>
        <v>1w</v>
      </c>
      <c r="W2128" s="200">
        <f>_xll.qlCalendarAdvance(Calendar,W2127,V2128,"f",FALSE)</f>
        <v>53807</v>
      </c>
      <c r="X2128" s="203">
        <f>_xll.qlCalendarAdvance(Calendar,W2128,NDays&amp;"D")</f>
        <v>53811</v>
      </c>
      <c r="Y2128" s="204">
        <v>2.1927840311229296E-2</v>
      </c>
      <c r="Z2128" s="201">
        <v>2.1906036064232026E-2</v>
      </c>
    </row>
    <row r="2129" spans="22:26" x14ac:dyDescent="0.2">
      <c r="V2129" s="202" t="str">
        <f t="shared" si="41"/>
        <v>1w</v>
      </c>
      <c r="W2129" s="200">
        <f>_xll.qlCalendarAdvance(Calendar,W2128,V2129,"f",FALSE)</f>
        <v>53814</v>
      </c>
      <c r="X2129" s="203">
        <f>_xll.qlCalendarAdvance(Calendar,W2129,NDays&amp;"D")</f>
        <v>53818</v>
      </c>
      <c r="Y2129" s="204">
        <v>2.1929763349369982E-2</v>
      </c>
      <c r="Z2129" s="201">
        <v>2.190723707624187E-2</v>
      </c>
    </row>
    <row r="2130" spans="22:26" x14ac:dyDescent="0.2">
      <c r="V2130" s="202" t="str">
        <f t="shared" si="41"/>
        <v>1w</v>
      </c>
      <c r="W2130" s="200">
        <f>_xll.qlCalendarAdvance(Calendar,W2129,V2130,"f",FALSE)</f>
        <v>53821</v>
      </c>
      <c r="X2130" s="203">
        <f>_xll.qlCalendarAdvance(Calendar,W2130,NDays&amp;"D")</f>
        <v>53825</v>
      </c>
      <c r="Y2130" s="204">
        <v>2.1930920915807523E-2</v>
      </c>
      <c r="Z2130" s="201">
        <v>2.1908423592886805E-2</v>
      </c>
    </row>
    <row r="2131" spans="22:26" x14ac:dyDescent="0.2">
      <c r="V2131" s="202" t="str">
        <f t="shared" si="41"/>
        <v>1w</v>
      </c>
      <c r="W2131" s="200">
        <f>_xll.qlCalendarAdvance(Calendar,W2130,V2131,"f",FALSE)</f>
        <v>53828</v>
      </c>
      <c r="X2131" s="203">
        <f>_xll.qlCalendarAdvance(Calendar,W2131,NDays&amp;"D")</f>
        <v>53832</v>
      </c>
      <c r="Y2131" s="204">
        <v>2.1932063960377488E-2</v>
      </c>
      <c r="Z2131" s="201">
        <v>2.1909595614166832E-2</v>
      </c>
    </row>
    <row r="2132" spans="22:26" x14ac:dyDescent="0.2">
      <c r="V2132" s="202" t="str">
        <f t="shared" si="41"/>
        <v>1w</v>
      </c>
      <c r="W2132" s="200">
        <f>_xll.qlCalendarAdvance(Calendar,W2131,V2132,"f",FALSE)</f>
        <v>53835</v>
      </c>
      <c r="X2132" s="203">
        <f>_xll.qlCalendarAdvance(Calendar,W2132,NDays&amp;"D")</f>
        <v>53839</v>
      </c>
      <c r="Y2132" s="204">
        <v>2.1933192483072135E-2</v>
      </c>
      <c r="Z2132" s="201">
        <v>2.1910753139842143E-2</v>
      </c>
    </row>
    <row r="2133" spans="22:26" x14ac:dyDescent="0.2">
      <c r="V2133" s="202" t="str">
        <f t="shared" ref="V2133:V2196" si="42">V2132</f>
        <v>1w</v>
      </c>
      <c r="W2133" s="200">
        <f>_xll.qlCalendarAdvance(Calendar,W2132,V2133,"f",FALSE)</f>
        <v>53842</v>
      </c>
      <c r="X2133" s="203">
        <f>_xll.qlCalendarAdvance(Calendar,W2133,NDays&amp;"D")</f>
        <v>53846</v>
      </c>
      <c r="Y2133" s="204">
        <v>2.1933560372278116E-2</v>
      </c>
      <c r="Z2133" s="201">
        <v>2.1911896169912737E-2</v>
      </c>
    </row>
    <row r="2134" spans="22:26" x14ac:dyDescent="0.2">
      <c r="V2134" s="202" t="str">
        <f t="shared" si="42"/>
        <v>1w</v>
      </c>
      <c r="W2134" s="200">
        <f>_xll.qlCalendarAdvance(Calendar,W2133,V2134,"f",FALSE)</f>
        <v>53849</v>
      </c>
      <c r="X2134" s="203">
        <f>_xll.qlCalendarAdvance(Calendar,W2134,NDays&amp;"D")</f>
        <v>53853</v>
      </c>
      <c r="Y2134" s="204">
        <v>2.1934660821508523E-2</v>
      </c>
      <c r="Z2134" s="201">
        <v>2.1913024704618422E-2</v>
      </c>
    </row>
    <row r="2135" spans="22:26" x14ac:dyDescent="0.2">
      <c r="V2135" s="202" t="str">
        <f t="shared" si="42"/>
        <v>1w</v>
      </c>
      <c r="W2135" s="200">
        <f>_xll.qlCalendarAdvance(Calendar,W2134,V2135,"f",FALSE)</f>
        <v>53856</v>
      </c>
      <c r="X2135" s="203">
        <f>_xll.qlCalendarAdvance(Calendar,W2135,NDays&amp;"D")</f>
        <v>53860</v>
      </c>
      <c r="Y2135" s="204">
        <v>2.1935746749735863E-2</v>
      </c>
      <c r="Z2135" s="201">
        <v>2.1914138743799327E-2</v>
      </c>
    </row>
    <row r="2136" spans="22:26" x14ac:dyDescent="0.2">
      <c r="V2136" s="202" t="str">
        <f t="shared" si="42"/>
        <v>1w</v>
      </c>
      <c r="W2136" s="200">
        <f>_xll.qlCalendarAdvance(Calendar,W2135,V2136,"f",FALSE)</f>
        <v>53863</v>
      </c>
      <c r="X2136" s="203">
        <f>_xll.qlCalendarAdvance(Calendar,W2136,NDays&amp;"D")</f>
        <v>53867</v>
      </c>
      <c r="Y2136" s="204">
        <v>2.1936818156957472E-2</v>
      </c>
      <c r="Z2136" s="201">
        <v>2.1915238287535388E-2</v>
      </c>
    </row>
    <row r="2137" spans="22:26" x14ac:dyDescent="0.2">
      <c r="V2137" s="202" t="str">
        <f t="shared" si="42"/>
        <v>1w</v>
      </c>
      <c r="W2137" s="200">
        <f>_xll.qlCalendarAdvance(Calendar,W2136,V2137,"f",FALSE)</f>
        <v>53870</v>
      </c>
      <c r="X2137" s="203">
        <f>_xll.qlCalendarAdvance(Calendar,W2137,NDays&amp;"D")</f>
        <v>53874</v>
      </c>
      <c r="Y2137" s="204">
        <v>2.1938617268338293E-2</v>
      </c>
      <c r="Z2137" s="201">
        <v>2.1916323335666732E-2</v>
      </c>
    </row>
    <row r="2138" spans="22:26" x14ac:dyDescent="0.2">
      <c r="V2138" s="202" t="str">
        <f t="shared" si="42"/>
        <v>1w</v>
      </c>
      <c r="W2138" s="200">
        <f>_xll.qlCalendarAdvance(Calendar,W2137,V2138,"f",FALSE)</f>
        <v>53877</v>
      </c>
      <c r="X2138" s="203">
        <f>_xll.qlCalendarAdvance(Calendar,W2138,NDays&amp;"D")</f>
        <v>53881</v>
      </c>
      <c r="Y2138" s="204">
        <v>2.1939658659719162E-2</v>
      </c>
      <c r="Z2138" s="201">
        <v>2.1917393888513104E-2</v>
      </c>
    </row>
    <row r="2139" spans="22:26" x14ac:dyDescent="0.2">
      <c r="V2139" s="202" t="str">
        <f t="shared" si="42"/>
        <v>1w</v>
      </c>
      <c r="W2139" s="200">
        <f>_xll.qlCalendarAdvance(Calendar,W2138,V2139,"f",FALSE)</f>
        <v>53884</v>
      </c>
      <c r="X2139" s="203">
        <f>_xll.qlCalendarAdvance(Calendar,W2139,NDays&amp;"D")</f>
        <v>53888</v>
      </c>
      <c r="Y2139" s="204">
        <v>2.1940685529198933E-2</v>
      </c>
      <c r="Z2139" s="201">
        <v>2.1918449945754759E-2</v>
      </c>
    </row>
    <row r="2140" spans="22:26" x14ac:dyDescent="0.2">
      <c r="V2140" s="202" t="str">
        <f t="shared" si="42"/>
        <v>1w</v>
      </c>
      <c r="W2140" s="200">
        <f>_xll.qlCalendarAdvance(Calendar,W2139,V2140,"f",FALSE)</f>
        <v>53891</v>
      </c>
      <c r="X2140" s="203">
        <f>_xll.qlCalendarAdvance(Calendar,W2140,NDays&amp;"D")</f>
        <v>53895</v>
      </c>
      <c r="Y2140" s="204">
        <v>2.1941697876777602E-2</v>
      </c>
      <c r="Z2140" s="201">
        <v>2.1919491507471633E-2</v>
      </c>
    </row>
    <row r="2141" spans="22:26" x14ac:dyDescent="0.2">
      <c r="V2141" s="202" t="str">
        <f t="shared" si="42"/>
        <v>1w</v>
      </c>
      <c r="W2141" s="200">
        <f>_xll.qlCalendarAdvance(Calendar,W2140,V2141,"f",FALSE)</f>
        <v>53898</v>
      </c>
      <c r="X2141" s="203">
        <f>_xll.qlCalendarAdvance(Calendar,W2141,NDays&amp;"D")</f>
        <v>53902</v>
      </c>
      <c r="Y2141" s="204">
        <v>2.1942695702447435E-2</v>
      </c>
      <c r="Z2141" s="201">
        <v>2.1920518573663728E-2</v>
      </c>
    </row>
    <row r="2142" spans="22:26" x14ac:dyDescent="0.2">
      <c r="V2142" s="202" t="str">
        <f t="shared" si="42"/>
        <v>1w</v>
      </c>
      <c r="W2142" s="200">
        <f>_xll.qlCalendarAdvance(Calendar,W2141,V2142,"f",FALSE)</f>
        <v>53905</v>
      </c>
      <c r="X2142" s="203">
        <f>_xll.qlCalendarAdvance(Calendar,W2142,NDays&amp;"D")</f>
        <v>53909</v>
      </c>
      <c r="Y2142" s="204">
        <v>2.194367900620843E-2</v>
      </c>
      <c r="Z2142" s="201">
        <v>2.1921531144570849E-2</v>
      </c>
    </row>
    <row r="2143" spans="22:26" x14ac:dyDescent="0.2">
      <c r="V2143" s="202" t="str">
        <f t="shared" si="42"/>
        <v>1w</v>
      </c>
      <c r="W2143" s="200">
        <f>_xll.qlCalendarAdvance(Calendar,W2142,V2143,"f",FALSE)</f>
        <v>53912</v>
      </c>
      <c r="X2143" s="203">
        <f>_xll.qlCalendarAdvance(Calendar,W2143,NDays&amp;"D")</f>
        <v>53916</v>
      </c>
      <c r="Y2143" s="204">
        <v>2.1944647788050275E-2</v>
      </c>
      <c r="Z2143" s="201">
        <v>2.1922529219873255E-2</v>
      </c>
    </row>
    <row r="2144" spans="22:26" x14ac:dyDescent="0.2">
      <c r="V2144" s="202" t="str">
        <f t="shared" si="42"/>
        <v>1w</v>
      </c>
      <c r="W2144" s="200">
        <f>_xll.qlCalendarAdvance(Calendar,W2143,V2144,"f",FALSE)</f>
        <v>53919</v>
      </c>
      <c r="X2144" s="203">
        <f>_xll.qlCalendarAdvance(Calendar,W2144,NDays&amp;"D")</f>
        <v>53923</v>
      </c>
      <c r="Y2144" s="204">
        <v>2.1945602047978126E-2</v>
      </c>
      <c r="Z2144" s="201">
        <v>2.1923512799730815E-2</v>
      </c>
    </row>
    <row r="2145" spans="22:26" x14ac:dyDescent="0.2">
      <c r="V2145" s="202" t="str">
        <f t="shared" si="42"/>
        <v>1w</v>
      </c>
      <c r="W2145" s="200">
        <f>_xll.qlCalendarAdvance(Calendar,W2144,V2145,"f",FALSE)</f>
        <v>53926</v>
      </c>
      <c r="X2145" s="203">
        <f>_xll.qlCalendarAdvance(Calendar,W2145,NDays&amp;"D")</f>
        <v>53930</v>
      </c>
      <c r="Y2145" s="204">
        <v>2.1946541785979091E-2</v>
      </c>
      <c r="Z2145" s="201">
        <v>2.192448188398366E-2</v>
      </c>
    </row>
    <row r="2146" spans="22:26" x14ac:dyDescent="0.2">
      <c r="V2146" s="202" t="str">
        <f t="shared" si="42"/>
        <v>1w</v>
      </c>
      <c r="W2146" s="200">
        <f>_xll.qlCalendarAdvance(Calendar,W2145,V2146,"f",FALSE)</f>
        <v>53933</v>
      </c>
      <c r="X2146" s="203">
        <f>_xll.qlCalendarAdvance(Calendar,W2146,NDays&amp;"D")</f>
        <v>53937</v>
      </c>
      <c r="Y2146" s="204">
        <v>2.194673357294441E-2</v>
      </c>
      <c r="Z2146" s="201">
        <v>2.1925436472871596E-2</v>
      </c>
    </row>
    <row r="2147" spans="22:26" x14ac:dyDescent="0.2">
      <c r="V2147" s="202" t="str">
        <f t="shared" si="42"/>
        <v>1w</v>
      </c>
      <c r="W2147" s="200">
        <f>_xll.qlCalendarAdvance(Calendar,W2146,V2147,"f",FALSE)</f>
        <v>53940</v>
      </c>
      <c r="X2147" s="203">
        <f>_xll.qlCalendarAdvance(Calendar,W2147,NDays&amp;"D")</f>
        <v>53944</v>
      </c>
      <c r="Y2147" s="204">
        <v>2.1947645248841852E-2</v>
      </c>
      <c r="Z2147" s="201">
        <v>2.1926376566154815E-2</v>
      </c>
    </row>
    <row r="2148" spans="22:26" x14ac:dyDescent="0.2">
      <c r="V2148" s="202" t="str">
        <f t="shared" si="42"/>
        <v>1w</v>
      </c>
      <c r="W2148" s="200">
        <f>_xll.qlCalendarAdvance(Calendar,W2147,V2148,"f",FALSE)</f>
        <v>53947</v>
      </c>
      <c r="X2148" s="203">
        <f>_xll.qlCalendarAdvance(Calendar,W2148,NDays&amp;"D")</f>
        <v>53951</v>
      </c>
      <c r="Y2148" s="204">
        <v>2.1948542403690929E-2</v>
      </c>
      <c r="Z2148" s="201">
        <v>2.192730216399319E-2</v>
      </c>
    </row>
    <row r="2149" spans="22:26" x14ac:dyDescent="0.2">
      <c r="V2149" s="202" t="str">
        <f t="shared" si="42"/>
        <v>1w</v>
      </c>
      <c r="W2149" s="200">
        <f>_xll.qlCalendarAdvance(Calendar,W2148,V2149,"f",FALSE)</f>
        <v>53954</v>
      </c>
      <c r="X2149" s="203">
        <f>_xll.qlCalendarAdvance(Calendar,W2149,NDays&amp;"D")</f>
        <v>53958</v>
      </c>
      <c r="Y2149" s="204">
        <v>2.1949425037486314E-2</v>
      </c>
      <c r="Z2149" s="201">
        <v>2.1928213266466656E-2</v>
      </c>
    </row>
    <row r="2150" spans="22:26" x14ac:dyDescent="0.2">
      <c r="V2150" s="202" t="str">
        <f t="shared" si="42"/>
        <v>1w</v>
      </c>
      <c r="W2150" s="200">
        <f>_xll.qlCalendarAdvance(Calendar,W2149,V2150,"f",FALSE)</f>
        <v>53961</v>
      </c>
      <c r="X2150" s="203">
        <f>_xll.qlCalendarAdvance(Calendar,W2150,NDays&amp;"D")</f>
        <v>53965</v>
      </c>
      <c r="Y2150" s="204">
        <v>2.1951022647047087E-2</v>
      </c>
      <c r="Z2150" s="201">
        <v>2.1929109873335406E-2</v>
      </c>
    </row>
    <row r="2151" spans="22:26" x14ac:dyDescent="0.2">
      <c r="V2151" s="202" t="str">
        <f t="shared" si="42"/>
        <v>1w</v>
      </c>
      <c r="W2151" s="200">
        <f>_xll.qlCalendarAdvance(Calendar,W2150,V2151,"f",FALSE)</f>
        <v>53968</v>
      </c>
      <c r="X2151" s="203">
        <f>_xll.qlCalendarAdvance(Calendar,W2151,NDays&amp;"D")</f>
        <v>53972</v>
      </c>
      <c r="Y2151" s="204">
        <v>2.1951875253445472E-2</v>
      </c>
      <c r="Z2151" s="201">
        <v>2.192999198459944E-2</v>
      </c>
    </row>
    <row r="2152" spans="22:26" x14ac:dyDescent="0.2">
      <c r="V2152" s="202" t="str">
        <f t="shared" si="42"/>
        <v>1w</v>
      </c>
      <c r="W2152" s="200">
        <f>_xll.qlCalendarAdvance(Calendar,W2151,V2152,"f",FALSE)</f>
        <v>53975</v>
      </c>
      <c r="X2152" s="203">
        <f>_xll.qlCalendarAdvance(Calendar,W2152,NDays&amp;"D")</f>
        <v>53979</v>
      </c>
      <c r="Y2152" s="204">
        <v>2.1952713337898923E-2</v>
      </c>
      <c r="Z2152" s="201">
        <v>2.1930859600578501E-2</v>
      </c>
    </row>
    <row r="2153" spans="22:26" x14ac:dyDescent="0.2">
      <c r="V2153" s="202" t="str">
        <f t="shared" si="42"/>
        <v>1w</v>
      </c>
      <c r="W2153" s="200">
        <f>_xll.qlCalendarAdvance(Calendar,W2152,V2153,"f",FALSE)</f>
        <v>53982</v>
      </c>
      <c r="X2153" s="203">
        <f>_xll.qlCalendarAdvance(Calendar,W2153,NDays&amp;"D")</f>
        <v>53986</v>
      </c>
      <c r="Y2153" s="204">
        <v>2.1953536900402276E-2</v>
      </c>
      <c r="Z2153" s="201">
        <v>2.1931712721032781E-2</v>
      </c>
    </row>
    <row r="2154" spans="22:26" x14ac:dyDescent="0.2">
      <c r="V2154" s="202" t="str">
        <f t="shared" si="42"/>
        <v>1w</v>
      </c>
      <c r="W2154" s="200">
        <f>_xll.qlCalendarAdvance(Calendar,W2153,V2154,"f",FALSE)</f>
        <v>53989</v>
      </c>
      <c r="X2154" s="203">
        <f>_xll.qlCalendarAdvance(Calendar,W2154,NDays&amp;"D")</f>
        <v>53993</v>
      </c>
      <c r="Y2154" s="204">
        <v>2.1954345940958117E-2</v>
      </c>
      <c r="Z2154" s="201">
        <v>2.1932551345882345E-2</v>
      </c>
    </row>
    <row r="2155" spans="22:26" x14ac:dyDescent="0.2">
      <c r="V2155" s="202" t="str">
        <f t="shared" si="42"/>
        <v>1w</v>
      </c>
      <c r="W2155" s="200">
        <f>_xll.qlCalendarAdvance(Calendar,W2154,V2155,"f",FALSE)</f>
        <v>53996</v>
      </c>
      <c r="X2155" s="203">
        <f>_xll.qlCalendarAdvance(Calendar,W2155,NDays&amp;"D")</f>
        <v>54000</v>
      </c>
      <c r="Y2155" s="204">
        <v>2.1954415897968538E-2</v>
      </c>
      <c r="Z2155" s="201">
        <v>2.1933375475287065E-2</v>
      </c>
    </row>
    <row r="2156" spans="22:26" x14ac:dyDescent="0.2">
      <c r="V2156" s="202" t="str">
        <f t="shared" si="42"/>
        <v>1w</v>
      </c>
      <c r="W2156" s="200">
        <f>_xll.qlCalendarAdvance(Calendar,W2155,V2156,"f",FALSE)</f>
        <v>54003</v>
      </c>
      <c r="X2156" s="203">
        <f>_xll.qlCalendarAdvance(Calendar,W2156,NDays&amp;"D")</f>
        <v>54007</v>
      </c>
      <c r="Y2156" s="204">
        <v>2.1955196884302808E-2</v>
      </c>
      <c r="Z2156" s="201">
        <v>2.1934185109326876E-2</v>
      </c>
    </row>
    <row r="2157" spans="22:26" x14ac:dyDescent="0.2">
      <c r="V2157" s="202" t="str">
        <f t="shared" si="42"/>
        <v>1w</v>
      </c>
      <c r="W2157" s="200">
        <f>_xll.qlCalendarAdvance(Calendar,W2156,V2157,"f",FALSE)</f>
        <v>54010</v>
      </c>
      <c r="X2157" s="203">
        <f>_xll.qlCalendarAdvance(Calendar,W2157,NDays&amp;"D")</f>
        <v>54014</v>
      </c>
      <c r="Y2157" s="204">
        <v>2.1955963349564733E-2</v>
      </c>
      <c r="Z2157" s="201">
        <v>2.193498024776197E-2</v>
      </c>
    </row>
    <row r="2158" spans="22:26" x14ac:dyDescent="0.2">
      <c r="V2158" s="202" t="str">
        <f t="shared" si="42"/>
        <v>1w</v>
      </c>
      <c r="W2158" s="200">
        <f>_xll.qlCalendarAdvance(Calendar,W2157,V2158,"f",FALSE)</f>
        <v>54017</v>
      </c>
      <c r="X2158" s="203">
        <f>_xll.qlCalendarAdvance(Calendar,W2158,NDays&amp;"D")</f>
        <v>54021</v>
      </c>
      <c r="Y2158" s="204">
        <v>2.1958158408220407E-2</v>
      </c>
      <c r="Z2158" s="201">
        <v>2.1935760890672285E-2</v>
      </c>
    </row>
    <row r="2159" spans="22:26" x14ac:dyDescent="0.2">
      <c r="V2159" s="202" t="str">
        <f t="shared" si="42"/>
        <v>1w</v>
      </c>
      <c r="W2159" s="200">
        <f>_xll.qlCalendarAdvance(Calendar,W2158,V2159,"f",FALSE)</f>
        <v>54024</v>
      </c>
      <c r="X2159" s="203">
        <f>_xll.qlCalendarAdvance(Calendar,W2159,NDays&amp;"D")</f>
        <v>54028</v>
      </c>
      <c r="Y2159" s="204">
        <v>2.1958173314341502E-2</v>
      </c>
      <c r="Z2159" s="201">
        <v>2.193652703821769E-2</v>
      </c>
    </row>
    <row r="2160" spans="22:26" x14ac:dyDescent="0.2">
      <c r="V2160" s="202" t="str">
        <f t="shared" si="42"/>
        <v>1w</v>
      </c>
      <c r="W2160" s="200">
        <f>_xll.qlCalendarAdvance(Calendar,W2159,V2160,"f",FALSE)</f>
        <v>54031</v>
      </c>
      <c r="X2160" s="203">
        <f>_xll.qlCalendarAdvance(Calendar,W2160,NDays&amp;"D")</f>
        <v>54035</v>
      </c>
      <c r="Y2160" s="204">
        <v>2.1958895223121999E-2</v>
      </c>
      <c r="Z2160" s="201">
        <v>2.1937278690318252E-2</v>
      </c>
    </row>
    <row r="2161" spans="22:26" x14ac:dyDescent="0.2">
      <c r="V2161" s="202" t="str">
        <f t="shared" si="42"/>
        <v>1w</v>
      </c>
      <c r="W2161" s="200">
        <f>_xll.qlCalendarAdvance(Calendar,W2160,V2161,"f",FALSE)</f>
        <v>54038</v>
      </c>
      <c r="X2161" s="203">
        <f>_xll.qlCalendarAdvance(Calendar,W2161,NDays&amp;"D")</f>
        <v>54042</v>
      </c>
      <c r="Y2161" s="204">
        <v>2.1959602609931773E-2</v>
      </c>
      <c r="Z2161" s="201">
        <v>2.193801584673416E-2</v>
      </c>
    </row>
    <row r="2162" spans="22:26" x14ac:dyDescent="0.2">
      <c r="V2162" s="202" t="str">
        <f t="shared" si="42"/>
        <v>1w</v>
      </c>
      <c r="W2162" s="200">
        <f>_xll.qlCalendarAdvance(Calendar,W2161,V2162,"f",FALSE)</f>
        <v>54045</v>
      </c>
      <c r="X2162" s="203">
        <f>_xll.qlCalendarAdvance(Calendar,W2162,NDays&amp;"D")</f>
        <v>54049</v>
      </c>
      <c r="Y2162" s="204">
        <v>2.1960295474763088E-2</v>
      </c>
      <c r="Z2162" s="201">
        <v>2.1938738507705224E-2</v>
      </c>
    </row>
    <row r="2163" spans="22:26" x14ac:dyDescent="0.2">
      <c r="V2163" s="202" t="str">
        <f t="shared" si="42"/>
        <v>1w</v>
      </c>
      <c r="W2163" s="200">
        <f>_xll.qlCalendarAdvance(Calendar,W2162,V2163,"f",FALSE)</f>
        <v>54053</v>
      </c>
      <c r="X2163" s="203">
        <f>_xll.qlCalendarAdvance(Calendar,W2163,NDays&amp;"D")</f>
        <v>54057</v>
      </c>
      <c r="Y2163" s="204">
        <v>2.1961069538275729E-2</v>
      </c>
      <c r="Z2163" s="201">
        <v>2.1940265036128892E-2</v>
      </c>
    </row>
    <row r="2164" spans="22:26" x14ac:dyDescent="0.2">
      <c r="V2164" s="202" t="str">
        <f t="shared" si="42"/>
        <v>1w</v>
      </c>
      <c r="W2164" s="200">
        <f>_xll.qlCalendarAdvance(Calendar,W2163,V2164,"f",FALSE)</f>
        <v>54060</v>
      </c>
      <c r="X2164" s="203">
        <f>_xll.qlCalendarAdvance(Calendar,W2164,NDays&amp;"D")</f>
        <v>54064</v>
      </c>
      <c r="Y2164" s="204">
        <v>2.1961731284582515E-2</v>
      </c>
      <c r="Z2164" s="201">
        <v>2.1940238255631073E-2</v>
      </c>
    </row>
    <row r="2165" spans="22:26" x14ac:dyDescent="0.2">
      <c r="V2165" s="202" t="str">
        <f t="shared" si="42"/>
        <v>1w</v>
      </c>
      <c r="W2165" s="200">
        <f>_xll.qlCalendarAdvance(Calendar,W2164,V2165,"f",FALSE)</f>
        <v>54067</v>
      </c>
      <c r="X2165" s="203">
        <f>_xll.qlCalendarAdvance(Calendar,W2165,NDays&amp;"D")</f>
        <v>54071</v>
      </c>
      <c r="Y2165" s="204">
        <v>2.1962378508910838E-2</v>
      </c>
      <c r="Z2165" s="201">
        <v>2.1940915359444091E-2</v>
      </c>
    </row>
    <row r="2166" spans="22:26" x14ac:dyDescent="0.2">
      <c r="V2166" s="202" t="str">
        <f t="shared" si="42"/>
        <v>1w</v>
      </c>
      <c r="W2166" s="200">
        <f>_xll.qlCalendarAdvance(Calendar,W2165,V2166,"f",FALSE)</f>
        <v>54074</v>
      </c>
      <c r="X2166" s="203">
        <f>_xll.qlCalendarAdvance(Calendar,W2166,NDays&amp;"D")</f>
        <v>54078</v>
      </c>
      <c r="Y2166" s="204">
        <v>2.1963011211255549E-2</v>
      </c>
      <c r="Z2166" s="201">
        <v>2.1941577967732329E-2</v>
      </c>
    </row>
    <row r="2167" spans="22:26" x14ac:dyDescent="0.2">
      <c r="V2167" s="202" t="str">
        <f t="shared" si="42"/>
        <v>1w</v>
      </c>
      <c r="W2167" s="200">
        <f>_xll.qlCalendarAdvance(Calendar,W2166,V2167,"f",FALSE)</f>
        <v>54081</v>
      </c>
      <c r="X2167" s="203">
        <f>_xll.qlCalendarAdvance(Calendar,W2167,NDays&amp;"D")</f>
        <v>54085</v>
      </c>
      <c r="Y2167" s="204">
        <v>2.1963629391603751E-2</v>
      </c>
      <c r="Z2167" s="201">
        <v>2.1942226080495786E-2</v>
      </c>
    </row>
    <row r="2168" spans="22:26" x14ac:dyDescent="0.2">
      <c r="V2168" s="202" t="str">
        <f t="shared" si="42"/>
        <v>1w</v>
      </c>
      <c r="W2168" s="200">
        <f>_xll.qlCalendarAdvance(Calendar,W2167,V2168,"f",FALSE)</f>
        <v>54088</v>
      </c>
      <c r="X2168" s="203">
        <f>_xll.qlCalendarAdvance(Calendar,W2168,NDays&amp;"D")</f>
        <v>54092</v>
      </c>
      <c r="Y2168" s="204">
        <v>2.1962810016235127E-2</v>
      </c>
      <c r="Z2168" s="201">
        <v>2.1942859697814399E-2</v>
      </c>
    </row>
    <row r="2169" spans="22:26" x14ac:dyDescent="0.2">
      <c r="V2169" s="202" t="str">
        <f t="shared" si="42"/>
        <v>1w</v>
      </c>
      <c r="W2169" s="200">
        <f>_xll.qlCalendarAdvance(Calendar,W2168,V2169,"f",FALSE)</f>
        <v>54095</v>
      </c>
      <c r="X2169" s="203">
        <f>_xll.qlCalendarAdvance(Calendar,W2169,NDays&amp;"D")</f>
        <v>54099</v>
      </c>
      <c r="Y2169" s="204">
        <v>2.1963401155102636E-2</v>
      </c>
      <c r="Z2169" s="201">
        <v>2.1943478819608231E-2</v>
      </c>
    </row>
    <row r="2170" spans="22:26" x14ac:dyDescent="0.2">
      <c r="V2170" s="202" t="str">
        <f t="shared" si="42"/>
        <v>1w</v>
      </c>
      <c r="W2170" s="200">
        <f>_xll.qlCalendarAdvance(Calendar,W2169,V2170,"f",FALSE)</f>
        <v>54102</v>
      </c>
      <c r="X2170" s="203">
        <f>_xll.qlCalendarAdvance(Calendar,W2170,NDays&amp;"D")</f>
        <v>54106</v>
      </c>
      <c r="Y2170" s="204">
        <v>2.1963977773753397E-2</v>
      </c>
      <c r="Z2170" s="201">
        <v>2.1944083445877283E-2</v>
      </c>
    </row>
    <row r="2171" spans="22:26" x14ac:dyDescent="0.2">
      <c r="V2171" s="202" t="str">
        <f t="shared" si="42"/>
        <v>1w</v>
      </c>
      <c r="W2171" s="200">
        <f>_xll.qlCalendarAdvance(Calendar,W2170,V2171,"f",FALSE)</f>
        <v>54109</v>
      </c>
      <c r="X2171" s="203">
        <f>_xll.qlCalendarAdvance(Calendar,W2171,NDays&amp;"D")</f>
        <v>54113</v>
      </c>
      <c r="Y2171" s="204">
        <v>2.196453987217362E-2</v>
      </c>
      <c r="Z2171" s="201">
        <v>2.194467357670149E-2</v>
      </c>
    </row>
    <row r="2172" spans="22:26" x14ac:dyDescent="0.2">
      <c r="V2172" s="202" t="str">
        <f t="shared" si="42"/>
        <v>1w</v>
      </c>
      <c r="W2172" s="200">
        <f>_xll.qlCalendarAdvance(Calendar,W2171,V2172,"f",FALSE)</f>
        <v>54116</v>
      </c>
      <c r="X2172" s="203">
        <f>_xll.qlCalendarAdvance(Calendar,W2172,NDays&amp;"D")</f>
        <v>54120</v>
      </c>
      <c r="Y2172" s="204">
        <v>2.1969331685951943E-2</v>
      </c>
      <c r="Z2172" s="201">
        <v>2.1945249212160789E-2</v>
      </c>
    </row>
    <row r="2173" spans="22:26" x14ac:dyDescent="0.2">
      <c r="V2173" s="202" t="str">
        <f t="shared" si="42"/>
        <v>1w</v>
      </c>
      <c r="W2173" s="200">
        <f>_xll.qlCalendarAdvance(Calendar,W2172,V2173,"f",FALSE)</f>
        <v>54123</v>
      </c>
      <c r="X2173" s="203">
        <f>_xll.qlCalendarAdvance(Calendar,W2173,NDays&amp;"D")</f>
        <v>54127</v>
      </c>
      <c r="Y2173" s="204">
        <v>2.1967033511872E-2</v>
      </c>
      <c r="Z2173" s="201">
        <v>2.1945810351855499E-2</v>
      </c>
    </row>
    <row r="2174" spans="22:26" x14ac:dyDescent="0.2">
      <c r="V2174" s="202" t="str">
        <f t="shared" si="42"/>
        <v>1w</v>
      </c>
      <c r="W2174" s="200">
        <f>_xll.qlCalendarAdvance(Calendar,W2173,V2174,"f",FALSE)</f>
        <v>54130</v>
      </c>
      <c r="X2174" s="203">
        <f>_xll.qlCalendarAdvance(Calendar,W2174,NDays&amp;"D")</f>
        <v>54134</v>
      </c>
      <c r="Y2174" s="204">
        <v>2.1967550038252376E-2</v>
      </c>
      <c r="Z2174" s="201">
        <v>2.1946356996185301E-2</v>
      </c>
    </row>
    <row r="2175" spans="22:26" x14ac:dyDescent="0.2">
      <c r="V2175" s="202" t="str">
        <f t="shared" si="42"/>
        <v>1w</v>
      </c>
      <c r="W2175" s="200">
        <f>_xll.qlCalendarAdvance(Calendar,W2174,V2175,"f",FALSE)</f>
        <v>54137</v>
      </c>
      <c r="X2175" s="203">
        <f>_xll.qlCalendarAdvance(Calendar,W2175,NDays&amp;"D")</f>
        <v>54141</v>
      </c>
      <c r="Y2175" s="204">
        <v>2.1968052042631088E-2</v>
      </c>
      <c r="Z2175" s="201">
        <v>2.1946889145070259E-2</v>
      </c>
    </row>
    <row r="2176" spans="22:26" x14ac:dyDescent="0.2">
      <c r="V2176" s="202" t="str">
        <f t="shared" si="42"/>
        <v>1w</v>
      </c>
      <c r="W2176" s="200">
        <f>_xll.qlCalendarAdvance(Calendar,W2175,V2176,"f",FALSE)</f>
        <v>54144</v>
      </c>
      <c r="X2176" s="203">
        <f>_xll.qlCalendarAdvance(Calendar,W2176,NDays&amp;"D")</f>
        <v>54148</v>
      </c>
      <c r="Y2176" s="204">
        <v>2.1967836076627556E-2</v>
      </c>
      <c r="Z2176" s="201">
        <v>2.1947406798510372E-2</v>
      </c>
    </row>
    <row r="2177" spans="22:26" x14ac:dyDescent="0.2">
      <c r="V2177" s="202" t="str">
        <f t="shared" si="42"/>
        <v>1w</v>
      </c>
      <c r="W2177" s="200">
        <f>_xll.qlCalendarAdvance(Calendar,W2176,V2177,"f",FALSE)</f>
        <v>54155</v>
      </c>
      <c r="X2177" s="203">
        <f>_xll.qlCalendarAdvance(Calendar,W2177,NDays&amp;"D")</f>
        <v>54157</v>
      </c>
      <c r="Y2177" s="204">
        <v>2.196984703367294E-2</v>
      </c>
      <c r="Z2177" s="201">
        <v>2.1948051053239936E-2</v>
      </c>
    </row>
    <row r="2178" spans="22:26" x14ac:dyDescent="0.2">
      <c r="V2178" s="202" t="str">
        <f t="shared" si="42"/>
        <v>1w</v>
      </c>
      <c r="W2178" s="200">
        <f>_xll.qlCalendarAdvance(Calendar,W2177,V2178,"f",FALSE)</f>
        <v>54162</v>
      </c>
      <c r="X2178" s="203">
        <f>_xll.qlCalendarAdvance(Calendar,W2178,NDays&amp;"D")</f>
        <v>54164</v>
      </c>
      <c r="Y2178" s="204">
        <v>2.1970300313226832E-2</v>
      </c>
      <c r="Z2178" s="201">
        <v>2.1948535574063399E-2</v>
      </c>
    </row>
    <row r="2179" spans="22:26" x14ac:dyDescent="0.2">
      <c r="V2179" s="202" t="str">
        <f t="shared" si="42"/>
        <v>1w</v>
      </c>
      <c r="W2179" s="200">
        <f>_xll.qlCalendarAdvance(Calendar,W2178,V2179,"f",FALSE)</f>
        <v>54169</v>
      </c>
      <c r="X2179" s="203">
        <f>_xll.qlCalendarAdvance(Calendar,W2179,NDays&amp;"D")</f>
        <v>54171</v>
      </c>
      <c r="Y2179" s="204">
        <v>2.1970739069887835E-2</v>
      </c>
      <c r="Z2179" s="201">
        <v>2.1949005599442017E-2</v>
      </c>
    </row>
    <row r="2180" spans="22:26" x14ac:dyDescent="0.2">
      <c r="V2180" s="202" t="str">
        <f t="shared" si="42"/>
        <v>1w</v>
      </c>
      <c r="W2180" s="200">
        <f>_xll.qlCalendarAdvance(Calendar,W2179,V2180,"f",FALSE)</f>
        <v>54176</v>
      </c>
      <c r="X2180" s="203">
        <f>_xll.qlCalendarAdvance(Calendar,W2180,NDays&amp;"D")</f>
        <v>54178</v>
      </c>
      <c r="Y2180" s="204">
        <v>2.1969065942233048E-2</v>
      </c>
      <c r="Z2180" s="201">
        <v>2.1951564182927097E-2</v>
      </c>
    </row>
    <row r="2181" spans="22:26" x14ac:dyDescent="0.2">
      <c r="V2181" s="202" t="str">
        <f t="shared" si="42"/>
        <v>1w</v>
      </c>
      <c r="W2181" s="200">
        <f>_xll.qlCalendarAdvance(Calendar,W2180,V2181,"f",FALSE)</f>
        <v>54183</v>
      </c>
      <c r="X2181" s="203">
        <f>_xll.qlCalendarAdvance(Calendar,W2181,NDays&amp;"D")</f>
        <v>54185</v>
      </c>
      <c r="Y2181" s="204">
        <v>2.1971573014506196E-2</v>
      </c>
      <c r="Z2181" s="201">
        <v>2.1949902163544976E-2</v>
      </c>
    </row>
    <row r="2182" spans="22:26" x14ac:dyDescent="0.2">
      <c r="V2182" s="202" t="str">
        <f t="shared" si="42"/>
        <v>1w</v>
      </c>
      <c r="W2182" s="200">
        <f>_xll.qlCalendarAdvance(Calendar,W2181,V2182,"f",FALSE)</f>
        <v>54190</v>
      </c>
      <c r="X2182" s="203">
        <f>_xll.qlCalendarAdvance(Calendar,W2182,NDays&amp;"D")</f>
        <v>54192</v>
      </c>
      <c r="Y2182" s="204">
        <v>2.1971968202466052E-2</v>
      </c>
      <c r="Z2182" s="201">
        <v>2.1950328702429189E-2</v>
      </c>
    </row>
    <row r="2183" spans="22:26" x14ac:dyDescent="0.2">
      <c r="V2183" s="202" t="str">
        <f t="shared" si="42"/>
        <v>1w</v>
      </c>
      <c r="W2183" s="200">
        <f>_xll.qlCalendarAdvance(Calendar,W2182,V2183,"f",FALSE)</f>
        <v>54197</v>
      </c>
      <c r="X2183" s="203">
        <f>_xll.qlCalendarAdvance(Calendar,W2183,NDays&amp;"D")</f>
        <v>54199</v>
      </c>
      <c r="Y2183" s="204">
        <v>2.197234886752053E-2</v>
      </c>
      <c r="Z2183" s="201">
        <v>2.1950740745788622E-2</v>
      </c>
    </row>
    <row r="2184" spans="22:26" x14ac:dyDescent="0.2">
      <c r="V2184" s="202" t="str">
        <f t="shared" si="42"/>
        <v>1w</v>
      </c>
      <c r="W2184" s="200">
        <f>_xll.qlCalendarAdvance(Calendar,W2183,V2184,"f",FALSE)</f>
        <v>54204</v>
      </c>
      <c r="X2184" s="203">
        <f>_xll.qlCalendarAdvance(Calendar,W2184,NDays&amp;"D")</f>
        <v>54206</v>
      </c>
      <c r="Y2184" s="204">
        <v>2.1972715009672128E-2</v>
      </c>
      <c r="Z2184" s="201">
        <v>2.1951138293623274E-2</v>
      </c>
    </row>
    <row r="2185" spans="22:26" x14ac:dyDescent="0.2">
      <c r="V2185" s="202" t="str">
        <f t="shared" si="42"/>
        <v>1w</v>
      </c>
      <c r="W2185" s="200">
        <f>_xll.qlCalendarAdvance(Calendar,W2184,V2185,"f",FALSE)</f>
        <v>54211</v>
      </c>
      <c r="X2185" s="203">
        <f>_xll.qlCalendarAdvance(Calendar,W2185,NDays&amp;"D")</f>
        <v>54213</v>
      </c>
      <c r="Y2185" s="204">
        <v>2.1973066628913351E-2</v>
      </c>
      <c r="Z2185" s="201">
        <v>2.1951521346013081E-2</v>
      </c>
    </row>
    <row r="2186" spans="22:26" x14ac:dyDescent="0.2">
      <c r="V2186" s="202" t="str">
        <f t="shared" si="42"/>
        <v>1w</v>
      </c>
      <c r="W2186" s="200">
        <f>_xll.qlCalendarAdvance(Calendar,W2185,V2186,"f",FALSE)</f>
        <v>54218</v>
      </c>
      <c r="X2186" s="203">
        <f>_xll.qlCalendarAdvance(Calendar,W2186,NDays&amp;"D")</f>
        <v>54220</v>
      </c>
      <c r="Y2186" s="204">
        <v>2.1973403725249196E-2</v>
      </c>
      <c r="Z2186" s="201">
        <v>2.1951889902958044E-2</v>
      </c>
    </row>
    <row r="2187" spans="22:26" x14ac:dyDescent="0.2">
      <c r="V2187" s="202" t="str">
        <f t="shared" si="42"/>
        <v>1w</v>
      </c>
      <c r="W2187" s="200">
        <f>_xll.qlCalendarAdvance(Calendar,W2186,V2187,"f",FALSE)</f>
        <v>54225</v>
      </c>
      <c r="X2187" s="203">
        <f>_xll.qlCalendarAdvance(Calendar,W2187,NDays&amp;"D")</f>
        <v>54227</v>
      </c>
      <c r="Y2187" s="204">
        <v>2.1973726298679663E-2</v>
      </c>
      <c r="Z2187" s="201">
        <v>2.1952243964378226E-2</v>
      </c>
    </row>
    <row r="2188" spans="22:26" x14ac:dyDescent="0.2">
      <c r="V2188" s="202" t="str">
        <f t="shared" si="42"/>
        <v>1w</v>
      </c>
      <c r="W2188" s="200">
        <f>_xll.qlCalendarAdvance(Calendar,W2187,V2188,"f",FALSE)</f>
        <v>54232</v>
      </c>
      <c r="X2188" s="203">
        <f>_xll.qlCalendarAdvance(Calendar,W2188,NDays&amp;"D")</f>
        <v>54234</v>
      </c>
      <c r="Y2188" s="204">
        <v>2.1974034349192262E-2</v>
      </c>
      <c r="Z2188" s="201">
        <v>2.1952583530193692E-2</v>
      </c>
    </row>
    <row r="2189" spans="22:26" x14ac:dyDescent="0.2">
      <c r="V2189" s="202" t="str">
        <f t="shared" si="42"/>
        <v>1w</v>
      </c>
      <c r="W2189" s="200">
        <f>_xll.qlCalendarAdvance(Calendar,W2188,V2189,"f",FALSE)</f>
        <v>54239</v>
      </c>
      <c r="X2189" s="203">
        <f>_xll.qlCalendarAdvance(Calendar,W2189,NDays&amp;"D")</f>
        <v>54241</v>
      </c>
      <c r="Y2189" s="204">
        <v>2.197432787680198E-2</v>
      </c>
      <c r="Z2189" s="201">
        <v>2.195290860064425E-2</v>
      </c>
    </row>
    <row r="2190" spans="22:26" x14ac:dyDescent="0.2">
      <c r="V2190" s="202" t="str">
        <f t="shared" si="42"/>
        <v>1w</v>
      </c>
      <c r="W2190" s="200">
        <f>_xll.qlCalendarAdvance(Calendar,W2189,V2190,"f",FALSE)</f>
        <v>54246</v>
      </c>
      <c r="X2190" s="203">
        <f>_xll.qlCalendarAdvance(Calendar,W2190,NDays&amp;"D")</f>
        <v>54248</v>
      </c>
      <c r="Y2190" s="204">
        <v>2.197460688149383E-2</v>
      </c>
      <c r="Z2190" s="201">
        <v>2.1953219175570027E-2</v>
      </c>
    </row>
    <row r="2191" spans="22:26" x14ac:dyDescent="0.2">
      <c r="V2191" s="202" t="str">
        <f t="shared" si="42"/>
        <v>1w</v>
      </c>
      <c r="W2191" s="200">
        <f>_xll.qlCalendarAdvance(Calendar,W2190,V2191,"f",FALSE)</f>
        <v>54253</v>
      </c>
      <c r="X2191" s="203">
        <f>_xll.qlCalendarAdvance(Calendar,W2191,NDays&amp;"D")</f>
        <v>54255</v>
      </c>
      <c r="Y2191" s="204">
        <v>2.197487136327031E-2</v>
      </c>
      <c r="Z2191" s="201">
        <v>2.1953515254971023E-2</v>
      </c>
    </row>
    <row r="2192" spans="22:26" x14ac:dyDescent="0.2">
      <c r="V2192" s="202" t="str">
        <f t="shared" si="42"/>
        <v>1w</v>
      </c>
      <c r="W2192" s="200">
        <f>_xll.qlCalendarAdvance(Calendar,W2191,V2192,"f",FALSE)</f>
        <v>54260</v>
      </c>
      <c r="X2192" s="203">
        <f>_xll.qlCalendarAdvance(Calendar,W2192,NDays&amp;"D")</f>
        <v>54262</v>
      </c>
      <c r="Y2192" s="204">
        <v>2.1975121322133917E-2</v>
      </c>
      <c r="Z2192" s="201">
        <v>2.1953796838927175E-2</v>
      </c>
    </row>
    <row r="2193" spans="22:26" x14ac:dyDescent="0.2">
      <c r="V2193" s="202" t="str">
        <f t="shared" si="42"/>
        <v>1w</v>
      </c>
      <c r="W2193" s="200">
        <f>_xll.qlCalendarAdvance(Calendar,W2192,V2193,"f",FALSE)</f>
        <v>54267</v>
      </c>
      <c r="X2193" s="203">
        <f>_xll.qlCalendarAdvance(Calendar,W2193,NDays&amp;"D")</f>
        <v>54269</v>
      </c>
      <c r="Y2193" s="204">
        <v>2.197535675808715E-2</v>
      </c>
      <c r="Z2193" s="201">
        <v>2.1954063927438483E-2</v>
      </c>
    </row>
    <row r="2194" spans="22:26" x14ac:dyDescent="0.2">
      <c r="V2194" s="202" t="str">
        <f t="shared" si="42"/>
        <v>1w</v>
      </c>
      <c r="W2194" s="200">
        <f>_xll.qlCalendarAdvance(Calendar,W2193,V2194,"f",FALSE)</f>
        <v>54274</v>
      </c>
      <c r="X2194" s="203">
        <f>_xll.qlCalendarAdvance(Calendar,W2194,NDays&amp;"D")</f>
        <v>54276</v>
      </c>
      <c r="Y2194" s="204">
        <v>2.1975577671120017E-2</v>
      </c>
      <c r="Z2194" s="201">
        <v>2.195431652042501E-2</v>
      </c>
    </row>
    <row r="2195" spans="22:26" x14ac:dyDescent="0.2">
      <c r="V2195" s="202" t="str">
        <f t="shared" si="42"/>
        <v>1w</v>
      </c>
      <c r="W2195" s="200">
        <f>_xll.qlCalendarAdvance(Calendar,W2194,V2195,"f",FALSE)</f>
        <v>54281</v>
      </c>
      <c r="X2195" s="203">
        <f>_xll.qlCalendarAdvance(Calendar,W2195,NDays&amp;"D")</f>
        <v>54283</v>
      </c>
      <c r="Y2195" s="204">
        <v>2.1975784061235015E-2</v>
      </c>
      <c r="Z2195" s="201">
        <v>2.1954554617806821E-2</v>
      </c>
    </row>
    <row r="2196" spans="22:26" x14ac:dyDescent="0.2">
      <c r="V2196" s="202" t="str">
        <f t="shared" si="42"/>
        <v>1w</v>
      </c>
      <c r="W2196" s="200">
        <f>_xll.qlCalendarAdvance(Calendar,W2195,V2196,"f",FALSE)</f>
        <v>54288</v>
      </c>
      <c r="X2196" s="203">
        <f>_xll.qlCalendarAdvance(Calendar,W2196,NDays&amp;"D")</f>
        <v>54290</v>
      </c>
      <c r="Y2196" s="204">
        <v>2.1975975928429647E-2</v>
      </c>
      <c r="Z2196" s="201">
        <v>2.1954778219823723E-2</v>
      </c>
    </row>
    <row r="2197" spans="22:26" x14ac:dyDescent="0.2">
      <c r="V2197" s="202" t="str">
        <f t="shared" ref="V2197:V2260" si="43">V2196</f>
        <v>1w</v>
      </c>
      <c r="W2197" s="200">
        <f>_xll.qlCalendarAdvance(Calendar,W2196,V2197,"f",FALSE)</f>
        <v>54295</v>
      </c>
      <c r="X2197" s="203">
        <f>_xll.qlCalendarAdvance(Calendar,W2197,NDays&amp;"D")</f>
        <v>54297</v>
      </c>
      <c r="Y2197" s="204">
        <v>2.1976153272711407E-2</v>
      </c>
      <c r="Z2197" s="201">
        <v>2.1954987326315845E-2</v>
      </c>
    </row>
    <row r="2198" spans="22:26" x14ac:dyDescent="0.2">
      <c r="V2198" s="202" t="str">
        <f t="shared" si="43"/>
        <v>1w</v>
      </c>
      <c r="W2198" s="200">
        <f>_xll.qlCalendarAdvance(Calendar,W2197,V2198,"f",FALSE)</f>
        <v>54302</v>
      </c>
      <c r="X2198" s="203">
        <f>_xll.qlCalendarAdvance(Calendar,W2198,NDays&amp;"D")</f>
        <v>54304</v>
      </c>
      <c r="Y2198" s="204">
        <v>2.1976316094070303E-2</v>
      </c>
      <c r="Z2198" s="201">
        <v>2.1955181937283186E-2</v>
      </c>
    </row>
    <row r="2199" spans="22:26" x14ac:dyDescent="0.2">
      <c r="V2199" s="202" t="str">
        <f t="shared" si="43"/>
        <v>1w</v>
      </c>
      <c r="W2199" s="200">
        <f>_xll.qlCalendarAdvance(Calendar,W2198,V2199,"f",FALSE)</f>
        <v>54309</v>
      </c>
      <c r="X2199" s="203">
        <f>_xll.qlCalendarAdvance(Calendar,W2199,NDays&amp;"D")</f>
        <v>54311</v>
      </c>
      <c r="Y2199" s="204">
        <v>2.1976464392506334E-2</v>
      </c>
      <c r="Z2199" s="201">
        <v>2.1955362052725746E-2</v>
      </c>
    </row>
    <row r="2200" spans="22:26" x14ac:dyDescent="0.2">
      <c r="V2200" s="202" t="str">
        <f t="shared" si="43"/>
        <v>1w</v>
      </c>
      <c r="W2200" s="200">
        <f>_xll.qlCalendarAdvance(Calendar,W2199,V2200,"f",FALSE)</f>
        <v>54316</v>
      </c>
      <c r="X2200" s="203">
        <f>_xll.qlCalendarAdvance(Calendar,W2200,NDays&amp;"D")</f>
        <v>54318</v>
      </c>
      <c r="Y2200" s="204">
        <v>2.1976598168024497E-2</v>
      </c>
      <c r="Z2200" s="201">
        <v>2.1955527672803399E-2</v>
      </c>
    </row>
    <row r="2201" spans="22:26" x14ac:dyDescent="0.2">
      <c r="V2201" s="202" t="str">
        <f t="shared" si="43"/>
        <v>1w</v>
      </c>
      <c r="W2201" s="200">
        <f>_xll.qlCalendarAdvance(Calendar,W2200,V2201,"f",FALSE)</f>
        <v>54323</v>
      </c>
      <c r="X2201" s="203">
        <f>_xll.qlCalendarAdvance(Calendar,W2201,NDays&amp;"D")</f>
        <v>54325</v>
      </c>
      <c r="Y2201" s="204">
        <v>2.1976717420622294E-2</v>
      </c>
      <c r="Z2201" s="201">
        <v>2.1955678797276335E-2</v>
      </c>
    </row>
    <row r="2202" spans="22:26" x14ac:dyDescent="0.2">
      <c r="V2202" s="202" t="str">
        <f t="shared" si="43"/>
        <v>1w</v>
      </c>
      <c r="W2202" s="200">
        <f>_xll.qlCalendarAdvance(Calendar,W2201,V2202,"f",FALSE)</f>
        <v>54330</v>
      </c>
      <c r="X2202" s="203">
        <f>_xll.qlCalendarAdvance(Calendar,W2202,NDays&amp;"D")</f>
        <v>54332</v>
      </c>
      <c r="Y2202" s="204">
        <v>2.1976822150299724E-2</v>
      </c>
      <c r="Z2202" s="201">
        <v>2.195581542622449E-2</v>
      </c>
    </row>
    <row r="2203" spans="22:26" x14ac:dyDescent="0.2">
      <c r="V2203" s="202" t="str">
        <f t="shared" si="43"/>
        <v>1w</v>
      </c>
      <c r="W2203" s="200">
        <f>_xll.qlCalendarAdvance(Calendar,W2202,V2203,"f",FALSE)</f>
        <v>54337</v>
      </c>
      <c r="X2203" s="203">
        <f>_xll.qlCalendarAdvance(Calendar,W2203,NDays&amp;"D")</f>
        <v>54339</v>
      </c>
      <c r="Y2203" s="204">
        <v>2.1976912357049294E-2</v>
      </c>
      <c r="Z2203" s="201">
        <v>2.1955937559807737E-2</v>
      </c>
    </row>
    <row r="2204" spans="22:26" x14ac:dyDescent="0.2">
      <c r="V2204" s="202" t="str">
        <f t="shared" si="43"/>
        <v>1w</v>
      </c>
      <c r="W2204" s="200">
        <f>_xll.qlCalendarAdvance(Calendar,W2203,V2204,"f",FALSE)</f>
        <v>54344</v>
      </c>
      <c r="X2204" s="203">
        <f>_xll.qlCalendarAdvance(Calendar,W2204,NDays&amp;"D")</f>
        <v>54346</v>
      </c>
      <c r="Y2204" s="204">
        <v>2.1976988040883494E-2</v>
      </c>
      <c r="Z2204" s="201">
        <v>2.1956045197866203E-2</v>
      </c>
    </row>
    <row r="2205" spans="22:26" x14ac:dyDescent="0.2">
      <c r="V2205" s="202" t="str">
        <f t="shared" si="43"/>
        <v>1w</v>
      </c>
      <c r="W2205" s="200">
        <f>_xll.qlCalendarAdvance(Calendar,W2204,V2205,"f",FALSE)</f>
        <v>54351</v>
      </c>
      <c r="X2205" s="203">
        <f>_xll.qlCalendarAdvance(Calendar,W2205,NDays&amp;"D")</f>
        <v>54353</v>
      </c>
      <c r="Y2205" s="204">
        <v>2.1977049201789833E-2</v>
      </c>
      <c r="Z2205" s="201">
        <v>2.1956138340399889E-2</v>
      </c>
    </row>
    <row r="2206" spans="22:26" x14ac:dyDescent="0.2">
      <c r="V2206" s="202" t="str">
        <f t="shared" si="43"/>
        <v>1w</v>
      </c>
      <c r="W2206" s="200">
        <f>_xll.qlCalendarAdvance(Calendar,W2205,V2206,"f",FALSE)</f>
        <v>54358</v>
      </c>
      <c r="X2206" s="203">
        <f>_xll.qlCalendarAdvance(Calendar,W2206,NDays&amp;"D")</f>
        <v>54360</v>
      </c>
      <c r="Y2206" s="204">
        <v>2.197709583977081E-2</v>
      </c>
      <c r="Z2206" s="201">
        <v>2.1956216987408794E-2</v>
      </c>
    </row>
    <row r="2207" spans="22:26" x14ac:dyDescent="0.2">
      <c r="V2207" s="202" t="str">
        <f t="shared" si="43"/>
        <v>1w</v>
      </c>
      <c r="W2207" s="200">
        <f>_xll.qlCalendarAdvance(Calendar,W2206,V2207,"f",FALSE)</f>
        <v>54365</v>
      </c>
      <c r="X2207" s="203">
        <f>_xll.qlCalendarAdvance(Calendar,W2207,NDays&amp;"D")</f>
        <v>54367</v>
      </c>
      <c r="Y2207" s="204">
        <v>2.1977127954833919E-2</v>
      </c>
      <c r="Z2207" s="201">
        <v>2.1956281139052791E-2</v>
      </c>
    </row>
    <row r="2208" spans="22:26" x14ac:dyDescent="0.2">
      <c r="V2208" s="202" t="str">
        <f t="shared" si="43"/>
        <v>1w</v>
      </c>
      <c r="W2208" s="200">
        <f>_xll.qlCalendarAdvance(Calendar,W2207,V2208,"f",FALSE)</f>
        <v>54372</v>
      </c>
      <c r="X2208" s="203">
        <f>_xll.qlCalendarAdvance(Calendar,W2208,NDays&amp;"D")</f>
        <v>54374</v>
      </c>
      <c r="Y2208" s="204">
        <v>2.1977145546974164E-2</v>
      </c>
      <c r="Z2208" s="201">
        <v>2.1956330795092072E-2</v>
      </c>
    </row>
    <row r="2209" spans="22:26" x14ac:dyDescent="0.2">
      <c r="V2209" s="202" t="str">
        <f t="shared" si="43"/>
        <v>1w</v>
      </c>
      <c r="W2209" s="200">
        <f>_xll.qlCalendarAdvance(Calendar,W2208,V2209,"f",FALSE)</f>
        <v>54379</v>
      </c>
      <c r="X2209" s="203">
        <f>_xll.qlCalendarAdvance(Calendar,W2209,NDays&amp;"D")</f>
        <v>54381</v>
      </c>
      <c r="Y2209" s="204">
        <v>2.1977148616186548E-2</v>
      </c>
      <c r="Z2209" s="201">
        <v>2.1956365955686508E-2</v>
      </c>
    </row>
    <row r="2210" spans="22:26" x14ac:dyDescent="0.2">
      <c r="V2210" s="202" t="str">
        <f t="shared" si="43"/>
        <v>1w</v>
      </c>
      <c r="W2210" s="200">
        <f>_xll.qlCalendarAdvance(Calendar,W2209,V2210,"f",FALSE)</f>
        <v>54386</v>
      </c>
      <c r="X2210" s="203">
        <f>_xll.qlCalendarAdvance(Calendar,W2210,NDays&amp;"D")</f>
        <v>54388</v>
      </c>
      <c r="Y2210" s="204">
        <v>2.1977137162476068E-2</v>
      </c>
      <c r="Z2210" s="201">
        <v>2.1956386620756163E-2</v>
      </c>
    </row>
    <row r="2211" spans="22:26" x14ac:dyDescent="0.2">
      <c r="V2211" s="202" t="str">
        <f t="shared" si="43"/>
        <v>1w</v>
      </c>
      <c r="W2211" s="200">
        <f>_xll.qlCalendarAdvance(Calendar,W2210,V2211,"f",FALSE)</f>
        <v>54393</v>
      </c>
      <c r="X2211" s="203">
        <f>_xll.qlCalendarAdvance(Calendar,W2211,NDays&amp;"D")</f>
        <v>54395</v>
      </c>
      <c r="Y2211" s="204">
        <v>2.197711118584772E-2</v>
      </c>
      <c r="Z2211" s="201">
        <v>2.1956392790301038E-2</v>
      </c>
    </row>
    <row r="2212" spans="22:26" x14ac:dyDescent="0.2">
      <c r="V2212" s="202" t="str">
        <f t="shared" si="43"/>
        <v>1w</v>
      </c>
      <c r="W2212" s="200">
        <f>_xll.qlCalendarAdvance(Calendar,W2211,V2212,"f",FALSE)</f>
        <v>54400</v>
      </c>
      <c r="X2212" s="203">
        <f>_xll.qlCalendarAdvance(Calendar,W2212,NDays&amp;"D")</f>
        <v>54402</v>
      </c>
      <c r="Y2212" s="204">
        <v>2.1977070686291511E-2</v>
      </c>
      <c r="Z2212" s="201">
        <v>2.1956384464481005E-2</v>
      </c>
    </row>
    <row r="2213" spans="22:26" x14ac:dyDescent="0.2">
      <c r="V2213" s="202" t="str">
        <f t="shared" si="43"/>
        <v>1w</v>
      </c>
      <c r="W2213" s="200">
        <f>_xll.qlCalendarAdvance(Calendar,W2212,V2213,"f",FALSE)</f>
        <v>54407</v>
      </c>
      <c r="X2213" s="203">
        <f>_xll.qlCalendarAdvance(Calendar,W2213,NDays&amp;"D")</f>
        <v>54409</v>
      </c>
      <c r="Y2213" s="204">
        <v>2.197701566380994E-2</v>
      </c>
      <c r="Z2213" s="201">
        <v>2.1956361642976319E-2</v>
      </c>
    </row>
    <row r="2214" spans="22:26" x14ac:dyDescent="0.2">
      <c r="V2214" s="202" t="str">
        <f t="shared" si="43"/>
        <v>1w</v>
      </c>
      <c r="W2214" s="200">
        <f>_xll.qlCalendarAdvance(Calendar,W2213,V2214,"f",FALSE)</f>
        <v>54414</v>
      </c>
      <c r="X2214" s="203">
        <f>_xll.qlCalendarAdvance(Calendar,W2214,NDays&amp;"D")</f>
        <v>54416</v>
      </c>
      <c r="Y2214" s="204">
        <v>2.1976946118410501E-2</v>
      </c>
      <c r="Z2214" s="201">
        <v>2.1958323006128211E-2</v>
      </c>
    </row>
    <row r="2215" spans="22:26" x14ac:dyDescent="0.2">
      <c r="V2215" s="202" t="str">
        <f t="shared" si="43"/>
        <v>1w</v>
      </c>
      <c r="W2215" s="200">
        <f>_xll.qlCalendarAdvance(Calendar,W2214,V2215,"f",FALSE)</f>
        <v>54421</v>
      </c>
      <c r="X2215" s="203">
        <f>_xll.qlCalendarAdvance(Calendar,W2215,NDays&amp;"D")</f>
        <v>54423</v>
      </c>
      <c r="Y2215" s="204">
        <v>2.1974872548207024E-2</v>
      </c>
      <c r="Z2215" s="201">
        <v>2.1958268077546528E-2</v>
      </c>
    </row>
    <row r="2216" spans="22:26" x14ac:dyDescent="0.2">
      <c r="V2216" s="202" t="str">
        <f t="shared" si="43"/>
        <v>1w</v>
      </c>
      <c r="W2216" s="200">
        <f>_xll.qlCalendarAdvance(Calendar,W2215,V2216,"f",FALSE)</f>
        <v>54428</v>
      </c>
      <c r="X2216" s="203">
        <f>_xll.qlCalendarAdvance(Calendar,W2216,NDays&amp;"D")</f>
        <v>54430</v>
      </c>
      <c r="Y2216" s="204">
        <v>2.1976763458840531E-2</v>
      </c>
      <c r="Z2216" s="201">
        <v>2.195620620587313E-2</v>
      </c>
    </row>
    <row r="2217" spans="22:26" x14ac:dyDescent="0.2">
      <c r="V2217" s="202" t="str">
        <f t="shared" si="43"/>
        <v>1w</v>
      </c>
      <c r="W2217" s="200">
        <f>_xll.qlCalendarAdvance(Calendar,W2216,V2217,"f",FALSE)</f>
        <v>54435</v>
      </c>
      <c r="X2217" s="203">
        <f>_xll.qlCalendarAdvance(Calendar,W2217,NDays&amp;"D")</f>
        <v>54437</v>
      </c>
      <c r="Y2217" s="204">
        <v>2.1976650344674997E-2</v>
      </c>
      <c r="Z2217" s="201">
        <v>2.195612540250913E-2</v>
      </c>
    </row>
    <row r="2218" spans="22:26" x14ac:dyDescent="0.2">
      <c r="V2218" s="202" t="str">
        <f t="shared" si="43"/>
        <v>1w</v>
      </c>
      <c r="W2218" s="200">
        <f>_xll.qlCalendarAdvance(Calendar,W2217,V2218,"f",FALSE)</f>
        <v>54442</v>
      </c>
      <c r="X2218" s="203">
        <f>_xll.qlCalendarAdvance(Calendar,W2218,NDays&amp;"D")</f>
        <v>54444</v>
      </c>
      <c r="Y2218" s="204">
        <v>2.1976522707584101E-2</v>
      </c>
      <c r="Z2218" s="201">
        <v>2.1956030103700286E-2</v>
      </c>
    </row>
    <row r="2219" spans="22:26" x14ac:dyDescent="0.2">
      <c r="V2219" s="202" t="str">
        <f t="shared" si="43"/>
        <v>1w</v>
      </c>
      <c r="W2219" s="200">
        <f>_xll.qlCalendarAdvance(Calendar,W2218,V2219,"f",FALSE)</f>
        <v>54449</v>
      </c>
      <c r="X2219" s="203">
        <f>_xll.qlCalendarAdvance(Calendar,W2219,NDays&amp;"D")</f>
        <v>54451</v>
      </c>
      <c r="Y2219" s="204">
        <v>2.1974403579720914E-2</v>
      </c>
      <c r="Z2219" s="201">
        <v>2.1955920309366661E-2</v>
      </c>
    </row>
    <row r="2220" spans="22:26" x14ac:dyDescent="0.2">
      <c r="V2220" s="202" t="str">
        <f t="shared" si="43"/>
        <v>1w</v>
      </c>
      <c r="W2220" s="200">
        <f>_xll.qlCalendarAdvance(Calendar,W2219,V2220,"f",FALSE)</f>
        <v>54456</v>
      </c>
      <c r="X2220" s="203">
        <f>_xll.qlCalendarAdvance(Calendar,W2220,NDays&amp;"D")</f>
        <v>54458</v>
      </c>
      <c r="Y2220" s="204">
        <v>2.1973591948327389E-2</v>
      </c>
      <c r="Z2220" s="201">
        <v>2.1955796019508256E-2</v>
      </c>
    </row>
    <row r="2221" spans="22:26" x14ac:dyDescent="0.2">
      <c r="V2221" s="202" t="str">
        <f t="shared" si="43"/>
        <v>1w</v>
      </c>
      <c r="W2221" s="200">
        <f>_xll.qlCalendarAdvance(Calendar,W2220,V2221,"f",FALSE)</f>
        <v>54463</v>
      </c>
      <c r="X2221" s="203">
        <f>_xll.qlCalendarAdvance(Calendar,W2221,NDays&amp;"D")</f>
        <v>54465</v>
      </c>
      <c r="Y2221" s="204">
        <v>2.1973424932626121E-2</v>
      </c>
      <c r="Z2221" s="201">
        <v>2.195565723412507E-2</v>
      </c>
    </row>
    <row r="2222" spans="22:26" x14ac:dyDescent="0.2">
      <c r="V2222" s="202" t="str">
        <f t="shared" si="43"/>
        <v>1w</v>
      </c>
      <c r="W2222" s="200">
        <f>_xll.qlCalendarAdvance(Calendar,W2221,V2222,"f",FALSE)</f>
        <v>54470</v>
      </c>
      <c r="X2222" s="203">
        <f>_xll.qlCalendarAdvance(Calendar,W2222,NDays&amp;"D")</f>
        <v>54472</v>
      </c>
      <c r="Y2222" s="204">
        <v>2.1973243397550579E-2</v>
      </c>
      <c r="Z2222" s="201">
        <v>2.1955503953456912E-2</v>
      </c>
    </row>
    <row r="2223" spans="22:26" x14ac:dyDescent="0.2">
      <c r="V2223" s="202" t="str">
        <f t="shared" si="43"/>
        <v>1w</v>
      </c>
      <c r="W2223" s="200">
        <f>_xll.qlCalendarAdvance(Calendar,W2222,V2223,"f",FALSE)</f>
        <v>54477</v>
      </c>
      <c r="X2223" s="203">
        <f>_xll.qlCalendarAdvance(Calendar,W2223,NDays&amp;"D")</f>
        <v>54479</v>
      </c>
      <c r="Y2223" s="204">
        <v>2.1973047343097907E-2</v>
      </c>
      <c r="Z2223" s="201">
        <v>2.1955336177104101E-2</v>
      </c>
    </row>
    <row r="2224" spans="22:26" x14ac:dyDescent="0.2">
      <c r="V2224" s="202" t="str">
        <f t="shared" si="43"/>
        <v>1w</v>
      </c>
      <c r="W2224" s="200">
        <f>_xll.qlCalendarAdvance(Calendar,W2223,V2224,"f",FALSE)</f>
        <v>54484</v>
      </c>
      <c r="X2224" s="203">
        <f>_xll.qlCalendarAdvance(Calendar,W2224,NDays&amp;"D")</f>
        <v>54486</v>
      </c>
      <c r="Y2224" s="204">
        <v>2.1975451903726018E-2</v>
      </c>
      <c r="Z2224" s="201">
        <v>2.195515390522651E-2</v>
      </c>
    </row>
    <row r="2225" spans="22:26" x14ac:dyDescent="0.2">
      <c r="V2225" s="202" t="str">
        <f t="shared" si="43"/>
        <v>1w</v>
      </c>
      <c r="W2225" s="200">
        <f>_xll.qlCalendarAdvance(Calendar,W2224,V2225,"f",FALSE)</f>
        <v>54491</v>
      </c>
      <c r="X2225" s="203">
        <f>_xll.qlCalendarAdvance(Calendar,W2225,NDays&amp;"D")</f>
        <v>54493</v>
      </c>
      <c r="Y2225" s="204">
        <v>2.1975222606205047E-2</v>
      </c>
      <c r="Z2225" s="201">
        <v>2.1954957138063946E-2</v>
      </c>
    </row>
    <row r="2226" spans="22:26" x14ac:dyDescent="0.2">
      <c r="V2226" s="202" t="str">
        <f t="shared" si="43"/>
        <v>1w</v>
      </c>
      <c r="W2226" s="200">
        <f>_xll.qlCalendarAdvance(Calendar,W2225,V2226,"f",FALSE)</f>
        <v>54498</v>
      </c>
      <c r="X2226" s="203">
        <f>_xll.qlCalendarAdvance(Calendar,W2226,NDays&amp;"D")</f>
        <v>54500</v>
      </c>
      <c r="Y2226" s="204">
        <v>2.1975630281813548E-2</v>
      </c>
      <c r="Z2226" s="201">
        <v>2.195474587521673E-2</v>
      </c>
    </row>
    <row r="2227" spans="22:26" x14ac:dyDescent="0.2">
      <c r="V2227" s="202" t="str">
        <f t="shared" si="43"/>
        <v>1w</v>
      </c>
      <c r="W2227" s="200">
        <f>_xll.qlCalendarAdvance(Calendar,W2226,V2227,"f",FALSE)</f>
        <v>54505</v>
      </c>
      <c r="X2227" s="203">
        <f>_xll.qlCalendarAdvance(Calendar,W2227,NDays&amp;"D")</f>
        <v>54507</v>
      </c>
      <c r="Y2227" s="204">
        <v>2.1974720442411999E-2</v>
      </c>
      <c r="Z2227" s="201">
        <v>2.1954520117004606E-2</v>
      </c>
    </row>
    <row r="2228" spans="22:26" x14ac:dyDescent="0.2">
      <c r="V2228" s="202" t="str">
        <f t="shared" si="43"/>
        <v>1w</v>
      </c>
      <c r="W2228" s="200">
        <f>_xll.qlCalendarAdvance(Calendar,W2227,V2228,"f",FALSE)</f>
        <v>54512</v>
      </c>
      <c r="X2228" s="203">
        <f>_xll.qlCalendarAdvance(Calendar,W2228,NDays&amp;"D")</f>
        <v>54514</v>
      </c>
      <c r="Y2228" s="204">
        <v>2.197444757614242E-2</v>
      </c>
      <c r="Z2228" s="201">
        <v>2.1954279863187764E-2</v>
      </c>
    </row>
    <row r="2229" spans="22:26" x14ac:dyDescent="0.2">
      <c r="V2229" s="202" t="str">
        <f t="shared" si="43"/>
        <v>1w</v>
      </c>
      <c r="W2229" s="200">
        <f>_xll.qlCalendarAdvance(Calendar,W2228,V2229,"f",FALSE)</f>
        <v>54519</v>
      </c>
      <c r="X2229" s="203">
        <f>_xll.qlCalendarAdvance(Calendar,W2229,NDays&amp;"D")</f>
        <v>54521</v>
      </c>
      <c r="Y2229" s="204">
        <v>2.1974160186964964E-2</v>
      </c>
      <c r="Z2229" s="201">
        <v>2.1954025113926079E-2</v>
      </c>
    </row>
    <row r="2230" spans="22:26" x14ac:dyDescent="0.2">
      <c r="V2230" s="202" t="str">
        <f t="shared" si="43"/>
        <v>1w</v>
      </c>
      <c r="W2230" s="200">
        <f>_xll.qlCalendarAdvance(Calendar,W2229,V2230,"f",FALSE)</f>
        <v>54526</v>
      </c>
      <c r="X2230" s="203">
        <f>_xll.qlCalendarAdvance(Calendar,W2230,NDays&amp;"D")</f>
        <v>54528</v>
      </c>
      <c r="Y2230" s="204">
        <v>2.1973858274872138E-2</v>
      </c>
      <c r="Z2230" s="201">
        <v>2.1956353724302602E-2</v>
      </c>
    </row>
    <row r="2231" spans="22:26" x14ac:dyDescent="0.2">
      <c r="V2231" s="202" t="str">
        <f t="shared" si="43"/>
        <v>1w</v>
      </c>
      <c r="W2231" s="200">
        <f>_xll.qlCalendarAdvance(Calendar,W2230,V2231,"f",FALSE)</f>
        <v>54533</v>
      </c>
      <c r="X2231" s="203">
        <f>_xll.qlCalendarAdvance(Calendar,W2231,NDays&amp;"D")</f>
        <v>54535</v>
      </c>
      <c r="Y2231" s="204">
        <v>2.1973541839866439E-2</v>
      </c>
      <c r="Z2231" s="201">
        <v>2.1953472128908302E-2</v>
      </c>
    </row>
    <row r="2232" spans="22:26" x14ac:dyDescent="0.2">
      <c r="V2232" s="202" t="str">
        <f t="shared" si="43"/>
        <v>1w</v>
      </c>
      <c r="W2232" s="200">
        <f>_xll.qlCalendarAdvance(Calendar,W2231,V2232,"f",FALSE)</f>
        <v>54540</v>
      </c>
      <c r="X2232" s="203">
        <f>_xll.qlCalendarAdvance(Calendar,W2232,NDays&amp;"D")</f>
        <v>54542</v>
      </c>
      <c r="Y2232" s="204">
        <v>2.1973210881955363E-2</v>
      </c>
      <c r="Z2232" s="201">
        <v>2.1953173893152211E-2</v>
      </c>
    </row>
    <row r="2233" spans="22:26" x14ac:dyDescent="0.2">
      <c r="V2233" s="202" t="str">
        <f t="shared" si="43"/>
        <v>1w</v>
      </c>
      <c r="W2233" s="200">
        <f>_xll.qlCalendarAdvance(Calendar,W2232,V2233,"f",FALSE)</f>
        <v>54547</v>
      </c>
      <c r="X2233" s="203">
        <f>_xll.qlCalendarAdvance(Calendar,W2233,NDays&amp;"D")</f>
        <v>54549</v>
      </c>
      <c r="Y2233" s="204">
        <v>2.1972865401133912E-2</v>
      </c>
      <c r="Z2233" s="201">
        <v>2.1952861162031212E-2</v>
      </c>
    </row>
    <row r="2234" spans="22:26" x14ac:dyDescent="0.2">
      <c r="V2234" s="202" t="str">
        <f t="shared" si="43"/>
        <v>1w</v>
      </c>
      <c r="W2234" s="200">
        <f>_xll.qlCalendarAdvance(Calendar,W2233,V2234,"f",FALSE)</f>
        <v>54554</v>
      </c>
      <c r="X2234" s="203">
        <f>_xll.qlCalendarAdvance(Calendar,W2234,NDays&amp;"D")</f>
        <v>54556</v>
      </c>
      <c r="Y2234" s="204">
        <v>2.1972505397407083E-2</v>
      </c>
      <c r="Z2234" s="201">
        <v>2.195253393522556E-2</v>
      </c>
    </row>
    <row r="2235" spans="22:26" x14ac:dyDescent="0.2">
      <c r="V2235" s="202" t="str">
        <f t="shared" si="43"/>
        <v>1w</v>
      </c>
      <c r="W2235" s="200">
        <f>_xll.qlCalendarAdvance(Calendar,W2234,V2235,"f",FALSE)</f>
        <v>54561</v>
      </c>
      <c r="X2235" s="203">
        <f>_xll.qlCalendarAdvance(Calendar,W2235,NDays&amp;"D")</f>
        <v>54563</v>
      </c>
      <c r="Y2235" s="204">
        <v>2.1972130870772377E-2</v>
      </c>
      <c r="Z2235" s="201">
        <v>2.1952192213055E-2</v>
      </c>
    </row>
    <row r="2236" spans="22:26" x14ac:dyDescent="0.2">
      <c r="V2236" s="202" t="str">
        <f t="shared" si="43"/>
        <v>1w</v>
      </c>
      <c r="W2236" s="200">
        <f>_xll.qlCalendarAdvance(Calendar,W2235,V2236,"f",FALSE)</f>
        <v>54568</v>
      </c>
      <c r="X2236" s="203">
        <f>_xll.qlCalendarAdvance(Calendar,W2236,NDays&amp;"D")</f>
        <v>54570</v>
      </c>
      <c r="Y2236" s="204">
        <v>2.1971741821234791E-2</v>
      </c>
      <c r="Z2236" s="201">
        <v>2.1951835995359659E-2</v>
      </c>
    </row>
    <row r="2237" spans="22:26" x14ac:dyDescent="0.2">
      <c r="V2237" s="202" t="str">
        <f t="shared" si="43"/>
        <v>1w</v>
      </c>
      <c r="W2237" s="200">
        <f>_xll.qlCalendarAdvance(Calendar,W2236,V2237,"f",FALSE)</f>
        <v>54575</v>
      </c>
      <c r="X2237" s="203">
        <f>_xll.qlCalendarAdvance(Calendar,W2237,NDays&amp;"D")</f>
        <v>54577</v>
      </c>
      <c r="Y2237" s="204">
        <v>2.1971338248796823E-2</v>
      </c>
      <c r="Z2237" s="201">
        <v>2.1951465282219473E-2</v>
      </c>
    </row>
    <row r="2238" spans="22:26" x14ac:dyDescent="0.2">
      <c r="V2238" s="202" t="str">
        <f t="shared" si="43"/>
        <v>1w</v>
      </c>
      <c r="W2238" s="200">
        <f>_xll.qlCalendarAdvance(Calendar,W2237,V2238,"f",FALSE)</f>
        <v>54582</v>
      </c>
      <c r="X2238" s="203">
        <f>_xll.qlCalendarAdvance(Calendar,W2238,NDays&amp;"D")</f>
        <v>54584</v>
      </c>
      <c r="Y2238" s="204">
        <v>2.1970920153453477E-2</v>
      </c>
      <c r="Z2238" s="201">
        <v>2.1951080073474571E-2</v>
      </c>
    </row>
    <row r="2239" spans="22:26" x14ac:dyDescent="0.2">
      <c r="V2239" s="202" t="str">
        <f t="shared" si="43"/>
        <v>1w</v>
      </c>
      <c r="W2239" s="200">
        <f>_xll.qlCalendarAdvance(Calendar,W2238,V2239,"f",FALSE)</f>
        <v>54589</v>
      </c>
      <c r="X2239" s="203">
        <f>_xll.qlCalendarAdvance(Calendar,W2239,NDays&amp;"D")</f>
        <v>54591</v>
      </c>
      <c r="Y2239" s="204">
        <v>2.1970487535214744E-2</v>
      </c>
      <c r="Z2239" s="201">
        <v>2.1950680369364761E-2</v>
      </c>
    </row>
    <row r="2240" spans="22:26" x14ac:dyDescent="0.2">
      <c r="V2240" s="202" t="str">
        <f t="shared" si="43"/>
        <v>1w</v>
      </c>
      <c r="W2240" s="200">
        <f>_xll.qlCalendarAdvance(Calendar,W2239,V2240,"f",FALSE)</f>
        <v>54596</v>
      </c>
      <c r="X2240" s="203">
        <f>_xll.qlCalendarAdvance(Calendar,W2240,NDays&amp;"D")</f>
        <v>54598</v>
      </c>
      <c r="Y2240" s="204">
        <v>2.1970040394075629E-2</v>
      </c>
      <c r="Z2240" s="201">
        <v>2.1950266169650234E-2</v>
      </c>
    </row>
    <row r="2241" spans="22:26" x14ac:dyDescent="0.2">
      <c r="V2241" s="202" t="str">
        <f t="shared" si="43"/>
        <v>1w</v>
      </c>
      <c r="W2241" s="200">
        <f>_xll.qlCalendarAdvance(Calendar,W2240,V2241,"f",FALSE)</f>
        <v>54603</v>
      </c>
      <c r="X2241" s="203">
        <f>_xll.qlCalendarAdvance(Calendar,W2241,NDays&amp;"D")</f>
        <v>54605</v>
      </c>
      <c r="Y2241" s="204">
        <v>2.1969578730043626E-2</v>
      </c>
      <c r="Z2241" s="201">
        <v>2.1949837474490863E-2</v>
      </c>
    </row>
    <row r="2242" spans="22:26" x14ac:dyDescent="0.2">
      <c r="V2242" s="202" t="str">
        <f t="shared" si="43"/>
        <v>1w</v>
      </c>
      <c r="W2242" s="200">
        <f>_xll.qlCalendarAdvance(Calendar,W2241,V2242,"f",FALSE)</f>
        <v>54610</v>
      </c>
      <c r="X2242" s="203">
        <f>_xll.qlCalendarAdvance(Calendar,W2242,NDays&amp;"D")</f>
        <v>54612</v>
      </c>
      <c r="Y2242" s="204">
        <v>2.1969102543113739E-2</v>
      </c>
      <c r="Z2242" s="201">
        <v>2.1949394283806711E-2</v>
      </c>
    </row>
    <row r="2243" spans="22:26" x14ac:dyDescent="0.2">
      <c r="V2243" s="202" t="str">
        <f t="shared" si="43"/>
        <v>1w</v>
      </c>
      <c r="W2243" s="200">
        <f>_xll.qlCalendarAdvance(Calendar,W2242,V2243,"f",FALSE)</f>
        <v>54617</v>
      </c>
      <c r="X2243" s="203">
        <f>_xll.qlCalendarAdvance(Calendar,W2243,NDays&amp;"D")</f>
        <v>54619</v>
      </c>
      <c r="Y2243" s="204">
        <v>2.1968611833293461E-2</v>
      </c>
      <c r="Z2243" s="201">
        <v>2.1948936597677715E-2</v>
      </c>
    </row>
    <row r="2244" spans="22:26" x14ac:dyDescent="0.2">
      <c r="V2244" s="202" t="str">
        <f t="shared" si="43"/>
        <v>1w</v>
      </c>
      <c r="W2244" s="200">
        <f>_xll.qlCalendarAdvance(Calendar,W2243,V2244,"f",FALSE)</f>
        <v>54624</v>
      </c>
      <c r="X2244" s="203">
        <f>_xll.qlCalendarAdvance(Calendar,W2244,NDays&amp;"D")</f>
        <v>54626</v>
      </c>
      <c r="Y2244" s="204">
        <v>2.1968106600585291E-2</v>
      </c>
      <c r="Z2244" s="201">
        <v>2.1948464416103874E-2</v>
      </c>
    </row>
    <row r="2245" spans="22:26" x14ac:dyDescent="0.2">
      <c r="V2245" s="202" t="str">
        <f t="shared" si="43"/>
        <v>1w</v>
      </c>
      <c r="W2245" s="200">
        <f>_xll.qlCalendarAdvance(Calendar,W2244,V2245,"f",FALSE)</f>
        <v>54631</v>
      </c>
      <c r="X2245" s="203">
        <f>_xll.qlCalendarAdvance(Calendar,W2245,NDays&amp;"D")</f>
        <v>54633</v>
      </c>
      <c r="Y2245" s="204">
        <v>2.1967586844986731E-2</v>
      </c>
      <c r="Z2245" s="201">
        <v>2.1947977738925317E-2</v>
      </c>
    </row>
    <row r="2246" spans="22:26" x14ac:dyDescent="0.2">
      <c r="V2246" s="202" t="str">
        <f t="shared" si="43"/>
        <v>1w</v>
      </c>
      <c r="W2246" s="200">
        <f>_xll.qlCalendarAdvance(Calendar,W2245,V2246,"f",FALSE)</f>
        <v>54638</v>
      </c>
      <c r="X2246" s="203">
        <f>_xll.qlCalendarAdvance(Calendar,W2246,NDays&amp;"D")</f>
        <v>54640</v>
      </c>
      <c r="Y2246" s="204">
        <v>2.1967052566500278E-2</v>
      </c>
      <c r="Z2246" s="201">
        <v>2.1947476566301916E-2</v>
      </c>
    </row>
    <row r="2247" spans="22:26" x14ac:dyDescent="0.2">
      <c r="V2247" s="202" t="str">
        <f t="shared" si="43"/>
        <v>1w</v>
      </c>
      <c r="W2247" s="200">
        <f>_xll.qlCalendarAdvance(Calendar,W2246,V2247,"f",FALSE)</f>
        <v>54645</v>
      </c>
      <c r="X2247" s="203">
        <f>_xll.qlCalendarAdvance(Calendar,W2247,NDays&amp;"D")</f>
        <v>54647</v>
      </c>
      <c r="Y2247" s="204">
        <v>2.1966503765128431E-2</v>
      </c>
      <c r="Z2247" s="201">
        <v>2.1946960898313606E-2</v>
      </c>
    </row>
    <row r="2248" spans="22:26" x14ac:dyDescent="0.2">
      <c r="V2248" s="202" t="str">
        <f t="shared" si="43"/>
        <v>1w</v>
      </c>
      <c r="W2248" s="200">
        <f>_xll.qlCalendarAdvance(Calendar,W2247,V2248,"f",FALSE)</f>
        <v>54652</v>
      </c>
      <c r="X2248" s="203">
        <f>_xll.qlCalendarAdvance(Calendar,W2248,NDays&amp;"D")</f>
        <v>54654</v>
      </c>
      <c r="Y2248" s="204">
        <v>2.1965940440881182E-2</v>
      </c>
      <c r="Z2248" s="201">
        <v>2.1946430734720579E-2</v>
      </c>
    </row>
    <row r="2249" spans="22:26" x14ac:dyDescent="0.2">
      <c r="V2249" s="202" t="str">
        <f t="shared" si="43"/>
        <v>1w</v>
      </c>
      <c r="W2249" s="200">
        <f>_xll.qlCalendarAdvance(Calendar,W2248,V2249,"f",FALSE)</f>
        <v>54659</v>
      </c>
      <c r="X2249" s="203">
        <f>_xll.qlCalendarAdvance(Calendar,W2249,NDays&amp;"D")</f>
        <v>54661</v>
      </c>
      <c r="Y2249" s="204">
        <v>2.1965362593746041E-2</v>
      </c>
      <c r="Z2249" s="201">
        <v>2.1945886075522836E-2</v>
      </c>
    </row>
    <row r="2250" spans="22:26" x14ac:dyDescent="0.2">
      <c r="V2250" s="202" t="str">
        <f t="shared" si="43"/>
        <v>1w</v>
      </c>
      <c r="W2250" s="200">
        <f>_xll.qlCalendarAdvance(Calendar,W2249,V2250,"f",FALSE)</f>
        <v>54666</v>
      </c>
      <c r="X2250" s="203">
        <f>_xll.qlCalendarAdvance(Calendar,W2250,NDays&amp;"D")</f>
        <v>54668</v>
      </c>
      <c r="Y2250" s="204">
        <v>2.1964770223735497E-2</v>
      </c>
      <c r="Z2250" s="201">
        <v>2.1945326920960184E-2</v>
      </c>
    </row>
    <row r="2251" spans="22:26" x14ac:dyDescent="0.2">
      <c r="V2251" s="202" t="str">
        <f t="shared" si="43"/>
        <v>1w</v>
      </c>
      <c r="W2251" s="200">
        <f>_xll.qlCalendarAdvance(Calendar,W2250,V2251,"f",FALSE)</f>
        <v>54673</v>
      </c>
      <c r="X2251" s="203">
        <f>_xll.qlCalendarAdvance(Calendar,W2251,NDays&amp;"D")</f>
        <v>54675</v>
      </c>
      <c r="Y2251" s="204">
        <v>2.1964163330852049E-2</v>
      </c>
      <c r="Z2251" s="201">
        <v>2.1944753270952688E-2</v>
      </c>
    </row>
    <row r="2252" spans="22:26" x14ac:dyDescent="0.2">
      <c r="V2252" s="202" t="str">
        <f t="shared" si="43"/>
        <v>1w</v>
      </c>
      <c r="W2252" s="200">
        <f>_xll.qlCalendarAdvance(Calendar,W2251,V2252,"f",FALSE)</f>
        <v>54680</v>
      </c>
      <c r="X2252" s="203">
        <f>_xll.qlCalendarAdvance(Calendar,W2252,NDays&amp;"D")</f>
        <v>54682</v>
      </c>
      <c r="Y2252" s="204">
        <v>2.1963541915093199E-2</v>
      </c>
      <c r="Z2252" s="201">
        <v>2.1944165125420412E-2</v>
      </c>
    </row>
    <row r="2253" spans="22:26" x14ac:dyDescent="0.2">
      <c r="V2253" s="202" t="str">
        <f t="shared" si="43"/>
        <v>1w</v>
      </c>
      <c r="W2253" s="200">
        <f>_xll.qlCalendarAdvance(Calendar,W2252,V2253,"f",FALSE)</f>
        <v>54687</v>
      </c>
      <c r="X2253" s="203">
        <f>_xll.qlCalendarAdvance(Calendar,W2253,NDays&amp;"D")</f>
        <v>54689</v>
      </c>
      <c r="Y2253" s="204">
        <v>2.1962905976461444E-2</v>
      </c>
      <c r="Z2253" s="201">
        <v>2.1943562484363355E-2</v>
      </c>
    </row>
    <row r="2254" spans="22:26" x14ac:dyDescent="0.2">
      <c r="V2254" s="202" t="str">
        <f t="shared" si="43"/>
        <v>1w</v>
      </c>
      <c r="W2254" s="200">
        <f>_xll.qlCalendarAdvance(Calendar,W2253,V2254,"f",FALSE)</f>
        <v>54694</v>
      </c>
      <c r="X2254" s="203">
        <f>_xll.qlCalendarAdvance(Calendar,W2254,NDays&amp;"D")</f>
        <v>54696</v>
      </c>
      <c r="Y2254" s="204">
        <v>2.1960390032162682E-2</v>
      </c>
      <c r="Z2254" s="201">
        <v>2.1942945347861453E-2</v>
      </c>
    </row>
    <row r="2255" spans="22:26" x14ac:dyDescent="0.2">
      <c r="V2255" s="202" t="str">
        <f t="shared" si="43"/>
        <v>1w</v>
      </c>
      <c r="W2255" s="200">
        <f>_xll.qlCalendarAdvance(Calendar,W2254,V2255,"f",FALSE)</f>
        <v>54701</v>
      </c>
      <c r="X2255" s="203">
        <f>_xll.qlCalendarAdvance(Calendar,W2255,NDays&amp;"D")</f>
        <v>54703</v>
      </c>
      <c r="Y2255" s="204">
        <v>2.1961590530601705E-2</v>
      </c>
      <c r="Z2255" s="201">
        <v>2.1942313715834771E-2</v>
      </c>
    </row>
    <row r="2256" spans="22:26" x14ac:dyDescent="0.2">
      <c r="V2256" s="202" t="str">
        <f t="shared" si="43"/>
        <v>1w</v>
      </c>
      <c r="W2256" s="200">
        <f>_xll.qlCalendarAdvance(Calendar,W2255,V2256,"f",FALSE)</f>
        <v>54708</v>
      </c>
      <c r="X2256" s="203">
        <f>_xll.qlCalendarAdvance(Calendar,W2256,NDays&amp;"D")</f>
        <v>54710</v>
      </c>
      <c r="Y2256" s="204">
        <v>2.1960911023378715E-2</v>
      </c>
      <c r="Z2256" s="201">
        <v>2.1941667588363245E-2</v>
      </c>
    </row>
    <row r="2257" spans="22:26" x14ac:dyDescent="0.2">
      <c r="V2257" s="202" t="str">
        <f t="shared" si="43"/>
        <v>1w</v>
      </c>
      <c r="W2257" s="200">
        <f>_xll.qlCalendarAdvance(Calendar,W2256,V2257,"f",FALSE)</f>
        <v>54715</v>
      </c>
      <c r="X2257" s="203">
        <f>_xll.qlCalendarAdvance(Calendar,W2257,NDays&amp;"D")</f>
        <v>54717</v>
      </c>
      <c r="Y2257" s="204">
        <v>2.196021699328532E-2</v>
      </c>
      <c r="Z2257" s="201">
        <v>2.1941006965207066E-2</v>
      </c>
    </row>
    <row r="2258" spans="22:26" x14ac:dyDescent="0.2">
      <c r="V2258" s="202" t="str">
        <f t="shared" si="43"/>
        <v>1w</v>
      </c>
      <c r="W2258" s="200">
        <f>_xll.qlCalendarAdvance(Calendar,W2257,V2258,"f",FALSE)</f>
        <v>54722</v>
      </c>
      <c r="X2258" s="203">
        <f>_xll.qlCalendarAdvance(Calendar,W2258,NDays&amp;"D")</f>
        <v>54724</v>
      </c>
      <c r="Y2258" s="204">
        <v>2.1959508440341502E-2</v>
      </c>
      <c r="Z2258" s="201">
        <v>2.1940331846765915E-2</v>
      </c>
    </row>
    <row r="2259" spans="22:26" x14ac:dyDescent="0.2">
      <c r="V2259" s="202" t="str">
        <f t="shared" si="43"/>
        <v>1w</v>
      </c>
      <c r="W2259" s="200">
        <f>_xll.qlCalendarAdvance(Calendar,W2258,V2259,"f",FALSE)</f>
        <v>54729</v>
      </c>
      <c r="X2259" s="203">
        <f>_xll.qlCalendarAdvance(Calendar,W2259,NDays&amp;"D")</f>
        <v>54731</v>
      </c>
      <c r="Y2259" s="204">
        <v>2.1958785364544764E-2</v>
      </c>
      <c r="Z2259" s="201">
        <v>2.1939642232879919E-2</v>
      </c>
    </row>
    <row r="2260" spans="22:26" x14ac:dyDescent="0.2">
      <c r="V2260" s="202" t="str">
        <f t="shared" si="43"/>
        <v>1w</v>
      </c>
      <c r="W2260" s="200">
        <f>_xll.qlCalendarAdvance(Calendar,W2259,V2260,"f",FALSE)</f>
        <v>54736</v>
      </c>
      <c r="X2260" s="203">
        <f>_xll.qlCalendarAdvance(Calendar,W2260,NDays&amp;"D")</f>
        <v>54738</v>
      </c>
      <c r="Y2260" s="204">
        <v>2.1958047765885114E-2</v>
      </c>
      <c r="Z2260" s="201">
        <v>2.1938938123309271E-2</v>
      </c>
    </row>
    <row r="2261" spans="22:26" x14ac:dyDescent="0.2">
      <c r="V2261" s="202" t="str">
        <f t="shared" ref="V2261:V2324" si="44">V2260</f>
        <v>1w</v>
      </c>
      <c r="W2261" s="200">
        <f>_xll.qlCalendarAdvance(Calendar,W2260,V2261,"f",FALSE)</f>
        <v>54743</v>
      </c>
      <c r="X2261" s="203">
        <f>_xll.qlCalendarAdvance(Calendar,W2261,NDays&amp;"D")</f>
        <v>54745</v>
      </c>
      <c r="Y2261" s="204">
        <v>2.1957295644385033E-2</v>
      </c>
      <c r="Z2261" s="201">
        <v>2.1938219518373714E-2</v>
      </c>
    </row>
    <row r="2262" spans="22:26" x14ac:dyDescent="0.2">
      <c r="V2262" s="202" t="str">
        <f t="shared" si="44"/>
        <v>1w</v>
      </c>
      <c r="W2262" s="200">
        <f>_xll.qlCalendarAdvance(Calendar,W2261,V2262,"f",FALSE)</f>
        <v>54750</v>
      </c>
      <c r="X2262" s="203">
        <f>_xll.qlCalendarAdvance(Calendar,W2262,NDays&amp;"D")</f>
        <v>54752</v>
      </c>
      <c r="Y2262" s="204">
        <v>2.1956529000037028E-2</v>
      </c>
      <c r="Z2262" s="201">
        <v>2.1937486417913377E-2</v>
      </c>
    </row>
    <row r="2263" spans="22:26" x14ac:dyDescent="0.2">
      <c r="V2263" s="202" t="str">
        <f t="shared" si="44"/>
        <v>1w</v>
      </c>
      <c r="W2263" s="200">
        <f>_xll.qlCalendarAdvance(Calendar,W2262,V2263,"f",FALSE)</f>
        <v>54757</v>
      </c>
      <c r="X2263" s="203">
        <f>_xll.qlCalendarAdvance(Calendar,W2263,NDays&amp;"D")</f>
        <v>54759</v>
      </c>
      <c r="Y2263" s="204">
        <v>2.1955747832846095E-2</v>
      </c>
      <c r="Z2263" s="201">
        <v>2.1936738822008195E-2</v>
      </c>
    </row>
    <row r="2264" spans="22:26" x14ac:dyDescent="0.2">
      <c r="V2264" s="202" t="str">
        <f t="shared" si="44"/>
        <v>1w</v>
      </c>
      <c r="W2264" s="200">
        <f>_xll.qlCalendarAdvance(Calendar,W2263,V2264,"f",FALSE)</f>
        <v>54764</v>
      </c>
      <c r="X2264" s="203">
        <f>_xll.qlCalendarAdvance(Calendar,W2264,NDays&amp;"D")</f>
        <v>54766</v>
      </c>
      <c r="Y2264" s="204">
        <v>2.1954952142809736E-2</v>
      </c>
      <c r="Z2264" s="201">
        <v>2.1935976730498297E-2</v>
      </c>
    </row>
    <row r="2265" spans="22:26" x14ac:dyDescent="0.2">
      <c r="V2265" s="202" t="str">
        <f t="shared" si="44"/>
        <v>1w</v>
      </c>
      <c r="W2265" s="200">
        <f>_xll.qlCalendarAdvance(Calendar,W2264,V2265,"f",FALSE)</f>
        <v>54771</v>
      </c>
      <c r="X2265" s="203">
        <f>_xll.qlCalendarAdvance(Calendar,W2265,NDays&amp;"D")</f>
        <v>54773</v>
      </c>
      <c r="Y2265" s="204">
        <v>2.1954141929940441E-2</v>
      </c>
      <c r="Z2265" s="201">
        <v>2.1935200143703426E-2</v>
      </c>
    </row>
    <row r="2266" spans="22:26" x14ac:dyDescent="0.2">
      <c r="V2266" s="202" t="str">
        <f t="shared" si="44"/>
        <v>1w</v>
      </c>
      <c r="W2266" s="200">
        <f>_xll.qlCalendarAdvance(Calendar,W2265,V2266,"f",FALSE)</f>
        <v>54778</v>
      </c>
      <c r="X2266" s="203">
        <f>_xll.qlCalendarAdvance(Calendar,W2266,NDays&amp;"D")</f>
        <v>54780</v>
      </c>
      <c r="Y2266" s="204">
        <v>2.1953317194233213E-2</v>
      </c>
      <c r="Z2266" s="201">
        <v>2.1934409061223903E-2</v>
      </c>
    </row>
    <row r="2267" spans="22:26" x14ac:dyDescent="0.2">
      <c r="V2267" s="202" t="str">
        <f t="shared" si="44"/>
        <v>1w</v>
      </c>
      <c r="W2267" s="200">
        <f>_xll.qlCalendarAdvance(Calendar,W2266,V2267,"f",FALSE)</f>
        <v>54785</v>
      </c>
      <c r="X2267" s="203">
        <f>_xll.qlCalendarAdvance(Calendar,W2267,NDays&amp;"D")</f>
        <v>54787</v>
      </c>
      <c r="Y2267" s="204">
        <v>2.1952477935695547E-2</v>
      </c>
      <c r="Z2267" s="201">
        <v>2.1933603483299535E-2</v>
      </c>
    </row>
    <row r="2268" spans="22:26" x14ac:dyDescent="0.2">
      <c r="V2268" s="202" t="str">
        <f t="shared" si="44"/>
        <v>1w</v>
      </c>
      <c r="W2268" s="200">
        <f>_xll.qlCalendarAdvance(Calendar,W2267,V2268,"f",FALSE)</f>
        <v>54792</v>
      </c>
      <c r="X2268" s="203">
        <f>_xll.qlCalendarAdvance(Calendar,W2268,NDays&amp;"D")</f>
        <v>54794</v>
      </c>
      <c r="Y2268" s="204">
        <v>2.1951624154332439E-2</v>
      </c>
      <c r="Z2268" s="201">
        <v>2.1932783409930323E-2</v>
      </c>
    </row>
    <row r="2269" spans="22:26" x14ac:dyDescent="0.2">
      <c r="V2269" s="202" t="str">
        <f t="shared" si="44"/>
        <v>1w</v>
      </c>
      <c r="W2269" s="200">
        <f>_xll.qlCalendarAdvance(Calendar,W2268,V2269,"f",FALSE)</f>
        <v>54799</v>
      </c>
      <c r="X2269" s="203">
        <f>_xll.qlCalendarAdvance(Calendar,W2269,NDays&amp;"D")</f>
        <v>54801</v>
      </c>
      <c r="Y2269" s="204">
        <v>2.195075585014139E-2</v>
      </c>
      <c r="Z2269" s="201">
        <v>2.1931948841036331E-2</v>
      </c>
    </row>
    <row r="2270" spans="22:26" x14ac:dyDescent="0.2">
      <c r="V2270" s="202" t="str">
        <f t="shared" si="44"/>
        <v>1w</v>
      </c>
      <c r="W2270" s="200">
        <f>_xll.qlCalendarAdvance(Calendar,W2269,V2270,"f",FALSE)</f>
        <v>54806</v>
      </c>
      <c r="X2270" s="203">
        <f>_xll.qlCalendarAdvance(Calendar,W2270,NDays&amp;"D")</f>
        <v>54808</v>
      </c>
      <c r="Y2270" s="204">
        <v>2.1949873023129896E-2</v>
      </c>
      <c r="Z2270" s="201">
        <v>2.193109977677743E-2</v>
      </c>
    </row>
    <row r="2271" spans="22:26" x14ac:dyDescent="0.2">
      <c r="V2271" s="202" t="str">
        <f t="shared" si="44"/>
        <v>1w</v>
      </c>
      <c r="W2271" s="200">
        <f>_xll.qlCalendarAdvance(Calendar,W2270,V2271,"f",FALSE)</f>
        <v>54813</v>
      </c>
      <c r="X2271" s="203">
        <f>_xll.qlCalendarAdvance(Calendar,W2271,NDays&amp;"D")</f>
        <v>54815</v>
      </c>
      <c r="Y2271" s="204">
        <v>2.1948975673300453E-2</v>
      </c>
      <c r="Z2271" s="201">
        <v>2.1930236216833876E-2</v>
      </c>
    </row>
    <row r="2272" spans="22:26" x14ac:dyDescent="0.2">
      <c r="V2272" s="202" t="str">
        <f t="shared" si="44"/>
        <v>1w</v>
      </c>
      <c r="W2272" s="200">
        <f>_xll.qlCalendarAdvance(Calendar,W2271,V2272,"f",FALSE)</f>
        <v>54820</v>
      </c>
      <c r="X2272" s="203">
        <f>_xll.qlCalendarAdvance(Calendar,W2272,NDays&amp;"D")</f>
        <v>54822</v>
      </c>
      <c r="Y2272" s="204">
        <v>2.1945654464455368E-2</v>
      </c>
      <c r="Z2272" s="201">
        <v>2.1929358161525414E-2</v>
      </c>
    </row>
    <row r="2273" spans="22:26" x14ac:dyDescent="0.2">
      <c r="V2273" s="202" t="str">
        <f t="shared" si="44"/>
        <v>1w</v>
      </c>
      <c r="W2273" s="200">
        <f>_xll.qlCalendarAdvance(Calendar,W2272,V2273,"f",FALSE)</f>
        <v>54827</v>
      </c>
      <c r="X2273" s="203">
        <f>_xll.qlCalendarAdvance(Calendar,W2273,NDays&amp;"D")</f>
        <v>54829</v>
      </c>
      <c r="Y2273" s="204">
        <v>2.1944732443030444E-2</v>
      </c>
      <c r="Z2273" s="201">
        <v>2.1928465610612236E-2</v>
      </c>
    </row>
    <row r="2274" spans="22:26" x14ac:dyDescent="0.2">
      <c r="V2274" s="202" t="str">
        <f t="shared" si="44"/>
        <v>1w</v>
      </c>
      <c r="W2274" s="200">
        <f>_xll.qlCalendarAdvance(Calendar,W2273,V2274,"f",FALSE)</f>
        <v>54834</v>
      </c>
      <c r="X2274" s="203">
        <f>_xll.qlCalendarAdvance(Calendar,W2274,NDays&amp;"D")</f>
        <v>54836</v>
      </c>
      <c r="Y2274" s="204">
        <v>2.1943795902331167E-2</v>
      </c>
      <c r="Z2274" s="201">
        <v>2.1927558564414085E-2</v>
      </c>
    </row>
    <row r="2275" spans="22:26" x14ac:dyDescent="0.2">
      <c r="V2275" s="202" t="str">
        <f t="shared" si="44"/>
        <v>1w</v>
      </c>
      <c r="W2275" s="200">
        <f>_xll.qlCalendarAdvance(Calendar,W2274,V2275,"f",FALSE)</f>
        <v>54841</v>
      </c>
      <c r="X2275" s="203">
        <f>_xll.qlCalendarAdvance(Calendar,W2275,NDays&amp;"D")</f>
        <v>54843</v>
      </c>
      <c r="Y2275" s="204">
        <v>2.1942844842346113E-2</v>
      </c>
      <c r="Z2275" s="201">
        <v>2.1926637022451345E-2</v>
      </c>
    </row>
    <row r="2276" spans="22:26" x14ac:dyDescent="0.2">
      <c r="V2276" s="202" t="str">
        <f t="shared" si="44"/>
        <v>1w</v>
      </c>
      <c r="W2276" s="200">
        <f>_xll.qlCalendarAdvance(Calendar,W2275,V2276,"f",FALSE)</f>
        <v>54848</v>
      </c>
      <c r="X2276" s="203">
        <f>_xll.qlCalendarAdvance(Calendar,W2276,NDays&amp;"D")</f>
        <v>54850</v>
      </c>
      <c r="Y2276" s="204">
        <v>2.1944271082011413E-2</v>
      </c>
      <c r="Z2276" s="201">
        <v>2.1925700985283569E-2</v>
      </c>
    </row>
    <row r="2277" spans="22:26" x14ac:dyDescent="0.2">
      <c r="V2277" s="202" t="str">
        <f t="shared" si="44"/>
        <v>1w</v>
      </c>
      <c r="W2277" s="200">
        <f>_xll.qlCalendarAdvance(Calendar,W2276,V2277,"f",FALSE)</f>
        <v>54855</v>
      </c>
      <c r="X2277" s="203">
        <f>_xll.qlCalendarAdvance(Calendar,W2277,NDays&amp;"D")</f>
        <v>54857</v>
      </c>
      <c r="Y2277" s="204">
        <v>2.1943883252129644E-2</v>
      </c>
      <c r="Z2277" s="201">
        <v>2.1924750452511077E-2</v>
      </c>
    </row>
    <row r="2278" spans="22:26" x14ac:dyDescent="0.2">
      <c r="V2278" s="202" t="str">
        <f t="shared" si="44"/>
        <v>1w</v>
      </c>
      <c r="W2278" s="200">
        <f>_xll.qlCalendarAdvance(Calendar,W2277,V2278,"f",FALSE)</f>
        <v>54862</v>
      </c>
      <c r="X2278" s="203">
        <f>_xll.qlCalendarAdvance(Calendar,W2278,NDays&amp;"D")</f>
        <v>54864</v>
      </c>
      <c r="Y2278" s="204">
        <v>2.1942287585891562E-2</v>
      </c>
      <c r="Z2278" s="201">
        <v>2.1923785424213804E-2</v>
      </c>
    </row>
    <row r="2279" spans="22:26" x14ac:dyDescent="0.2">
      <c r="V2279" s="202" t="str">
        <f t="shared" si="44"/>
        <v>1w</v>
      </c>
      <c r="W2279" s="200">
        <f>_xll.qlCalendarAdvance(Calendar,W2278,V2279,"f",FALSE)</f>
        <v>54869</v>
      </c>
      <c r="X2279" s="203">
        <f>_xll.qlCalendarAdvance(Calendar,W2279,NDays&amp;"D")</f>
        <v>54871</v>
      </c>
      <c r="Y2279" s="204">
        <v>2.1941274053645932E-2</v>
      </c>
      <c r="Z2279" s="201">
        <v>2.1922805900391751E-2</v>
      </c>
    </row>
    <row r="2280" spans="22:26" x14ac:dyDescent="0.2">
      <c r="V2280" s="202" t="str">
        <f t="shared" si="44"/>
        <v>1w</v>
      </c>
      <c r="W2280" s="200">
        <f>_xll.qlCalendarAdvance(Calendar,W2279,V2280,"f",FALSE)</f>
        <v>54876</v>
      </c>
      <c r="X2280" s="203">
        <f>_xll.qlCalendarAdvance(Calendar,W2280,NDays&amp;"D")</f>
        <v>54878</v>
      </c>
      <c r="Y2280" s="204">
        <v>2.1938465435800823E-2</v>
      </c>
      <c r="Z2280" s="201">
        <v>2.1921811881204789E-2</v>
      </c>
    </row>
    <row r="2281" spans="22:26" x14ac:dyDescent="0.2">
      <c r="V2281" s="202" t="str">
        <f t="shared" si="44"/>
        <v>1w</v>
      </c>
      <c r="W2281" s="200">
        <f>_xll.qlCalendarAdvance(Calendar,W2280,V2281,"f",FALSE)</f>
        <v>54883</v>
      </c>
      <c r="X2281" s="203">
        <f>_xll.qlCalendarAdvance(Calendar,W2281,NDays&amp;"D")</f>
        <v>54885</v>
      </c>
      <c r="Y2281" s="204">
        <v>2.1939203420813236E-2</v>
      </c>
      <c r="Z2281" s="201">
        <v>2.1923181917289369E-2</v>
      </c>
    </row>
    <row r="2282" spans="22:26" x14ac:dyDescent="0.2">
      <c r="V2282" s="202" t="str">
        <f t="shared" si="44"/>
        <v>1w</v>
      </c>
      <c r="W2282" s="200">
        <f>_xll.qlCalendarAdvance(Calendar,W2281,V2282,"f",FALSE)</f>
        <v>54890</v>
      </c>
      <c r="X2282" s="203">
        <f>_xll.qlCalendarAdvance(Calendar,W2282,NDays&amp;"D")</f>
        <v>54892</v>
      </c>
      <c r="Y2282" s="204">
        <v>2.1938146320226171E-2</v>
      </c>
      <c r="Z2282" s="201">
        <v>2.1919780356176588E-2</v>
      </c>
    </row>
    <row r="2283" spans="22:26" x14ac:dyDescent="0.2">
      <c r="V2283" s="202" t="str">
        <f t="shared" si="44"/>
        <v>1w</v>
      </c>
      <c r="W2283" s="200">
        <f>_xll.qlCalendarAdvance(Calendar,W2282,V2283,"f",FALSE)</f>
        <v>54897</v>
      </c>
      <c r="X2283" s="203">
        <f>_xll.qlCalendarAdvance(Calendar,W2283,NDays&amp;"D")</f>
        <v>54899</v>
      </c>
      <c r="Y2283" s="204">
        <v>2.1937074696868619E-2</v>
      </c>
      <c r="Z2283" s="201">
        <v>2.1918742850495221E-2</v>
      </c>
    </row>
    <row r="2284" spans="22:26" x14ac:dyDescent="0.2">
      <c r="V2284" s="202" t="str">
        <f t="shared" si="44"/>
        <v>1w</v>
      </c>
      <c r="W2284" s="200">
        <f>_xll.qlCalendarAdvance(Calendar,W2283,V2284,"f",FALSE)</f>
        <v>54904</v>
      </c>
      <c r="X2284" s="203">
        <f>_xll.qlCalendarAdvance(Calendar,W2284,NDays&amp;"D")</f>
        <v>54906</v>
      </c>
      <c r="Y2284" s="204">
        <v>2.193598855074308E-2</v>
      </c>
      <c r="Z2284" s="201">
        <v>2.1917690849289073E-2</v>
      </c>
    </row>
    <row r="2285" spans="22:26" x14ac:dyDescent="0.2">
      <c r="V2285" s="202" t="str">
        <f t="shared" si="44"/>
        <v>1w</v>
      </c>
      <c r="W2285" s="200">
        <f>_xll.qlCalendarAdvance(Calendar,W2284,V2285,"f",FALSE)</f>
        <v>54911</v>
      </c>
      <c r="X2285" s="203">
        <f>_xll.qlCalendarAdvance(Calendar,W2285,NDays&amp;"D")</f>
        <v>54913</v>
      </c>
      <c r="Y2285" s="204">
        <v>2.1934887881849552E-2</v>
      </c>
      <c r="Z2285" s="201">
        <v>2.1916624352558145E-2</v>
      </c>
    </row>
    <row r="2286" spans="22:26" x14ac:dyDescent="0.2">
      <c r="V2286" s="202" t="str">
        <f t="shared" si="44"/>
        <v>1w</v>
      </c>
      <c r="W2286" s="200">
        <f>_xll.qlCalendarAdvance(Calendar,W2285,V2286,"f",FALSE)</f>
        <v>54918</v>
      </c>
      <c r="X2286" s="203">
        <f>_xll.qlCalendarAdvance(Calendar,W2286,NDays&amp;"D")</f>
        <v>54920</v>
      </c>
      <c r="Y2286" s="204">
        <v>2.1933772690198028E-2</v>
      </c>
      <c r="Z2286" s="201">
        <v>2.1915543360382372E-2</v>
      </c>
    </row>
    <row r="2287" spans="22:26" x14ac:dyDescent="0.2">
      <c r="V2287" s="202" t="str">
        <f t="shared" si="44"/>
        <v>1w</v>
      </c>
      <c r="W2287" s="200">
        <f>_xll.qlCalendarAdvance(Calendar,W2286,V2287,"f",FALSE)</f>
        <v>54925</v>
      </c>
      <c r="X2287" s="203">
        <f>_xll.qlCalendarAdvance(Calendar,W2287,NDays&amp;"D")</f>
        <v>54927</v>
      </c>
      <c r="Y2287" s="204">
        <v>2.1932642975793504E-2</v>
      </c>
      <c r="Z2287" s="201">
        <v>2.1914447872761755E-2</v>
      </c>
    </row>
    <row r="2288" spans="22:26" x14ac:dyDescent="0.2">
      <c r="V2288" s="202" t="str">
        <f t="shared" si="44"/>
        <v>1w</v>
      </c>
      <c r="W2288" s="200">
        <f>_xll.qlCalendarAdvance(Calendar,W2287,V2288,"f",FALSE)</f>
        <v>54932</v>
      </c>
      <c r="X2288" s="203">
        <f>_xll.qlCalendarAdvance(Calendar,W2288,NDays&amp;"D")</f>
        <v>54934</v>
      </c>
      <c r="Y2288" s="204">
        <v>2.1931498738635979E-2</v>
      </c>
      <c r="Z2288" s="201">
        <v>2.1913337889696294E-2</v>
      </c>
    </row>
    <row r="2289" spans="22:26" x14ac:dyDescent="0.2">
      <c r="V2289" s="202" t="str">
        <f t="shared" si="44"/>
        <v>1w</v>
      </c>
      <c r="W2289" s="200">
        <f>_xll.qlCalendarAdvance(Calendar,W2288,V2289,"f",FALSE)</f>
        <v>54939</v>
      </c>
      <c r="X2289" s="203">
        <f>_xll.qlCalendarAdvance(Calendar,W2289,NDays&amp;"D")</f>
        <v>54941</v>
      </c>
      <c r="Y2289" s="204">
        <v>2.1930339978725455E-2</v>
      </c>
      <c r="Z2289" s="201">
        <v>2.191221341094618E-2</v>
      </c>
    </row>
    <row r="2290" spans="22:26" x14ac:dyDescent="0.2">
      <c r="V2290" s="202" t="str">
        <f t="shared" si="44"/>
        <v>1w</v>
      </c>
      <c r="W2290" s="200">
        <f>_xll.qlCalendarAdvance(Calendar,W2289,V2290,"f",FALSE)</f>
        <v>54946</v>
      </c>
      <c r="X2290" s="203">
        <f>_xll.qlCalendarAdvance(Calendar,W2290,NDays&amp;"D")</f>
        <v>54948</v>
      </c>
      <c r="Y2290" s="204">
        <v>2.1929166696079416E-2</v>
      </c>
      <c r="Z2290" s="201">
        <v>2.1911074436911093E-2</v>
      </c>
    </row>
    <row r="2291" spans="22:26" x14ac:dyDescent="0.2">
      <c r="V2291" s="202" t="str">
        <f t="shared" si="44"/>
        <v>1w</v>
      </c>
      <c r="W2291" s="200">
        <f>_xll.qlCalendarAdvance(Calendar,W2290,V2291,"f",FALSE)</f>
        <v>54953</v>
      </c>
      <c r="X2291" s="203">
        <f>_xll.qlCalendarAdvance(Calendar,W2291,NDays&amp;"D")</f>
        <v>54955</v>
      </c>
      <c r="Y2291" s="204">
        <v>2.1927978890697863E-2</v>
      </c>
      <c r="Z2291" s="201">
        <v>2.190992096727129E-2</v>
      </c>
    </row>
    <row r="2292" spans="22:26" x14ac:dyDescent="0.2">
      <c r="V2292" s="202" t="str">
        <f t="shared" si="44"/>
        <v>1w</v>
      </c>
      <c r="W2292" s="200">
        <f>_xll.qlCalendarAdvance(Calendar,W2291,V2292,"f",FALSE)</f>
        <v>54960</v>
      </c>
      <c r="X2292" s="203">
        <f>_xll.qlCalendarAdvance(Calendar,W2292,NDays&amp;"D")</f>
        <v>54962</v>
      </c>
      <c r="Y2292" s="204">
        <v>2.1926776562578298E-2</v>
      </c>
      <c r="Z2292" s="201">
        <v>2.1908753002186643E-2</v>
      </c>
    </row>
    <row r="2293" spans="22:26" x14ac:dyDescent="0.2">
      <c r="V2293" s="202" t="str">
        <f t="shared" si="44"/>
        <v>1w</v>
      </c>
      <c r="W2293" s="200">
        <f>_xll.qlCalendarAdvance(Calendar,W2292,V2293,"f",FALSE)</f>
        <v>54967</v>
      </c>
      <c r="X2293" s="203">
        <f>_xll.qlCalendarAdvance(Calendar,W2293,NDays&amp;"D")</f>
        <v>54969</v>
      </c>
      <c r="Y2293" s="204">
        <v>2.1923822279207344E-2</v>
      </c>
      <c r="Z2293" s="201">
        <v>2.1907570541577215E-2</v>
      </c>
    </row>
    <row r="2294" spans="22:26" x14ac:dyDescent="0.2">
      <c r="V2294" s="202" t="str">
        <f t="shared" si="44"/>
        <v>1w</v>
      </c>
      <c r="W2294" s="200">
        <f>_xll.qlCalendarAdvance(Calendar,W2293,V2294,"f",FALSE)</f>
        <v>54974</v>
      </c>
      <c r="X2294" s="203">
        <f>_xll.qlCalendarAdvance(Calendar,W2294,NDays&amp;"D")</f>
        <v>54976</v>
      </c>
      <c r="Y2294" s="204">
        <v>2.1924328338157606E-2</v>
      </c>
      <c r="Z2294" s="201">
        <v>2.1906373585443006E-2</v>
      </c>
    </row>
    <row r="2295" spans="22:26" x14ac:dyDescent="0.2">
      <c r="V2295" s="202" t="str">
        <f t="shared" si="44"/>
        <v>1w</v>
      </c>
      <c r="W2295" s="200">
        <f>_xll.qlCalendarAdvance(Calendar,W2294,V2295,"f",FALSE)</f>
        <v>54981</v>
      </c>
      <c r="X2295" s="203">
        <f>_xll.qlCalendarAdvance(Calendar,W2295,NDays&amp;"D")</f>
        <v>54983</v>
      </c>
      <c r="Y2295" s="204">
        <v>2.192308244186647E-2</v>
      </c>
      <c r="Z2295" s="201">
        <v>2.190516213394389E-2</v>
      </c>
    </row>
    <row r="2296" spans="22:26" x14ac:dyDescent="0.2">
      <c r="V2296" s="202" t="str">
        <f t="shared" si="44"/>
        <v>1w</v>
      </c>
      <c r="W2296" s="200">
        <f>_xll.qlCalendarAdvance(Calendar,W2295,V2296,"f",FALSE)</f>
        <v>54988</v>
      </c>
      <c r="X2296" s="203">
        <f>_xll.qlCalendarAdvance(Calendar,W2296,NDays&amp;"D")</f>
        <v>54990</v>
      </c>
      <c r="Y2296" s="204">
        <v>2.1921822022859805E-2</v>
      </c>
      <c r="Z2296" s="201">
        <v>2.1903936186919992E-2</v>
      </c>
    </row>
    <row r="2297" spans="22:26" x14ac:dyDescent="0.2">
      <c r="V2297" s="202" t="str">
        <f t="shared" si="44"/>
        <v>1w</v>
      </c>
      <c r="W2297" s="200">
        <f>_xll.qlCalendarAdvance(Calendar,W2296,V2297,"f",FALSE)</f>
        <v>54995</v>
      </c>
      <c r="X2297" s="203">
        <f>_xll.qlCalendarAdvance(Calendar,W2297,NDays&amp;"D")</f>
        <v>54997</v>
      </c>
      <c r="Y2297" s="204">
        <v>2.1920547081145103E-2</v>
      </c>
      <c r="Z2297" s="201">
        <v>2.1902695744371314E-2</v>
      </c>
    </row>
    <row r="2298" spans="22:26" x14ac:dyDescent="0.2">
      <c r="V2298" s="202" t="str">
        <f t="shared" si="44"/>
        <v>1w</v>
      </c>
      <c r="W2298" s="200">
        <f>_xll.qlCalendarAdvance(Calendar,W2297,V2298,"f",FALSE)</f>
        <v>55002</v>
      </c>
      <c r="X2298" s="203">
        <f>_xll.qlCalendarAdvance(Calendar,W2298,NDays&amp;"D")</f>
        <v>55004</v>
      </c>
      <c r="Y2298" s="204">
        <v>2.1919257616727361E-2</v>
      </c>
      <c r="Z2298" s="201">
        <v>2.1901440806377792E-2</v>
      </c>
    </row>
    <row r="2299" spans="22:26" x14ac:dyDescent="0.2">
      <c r="V2299" s="202" t="str">
        <f t="shared" si="44"/>
        <v>1w</v>
      </c>
      <c r="W2299" s="200">
        <f>_xll.qlCalendarAdvance(Calendar,W2298,V2299,"f",FALSE)</f>
        <v>55009</v>
      </c>
      <c r="X2299" s="203">
        <f>_xll.qlCalendarAdvance(Calendar,W2299,NDays&amp;"D")</f>
        <v>55011</v>
      </c>
      <c r="Y2299" s="204">
        <v>2.1917953629609077E-2</v>
      </c>
      <c r="Z2299" s="201">
        <v>2.1900171372859489E-2</v>
      </c>
    </row>
    <row r="2300" spans="22:26" x14ac:dyDescent="0.2">
      <c r="V2300" s="202" t="str">
        <f t="shared" si="44"/>
        <v>1w</v>
      </c>
      <c r="W2300" s="200">
        <f>_xll.qlCalendarAdvance(Calendar,W2299,V2300,"f",FALSE)</f>
        <v>55016</v>
      </c>
      <c r="X2300" s="203">
        <f>_xll.qlCalendarAdvance(Calendar,W2300,NDays&amp;"D")</f>
        <v>55018</v>
      </c>
      <c r="Y2300" s="204">
        <v>2.1916635119790251E-2</v>
      </c>
      <c r="Z2300" s="201">
        <v>2.1898887443816406E-2</v>
      </c>
    </row>
    <row r="2301" spans="22:26" x14ac:dyDescent="0.2">
      <c r="V2301" s="202" t="str">
        <f t="shared" si="44"/>
        <v>1w</v>
      </c>
      <c r="W2301" s="200">
        <f>_xll.qlCalendarAdvance(Calendar,W2300,V2301,"f",FALSE)</f>
        <v>55023</v>
      </c>
      <c r="X2301" s="203">
        <f>_xll.qlCalendarAdvance(Calendar,W2301,NDays&amp;"D")</f>
        <v>55025</v>
      </c>
      <c r="Y2301" s="204">
        <v>2.1915302087290867E-2</v>
      </c>
      <c r="Z2301" s="201">
        <v>2.189758901948835E-2</v>
      </c>
    </row>
    <row r="2302" spans="22:26" x14ac:dyDescent="0.2">
      <c r="V2302" s="202" t="str">
        <f t="shared" si="44"/>
        <v>1w</v>
      </c>
      <c r="W2302" s="200">
        <f>_xll.qlCalendarAdvance(Calendar,W2301,V2302,"f",FALSE)</f>
        <v>55030</v>
      </c>
      <c r="X2302" s="203">
        <f>_xll.qlCalendarAdvance(Calendar,W2302,NDays&amp;"D")</f>
        <v>55032</v>
      </c>
      <c r="Y2302" s="204">
        <v>2.1913954532105928E-2</v>
      </c>
      <c r="Z2302" s="201">
        <v>2.1896276099555578E-2</v>
      </c>
    </row>
    <row r="2303" spans="22:26" x14ac:dyDescent="0.2">
      <c r="V2303" s="202" t="str">
        <f t="shared" si="44"/>
        <v>1w</v>
      </c>
      <c r="W2303" s="200">
        <f>_xll.qlCalendarAdvance(Calendar,W2302,V2303,"f",FALSE)</f>
        <v>55037</v>
      </c>
      <c r="X2303" s="203">
        <f>_xll.qlCalendarAdvance(Calendar,W2303,NDays&amp;"D")</f>
        <v>55039</v>
      </c>
      <c r="Y2303" s="204">
        <v>2.1912592454237934E-2</v>
      </c>
      <c r="Z2303" s="201">
        <v>2.189494868401809E-2</v>
      </c>
    </row>
    <row r="2304" spans="22:26" x14ac:dyDescent="0.2">
      <c r="V2304" s="202" t="str">
        <f t="shared" si="44"/>
        <v>1w</v>
      </c>
      <c r="W2304" s="200">
        <f>_xll.qlCalendarAdvance(Calendar,W2303,V2304,"f",FALSE)</f>
        <v>55044</v>
      </c>
      <c r="X2304" s="203">
        <f>_xll.qlCalendarAdvance(Calendar,W2304,NDays&amp;"D")</f>
        <v>55046</v>
      </c>
      <c r="Y2304" s="204">
        <v>2.1911215853694377E-2</v>
      </c>
      <c r="Z2304" s="201">
        <v>2.1893606773115692E-2</v>
      </c>
    </row>
    <row r="2305" spans="22:26" x14ac:dyDescent="0.2">
      <c r="V2305" s="202" t="str">
        <f t="shared" si="44"/>
        <v>1w</v>
      </c>
      <c r="W2305" s="200">
        <f>_xll.qlCalendarAdvance(Calendar,W2304,V2305,"f",FALSE)</f>
        <v>55051</v>
      </c>
      <c r="X2305" s="203">
        <f>_xll.qlCalendarAdvance(Calendar,W2305,NDays&amp;"D")</f>
        <v>55053</v>
      </c>
      <c r="Y2305" s="204">
        <v>2.1909824730490246E-2</v>
      </c>
      <c r="Z2305" s="201">
        <v>2.1892250366768451E-2</v>
      </c>
    </row>
    <row r="2306" spans="22:26" x14ac:dyDescent="0.2">
      <c r="V2306" s="202" t="str">
        <f t="shared" si="44"/>
        <v>1w</v>
      </c>
      <c r="W2306" s="200">
        <f>_xll.qlCalendarAdvance(Calendar,W2305,V2306,"f",FALSE)</f>
        <v>55058</v>
      </c>
      <c r="X2306" s="203">
        <f>_xll.qlCalendarAdvance(Calendar,W2306,NDays&amp;"D")</f>
        <v>55060</v>
      </c>
      <c r="Y2306" s="204">
        <v>2.1908419084613051E-2</v>
      </c>
      <c r="Z2306" s="201">
        <v>2.1890879464896429E-2</v>
      </c>
    </row>
    <row r="2307" spans="22:26" x14ac:dyDescent="0.2">
      <c r="V2307" s="202" t="str">
        <f t="shared" si="44"/>
        <v>1w</v>
      </c>
      <c r="W2307" s="200">
        <f>_xll.qlCalendarAdvance(Calendar,W2306,V2307,"f",FALSE)</f>
        <v>55065</v>
      </c>
      <c r="X2307" s="203">
        <f>_xll.qlCalendarAdvance(Calendar,W2307,NDays&amp;"D")</f>
        <v>55067</v>
      </c>
      <c r="Y2307" s="204">
        <v>2.1906998916082776E-2</v>
      </c>
      <c r="Z2307" s="201">
        <v>2.188949406741969E-2</v>
      </c>
    </row>
    <row r="2308" spans="22:26" x14ac:dyDescent="0.2">
      <c r="V2308" s="202" t="str">
        <f t="shared" si="44"/>
        <v>1w</v>
      </c>
      <c r="W2308" s="200">
        <f>_xll.qlCalendarAdvance(Calendar,W2307,V2308,"f",FALSE)</f>
        <v>55072</v>
      </c>
      <c r="X2308" s="203">
        <f>_xll.qlCalendarAdvance(Calendar,W2308,NDays&amp;"D")</f>
        <v>55074</v>
      </c>
      <c r="Y2308" s="204">
        <v>2.1905564224901919E-2</v>
      </c>
      <c r="Z2308" s="201">
        <v>2.1888094174578043E-2</v>
      </c>
    </row>
    <row r="2309" spans="22:26" x14ac:dyDescent="0.2">
      <c r="V2309" s="202" t="str">
        <f t="shared" si="44"/>
        <v>1w</v>
      </c>
      <c r="W2309" s="200">
        <f>_xll.qlCalendarAdvance(Calendar,W2308,V2309,"f",FALSE)</f>
        <v>55079</v>
      </c>
      <c r="X2309" s="203">
        <f>_xll.qlCalendarAdvance(Calendar,W2309,NDays&amp;"D")</f>
        <v>55081</v>
      </c>
      <c r="Y2309" s="204">
        <v>2.1904115011075476E-2</v>
      </c>
      <c r="Z2309" s="201">
        <v>2.1886679786291552E-2</v>
      </c>
    </row>
    <row r="2310" spans="22:26" x14ac:dyDescent="0.2">
      <c r="V2310" s="202" t="str">
        <f t="shared" si="44"/>
        <v>1w</v>
      </c>
      <c r="W2310" s="200">
        <f>_xll.qlCalendarAdvance(Calendar,W2309,V2310,"f",FALSE)</f>
        <v>55086</v>
      </c>
      <c r="X2310" s="203">
        <f>_xll.qlCalendarAdvance(Calendar,W2310,NDays&amp;"D")</f>
        <v>55088</v>
      </c>
      <c r="Y2310" s="204">
        <v>2.1902651274603446E-2</v>
      </c>
      <c r="Z2310" s="201">
        <v>2.188525090248028E-2</v>
      </c>
    </row>
    <row r="2311" spans="22:26" x14ac:dyDescent="0.2">
      <c r="V2311" s="202" t="str">
        <f t="shared" si="44"/>
        <v>1w</v>
      </c>
      <c r="W2311" s="200">
        <f>_xll.qlCalendarAdvance(Calendar,W2310,V2311,"f",FALSE)</f>
        <v>55093</v>
      </c>
      <c r="X2311" s="203">
        <f>_xll.qlCalendarAdvance(Calendar,W2311,NDays&amp;"D")</f>
        <v>55095</v>
      </c>
      <c r="Y2311" s="204">
        <v>2.1901173015498321E-2</v>
      </c>
      <c r="Z2311" s="201">
        <v>2.1883807523144228E-2</v>
      </c>
    </row>
    <row r="2312" spans="22:26" x14ac:dyDescent="0.2">
      <c r="V2312" s="202" t="str">
        <f t="shared" si="44"/>
        <v>1w</v>
      </c>
      <c r="W2312" s="200">
        <f>_xll.qlCalendarAdvance(Calendar,W2311,V2312,"f",FALSE)</f>
        <v>55100</v>
      </c>
      <c r="X2312" s="203">
        <f>_xll.qlCalendarAdvance(Calendar,W2312,NDays&amp;"D")</f>
        <v>55102</v>
      </c>
      <c r="Y2312" s="204">
        <v>2.1899680233762597E-2</v>
      </c>
      <c r="Z2312" s="201">
        <v>2.1882349648363331E-2</v>
      </c>
    </row>
    <row r="2313" spans="22:26" x14ac:dyDescent="0.2">
      <c r="V2313" s="202" t="str">
        <f t="shared" si="44"/>
        <v>1w</v>
      </c>
      <c r="W2313" s="200">
        <f>_xll.qlCalendarAdvance(Calendar,W2312,V2313,"f",FALSE)</f>
        <v>55107</v>
      </c>
      <c r="X2313" s="203">
        <f>_xll.qlCalendarAdvance(Calendar,W2313,NDays&amp;"D")</f>
        <v>55109</v>
      </c>
      <c r="Y2313" s="204">
        <v>2.189817292940377E-2</v>
      </c>
      <c r="Z2313" s="201">
        <v>2.1880877278057653E-2</v>
      </c>
    </row>
    <row r="2314" spans="22:26" x14ac:dyDescent="0.2">
      <c r="V2314" s="202" t="str">
        <f t="shared" si="44"/>
        <v>1w</v>
      </c>
      <c r="W2314" s="200">
        <f>_xll.qlCalendarAdvance(Calendar,W2313,V2314,"f",FALSE)</f>
        <v>55114</v>
      </c>
      <c r="X2314" s="203">
        <f>_xll.qlCalendarAdvance(Calendar,W2314,NDays&amp;"D")</f>
        <v>55116</v>
      </c>
      <c r="Y2314" s="204">
        <v>2.1897206538542043E-2</v>
      </c>
      <c r="Z2314" s="201">
        <v>2.1879390412307131E-2</v>
      </c>
    </row>
    <row r="2315" spans="22:26" x14ac:dyDescent="0.2">
      <c r="V2315" s="202" t="str">
        <f t="shared" si="44"/>
        <v>1w</v>
      </c>
      <c r="W2315" s="200">
        <f>_xll.qlCalendarAdvance(Calendar,W2314,V2315,"f",FALSE)</f>
        <v>55121</v>
      </c>
      <c r="X2315" s="203">
        <f>_xll.qlCalendarAdvance(Calendar,W2315,NDays&amp;"D")</f>
        <v>55123</v>
      </c>
      <c r="Y2315" s="204">
        <v>2.1895114752834288E-2</v>
      </c>
      <c r="Z2315" s="201">
        <v>2.1877889051111765E-2</v>
      </c>
    </row>
    <row r="2316" spans="22:26" x14ac:dyDescent="0.2">
      <c r="V2316" s="202" t="str">
        <f t="shared" si="44"/>
        <v>1w</v>
      </c>
      <c r="W2316" s="200">
        <f>_xll.qlCalendarAdvance(Calendar,W2315,V2316,"f",FALSE)</f>
        <v>55128</v>
      </c>
      <c r="X2316" s="203">
        <f>_xll.qlCalendarAdvance(Calendar,W2316,NDays&amp;"D")</f>
        <v>55130</v>
      </c>
      <c r="Y2316" s="204">
        <v>2.189356388064112E-2</v>
      </c>
      <c r="Z2316" s="201">
        <v>2.1876373194471554E-2</v>
      </c>
    </row>
    <row r="2317" spans="22:26" x14ac:dyDescent="0.2">
      <c r="V2317" s="202" t="str">
        <f t="shared" si="44"/>
        <v>1w</v>
      </c>
      <c r="W2317" s="200">
        <f>_xll.qlCalendarAdvance(Calendar,W2316,V2317,"f",FALSE)</f>
        <v>55135</v>
      </c>
      <c r="X2317" s="203">
        <f>_xll.qlCalendarAdvance(Calendar,W2317,NDays&amp;"D")</f>
        <v>55137</v>
      </c>
      <c r="Y2317" s="204">
        <v>2.1891998485844832E-2</v>
      </c>
      <c r="Z2317" s="201">
        <v>2.1874842842226627E-2</v>
      </c>
    </row>
    <row r="2318" spans="22:26" x14ac:dyDescent="0.2">
      <c r="V2318" s="202" t="str">
        <f t="shared" si="44"/>
        <v>1w</v>
      </c>
      <c r="W2318" s="200">
        <f>_xll.qlCalendarAdvance(Calendar,W2317,V2318,"f",FALSE)</f>
        <v>55142</v>
      </c>
      <c r="X2318" s="203">
        <f>_xll.qlCalendarAdvance(Calendar,W2318,NDays&amp;"D")</f>
        <v>55144</v>
      </c>
      <c r="Y2318" s="204">
        <v>2.1890418568455416E-2</v>
      </c>
      <c r="Z2318" s="201">
        <v>2.1873297994536856E-2</v>
      </c>
    </row>
    <row r="2319" spans="22:26" x14ac:dyDescent="0.2">
      <c r="V2319" s="202" t="str">
        <f t="shared" si="44"/>
        <v>1w</v>
      </c>
      <c r="W2319" s="200">
        <f>_xll.qlCalendarAdvance(Calendar,W2318,V2319,"f",FALSE)</f>
        <v>55149</v>
      </c>
      <c r="X2319" s="203">
        <f>_xll.qlCalendarAdvance(Calendar,W2319,NDays&amp;"D")</f>
        <v>55151</v>
      </c>
      <c r="Y2319" s="204">
        <v>2.1888824128472872E-2</v>
      </c>
      <c r="Z2319" s="201">
        <v>2.1871738651402239E-2</v>
      </c>
    </row>
    <row r="2320" spans="22:26" x14ac:dyDescent="0.2">
      <c r="V2320" s="202" t="str">
        <f t="shared" si="44"/>
        <v>1w</v>
      </c>
      <c r="W2320" s="200">
        <f>_xll.qlCalendarAdvance(Calendar,W2319,V2320,"f",FALSE)</f>
        <v>55156</v>
      </c>
      <c r="X2320" s="203">
        <f>_xll.qlCalendarAdvance(Calendar,W2320,NDays&amp;"D")</f>
        <v>55158</v>
      </c>
      <c r="Y2320" s="204">
        <v>2.1887215165914686E-2</v>
      </c>
      <c r="Z2320" s="201">
        <v>2.1870164812742843E-2</v>
      </c>
    </row>
    <row r="2321" spans="22:26" x14ac:dyDescent="0.2">
      <c r="V2321" s="202" t="str">
        <f t="shared" si="44"/>
        <v>1w</v>
      </c>
      <c r="W2321" s="200">
        <f>_xll.qlCalendarAdvance(Calendar,W2320,V2321,"f",FALSE)</f>
        <v>55163</v>
      </c>
      <c r="X2321" s="203">
        <f>_xll.qlCalendarAdvance(Calendar,W2321,NDays&amp;"D")</f>
        <v>55165</v>
      </c>
      <c r="Y2321" s="204">
        <v>2.188559168077836E-2</v>
      </c>
      <c r="Z2321" s="201">
        <v>2.1868576478558666E-2</v>
      </c>
    </row>
    <row r="2322" spans="22:26" x14ac:dyDescent="0.2">
      <c r="V2322" s="202" t="str">
        <f t="shared" si="44"/>
        <v>1w</v>
      </c>
      <c r="W2322" s="200">
        <f>_xll.qlCalendarAdvance(Calendar,W2321,V2322,"f",FALSE)</f>
        <v>55170</v>
      </c>
      <c r="X2322" s="203">
        <f>_xll.qlCalendarAdvance(Calendar,W2322,NDays&amp;"D")</f>
        <v>55172</v>
      </c>
      <c r="Y2322" s="204">
        <v>2.1883953673071388E-2</v>
      </c>
      <c r="Z2322" s="201">
        <v>2.186697364900958E-2</v>
      </c>
    </row>
    <row r="2323" spans="22:26" x14ac:dyDescent="0.2">
      <c r="V2323" s="202" t="str">
        <f t="shared" si="44"/>
        <v>1w</v>
      </c>
      <c r="W2323" s="200">
        <f>_xll.qlCalendarAdvance(Calendar,W2322,V2323,"f",FALSE)</f>
        <v>55177</v>
      </c>
      <c r="X2323" s="203">
        <f>_xll.qlCalendarAdvance(Calendar,W2323,NDays&amp;"D")</f>
        <v>55179</v>
      </c>
      <c r="Y2323" s="204">
        <v>2.1882301142803762E-2</v>
      </c>
      <c r="Z2323" s="201">
        <v>2.1865356323935714E-2</v>
      </c>
    </row>
    <row r="2324" spans="22:26" x14ac:dyDescent="0.2">
      <c r="V2324" s="202" t="str">
        <f t="shared" si="44"/>
        <v>1w</v>
      </c>
      <c r="W2324" s="200">
        <f>_xll.qlCalendarAdvance(Calendar,W2323,V2324,"f",FALSE)</f>
        <v>55184</v>
      </c>
      <c r="X2324" s="203">
        <f>_xll.qlCalendarAdvance(Calendar,W2324,NDays&amp;"D")</f>
        <v>55186</v>
      </c>
      <c r="Y2324" s="204">
        <v>2.1878456867976719E-2</v>
      </c>
      <c r="Z2324" s="201">
        <v>2.1863724503337068E-2</v>
      </c>
    </row>
    <row r="2325" spans="22:26" x14ac:dyDescent="0.2">
      <c r="V2325" s="202" t="str">
        <f t="shared" ref="V2325:V2388" si="45">V2324</f>
        <v>1w</v>
      </c>
      <c r="W2325" s="200">
        <f>_xll.qlCalendarAdvance(Calendar,W2324,V2325,"f",FALSE)</f>
        <v>55191</v>
      </c>
      <c r="X2325" s="203">
        <f>_xll.qlCalendarAdvance(Calendar,W2325,NDays&amp;"D")</f>
        <v>55193</v>
      </c>
      <c r="Y2325" s="204">
        <v>2.1876779849261396E-2</v>
      </c>
      <c r="Z2325" s="201">
        <v>2.186207818721364E-2</v>
      </c>
    </row>
    <row r="2326" spans="22:26" x14ac:dyDescent="0.2">
      <c r="V2326" s="202" t="str">
        <f t="shared" si="45"/>
        <v>1w</v>
      </c>
      <c r="W2326" s="200">
        <f>_xll.qlCalendarAdvance(Calendar,W2325,V2326,"f",FALSE)</f>
        <v>55198</v>
      </c>
      <c r="X2326" s="203">
        <f>_xll.qlCalendarAdvance(Calendar,W2326,NDays&amp;"D")</f>
        <v>55200</v>
      </c>
      <c r="Y2326" s="204">
        <v>2.1875088311494397E-2</v>
      </c>
      <c r="Z2326" s="201">
        <v>2.1860417375645369E-2</v>
      </c>
    </row>
    <row r="2327" spans="22:26" x14ac:dyDescent="0.2">
      <c r="V2327" s="202" t="str">
        <f t="shared" si="45"/>
        <v>1w</v>
      </c>
      <c r="W2327" s="200">
        <f>_xll.qlCalendarAdvance(Calendar,W2326,V2327,"f",FALSE)</f>
        <v>55205</v>
      </c>
      <c r="X2327" s="203">
        <f>_xll.qlCalendarAdvance(Calendar,W2327,NDays&amp;"D")</f>
        <v>55207</v>
      </c>
      <c r="Y2327" s="204">
        <v>2.1873382254681432E-2</v>
      </c>
      <c r="Z2327" s="201">
        <v>2.1858742068792125E-2</v>
      </c>
    </row>
    <row r="2328" spans="22:26" x14ac:dyDescent="0.2">
      <c r="V2328" s="202" t="str">
        <f t="shared" si="45"/>
        <v>1w</v>
      </c>
      <c r="W2328" s="200">
        <f>_xll.qlCalendarAdvance(Calendar,W2327,V2328,"f",FALSE)</f>
        <v>55212</v>
      </c>
      <c r="X2328" s="203">
        <f>_xll.qlCalendarAdvance(Calendar,W2328,NDays&amp;"D")</f>
        <v>55214</v>
      </c>
      <c r="Y2328" s="204">
        <v>2.1874360179301243E-2</v>
      </c>
      <c r="Z2328" s="201">
        <v>2.1857052266254229E-2</v>
      </c>
    </row>
    <row r="2329" spans="22:26" x14ac:dyDescent="0.2">
      <c r="V2329" s="202" t="str">
        <f t="shared" si="45"/>
        <v>1w</v>
      </c>
      <c r="W2329" s="200">
        <f>_xll.qlCalendarAdvance(Calendar,W2328,V2329,"f",FALSE)</f>
        <v>55219</v>
      </c>
      <c r="X2329" s="203">
        <f>_xll.qlCalendarAdvance(Calendar,W2329,NDays&amp;"D")</f>
        <v>55221</v>
      </c>
      <c r="Y2329" s="204">
        <v>2.1872080987721532E-2</v>
      </c>
      <c r="Z2329" s="201">
        <v>2.1855347968271488E-2</v>
      </c>
    </row>
    <row r="2330" spans="22:26" x14ac:dyDescent="0.2">
      <c r="V2330" s="202" t="str">
        <f t="shared" si="45"/>
        <v>1w</v>
      </c>
      <c r="W2330" s="200">
        <f>_xll.qlCalendarAdvance(Calendar,W2329,V2330,"f",FALSE)</f>
        <v>55226</v>
      </c>
      <c r="X2330" s="203">
        <f>_xll.qlCalendarAdvance(Calendar,W2330,NDays&amp;"D")</f>
        <v>55228</v>
      </c>
      <c r="Y2330" s="204">
        <v>2.1870326799691697E-2</v>
      </c>
      <c r="Z2330" s="201">
        <v>2.1853629174843903E-2</v>
      </c>
    </row>
    <row r="2331" spans="22:26" x14ac:dyDescent="0.2">
      <c r="V2331" s="202" t="str">
        <f t="shared" si="45"/>
        <v>1w</v>
      </c>
      <c r="W2331" s="200">
        <f>_xll.qlCalendarAdvance(Calendar,W2330,V2331,"f",FALSE)</f>
        <v>55233</v>
      </c>
      <c r="X2331" s="203">
        <f>_xll.qlCalendarAdvance(Calendar,W2331,NDays&amp;"D")</f>
        <v>55235</v>
      </c>
      <c r="Y2331" s="204">
        <v>2.1868558089153667E-2</v>
      </c>
      <c r="Z2331" s="201">
        <v>2.1851895885971473E-2</v>
      </c>
    </row>
    <row r="2332" spans="22:26" x14ac:dyDescent="0.2">
      <c r="V2332" s="202" t="str">
        <f t="shared" si="45"/>
        <v>1w</v>
      </c>
      <c r="W2332" s="200">
        <f>_xll.qlCalendarAdvance(Calendar,W2331,V2332,"f",FALSE)</f>
        <v>55240</v>
      </c>
      <c r="X2332" s="203">
        <f>_xll.qlCalendarAdvance(Calendar,W2332,NDays&amp;"D")</f>
        <v>55242</v>
      </c>
      <c r="Y2332" s="204">
        <v>2.1865169484164473E-2</v>
      </c>
      <c r="Z2332" s="201">
        <v>2.1852298198458797E-2</v>
      </c>
    </row>
    <row r="2333" spans="22:26" x14ac:dyDescent="0.2">
      <c r="V2333" s="202" t="str">
        <f t="shared" si="45"/>
        <v>1w</v>
      </c>
      <c r="W2333" s="200">
        <f>_xll.qlCalendarAdvance(Calendar,W2332,V2333,"f",FALSE)</f>
        <v>55247</v>
      </c>
      <c r="X2333" s="203">
        <f>_xll.qlCalendarAdvance(Calendar,W2333,NDays&amp;"D")</f>
        <v>55249</v>
      </c>
      <c r="Y2333" s="204">
        <v>2.1864977100570504E-2</v>
      </c>
      <c r="Z2333" s="201">
        <v>2.1848385821652272E-2</v>
      </c>
    </row>
    <row r="2334" spans="22:26" x14ac:dyDescent="0.2">
      <c r="V2334" s="202" t="str">
        <f t="shared" si="45"/>
        <v>1w</v>
      </c>
      <c r="W2334" s="200">
        <f>_xll.qlCalendarAdvance(Calendar,W2333,V2334,"f",FALSE)</f>
        <v>55254</v>
      </c>
      <c r="X2334" s="203">
        <f>_xll.qlCalendarAdvance(Calendar,W2334,NDays&amp;"D")</f>
        <v>55256</v>
      </c>
      <c r="Y2334" s="204">
        <v>2.1863164822542858E-2</v>
      </c>
      <c r="Z2334" s="201">
        <v>2.1846609046285437E-2</v>
      </c>
    </row>
    <row r="2335" spans="22:26" x14ac:dyDescent="0.2">
      <c r="V2335" s="202" t="str">
        <f t="shared" si="45"/>
        <v>1w</v>
      </c>
      <c r="W2335" s="200">
        <f>_xll.qlCalendarAdvance(Calendar,W2334,V2335,"f",FALSE)</f>
        <v>55261</v>
      </c>
      <c r="X2335" s="203">
        <f>_xll.qlCalendarAdvance(Calendar,W2335,NDays&amp;"D")</f>
        <v>55263</v>
      </c>
      <c r="Y2335" s="204">
        <v>2.1861338022026999E-2</v>
      </c>
      <c r="Z2335" s="201">
        <v>2.1844817775393821E-2</v>
      </c>
    </row>
    <row r="2336" spans="22:26" x14ac:dyDescent="0.2">
      <c r="V2336" s="202" t="str">
        <f t="shared" si="45"/>
        <v>1w</v>
      </c>
      <c r="W2336" s="200">
        <f>_xll.qlCalendarAdvance(Calendar,W2335,V2336,"f",FALSE)</f>
        <v>55268</v>
      </c>
      <c r="X2336" s="203">
        <f>_xll.qlCalendarAdvance(Calendar,W2336,NDays&amp;"D")</f>
        <v>55270</v>
      </c>
      <c r="Y2336" s="204">
        <v>2.1859496699037917E-2</v>
      </c>
      <c r="Z2336" s="201">
        <v>2.1843012009137297E-2</v>
      </c>
    </row>
    <row r="2337" spans="22:26" x14ac:dyDescent="0.2">
      <c r="V2337" s="202" t="str">
        <f t="shared" si="45"/>
        <v>1w</v>
      </c>
      <c r="W2337" s="200">
        <f>_xll.qlCalendarAdvance(Calendar,W2336,V2337,"f",FALSE)</f>
        <v>55275</v>
      </c>
      <c r="X2337" s="203">
        <f>_xll.qlCalendarAdvance(Calendar,W2337,NDays&amp;"D")</f>
        <v>55277</v>
      </c>
      <c r="Y2337" s="204">
        <v>2.1857640853578109E-2</v>
      </c>
      <c r="Z2337" s="201">
        <v>2.184119174719612E-2</v>
      </c>
    </row>
    <row r="2338" spans="22:26" x14ac:dyDescent="0.2">
      <c r="V2338" s="202" t="str">
        <f t="shared" si="45"/>
        <v>1w</v>
      </c>
      <c r="W2338" s="200">
        <f>_xll.qlCalendarAdvance(Calendar,W2337,V2338,"f",FALSE)</f>
        <v>55282</v>
      </c>
      <c r="X2338" s="203">
        <f>_xll.qlCalendarAdvance(Calendar,W2338,NDays&amp;"D")</f>
        <v>55284</v>
      </c>
      <c r="Y2338" s="204">
        <v>2.1855770485662562E-2</v>
      </c>
      <c r="Z2338" s="201">
        <v>2.1839356989969971E-2</v>
      </c>
    </row>
    <row r="2339" spans="22:26" x14ac:dyDescent="0.2">
      <c r="V2339" s="202" t="str">
        <f t="shared" si="45"/>
        <v>1w</v>
      </c>
      <c r="W2339" s="200">
        <f>_xll.qlCalendarAdvance(Calendar,W2338,V2339,"f",FALSE)</f>
        <v>55289</v>
      </c>
      <c r="X2339" s="203">
        <f>_xll.qlCalendarAdvance(Calendar,W2339,NDays&amp;"D")</f>
        <v>55291</v>
      </c>
      <c r="Y2339" s="204">
        <v>2.185388559528878E-2</v>
      </c>
      <c r="Z2339" s="201">
        <v>2.1837507737298978E-2</v>
      </c>
    </row>
    <row r="2340" spans="22:26" x14ac:dyDescent="0.2">
      <c r="V2340" s="202" t="str">
        <f t="shared" si="45"/>
        <v>1w</v>
      </c>
      <c r="W2340" s="200">
        <f>_xll.qlCalendarAdvance(Calendar,W2339,V2340,"f",FALSE)</f>
        <v>55296</v>
      </c>
      <c r="X2340" s="203">
        <f>_xll.qlCalendarAdvance(Calendar,W2340,NDays&amp;"D")</f>
        <v>55298</v>
      </c>
      <c r="Y2340" s="204">
        <v>2.1851986182466754E-2</v>
      </c>
      <c r="Z2340" s="201">
        <v>2.1835643989023268E-2</v>
      </c>
    </row>
    <row r="2341" spans="22:26" x14ac:dyDescent="0.2">
      <c r="V2341" s="202" t="str">
        <f t="shared" si="45"/>
        <v>1w</v>
      </c>
      <c r="W2341" s="200">
        <f>_xll.qlCalendarAdvance(Calendar,W2340,V2341,"f",FALSE)</f>
        <v>55303</v>
      </c>
      <c r="X2341" s="203">
        <f>_xll.qlCalendarAdvance(Calendar,W2341,NDays&amp;"D")</f>
        <v>55305</v>
      </c>
      <c r="Y2341" s="204">
        <v>2.1850072247208974E-2</v>
      </c>
      <c r="Z2341" s="201">
        <v>2.1833765745222777E-2</v>
      </c>
    </row>
    <row r="2342" spans="22:26" x14ac:dyDescent="0.2">
      <c r="V2342" s="202" t="str">
        <f t="shared" si="45"/>
        <v>1w</v>
      </c>
      <c r="W2342" s="200">
        <f>_xll.qlCalendarAdvance(Calendar,W2341,V2342,"f",FALSE)</f>
        <v>55310</v>
      </c>
      <c r="X2342" s="203">
        <f>_xll.qlCalendarAdvance(Calendar,W2342,NDays&amp;"D")</f>
        <v>55312</v>
      </c>
      <c r="Y2342" s="204">
        <v>2.184814378951544E-2</v>
      </c>
      <c r="Z2342" s="201">
        <v>2.1831873006057378E-2</v>
      </c>
    </row>
    <row r="2343" spans="22:26" x14ac:dyDescent="0.2">
      <c r="V2343" s="202" t="str">
        <f t="shared" si="45"/>
        <v>1w</v>
      </c>
      <c r="W2343" s="200">
        <f>_xll.qlCalendarAdvance(Calendar,W2342,V2343,"f",FALSE)</f>
        <v>55317</v>
      </c>
      <c r="X2343" s="203">
        <f>_xll.qlCalendarAdvance(Calendar,W2343,NDays&amp;"D")</f>
        <v>55319</v>
      </c>
      <c r="Y2343" s="204">
        <v>2.1846200809398642E-2</v>
      </c>
      <c r="Z2343" s="201">
        <v>2.1829965771367199E-2</v>
      </c>
    </row>
    <row r="2344" spans="22:26" x14ac:dyDescent="0.2">
      <c r="V2344" s="202" t="str">
        <f t="shared" si="45"/>
        <v>1w</v>
      </c>
      <c r="W2344" s="200">
        <f>_xll.qlCalendarAdvance(Calendar,W2343,V2344,"f",FALSE)</f>
        <v>55324</v>
      </c>
      <c r="X2344" s="203">
        <f>_xll.qlCalendarAdvance(Calendar,W2344,NDays&amp;"D")</f>
        <v>55326</v>
      </c>
      <c r="Y2344" s="204">
        <v>2.1844243306866074E-2</v>
      </c>
      <c r="Z2344" s="201">
        <v>2.1828044041312111E-2</v>
      </c>
    </row>
    <row r="2345" spans="22:26" x14ac:dyDescent="0.2">
      <c r="V2345" s="202" t="str">
        <f t="shared" si="45"/>
        <v>1w</v>
      </c>
      <c r="W2345" s="200">
        <f>_xll.qlCalendarAdvance(Calendar,W2344,V2345,"f",FALSE)</f>
        <v>55331</v>
      </c>
      <c r="X2345" s="203">
        <f>_xll.qlCalendarAdvance(Calendar,W2345,NDays&amp;"D")</f>
        <v>55333</v>
      </c>
      <c r="Y2345" s="204">
        <v>2.1842271281922732E-2</v>
      </c>
      <c r="Z2345" s="201">
        <v>2.1826107815652307E-2</v>
      </c>
    </row>
    <row r="2346" spans="22:26" x14ac:dyDescent="0.2">
      <c r="V2346" s="202" t="str">
        <f t="shared" si="45"/>
        <v>1w</v>
      </c>
      <c r="W2346" s="200">
        <f>_xll.qlCalendarAdvance(Calendar,W2345,V2346,"f",FALSE)</f>
        <v>55338</v>
      </c>
      <c r="X2346" s="203">
        <f>_xll.qlCalendarAdvance(Calendar,W2346,NDays&amp;"D")</f>
        <v>55340</v>
      </c>
      <c r="Y2346" s="204">
        <v>2.1840284734578608E-2</v>
      </c>
      <c r="Z2346" s="201">
        <v>2.1824157094627594E-2</v>
      </c>
    </row>
    <row r="2347" spans="22:26" x14ac:dyDescent="0.2">
      <c r="V2347" s="202" t="str">
        <f t="shared" si="45"/>
        <v>1w</v>
      </c>
      <c r="W2347" s="200">
        <f>_xll.qlCalendarAdvance(Calendar,W2346,V2347,"f",FALSE)</f>
        <v>55345</v>
      </c>
      <c r="X2347" s="203">
        <f>_xll.qlCalendarAdvance(Calendar,W2347,NDays&amp;"D")</f>
        <v>55347</v>
      </c>
      <c r="Y2347" s="204">
        <v>2.18382836648362E-2</v>
      </c>
      <c r="Z2347" s="201">
        <v>2.1822191877918229E-2</v>
      </c>
    </row>
    <row r="2348" spans="22:26" x14ac:dyDescent="0.2">
      <c r="V2348" s="202" t="str">
        <f t="shared" si="45"/>
        <v>1w</v>
      </c>
      <c r="W2348" s="200">
        <f>_xll.qlCalendarAdvance(Calendar,W2347,V2348,"f",FALSE)</f>
        <v>55352</v>
      </c>
      <c r="X2348" s="203">
        <f>_xll.qlCalendarAdvance(Calendar,W2348,NDays&amp;"D")</f>
        <v>55354</v>
      </c>
      <c r="Y2348" s="204">
        <v>2.1836268072710496E-2</v>
      </c>
      <c r="Z2348" s="201">
        <v>2.1820212165923891E-2</v>
      </c>
    </row>
    <row r="2349" spans="22:26" x14ac:dyDescent="0.2">
      <c r="V2349" s="202" t="str">
        <f t="shared" si="45"/>
        <v>1w</v>
      </c>
      <c r="W2349" s="200">
        <f>_xll.qlCalendarAdvance(Calendar,W2348,V2349,"f",FALSE)</f>
        <v>55359</v>
      </c>
      <c r="X2349" s="203">
        <f>_xll.qlCalendarAdvance(Calendar,W2349,NDays&amp;"D")</f>
        <v>55361</v>
      </c>
      <c r="Y2349" s="204">
        <v>2.1834237958201497E-2</v>
      </c>
      <c r="Z2349" s="201">
        <v>2.1818217958404773E-2</v>
      </c>
    </row>
    <row r="2350" spans="22:26" x14ac:dyDescent="0.2">
      <c r="V2350" s="202" t="str">
        <f t="shared" si="45"/>
        <v>1w</v>
      </c>
      <c r="W2350" s="200">
        <f>_xll.qlCalendarAdvance(Calendar,W2349,V2350,"f",FALSE)</f>
        <v>55366</v>
      </c>
      <c r="X2350" s="203">
        <f>_xll.qlCalendarAdvance(Calendar,W2350,NDays&amp;"D")</f>
        <v>55368</v>
      </c>
      <c r="Y2350" s="204">
        <v>2.1832193321326687E-2</v>
      </c>
      <c r="Z2350" s="201">
        <v>2.181620925544081E-2</v>
      </c>
    </row>
    <row r="2351" spans="22:26" x14ac:dyDescent="0.2">
      <c r="V2351" s="202" t="str">
        <f t="shared" si="45"/>
        <v>1w</v>
      </c>
      <c r="W2351" s="200">
        <f>_xll.qlCalendarAdvance(Calendar,W2350,V2351,"f",FALSE)</f>
        <v>55373</v>
      </c>
      <c r="X2351" s="203">
        <f>_xll.qlCalendarAdvance(Calendar,W2351,NDays&amp;"D")</f>
        <v>55375</v>
      </c>
      <c r="Y2351" s="204">
        <v>2.1830134162086068E-2</v>
      </c>
      <c r="Z2351" s="201">
        <v>2.1814186056952067E-2</v>
      </c>
    </row>
    <row r="2352" spans="22:26" x14ac:dyDescent="0.2">
      <c r="V2352" s="202" t="str">
        <f t="shared" si="45"/>
        <v>1w</v>
      </c>
      <c r="W2352" s="200">
        <f>_xll.qlCalendarAdvance(Calendar,W2351,V2352,"f",FALSE)</f>
        <v>55380</v>
      </c>
      <c r="X2352" s="203">
        <f>_xll.qlCalendarAdvance(Calendar,W2352,NDays&amp;"D")</f>
        <v>55382</v>
      </c>
      <c r="Y2352" s="204">
        <v>2.1828060480492129E-2</v>
      </c>
      <c r="Z2352" s="201">
        <v>2.181214836301848E-2</v>
      </c>
    </row>
    <row r="2353" spans="22:26" x14ac:dyDescent="0.2">
      <c r="V2353" s="202" t="str">
        <f t="shared" si="45"/>
        <v>1w</v>
      </c>
      <c r="W2353" s="200">
        <f>_xll.qlCalendarAdvance(Calendar,W2352,V2353,"f",FALSE)</f>
        <v>55387</v>
      </c>
      <c r="X2353" s="203">
        <f>_xll.qlCalendarAdvance(Calendar,W2353,NDays&amp;"D")</f>
        <v>55389</v>
      </c>
      <c r="Y2353" s="204">
        <v>2.1825972276552363E-2</v>
      </c>
      <c r="Z2353" s="201">
        <v>2.1810096173640048E-2</v>
      </c>
    </row>
    <row r="2354" spans="22:26" x14ac:dyDescent="0.2">
      <c r="V2354" s="202" t="str">
        <f t="shared" si="45"/>
        <v>1w</v>
      </c>
      <c r="W2354" s="200">
        <f>_xll.qlCalendarAdvance(Calendar,W2353,V2354,"f",FALSE)</f>
        <v>55394</v>
      </c>
      <c r="X2354" s="203">
        <f>_xll.qlCalendarAdvance(Calendar,W2354,NDays&amp;"D")</f>
        <v>55396</v>
      </c>
      <c r="Y2354" s="204">
        <v>2.1822340431220302E-2</v>
      </c>
      <c r="Z2354" s="201">
        <v>2.1808029488656899E-2</v>
      </c>
    </row>
    <row r="2355" spans="22:26" x14ac:dyDescent="0.2">
      <c r="V2355" s="202" t="str">
        <f t="shared" si="45"/>
        <v>1w</v>
      </c>
      <c r="W2355" s="200">
        <f>_xll.qlCalendarAdvance(Calendar,W2354,V2355,"f",FALSE)</f>
        <v>55401</v>
      </c>
      <c r="X2355" s="203">
        <f>_xll.qlCalendarAdvance(Calendar,W2355,NDays&amp;"D")</f>
        <v>55403</v>
      </c>
      <c r="Y2355" s="204">
        <v>2.1821752301657837E-2</v>
      </c>
      <c r="Z2355" s="201">
        <v>2.1805948308308842E-2</v>
      </c>
    </row>
    <row r="2356" spans="22:26" x14ac:dyDescent="0.2">
      <c r="V2356" s="202" t="str">
        <f t="shared" si="45"/>
        <v>1w</v>
      </c>
      <c r="W2356" s="200">
        <f>_xll.qlCalendarAdvance(Calendar,W2355,V2356,"f",FALSE)</f>
        <v>55408</v>
      </c>
      <c r="X2356" s="203">
        <f>_xll.qlCalendarAdvance(Calendar,W2356,NDays&amp;"D")</f>
        <v>55410</v>
      </c>
      <c r="Y2356" s="204">
        <v>2.1819620530723061E-2</v>
      </c>
      <c r="Z2356" s="201">
        <v>2.1803852632515941E-2</v>
      </c>
    </row>
    <row r="2357" spans="22:26" x14ac:dyDescent="0.2">
      <c r="V2357" s="202" t="str">
        <f t="shared" si="45"/>
        <v>1w</v>
      </c>
      <c r="W2357" s="200">
        <f>_xll.qlCalendarAdvance(Calendar,W2356,V2357,"f",FALSE)</f>
        <v>55415</v>
      </c>
      <c r="X2357" s="203">
        <f>_xll.qlCalendarAdvance(Calendar,W2357,NDays&amp;"D")</f>
        <v>55417</v>
      </c>
      <c r="Y2357" s="204">
        <v>2.1817474237474932E-2</v>
      </c>
      <c r="Z2357" s="201">
        <v>2.1801742461198259E-2</v>
      </c>
    </row>
    <row r="2358" spans="22:26" x14ac:dyDescent="0.2">
      <c r="V2358" s="202" t="str">
        <f t="shared" si="45"/>
        <v>1w</v>
      </c>
      <c r="W2358" s="200">
        <f>_xll.qlCalendarAdvance(Calendar,W2357,V2358,"f",FALSE)</f>
        <v>55422</v>
      </c>
      <c r="X2358" s="203">
        <f>_xll.qlCalendarAdvance(Calendar,W2358,NDays&amp;"D")</f>
        <v>55424</v>
      </c>
      <c r="Y2358" s="204">
        <v>2.1815313421918447E-2</v>
      </c>
      <c r="Z2358" s="201">
        <v>2.1799617794355797E-2</v>
      </c>
    </row>
    <row r="2359" spans="22:26" x14ac:dyDescent="0.2">
      <c r="V2359" s="202" t="str">
        <f t="shared" si="45"/>
        <v>1w</v>
      </c>
      <c r="W2359" s="200">
        <f>_xll.qlCalendarAdvance(Calendar,W2358,V2359,"f",FALSE)</f>
        <v>55429</v>
      </c>
      <c r="X2359" s="203">
        <f>_xll.qlCalendarAdvance(Calendar,W2359,NDays&amp;"D")</f>
        <v>55431</v>
      </c>
      <c r="Y2359" s="204">
        <v>2.1813138084063599E-2</v>
      </c>
      <c r="Z2359" s="201">
        <v>2.1797478632148426E-2</v>
      </c>
    </row>
    <row r="2360" spans="22:26" x14ac:dyDescent="0.2">
      <c r="V2360" s="202" t="str">
        <f t="shared" si="45"/>
        <v>1w</v>
      </c>
      <c r="W2360" s="200">
        <f>_xll.qlCalendarAdvance(Calendar,W2359,V2360,"f",FALSE)</f>
        <v>55436</v>
      </c>
      <c r="X2360" s="203">
        <f>_xll.qlCalendarAdvance(Calendar,W2360,NDays&amp;"D")</f>
        <v>55438</v>
      </c>
      <c r="Y2360" s="204">
        <v>2.1810948223922877E-2</v>
      </c>
      <c r="Z2360" s="201">
        <v>2.1795324974336339E-2</v>
      </c>
    </row>
    <row r="2361" spans="22:26" x14ac:dyDescent="0.2">
      <c r="V2361" s="202" t="str">
        <f t="shared" si="45"/>
        <v>1w</v>
      </c>
      <c r="W2361" s="200">
        <f>_xll.qlCalendarAdvance(Calendar,W2360,V2361,"f",FALSE)</f>
        <v>55443</v>
      </c>
      <c r="X2361" s="203">
        <f>_xll.qlCalendarAdvance(Calendar,W2361,NDays&amp;"D")</f>
        <v>55445</v>
      </c>
      <c r="Y2361" s="204">
        <v>2.1808743841496281E-2</v>
      </c>
      <c r="Z2361" s="201">
        <v>2.1793156821079407E-2</v>
      </c>
    </row>
    <row r="2362" spans="22:26" x14ac:dyDescent="0.2">
      <c r="V2362" s="202" t="str">
        <f t="shared" si="45"/>
        <v>1w</v>
      </c>
      <c r="W2362" s="200">
        <f>_xll.qlCalendarAdvance(Calendar,W2361,V2362,"f",FALSE)</f>
        <v>55450</v>
      </c>
      <c r="X2362" s="203">
        <f>_xll.qlCalendarAdvance(Calendar,W2362,NDays&amp;"D")</f>
        <v>55452</v>
      </c>
      <c r="Y2362" s="204">
        <v>2.1806524936798799E-2</v>
      </c>
      <c r="Z2362" s="201">
        <v>2.1790974172457567E-2</v>
      </c>
    </row>
    <row r="2363" spans="22:26" x14ac:dyDescent="0.2">
      <c r="V2363" s="202" t="str">
        <f t="shared" si="45"/>
        <v>1w</v>
      </c>
      <c r="W2363" s="200">
        <f>_xll.qlCalendarAdvance(Calendar,W2362,V2363,"f",FALSE)</f>
        <v>55457</v>
      </c>
      <c r="X2363" s="203">
        <f>_xll.qlCalendarAdvance(Calendar,W2363,NDays&amp;"D")</f>
        <v>55459</v>
      </c>
      <c r="Y2363" s="204">
        <v>2.1804291509840423E-2</v>
      </c>
      <c r="Z2363" s="201">
        <v>2.1788777028390882E-2</v>
      </c>
    </row>
    <row r="2364" spans="22:26" x14ac:dyDescent="0.2">
      <c r="V2364" s="202" t="str">
        <f t="shared" si="45"/>
        <v>1w</v>
      </c>
      <c r="W2364" s="200">
        <f>_xll.qlCalendarAdvance(Calendar,W2363,V2364,"f",FALSE)</f>
        <v>55464</v>
      </c>
      <c r="X2364" s="203">
        <f>_xll.qlCalendarAdvance(Calendar,W2364,NDays&amp;"D")</f>
        <v>55466</v>
      </c>
      <c r="Y2364" s="204">
        <v>2.180204356062615E-2</v>
      </c>
      <c r="Z2364" s="201">
        <v>2.1786565388719481E-2</v>
      </c>
    </row>
    <row r="2365" spans="22:26" x14ac:dyDescent="0.2">
      <c r="V2365" s="202" t="str">
        <f t="shared" si="45"/>
        <v>1w</v>
      </c>
      <c r="W2365" s="200">
        <f>_xll.qlCalendarAdvance(Calendar,W2364,V2365,"f",FALSE)</f>
        <v>55471</v>
      </c>
      <c r="X2365" s="203">
        <f>_xll.qlCalendarAdvance(Calendar,W2365,NDays&amp;"D")</f>
        <v>55473</v>
      </c>
      <c r="Y2365" s="204">
        <v>2.1799781089163472E-2</v>
      </c>
      <c r="Z2365" s="201">
        <v>2.1784339253603235E-2</v>
      </c>
    </row>
    <row r="2366" spans="22:26" x14ac:dyDescent="0.2">
      <c r="V2366" s="202" t="str">
        <f t="shared" si="45"/>
        <v>1w</v>
      </c>
      <c r="W2366" s="200">
        <f>_xll.qlCalendarAdvance(Calendar,W2365,V2366,"f",FALSE)</f>
        <v>55478</v>
      </c>
      <c r="X2366" s="203">
        <f>_xll.qlCalendarAdvance(Calendar,W2366,NDays&amp;"D")</f>
        <v>55480</v>
      </c>
      <c r="Y2366" s="204">
        <v>2.1798494965838574E-2</v>
      </c>
      <c r="Z2366" s="201">
        <v>2.1782098623042145E-2</v>
      </c>
    </row>
    <row r="2367" spans="22:26" x14ac:dyDescent="0.2">
      <c r="V2367" s="202" t="str">
        <f t="shared" si="45"/>
        <v>1w</v>
      </c>
      <c r="W2367" s="200">
        <f>_xll.qlCalendarAdvance(Calendar,W2366,V2367,"f",FALSE)</f>
        <v>55485</v>
      </c>
      <c r="X2367" s="203">
        <f>_xll.qlCalendarAdvance(Calendar,W2367,NDays&amp;"D")</f>
        <v>55487</v>
      </c>
      <c r="Y2367" s="204">
        <v>2.1793729110947315E-2</v>
      </c>
      <c r="Z2367" s="201">
        <v>2.1779843497036211E-2</v>
      </c>
    </row>
    <row r="2368" spans="22:26" x14ac:dyDescent="0.2">
      <c r="V2368" s="202" t="str">
        <f t="shared" si="45"/>
        <v>1w</v>
      </c>
      <c r="W2368" s="200">
        <f>_xll.qlCalendarAdvance(Calendar,W2367,V2368,"f",FALSE)</f>
        <v>55492</v>
      </c>
      <c r="X2368" s="203">
        <f>_xll.qlCalendarAdvance(Calendar,W2368,NDays&amp;"D")</f>
        <v>55494</v>
      </c>
      <c r="Y2368" s="204">
        <v>2.1792906541384938E-2</v>
      </c>
      <c r="Z2368" s="201">
        <v>2.1777573875505496E-2</v>
      </c>
    </row>
    <row r="2369" spans="22:26" x14ac:dyDescent="0.2">
      <c r="V2369" s="202" t="str">
        <f t="shared" si="45"/>
        <v>1w</v>
      </c>
      <c r="W2369" s="200">
        <f>_xll.qlCalendarAdvance(Calendar,W2368,V2369,"f",FALSE)</f>
        <v>55499</v>
      </c>
      <c r="X2369" s="203">
        <f>_xll.qlCalendarAdvance(Calendar,W2369,NDays&amp;"D")</f>
        <v>55501</v>
      </c>
      <c r="Y2369" s="204">
        <v>2.1790585981023569E-2</v>
      </c>
      <c r="Z2369" s="201">
        <v>2.1775289758529937E-2</v>
      </c>
    </row>
    <row r="2370" spans="22:26" x14ac:dyDescent="0.2">
      <c r="V2370" s="202" t="str">
        <f t="shared" si="45"/>
        <v>1w</v>
      </c>
      <c r="W2370" s="200">
        <f>_xll.qlCalendarAdvance(Calendar,W2369,V2370,"f",FALSE)</f>
        <v>55506</v>
      </c>
      <c r="X2370" s="203">
        <f>_xll.qlCalendarAdvance(Calendar,W2370,NDays&amp;"D")</f>
        <v>55508</v>
      </c>
      <c r="Y2370" s="204">
        <v>2.1788250898463757E-2</v>
      </c>
      <c r="Z2370" s="201">
        <v>2.1772991146029597E-2</v>
      </c>
    </row>
    <row r="2371" spans="22:26" x14ac:dyDescent="0.2">
      <c r="V2371" s="202" t="str">
        <f t="shared" si="45"/>
        <v>1w</v>
      </c>
      <c r="W2371" s="200">
        <f>_xll.qlCalendarAdvance(Calendar,W2370,V2371,"f",FALSE)</f>
        <v>55514</v>
      </c>
      <c r="X2371" s="203">
        <f>_xll.qlCalendarAdvance(Calendar,W2371,NDays&amp;"D")</f>
        <v>55516</v>
      </c>
      <c r="Y2371" s="204">
        <v>2.1786053874550279E-2</v>
      </c>
      <c r="Z2371" s="201">
        <v>2.1771823002847412E-2</v>
      </c>
    </row>
    <row r="2372" spans="22:26" x14ac:dyDescent="0.2">
      <c r="V2372" s="202" t="str">
        <f t="shared" si="45"/>
        <v>1w</v>
      </c>
      <c r="W2372" s="200">
        <f>_xll.qlCalendarAdvance(Calendar,W2371,V2372,"f",FALSE)</f>
        <v>55521</v>
      </c>
      <c r="X2372" s="203">
        <f>_xll.qlCalendarAdvance(Calendar,W2372,NDays&amp;"D")</f>
        <v>55523</v>
      </c>
      <c r="Y2372" s="204">
        <v>2.1782709912283305E-2</v>
      </c>
      <c r="Z2372" s="201">
        <v>2.1768998870745904E-2</v>
      </c>
    </row>
    <row r="2373" spans="22:26" x14ac:dyDescent="0.2">
      <c r="V2373" s="202" t="str">
        <f t="shared" si="45"/>
        <v>1w</v>
      </c>
      <c r="W2373" s="200">
        <f>_xll.qlCalendarAdvance(Calendar,W2372,V2373,"f",FALSE)</f>
        <v>55528</v>
      </c>
      <c r="X2373" s="203">
        <f>_xll.qlCalendarAdvance(Calendar,W2373,NDays&amp;"D")</f>
        <v>55530</v>
      </c>
      <c r="Y2373" s="204">
        <v>2.1780330369710003E-2</v>
      </c>
      <c r="Z2373" s="201">
        <v>2.1766652346570936E-2</v>
      </c>
    </row>
    <row r="2374" spans="22:26" x14ac:dyDescent="0.2">
      <c r="V2374" s="202" t="str">
        <f t="shared" si="45"/>
        <v>1w</v>
      </c>
      <c r="W2374" s="200">
        <f>_xll.qlCalendarAdvance(Calendar,W2373,V2374,"f",FALSE)</f>
        <v>55535</v>
      </c>
      <c r="X2374" s="203">
        <f>_xll.qlCalendarAdvance(Calendar,W2374,NDays&amp;"D")</f>
        <v>55537</v>
      </c>
      <c r="Y2374" s="204">
        <v>2.1777936305836403E-2</v>
      </c>
      <c r="Z2374" s="201">
        <v>2.1764291325245821E-2</v>
      </c>
    </row>
    <row r="2375" spans="22:26" x14ac:dyDescent="0.2">
      <c r="V2375" s="202" t="str">
        <f t="shared" si="45"/>
        <v>1w</v>
      </c>
      <c r="W2375" s="200">
        <f>_xll.qlCalendarAdvance(Calendar,W2374,V2375,"f",FALSE)</f>
        <v>55542</v>
      </c>
      <c r="X2375" s="203">
        <f>_xll.qlCalendarAdvance(Calendar,W2375,NDays&amp;"D")</f>
        <v>55544</v>
      </c>
      <c r="Y2375" s="204">
        <v>2.1775527720667674E-2</v>
      </c>
      <c r="Z2375" s="201">
        <v>2.1761915806743914E-2</v>
      </c>
    </row>
    <row r="2376" spans="22:26" x14ac:dyDescent="0.2">
      <c r="V2376" s="202" t="str">
        <f t="shared" si="45"/>
        <v>1w</v>
      </c>
      <c r="W2376" s="200">
        <f>_xll.qlCalendarAdvance(Calendar,W2375,V2376,"f",FALSE)</f>
        <v>55549</v>
      </c>
      <c r="X2376" s="203">
        <f>_xll.qlCalendarAdvance(Calendar,W2376,NDays&amp;"D")</f>
        <v>55551</v>
      </c>
      <c r="Y2376" s="204">
        <v>2.1773104614214122E-2</v>
      </c>
      <c r="Z2376" s="201">
        <v>2.1759525791011924E-2</v>
      </c>
    </row>
    <row r="2377" spans="22:26" x14ac:dyDescent="0.2">
      <c r="V2377" s="202" t="str">
        <f t="shared" si="45"/>
        <v>1w</v>
      </c>
      <c r="W2377" s="200">
        <f>_xll.qlCalendarAdvance(Calendar,W2376,V2377,"f",FALSE)</f>
        <v>55556</v>
      </c>
      <c r="X2377" s="203">
        <f>_xll.qlCalendarAdvance(Calendar,W2377,NDays&amp;"D")</f>
        <v>55558</v>
      </c>
      <c r="Y2377" s="204">
        <v>2.1770666986483486E-2</v>
      </c>
      <c r="Z2377" s="201">
        <v>2.1757121278076497E-2</v>
      </c>
    </row>
    <row r="2378" spans="22:26" x14ac:dyDescent="0.2">
      <c r="V2378" s="202" t="str">
        <f t="shared" si="45"/>
        <v>1w</v>
      </c>
      <c r="W2378" s="200">
        <f>_xll.qlCalendarAdvance(Calendar,W2377,V2378,"f",FALSE)</f>
        <v>55563</v>
      </c>
      <c r="X2378" s="203">
        <f>_xll.qlCalendarAdvance(Calendar,W2378,NDays&amp;"D")</f>
        <v>55565</v>
      </c>
      <c r="Y2378" s="204">
        <v>2.1768214837486081E-2</v>
      </c>
      <c r="Z2378" s="201">
        <v>2.1754702268017567E-2</v>
      </c>
    </row>
    <row r="2379" spans="22:26" x14ac:dyDescent="0.2">
      <c r="V2379" s="202" t="str">
        <f t="shared" si="45"/>
        <v>1w</v>
      </c>
      <c r="W2379" s="200">
        <f>_xll.qlCalendarAdvance(Calendar,W2378,V2379,"f",FALSE)</f>
        <v>55570</v>
      </c>
      <c r="X2379" s="203">
        <f>_xll.qlCalendarAdvance(Calendar,W2379,NDays&amp;"D")</f>
        <v>55572</v>
      </c>
      <c r="Y2379" s="204">
        <v>2.1765748167229645E-2</v>
      </c>
      <c r="Z2379" s="201">
        <v>2.1752268760728555E-2</v>
      </c>
    </row>
    <row r="2380" spans="22:26" x14ac:dyDescent="0.2">
      <c r="V2380" s="202" t="str">
        <f t="shared" si="45"/>
        <v>1w</v>
      </c>
      <c r="W2380" s="200">
        <f>_xll.qlCalendarAdvance(Calendar,W2379,V2380,"f",FALSE)</f>
        <v>55577</v>
      </c>
      <c r="X2380" s="203">
        <f>_xll.qlCalendarAdvance(Calendar,W2380,NDays&amp;"D")</f>
        <v>55579</v>
      </c>
      <c r="Y2380" s="204">
        <v>2.1763266975724487E-2</v>
      </c>
      <c r="Z2380" s="201">
        <v>2.174982075626275E-2</v>
      </c>
    </row>
    <row r="2381" spans="22:26" x14ac:dyDescent="0.2">
      <c r="V2381" s="202" t="str">
        <f t="shared" si="45"/>
        <v>1w</v>
      </c>
      <c r="W2381" s="200">
        <f>_xll.qlCalendarAdvance(Calendar,W2380,V2381,"f",FALSE)</f>
        <v>55584</v>
      </c>
      <c r="X2381" s="203">
        <f>_xll.qlCalendarAdvance(Calendar,W2381,NDays&amp;"D")</f>
        <v>55586</v>
      </c>
      <c r="Y2381" s="204">
        <v>2.1760771262983501E-2</v>
      </c>
      <c r="Z2381" s="201">
        <v>2.1747358254593507E-2</v>
      </c>
    </row>
    <row r="2382" spans="22:26" x14ac:dyDescent="0.2">
      <c r="V2382" s="202" t="str">
        <f t="shared" si="45"/>
        <v>1w</v>
      </c>
      <c r="W2382" s="200">
        <f>_xll.qlCalendarAdvance(Calendar,W2381,V2382,"f",FALSE)</f>
        <v>55591</v>
      </c>
      <c r="X2382" s="203">
        <f>_xll.qlCalendarAdvance(Calendar,W2382,NDays&amp;"D")</f>
        <v>55593</v>
      </c>
      <c r="Y2382" s="204">
        <v>2.1758261029011849E-2</v>
      </c>
      <c r="Z2382" s="201">
        <v>2.1744881255774118E-2</v>
      </c>
    </row>
    <row r="2383" spans="22:26" x14ac:dyDescent="0.2">
      <c r="V2383" s="202" t="str">
        <f t="shared" si="45"/>
        <v>1w</v>
      </c>
      <c r="W2383" s="200">
        <f>_xll.qlCalendarAdvance(Calendar,W2382,V2383,"f",FALSE)</f>
        <v>55598</v>
      </c>
      <c r="X2383" s="203">
        <f>_xll.qlCalendarAdvance(Calendar,W2383,NDays&amp;"D")</f>
        <v>55600</v>
      </c>
      <c r="Y2383" s="204">
        <v>2.1756211570538031E-2</v>
      </c>
      <c r="Z2383" s="201">
        <v>2.1742389759777936E-2</v>
      </c>
    </row>
    <row r="2384" spans="22:26" x14ac:dyDescent="0.2">
      <c r="V2384" s="202" t="str">
        <f t="shared" si="45"/>
        <v>1w</v>
      </c>
      <c r="W2384" s="200">
        <f>_xll.qlCalendarAdvance(Calendar,W2383,V2384,"f",FALSE)</f>
        <v>55605</v>
      </c>
      <c r="X2384" s="203">
        <f>_xll.qlCalendarAdvance(Calendar,W2384,NDays&amp;"D")</f>
        <v>55607</v>
      </c>
      <c r="Y2384" s="204">
        <v>2.1753671103536265E-2</v>
      </c>
      <c r="Z2384" s="201">
        <v>2.1739883766551671E-2</v>
      </c>
    </row>
    <row r="2385" spans="22:26" x14ac:dyDescent="0.2">
      <c r="V2385" s="202" t="str">
        <f t="shared" si="45"/>
        <v>1w</v>
      </c>
      <c r="W2385" s="200">
        <f>_xll.qlCalendarAdvance(Calendar,W2384,V2385,"f",FALSE)</f>
        <v>55612</v>
      </c>
      <c r="X2385" s="203">
        <f>_xll.qlCalendarAdvance(Calendar,W2385,NDays&amp;"D")</f>
        <v>55614</v>
      </c>
      <c r="Y2385" s="204">
        <v>2.1750643199803119E-2</v>
      </c>
      <c r="Z2385" s="201">
        <v>2.1737363276201904E-2</v>
      </c>
    </row>
    <row r="2386" spans="22:26" x14ac:dyDescent="0.2">
      <c r="V2386" s="202" t="str">
        <f t="shared" si="45"/>
        <v>1w</v>
      </c>
      <c r="W2386" s="200">
        <f>_xll.qlCalendarAdvance(Calendar,W2385,V2386,"f",FALSE)</f>
        <v>55619</v>
      </c>
      <c r="X2386" s="203">
        <f>_xll.qlCalendarAdvance(Calendar,W2386,NDays&amp;"D")</f>
        <v>55621</v>
      </c>
      <c r="Y2386" s="204">
        <v>2.1748074881006774E-2</v>
      </c>
      <c r="Z2386" s="201">
        <v>2.17348282886487E-2</v>
      </c>
    </row>
    <row r="2387" spans="22:26" x14ac:dyDescent="0.2">
      <c r="V2387" s="202" t="str">
        <f t="shared" si="45"/>
        <v>1w</v>
      </c>
      <c r="W2387" s="200">
        <f>_xll.qlCalendarAdvance(Calendar,W2386,V2387,"f",FALSE)</f>
        <v>55626</v>
      </c>
      <c r="X2387" s="203">
        <f>_xll.qlCalendarAdvance(Calendar,W2387,NDays&amp;"D")</f>
        <v>55632</v>
      </c>
      <c r="Y2387" s="204">
        <v>2.1743539670890932E-2</v>
      </c>
      <c r="Z2387" s="201">
        <v>2.1729870170599241E-2</v>
      </c>
    </row>
    <row r="2388" spans="22:26" x14ac:dyDescent="0.2">
      <c r="V2388" s="202" t="str">
        <f t="shared" si="45"/>
        <v>1w</v>
      </c>
      <c r="W2388" s="200">
        <f>_xll.qlCalendarAdvance(Calendar,W2387,V2388,"f",FALSE)</f>
        <v>55633</v>
      </c>
      <c r="X2388" s="203">
        <f>_xll.qlCalendarAdvance(Calendar,W2388,NDays&amp;"D")</f>
        <v>55635</v>
      </c>
      <c r="Y2388" s="204">
        <v>2.174289467987163E-2</v>
      </c>
      <c r="Z2388" s="201">
        <v>2.1729714821958623E-2</v>
      </c>
    </row>
    <row r="2389" spans="22:26" x14ac:dyDescent="0.2">
      <c r="V2389" s="202" t="str">
        <f t="shared" ref="V2389:V2452" si="46">V2388</f>
        <v>1w</v>
      </c>
      <c r="W2389" s="200">
        <f>_xll.qlCalendarAdvance(Calendar,W2388,V2389,"f",FALSE)</f>
        <v>55641</v>
      </c>
      <c r="X2389" s="203">
        <f>_xll.qlCalendarAdvance(Calendar,W2389,NDays&amp;"D")</f>
        <v>55645</v>
      </c>
      <c r="Y2389" s="204">
        <v>2.173915897416814E-2</v>
      </c>
      <c r="Z2389" s="201">
        <v>2.1725085990267345E-2</v>
      </c>
    </row>
    <row r="2390" spans="22:26" x14ac:dyDescent="0.2">
      <c r="V2390" s="202" t="str">
        <f t="shared" si="46"/>
        <v>1w</v>
      </c>
      <c r="W2390" s="200">
        <f>_xll.qlCalendarAdvance(Calendar,W2389,V2390,"f",FALSE)</f>
        <v>55648</v>
      </c>
      <c r="X2390" s="203">
        <f>_xll.qlCalendarAdvance(Calendar,W2390,NDays&amp;"D")</f>
        <v>55652</v>
      </c>
      <c r="Y2390" s="204">
        <v>2.1736526347347084E-2</v>
      </c>
      <c r="Z2390" s="201">
        <v>2.1722489185416194E-2</v>
      </c>
    </row>
    <row r="2391" spans="22:26" x14ac:dyDescent="0.2">
      <c r="V2391" s="202" t="str">
        <f t="shared" si="46"/>
        <v>1w</v>
      </c>
      <c r="W2391" s="200">
        <f>_xll.qlCalendarAdvance(Calendar,W2390,V2391,"f",FALSE)</f>
        <v>55655</v>
      </c>
      <c r="X2391" s="203">
        <f>_xll.qlCalendarAdvance(Calendar,W2391,NDays&amp;"D")</f>
        <v>55659</v>
      </c>
      <c r="Y2391" s="204">
        <v>2.1733879199390762E-2</v>
      </c>
      <c r="Z2391" s="201">
        <v>2.1719877885040262E-2</v>
      </c>
    </row>
    <row r="2392" spans="22:26" x14ac:dyDescent="0.2">
      <c r="V2392" s="202" t="str">
        <f t="shared" si="46"/>
        <v>1w</v>
      </c>
      <c r="W2392" s="200">
        <f>_xll.qlCalendarAdvance(Calendar,W2391,V2392,"f",FALSE)</f>
        <v>55662</v>
      </c>
      <c r="X2392" s="203">
        <f>_xll.qlCalendarAdvance(Calendar,W2392,NDays&amp;"D")</f>
        <v>55666</v>
      </c>
      <c r="Y2392" s="204">
        <v>2.1731217530304339E-2</v>
      </c>
      <c r="Z2392" s="201">
        <v>2.1717252089139549E-2</v>
      </c>
    </row>
    <row r="2393" spans="22:26" x14ac:dyDescent="0.2">
      <c r="V2393" s="202" t="str">
        <f t="shared" si="46"/>
        <v>1w</v>
      </c>
      <c r="W2393" s="200">
        <f>_xll.qlCalendarAdvance(Calendar,W2392,V2393,"f",FALSE)</f>
        <v>55669</v>
      </c>
      <c r="X2393" s="203">
        <f>_xll.qlCalendarAdvance(Calendar,W2393,NDays&amp;"D")</f>
        <v>55673</v>
      </c>
      <c r="Y2393" s="204">
        <v>2.172807840609714E-2</v>
      </c>
      <c r="Z2393" s="201">
        <v>2.1714611797873928E-2</v>
      </c>
    </row>
    <row r="2394" spans="22:26" x14ac:dyDescent="0.2">
      <c r="V2394" s="202" t="str">
        <f t="shared" si="46"/>
        <v>1w</v>
      </c>
      <c r="W2394" s="200">
        <f>_xll.qlCalendarAdvance(Calendar,W2393,V2394,"f",FALSE)</f>
        <v>55676</v>
      </c>
      <c r="X2394" s="203">
        <f>_xll.qlCalendarAdvance(Calendar,W2394,NDays&amp;"D")</f>
        <v>55680</v>
      </c>
      <c r="Y2394" s="204">
        <v>2.17253888941773E-2</v>
      </c>
      <c r="Z2394" s="201">
        <v>2.1711957011083527E-2</v>
      </c>
    </row>
    <row r="2395" spans="22:26" x14ac:dyDescent="0.2">
      <c r="V2395" s="202" t="str">
        <f t="shared" si="46"/>
        <v>1w</v>
      </c>
      <c r="W2395" s="200">
        <f>_xll.qlCalendarAdvance(Calendar,W2394,V2395,"f",FALSE)</f>
        <v>55683</v>
      </c>
      <c r="X2395" s="203">
        <f>_xll.qlCalendarAdvance(Calendar,W2395,NDays&amp;"D")</f>
        <v>55687</v>
      </c>
      <c r="Y2395" s="204">
        <v>2.172268486201645E-2</v>
      </c>
      <c r="Z2395" s="201">
        <v>2.1709287728928217E-2</v>
      </c>
    </row>
    <row r="2396" spans="22:26" x14ac:dyDescent="0.2">
      <c r="V2396" s="202" t="str">
        <f t="shared" si="46"/>
        <v>1w</v>
      </c>
      <c r="W2396" s="200">
        <f>_xll.qlCalendarAdvance(Calendar,W2395,V2396,"f",FALSE)</f>
        <v>55690</v>
      </c>
      <c r="X2396" s="203">
        <f>_xll.qlCalendarAdvance(Calendar,W2396,NDays&amp;"D")</f>
        <v>55694</v>
      </c>
      <c r="Y2396" s="204">
        <v>2.1719966309617256E-2</v>
      </c>
      <c r="Z2396" s="201">
        <v>2.1706603951168191E-2</v>
      </c>
    </row>
    <row r="2397" spans="22:26" x14ac:dyDescent="0.2">
      <c r="V2397" s="202" t="str">
        <f t="shared" si="46"/>
        <v>1w</v>
      </c>
      <c r="W2397" s="200">
        <f>_xll.qlCalendarAdvance(Calendar,W2396,V2397,"f",FALSE)</f>
        <v>55697</v>
      </c>
      <c r="X2397" s="203">
        <f>_xll.qlCalendarAdvance(Calendar,W2397,NDays&amp;"D")</f>
        <v>55701</v>
      </c>
      <c r="Y2397" s="204">
        <v>2.1717691368279064E-2</v>
      </c>
      <c r="Z2397" s="201">
        <v>2.1703905678043256E-2</v>
      </c>
    </row>
    <row r="2398" spans="22:26" x14ac:dyDescent="0.2">
      <c r="V2398" s="202" t="str">
        <f t="shared" si="46"/>
        <v>1w</v>
      </c>
      <c r="W2398" s="200">
        <f>_xll.qlCalendarAdvance(Calendar,W2397,V2398,"f",FALSE)</f>
        <v>55704</v>
      </c>
      <c r="X2398" s="203">
        <f>_xll.qlCalendarAdvance(Calendar,W2398,NDays&amp;"D")</f>
        <v>55708</v>
      </c>
      <c r="Y2398" s="204">
        <v>2.1714942572626034E-2</v>
      </c>
      <c r="Z2398" s="201">
        <v>2.1701192909473477E-2</v>
      </c>
    </row>
    <row r="2399" spans="22:26" x14ac:dyDescent="0.2">
      <c r="V2399" s="202" t="str">
        <f t="shared" si="46"/>
        <v>1w</v>
      </c>
      <c r="W2399" s="200">
        <f>_xll.qlCalendarAdvance(Calendar,W2398,V2399,"f",FALSE)</f>
        <v>55711</v>
      </c>
      <c r="X2399" s="203">
        <f>_xll.qlCalendarAdvance(Calendar,W2399,NDays&amp;"D")</f>
        <v>55715</v>
      </c>
      <c r="Y2399" s="204">
        <v>2.1712179255912518E-2</v>
      </c>
      <c r="Z2399" s="201">
        <v>2.1698465645298981E-2</v>
      </c>
    </row>
    <row r="2400" spans="22:26" x14ac:dyDescent="0.2">
      <c r="V2400" s="202" t="str">
        <f t="shared" si="46"/>
        <v>1w</v>
      </c>
      <c r="W2400" s="200">
        <f>_xll.qlCalendarAdvance(Calendar,W2399,V2400,"f",FALSE)</f>
        <v>55718</v>
      </c>
      <c r="X2400" s="203">
        <f>_xll.qlCalendarAdvance(Calendar,W2400,NDays&amp;"D")</f>
        <v>55722</v>
      </c>
      <c r="Y2400" s="204">
        <v>2.1709401418159149E-2</v>
      </c>
      <c r="Z2400" s="201">
        <v>2.1695723885839513E-2</v>
      </c>
    </row>
    <row r="2401" spans="22:26" x14ac:dyDescent="0.2">
      <c r="V2401" s="202" t="str">
        <f t="shared" si="46"/>
        <v>1w</v>
      </c>
      <c r="W2401" s="200">
        <f>_xll.qlCalendarAdvance(Calendar,W2400,V2401,"f",FALSE)</f>
        <v>55725</v>
      </c>
      <c r="X2401" s="203">
        <f>_xll.qlCalendarAdvance(Calendar,W2401,NDays&amp;"D")</f>
        <v>55729</v>
      </c>
      <c r="Y2401" s="204">
        <v>2.1706609059360768E-2</v>
      </c>
      <c r="Z2401" s="201">
        <v>2.1692967630855264E-2</v>
      </c>
    </row>
    <row r="2402" spans="22:26" x14ac:dyDescent="0.2">
      <c r="V2402" s="202" t="str">
        <f t="shared" si="46"/>
        <v>1w</v>
      </c>
      <c r="W2402" s="200">
        <f>_xll.qlCalendarAdvance(Calendar,W2401,V2402,"f",FALSE)</f>
        <v>55732</v>
      </c>
      <c r="X2402" s="203">
        <f>_xll.qlCalendarAdvance(Calendar,W2402,NDays&amp;"D")</f>
        <v>55736</v>
      </c>
      <c r="Y2402" s="204">
        <v>2.1703802179538007E-2</v>
      </c>
      <c r="Z2402" s="201">
        <v>2.1690196880426171E-2</v>
      </c>
    </row>
    <row r="2403" spans="22:26" x14ac:dyDescent="0.2">
      <c r="V2403" s="202" t="str">
        <f t="shared" si="46"/>
        <v>1w</v>
      </c>
      <c r="W2403" s="200">
        <f>_xll.qlCalendarAdvance(Calendar,W2402,V2403,"f",FALSE)</f>
        <v>55739</v>
      </c>
      <c r="X2403" s="203">
        <f>_xll.qlCalendarAdvance(Calendar,W2403,NDays&amp;"D")</f>
        <v>55743</v>
      </c>
      <c r="Y2403" s="204">
        <v>2.1700980778698597E-2</v>
      </c>
      <c r="Z2403" s="201">
        <v>2.1687411634472298E-2</v>
      </c>
    </row>
    <row r="2404" spans="22:26" x14ac:dyDescent="0.2">
      <c r="V2404" s="202" t="str">
        <f t="shared" si="46"/>
        <v>1w</v>
      </c>
      <c r="W2404" s="200">
        <f>_xll.qlCalendarAdvance(Calendar,W2403,V2404,"f",FALSE)</f>
        <v>55746</v>
      </c>
      <c r="X2404" s="203">
        <f>_xll.qlCalendarAdvance(Calendar,W2404,NDays&amp;"D")</f>
        <v>55750</v>
      </c>
      <c r="Y2404" s="204">
        <v>2.1698144856852852E-2</v>
      </c>
      <c r="Z2404" s="201">
        <v>2.1684611893153516E-2</v>
      </c>
    </row>
    <row r="2405" spans="22:26" x14ac:dyDescent="0.2">
      <c r="V2405" s="202" t="str">
        <f t="shared" si="46"/>
        <v>1w</v>
      </c>
      <c r="W2405" s="200">
        <f>_xll.qlCalendarAdvance(Calendar,W2404,V2405,"f",FALSE)</f>
        <v>55753</v>
      </c>
      <c r="X2405" s="203">
        <f>_xll.qlCalendarAdvance(Calendar,W2405,NDays&amp;"D")</f>
        <v>55757</v>
      </c>
      <c r="Y2405" s="204">
        <v>2.169529441401109E-2</v>
      </c>
      <c r="Z2405" s="201">
        <v>2.1681797656309953E-2</v>
      </c>
    </row>
    <row r="2406" spans="22:26" x14ac:dyDescent="0.2">
      <c r="V2406" s="202" t="str">
        <f t="shared" si="46"/>
        <v>1w</v>
      </c>
      <c r="W2406" s="200">
        <f>_xll.qlCalendarAdvance(Calendar,W2405,V2406,"f",FALSE)</f>
        <v>55760</v>
      </c>
      <c r="X2406" s="203">
        <f>_xll.qlCalendarAdvance(Calendar,W2406,NDays&amp;"D")</f>
        <v>55764</v>
      </c>
      <c r="Y2406" s="204">
        <v>2.1691982174914415E-2</v>
      </c>
      <c r="Z2406" s="201">
        <v>2.1678968924021547E-2</v>
      </c>
    </row>
    <row r="2407" spans="22:26" x14ac:dyDescent="0.2">
      <c r="V2407" s="202" t="str">
        <f t="shared" si="46"/>
        <v>1w</v>
      </c>
      <c r="W2407" s="200">
        <f>_xll.qlCalendarAdvance(Calendar,W2406,V2407,"f",FALSE)</f>
        <v>55767</v>
      </c>
      <c r="X2407" s="203">
        <f>_xll.qlCalendarAdvance(Calendar,W2407,NDays&amp;"D")</f>
        <v>55771</v>
      </c>
      <c r="Y2407" s="204">
        <v>2.1689103900596862E-2</v>
      </c>
      <c r="Z2407" s="201">
        <v>2.1676125696288295E-2</v>
      </c>
    </row>
    <row r="2408" spans="22:26" x14ac:dyDescent="0.2">
      <c r="V2408" s="202" t="str">
        <f t="shared" si="46"/>
        <v>1w</v>
      </c>
      <c r="W2408" s="200">
        <f>_xll.qlCalendarAdvance(Calendar,W2407,V2408,"f",FALSE)</f>
        <v>55774</v>
      </c>
      <c r="X2408" s="203">
        <f>_xll.qlCalendarAdvance(Calendar,W2408,NDays&amp;"D")</f>
        <v>55778</v>
      </c>
      <c r="Y2408" s="204">
        <v>2.1686211106160869E-2</v>
      </c>
      <c r="Z2408" s="201">
        <v>2.16732679731102E-2</v>
      </c>
    </row>
    <row r="2409" spans="22:26" x14ac:dyDescent="0.2">
      <c r="V2409" s="202" t="str">
        <f t="shared" si="46"/>
        <v>1w</v>
      </c>
      <c r="W2409" s="200">
        <f>_xll.qlCalendarAdvance(Calendar,W2408,V2409,"f",FALSE)</f>
        <v>55781</v>
      </c>
      <c r="X2409" s="203">
        <f>_xll.qlCalendarAdvance(Calendar,W2409,NDays&amp;"D")</f>
        <v>55785</v>
      </c>
      <c r="Y2409" s="204">
        <v>2.168330379162775E-2</v>
      </c>
      <c r="Z2409" s="201">
        <v>2.1670395754407323E-2</v>
      </c>
    </row>
    <row r="2410" spans="22:26" x14ac:dyDescent="0.2">
      <c r="V2410" s="202" t="str">
        <f t="shared" si="46"/>
        <v>1w</v>
      </c>
      <c r="W2410" s="200">
        <f>_xll.qlCalendarAdvance(Calendar,W2409,V2410,"f",FALSE)</f>
        <v>55788</v>
      </c>
      <c r="X2410" s="203">
        <f>_xll.qlCalendarAdvance(Calendar,W2410,NDays&amp;"D")</f>
        <v>55792</v>
      </c>
      <c r="Y2410" s="204">
        <v>2.1680824385243633E-2</v>
      </c>
      <c r="Z2410" s="201">
        <v>2.1667509040179667E-2</v>
      </c>
    </row>
    <row r="2411" spans="22:26" x14ac:dyDescent="0.2">
      <c r="V2411" s="202" t="str">
        <f t="shared" si="46"/>
        <v>1w</v>
      </c>
      <c r="W2411" s="200">
        <f>_xll.qlCalendarAdvance(Calendar,W2410,V2411,"f",FALSE)</f>
        <v>55795</v>
      </c>
      <c r="X2411" s="203">
        <f>_xll.qlCalendarAdvance(Calendar,W2411,NDays&amp;"D")</f>
        <v>55799</v>
      </c>
      <c r="Y2411" s="204">
        <v>2.1677886816657832E-2</v>
      </c>
      <c r="Z2411" s="201">
        <v>2.1664607830667038E-2</v>
      </c>
    </row>
    <row r="2412" spans="22:26" x14ac:dyDescent="0.2">
      <c r="V2412" s="202" t="str">
        <f t="shared" si="46"/>
        <v>1w</v>
      </c>
      <c r="W2412" s="200">
        <f>_xll.qlCalendarAdvance(Calendar,W2411,V2412,"f",FALSE)</f>
        <v>55802</v>
      </c>
      <c r="X2412" s="203">
        <f>_xll.qlCalendarAdvance(Calendar,W2412,NDays&amp;"D")</f>
        <v>55806</v>
      </c>
      <c r="Y2412" s="204">
        <v>2.1674934727150791E-2</v>
      </c>
      <c r="Z2412" s="201">
        <v>2.1661692125629628E-2</v>
      </c>
    </row>
    <row r="2413" spans="22:26" x14ac:dyDescent="0.2">
      <c r="V2413" s="202" t="str">
        <f t="shared" si="46"/>
        <v>1w</v>
      </c>
      <c r="W2413" s="200">
        <f>_xll.qlCalendarAdvance(Calendar,W2412,V2413,"f",FALSE)</f>
        <v>55809</v>
      </c>
      <c r="X2413" s="203">
        <f>_xll.qlCalendarAdvance(Calendar,W2413,NDays&amp;"D")</f>
        <v>55813</v>
      </c>
      <c r="Y2413" s="204">
        <v>2.1671968116732825E-2</v>
      </c>
      <c r="Z2413" s="201">
        <v>2.165876192522731E-2</v>
      </c>
    </row>
    <row r="2414" spans="22:26" x14ac:dyDescent="0.2">
      <c r="V2414" s="202" t="str">
        <f t="shared" si="46"/>
        <v>1w</v>
      </c>
      <c r="W2414" s="200">
        <f>_xll.qlCalendarAdvance(Calendar,W2413,V2414,"f",FALSE)</f>
        <v>55816</v>
      </c>
      <c r="X2414" s="203">
        <f>_xll.qlCalendarAdvance(Calendar,W2414,NDays&amp;"D")</f>
        <v>55820</v>
      </c>
      <c r="Y2414" s="204">
        <v>2.1668986985419407E-2</v>
      </c>
      <c r="Z2414" s="201">
        <v>2.1655817229220276E-2</v>
      </c>
    </row>
    <row r="2415" spans="22:26" x14ac:dyDescent="0.2">
      <c r="V2415" s="202" t="str">
        <f t="shared" si="46"/>
        <v>1w</v>
      </c>
      <c r="W2415" s="200">
        <f>_xll.qlCalendarAdvance(Calendar,W2414,V2415,"f",FALSE)</f>
        <v>55823</v>
      </c>
      <c r="X2415" s="203">
        <f>_xll.qlCalendarAdvance(Calendar,W2415,NDays&amp;"D")</f>
        <v>55827</v>
      </c>
      <c r="Y2415" s="204">
        <v>2.1665554982853052E-2</v>
      </c>
      <c r="Z2415" s="201">
        <v>2.1652858037928269E-2</v>
      </c>
    </row>
    <row r="2416" spans="22:26" x14ac:dyDescent="0.2">
      <c r="V2416" s="202" t="str">
        <f t="shared" si="46"/>
        <v>1w</v>
      </c>
      <c r="W2416" s="200">
        <f>_xll.qlCalendarAdvance(Calendar,W2415,V2416,"f",FALSE)</f>
        <v>55830</v>
      </c>
      <c r="X2416" s="203">
        <f>_xll.qlCalendarAdvance(Calendar,W2416,NDays&amp;"D")</f>
        <v>55834</v>
      </c>
      <c r="Y2416" s="204">
        <v>2.1662546027895857E-2</v>
      </c>
      <c r="Z2416" s="201">
        <v>2.1649884350951609E-2</v>
      </c>
    </row>
    <row r="2417" spans="22:26" x14ac:dyDescent="0.2">
      <c r="V2417" s="202" t="str">
        <f t="shared" si="46"/>
        <v>1w</v>
      </c>
      <c r="W2417" s="200">
        <f>_xll.qlCalendarAdvance(Calendar,W2416,V2417,"f",FALSE)</f>
        <v>55837</v>
      </c>
      <c r="X2417" s="203">
        <f>_xll.qlCalendarAdvance(Calendar,W2417,NDays&amp;"D")</f>
        <v>55841</v>
      </c>
      <c r="Y2417" s="204">
        <v>2.1659522552926802E-2</v>
      </c>
      <c r="Z2417" s="201">
        <v>2.1646896168769914E-2</v>
      </c>
    </row>
    <row r="2418" spans="22:26" x14ac:dyDescent="0.2">
      <c r="V2418" s="202" t="str">
        <f t="shared" si="46"/>
        <v>1w</v>
      </c>
      <c r="W2418" s="200">
        <f>_xll.qlCalendarAdvance(Calendar,W2417,V2418,"f",FALSE)</f>
        <v>55844</v>
      </c>
      <c r="X2418" s="203">
        <f>_xll.qlCalendarAdvance(Calendar,W2418,NDays&amp;"D")</f>
        <v>55848</v>
      </c>
      <c r="Y2418" s="204">
        <v>2.1657349845933815E-2</v>
      </c>
      <c r="Z2418" s="201">
        <v>2.1643893490823629E-2</v>
      </c>
    </row>
    <row r="2419" spans="22:26" x14ac:dyDescent="0.2">
      <c r="V2419" s="202" t="str">
        <f t="shared" si="46"/>
        <v>1w</v>
      </c>
      <c r="W2419" s="200">
        <f>_xll.qlCalendarAdvance(Calendar,W2418,V2419,"f",FALSE)</f>
        <v>55851</v>
      </c>
      <c r="X2419" s="203">
        <f>_xll.qlCalendarAdvance(Calendar,W2419,NDays&amp;"D")</f>
        <v>55855</v>
      </c>
      <c r="Y2419" s="204">
        <v>2.1653863515778925E-2</v>
      </c>
      <c r="Z2419" s="201">
        <v>2.1640876317752245E-2</v>
      </c>
    </row>
    <row r="2420" spans="22:26" x14ac:dyDescent="0.2">
      <c r="V2420" s="202" t="str">
        <f t="shared" si="46"/>
        <v>1w</v>
      </c>
      <c r="W2420" s="200">
        <f>_xll.qlCalendarAdvance(Calendar,W2419,V2420,"f",FALSE)</f>
        <v>55858</v>
      </c>
      <c r="X2420" s="203">
        <f>_xll.qlCalendarAdvance(Calendar,W2420,NDays&amp;"D")</f>
        <v>55862</v>
      </c>
      <c r="Y2420" s="204">
        <v>2.1650795259314543E-2</v>
      </c>
      <c r="Z2420" s="201">
        <v>2.1637844648996207E-2</v>
      </c>
    </row>
    <row r="2421" spans="22:26" x14ac:dyDescent="0.2">
      <c r="V2421" s="202" t="str">
        <f t="shared" si="46"/>
        <v>1w</v>
      </c>
      <c r="W2421" s="200">
        <f>_xll.qlCalendarAdvance(Calendar,W2420,V2421,"f",FALSE)</f>
        <v>55865</v>
      </c>
      <c r="X2421" s="203">
        <f>_xll.qlCalendarAdvance(Calendar,W2421,NDays&amp;"D")</f>
        <v>55869</v>
      </c>
      <c r="Y2421" s="204">
        <v>2.1647712482034641E-2</v>
      </c>
      <c r="Z2421" s="201">
        <v>2.1634798484795326E-2</v>
      </c>
    </row>
    <row r="2422" spans="22:26" x14ac:dyDescent="0.2">
      <c r="V2422" s="202" t="str">
        <f t="shared" si="46"/>
        <v>1w</v>
      </c>
      <c r="W2422" s="200">
        <f>_xll.qlCalendarAdvance(Calendar,W2421,V2422,"f",FALSE)</f>
        <v>55872</v>
      </c>
      <c r="X2422" s="203">
        <f>_xll.qlCalendarAdvance(Calendar,W2422,NDays&amp;"D")</f>
        <v>55876</v>
      </c>
      <c r="Y2422" s="204">
        <v>2.1644615183944376E-2</v>
      </c>
      <c r="Z2422" s="201">
        <v>2.1631737825229536E-2</v>
      </c>
    </row>
    <row r="2423" spans="22:26" x14ac:dyDescent="0.2">
      <c r="V2423" s="202" t="str">
        <f t="shared" si="46"/>
        <v>1w</v>
      </c>
      <c r="W2423" s="200">
        <f>_xll.qlCalendarAdvance(Calendar,W2422,V2423,"f",FALSE)</f>
        <v>55880</v>
      </c>
      <c r="X2423" s="203">
        <f>_xll.qlCalendarAdvance(Calendar,W2423,NDays&amp;"D")</f>
        <v>55884</v>
      </c>
      <c r="Y2423" s="204">
        <v>2.1641057634136086E-2</v>
      </c>
      <c r="Z2423" s="201">
        <v>2.1628651466780724E-2</v>
      </c>
    </row>
    <row r="2424" spans="22:26" x14ac:dyDescent="0.2">
      <c r="V2424" s="202" t="str">
        <f t="shared" si="46"/>
        <v>1w</v>
      </c>
      <c r="W2424" s="200">
        <f>_xll.qlCalendarAdvance(Calendar,W2423,V2424,"f",FALSE)</f>
        <v>55887</v>
      </c>
      <c r="X2424" s="203">
        <f>_xll.qlCalendarAdvance(Calendar,W2424,NDays&amp;"D")</f>
        <v>55891</v>
      </c>
      <c r="Y2424" s="204">
        <v>2.1637929220076669E-2</v>
      </c>
      <c r="Z2424" s="201">
        <v>2.1625130457856301E-2</v>
      </c>
    </row>
    <row r="2425" spans="22:26" x14ac:dyDescent="0.2">
      <c r="V2425" s="202" t="str">
        <f t="shared" si="46"/>
        <v>1w</v>
      </c>
      <c r="W2425" s="200">
        <f>_xll.qlCalendarAdvance(Calendar,W2424,V2425,"f",FALSE)</f>
        <v>55894</v>
      </c>
      <c r="X2425" s="203">
        <f>_xll.qlCalendarAdvance(Calendar,W2425,NDays&amp;"D")</f>
        <v>55898</v>
      </c>
      <c r="Y2425" s="204">
        <v>2.1634786285242989E-2</v>
      </c>
      <c r="Z2425" s="201">
        <v>2.1622024241132465E-2</v>
      </c>
    </row>
    <row r="2426" spans="22:26" x14ac:dyDescent="0.2">
      <c r="V2426" s="202" t="str">
        <f t="shared" si="46"/>
        <v>1w</v>
      </c>
      <c r="W2426" s="200">
        <f>_xll.qlCalendarAdvance(Calendar,W2425,V2426,"f",FALSE)</f>
        <v>55901</v>
      </c>
      <c r="X2426" s="203">
        <f>_xll.qlCalendarAdvance(Calendar,W2426,NDays&amp;"D")</f>
        <v>55905</v>
      </c>
      <c r="Y2426" s="204">
        <v>2.16316288296531E-2</v>
      </c>
      <c r="Z2426" s="201">
        <v>2.1618903528883848E-2</v>
      </c>
    </row>
    <row r="2427" spans="22:26" x14ac:dyDescent="0.2">
      <c r="V2427" s="202" t="str">
        <f t="shared" si="46"/>
        <v>1w</v>
      </c>
      <c r="W2427" s="200">
        <f>_xll.qlCalendarAdvance(Calendar,W2426,V2427,"f",FALSE)</f>
        <v>55908</v>
      </c>
      <c r="X2427" s="203">
        <f>_xll.qlCalendarAdvance(Calendar,W2427,NDays&amp;"D")</f>
        <v>55912</v>
      </c>
      <c r="Y2427" s="204">
        <v>2.1628456853314736E-2</v>
      </c>
      <c r="Z2427" s="201">
        <v>2.1615768321270323E-2</v>
      </c>
    </row>
    <row r="2428" spans="22:26" x14ac:dyDescent="0.2">
      <c r="V2428" s="202" t="str">
        <f t="shared" si="46"/>
        <v>1w</v>
      </c>
      <c r="W2428" s="200">
        <f>_xll.qlCalendarAdvance(Calendar,W2427,V2428,"f",FALSE)</f>
        <v>55915</v>
      </c>
      <c r="X2428" s="203">
        <f>_xll.qlCalendarAdvance(Calendar,W2428,NDays&amp;"D")</f>
        <v>55919</v>
      </c>
      <c r="Y2428" s="204">
        <v>2.1624009235507051E-2</v>
      </c>
      <c r="Z2428" s="201">
        <v>2.161261861829189E-2</v>
      </c>
    </row>
    <row r="2429" spans="22:26" x14ac:dyDescent="0.2">
      <c r="V2429" s="202" t="str">
        <f t="shared" si="46"/>
        <v>1w</v>
      </c>
      <c r="W2429" s="200">
        <f>_xll.qlCalendarAdvance(Calendar,W2428,V2429,"f",FALSE)</f>
        <v>55922</v>
      </c>
      <c r="X2429" s="203">
        <f>_xll.qlCalendarAdvance(Calendar,W2429,NDays&amp;"D")</f>
        <v>55926</v>
      </c>
      <c r="Y2429" s="204">
        <v>2.1620811904978141E-2</v>
      </c>
      <c r="Z2429" s="201">
        <v>2.160945441970874E-2</v>
      </c>
    </row>
    <row r="2430" spans="22:26" x14ac:dyDescent="0.2">
      <c r="V2430" s="202" t="str">
        <f t="shared" si="46"/>
        <v>1w</v>
      </c>
      <c r="W2430" s="200">
        <f>_xll.qlCalendarAdvance(Calendar,W2429,V2430,"f",FALSE)</f>
        <v>55929</v>
      </c>
      <c r="X2430" s="203">
        <f>_xll.qlCalendarAdvance(Calendar,W2430,NDays&amp;"D")</f>
        <v>55933</v>
      </c>
      <c r="Y2430" s="204">
        <v>2.1617600056265434E-2</v>
      </c>
      <c r="Z2430" s="201">
        <v>2.1606275725760682E-2</v>
      </c>
    </row>
    <row r="2431" spans="22:26" x14ac:dyDescent="0.2">
      <c r="V2431" s="202" t="str">
        <f t="shared" si="46"/>
        <v>1w</v>
      </c>
      <c r="W2431" s="200">
        <f>_xll.qlCalendarAdvance(Calendar,W2430,V2431,"f",FALSE)</f>
        <v>55936</v>
      </c>
      <c r="X2431" s="203">
        <f>_xll.qlCalendarAdvance(Calendar,W2431,NDays&amp;"D")</f>
        <v>55940</v>
      </c>
      <c r="Y2431" s="204">
        <v>2.1614373689377495E-2</v>
      </c>
      <c r="Z2431" s="201">
        <v>2.1603082536367779E-2</v>
      </c>
    </row>
    <row r="2432" spans="22:26" x14ac:dyDescent="0.2">
      <c r="V2432" s="202" t="str">
        <f t="shared" si="46"/>
        <v>1w</v>
      </c>
      <c r="W2432" s="200">
        <f>_xll.qlCalendarAdvance(Calendar,W2431,V2432,"f",FALSE)</f>
        <v>55943</v>
      </c>
      <c r="X2432" s="203">
        <f>_xll.qlCalendarAdvance(Calendar,W2432,NDays&amp;"D")</f>
        <v>55947</v>
      </c>
      <c r="Y2432" s="204">
        <v>2.1614039558144529E-2</v>
      </c>
      <c r="Z2432" s="201">
        <v>2.1599874851530032E-2</v>
      </c>
    </row>
    <row r="2433" spans="22:26" x14ac:dyDescent="0.2">
      <c r="V2433" s="202" t="str">
        <f t="shared" si="46"/>
        <v>1w</v>
      </c>
      <c r="W2433" s="200">
        <f>_xll.qlCalendarAdvance(Calendar,W2432,V2433,"f",FALSE)</f>
        <v>55950</v>
      </c>
      <c r="X2433" s="203">
        <f>_xll.qlCalendarAdvance(Calendar,W2433,NDays&amp;"D")</f>
        <v>55954</v>
      </c>
      <c r="Y2433" s="204">
        <v>2.1609120060280852E-2</v>
      </c>
      <c r="Z2433" s="201">
        <v>2.1596652671167504E-2</v>
      </c>
    </row>
    <row r="2434" spans="22:26" x14ac:dyDescent="0.2">
      <c r="V2434" s="202" t="str">
        <f t="shared" si="46"/>
        <v>1w</v>
      </c>
      <c r="W2434" s="200">
        <f>_xll.qlCalendarAdvance(Calendar,W2433,V2434,"f",FALSE)</f>
        <v>55957</v>
      </c>
      <c r="X2434" s="203">
        <f>_xll.qlCalendarAdvance(Calendar,W2434,NDays&amp;"D")</f>
        <v>55961</v>
      </c>
      <c r="Y2434" s="204">
        <v>2.1605846439053854E-2</v>
      </c>
      <c r="Z2434" s="201">
        <v>2.1593415995360132E-2</v>
      </c>
    </row>
    <row r="2435" spans="22:26" x14ac:dyDescent="0.2">
      <c r="V2435" s="202" t="str">
        <f t="shared" si="46"/>
        <v>1w</v>
      </c>
      <c r="W2435" s="200">
        <f>_xll.qlCalendarAdvance(Calendar,W2434,V2435,"f",FALSE)</f>
        <v>55964</v>
      </c>
      <c r="X2435" s="203">
        <f>_xll.qlCalendarAdvance(Calendar,W2435,NDays&amp;"D")</f>
        <v>55968</v>
      </c>
      <c r="Y2435" s="204">
        <v>2.1602558297178946E-2</v>
      </c>
      <c r="Z2435" s="201">
        <v>2.1590164824187852E-2</v>
      </c>
    </row>
    <row r="2436" spans="22:26" x14ac:dyDescent="0.2">
      <c r="V2436" s="202" t="str">
        <f t="shared" si="46"/>
        <v>1w</v>
      </c>
      <c r="W2436" s="200">
        <f>_xll.qlCalendarAdvance(Calendar,W2435,V2436,"f",FALSE)</f>
        <v>55971</v>
      </c>
      <c r="X2436" s="203">
        <f>_xll.qlCalendarAdvance(Calendar,W2436,NDays&amp;"D")</f>
        <v>55975</v>
      </c>
      <c r="Y2436" s="204">
        <v>2.1599255634663864E-2</v>
      </c>
      <c r="Z2436" s="201">
        <v>2.1586899157570727E-2</v>
      </c>
    </row>
    <row r="2437" spans="22:26" x14ac:dyDescent="0.2">
      <c r="V2437" s="202" t="str">
        <f t="shared" si="46"/>
        <v>1w</v>
      </c>
      <c r="W2437" s="200">
        <f>_xll.qlCalendarAdvance(Calendar,W2436,V2437,"f",FALSE)</f>
        <v>55982</v>
      </c>
      <c r="X2437" s="203">
        <f>_xll.qlCalendarAdvance(Calendar,W2437,NDays&amp;"D")</f>
        <v>55984</v>
      </c>
      <c r="Y2437" s="204">
        <v>2.1595396743135931E-2</v>
      </c>
      <c r="Z2437" s="201">
        <v>2.1582679143792305E-2</v>
      </c>
    </row>
    <row r="2438" spans="22:26" x14ac:dyDescent="0.2">
      <c r="V2438" s="202" t="str">
        <f t="shared" si="46"/>
        <v>1w</v>
      </c>
      <c r="W2438" s="200">
        <f>_xll.qlCalendarAdvance(Calendar,W2437,V2438,"f",FALSE)</f>
        <v>55989</v>
      </c>
      <c r="X2438" s="203">
        <f>_xll.qlCalendarAdvance(Calendar,W2438,NDays&amp;"D")</f>
        <v>55991</v>
      </c>
      <c r="Y2438" s="204">
        <v>2.1592059653486317E-2</v>
      </c>
      <c r="Z2438" s="201">
        <v>2.1579380344718402E-2</v>
      </c>
    </row>
    <row r="2439" spans="22:26" x14ac:dyDescent="0.2">
      <c r="V2439" s="202" t="str">
        <f t="shared" si="46"/>
        <v>1w</v>
      </c>
      <c r="W2439" s="200">
        <f>_xll.qlCalendarAdvance(Calendar,W2438,V2439,"f",FALSE)</f>
        <v>55996</v>
      </c>
      <c r="X2439" s="203">
        <f>_xll.qlCalendarAdvance(Calendar,W2439,NDays&amp;"D")</f>
        <v>55998</v>
      </c>
      <c r="Y2439" s="204">
        <v>2.1588708042400151E-2</v>
      </c>
      <c r="Z2439" s="201">
        <v>2.1576067050199654E-2</v>
      </c>
    </row>
    <row r="2440" spans="22:26" x14ac:dyDescent="0.2">
      <c r="V2440" s="202" t="str">
        <f t="shared" si="46"/>
        <v>1w</v>
      </c>
      <c r="W2440" s="200">
        <f>_xll.qlCalendarAdvance(Calendar,W2439,V2440,"f",FALSE)</f>
        <v>56003</v>
      </c>
      <c r="X2440" s="203">
        <f>_xll.qlCalendarAdvance(Calendar,W2440,NDays&amp;"D")</f>
        <v>56006</v>
      </c>
      <c r="Y2440" s="204">
        <v>2.1584455014143723E-2</v>
      </c>
      <c r="Z2440" s="201">
        <v>2.1573078344303553E-2</v>
      </c>
    </row>
    <row r="2441" spans="22:26" x14ac:dyDescent="0.2">
      <c r="V2441" s="202" t="str">
        <f t="shared" si="46"/>
        <v>1w</v>
      </c>
      <c r="W2441" s="200">
        <f>_xll.qlCalendarAdvance(Calendar,W2440,V2441,"f",FALSE)</f>
        <v>56010</v>
      </c>
      <c r="X2441" s="203">
        <f>_xll.qlCalendarAdvance(Calendar,W2441,NDays&amp;"D")</f>
        <v>56012</v>
      </c>
      <c r="Y2441" s="204">
        <v>2.1581961255973114E-2</v>
      </c>
      <c r="Z2441" s="201">
        <v>2.156939697474769E-2</v>
      </c>
    </row>
    <row r="2442" spans="22:26" x14ac:dyDescent="0.2">
      <c r="V2442" s="202" t="str">
        <f t="shared" si="46"/>
        <v>1w</v>
      </c>
      <c r="W2442" s="200">
        <f>_xll.qlCalendarAdvance(Calendar,W2441,V2442,"f",FALSE)</f>
        <v>56017</v>
      </c>
      <c r="X2442" s="203">
        <f>_xll.qlCalendarAdvance(Calendar,W2442,NDays&amp;"D")</f>
        <v>56019</v>
      </c>
      <c r="Y2442" s="204">
        <v>2.1578566080657224E-2</v>
      </c>
      <c r="Z2442" s="201">
        <v>2.1566040193814473E-2</v>
      </c>
    </row>
    <row r="2443" spans="22:26" x14ac:dyDescent="0.2">
      <c r="V2443" s="202" t="str">
        <f t="shared" si="46"/>
        <v>1w</v>
      </c>
      <c r="W2443" s="200">
        <f>_xll.qlCalendarAdvance(Calendar,W2442,V2443,"f",FALSE)</f>
        <v>56024</v>
      </c>
      <c r="X2443" s="203">
        <f>_xll.qlCalendarAdvance(Calendar,W2443,NDays&amp;"D")</f>
        <v>56026</v>
      </c>
      <c r="Y2443" s="204">
        <v>2.1575156383959737E-2</v>
      </c>
      <c r="Z2443" s="201">
        <v>2.1562668917516348E-2</v>
      </c>
    </row>
    <row r="2444" spans="22:26" x14ac:dyDescent="0.2">
      <c r="V2444" s="202" t="str">
        <f t="shared" si="46"/>
        <v>1w</v>
      </c>
      <c r="W2444" s="200">
        <f>_xll.qlCalendarAdvance(Calendar,W2443,V2444,"f",FALSE)</f>
        <v>56031</v>
      </c>
      <c r="X2444" s="203">
        <f>_xll.qlCalendarAdvance(Calendar,W2444,NDays&amp;"D")</f>
        <v>56033</v>
      </c>
      <c r="Y2444" s="204">
        <v>2.1571732165893143E-2</v>
      </c>
      <c r="Z2444" s="201">
        <v>2.1559283145693442E-2</v>
      </c>
    </row>
    <row r="2445" spans="22:26" x14ac:dyDescent="0.2">
      <c r="V2445" s="202" t="str">
        <f t="shared" si="46"/>
        <v>1w</v>
      </c>
      <c r="W2445" s="200">
        <f>_xll.qlCalendarAdvance(Calendar,W2444,V2445,"f",FALSE)</f>
        <v>56038</v>
      </c>
      <c r="X2445" s="203">
        <f>_xll.qlCalendarAdvance(Calendar,W2445,NDays&amp;"D")</f>
        <v>56040</v>
      </c>
      <c r="Y2445" s="204">
        <v>2.1568293426472429E-2</v>
      </c>
      <c r="Z2445" s="201">
        <v>2.1555882878505628E-2</v>
      </c>
    </row>
    <row r="2446" spans="22:26" x14ac:dyDescent="0.2">
      <c r="V2446" s="202" t="str">
        <f t="shared" si="46"/>
        <v>1w</v>
      </c>
      <c r="W2446" s="200">
        <f>_xll.qlCalendarAdvance(Calendar,W2445,V2446,"f",FALSE)</f>
        <v>56045</v>
      </c>
      <c r="X2446" s="203">
        <f>_xll.qlCalendarAdvance(Calendar,W2446,NDays&amp;"D")</f>
        <v>56047</v>
      </c>
      <c r="Y2446" s="204">
        <v>2.1564840165707588E-2</v>
      </c>
      <c r="Z2446" s="201">
        <v>2.1552468115793033E-2</v>
      </c>
    </row>
    <row r="2447" spans="22:26" x14ac:dyDescent="0.2">
      <c r="V2447" s="202" t="str">
        <f t="shared" si="46"/>
        <v>1w</v>
      </c>
      <c r="W2447" s="200">
        <f>_xll.qlCalendarAdvance(Calendar,W2446,V2447,"f",FALSE)</f>
        <v>56052</v>
      </c>
      <c r="X2447" s="203">
        <f>_xll.qlCalendarAdvance(Calendar,W2447,NDays&amp;"D")</f>
        <v>56054</v>
      </c>
      <c r="Y2447" s="204">
        <v>2.156137238361111E-2</v>
      </c>
      <c r="Z2447" s="201">
        <v>2.1549038857635594E-2</v>
      </c>
    </row>
    <row r="2448" spans="22:26" x14ac:dyDescent="0.2">
      <c r="V2448" s="202" t="str">
        <f t="shared" si="46"/>
        <v>1w</v>
      </c>
      <c r="W2448" s="200">
        <f>_xll.qlCalendarAdvance(Calendar,W2447,V2448,"f",FALSE)</f>
        <v>56059</v>
      </c>
      <c r="X2448" s="203">
        <f>_xll.qlCalendarAdvance(Calendar,W2448,NDays&amp;"D")</f>
        <v>56061</v>
      </c>
      <c r="Y2448" s="204">
        <v>2.1557890080197983E-2</v>
      </c>
      <c r="Z2448" s="201">
        <v>2.1545595104113247E-2</v>
      </c>
    </row>
    <row r="2449" spans="22:26" x14ac:dyDescent="0.2">
      <c r="V2449" s="202" t="str">
        <f t="shared" si="46"/>
        <v>1w</v>
      </c>
      <c r="W2449" s="200">
        <f>_xll.qlCalendarAdvance(Calendar,W2448,V2449,"f",FALSE)</f>
        <v>56066</v>
      </c>
      <c r="X2449" s="203">
        <f>_xll.qlCalendarAdvance(Calendar,W2449,NDays&amp;"D")</f>
        <v>56068</v>
      </c>
      <c r="Y2449" s="204">
        <v>2.1554393255483195E-2</v>
      </c>
      <c r="Z2449" s="201">
        <v>2.1542136855146055E-2</v>
      </c>
    </row>
    <row r="2450" spans="22:26" x14ac:dyDescent="0.2">
      <c r="V2450" s="202" t="str">
        <f t="shared" si="46"/>
        <v>1w</v>
      </c>
      <c r="W2450" s="200">
        <f>_xll.qlCalendarAdvance(Calendar,W2449,V2450,"f",FALSE)</f>
        <v>56073</v>
      </c>
      <c r="X2450" s="203">
        <f>_xll.qlCalendarAdvance(Calendar,W2450,NDays&amp;"D")</f>
        <v>56075</v>
      </c>
      <c r="Y2450" s="204">
        <v>2.1550881909479236E-2</v>
      </c>
      <c r="Z2450" s="201">
        <v>2.1538664110654082E-2</v>
      </c>
    </row>
    <row r="2451" spans="22:26" x14ac:dyDescent="0.2">
      <c r="V2451" s="202" t="str">
        <f t="shared" si="46"/>
        <v>1w</v>
      </c>
      <c r="W2451" s="200">
        <f>_xll.qlCalendarAdvance(Calendar,W2450,V2451,"f",FALSE)</f>
        <v>56080</v>
      </c>
      <c r="X2451" s="203">
        <f>_xll.qlCalendarAdvance(Calendar,W2451,NDays&amp;"D")</f>
        <v>56082</v>
      </c>
      <c r="Y2451" s="204">
        <v>2.1547356042201093E-2</v>
      </c>
      <c r="Z2451" s="201">
        <v>2.1535176870877137E-2</v>
      </c>
    </row>
    <row r="2452" spans="22:26" x14ac:dyDescent="0.2">
      <c r="V2452" s="202" t="str">
        <f t="shared" si="46"/>
        <v>1w</v>
      </c>
      <c r="W2452" s="200">
        <f>_xll.qlCalendarAdvance(Calendar,W2451,V2452,"f",FALSE)</f>
        <v>56087</v>
      </c>
      <c r="X2452" s="203">
        <f>_xll.qlCalendarAdvance(Calendar,W2452,NDays&amp;"D")</f>
        <v>56089</v>
      </c>
      <c r="Y2452" s="204">
        <v>2.154381565365876E-2</v>
      </c>
      <c r="Z2452" s="201">
        <v>2.1531675135495476E-2</v>
      </c>
    </row>
    <row r="2453" spans="22:26" x14ac:dyDescent="0.2">
      <c r="V2453" s="202" t="str">
        <f t="shared" ref="V2453:V2516" si="47">V2452</f>
        <v>1w</v>
      </c>
      <c r="W2453" s="200">
        <f>_xll.qlCalendarAdvance(Calendar,W2452,V2453,"f",FALSE)</f>
        <v>56094</v>
      </c>
      <c r="X2453" s="203">
        <f>_xll.qlCalendarAdvance(Calendar,W2453,NDays&amp;"D")</f>
        <v>56096</v>
      </c>
      <c r="Y2453" s="204">
        <v>2.153909394172137E-2</v>
      </c>
      <c r="Z2453" s="201">
        <v>2.1528158904748906E-2</v>
      </c>
    </row>
    <row r="2454" spans="22:26" x14ac:dyDescent="0.2">
      <c r="V2454" s="202" t="str">
        <f t="shared" si="47"/>
        <v>1w</v>
      </c>
      <c r="W2454" s="200">
        <f>_xll.qlCalendarAdvance(Calendar,W2453,V2454,"f",FALSE)</f>
        <v>56101</v>
      </c>
      <c r="X2454" s="203">
        <f>_xll.qlCalendarAdvance(Calendar,W2454,NDays&amp;"D")</f>
        <v>56103</v>
      </c>
      <c r="Y2454" s="204">
        <v>2.153669131284397E-2</v>
      </c>
      <c r="Z2454" s="201">
        <v>2.1524628178477556E-2</v>
      </c>
    </row>
    <row r="2455" spans="22:26" x14ac:dyDescent="0.2">
      <c r="V2455" s="202" t="str">
        <f t="shared" si="47"/>
        <v>1w</v>
      </c>
      <c r="W2455" s="200">
        <f>_xll.qlCalendarAdvance(Calendar,W2454,V2455,"f",FALSE)</f>
        <v>56108</v>
      </c>
      <c r="X2455" s="203">
        <f>_xll.qlCalendarAdvance(Calendar,W2455,NDays&amp;"D")</f>
        <v>56110</v>
      </c>
      <c r="Y2455" s="204">
        <v>2.1533107360593995E-2</v>
      </c>
      <c r="Z2455" s="201">
        <v>2.1521082956841298E-2</v>
      </c>
    </row>
    <row r="2456" spans="22:26" x14ac:dyDescent="0.2">
      <c r="V2456" s="202" t="str">
        <f t="shared" si="47"/>
        <v>1w</v>
      </c>
      <c r="W2456" s="200">
        <f>_xll.qlCalendarAdvance(Calendar,W2455,V2456,"f",FALSE)</f>
        <v>56115</v>
      </c>
      <c r="X2456" s="203">
        <f>_xll.qlCalendarAdvance(Calendar,W2456,NDays&amp;"D")</f>
        <v>56117</v>
      </c>
      <c r="Y2456" s="204">
        <v>2.1529508887144777E-2</v>
      </c>
      <c r="Z2456" s="201">
        <v>2.1517523239840131E-2</v>
      </c>
    </row>
    <row r="2457" spans="22:26" x14ac:dyDescent="0.2">
      <c r="V2457" s="202" t="str">
        <f t="shared" si="47"/>
        <v>1w</v>
      </c>
      <c r="W2457" s="200">
        <f>_xll.qlCalendarAdvance(Calendar,W2456,V2457,"f",FALSE)</f>
        <v>56122</v>
      </c>
      <c r="X2457" s="203">
        <f>_xll.qlCalendarAdvance(Calendar,W2457,NDays&amp;"D")</f>
        <v>56124</v>
      </c>
      <c r="Y2457" s="204">
        <v>2.1525895892498814E-2</v>
      </c>
      <c r="Z2457" s="201">
        <v>2.1513949027314183E-2</v>
      </c>
    </row>
    <row r="2458" spans="22:26" x14ac:dyDescent="0.2">
      <c r="V2458" s="202" t="str">
        <f t="shared" si="47"/>
        <v>1w</v>
      </c>
      <c r="W2458" s="200">
        <f>_xll.qlCalendarAdvance(Calendar,W2457,V2458,"f",FALSE)</f>
        <v>56129</v>
      </c>
      <c r="X2458" s="203">
        <f>_xll.qlCalendarAdvance(Calendar,W2458,NDays&amp;"D")</f>
        <v>56131</v>
      </c>
      <c r="Y2458" s="204">
        <v>2.1522268376668596E-2</v>
      </c>
      <c r="Z2458" s="201">
        <v>2.1510360319263455E-2</v>
      </c>
    </row>
    <row r="2459" spans="22:26" x14ac:dyDescent="0.2">
      <c r="V2459" s="202" t="str">
        <f t="shared" si="47"/>
        <v>1w</v>
      </c>
      <c r="W2459" s="200">
        <f>_xll.qlCalendarAdvance(Calendar,W2458,V2459,"f",FALSE)</f>
        <v>56136</v>
      </c>
      <c r="X2459" s="203">
        <f>_xll.qlCalendarAdvance(Calendar,W2459,NDays&amp;"D")</f>
        <v>56138</v>
      </c>
      <c r="Y2459" s="204">
        <v>2.1518626339679103E-2</v>
      </c>
      <c r="Z2459" s="201">
        <v>2.1506757116007691E-2</v>
      </c>
    </row>
    <row r="2460" spans="22:26" x14ac:dyDescent="0.2">
      <c r="V2460" s="202" t="str">
        <f t="shared" si="47"/>
        <v>1w</v>
      </c>
      <c r="W2460" s="200">
        <f>_xll.qlCalendarAdvance(Calendar,W2459,V2460,"f",FALSE)</f>
        <v>56143</v>
      </c>
      <c r="X2460" s="203">
        <f>_xll.qlCalendarAdvance(Calendar,W2460,NDays&amp;"D")</f>
        <v>56145</v>
      </c>
      <c r="Y2460" s="204">
        <v>2.1514969781537829E-2</v>
      </c>
      <c r="Z2460" s="201">
        <v>2.150313941714721E-2</v>
      </c>
    </row>
    <row r="2461" spans="22:26" x14ac:dyDescent="0.2">
      <c r="V2461" s="202" t="str">
        <f t="shared" si="47"/>
        <v>1w</v>
      </c>
      <c r="W2461" s="200">
        <f>_xll.qlCalendarAdvance(Calendar,W2460,V2461,"f",FALSE)</f>
        <v>56150</v>
      </c>
      <c r="X2461" s="203">
        <f>_xll.qlCalendarAdvance(Calendar,W2461,NDays&amp;"D")</f>
        <v>56152</v>
      </c>
      <c r="Y2461" s="204">
        <v>2.1511298702259762E-2</v>
      </c>
      <c r="Z2461" s="201">
        <v>2.1499507222841885E-2</v>
      </c>
    </row>
    <row r="2462" spans="22:26" x14ac:dyDescent="0.2">
      <c r="V2462" s="202" t="str">
        <f t="shared" si="47"/>
        <v>1w</v>
      </c>
      <c r="W2462" s="200">
        <f>_xll.qlCalendarAdvance(Calendar,W2461,V2462,"f",FALSE)</f>
        <v>56157</v>
      </c>
      <c r="X2462" s="203">
        <f>_xll.qlCalendarAdvance(Calendar,W2462,NDays&amp;"D")</f>
        <v>56159</v>
      </c>
      <c r="Y2462" s="204">
        <v>2.1507613101857392E-2</v>
      </c>
      <c r="Z2462" s="201">
        <v>2.1495860533091715E-2</v>
      </c>
    </row>
    <row r="2463" spans="22:26" x14ac:dyDescent="0.2">
      <c r="V2463" s="202" t="str">
        <f t="shared" si="47"/>
        <v>1w</v>
      </c>
      <c r="W2463" s="200">
        <f>_xll.qlCalendarAdvance(Calendar,W2462,V2463,"f",FALSE)</f>
        <v>56164</v>
      </c>
      <c r="X2463" s="203">
        <f>_xll.qlCalendarAdvance(Calendar,W2463,NDays&amp;"D")</f>
        <v>56166</v>
      </c>
      <c r="Y2463" s="204">
        <v>2.1503912980348205E-2</v>
      </c>
      <c r="Z2463" s="201">
        <v>2.1492199347976637E-2</v>
      </c>
    </row>
    <row r="2464" spans="22:26" x14ac:dyDescent="0.2">
      <c r="V2464" s="202" t="str">
        <f t="shared" si="47"/>
        <v>1w</v>
      </c>
      <c r="W2464" s="200">
        <f>_xll.qlCalendarAdvance(Calendar,W2463,V2464,"f",FALSE)</f>
        <v>56171</v>
      </c>
      <c r="X2464" s="203">
        <f>_xll.qlCalendarAdvance(Calendar,W2464,NDays&amp;"D")</f>
        <v>56173</v>
      </c>
      <c r="Y2464" s="204">
        <v>2.1500198337744691E-2</v>
      </c>
      <c r="Z2464" s="201">
        <v>2.1488523667416715E-2</v>
      </c>
    </row>
    <row r="2465" spans="22:26" x14ac:dyDescent="0.2">
      <c r="V2465" s="202" t="str">
        <f t="shared" si="47"/>
        <v>1w</v>
      </c>
      <c r="W2465" s="200">
        <f>_xll.qlCalendarAdvance(Calendar,W2464,V2465,"f",FALSE)</f>
        <v>56178</v>
      </c>
      <c r="X2465" s="203">
        <f>_xll.qlCalendarAdvance(Calendar,W2465,NDays&amp;"D")</f>
        <v>56180</v>
      </c>
      <c r="Y2465" s="204">
        <v>2.1496469174056843E-2</v>
      </c>
      <c r="Z2465" s="201">
        <v>2.1484833491332012E-2</v>
      </c>
    </row>
    <row r="2466" spans="22:26" x14ac:dyDescent="0.2">
      <c r="V2466" s="202" t="str">
        <f t="shared" si="47"/>
        <v>1w</v>
      </c>
      <c r="W2466" s="200">
        <f>_xll.qlCalendarAdvance(Calendar,W2465,V2466,"f",FALSE)</f>
        <v>56185</v>
      </c>
      <c r="X2466" s="203">
        <f>_xll.qlCalendarAdvance(Calendar,W2466,NDays&amp;"D")</f>
        <v>56187</v>
      </c>
      <c r="Y2466" s="204">
        <v>2.1491607646345494E-2</v>
      </c>
      <c r="Z2466" s="201">
        <v>2.1481128819962336E-2</v>
      </c>
    </row>
    <row r="2467" spans="22:26" x14ac:dyDescent="0.2">
      <c r="V2467" s="202" t="str">
        <f t="shared" si="47"/>
        <v>1w</v>
      </c>
      <c r="W2467" s="200">
        <f>_xll.qlCalendarAdvance(Calendar,W2466,V2467,"f",FALSE)</f>
        <v>56192</v>
      </c>
      <c r="X2467" s="203">
        <f>_xll.qlCalendarAdvance(Calendar,W2467,NDays&amp;"D")</f>
        <v>56194</v>
      </c>
      <c r="Y2467" s="204">
        <v>2.1488967283508076E-2</v>
      </c>
      <c r="Z2467" s="201">
        <v>2.147740965306788E-2</v>
      </c>
    </row>
    <row r="2468" spans="22:26" x14ac:dyDescent="0.2">
      <c r="V2468" s="202" t="str">
        <f t="shared" si="47"/>
        <v>1w</v>
      </c>
      <c r="W2468" s="200">
        <f>_xll.qlCalendarAdvance(Calendar,W2467,V2468,"f",FALSE)</f>
        <v>56199</v>
      </c>
      <c r="X2468" s="203">
        <f>_xll.qlCalendarAdvance(Calendar,W2468,NDays&amp;"D")</f>
        <v>56201</v>
      </c>
      <c r="Y2468" s="204">
        <v>2.148519455666964E-2</v>
      </c>
      <c r="Z2468" s="201">
        <v>2.147367599072858E-2</v>
      </c>
    </row>
    <row r="2469" spans="22:26" x14ac:dyDescent="0.2">
      <c r="V2469" s="202" t="str">
        <f t="shared" si="47"/>
        <v>1w</v>
      </c>
      <c r="W2469" s="200">
        <f>_xll.qlCalendarAdvance(Calendar,W2468,V2469,"f",FALSE)</f>
        <v>56206</v>
      </c>
      <c r="X2469" s="203">
        <f>_xll.qlCalendarAdvance(Calendar,W2469,NDays&amp;"D")</f>
        <v>56208</v>
      </c>
      <c r="Y2469" s="204">
        <v>2.1481407308809319E-2</v>
      </c>
      <c r="Z2469" s="201">
        <v>2.1469927832944435E-2</v>
      </c>
    </row>
    <row r="2470" spans="22:26" x14ac:dyDescent="0.2">
      <c r="V2470" s="202" t="str">
        <f t="shared" si="47"/>
        <v>1w</v>
      </c>
      <c r="W2470" s="200">
        <f>_xll.qlCalendarAdvance(Calendar,W2469,V2470,"f",FALSE)</f>
        <v>56213</v>
      </c>
      <c r="X2470" s="203">
        <f>_xll.qlCalendarAdvance(Calendar,W2470,NDays&amp;"D")</f>
        <v>56215</v>
      </c>
      <c r="Y2470" s="204">
        <v>2.14776055399446E-2</v>
      </c>
      <c r="Z2470" s="201">
        <v>2.1466165179795382E-2</v>
      </c>
    </row>
    <row r="2471" spans="22:26" x14ac:dyDescent="0.2">
      <c r="V2471" s="202" t="str">
        <f t="shared" si="47"/>
        <v>1w</v>
      </c>
      <c r="W2471" s="200">
        <f>_xll.qlCalendarAdvance(Calendar,W2470,V2471,"f",FALSE)</f>
        <v>56220</v>
      </c>
      <c r="X2471" s="203">
        <f>_xll.qlCalendarAdvance(Calendar,W2471,NDays&amp;"D")</f>
        <v>56222</v>
      </c>
      <c r="Y2471" s="204">
        <v>2.1473789250085473E-2</v>
      </c>
      <c r="Z2471" s="201">
        <v>2.1462388031201485E-2</v>
      </c>
    </row>
    <row r="2472" spans="22:26" x14ac:dyDescent="0.2">
      <c r="V2472" s="202" t="str">
        <f t="shared" si="47"/>
        <v>1w</v>
      </c>
      <c r="W2472" s="200">
        <f>_xll.qlCalendarAdvance(Calendar,W2471,V2472,"f",FALSE)</f>
        <v>56227</v>
      </c>
      <c r="X2472" s="203">
        <f>_xll.qlCalendarAdvance(Calendar,W2472,NDays&amp;"D")</f>
        <v>56229</v>
      </c>
      <c r="Y2472" s="204">
        <v>2.146995843924443E-2</v>
      </c>
      <c r="Z2472" s="201">
        <v>2.1458596387002871E-2</v>
      </c>
    </row>
    <row r="2473" spans="22:26" x14ac:dyDescent="0.2">
      <c r="V2473" s="202" t="str">
        <f t="shared" si="47"/>
        <v>1w</v>
      </c>
      <c r="W2473" s="200">
        <f>_xll.qlCalendarAdvance(Calendar,W2472,V2473,"f",FALSE)</f>
        <v>56234</v>
      </c>
      <c r="X2473" s="203">
        <f>_xll.qlCalendarAdvance(Calendar,W2473,NDays&amp;"D")</f>
        <v>56236</v>
      </c>
      <c r="Y2473" s="204">
        <v>2.146611310744645E-2</v>
      </c>
      <c r="Z2473" s="201">
        <v>2.145479024759922E-2</v>
      </c>
    </row>
    <row r="2474" spans="22:26" x14ac:dyDescent="0.2">
      <c r="V2474" s="202" t="str">
        <f t="shared" si="47"/>
        <v>1w</v>
      </c>
      <c r="W2474" s="200">
        <f>_xll.qlCalendarAdvance(Calendar,W2473,V2474,"f",FALSE)</f>
        <v>56241</v>
      </c>
      <c r="X2474" s="203">
        <f>_xll.qlCalendarAdvance(Calendar,W2474,NDays&amp;"D")</f>
        <v>56247</v>
      </c>
      <c r="Y2474" s="204">
        <v>2.1459679433762244E-2</v>
      </c>
      <c r="Z2474" s="201">
        <v>2.1448779884591929E-2</v>
      </c>
    </row>
    <row r="2475" spans="22:26" x14ac:dyDescent="0.2">
      <c r="V2475" s="202" t="str">
        <f t="shared" si="47"/>
        <v>1w</v>
      </c>
      <c r="W2475" s="200">
        <f>_xll.qlCalendarAdvance(Calendar,W2474,V2475,"f",FALSE)</f>
        <v>56248</v>
      </c>
      <c r="X2475" s="203">
        <f>_xll.qlCalendarAdvance(Calendar,W2475,NDays&amp;"D")</f>
        <v>56251</v>
      </c>
      <c r="Y2475" s="204">
        <v>2.1457463267162333E-2</v>
      </c>
      <c r="Z2475" s="201">
        <v>2.1447313585349903E-2</v>
      </c>
    </row>
    <row r="2476" spans="22:26" x14ac:dyDescent="0.2">
      <c r="V2476" s="202" t="str">
        <f t="shared" si="47"/>
        <v>1w</v>
      </c>
      <c r="W2476" s="200">
        <f>_xll.qlCalendarAdvance(Calendar,W2475,V2476,"f",FALSE)</f>
        <v>56255</v>
      </c>
      <c r="X2476" s="203">
        <f>_xll.qlCalendarAdvance(Calendar,W2476,NDays&amp;"D")</f>
        <v>56257</v>
      </c>
      <c r="Y2476" s="204">
        <v>2.1454489986415803E-2</v>
      </c>
      <c r="Z2476" s="201">
        <v>2.144328485655933E-2</v>
      </c>
    </row>
    <row r="2477" spans="22:26" x14ac:dyDescent="0.2">
      <c r="V2477" s="202" t="str">
        <f t="shared" si="47"/>
        <v>1w</v>
      </c>
      <c r="W2477" s="200">
        <f>_xll.qlCalendarAdvance(Calendar,W2476,V2477,"f",FALSE)</f>
        <v>56262</v>
      </c>
      <c r="X2477" s="203">
        <f>_xll.qlCalendarAdvance(Calendar,W2477,NDays&amp;"D")</f>
        <v>56264</v>
      </c>
      <c r="Y2477" s="204">
        <v>2.1450586570912478E-2</v>
      </c>
      <c r="Z2477" s="201">
        <v>2.1439420735456238E-2</v>
      </c>
    </row>
    <row r="2478" spans="22:26" x14ac:dyDescent="0.2">
      <c r="V2478" s="202" t="str">
        <f t="shared" si="47"/>
        <v>1w</v>
      </c>
      <c r="W2478" s="200">
        <f>_xll.qlCalendarAdvance(Calendar,W2477,V2478,"f",FALSE)</f>
        <v>56269</v>
      </c>
      <c r="X2478" s="203">
        <f>_xll.qlCalendarAdvance(Calendar,W2478,NDays&amp;"D")</f>
        <v>56271</v>
      </c>
      <c r="Y2478" s="204">
        <v>2.1446668634524657E-2</v>
      </c>
      <c r="Z2478" s="201">
        <v>2.143554211874843E-2</v>
      </c>
    </row>
    <row r="2479" spans="22:26" x14ac:dyDescent="0.2">
      <c r="V2479" s="202" t="str">
        <f t="shared" si="47"/>
        <v>1w</v>
      </c>
      <c r="W2479" s="200">
        <f>_xll.qlCalendarAdvance(Calendar,W2478,V2479,"f",FALSE)</f>
        <v>56276</v>
      </c>
      <c r="X2479" s="203">
        <f>_xll.qlCalendarAdvance(Calendar,W2479,NDays&amp;"D")</f>
        <v>56278</v>
      </c>
      <c r="Y2479" s="204">
        <v>2.1441667712292556E-2</v>
      </c>
      <c r="Z2479" s="201">
        <v>2.1431649006755649E-2</v>
      </c>
    </row>
    <row r="2480" spans="22:26" x14ac:dyDescent="0.2">
      <c r="V2480" s="202" t="str">
        <f t="shared" si="47"/>
        <v>1w</v>
      </c>
      <c r="W2480" s="200">
        <f>_xll.qlCalendarAdvance(Calendar,W2479,V2480,"f",FALSE)</f>
        <v>56283</v>
      </c>
      <c r="X2480" s="203">
        <f>_xll.qlCalendarAdvance(Calendar,W2480,NDays&amp;"D")</f>
        <v>56285</v>
      </c>
      <c r="Y2480" s="204">
        <v>2.1437369452332877E-2</v>
      </c>
      <c r="Z2480" s="201">
        <v>2.1427741399158151E-2</v>
      </c>
    </row>
    <row r="2481" spans="22:26" x14ac:dyDescent="0.2">
      <c r="V2481" s="202" t="str">
        <f t="shared" si="47"/>
        <v>1w</v>
      </c>
      <c r="W2481" s="200">
        <f>_xll.qlCalendarAdvance(Calendar,W2480,V2481,"f",FALSE)</f>
        <v>56290</v>
      </c>
      <c r="X2481" s="203">
        <f>_xll.qlCalendarAdvance(Calendar,W2481,NDays&amp;"D")</f>
        <v>56292</v>
      </c>
      <c r="Y2481" s="204">
        <v>2.1433413043806367E-2</v>
      </c>
      <c r="Z2481" s="201">
        <v>2.1423819296275681E-2</v>
      </c>
    </row>
    <row r="2482" spans="22:26" x14ac:dyDescent="0.2">
      <c r="V2482" s="202" t="str">
        <f t="shared" si="47"/>
        <v>1w</v>
      </c>
      <c r="W2482" s="200">
        <f>_xll.qlCalendarAdvance(Calendar,W2481,V2482,"f",FALSE)</f>
        <v>56297</v>
      </c>
      <c r="X2482" s="203">
        <f>_xll.qlCalendarAdvance(Calendar,W2482,NDays&amp;"D")</f>
        <v>56299</v>
      </c>
      <c r="Y2482" s="204">
        <v>2.142944211772984E-2</v>
      </c>
      <c r="Z2482" s="201">
        <v>2.1419882697948367E-2</v>
      </c>
    </row>
    <row r="2483" spans="22:26" x14ac:dyDescent="0.2">
      <c r="V2483" s="202" t="str">
        <f t="shared" si="47"/>
        <v>1w</v>
      </c>
      <c r="W2483" s="200">
        <f>_xll.qlCalendarAdvance(Calendar,W2482,V2483,"f",FALSE)</f>
        <v>56304</v>
      </c>
      <c r="X2483" s="203">
        <f>_xll.qlCalendarAdvance(Calendar,W2483,NDays&amp;"D")</f>
        <v>56306</v>
      </c>
      <c r="Y2483" s="204">
        <v>2.1425456674114711E-2</v>
      </c>
      <c r="Z2483" s="201">
        <v>2.1415931604096272E-2</v>
      </c>
    </row>
    <row r="2484" spans="22:26" x14ac:dyDescent="0.2">
      <c r="V2484" s="202" t="str">
        <f t="shared" si="47"/>
        <v>1w</v>
      </c>
      <c r="W2484" s="200">
        <f>_xll.qlCalendarAdvance(Calendar,W2483,V2484,"f",FALSE)</f>
        <v>56311</v>
      </c>
      <c r="X2484" s="203">
        <f>_xll.qlCalendarAdvance(Calendar,W2484,NDays&amp;"D")</f>
        <v>56313</v>
      </c>
      <c r="Y2484" s="204">
        <v>2.1422856078375241E-2</v>
      </c>
      <c r="Z2484" s="201">
        <v>2.1411966014959205E-2</v>
      </c>
    </row>
    <row r="2485" spans="22:26" x14ac:dyDescent="0.2">
      <c r="V2485" s="202" t="str">
        <f t="shared" si="47"/>
        <v>1w</v>
      </c>
      <c r="W2485" s="200">
        <f>_xll.qlCalendarAdvance(Calendar,W2484,V2485,"f",FALSE)</f>
        <v>56318</v>
      </c>
      <c r="X2485" s="203">
        <f>_xll.qlCalendarAdvance(Calendar,W2485,NDays&amp;"D")</f>
        <v>56320</v>
      </c>
      <c r="Y2485" s="204">
        <v>2.1418836496198135E-2</v>
      </c>
      <c r="Z2485" s="201">
        <v>2.1407985930377293E-2</v>
      </c>
    </row>
    <row r="2486" spans="22:26" x14ac:dyDescent="0.2">
      <c r="V2486" s="202" t="str">
        <f t="shared" si="47"/>
        <v>1w</v>
      </c>
      <c r="W2486" s="200">
        <f>_xll.qlCalendarAdvance(Calendar,W2485,V2486,"f",FALSE)</f>
        <v>56325</v>
      </c>
      <c r="X2486" s="203">
        <f>_xll.qlCalendarAdvance(Calendar,W2486,NDays&amp;"D")</f>
        <v>56327</v>
      </c>
      <c r="Y2486" s="204">
        <v>2.1414802393251442E-2</v>
      </c>
      <c r="Z2486" s="201">
        <v>2.1403991350350537E-2</v>
      </c>
    </row>
    <row r="2487" spans="22:26" x14ac:dyDescent="0.2">
      <c r="V2487" s="202" t="str">
        <f t="shared" si="47"/>
        <v>1w</v>
      </c>
      <c r="W2487" s="200">
        <f>_xll.qlCalendarAdvance(Calendar,W2486,V2487,"f",FALSE)</f>
        <v>56332</v>
      </c>
      <c r="X2487" s="203">
        <f>_xll.qlCalendarAdvance(Calendar,W2487,NDays&amp;"D")</f>
        <v>56334</v>
      </c>
      <c r="Y2487" s="204">
        <v>2.1410753769552648E-2</v>
      </c>
      <c r="Z2487" s="201">
        <v>2.1401377962588342E-2</v>
      </c>
    </row>
    <row r="2488" spans="22:26" x14ac:dyDescent="0.2">
      <c r="V2488" s="202" t="str">
        <f t="shared" si="47"/>
        <v>1w</v>
      </c>
      <c r="W2488" s="200">
        <f>_xll.qlCalendarAdvance(Calendar,W2487,V2488,"f",FALSE)</f>
        <v>56339</v>
      </c>
      <c r="X2488" s="203">
        <f>_xll.qlCalendarAdvance(Calendar,W2488,NDays&amp;"D")</f>
        <v>56341</v>
      </c>
      <c r="Y2488" s="204">
        <v>2.1406690625124236E-2</v>
      </c>
      <c r="Z2488" s="201">
        <v>2.1395958703962492E-2</v>
      </c>
    </row>
    <row r="2489" spans="22:26" x14ac:dyDescent="0.2">
      <c r="V2489" s="202" t="str">
        <f t="shared" si="47"/>
        <v>1w</v>
      </c>
      <c r="W2489" s="200">
        <f>_xll.qlCalendarAdvance(Calendar,W2488,V2489,"f",FALSE)</f>
        <v>56346</v>
      </c>
      <c r="X2489" s="203">
        <f>_xll.qlCalendarAdvance(Calendar,W2489,NDays&amp;"D")</f>
        <v>56348</v>
      </c>
      <c r="Y2489" s="204">
        <v>2.1402612959973699E-2</v>
      </c>
      <c r="Z2489" s="201">
        <v>2.1391920637601203E-2</v>
      </c>
    </row>
    <row r="2490" spans="22:26" x14ac:dyDescent="0.2">
      <c r="V2490" s="202" t="str">
        <f t="shared" si="47"/>
        <v>1w</v>
      </c>
      <c r="W2490" s="200">
        <f>_xll.qlCalendarAdvance(Calendar,W2489,V2490,"f",FALSE)</f>
        <v>56353</v>
      </c>
      <c r="X2490" s="203">
        <f>_xll.qlCalendarAdvance(Calendar,W2490,NDays&amp;"D")</f>
        <v>56355</v>
      </c>
      <c r="Y2490" s="204">
        <v>2.1398520774121021E-2</v>
      </c>
      <c r="Z2490" s="201">
        <v>2.1387868075795069E-2</v>
      </c>
    </row>
    <row r="2491" spans="22:26" x14ac:dyDescent="0.2">
      <c r="V2491" s="202" t="str">
        <f t="shared" si="47"/>
        <v>1w</v>
      </c>
      <c r="W2491" s="200">
        <f>_xll.qlCalendarAdvance(Calendar,W2490,V2491,"f",FALSE)</f>
        <v>56360</v>
      </c>
      <c r="X2491" s="203">
        <f>_xll.qlCalendarAdvance(Calendar,W2491,NDays&amp;"D")</f>
        <v>56362</v>
      </c>
      <c r="Y2491" s="204">
        <v>2.1394414067581191E-2</v>
      </c>
      <c r="Z2491" s="201">
        <v>2.1383801018624027E-2</v>
      </c>
    </row>
    <row r="2492" spans="22:26" x14ac:dyDescent="0.2">
      <c r="V2492" s="202" t="str">
        <f t="shared" si="47"/>
        <v>1w</v>
      </c>
      <c r="W2492" s="200">
        <f>_xll.qlCalendarAdvance(Calendar,W2491,V2492,"f",FALSE)</f>
        <v>56367</v>
      </c>
      <c r="X2492" s="203">
        <f>_xll.qlCalendarAdvance(Calendar,W2492,NDays&amp;"D")</f>
        <v>56369</v>
      </c>
      <c r="Y2492" s="204">
        <v>2.1389274169127871E-2</v>
      </c>
      <c r="Z2492" s="201">
        <v>2.138074724776784E-2</v>
      </c>
    </row>
    <row r="2493" spans="22:26" x14ac:dyDescent="0.2">
      <c r="V2493" s="202" t="str">
        <f t="shared" si="47"/>
        <v>1w</v>
      </c>
      <c r="W2493" s="200">
        <f>_xll.qlCalendarAdvance(Calendar,W2492,V2493,"f",FALSE)</f>
        <v>56374</v>
      </c>
      <c r="X2493" s="203">
        <f>_xll.qlCalendarAdvance(Calendar,W2493,NDays&amp;"D")</f>
        <v>56376</v>
      </c>
      <c r="Y2493" s="204">
        <v>2.1386157092510016E-2</v>
      </c>
      <c r="Z2493" s="201">
        <v>2.1375623418107281E-2</v>
      </c>
    </row>
    <row r="2494" spans="22:26" x14ac:dyDescent="0.2">
      <c r="V2494" s="202" t="str">
        <f t="shared" si="47"/>
        <v>1w</v>
      </c>
      <c r="W2494" s="200">
        <f>_xll.qlCalendarAdvance(Calendar,W2493,V2494,"f",FALSE)</f>
        <v>56381</v>
      </c>
      <c r="X2494" s="203">
        <f>_xll.qlCalendarAdvance(Calendar,W2494,NDays&amp;"D")</f>
        <v>56383</v>
      </c>
      <c r="Y2494" s="204">
        <v>2.1382006824003652E-2</v>
      </c>
      <c r="Z2494" s="201">
        <v>2.137151287452177E-2</v>
      </c>
    </row>
    <row r="2495" spans="22:26" x14ac:dyDescent="0.2">
      <c r="V2495" s="202" t="str">
        <f t="shared" si="47"/>
        <v>1w</v>
      </c>
      <c r="W2495" s="200">
        <f>_xll.qlCalendarAdvance(Calendar,W2494,V2495,"f",FALSE)</f>
        <v>56388</v>
      </c>
      <c r="X2495" s="203">
        <f>_xll.qlCalendarAdvance(Calendar,W2495,NDays&amp;"D")</f>
        <v>56390</v>
      </c>
      <c r="Y2495" s="204">
        <v>2.1377842034877581E-2</v>
      </c>
      <c r="Z2495" s="201">
        <v>2.1367387835811158E-2</v>
      </c>
    </row>
    <row r="2496" spans="22:26" x14ac:dyDescent="0.2">
      <c r="V2496" s="202" t="str">
        <f t="shared" si="47"/>
        <v>1w</v>
      </c>
      <c r="W2496" s="200">
        <f>_xll.qlCalendarAdvance(Calendar,W2495,V2496,"f",FALSE)</f>
        <v>56395</v>
      </c>
      <c r="X2496" s="203">
        <f>_xll.qlCalendarAdvance(Calendar,W2496,NDays&amp;"D")</f>
        <v>56397</v>
      </c>
      <c r="Y2496" s="204">
        <v>2.1373662725144293E-2</v>
      </c>
      <c r="Z2496" s="201">
        <v>2.136324830149583E-2</v>
      </c>
    </row>
    <row r="2497" spans="22:26" x14ac:dyDescent="0.2">
      <c r="V2497" s="202" t="str">
        <f t="shared" si="47"/>
        <v>1w</v>
      </c>
      <c r="W2497" s="200">
        <f>_xll.qlCalendarAdvance(Calendar,W2496,V2497,"f",FALSE)</f>
        <v>56402</v>
      </c>
      <c r="X2497" s="203">
        <f>_xll.qlCalendarAdvance(Calendar,W2497,NDays&amp;"D")</f>
        <v>56404</v>
      </c>
      <c r="Y2497" s="204">
        <v>2.1369468894818777E-2</v>
      </c>
      <c r="Z2497" s="201">
        <v>2.1359094271815593E-2</v>
      </c>
    </row>
    <row r="2498" spans="22:26" x14ac:dyDescent="0.2">
      <c r="V2498" s="202" t="str">
        <f t="shared" si="47"/>
        <v>1w</v>
      </c>
      <c r="W2498" s="200">
        <f>_xll.qlCalendarAdvance(Calendar,W2497,V2498,"f",FALSE)</f>
        <v>56409</v>
      </c>
      <c r="X2498" s="203">
        <f>_xll.qlCalendarAdvance(Calendar,W2498,NDays&amp;"D")</f>
        <v>56411</v>
      </c>
      <c r="Y2498" s="204">
        <v>2.1365260543918518E-2</v>
      </c>
      <c r="Z2498" s="201">
        <v>2.1354925746610576E-2</v>
      </c>
    </row>
    <row r="2499" spans="22:26" x14ac:dyDescent="0.2">
      <c r="V2499" s="202" t="str">
        <f t="shared" si="47"/>
        <v>1w</v>
      </c>
      <c r="W2499" s="200">
        <f>_xll.qlCalendarAdvance(Calendar,W2498,V2499,"f",FALSE)</f>
        <v>56416</v>
      </c>
      <c r="X2499" s="203">
        <f>_xll.qlCalendarAdvance(Calendar,W2499,NDays&amp;"D")</f>
        <v>56418</v>
      </c>
      <c r="Y2499" s="204">
        <v>2.1361037672461003E-2</v>
      </c>
      <c r="Z2499" s="201">
        <v>2.1350742726120586E-2</v>
      </c>
    </row>
    <row r="2500" spans="22:26" x14ac:dyDescent="0.2">
      <c r="V2500" s="202" t="str">
        <f t="shared" si="47"/>
        <v>1w</v>
      </c>
      <c r="W2500" s="200">
        <f>_xll.qlCalendarAdvance(Calendar,W2499,V2500,"f",FALSE)</f>
        <v>56423</v>
      </c>
      <c r="X2500" s="203">
        <f>_xll.qlCalendarAdvance(Calendar,W2500,NDays&amp;"D")</f>
        <v>56425</v>
      </c>
      <c r="Y2500" s="204">
        <v>2.1356800280463717E-2</v>
      </c>
      <c r="Z2500" s="201">
        <v>2.1346545210185752E-2</v>
      </c>
    </row>
    <row r="2501" spans="22:26" x14ac:dyDescent="0.2">
      <c r="V2501" s="202" t="str">
        <f t="shared" si="47"/>
        <v>1w</v>
      </c>
      <c r="W2501" s="200">
        <f>_xll.qlCalendarAdvance(Calendar,W2500,V2501,"f",FALSE)</f>
        <v>56430</v>
      </c>
      <c r="X2501" s="203">
        <f>_xll.qlCalendarAdvance(Calendar,W2501,NDays&amp;"D")</f>
        <v>56432</v>
      </c>
      <c r="Y2501" s="204">
        <v>2.1352548367936652E-2</v>
      </c>
      <c r="Z2501" s="201">
        <v>2.1342333198726138E-2</v>
      </c>
    </row>
    <row r="2502" spans="22:26" x14ac:dyDescent="0.2">
      <c r="V2502" s="202" t="str">
        <f t="shared" si="47"/>
        <v>1w</v>
      </c>
      <c r="W2502" s="200">
        <f>_xll.qlCalendarAdvance(Calendar,W2501,V2502,"f",FALSE)</f>
        <v>56437</v>
      </c>
      <c r="X2502" s="203">
        <f>_xll.qlCalendarAdvance(Calendar,W2502,NDays&amp;"D")</f>
        <v>56439</v>
      </c>
      <c r="Y2502" s="204">
        <v>2.1348281934899793E-2</v>
      </c>
      <c r="Z2502" s="201">
        <v>2.1338106691901615E-2</v>
      </c>
    </row>
    <row r="2503" spans="22:26" x14ac:dyDescent="0.2">
      <c r="V2503" s="202" t="str">
        <f t="shared" si="47"/>
        <v>1w</v>
      </c>
      <c r="W2503" s="200">
        <f>_xll.qlCalendarAdvance(Calendar,W2502,V2503,"f",FALSE)</f>
        <v>56444</v>
      </c>
      <c r="X2503" s="203">
        <f>_xll.qlCalendarAdvance(Calendar,W2503,NDays&amp;"D")</f>
        <v>56446</v>
      </c>
      <c r="Y2503" s="204">
        <v>2.1344000981375622E-2</v>
      </c>
      <c r="Z2503" s="201">
        <v>2.133386568979212E-2</v>
      </c>
    </row>
    <row r="2504" spans="22:26" x14ac:dyDescent="0.2">
      <c r="V2504" s="202" t="str">
        <f t="shared" si="47"/>
        <v>1w</v>
      </c>
      <c r="W2504" s="200">
        <f>_xll.qlCalendarAdvance(Calendar,W2503,V2504,"f",FALSE)</f>
        <v>56451</v>
      </c>
      <c r="X2504" s="203">
        <f>_xll.qlCalendarAdvance(Calendar,W2504,NDays&amp;"D")</f>
        <v>56453</v>
      </c>
      <c r="Y2504" s="204">
        <v>2.1339705507371631E-2</v>
      </c>
      <c r="Z2504" s="201">
        <v>2.1329610192157844E-2</v>
      </c>
    </row>
    <row r="2505" spans="22:26" x14ac:dyDescent="0.2">
      <c r="V2505" s="202" t="str">
        <f t="shared" si="47"/>
        <v>1w</v>
      </c>
      <c r="W2505" s="200">
        <f>_xll.qlCalendarAdvance(Calendar,W2504,V2505,"f",FALSE)</f>
        <v>56458</v>
      </c>
      <c r="X2505" s="203">
        <f>_xll.qlCalendarAdvance(Calendar,W2505,NDays&amp;"D")</f>
        <v>56460</v>
      </c>
      <c r="Y2505" s="204">
        <v>2.1335395512907807E-2</v>
      </c>
      <c r="Z2505" s="201">
        <v>2.1325340199078724E-2</v>
      </c>
    </row>
    <row r="2506" spans="22:26" x14ac:dyDescent="0.2">
      <c r="V2506" s="202" t="str">
        <f t="shared" si="47"/>
        <v>1w</v>
      </c>
      <c r="W2506" s="200">
        <f>_xll.qlCalendarAdvance(Calendar,W2505,V2506,"f",FALSE)</f>
        <v>56465</v>
      </c>
      <c r="X2506" s="203">
        <f>_xll.qlCalendarAdvance(Calendar,W2506,NDays&amp;"D")</f>
        <v>56467</v>
      </c>
      <c r="Y2506" s="204">
        <v>2.1331070998001633E-2</v>
      </c>
      <c r="Z2506" s="201">
        <v>2.1321055710634695E-2</v>
      </c>
    </row>
    <row r="2507" spans="22:26" x14ac:dyDescent="0.2">
      <c r="V2507" s="202" t="str">
        <f t="shared" si="47"/>
        <v>1w</v>
      </c>
      <c r="W2507" s="200">
        <f>_xll.qlCalendarAdvance(Calendar,W2506,V2507,"f",FALSE)</f>
        <v>56472</v>
      </c>
      <c r="X2507" s="203">
        <f>_xll.qlCalendarAdvance(Calendar,W2507,NDays&amp;"D")</f>
        <v>56474</v>
      </c>
      <c r="Y2507" s="204">
        <v>2.132673251882572E-2</v>
      </c>
      <c r="Z2507" s="201">
        <v>2.1316756726745822E-2</v>
      </c>
    </row>
    <row r="2508" spans="22:26" x14ac:dyDescent="0.2">
      <c r="V2508" s="202" t="str">
        <f t="shared" si="47"/>
        <v>1w</v>
      </c>
      <c r="W2508" s="200">
        <f>_xll.qlCalendarAdvance(Calendar,W2507,V2508,"f",FALSE)</f>
        <v>56479</v>
      </c>
      <c r="X2508" s="203">
        <f>_xll.qlCalendarAdvance(Calendar,W2508,NDays&amp;"D")</f>
        <v>56481</v>
      </c>
      <c r="Y2508" s="204">
        <v>2.132238406372472E-2</v>
      </c>
      <c r="Z2508" s="201">
        <v>2.1312443247492041E-2</v>
      </c>
    </row>
    <row r="2509" spans="22:26" x14ac:dyDescent="0.2">
      <c r="V2509" s="202" t="str">
        <f t="shared" si="47"/>
        <v>1w</v>
      </c>
      <c r="W2509" s="200">
        <f>_xll.qlCalendarAdvance(Calendar,W2508,V2509,"f",FALSE)</f>
        <v>56486</v>
      </c>
      <c r="X2509" s="203">
        <f>_xll.qlCalendarAdvance(Calendar,W2509,NDays&amp;"D")</f>
        <v>56488</v>
      </c>
      <c r="Y2509" s="204">
        <v>2.13180309290395E-2</v>
      </c>
      <c r="Z2509" s="201">
        <v>2.1308115272713479E-2</v>
      </c>
    </row>
    <row r="2510" spans="22:26" x14ac:dyDescent="0.2">
      <c r="V2510" s="202" t="str">
        <f t="shared" si="47"/>
        <v>1w</v>
      </c>
      <c r="W2510" s="200">
        <f>_xll.qlCalendarAdvance(Calendar,W2509,V2510,"f",FALSE)</f>
        <v>56493</v>
      </c>
      <c r="X2510" s="203">
        <f>_xll.qlCalendarAdvance(Calendar,W2510,NDays&amp;"D")</f>
        <v>56495</v>
      </c>
      <c r="Y2510" s="204">
        <v>2.1313678413676374E-2</v>
      </c>
      <c r="Z2510" s="201">
        <v>2.1303772802649945E-2</v>
      </c>
    </row>
    <row r="2511" spans="22:26" x14ac:dyDescent="0.2">
      <c r="V2511" s="202" t="str">
        <f t="shared" si="47"/>
        <v>1w</v>
      </c>
      <c r="W2511" s="200">
        <f>_xll.qlCalendarAdvance(Calendar,W2510,V2511,"f",FALSE)</f>
        <v>56500</v>
      </c>
      <c r="X2511" s="203">
        <f>_xll.qlCalendarAdvance(Calendar,W2511,NDays&amp;"D")</f>
        <v>56502</v>
      </c>
      <c r="Y2511" s="204">
        <v>2.130933179592065E-2</v>
      </c>
      <c r="Z2511" s="201">
        <v>2.1299417399731624E-2</v>
      </c>
    </row>
    <row r="2512" spans="22:26" x14ac:dyDescent="0.2">
      <c r="V2512" s="202" t="str">
        <f t="shared" si="47"/>
        <v>1w</v>
      </c>
      <c r="W2512" s="200">
        <f>_xll.qlCalendarAdvance(Calendar,W2511,V2512,"f",FALSE)</f>
        <v>56507</v>
      </c>
      <c r="X2512" s="203">
        <f>_xll.qlCalendarAdvance(Calendar,W2512,NDays&amp;"D")</f>
        <v>56509</v>
      </c>
      <c r="Y2512" s="204">
        <v>2.1304994559448176E-2</v>
      </c>
      <c r="Z2512" s="201">
        <v>2.1295066663720164E-2</v>
      </c>
    </row>
    <row r="2513" spans="22:26" x14ac:dyDescent="0.2">
      <c r="V2513" s="202" t="str">
        <f t="shared" si="47"/>
        <v>1w</v>
      </c>
      <c r="W2513" s="200">
        <f>_xll.qlCalendarAdvance(Calendar,W2512,V2513,"f",FALSE)</f>
        <v>56514</v>
      </c>
      <c r="X2513" s="203">
        <f>_xll.qlCalendarAdvance(Calendar,W2513,NDays&amp;"D")</f>
        <v>56516</v>
      </c>
      <c r="Y2513" s="204">
        <v>2.1300667026094011E-2</v>
      </c>
      <c r="Z2513" s="201">
        <v>2.1290725611482486E-2</v>
      </c>
    </row>
    <row r="2514" spans="22:26" x14ac:dyDescent="0.2">
      <c r="V2514" s="202" t="str">
        <f t="shared" si="47"/>
        <v>1w</v>
      </c>
      <c r="W2514" s="200">
        <f>_xll.qlCalendarAdvance(Calendar,W2513,V2514,"f",FALSE)</f>
        <v>56521</v>
      </c>
      <c r="X2514" s="203">
        <f>_xll.qlCalendarAdvance(Calendar,W2514,NDays&amp;"D")</f>
        <v>56523</v>
      </c>
      <c r="Y2514" s="204">
        <v>2.1296349195845665E-2</v>
      </c>
      <c r="Z2514" s="201">
        <v>2.1286394243018592E-2</v>
      </c>
    </row>
    <row r="2515" spans="22:26" x14ac:dyDescent="0.2">
      <c r="V2515" s="202" t="str">
        <f t="shared" si="47"/>
        <v>1w</v>
      </c>
      <c r="W2515" s="200">
        <f>_xll.qlCalendarAdvance(Calendar,W2514,V2515,"f",FALSE)</f>
        <v>56528</v>
      </c>
      <c r="X2515" s="203">
        <f>_xll.qlCalendarAdvance(Calendar,W2515,NDays&amp;"D")</f>
        <v>56530</v>
      </c>
      <c r="Y2515" s="204">
        <v>2.1292041068690648E-2</v>
      </c>
      <c r="Z2515" s="201">
        <v>2.128207255832848E-2</v>
      </c>
    </row>
    <row r="2516" spans="22:26" x14ac:dyDescent="0.2">
      <c r="V2516" s="202" t="str">
        <f t="shared" si="47"/>
        <v>1w</v>
      </c>
      <c r="W2516" s="200">
        <f>_xll.qlCalendarAdvance(Calendar,W2515,V2516,"f",FALSE)</f>
        <v>56535</v>
      </c>
      <c r="X2516" s="203">
        <f>_xll.qlCalendarAdvance(Calendar,W2516,NDays&amp;"D")</f>
        <v>56537</v>
      </c>
      <c r="Y2516" s="204">
        <v>2.1287742644618968E-2</v>
      </c>
      <c r="Z2516" s="201">
        <v>2.1277760557332215E-2</v>
      </c>
    </row>
    <row r="2517" spans="22:26" x14ac:dyDescent="0.2">
      <c r="V2517" s="202" t="str">
        <f t="shared" ref="V2517:V2580" si="48">V2516</f>
        <v>1w</v>
      </c>
      <c r="W2517" s="200">
        <f>_xll.qlCalendarAdvance(Calendar,W2516,V2517,"f",FALSE)</f>
        <v>56542</v>
      </c>
      <c r="X2517" s="203">
        <f>_xll.qlCalendarAdvance(Calendar,W2517,NDays&amp;"D")</f>
        <v>56544</v>
      </c>
      <c r="Y2517" s="204">
        <v>2.128345392362313E-2</v>
      </c>
      <c r="Z2517" s="201">
        <v>2.1273458240029797E-2</v>
      </c>
    </row>
    <row r="2518" spans="22:26" x14ac:dyDescent="0.2">
      <c r="V2518" s="202" t="str">
        <f t="shared" si="48"/>
        <v>1w</v>
      </c>
      <c r="W2518" s="200">
        <f>_xll.qlCalendarAdvance(Calendar,W2517,V2518,"f",FALSE)</f>
        <v>56549</v>
      </c>
      <c r="X2518" s="203">
        <f>_xll.qlCalendarAdvance(Calendar,W2518,NDays&amp;"D")</f>
        <v>56551</v>
      </c>
      <c r="Y2518" s="204">
        <v>2.1279174905688147E-2</v>
      </c>
      <c r="Z2518" s="201">
        <v>2.1269165606581097E-2</v>
      </c>
    </row>
    <row r="2519" spans="22:26" x14ac:dyDescent="0.2">
      <c r="V2519" s="202" t="str">
        <f t="shared" si="48"/>
        <v>1w</v>
      </c>
      <c r="W2519" s="200">
        <f>_xll.qlCalendarAdvance(Calendar,W2518,V2519,"f",FALSE)</f>
        <v>56556</v>
      </c>
      <c r="X2519" s="203">
        <f>_xll.qlCalendarAdvance(Calendar,W2519,NDays&amp;"D")</f>
        <v>56558</v>
      </c>
      <c r="Y2519" s="204">
        <v>2.1274905590799031E-2</v>
      </c>
      <c r="Z2519" s="201">
        <v>2.1264882656746309E-2</v>
      </c>
    </row>
    <row r="2520" spans="22:26" x14ac:dyDescent="0.2">
      <c r="V2520" s="202" t="str">
        <f t="shared" si="48"/>
        <v>1w</v>
      </c>
      <c r="W2520" s="200">
        <f>_xll.qlCalendarAdvance(Calendar,W2519,V2520,"f",FALSE)</f>
        <v>56563</v>
      </c>
      <c r="X2520" s="203">
        <f>_xll.qlCalendarAdvance(Calendar,W2520,NDays&amp;"D")</f>
        <v>56565</v>
      </c>
      <c r="Y2520" s="204">
        <v>2.1270645978953284E-2</v>
      </c>
      <c r="Z2520" s="201">
        <v>2.1260609390685303E-2</v>
      </c>
    </row>
    <row r="2521" spans="22:26" x14ac:dyDescent="0.2">
      <c r="V2521" s="202" t="str">
        <f t="shared" si="48"/>
        <v>1w</v>
      </c>
      <c r="W2521" s="200">
        <f>_xll.qlCalendarAdvance(Calendar,W2520,V2521,"f",FALSE)</f>
        <v>56570</v>
      </c>
      <c r="X2521" s="203">
        <f>_xll.qlCalendarAdvance(Calendar,W2521,NDays&amp;"D")</f>
        <v>56572</v>
      </c>
      <c r="Y2521" s="204">
        <v>2.1266396070135918E-2</v>
      </c>
      <c r="Z2521" s="201">
        <v>2.1256345808398081E-2</v>
      </c>
    </row>
    <row r="2522" spans="22:26" x14ac:dyDescent="0.2">
      <c r="V2522" s="202" t="str">
        <f t="shared" si="48"/>
        <v>1w</v>
      </c>
      <c r="W2522" s="200">
        <f>_xll.qlCalendarAdvance(Calendar,W2521,V2522,"f",FALSE)</f>
        <v>56577</v>
      </c>
      <c r="X2522" s="203">
        <f>_xll.qlCalendarAdvance(Calendar,W2522,NDays&amp;"D")</f>
        <v>56579</v>
      </c>
      <c r="Y2522" s="204">
        <v>2.126215586433694E-2</v>
      </c>
      <c r="Z2522" s="201">
        <v>2.1252091909804705E-2</v>
      </c>
    </row>
    <row r="2523" spans="22:26" x14ac:dyDescent="0.2">
      <c r="V2523" s="202" t="str">
        <f t="shared" si="48"/>
        <v>1w</v>
      </c>
      <c r="W2523" s="200">
        <f>_xll.qlCalendarAdvance(Calendar,W2522,V2523,"f",FALSE)</f>
        <v>56584</v>
      </c>
      <c r="X2523" s="203">
        <f>_xll.qlCalendarAdvance(Calendar,W2523,NDays&amp;"D")</f>
        <v>56586</v>
      </c>
      <c r="Y2523" s="204">
        <v>2.1257925361541363E-2</v>
      </c>
      <c r="Z2523" s="201">
        <v>2.1247847694905175E-2</v>
      </c>
    </row>
    <row r="2524" spans="22:26" x14ac:dyDescent="0.2">
      <c r="V2524" s="202" t="str">
        <f t="shared" si="48"/>
        <v>1w</v>
      </c>
      <c r="W2524" s="200">
        <f>_xll.qlCalendarAdvance(Calendar,W2523,V2524,"f",FALSE)</f>
        <v>56591</v>
      </c>
      <c r="X2524" s="203">
        <f>_xll.qlCalendarAdvance(Calendar,W2524,NDays&amp;"D")</f>
        <v>56593</v>
      </c>
      <c r="Y2524" s="204">
        <v>2.1253704561741693E-2</v>
      </c>
      <c r="Z2524" s="201">
        <v>2.1243613163779429E-2</v>
      </c>
    </row>
    <row r="2525" spans="22:26" x14ac:dyDescent="0.2">
      <c r="V2525" s="202" t="str">
        <f t="shared" si="48"/>
        <v>1w</v>
      </c>
      <c r="W2525" s="200">
        <f>_xll.qlCalendarAdvance(Calendar,W2524,V2525,"f",FALSE)</f>
        <v>56598</v>
      </c>
      <c r="X2525" s="203">
        <f>_xll.qlCalendarAdvance(Calendar,W2525,NDays&amp;"D")</f>
        <v>56600</v>
      </c>
      <c r="Y2525" s="204">
        <v>2.1249493464930436E-2</v>
      </c>
      <c r="Z2525" s="201">
        <v>2.1239388316507402E-2</v>
      </c>
    </row>
    <row r="2526" spans="22:26" x14ac:dyDescent="0.2">
      <c r="V2526" s="202" t="str">
        <f t="shared" si="48"/>
        <v>1w</v>
      </c>
      <c r="W2526" s="200">
        <f>_xll.qlCalendarAdvance(Calendar,W2525,V2526,"f",FALSE)</f>
        <v>56605</v>
      </c>
      <c r="X2526" s="203">
        <f>_xll.qlCalendarAdvance(Calendar,W2526,NDays&amp;"D")</f>
        <v>56607</v>
      </c>
      <c r="Y2526" s="204">
        <v>2.1245292071090105E-2</v>
      </c>
      <c r="Z2526" s="201">
        <v>2.1236150086922922E-2</v>
      </c>
    </row>
    <row r="2527" spans="22:26" x14ac:dyDescent="0.2">
      <c r="V2527" s="202" t="str">
        <f t="shared" si="48"/>
        <v>1w</v>
      </c>
      <c r="W2527" s="200">
        <f>_xll.qlCalendarAdvance(Calendar,W2526,V2527,"f",FALSE)</f>
        <v>56612</v>
      </c>
      <c r="X2527" s="203">
        <f>_xll.qlCalendarAdvance(Calendar,W2527,NDays&amp;"D")</f>
        <v>56614</v>
      </c>
      <c r="Y2527" s="204">
        <v>2.1240117472817902E-2</v>
      </c>
      <c r="Z2527" s="201">
        <v>2.1231945938333663E-2</v>
      </c>
    </row>
    <row r="2528" spans="22:26" x14ac:dyDescent="0.2">
      <c r="V2528" s="202" t="str">
        <f t="shared" si="48"/>
        <v>1w</v>
      </c>
      <c r="W2528" s="200">
        <f>_xll.qlCalendarAdvance(Calendar,W2527,V2528,"f",FALSE)</f>
        <v>56619</v>
      </c>
      <c r="X2528" s="203">
        <f>_xll.qlCalendarAdvance(Calendar,W2528,NDays&amp;"D")</f>
        <v>56621</v>
      </c>
      <c r="Y2528" s="204">
        <v>2.1236918392287252E-2</v>
      </c>
      <c r="Z2528" s="201">
        <v>2.1226771876774464E-2</v>
      </c>
    </row>
    <row r="2529" spans="22:26" x14ac:dyDescent="0.2">
      <c r="V2529" s="202" t="str">
        <f t="shared" si="48"/>
        <v>1w</v>
      </c>
      <c r="W2529" s="200">
        <f>_xll.qlCalendarAdvance(Calendar,W2528,V2529,"f",FALSE)</f>
        <v>56626</v>
      </c>
      <c r="X2529" s="203">
        <f>_xll.qlCalendarAdvance(Calendar,W2529,NDays&amp;"D")</f>
        <v>56628</v>
      </c>
      <c r="Y2529" s="204">
        <v>2.1232746107304745E-2</v>
      </c>
      <c r="Z2529" s="201">
        <v>2.122258576435776E-2</v>
      </c>
    </row>
    <row r="2530" spans="22:26" x14ac:dyDescent="0.2">
      <c r="V2530" s="202" t="str">
        <f t="shared" si="48"/>
        <v>1w</v>
      </c>
      <c r="W2530" s="200">
        <f>_xll.qlCalendarAdvance(Calendar,W2529,V2530,"f",FALSE)</f>
        <v>56633</v>
      </c>
      <c r="X2530" s="203">
        <f>_xll.qlCalendarAdvance(Calendar,W2530,NDays&amp;"D")</f>
        <v>56635</v>
      </c>
      <c r="Y2530" s="204">
        <v>2.1228583525250699E-2</v>
      </c>
      <c r="Z2530" s="201">
        <v>2.1218409335634902E-2</v>
      </c>
    </row>
    <row r="2531" spans="22:26" x14ac:dyDescent="0.2">
      <c r="V2531" s="202" t="str">
        <f t="shared" si="48"/>
        <v>1w</v>
      </c>
      <c r="W2531" s="200">
        <f>_xll.qlCalendarAdvance(Calendar,W2530,V2531,"f",FALSE)</f>
        <v>56640</v>
      </c>
      <c r="X2531" s="203">
        <f>_xll.qlCalendarAdvance(Calendar,W2531,NDays&amp;"D")</f>
        <v>56642</v>
      </c>
      <c r="Y2531" s="204">
        <v>2.1223442370018646E-2</v>
      </c>
      <c r="Z2531" s="201">
        <v>2.1214242590685828E-2</v>
      </c>
    </row>
    <row r="2532" spans="22:26" x14ac:dyDescent="0.2">
      <c r="V2532" s="202" t="str">
        <f t="shared" si="48"/>
        <v>1w</v>
      </c>
      <c r="W2532" s="200">
        <f>_xll.qlCalendarAdvance(Calendar,W2531,V2532,"f",FALSE)</f>
        <v>56647</v>
      </c>
      <c r="X2532" s="203">
        <f>_xll.qlCalendarAdvance(Calendar,W2532,NDays&amp;"D")</f>
        <v>56649</v>
      </c>
      <c r="Y2532" s="204">
        <v>2.1218968084208027E-2</v>
      </c>
      <c r="Z2532" s="201">
        <v>2.1210085529510536E-2</v>
      </c>
    </row>
    <row r="2533" spans="22:26" x14ac:dyDescent="0.2">
      <c r="V2533" s="202" t="str">
        <f t="shared" si="48"/>
        <v>1w</v>
      </c>
      <c r="W2533" s="200">
        <f>_xll.qlCalendarAdvance(Calendar,W2532,V2533,"f",FALSE)</f>
        <v>56654</v>
      </c>
      <c r="X2533" s="203">
        <f>_xll.qlCalendarAdvance(Calendar,W2533,NDays&amp;"D")</f>
        <v>56656</v>
      </c>
      <c r="Y2533" s="204">
        <v>2.1214832812802724E-2</v>
      </c>
      <c r="Z2533" s="201">
        <v>2.1205938151949155E-2</v>
      </c>
    </row>
    <row r="2534" spans="22:26" x14ac:dyDescent="0.2">
      <c r="V2534" s="202" t="str">
        <f t="shared" si="48"/>
        <v>1w</v>
      </c>
      <c r="W2534" s="200">
        <f>_xll.qlCalendarAdvance(Calendar,W2533,V2534,"f",FALSE)</f>
        <v>56661</v>
      </c>
      <c r="X2534" s="203">
        <f>_xll.qlCalendarAdvance(Calendar,W2534,NDays&amp;"D")</f>
        <v>56663</v>
      </c>
      <c r="Y2534" s="204">
        <v>2.1210707241812177E-2</v>
      </c>
      <c r="Z2534" s="201">
        <v>2.1201800458161557E-2</v>
      </c>
    </row>
    <row r="2535" spans="22:26" x14ac:dyDescent="0.2">
      <c r="V2535" s="202" t="str">
        <f t="shared" si="48"/>
        <v>1w</v>
      </c>
      <c r="W2535" s="200">
        <f>_xll.qlCalendarAdvance(Calendar,W2534,V2535,"f",FALSE)</f>
        <v>56668</v>
      </c>
      <c r="X2535" s="203">
        <f>_xll.qlCalendarAdvance(Calendar,W2535,NDays&amp;"D")</f>
        <v>56670</v>
      </c>
      <c r="Y2535" s="204">
        <v>2.1206591371227823E-2</v>
      </c>
      <c r="Z2535" s="201">
        <v>2.1197672448147742E-2</v>
      </c>
    </row>
    <row r="2536" spans="22:26" x14ac:dyDescent="0.2">
      <c r="V2536" s="202" t="str">
        <f t="shared" si="48"/>
        <v>1w</v>
      </c>
      <c r="W2536" s="200">
        <f>_xll.qlCalendarAdvance(Calendar,W2535,V2536,"f",FALSE)</f>
        <v>56675</v>
      </c>
      <c r="X2536" s="203">
        <f>_xll.qlCalendarAdvance(Calendar,W2536,NDays&amp;"D")</f>
        <v>56677</v>
      </c>
      <c r="Y2536" s="204">
        <v>2.1203811793874539E-2</v>
      </c>
      <c r="Z2536" s="201">
        <v>2.1193554121907709E-2</v>
      </c>
    </row>
    <row r="2537" spans="22:26" x14ac:dyDescent="0.2">
      <c r="V2537" s="202" t="str">
        <f t="shared" si="48"/>
        <v>1w</v>
      </c>
      <c r="W2537" s="200">
        <f>_xll.qlCalendarAdvance(Calendar,W2536,V2537,"f",FALSE)</f>
        <v>56682</v>
      </c>
      <c r="X2537" s="203">
        <f>_xll.qlCalendarAdvance(Calendar,W2537,NDays&amp;"D")</f>
        <v>56684</v>
      </c>
      <c r="Y2537" s="204">
        <v>2.1199717132034945E-2</v>
      </c>
      <c r="Z2537" s="201">
        <v>2.1189445479201652E-2</v>
      </c>
    </row>
    <row r="2538" spans="22:26" x14ac:dyDescent="0.2">
      <c r="V2538" s="202" t="str">
        <f t="shared" si="48"/>
        <v>1w</v>
      </c>
      <c r="W2538" s="200">
        <f>_xll.qlCalendarAdvance(Calendar,W2537,V2538,"f",FALSE)</f>
        <v>56689</v>
      </c>
      <c r="X2538" s="203">
        <f>_xll.qlCalendarAdvance(Calendar,W2538,NDays&amp;"D")</f>
        <v>56691</v>
      </c>
      <c r="Y2538" s="204">
        <v>2.1195964866411128E-2</v>
      </c>
      <c r="Z2538" s="201">
        <v>2.1185346520349313E-2</v>
      </c>
    </row>
    <row r="2539" spans="22:26" x14ac:dyDescent="0.2">
      <c r="V2539" s="202" t="str">
        <f t="shared" si="48"/>
        <v>1w</v>
      </c>
      <c r="W2539" s="200">
        <f>_xll.qlCalendarAdvance(Calendar,W2538,V2539,"f",FALSE)</f>
        <v>56696</v>
      </c>
      <c r="X2539" s="203">
        <f>_xll.qlCalendarAdvance(Calendar,W2539,NDays&amp;"D")</f>
        <v>56698</v>
      </c>
      <c r="Y2539" s="204">
        <v>2.1191556916886345E-2</v>
      </c>
      <c r="Z2539" s="201">
        <v>2.1181257245350693E-2</v>
      </c>
    </row>
    <row r="2540" spans="22:26" x14ac:dyDescent="0.2">
      <c r="V2540" s="202" t="str">
        <f t="shared" si="48"/>
        <v>1w</v>
      </c>
      <c r="W2540" s="200">
        <f>_xll.qlCalendarAdvance(Calendar,W2539,V2540,"f",FALSE)</f>
        <v>56703</v>
      </c>
      <c r="X2540" s="203">
        <f>_xll.qlCalendarAdvance(Calendar,W2540,NDays&amp;"D")</f>
        <v>56705</v>
      </c>
      <c r="Y2540" s="204">
        <v>2.118749136354986E-2</v>
      </c>
      <c r="Z2540" s="201">
        <v>2.1177177653965984E-2</v>
      </c>
    </row>
    <row r="2541" spans="22:26" x14ac:dyDescent="0.2">
      <c r="V2541" s="202" t="str">
        <f t="shared" si="48"/>
        <v>1w</v>
      </c>
      <c r="W2541" s="200">
        <f>_xll.qlCalendarAdvance(Calendar,W2540,V2541,"f",FALSE)</f>
        <v>56710</v>
      </c>
      <c r="X2541" s="203">
        <f>_xll.qlCalendarAdvance(Calendar,W2541,NDays&amp;"D")</f>
        <v>56712</v>
      </c>
      <c r="Y2541" s="204">
        <v>2.1183435513026927E-2</v>
      </c>
      <c r="Z2541" s="201">
        <v>2.1173107746275122E-2</v>
      </c>
    </row>
    <row r="2542" spans="22:26" x14ac:dyDescent="0.2">
      <c r="V2542" s="202" t="str">
        <f t="shared" si="48"/>
        <v>1w</v>
      </c>
      <c r="W2542" s="200">
        <f>_xll.qlCalendarAdvance(Calendar,W2541,V2542,"f",FALSE)</f>
        <v>56717</v>
      </c>
      <c r="X2542" s="203">
        <f>_xll.qlCalendarAdvance(Calendar,W2542,NDays&amp;"D")</f>
        <v>56719</v>
      </c>
      <c r="Y2542" s="204">
        <v>2.1179389365310053E-2</v>
      </c>
      <c r="Z2542" s="201">
        <v>2.117037891182072E-2</v>
      </c>
    </row>
    <row r="2543" spans="22:26" x14ac:dyDescent="0.2">
      <c r="V2543" s="202" t="str">
        <f t="shared" si="48"/>
        <v>1w</v>
      </c>
      <c r="W2543" s="200">
        <f>_xll.qlCalendarAdvance(Calendar,W2542,V2543,"f",FALSE)</f>
        <v>56724</v>
      </c>
      <c r="X2543" s="203">
        <f>_xll.qlCalendarAdvance(Calendar,W2543,NDays&amp;"D")</f>
        <v>56726</v>
      </c>
      <c r="Y2543" s="204">
        <v>2.1175352920389245E-2</v>
      </c>
      <c r="Z2543" s="201">
        <v>2.1164996982214745E-2</v>
      </c>
    </row>
    <row r="2544" spans="22:26" x14ac:dyDescent="0.2">
      <c r="V2544" s="202" t="str">
        <f t="shared" si="48"/>
        <v>1w</v>
      </c>
      <c r="W2544" s="200">
        <f>_xll.qlCalendarAdvance(Calendar,W2543,V2544,"f",FALSE)</f>
        <v>56731</v>
      </c>
      <c r="X2544" s="203">
        <f>_xll.qlCalendarAdvance(Calendar,W2544,NDays&amp;"D")</f>
        <v>56733</v>
      </c>
      <c r="Y2544" s="204">
        <v>2.1171326178247019E-2</v>
      </c>
      <c r="Z2544" s="201">
        <v>2.1160956125765296E-2</v>
      </c>
    </row>
    <row r="2545" spans="22:26" x14ac:dyDescent="0.2">
      <c r="V2545" s="202" t="str">
        <f t="shared" si="48"/>
        <v>1w</v>
      </c>
      <c r="W2545" s="200">
        <f>_xll.qlCalendarAdvance(Calendar,W2544,V2545,"f",FALSE)</f>
        <v>56738</v>
      </c>
      <c r="X2545" s="203">
        <f>_xll.qlCalendarAdvance(Calendar,W2545,NDays&amp;"D")</f>
        <v>56740</v>
      </c>
      <c r="Y2545" s="204">
        <v>2.1167309138875878E-2</v>
      </c>
      <c r="Z2545" s="201">
        <v>2.1156924952929757E-2</v>
      </c>
    </row>
    <row r="2546" spans="22:26" x14ac:dyDescent="0.2">
      <c r="V2546" s="202" t="str">
        <f t="shared" si="48"/>
        <v>1w</v>
      </c>
      <c r="W2546" s="200">
        <f>_xll.qlCalendarAdvance(Calendar,W2545,V2546,"f",FALSE)</f>
        <v>56745</v>
      </c>
      <c r="X2546" s="203">
        <f>_xll.qlCalendarAdvance(Calendar,W2546,NDays&amp;"D")</f>
        <v>56747</v>
      </c>
      <c r="Y2546" s="204">
        <v>2.1163301802265833E-2</v>
      </c>
      <c r="Z2546" s="201">
        <v>2.1152903463947936E-2</v>
      </c>
    </row>
    <row r="2547" spans="22:26" x14ac:dyDescent="0.2">
      <c r="V2547" s="202" t="str">
        <f t="shared" si="48"/>
        <v>1w</v>
      </c>
      <c r="W2547" s="200">
        <f>_xll.qlCalendarAdvance(Calendar,W2546,V2547,"f",FALSE)</f>
        <v>56752</v>
      </c>
      <c r="X2547" s="203">
        <f>_xll.qlCalendarAdvance(Calendar,W2547,NDays&amp;"D")</f>
        <v>56754</v>
      </c>
      <c r="Y2547" s="204">
        <v>2.1159304168409387E-2</v>
      </c>
      <c r="Z2547" s="201">
        <v>2.1148891658739899E-2</v>
      </c>
    </row>
    <row r="2548" spans="22:26" x14ac:dyDescent="0.2">
      <c r="V2548" s="202" t="str">
        <f t="shared" si="48"/>
        <v>1w</v>
      </c>
      <c r="W2548" s="200">
        <f>_xll.qlCalendarAdvance(Calendar,W2547,V2548,"f",FALSE)</f>
        <v>56759</v>
      </c>
      <c r="X2548" s="203">
        <f>_xll.qlCalendarAdvance(Calendar,W2548,NDays&amp;"D")</f>
        <v>56761</v>
      </c>
      <c r="Y2548" s="204">
        <v>2.1155316237289057E-2</v>
      </c>
      <c r="Z2548" s="201">
        <v>2.1144889537065836E-2</v>
      </c>
    </row>
    <row r="2549" spans="22:26" x14ac:dyDescent="0.2">
      <c r="V2549" s="202" t="str">
        <f t="shared" si="48"/>
        <v>1w</v>
      </c>
      <c r="W2549" s="200">
        <f>_xll.qlCalendarAdvance(Calendar,W2548,V2549,"f",FALSE)</f>
        <v>56766</v>
      </c>
      <c r="X2549" s="203">
        <f>_xll.qlCalendarAdvance(Calendar,W2549,NDays&amp;"D")</f>
        <v>56768</v>
      </c>
      <c r="Y2549" s="204">
        <v>2.1151338008904841E-2</v>
      </c>
      <c r="Z2549" s="201">
        <v>2.1140897099245493E-2</v>
      </c>
    </row>
    <row r="2550" spans="22:26" x14ac:dyDescent="0.2">
      <c r="V2550" s="202" t="str">
        <f t="shared" si="48"/>
        <v>1w</v>
      </c>
      <c r="W2550" s="200">
        <f>_xll.qlCalendarAdvance(Calendar,W2549,V2550,"f",FALSE)</f>
        <v>56773</v>
      </c>
      <c r="X2550" s="203">
        <f>_xll.qlCalendarAdvance(Calendar,W2550,NDays&amp;"D")</f>
        <v>56775</v>
      </c>
      <c r="Y2550" s="204">
        <v>2.1147369483241751E-2</v>
      </c>
      <c r="Z2550" s="201">
        <v>2.1136914345198932E-2</v>
      </c>
    </row>
    <row r="2551" spans="22:26" x14ac:dyDescent="0.2">
      <c r="V2551" s="202" t="str">
        <f t="shared" si="48"/>
        <v>1w</v>
      </c>
      <c r="W2551" s="200">
        <f>_xll.qlCalendarAdvance(Calendar,W2550,V2551,"f",FALSE)</f>
        <v>56780</v>
      </c>
      <c r="X2551" s="203">
        <f>_xll.qlCalendarAdvance(Calendar,W2551,NDays&amp;"D")</f>
        <v>56782</v>
      </c>
      <c r="Y2551" s="204">
        <v>2.11434106602848E-2</v>
      </c>
      <c r="Z2551" s="201">
        <v>2.1132941274846218E-2</v>
      </c>
    </row>
    <row r="2552" spans="22:26" x14ac:dyDescent="0.2">
      <c r="V2552" s="202" t="str">
        <f t="shared" si="48"/>
        <v>1w</v>
      </c>
      <c r="W2552" s="200">
        <f>_xll.qlCalendarAdvance(Calendar,W2551,V2552,"f",FALSE)</f>
        <v>56787</v>
      </c>
      <c r="X2552" s="203">
        <f>_xll.qlCalendarAdvance(Calendar,W2552,NDays&amp;"D")</f>
        <v>56789</v>
      </c>
      <c r="Y2552" s="204">
        <v>2.1139461540028992E-2</v>
      </c>
      <c r="Z2552" s="201">
        <v>2.112897788818735E-2</v>
      </c>
    </row>
    <row r="2553" spans="22:26" x14ac:dyDescent="0.2">
      <c r="V2553" s="202" t="str">
        <f t="shared" si="48"/>
        <v>1w</v>
      </c>
      <c r="W2553" s="200">
        <f>_xll.qlCalendarAdvance(Calendar,W2552,V2553,"f",FALSE)</f>
        <v>56794</v>
      </c>
      <c r="X2553" s="203">
        <f>_xll.qlCalendarAdvance(Calendar,W2553,NDays&amp;"D")</f>
        <v>56796</v>
      </c>
      <c r="Y2553" s="204">
        <v>2.1135522122461836E-2</v>
      </c>
      <c r="Z2553" s="201">
        <v>2.1125024185302266E-2</v>
      </c>
    </row>
    <row r="2554" spans="22:26" x14ac:dyDescent="0.2">
      <c r="V2554" s="202" t="str">
        <f t="shared" si="48"/>
        <v>1w</v>
      </c>
      <c r="W2554" s="200">
        <f>_xll.qlCalendarAdvance(Calendar,W2553,V2554,"f",FALSE)</f>
        <v>56801</v>
      </c>
      <c r="X2554" s="203">
        <f>_xll.qlCalendarAdvance(Calendar,W2554,NDays&amp;"D")</f>
        <v>56803</v>
      </c>
      <c r="Y2554" s="204">
        <v>2.1131592407575839E-2</v>
      </c>
      <c r="Z2554" s="201">
        <v>2.1121080166031092E-2</v>
      </c>
    </row>
    <row r="2555" spans="22:26" x14ac:dyDescent="0.2">
      <c r="V2555" s="202" t="str">
        <f t="shared" si="48"/>
        <v>1w</v>
      </c>
      <c r="W2555" s="200">
        <f>_xll.qlCalendarAdvance(Calendar,W2554,V2555,"f",FALSE)</f>
        <v>56808</v>
      </c>
      <c r="X2555" s="203">
        <f>_xll.qlCalendarAdvance(Calendar,W2555,NDays&amp;"D")</f>
        <v>56810</v>
      </c>
      <c r="Y2555" s="204">
        <v>2.112767239535851E-2</v>
      </c>
      <c r="Z2555" s="201">
        <v>2.1117145830613637E-2</v>
      </c>
    </row>
    <row r="2556" spans="22:26" x14ac:dyDescent="0.2">
      <c r="V2556" s="202" t="str">
        <f t="shared" si="48"/>
        <v>1w</v>
      </c>
      <c r="W2556" s="200">
        <f>_xll.qlCalendarAdvance(Calendar,W2555,V2556,"f",FALSE)</f>
        <v>56815</v>
      </c>
      <c r="X2556" s="203">
        <f>_xll.qlCalendarAdvance(Calendar,W2556,NDays&amp;"D")</f>
        <v>56817</v>
      </c>
      <c r="Y2556" s="204">
        <v>2.1123762085802356E-2</v>
      </c>
      <c r="Z2556" s="201">
        <v>2.1113221178890029E-2</v>
      </c>
    </row>
    <row r="2557" spans="22:26" x14ac:dyDescent="0.2">
      <c r="V2557" s="202" t="str">
        <f t="shared" si="48"/>
        <v>1w</v>
      </c>
      <c r="W2557" s="200">
        <f>_xll.qlCalendarAdvance(Calendar,W2556,V2557,"f",FALSE)</f>
        <v>56822</v>
      </c>
      <c r="X2557" s="203">
        <f>_xll.qlCalendarAdvance(Calendar,W2557,NDays&amp;"D")</f>
        <v>56824</v>
      </c>
      <c r="Y2557" s="204">
        <v>2.1119861478892388E-2</v>
      </c>
      <c r="Z2557" s="201">
        <v>2.1109306210860268E-2</v>
      </c>
    </row>
    <row r="2558" spans="22:26" x14ac:dyDescent="0.2">
      <c r="V2558" s="202" t="str">
        <f t="shared" si="48"/>
        <v>1w</v>
      </c>
      <c r="W2558" s="200">
        <f>_xll.qlCalendarAdvance(Calendar,W2557,V2558,"f",FALSE)</f>
        <v>56829</v>
      </c>
      <c r="X2558" s="203">
        <f>_xll.qlCalendarAdvance(Calendar,W2558,NDays&amp;"D")</f>
        <v>56831</v>
      </c>
      <c r="Y2558" s="204">
        <v>2.111597057462361E-2</v>
      </c>
      <c r="Z2558" s="201">
        <v>2.1105400926524354E-2</v>
      </c>
    </row>
    <row r="2559" spans="22:26" x14ac:dyDescent="0.2">
      <c r="V2559" s="202" t="str">
        <f t="shared" si="48"/>
        <v>1w</v>
      </c>
      <c r="W2559" s="200">
        <f>_xll.qlCalendarAdvance(Calendar,W2558,V2559,"f",FALSE)</f>
        <v>56836</v>
      </c>
      <c r="X2559" s="203">
        <f>_xll.qlCalendarAdvance(Calendar,W2559,NDays&amp;"D")</f>
        <v>56838</v>
      </c>
      <c r="Y2559" s="204">
        <v>2.1112089372981035E-2</v>
      </c>
      <c r="Z2559" s="201">
        <v>2.1101505325962222E-2</v>
      </c>
    </row>
    <row r="2560" spans="22:26" x14ac:dyDescent="0.2">
      <c r="V2560" s="202" t="str">
        <f t="shared" si="48"/>
        <v>1w</v>
      </c>
      <c r="W2560" s="200">
        <f>_xll.qlCalendarAdvance(Calendar,W2559,V2560,"f",FALSE)</f>
        <v>56843</v>
      </c>
      <c r="X2560" s="203">
        <f>_xll.qlCalendarAdvance(Calendar,W2560,NDays&amp;"D")</f>
        <v>56845</v>
      </c>
      <c r="Y2560" s="204">
        <v>2.1108217873959667E-2</v>
      </c>
      <c r="Z2560" s="201">
        <v>2.1097619409173873E-2</v>
      </c>
    </row>
    <row r="2561" spans="22:26" x14ac:dyDescent="0.2">
      <c r="V2561" s="202" t="str">
        <f t="shared" si="48"/>
        <v>1w</v>
      </c>
      <c r="W2561" s="200">
        <f>_xll.qlCalendarAdvance(Calendar,W2560,V2561,"f",FALSE)</f>
        <v>56850</v>
      </c>
      <c r="X2561" s="203">
        <f>_xll.qlCalendarAdvance(Calendar,W2561,NDays&amp;"D")</f>
        <v>56852</v>
      </c>
      <c r="Y2561" s="204">
        <v>2.1104356077549513E-2</v>
      </c>
      <c r="Z2561" s="201">
        <v>2.1093743176079371E-2</v>
      </c>
    </row>
    <row r="2562" spans="22:26" x14ac:dyDescent="0.2">
      <c r="V2562" s="202" t="str">
        <f t="shared" si="48"/>
        <v>1w</v>
      </c>
      <c r="W2562" s="200">
        <f>_xll.qlCalendarAdvance(Calendar,W2561,V2562,"f",FALSE)</f>
        <v>56857</v>
      </c>
      <c r="X2562" s="203">
        <f>_xll.qlCalendarAdvance(Calendar,W2562,NDays&amp;"D")</f>
        <v>56859</v>
      </c>
      <c r="Y2562" s="204">
        <v>2.1100503983733088E-2</v>
      </c>
      <c r="Z2562" s="201">
        <v>2.1089876626678716E-2</v>
      </c>
    </row>
    <row r="2563" spans="22:26" x14ac:dyDescent="0.2">
      <c r="V2563" s="202" t="str">
        <f t="shared" si="48"/>
        <v>1w</v>
      </c>
      <c r="W2563" s="200">
        <f>_xll.qlCalendarAdvance(Calendar,W2562,V2563,"f",FALSE)</f>
        <v>56864</v>
      </c>
      <c r="X2563" s="203">
        <f>_xll.qlCalendarAdvance(Calendar,W2563,NDays&amp;"D")</f>
        <v>56866</v>
      </c>
      <c r="Y2563" s="204">
        <v>2.1096661592507893E-2</v>
      </c>
      <c r="Z2563" s="201">
        <v>2.1086019760971908E-2</v>
      </c>
    </row>
    <row r="2564" spans="22:26" x14ac:dyDescent="0.2">
      <c r="V2564" s="202" t="str">
        <f t="shared" si="48"/>
        <v>1w</v>
      </c>
      <c r="W2564" s="200">
        <f>_xll.qlCalendarAdvance(Calendar,W2563,V2564,"f",FALSE)</f>
        <v>56871</v>
      </c>
      <c r="X2564" s="203">
        <f>_xll.qlCalendarAdvance(Calendar,W2564,NDays&amp;"D")</f>
        <v>56873</v>
      </c>
      <c r="Y2564" s="204">
        <v>2.1092828903863936E-2</v>
      </c>
      <c r="Z2564" s="201">
        <v>2.1082172579038883E-2</v>
      </c>
    </row>
    <row r="2565" spans="22:26" x14ac:dyDescent="0.2">
      <c r="V2565" s="202" t="str">
        <f t="shared" si="48"/>
        <v>1w</v>
      </c>
      <c r="W2565" s="200">
        <f>_xll.qlCalendarAdvance(Calendar,W2564,V2565,"f",FALSE)</f>
        <v>56878</v>
      </c>
      <c r="X2565" s="203">
        <f>_xll.qlCalendarAdvance(Calendar,W2565,NDays&amp;"D")</f>
        <v>56880</v>
      </c>
      <c r="Y2565" s="204">
        <v>2.1089005917788728E-2</v>
      </c>
      <c r="Z2565" s="201">
        <v>2.1078335080799704E-2</v>
      </c>
    </row>
    <row r="2566" spans="22:26" x14ac:dyDescent="0.2">
      <c r="V2566" s="202" t="str">
        <f t="shared" si="48"/>
        <v>1w</v>
      </c>
      <c r="W2566" s="200">
        <f>_xll.qlCalendarAdvance(Calendar,W2565,V2566,"f",FALSE)</f>
        <v>56885</v>
      </c>
      <c r="X2566" s="203">
        <f>_xll.qlCalendarAdvance(Calendar,W2566,NDays&amp;"D")</f>
        <v>56887</v>
      </c>
      <c r="Y2566" s="204">
        <v>2.1084156122605519E-2</v>
      </c>
      <c r="Z2566" s="201">
        <v>2.1074507266254372E-2</v>
      </c>
    </row>
    <row r="2567" spans="22:26" x14ac:dyDescent="0.2">
      <c r="V2567" s="202" t="str">
        <f t="shared" si="48"/>
        <v>1w</v>
      </c>
      <c r="W2567" s="200">
        <f>_xll.qlCalendarAdvance(Calendar,W2566,V2567,"f",FALSE)</f>
        <v>56892</v>
      </c>
      <c r="X2567" s="203">
        <f>_xll.qlCalendarAdvance(Calendar,W2567,NDays&amp;"D")</f>
        <v>56894</v>
      </c>
      <c r="Y2567" s="204">
        <v>2.1081389053304589E-2</v>
      </c>
      <c r="Z2567" s="201">
        <v>2.1070689135402887E-2</v>
      </c>
    </row>
    <row r="2568" spans="22:26" x14ac:dyDescent="0.2">
      <c r="V2568" s="202" t="str">
        <f t="shared" si="48"/>
        <v>1w</v>
      </c>
      <c r="W2568" s="200">
        <f>_xll.qlCalendarAdvance(Calendar,W2567,V2568,"f",FALSE)</f>
        <v>56899</v>
      </c>
      <c r="X2568" s="203">
        <f>_xll.qlCalendarAdvance(Calendar,W2568,NDays&amp;"D")</f>
        <v>56901</v>
      </c>
      <c r="Y2568" s="204">
        <v>2.1077595174875674E-2</v>
      </c>
      <c r="Z2568" s="201">
        <v>2.1066880688405121E-2</v>
      </c>
    </row>
    <row r="2569" spans="22:26" x14ac:dyDescent="0.2">
      <c r="V2569" s="202" t="str">
        <f t="shared" si="48"/>
        <v>1w</v>
      </c>
      <c r="W2569" s="200">
        <f>_xll.qlCalendarAdvance(Calendar,W2568,V2569,"f",FALSE)</f>
        <v>56906</v>
      </c>
      <c r="X2569" s="203">
        <f>_xll.qlCalendarAdvance(Calendar,W2569,NDays&amp;"D")</f>
        <v>56908</v>
      </c>
      <c r="Y2569" s="204">
        <v>2.1073810998980536E-2</v>
      </c>
      <c r="Z2569" s="201">
        <v>2.1063081925101201E-2</v>
      </c>
    </row>
    <row r="2570" spans="22:26" x14ac:dyDescent="0.2">
      <c r="V2570" s="202" t="str">
        <f t="shared" si="48"/>
        <v>1w</v>
      </c>
      <c r="W2570" s="200">
        <f>_xll.qlCalendarAdvance(Calendar,W2569,V2570,"f",FALSE)</f>
        <v>56913</v>
      </c>
      <c r="X2570" s="203">
        <f>_xll.qlCalendarAdvance(Calendar,W2570,NDays&amp;"D")</f>
        <v>56915</v>
      </c>
      <c r="Y2570" s="204">
        <v>2.1070036525601687E-2</v>
      </c>
      <c r="Z2570" s="201">
        <v>2.1059292845411193E-2</v>
      </c>
    </row>
    <row r="2571" spans="22:26" x14ac:dyDescent="0.2">
      <c r="V2571" s="202" t="str">
        <f t="shared" si="48"/>
        <v>1w</v>
      </c>
      <c r="W2571" s="200">
        <f>_xll.qlCalendarAdvance(Calendar,W2570,V2571,"f",FALSE)</f>
        <v>56920</v>
      </c>
      <c r="X2571" s="203">
        <f>_xll.qlCalendarAdvance(Calendar,W2571,NDays&amp;"D")</f>
        <v>56922</v>
      </c>
      <c r="Y2571" s="204">
        <v>2.1066271754731636E-2</v>
      </c>
      <c r="Z2571" s="201">
        <v>2.1055513449574903E-2</v>
      </c>
    </row>
    <row r="2572" spans="22:26" x14ac:dyDescent="0.2">
      <c r="V2572" s="202" t="str">
        <f t="shared" si="48"/>
        <v>1w</v>
      </c>
      <c r="W2572" s="200">
        <f>_xll.qlCalendarAdvance(Calendar,W2571,V2572,"f",FALSE)</f>
        <v>56927</v>
      </c>
      <c r="X2572" s="203">
        <f>_xll.qlCalendarAdvance(Calendar,W2572,NDays&amp;"D")</f>
        <v>56929</v>
      </c>
      <c r="Y2572" s="204">
        <v>2.1062516686367883E-2</v>
      </c>
      <c r="Z2572" s="201">
        <v>2.1051743737352524E-2</v>
      </c>
    </row>
    <row r="2573" spans="22:26" x14ac:dyDescent="0.2">
      <c r="V2573" s="202" t="str">
        <f t="shared" si="48"/>
        <v>1w</v>
      </c>
      <c r="W2573" s="200">
        <f>_xll.qlCalendarAdvance(Calendar,W2572,V2573,"f",FALSE)</f>
        <v>56934</v>
      </c>
      <c r="X2573" s="203">
        <f>_xll.qlCalendarAdvance(Calendar,W2573,NDays&amp;"D")</f>
        <v>56936</v>
      </c>
      <c r="Y2573" s="204">
        <v>2.1058771320492942E-2</v>
      </c>
      <c r="Z2573" s="201">
        <v>2.1047983708903928E-2</v>
      </c>
    </row>
    <row r="2574" spans="22:26" x14ac:dyDescent="0.2">
      <c r="V2574" s="202" t="str">
        <f t="shared" si="48"/>
        <v>1w</v>
      </c>
      <c r="W2574" s="200">
        <f>_xll.qlCalendarAdvance(Calendar,W2573,V2574,"f",FALSE)</f>
        <v>56941</v>
      </c>
      <c r="X2574" s="203">
        <f>_xll.qlCalendarAdvance(Calendar,W2574,NDays&amp;"D")</f>
        <v>56943</v>
      </c>
      <c r="Y2574" s="204">
        <v>2.1055035657096821E-2</v>
      </c>
      <c r="Z2574" s="201">
        <v>2.1044233364149179E-2</v>
      </c>
    </row>
    <row r="2575" spans="22:26" x14ac:dyDescent="0.2">
      <c r="V2575" s="202" t="str">
        <f t="shared" si="48"/>
        <v>1w</v>
      </c>
      <c r="W2575" s="200">
        <f>_xll.qlCalendarAdvance(Calendar,W2574,V2575,"f",FALSE)</f>
        <v>56948</v>
      </c>
      <c r="X2575" s="203">
        <f>_xll.qlCalendarAdvance(Calendar,W2575,NDays&amp;"D")</f>
        <v>56950</v>
      </c>
      <c r="Y2575" s="204">
        <v>2.1051309696177023E-2</v>
      </c>
      <c r="Z2575" s="201">
        <v>2.1040492703168212E-2</v>
      </c>
    </row>
    <row r="2576" spans="22:26" x14ac:dyDescent="0.2">
      <c r="V2576" s="202" t="str">
        <f t="shared" si="48"/>
        <v>1w</v>
      </c>
      <c r="W2576" s="200">
        <f>_xll.qlCalendarAdvance(Calendar,W2575,V2576,"f",FALSE)</f>
        <v>56955</v>
      </c>
      <c r="X2576" s="203">
        <f>_xll.qlCalendarAdvance(Calendar,W2576,NDays&amp;"D")</f>
        <v>56957</v>
      </c>
      <c r="Y2576" s="204">
        <v>2.1047593437716061E-2</v>
      </c>
      <c r="Z2576" s="201">
        <v>2.1036761725881092E-2</v>
      </c>
    </row>
    <row r="2577" spans="22:26" x14ac:dyDescent="0.2">
      <c r="V2577" s="202" t="str">
        <f t="shared" si="48"/>
        <v>1w</v>
      </c>
      <c r="W2577" s="200">
        <f>_xll.qlCalendarAdvance(Calendar,W2576,V2577,"f",FALSE)</f>
        <v>56962</v>
      </c>
      <c r="X2577" s="203">
        <f>_xll.qlCalendarAdvance(Calendar,W2577,NDays&amp;"D")</f>
        <v>56964</v>
      </c>
      <c r="Y2577" s="204">
        <v>2.1043886881706442E-2</v>
      </c>
      <c r="Z2577" s="201">
        <v>2.1033040432287819E-2</v>
      </c>
    </row>
    <row r="2578" spans="22:26" x14ac:dyDescent="0.2">
      <c r="V2578" s="202" t="str">
        <f t="shared" si="48"/>
        <v>1w</v>
      </c>
      <c r="W2578" s="200">
        <f>_xll.qlCalendarAdvance(Calendar,W2577,V2578,"f",FALSE)</f>
        <v>56969</v>
      </c>
      <c r="X2578" s="203">
        <f>_xll.qlCalendarAdvance(Calendar,W2578,NDays&amp;"D")</f>
        <v>56971</v>
      </c>
      <c r="Y2578" s="204">
        <v>2.1040190028140671E-2</v>
      </c>
      <c r="Z2578" s="201">
        <v>2.1029328822388393E-2</v>
      </c>
    </row>
    <row r="2579" spans="22:26" x14ac:dyDescent="0.2">
      <c r="V2579" s="202" t="str">
        <f t="shared" si="48"/>
        <v>1w</v>
      </c>
      <c r="W2579" s="200">
        <f>_xll.qlCalendarAdvance(Calendar,W2578,V2579,"f",FALSE)</f>
        <v>56976</v>
      </c>
      <c r="X2579" s="203">
        <f>_xll.qlCalendarAdvance(Calendar,W2579,NDays&amp;"D")</f>
        <v>56978</v>
      </c>
      <c r="Y2579" s="204">
        <v>2.1036502877011254E-2</v>
      </c>
      <c r="Z2579" s="201">
        <v>2.102562689626275E-2</v>
      </c>
    </row>
    <row r="2580" spans="22:26" x14ac:dyDescent="0.2">
      <c r="V2580" s="202" t="str">
        <f t="shared" si="48"/>
        <v>1w</v>
      </c>
      <c r="W2580" s="200">
        <f>_xll.qlCalendarAdvance(Calendar,W2579,V2580,"f",FALSE)</f>
        <v>56983</v>
      </c>
      <c r="X2580" s="203">
        <f>_xll.qlCalendarAdvance(Calendar,W2580,NDays&amp;"D")</f>
        <v>56985</v>
      </c>
      <c r="Y2580" s="204">
        <v>2.1032825428305701E-2</v>
      </c>
      <c r="Z2580" s="201">
        <v>2.1021934653830954E-2</v>
      </c>
    </row>
    <row r="2581" spans="22:26" x14ac:dyDescent="0.2">
      <c r="V2581" s="202" t="str">
        <f t="shared" ref="V2581:V2644" si="49">V2580</f>
        <v>1w</v>
      </c>
      <c r="W2581" s="200">
        <f>_xll.qlCalendarAdvance(Calendar,W2580,V2581,"f",FALSE)</f>
        <v>56990</v>
      </c>
      <c r="X2581" s="203">
        <f>_xll.qlCalendarAdvance(Calendar,W2581,NDays&amp;"D")</f>
        <v>56992</v>
      </c>
      <c r="Y2581" s="204">
        <v>2.1029157682006527E-2</v>
      </c>
      <c r="Z2581" s="201">
        <v>2.1018252095013068E-2</v>
      </c>
    </row>
    <row r="2582" spans="22:26" x14ac:dyDescent="0.2">
      <c r="V2582" s="202" t="str">
        <f t="shared" si="49"/>
        <v>1w</v>
      </c>
      <c r="W2582" s="200">
        <f>_xll.qlCalendarAdvance(Calendar,W2581,V2582,"f",FALSE)</f>
        <v>56997</v>
      </c>
      <c r="X2582" s="203">
        <f>_xll.qlCalendarAdvance(Calendar,W2582,NDays&amp;"D")</f>
        <v>56999</v>
      </c>
      <c r="Y2582" s="204">
        <v>2.1025499638121226E-2</v>
      </c>
      <c r="Z2582" s="201">
        <v>2.1014579220048901E-2</v>
      </c>
    </row>
    <row r="2583" spans="22:26" x14ac:dyDescent="0.2">
      <c r="V2583" s="202" t="str">
        <f t="shared" si="49"/>
        <v>1w</v>
      </c>
      <c r="W2583" s="200">
        <f>_xll.qlCalendarAdvance(Calendar,W2582,V2583,"f",FALSE)</f>
        <v>57004</v>
      </c>
      <c r="X2583" s="203">
        <f>_xll.qlCalendarAdvance(Calendar,W2583,NDays&amp;"D")</f>
        <v>57006</v>
      </c>
      <c r="Y2583" s="204">
        <v>2.1021851296629812E-2</v>
      </c>
      <c r="Z2583" s="201">
        <v>2.1010916028858517E-2</v>
      </c>
    </row>
    <row r="2584" spans="22:26" x14ac:dyDescent="0.2">
      <c r="V2584" s="202" t="str">
        <f t="shared" si="49"/>
        <v>1w</v>
      </c>
      <c r="W2584" s="200">
        <f>_xll.qlCalendarAdvance(Calendar,W2583,V2584,"f",FALSE)</f>
        <v>57011</v>
      </c>
      <c r="X2584" s="203">
        <f>_xll.qlCalendarAdvance(Calendar,W2584,NDays&amp;"D")</f>
        <v>57013</v>
      </c>
      <c r="Y2584" s="204">
        <v>2.1017150467423917E-2</v>
      </c>
      <c r="Z2584" s="201">
        <v>2.1007262521202108E-2</v>
      </c>
    </row>
    <row r="2585" spans="22:26" x14ac:dyDescent="0.2">
      <c r="V2585" s="202" t="str">
        <f t="shared" si="49"/>
        <v>1w</v>
      </c>
      <c r="W2585" s="200">
        <f>_xll.qlCalendarAdvance(Calendar,W2584,V2585,"f",FALSE)</f>
        <v>57018</v>
      </c>
      <c r="X2585" s="203">
        <f>_xll.qlCalendarAdvance(Calendar,W2585,NDays&amp;"D")</f>
        <v>57020</v>
      </c>
      <c r="Y2585" s="204">
        <v>2.1013520086914601E-2</v>
      </c>
      <c r="Z2585" s="201">
        <v>2.1003618697399418E-2</v>
      </c>
    </row>
    <row r="2586" spans="22:26" x14ac:dyDescent="0.2">
      <c r="V2586" s="202" t="str">
        <f t="shared" si="49"/>
        <v>1w</v>
      </c>
      <c r="W2586" s="200">
        <f>_xll.qlCalendarAdvance(Calendar,W2585,V2586,"f",FALSE)</f>
        <v>57025</v>
      </c>
      <c r="X2586" s="203">
        <f>_xll.qlCalendarAdvance(Calendar,W2586,NDays&amp;"D")</f>
        <v>57027</v>
      </c>
      <c r="Y2586" s="204">
        <v>2.1009899406962886E-2</v>
      </c>
      <c r="Z2586" s="201">
        <v>2.0999984557290574E-2</v>
      </c>
    </row>
    <row r="2587" spans="22:26" x14ac:dyDescent="0.2">
      <c r="V2587" s="202" t="str">
        <f t="shared" si="49"/>
        <v>1w</v>
      </c>
      <c r="W2587" s="200">
        <f>_xll.qlCalendarAdvance(Calendar,W2586,V2587,"f",FALSE)</f>
        <v>57032</v>
      </c>
      <c r="X2587" s="203">
        <f>_xll.qlCalendarAdvance(Calendar,W2587,NDays&amp;"D")</f>
        <v>57034</v>
      </c>
      <c r="Y2587" s="204">
        <v>2.1006288427568767E-2</v>
      </c>
      <c r="Z2587" s="201">
        <v>2.0996360100875577E-2</v>
      </c>
    </row>
    <row r="2588" spans="22:26" x14ac:dyDescent="0.2">
      <c r="V2588" s="202" t="str">
        <f t="shared" si="49"/>
        <v>1w</v>
      </c>
      <c r="W2588" s="200">
        <f>_xll.qlCalendarAdvance(Calendar,W2587,V2588,"f",FALSE)</f>
        <v>57039</v>
      </c>
      <c r="X2588" s="203">
        <f>_xll.qlCalendarAdvance(Calendar,W2588,NDays&amp;"D")</f>
        <v>57041</v>
      </c>
      <c r="Y2588" s="204">
        <v>2.1004111236613682E-2</v>
      </c>
      <c r="Z2588" s="201">
        <v>2.0992745328154427E-2</v>
      </c>
    </row>
    <row r="2589" spans="22:26" x14ac:dyDescent="0.2">
      <c r="V2589" s="202" t="str">
        <f t="shared" si="49"/>
        <v>1w</v>
      </c>
      <c r="W2589" s="200">
        <f>_xll.qlCalendarAdvance(Calendar,W2588,V2589,"f",FALSE)</f>
        <v>57046</v>
      </c>
      <c r="X2589" s="203">
        <f>_xll.qlCalendarAdvance(Calendar,W2589,NDays&amp;"D")</f>
        <v>57048</v>
      </c>
      <c r="Y2589" s="204">
        <v>2.1000164997443393E-2</v>
      </c>
      <c r="Z2589" s="201">
        <v>2.098914023920706E-2</v>
      </c>
    </row>
    <row r="2590" spans="22:26" x14ac:dyDescent="0.2">
      <c r="V2590" s="202" t="str">
        <f t="shared" si="49"/>
        <v>1w</v>
      </c>
      <c r="W2590" s="200">
        <f>_xll.qlCalendarAdvance(Calendar,W2589,V2590,"f",FALSE)</f>
        <v>57053</v>
      </c>
      <c r="X2590" s="203">
        <f>_xll.qlCalendarAdvance(Calendar,W2590,NDays&amp;"D")</f>
        <v>57055</v>
      </c>
      <c r="Y2590" s="204">
        <v>2.09965845724569E-2</v>
      </c>
      <c r="Z2590" s="201">
        <v>2.098554483395354E-2</v>
      </c>
    </row>
    <row r="2591" spans="22:26" x14ac:dyDescent="0.2">
      <c r="V2591" s="202" t="str">
        <f t="shared" si="49"/>
        <v>1w</v>
      </c>
      <c r="W2591" s="200">
        <f>_xll.qlCalendarAdvance(Calendar,W2590,V2591,"f",FALSE)</f>
        <v>57060</v>
      </c>
      <c r="X2591" s="203">
        <f>_xll.qlCalendarAdvance(Calendar,W2591,NDays&amp;"D")</f>
        <v>57062</v>
      </c>
      <c r="Y2591" s="204">
        <v>2.0993013849789355E-2</v>
      </c>
      <c r="Z2591" s="201">
        <v>2.0981959112393866E-2</v>
      </c>
    </row>
    <row r="2592" spans="22:26" x14ac:dyDescent="0.2">
      <c r="V2592" s="202" t="str">
        <f t="shared" si="49"/>
        <v>1w</v>
      </c>
      <c r="W2592" s="200">
        <f>_xll.qlCalendarAdvance(Calendar,W2591,V2592,"f",FALSE)</f>
        <v>57067</v>
      </c>
      <c r="X2592" s="203">
        <f>_xll.qlCalendarAdvance(Calendar,W2592,NDays&amp;"D")</f>
        <v>57069</v>
      </c>
      <c r="Y2592" s="204">
        <v>2.098837903860382E-2</v>
      </c>
      <c r="Z2592" s="201">
        <v>2.0979808189082405E-2</v>
      </c>
    </row>
    <row r="2593" spans="22:26" x14ac:dyDescent="0.2">
      <c r="V2593" s="202" t="str">
        <f t="shared" si="49"/>
        <v>1w</v>
      </c>
      <c r="W2593" s="200">
        <f>_xll.qlCalendarAdvance(Calendar,W2592,V2593,"f",FALSE)</f>
        <v>57074</v>
      </c>
      <c r="X2593" s="203">
        <f>_xll.qlCalendarAdvance(Calendar,W2593,NDays&amp;"D")</f>
        <v>57076</v>
      </c>
      <c r="Y2593" s="204">
        <v>2.0985901511381133E-2</v>
      </c>
      <c r="Z2593" s="201">
        <v>2.097481672035606E-2</v>
      </c>
    </row>
    <row r="2594" spans="22:26" x14ac:dyDescent="0.2">
      <c r="V2594" s="202" t="str">
        <f t="shared" si="49"/>
        <v>1w</v>
      </c>
      <c r="W2594" s="200">
        <f>_xll.qlCalendarAdvance(Calendar,W2593,V2594,"f",FALSE)</f>
        <v>57081</v>
      </c>
      <c r="X2594" s="203">
        <f>_xll.qlCalendarAdvance(Calendar,W2594,NDays&amp;"D")</f>
        <v>57083</v>
      </c>
      <c r="Y2594" s="204">
        <v>2.0982359895620473E-2</v>
      </c>
      <c r="Z2594" s="201">
        <v>2.0971260049957863E-2</v>
      </c>
    </row>
    <row r="2595" spans="22:26" x14ac:dyDescent="0.2">
      <c r="V2595" s="202" t="str">
        <f t="shared" si="49"/>
        <v>1w</v>
      </c>
      <c r="W2595" s="200">
        <f>_xll.qlCalendarAdvance(Calendar,W2594,V2595,"f",FALSE)</f>
        <v>57088</v>
      </c>
      <c r="X2595" s="203">
        <f>_xll.qlCalendarAdvance(Calendar,W2595,NDays&amp;"D")</f>
        <v>57090</v>
      </c>
      <c r="Y2595" s="204">
        <v>2.097882798214129E-2</v>
      </c>
      <c r="Z2595" s="201">
        <v>2.0967713063253512E-2</v>
      </c>
    </row>
    <row r="2596" spans="22:26" x14ac:dyDescent="0.2">
      <c r="V2596" s="202" t="str">
        <f t="shared" si="49"/>
        <v>1w</v>
      </c>
      <c r="W2596" s="200">
        <f>_xll.qlCalendarAdvance(Calendar,W2595,V2596,"f",FALSE)</f>
        <v>57095</v>
      </c>
      <c r="X2596" s="203">
        <f>_xll.qlCalendarAdvance(Calendar,W2596,NDays&amp;"D")</f>
        <v>57097</v>
      </c>
      <c r="Y2596" s="204">
        <v>2.0975305770941088E-2</v>
      </c>
      <c r="Z2596" s="201">
        <v>2.0964175760243009E-2</v>
      </c>
    </row>
    <row r="2597" spans="22:26" x14ac:dyDescent="0.2">
      <c r="V2597" s="202" t="str">
        <f t="shared" si="49"/>
        <v>1w</v>
      </c>
      <c r="W2597" s="200">
        <f>_xll.qlCalendarAdvance(Calendar,W2596,V2597,"f",FALSE)</f>
        <v>57102</v>
      </c>
      <c r="X2597" s="203">
        <f>_xll.qlCalendarAdvance(Calendar,W2597,NDays&amp;"D")</f>
        <v>57104</v>
      </c>
      <c r="Y2597" s="204">
        <v>2.0971793262007377E-2</v>
      </c>
      <c r="Z2597" s="201">
        <v>2.0960648141006288E-2</v>
      </c>
    </row>
    <row r="2598" spans="22:26" x14ac:dyDescent="0.2">
      <c r="V2598" s="202" t="str">
        <f t="shared" si="49"/>
        <v>1w</v>
      </c>
      <c r="W2598" s="200">
        <f>_xll.qlCalendarAdvance(Calendar,W2597,V2598,"f",FALSE)</f>
        <v>57109</v>
      </c>
      <c r="X2598" s="203">
        <f>_xll.qlCalendarAdvance(Calendar,W2598,NDays&amp;"D")</f>
        <v>57111</v>
      </c>
      <c r="Y2598" s="204">
        <v>2.0968290455327665E-2</v>
      </c>
      <c r="Z2598" s="201">
        <v>2.0957130205463415E-2</v>
      </c>
    </row>
    <row r="2599" spans="22:26" x14ac:dyDescent="0.2">
      <c r="V2599" s="202" t="str">
        <f t="shared" si="49"/>
        <v>1w</v>
      </c>
      <c r="W2599" s="200">
        <f>_xll.qlCalendarAdvance(Calendar,W2598,V2599,"f",FALSE)</f>
        <v>57116</v>
      </c>
      <c r="X2599" s="203">
        <f>_xll.qlCalendarAdvance(Calendar,W2599,NDays&amp;"D")</f>
        <v>57118</v>
      </c>
      <c r="Y2599" s="204">
        <v>2.096479735089446E-2</v>
      </c>
      <c r="Z2599" s="201">
        <v>2.0953621953534451E-2</v>
      </c>
    </row>
    <row r="2600" spans="22:26" x14ac:dyDescent="0.2">
      <c r="V2600" s="202" t="str">
        <f t="shared" si="49"/>
        <v>1w</v>
      </c>
      <c r="W2600" s="200">
        <f>_xll.qlCalendarAdvance(Calendar,W2599,V2600,"f",FALSE)</f>
        <v>57123</v>
      </c>
      <c r="X2600" s="203">
        <f>_xll.qlCalendarAdvance(Calendar,W2600,NDays&amp;"D")</f>
        <v>57125</v>
      </c>
      <c r="Y2600" s="204">
        <v>2.0961313948702764E-2</v>
      </c>
      <c r="Z2600" s="201">
        <v>2.0950123385459207E-2</v>
      </c>
    </row>
    <row r="2601" spans="22:26" x14ac:dyDescent="0.2">
      <c r="V2601" s="202" t="str">
        <f t="shared" si="49"/>
        <v>1w</v>
      </c>
      <c r="W2601" s="200">
        <f>_xll.qlCalendarAdvance(Calendar,W2600,V2601,"f",FALSE)</f>
        <v>57130</v>
      </c>
      <c r="X2601" s="203">
        <f>_xll.qlCalendarAdvance(Calendar,W2601,NDays&amp;"D")</f>
        <v>57132</v>
      </c>
      <c r="Y2601" s="204">
        <v>2.0957840248742587E-2</v>
      </c>
      <c r="Z2601" s="201">
        <v>2.094663450107781E-2</v>
      </c>
    </row>
    <row r="2602" spans="22:26" x14ac:dyDescent="0.2">
      <c r="V2602" s="202" t="str">
        <f t="shared" si="49"/>
        <v>1w</v>
      </c>
      <c r="W2602" s="200">
        <f>_xll.qlCalendarAdvance(Calendar,W2601,V2602,"f",FALSE)</f>
        <v>57137</v>
      </c>
      <c r="X2602" s="203">
        <f>_xll.qlCalendarAdvance(Calendar,W2602,NDays&amp;"D")</f>
        <v>57139</v>
      </c>
      <c r="Y2602" s="204">
        <v>2.0954376250996443E-2</v>
      </c>
      <c r="Z2602" s="201">
        <v>2.0943155300230387E-2</v>
      </c>
    </row>
    <row r="2603" spans="22:26" x14ac:dyDescent="0.2">
      <c r="V2603" s="202" t="str">
        <f t="shared" si="49"/>
        <v>1w</v>
      </c>
      <c r="W2603" s="200">
        <f>_xll.qlCalendarAdvance(Calendar,W2602,V2603,"f",FALSE)</f>
        <v>57144</v>
      </c>
      <c r="X2603" s="203">
        <f>_xll.qlCalendarAdvance(Calendar,W2603,NDays&amp;"D")</f>
        <v>57146</v>
      </c>
      <c r="Y2603" s="204">
        <v>2.0950921955466828E-2</v>
      </c>
      <c r="Z2603" s="201">
        <v>2.0939685783236683E-2</v>
      </c>
    </row>
    <row r="2604" spans="22:26" x14ac:dyDescent="0.2">
      <c r="V2604" s="202" t="str">
        <f t="shared" si="49"/>
        <v>1w</v>
      </c>
      <c r="W2604" s="200">
        <f>_xll.qlCalendarAdvance(Calendar,W2603,V2604,"f",FALSE)</f>
        <v>57151</v>
      </c>
      <c r="X2604" s="203">
        <f>_xll.qlCalendarAdvance(Calendar,W2604,NDays&amp;"D")</f>
        <v>57153</v>
      </c>
      <c r="Y2604" s="204">
        <v>2.0947477362141254E-2</v>
      </c>
      <c r="Z2604" s="201">
        <v>2.0936225950016762E-2</v>
      </c>
    </row>
    <row r="2605" spans="22:26" x14ac:dyDescent="0.2">
      <c r="V2605" s="202" t="str">
        <f t="shared" si="49"/>
        <v>1w</v>
      </c>
      <c r="W2605" s="200">
        <f>_xll.qlCalendarAdvance(Calendar,W2604,V2605,"f",FALSE)</f>
        <v>57158</v>
      </c>
      <c r="X2605" s="203">
        <f>_xll.qlCalendarAdvance(Calendar,W2605,NDays&amp;"D")</f>
        <v>57160</v>
      </c>
      <c r="Y2605" s="204">
        <v>2.0944042471007229E-2</v>
      </c>
      <c r="Z2605" s="201">
        <v>2.0932775800490688E-2</v>
      </c>
    </row>
    <row r="2606" spans="22:26" x14ac:dyDescent="0.2">
      <c r="V2606" s="202" t="str">
        <f t="shared" si="49"/>
        <v>1w</v>
      </c>
      <c r="W2606" s="200">
        <f>_xll.qlCalendarAdvance(Calendar,W2605,V2606,"f",FALSE)</f>
        <v>57165</v>
      </c>
      <c r="X2606" s="203">
        <f>_xll.qlCalendarAdvance(Calendar,W2606,NDays&amp;"D")</f>
        <v>57167</v>
      </c>
      <c r="Y2606" s="204">
        <v>2.0940617282054763E-2</v>
      </c>
      <c r="Z2606" s="201">
        <v>2.0929335334498589E-2</v>
      </c>
    </row>
    <row r="2607" spans="22:26" x14ac:dyDescent="0.2">
      <c r="V2607" s="202" t="str">
        <f t="shared" si="49"/>
        <v>1w</v>
      </c>
      <c r="W2607" s="200">
        <f>_xll.qlCalendarAdvance(Calendar,W2606,V2607,"f",FALSE)</f>
        <v>57172</v>
      </c>
      <c r="X2607" s="203">
        <f>_xll.qlCalendarAdvance(Calendar,W2607,NDays&amp;"D")</f>
        <v>57174</v>
      </c>
      <c r="Y2607" s="204">
        <v>2.0937201795283855E-2</v>
      </c>
      <c r="Z2607" s="201">
        <v>2.0925904552360208E-2</v>
      </c>
    </row>
    <row r="2608" spans="22:26" x14ac:dyDescent="0.2">
      <c r="V2608" s="202" t="str">
        <f t="shared" si="49"/>
        <v>1w</v>
      </c>
      <c r="W2608" s="200">
        <f>_xll.qlCalendarAdvance(Calendar,W2607,V2608,"f",FALSE)</f>
        <v>57179</v>
      </c>
      <c r="X2608" s="203">
        <f>_xll.qlCalendarAdvance(Calendar,W2608,NDays&amp;"D")</f>
        <v>57181</v>
      </c>
      <c r="Y2608" s="204">
        <v>2.0933796010679517E-2</v>
      </c>
      <c r="Z2608" s="201">
        <v>2.0922483453915675E-2</v>
      </c>
    </row>
    <row r="2609" spans="22:26" x14ac:dyDescent="0.2">
      <c r="V2609" s="202" t="str">
        <f t="shared" si="49"/>
        <v>1w</v>
      </c>
      <c r="W2609" s="200">
        <f>_xll.qlCalendarAdvance(Calendar,W2608,V2609,"f",FALSE)</f>
        <v>57186</v>
      </c>
      <c r="X2609" s="203">
        <f>_xll.qlCalendarAdvance(Calendar,W2609,NDays&amp;"D")</f>
        <v>57188</v>
      </c>
      <c r="Y2609" s="204">
        <v>2.0930399928231758E-2</v>
      </c>
      <c r="Z2609" s="201">
        <v>2.0919072039244924E-2</v>
      </c>
    </row>
    <row r="2610" spans="22:26" x14ac:dyDescent="0.2">
      <c r="V2610" s="202" t="str">
        <f t="shared" si="49"/>
        <v>1w</v>
      </c>
      <c r="W2610" s="200">
        <f>_xll.qlCalendarAdvance(Calendar,W2609,V2610,"f",FALSE)</f>
        <v>57193</v>
      </c>
      <c r="X2610" s="203">
        <f>_xll.qlCalendarAdvance(Calendar,W2610,NDays&amp;"D")</f>
        <v>57195</v>
      </c>
      <c r="Y2610" s="204">
        <v>2.092701354793558E-2</v>
      </c>
      <c r="Z2610" s="201">
        <v>2.0915670308188083E-2</v>
      </c>
    </row>
    <row r="2611" spans="22:26" x14ac:dyDescent="0.2">
      <c r="V2611" s="202" t="str">
        <f t="shared" si="49"/>
        <v>1w</v>
      </c>
      <c r="W2611" s="200">
        <f>_xll.qlCalendarAdvance(Calendar,W2610,V2611,"f",FALSE)</f>
        <v>57200</v>
      </c>
      <c r="X2611" s="203">
        <f>_xll.qlCalendarAdvance(Calendar,W2611,NDays&amp;"D")</f>
        <v>57202</v>
      </c>
      <c r="Y2611" s="204">
        <v>2.0923636869780993E-2</v>
      </c>
      <c r="Z2611" s="201">
        <v>2.0912278260905026E-2</v>
      </c>
    </row>
    <row r="2612" spans="22:26" x14ac:dyDescent="0.2">
      <c r="V2612" s="202" t="str">
        <f t="shared" si="49"/>
        <v>1w</v>
      </c>
      <c r="W2612" s="200">
        <f>_xll.qlCalendarAdvance(Calendar,W2611,V2612,"f",FALSE)</f>
        <v>57207</v>
      </c>
      <c r="X2612" s="203">
        <f>_xll.qlCalendarAdvance(Calendar,W2612,NDays&amp;"D")</f>
        <v>57209</v>
      </c>
      <c r="Y2612" s="204">
        <v>2.0920269893758003E-2</v>
      </c>
      <c r="Z2612" s="201">
        <v>2.090889589723588E-2</v>
      </c>
    </row>
    <row r="2613" spans="22:26" x14ac:dyDescent="0.2">
      <c r="V2613" s="202" t="str">
        <f t="shared" si="49"/>
        <v>1w</v>
      </c>
      <c r="W2613" s="200">
        <f>_xll.qlCalendarAdvance(Calendar,W2612,V2613,"f",FALSE)</f>
        <v>57214</v>
      </c>
      <c r="X2613" s="203">
        <f>_xll.qlCalendarAdvance(Calendar,W2613,NDays&amp;"D")</f>
        <v>57216</v>
      </c>
      <c r="Y2613" s="204">
        <v>2.091691261985662E-2</v>
      </c>
      <c r="Z2613" s="201">
        <v>2.090552321726058E-2</v>
      </c>
    </row>
    <row r="2614" spans="22:26" x14ac:dyDescent="0.2">
      <c r="V2614" s="202" t="str">
        <f t="shared" si="49"/>
        <v>1w</v>
      </c>
      <c r="W2614" s="200">
        <f>_xll.qlCalendarAdvance(Calendar,W2613,V2614,"f",FALSE)</f>
        <v>57221</v>
      </c>
      <c r="X2614" s="203">
        <f>_xll.qlCalendarAdvance(Calendar,W2614,NDays&amp;"D")</f>
        <v>57223</v>
      </c>
      <c r="Y2614" s="204">
        <v>2.0912458762951436E-2</v>
      </c>
      <c r="Z2614" s="201">
        <v>2.0902160220979127E-2</v>
      </c>
    </row>
    <row r="2615" spans="22:26" x14ac:dyDescent="0.2">
      <c r="V2615" s="202" t="str">
        <f t="shared" si="49"/>
        <v>1w</v>
      </c>
      <c r="W2615" s="200">
        <f>_xll.qlCalendarAdvance(Calendar,W2614,V2615,"f",FALSE)</f>
        <v>57228</v>
      </c>
      <c r="X2615" s="203">
        <f>_xll.qlCalendarAdvance(Calendar,W2615,NDays&amp;"D")</f>
        <v>57230</v>
      </c>
      <c r="Y2615" s="204">
        <v>2.091022717839619E-2</v>
      </c>
      <c r="Z2615" s="201">
        <v>2.0898806908631329E-2</v>
      </c>
    </row>
    <row r="2616" spans="22:26" x14ac:dyDescent="0.2">
      <c r="V2616" s="202" t="str">
        <f t="shared" si="49"/>
        <v>1w</v>
      </c>
      <c r="W2616" s="200">
        <f>_xll.qlCalendarAdvance(Calendar,W2615,V2616,"f",FALSE)</f>
        <v>57235</v>
      </c>
      <c r="X2616" s="203">
        <f>_xll.qlCalendarAdvance(Calendar,W2616,NDays&amp;"D")</f>
        <v>57237</v>
      </c>
      <c r="Y2616" s="204">
        <v>2.0906899010814661E-2</v>
      </c>
      <c r="Z2616" s="201">
        <v>2.0895463279817506E-2</v>
      </c>
    </row>
    <row r="2617" spans="22:26" x14ac:dyDescent="0.2">
      <c r="V2617" s="202" t="str">
        <f t="shared" si="49"/>
        <v>1w</v>
      </c>
      <c r="W2617" s="200">
        <f>_xll.qlCalendarAdvance(Calendar,W2616,V2617,"f",FALSE)</f>
        <v>57242</v>
      </c>
      <c r="X2617" s="203">
        <f>_xll.qlCalendarAdvance(Calendar,W2617,NDays&amp;"D")</f>
        <v>57244</v>
      </c>
      <c r="Y2617" s="204">
        <v>2.0903580545322265E-2</v>
      </c>
      <c r="Z2617" s="201">
        <v>2.0892129334697529E-2</v>
      </c>
    </row>
    <row r="2618" spans="22:26" x14ac:dyDescent="0.2">
      <c r="V2618" s="202" t="str">
        <f t="shared" si="49"/>
        <v>1w</v>
      </c>
      <c r="W2618" s="200">
        <f>_xll.qlCalendarAdvance(Calendar,W2617,V2618,"f",FALSE)</f>
        <v>57249</v>
      </c>
      <c r="X2618" s="203">
        <f>_xll.qlCalendarAdvance(Calendar,W2618,NDays&amp;"D")</f>
        <v>57251</v>
      </c>
      <c r="Y2618" s="204">
        <v>2.0900271781909008E-2</v>
      </c>
      <c r="Z2618" s="201">
        <v>2.0888805073351335E-2</v>
      </c>
    </row>
    <row r="2619" spans="22:26" x14ac:dyDescent="0.2">
      <c r="V2619" s="202" t="str">
        <f t="shared" si="49"/>
        <v>1w</v>
      </c>
      <c r="W2619" s="200">
        <f>_xll.qlCalendarAdvance(Calendar,W2618,V2619,"f",FALSE)</f>
        <v>57256</v>
      </c>
      <c r="X2619" s="203">
        <f>_xll.qlCalendarAdvance(Calendar,W2619,NDays&amp;"D")</f>
        <v>57258</v>
      </c>
      <c r="Y2619" s="204">
        <v>2.0896972720572393E-2</v>
      </c>
      <c r="Z2619" s="201">
        <v>2.0885490495698988E-2</v>
      </c>
    </row>
    <row r="2620" spans="22:26" x14ac:dyDescent="0.2">
      <c r="V2620" s="202" t="str">
        <f t="shared" si="49"/>
        <v>1w</v>
      </c>
      <c r="W2620" s="200">
        <f>_xll.qlCalendarAdvance(Calendar,W2619,V2620,"f",FALSE)</f>
        <v>57263</v>
      </c>
      <c r="X2620" s="203">
        <f>_xll.qlCalendarAdvance(Calendar,W2620,NDays&amp;"D")</f>
        <v>57265</v>
      </c>
      <c r="Y2620" s="204">
        <v>2.0893683361297433E-2</v>
      </c>
      <c r="Z2620" s="201">
        <v>2.0882185601820424E-2</v>
      </c>
    </row>
    <row r="2621" spans="22:26" x14ac:dyDescent="0.2">
      <c r="V2621" s="202" t="str">
        <f t="shared" si="49"/>
        <v>1w</v>
      </c>
      <c r="W2621" s="200">
        <f>_xll.qlCalendarAdvance(Calendar,W2620,V2621,"f",FALSE)</f>
        <v>57270</v>
      </c>
      <c r="X2621" s="203">
        <f>_xll.qlCalendarAdvance(Calendar,W2621,NDays&amp;"D")</f>
        <v>57272</v>
      </c>
      <c r="Y2621" s="204">
        <v>2.0890403704074134E-2</v>
      </c>
      <c r="Z2621" s="201">
        <v>2.0878890391475835E-2</v>
      </c>
    </row>
    <row r="2622" spans="22:26" x14ac:dyDescent="0.2">
      <c r="V2622" s="202" t="str">
        <f t="shared" si="49"/>
        <v>1w</v>
      </c>
      <c r="W2622" s="200">
        <f>_xll.qlCalendarAdvance(Calendar,W2621,V2622,"f",FALSE)</f>
        <v>57277</v>
      </c>
      <c r="X2622" s="203">
        <f>_xll.qlCalendarAdvance(Calendar,W2622,NDays&amp;"D")</f>
        <v>57279</v>
      </c>
      <c r="Y2622" s="204">
        <v>2.0887133748902498E-2</v>
      </c>
      <c r="Z2622" s="201">
        <v>2.0875604864984965E-2</v>
      </c>
    </row>
    <row r="2623" spans="22:26" x14ac:dyDescent="0.2">
      <c r="V2623" s="202" t="str">
        <f t="shared" si="49"/>
        <v>1w</v>
      </c>
      <c r="W2623" s="200">
        <f>_xll.qlCalendarAdvance(Calendar,W2622,V2623,"f",FALSE)</f>
        <v>57284</v>
      </c>
      <c r="X2623" s="203">
        <f>_xll.qlCalendarAdvance(Calendar,W2623,NDays&amp;"D")</f>
        <v>57286</v>
      </c>
      <c r="Y2623" s="204">
        <v>2.0883873495767535E-2</v>
      </c>
      <c r="Z2623" s="201">
        <v>2.0872329022187941E-2</v>
      </c>
    </row>
    <row r="2624" spans="22:26" x14ac:dyDescent="0.2">
      <c r="V2624" s="202" t="str">
        <f t="shared" si="49"/>
        <v>1w</v>
      </c>
      <c r="W2624" s="200">
        <f>_xll.qlCalendarAdvance(Calendar,W2623,V2624,"f",FALSE)</f>
        <v>57291</v>
      </c>
      <c r="X2624" s="203">
        <f>_xll.qlCalendarAdvance(Calendar,W2624,NDays&amp;"D")</f>
        <v>57293</v>
      </c>
      <c r="Y2624" s="204">
        <v>2.0880622944661753E-2</v>
      </c>
      <c r="Z2624" s="201">
        <v>2.0869062862924892E-2</v>
      </c>
    </row>
    <row r="2625" spans="22:26" x14ac:dyDescent="0.2">
      <c r="V2625" s="202" t="str">
        <f t="shared" si="49"/>
        <v>1w</v>
      </c>
      <c r="W2625" s="200">
        <f>_xll.qlCalendarAdvance(Calendar,W2624,V2625,"f",FALSE)</f>
        <v>57298</v>
      </c>
      <c r="X2625" s="203">
        <f>_xll.qlCalendarAdvance(Calendar,W2625,NDays&amp;"D")</f>
        <v>57300</v>
      </c>
      <c r="Y2625" s="204">
        <v>2.0877382095575159E-2</v>
      </c>
      <c r="Z2625" s="201">
        <v>2.0865806387515562E-2</v>
      </c>
    </row>
    <row r="2626" spans="22:26" x14ac:dyDescent="0.2">
      <c r="V2626" s="202" t="str">
        <f t="shared" si="49"/>
        <v>1w</v>
      </c>
      <c r="W2626" s="200">
        <f>_xll.qlCalendarAdvance(Calendar,W2625,V2626,"f",FALSE)</f>
        <v>57305</v>
      </c>
      <c r="X2626" s="203">
        <f>_xll.qlCalendarAdvance(Calendar,W2626,NDays&amp;"D")</f>
        <v>57307</v>
      </c>
      <c r="Y2626" s="204">
        <v>2.087490084412218E-2</v>
      </c>
      <c r="Z2626" s="201">
        <v>2.0862559595880015E-2</v>
      </c>
    </row>
    <row r="2627" spans="22:26" x14ac:dyDescent="0.2">
      <c r="V2627" s="202" t="str">
        <f t="shared" si="49"/>
        <v>1w</v>
      </c>
      <c r="W2627" s="200">
        <f>_xll.qlCalendarAdvance(Calendar,W2626,V2627,"f",FALSE)</f>
        <v>57312</v>
      </c>
      <c r="X2627" s="203">
        <f>_xll.qlCalendarAdvance(Calendar,W2627,NDays&amp;"D")</f>
        <v>57314</v>
      </c>
      <c r="Y2627" s="204">
        <v>2.0869803611537684E-2</v>
      </c>
      <c r="Z2627" s="201">
        <v>2.0859322487778442E-2</v>
      </c>
    </row>
    <row r="2628" spans="22:26" x14ac:dyDescent="0.2">
      <c r="V2628" s="202" t="str">
        <f t="shared" si="49"/>
        <v>1w</v>
      </c>
      <c r="W2628" s="200">
        <f>_xll.qlCalendarAdvance(Calendar,W2627,V2628,"f",FALSE)</f>
        <v>57319</v>
      </c>
      <c r="X2628" s="203">
        <f>_xll.qlCalendarAdvance(Calendar,W2628,NDays&amp;"D")</f>
        <v>57321</v>
      </c>
      <c r="Y2628" s="204">
        <v>2.0867717760363058E-2</v>
      </c>
      <c r="Z2628" s="201">
        <v>2.0856095063450653E-2</v>
      </c>
    </row>
    <row r="2629" spans="22:26" x14ac:dyDescent="0.2">
      <c r="V2629" s="202" t="str">
        <f t="shared" si="49"/>
        <v>1w</v>
      </c>
      <c r="W2629" s="200">
        <f>_xll.qlCalendarAdvance(Calendar,W2628,V2629,"f",FALSE)</f>
        <v>57326</v>
      </c>
      <c r="X2629" s="203">
        <f>_xll.qlCalendarAdvance(Calendar,W2629,NDays&amp;"D")</f>
        <v>57328</v>
      </c>
      <c r="Y2629" s="204">
        <v>2.0864515719283272E-2</v>
      </c>
      <c r="Z2629" s="201">
        <v>2.0852877322896646E-2</v>
      </c>
    </row>
    <row r="2630" spans="22:26" x14ac:dyDescent="0.2">
      <c r="V2630" s="202" t="str">
        <f t="shared" si="49"/>
        <v>1w</v>
      </c>
      <c r="W2630" s="200">
        <f>_xll.qlCalendarAdvance(Calendar,W2629,V2630,"f",FALSE)</f>
        <v>57333</v>
      </c>
      <c r="X2630" s="203">
        <f>_xll.qlCalendarAdvance(Calendar,W2630,NDays&amp;"D")</f>
        <v>57335</v>
      </c>
      <c r="Y2630" s="204">
        <v>2.0861323380180208E-2</v>
      </c>
      <c r="Z2630" s="201">
        <v>2.084966926595655E-2</v>
      </c>
    </row>
    <row r="2631" spans="22:26" x14ac:dyDescent="0.2">
      <c r="V2631" s="202" t="str">
        <f t="shared" si="49"/>
        <v>1w</v>
      </c>
      <c r="W2631" s="200">
        <f>_xll.qlCalendarAdvance(Calendar,W2630,V2631,"f",FALSE)</f>
        <v>57341</v>
      </c>
      <c r="X2631" s="203">
        <f>_xll.qlCalendarAdvance(Calendar,W2631,NDays&amp;"D")</f>
        <v>57343</v>
      </c>
      <c r="Y2631" s="204">
        <v>2.0858064399831896E-2</v>
      </c>
      <c r="Z2631" s="201">
        <v>2.0847141689448456E-2</v>
      </c>
    </row>
    <row r="2632" spans="22:26" x14ac:dyDescent="0.2">
      <c r="V2632" s="202" t="str">
        <f t="shared" si="49"/>
        <v>1w</v>
      </c>
      <c r="W2632" s="200">
        <f>_xll.qlCalendarAdvance(Calendar,W2631,V2632,"f",FALSE)</f>
        <v>57348</v>
      </c>
      <c r="X2632" s="203">
        <f>_xll.qlCalendarAdvance(Calendar,W2632,NDays&amp;"D")</f>
        <v>57350</v>
      </c>
      <c r="Y2632" s="204">
        <v>2.0854137349895514E-2</v>
      </c>
      <c r="Z2632" s="201">
        <v>2.0843579696094849E-2</v>
      </c>
    </row>
    <row r="2633" spans="22:26" x14ac:dyDescent="0.2">
      <c r="V2633" s="202" t="str">
        <f t="shared" si="49"/>
        <v>1w</v>
      </c>
      <c r="W2633" s="200">
        <f>_xll.qlCalendarAdvance(Calendar,W2632,V2633,"f",FALSE)</f>
        <v>57355</v>
      </c>
      <c r="X2633" s="203">
        <f>_xll.qlCalendarAdvance(Calendar,W2633,NDays&amp;"D")</f>
        <v>57357</v>
      </c>
      <c r="Y2633" s="204">
        <v>2.0850974992696183E-2</v>
      </c>
      <c r="Z2633" s="201">
        <v>2.0840403089303905E-2</v>
      </c>
    </row>
    <row r="2634" spans="22:26" x14ac:dyDescent="0.2">
      <c r="V2634" s="202" t="str">
        <f t="shared" si="49"/>
        <v>1w</v>
      </c>
      <c r="W2634" s="200">
        <f>_xll.qlCalendarAdvance(Calendar,W2633,V2634,"f",FALSE)</f>
        <v>57362</v>
      </c>
      <c r="X2634" s="203">
        <f>_xll.qlCalendarAdvance(Calendar,W2634,NDays&amp;"D")</f>
        <v>57364</v>
      </c>
      <c r="Y2634" s="204">
        <v>2.0847822336851413E-2</v>
      </c>
      <c r="Z2634" s="201">
        <v>2.0837236167405848E-2</v>
      </c>
    </row>
    <row r="2635" spans="22:26" x14ac:dyDescent="0.2">
      <c r="V2635" s="202" t="str">
        <f t="shared" si="49"/>
        <v>1w</v>
      </c>
      <c r="W2635" s="200">
        <f>_xll.qlCalendarAdvance(Calendar,W2634,V2635,"f",FALSE)</f>
        <v>57369</v>
      </c>
      <c r="X2635" s="203">
        <f>_xll.qlCalendarAdvance(Calendar,W2635,NDays&amp;"D")</f>
        <v>57371</v>
      </c>
      <c r="Y2635" s="204">
        <v>2.0844679382358622E-2</v>
      </c>
      <c r="Z2635" s="201">
        <v>2.0834078930374034E-2</v>
      </c>
    </row>
    <row r="2636" spans="22:26" x14ac:dyDescent="0.2">
      <c r="V2636" s="202" t="str">
        <f t="shared" si="49"/>
        <v>1w</v>
      </c>
      <c r="W2636" s="200">
        <f>_xll.qlCalendarAdvance(Calendar,W2635,V2636,"f",FALSE)</f>
        <v>57376</v>
      </c>
      <c r="X2636" s="203">
        <f>_xll.qlCalendarAdvance(Calendar,W2636,NDays&amp;"D")</f>
        <v>57378</v>
      </c>
      <c r="Y2636" s="204">
        <v>2.0840406458972258E-2</v>
      </c>
      <c r="Z2636" s="201">
        <v>2.0830931378208462E-2</v>
      </c>
    </row>
    <row r="2637" spans="22:26" x14ac:dyDescent="0.2">
      <c r="V2637" s="202" t="str">
        <f t="shared" si="49"/>
        <v>1w</v>
      </c>
      <c r="W2637" s="200">
        <f>_xll.qlCalendarAdvance(Calendar,W2636,V2637,"f",FALSE)</f>
        <v>57383</v>
      </c>
      <c r="X2637" s="203">
        <f>_xll.qlCalendarAdvance(Calendar,W2637,NDays&amp;"D")</f>
        <v>57385</v>
      </c>
      <c r="Y2637" s="204">
        <v>2.0837281370598464E-2</v>
      </c>
      <c r="Z2637" s="201">
        <v>2.0827793510962422E-2</v>
      </c>
    </row>
    <row r="2638" spans="22:26" x14ac:dyDescent="0.2">
      <c r="V2638" s="202" t="str">
        <f t="shared" si="49"/>
        <v>1w</v>
      </c>
      <c r="W2638" s="200">
        <f>_xll.qlCalendarAdvance(Calendar,W2637,V2638,"f",FALSE)</f>
        <v>57390</v>
      </c>
      <c r="X2638" s="203">
        <f>_xll.qlCalendarAdvance(Calendar,W2638,NDays&amp;"D")</f>
        <v>57392</v>
      </c>
      <c r="Y2638" s="204">
        <v>2.083416598178868E-2</v>
      </c>
      <c r="Z2638" s="201">
        <v>2.082466532855598E-2</v>
      </c>
    </row>
    <row r="2639" spans="22:26" x14ac:dyDescent="0.2">
      <c r="V2639" s="202" t="str">
        <f t="shared" si="49"/>
        <v>1w</v>
      </c>
      <c r="W2639" s="200">
        <f>_xll.qlCalendarAdvance(Calendar,W2638,V2639,"f",FALSE)</f>
        <v>57397</v>
      </c>
      <c r="X2639" s="203">
        <f>_xll.qlCalendarAdvance(Calendar,W2639,NDays&amp;"D")</f>
        <v>57399</v>
      </c>
      <c r="Y2639" s="204">
        <v>2.0831060292534342E-2</v>
      </c>
      <c r="Z2639" s="201">
        <v>2.082154683101578E-2</v>
      </c>
    </row>
    <row r="2640" spans="22:26" x14ac:dyDescent="0.2">
      <c r="V2640" s="202" t="str">
        <f t="shared" si="49"/>
        <v>1w</v>
      </c>
      <c r="W2640" s="200">
        <f>_xll.qlCalendarAdvance(Calendar,W2639,V2640,"f",FALSE)</f>
        <v>57404</v>
      </c>
      <c r="X2640" s="203">
        <f>_xll.qlCalendarAdvance(Calendar,W2640,NDays&amp;"D")</f>
        <v>57406</v>
      </c>
      <c r="Y2640" s="204">
        <v>2.0829110129854615E-2</v>
      </c>
      <c r="Z2640" s="201">
        <v>2.0818438018368468E-2</v>
      </c>
    </row>
    <row r="2641" spans="22:26" x14ac:dyDescent="0.2">
      <c r="V2641" s="202" t="str">
        <f t="shared" si="49"/>
        <v>1w</v>
      </c>
      <c r="W2641" s="200">
        <f>_xll.qlCalendarAdvance(Calendar,W2640,V2641,"f",FALSE)</f>
        <v>57411</v>
      </c>
      <c r="X2641" s="203">
        <f>_xll.qlCalendarAdvance(Calendar,W2641,NDays&amp;"D")</f>
        <v>57413</v>
      </c>
      <c r="Y2641" s="204">
        <v>2.0826025383293201E-2</v>
      </c>
      <c r="Z2641" s="201">
        <v>2.0815338890614044E-2</v>
      </c>
    </row>
    <row r="2642" spans="22:26" x14ac:dyDescent="0.2">
      <c r="V2642" s="202" t="str">
        <f t="shared" si="49"/>
        <v>1w</v>
      </c>
      <c r="W2642" s="200">
        <f>_xll.qlCalendarAdvance(Calendar,W2641,V2642,"f",FALSE)</f>
        <v>57418</v>
      </c>
      <c r="X2642" s="203">
        <f>_xll.qlCalendarAdvance(Calendar,W2642,NDays&amp;"D")</f>
        <v>57420</v>
      </c>
      <c r="Y2642" s="204">
        <v>2.0822950338024459E-2</v>
      </c>
      <c r="Z2642" s="201">
        <v>2.0812249447699216E-2</v>
      </c>
    </row>
    <row r="2643" spans="22:26" x14ac:dyDescent="0.2">
      <c r="V2643" s="202" t="str">
        <f t="shared" si="49"/>
        <v>1w</v>
      </c>
      <c r="W2643" s="200">
        <f>_xll.qlCalendarAdvance(Calendar,W2642,V2643,"f",FALSE)</f>
        <v>57425</v>
      </c>
      <c r="X2643" s="203">
        <f>_xll.qlCalendarAdvance(Calendar,W2643,NDays&amp;"D")</f>
        <v>57427</v>
      </c>
      <c r="Y2643" s="204">
        <v>2.0820268609674508E-2</v>
      </c>
      <c r="Z2643" s="201">
        <v>2.0809169689650631E-2</v>
      </c>
    </row>
    <row r="2644" spans="22:26" x14ac:dyDescent="0.2">
      <c r="V2644" s="202" t="str">
        <f t="shared" si="49"/>
        <v>1w</v>
      </c>
      <c r="W2644" s="200">
        <f>_xll.qlCalendarAdvance(Calendar,W2643,V2644,"f",FALSE)</f>
        <v>57432</v>
      </c>
      <c r="X2644" s="203">
        <f>_xll.qlCalendarAdvance(Calendar,W2644,NDays&amp;"D")</f>
        <v>57434</v>
      </c>
      <c r="Y2644" s="204">
        <v>2.0816829351346943E-2</v>
      </c>
      <c r="Z2644" s="201">
        <v>2.0806099616521578E-2</v>
      </c>
    </row>
    <row r="2645" spans="22:26" x14ac:dyDescent="0.2">
      <c r="V2645" s="202" t="str">
        <f t="shared" ref="V2645:V2708" si="50">V2644</f>
        <v>1w</v>
      </c>
      <c r="W2645" s="200">
        <f>_xll.qlCalendarAdvance(Calendar,W2644,V2645,"f",FALSE)</f>
        <v>57439</v>
      </c>
      <c r="X2645" s="203">
        <f>_xll.qlCalendarAdvance(Calendar,W2645,NDays&amp;"D")</f>
        <v>57441</v>
      </c>
      <c r="Y2645" s="204">
        <v>2.081378340991754E-2</v>
      </c>
      <c r="Z2645" s="201">
        <v>2.0803039228232123E-2</v>
      </c>
    </row>
    <row r="2646" spans="22:26" x14ac:dyDescent="0.2">
      <c r="V2646" s="202" t="str">
        <f t="shared" si="50"/>
        <v>1w</v>
      </c>
      <c r="W2646" s="200">
        <f>_xll.qlCalendarAdvance(Calendar,W2645,V2646,"f",FALSE)</f>
        <v>57446</v>
      </c>
      <c r="X2646" s="203">
        <f>_xll.qlCalendarAdvance(Calendar,W2646,NDays&amp;"D")</f>
        <v>57448</v>
      </c>
      <c r="Y2646" s="204">
        <v>2.0810747169752442E-2</v>
      </c>
      <c r="Z2646" s="201">
        <v>2.079998852480891E-2</v>
      </c>
    </row>
    <row r="2647" spans="22:26" x14ac:dyDescent="0.2">
      <c r="V2647" s="202" t="str">
        <f t="shared" si="50"/>
        <v>1w</v>
      </c>
      <c r="W2647" s="200">
        <f>_xll.qlCalendarAdvance(Calendar,W2646,V2647,"f",FALSE)</f>
        <v>57453</v>
      </c>
      <c r="X2647" s="203">
        <f>_xll.qlCalendarAdvance(Calendar,W2647,NDays&amp;"D")</f>
        <v>57459</v>
      </c>
      <c r="Y2647" s="204">
        <v>2.0805609618735232E-2</v>
      </c>
      <c r="Z2647" s="201">
        <v>2.0794445952354579E-2</v>
      </c>
    </row>
    <row r="2648" spans="22:26" x14ac:dyDescent="0.2">
      <c r="V2648" s="202" t="str">
        <f t="shared" si="50"/>
        <v>1w</v>
      </c>
      <c r="W2648" s="200">
        <f>_xll.qlCalendarAdvance(Calendar,W2647,V2648,"f",FALSE)</f>
        <v>57460</v>
      </c>
      <c r="X2648" s="203">
        <f>_xll.qlCalendarAdvance(Calendar,W2648,NDays&amp;"D")</f>
        <v>57462</v>
      </c>
      <c r="Y2648" s="204">
        <v>2.0804703793186812E-2</v>
      </c>
      <c r="Z2648" s="201">
        <v>2.0793916172614502E-2</v>
      </c>
    </row>
    <row r="2649" spans="22:26" x14ac:dyDescent="0.2">
      <c r="V2649" s="202" t="str">
        <f t="shared" si="50"/>
        <v>1w</v>
      </c>
      <c r="W2649" s="200">
        <f>_xll.qlCalendarAdvance(Calendar,W2648,V2649,"f",FALSE)</f>
        <v>57467</v>
      </c>
      <c r="X2649" s="203">
        <f>_xll.qlCalendarAdvance(Calendar,W2649,NDays&amp;"D")</f>
        <v>57469</v>
      </c>
      <c r="Y2649" s="204">
        <v>2.0801696656768228E-2</v>
      </c>
      <c r="Z2649" s="201">
        <v>2.0790894523790016E-2</v>
      </c>
    </row>
    <row r="2650" spans="22:26" x14ac:dyDescent="0.2">
      <c r="V2650" s="202" t="str">
        <f t="shared" si="50"/>
        <v>1w</v>
      </c>
      <c r="W2650" s="200">
        <f>_xll.qlCalendarAdvance(Calendar,W2649,V2650,"f",FALSE)</f>
        <v>57474</v>
      </c>
      <c r="X2650" s="203">
        <f>_xll.qlCalendarAdvance(Calendar,W2650,NDays&amp;"D")</f>
        <v>57476</v>
      </c>
      <c r="Y2650" s="204">
        <v>2.0798699221585587E-2</v>
      </c>
      <c r="Z2650" s="201">
        <v>2.0787882559885063E-2</v>
      </c>
    </row>
    <row r="2651" spans="22:26" x14ac:dyDescent="0.2">
      <c r="V2651" s="202" t="str">
        <f t="shared" si="50"/>
        <v>1w</v>
      </c>
      <c r="W2651" s="200">
        <f>_xll.qlCalendarAdvance(Calendar,W2650,V2651,"f",FALSE)</f>
        <v>57481</v>
      </c>
      <c r="X2651" s="203">
        <f>_xll.qlCalendarAdvance(Calendar,W2651,NDays&amp;"D")</f>
        <v>57483</v>
      </c>
      <c r="Y2651" s="204">
        <v>2.0795711487628574E-2</v>
      </c>
      <c r="Z2651" s="201">
        <v>2.0784880280793061E-2</v>
      </c>
    </row>
    <row r="2652" spans="22:26" x14ac:dyDescent="0.2">
      <c r="V2652" s="202" t="str">
        <f t="shared" si="50"/>
        <v>1w</v>
      </c>
      <c r="W2652" s="200">
        <f>_xll.qlCalendarAdvance(Calendar,W2651,V2652,"f",FALSE)</f>
        <v>57488</v>
      </c>
      <c r="X2652" s="203">
        <f>_xll.qlCalendarAdvance(Calendar,W2652,NDays&amp;"D")</f>
        <v>57490</v>
      </c>
      <c r="Y2652" s="204">
        <v>2.0792733454892035E-2</v>
      </c>
      <c r="Z2652" s="201">
        <v>2.0781887686620593E-2</v>
      </c>
    </row>
    <row r="2653" spans="22:26" x14ac:dyDescent="0.2">
      <c r="V2653" s="202" t="str">
        <f t="shared" si="50"/>
        <v>1w</v>
      </c>
      <c r="W2653" s="200">
        <f>_xll.qlCalendarAdvance(Calendar,W2652,V2653,"f",FALSE)</f>
        <v>57495</v>
      </c>
      <c r="X2653" s="203">
        <f>_xll.qlCalendarAdvance(Calendar,W2653,NDays&amp;"D")</f>
        <v>57497</v>
      </c>
      <c r="Y2653" s="204">
        <v>2.0789765123363071E-2</v>
      </c>
      <c r="Z2653" s="201">
        <v>2.0778904777261076E-2</v>
      </c>
    </row>
    <row r="2654" spans="22:26" x14ac:dyDescent="0.2">
      <c r="V2654" s="202" t="str">
        <f t="shared" si="50"/>
        <v>1w</v>
      </c>
      <c r="W2654" s="200">
        <f>_xll.qlCalendarAdvance(Calendar,W2653,V2654,"f",FALSE)</f>
        <v>57502</v>
      </c>
      <c r="X2654" s="203">
        <f>_xll.qlCalendarAdvance(Calendar,W2654,NDays&amp;"D")</f>
        <v>57504</v>
      </c>
      <c r="Y2654" s="204">
        <v>2.0786806493039111E-2</v>
      </c>
      <c r="Z2654" s="201">
        <v>2.0775931552767801E-2</v>
      </c>
    </row>
    <row r="2655" spans="22:26" x14ac:dyDescent="0.2">
      <c r="V2655" s="202" t="str">
        <f t="shared" si="50"/>
        <v>1w</v>
      </c>
      <c r="W2655" s="200">
        <f>_xll.qlCalendarAdvance(Calendar,W2654,V2655,"f",FALSE)</f>
        <v>57509</v>
      </c>
      <c r="X2655" s="203">
        <f>_xll.qlCalendarAdvance(Calendar,W2655,NDays&amp;"D")</f>
        <v>57511</v>
      </c>
      <c r="Y2655" s="204">
        <v>2.0783857563914994E-2</v>
      </c>
      <c r="Z2655" s="201">
        <v>2.0772968013167414E-2</v>
      </c>
    </row>
    <row r="2656" spans="22:26" x14ac:dyDescent="0.2">
      <c r="V2656" s="202" t="str">
        <f t="shared" si="50"/>
        <v>1w</v>
      </c>
      <c r="W2656" s="200">
        <f>_xll.qlCalendarAdvance(Calendar,W2655,V2656,"f",FALSE)</f>
        <v>57516</v>
      </c>
      <c r="X2656" s="203">
        <f>_xll.qlCalendarAdvance(Calendar,W2656,NDays&amp;"D")</f>
        <v>57518</v>
      </c>
      <c r="Y2656" s="204">
        <v>2.0780918335977828E-2</v>
      </c>
      <c r="Z2656" s="201">
        <v>2.077001415843327E-2</v>
      </c>
    </row>
    <row r="2657" spans="22:26" x14ac:dyDescent="0.2">
      <c r="V2657" s="202" t="str">
        <f t="shared" si="50"/>
        <v>1w</v>
      </c>
      <c r="W2657" s="200">
        <f>_xll.qlCalendarAdvance(Calendar,W2656,V2657,"f",FALSE)</f>
        <v>57523</v>
      </c>
      <c r="X2657" s="203">
        <f>_xll.qlCalendarAdvance(Calendar,W2657,NDays&amp;"D")</f>
        <v>57525</v>
      </c>
      <c r="Y2657" s="204">
        <v>2.0778379708212003E-2</v>
      </c>
      <c r="Z2657" s="201">
        <v>2.0767069988538722E-2</v>
      </c>
    </row>
    <row r="2658" spans="22:26" x14ac:dyDescent="0.2">
      <c r="V2658" s="202" t="str">
        <f t="shared" si="50"/>
        <v>1w</v>
      </c>
      <c r="W2658" s="200">
        <f>_xll.qlCalendarAdvance(Calendar,W2657,V2658,"f",FALSE)</f>
        <v>57530</v>
      </c>
      <c r="X2658" s="203">
        <f>_xll.qlCalendarAdvance(Calendar,W2658,NDays&amp;"D")</f>
        <v>57532</v>
      </c>
      <c r="Y2658" s="204">
        <v>2.0775068983643716E-2</v>
      </c>
      <c r="Z2658" s="201">
        <v>2.0764135503483772E-2</v>
      </c>
    </row>
    <row r="2659" spans="22:26" x14ac:dyDescent="0.2">
      <c r="V2659" s="202" t="str">
        <f t="shared" si="50"/>
        <v>1w</v>
      </c>
      <c r="W2659" s="200">
        <f>_xll.qlCalendarAdvance(Calendar,W2658,V2659,"f",FALSE)</f>
        <v>57537</v>
      </c>
      <c r="X2659" s="203">
        <f>_xll.qlCalendarAdvance(Calendar,W2659,NDays&amp;"D")</f>
        <v>57539</v>
      </c>
      <c r="Y2659" s="204">
        <v>2.0772158859233881E-2</v>
      </c>
      <c r="Z2659" s="201">
        <v>2.0761210703348354E-2</v>
      </c>
    </row>
    <row r="2660" spans="22:26" x14ac:dyDescent="0.2">
      <c r="V2660" s="202" t="str">
        <f t="shared" si="50"/>
        <v>1w</v>
      </c>
      <c r="W2660" s="200">
        <f>_xll.qlCalendarAdvance(Calendar,W2659,V2660,"f",FALSE)</f>
        <v>57544</v>
      </c>
      <c r="X2660" s="203">
        <f>_xll.qlCalendarAdvance(Calendar,W2660,NDays&amp;"D")</f>
        <v>57546</v>
      </c>
      <c r="Y2660" s="204">
        <v>2.0769258435980053E-2</v>
      </c>
      <c r="Z2660" s="201">
        <v>2.0758295588052533E-2</v>
      </c>
    </row>
    <row r="2661" spans="22:26" x14ac:dyDescent="0.2">
      <c r="V2661" s="202" t="str">
        <f t="shared" si="50"/>
        <v>1w</v>
      </c>
      <c r="W2661" s="200">
        <f>_xll.qlCalendarAdvance(Calendar,W2660,V2661,"f",FALSE)</f>
        <v>57551</v>
      </c>
      <c r="X2661" s="203">
        <f>_xll.qlCalendarAdvance(Calendar,W2661,NDays&amp;"D")</f>
        <v>57553</v>
      </c>
      <c r="Y2661" s="204">
        <v>2.0766367713879651E-2</v>
      </c>
      <c r="Z2661" s="201">
        <v>2.075539015759631E-2</v>
      </c>
    </row>
    <row r="2662" spans="22:26" x14ac:dyDescent="0.2">
      <c r="V2662" s="202" t="str">
        <f t="shared" si="50"/>
        <v>1w</v>
      </c>
      <c r="W2662" s="200">
        <f>_xll.qlCalendarAdvance(Calendar,W2661,V2662,"f",FALSE)</f>
        <v>57558</v>
      </c>
      <c r="X2662" s="203">
        <f>_xll.qlCalendarAdvance(Calendar,W2662,NDays&amp;"D")</f>
        <v>57560</v>
      </c>
      <c r="Y2662" s="204">
        <v>2.0763486692927522E-2</v>
      </c>
      <c r="Z2662" s="201">
        <v>2.0752494412059619E-2</v>
      </c>
    </row>
    <row r="2663" spans="22:26" x14ac:dyDescent="0.2">
      <c r="V2663" s="202" t="str">
        <f t="shared" si="50"/>
        <v>1w</v>
      </c>
      <c r="W2663" s="200">
        <f>_xll.qlCalendarAdvance(Calendar,W2662,V2663,"f",FALSE)</f>
        <v>57565</v>
      </c>
      <c r="X2663" s="203">
        <f>_xll.qlCalendarAdvance(Calendar,W2663,NDays&amp;"D")</f>
        <v>57567</v>
      </c>
      <c r="Y2663" s="204">
        <v>2.0760615373110775E-2</v>
      </c>
      <c r="Z2663" s="201">
        <v>2.074960835133588E-2</v>
      </c>
    </row>
    <row r="2664" spans="22:26" x14ac:dyDescent="0.2">
      <c r="V2664" s="202" t="str">
        <f t="shared" si="50"/>
        <v>1w</v>
      </c>
      <c r="W2664" s="200">
        <f>_xll.qlCalendarAdvance(Calendar,W2663,V2664,"f",FALSE)</f>
        <v>57572</v>
      </c>
      <c r="X2664" s="203">
        <f>_xll.qlCalendarAdvance(Calendar,W2664,NDays&amp;"D")</f>
        <v>57574</v>
      </c>
      <c r="Y2664" s="204">
        <v>2.0757753754426823E-2</v>
      </c>
      <c r="Z2664" s="201">
        <v>2.0746731975451738E-2</v>
      </c>
    </row>
    <row r="2665" spans="22:26" x14ac:dyDescent="0.2">
      <c r="V2665" s="202" t="str">
        <f t="shared" si="50"/>
        <v>1w</v>
      </c>
      <c r="W2665" s="200">
        <f>_xll.qlCalendarAdvance(Calendar,W2664,V2665,"f",FALSE)</f>
        <v>57579</v>
      </c>
      <c r="X2665" s="203">
        <f>_xll.qlCalendarAdvance(Calendar,W2665,NDays&amp;"D")</f>
        <v>57581</v>
      </c>
      <c r="Y2665" s="204">
        <v>2.0754901836865361E-2</v>
      </c>
      <c r="Z2665" s="201">
        <v>2.0743865284433838E-2</v>
      </c>
    </row>
    <row r="2666" spans="22:26" x14ac:dyDescent="0.2">
      <c r="V2666" s="202" t="str">
        <f t="shared" si="50"/>
        <v>1w</v>
      </c>
      <c r="W2666" s="200">
        <f>_xll.qlCalendarAdvance(Calendar,W2665,V2666,"f",FALSE)</f>
        <v>57586</v>
      </c>
      <c r="X2666" s="203">
        <f>_xll.qlCalendarAdvance(Calendar,W2666,NDays&amp;"D")</f>
        <v>57588</v>
      </c>
      <c r="Y2666" s="204">
        <v>2.0750873089882153E-2</v>
      </c>
      <c r="Z2666" s="201">
        <v>2.074100827828218E-2</v>
      </c>
    </row>
    <row r="2667" spans="22:26" x14ac:dyDescent="0.2">
      <c r="V2667" s="202" t="str">
        <f t="shared" si="50"/>
        <v>1w</v>
      </c>
      <c r="W2667" s="200">
        <f>_xll.qlCalendarAdvance(Calendar,W2666,V2667,"f",FALSE)</f>
        <v>57593</v>
      </c>
      <c r="X2667" s="203">
        <f>_xll.qlCalendarAdvance(Calendar,W2667,NDays&amp;"D")</f>
        <v>57595</v>
      </c>
      <c r="Y2667" s="204">
        <v>2.0749227105089266E-2</v>
      </c>
      <c r="Z2667" s="201">
        <v>2.0738160956996765E-2</v>
      </c>
    </row>
    <row r="2668" spans="22:26" x14ac:dyDescent="0.2">
      <c r="V2668" s="202" t="str">
        <f t="shared" si="50"/>
        <v>1w</v>
      </c>
      <c r="W2668" s="200">
        <f>_xll.qlCalendarAdvance(Calendar,W2667,V2668,"f",FALSE)</f>
        <v>57600</v>
      </c>
      <c r="X2668" s="203">
        <f>_xll.qlCalendarAdvance(Calendar,W2668,NDays&amp;"D")</f>
        <v>57602</v>
      </c>
      <c r="Y2668" s="204">
        <v>2.0746404290859159E-2</v>
      </c>
      <c r="Z2668" s="201">
        <v>2.0735323320550947E-2</v>
      </c>
    </row>
    <row r="2669" spans="22:26" x14ac:dyDescent="0.2">
      <c r="V2669" s="202" t="str">
        <f t="shared" si="50"/>
        <v>1w</v>
      </c>
      <c r="W2669" s="200">
        <f>_xll.qlCalendarAdvance(Calendar,W2668,V2669,"f",FALSE)</f>
        <v>57607</v>
      </c>
      <c r="X2669" s="203">
        <f>_xll.qlCalendarAdvance(Calendar,W2669,NDays&amp;"D")</f>
        <v>57609</v>
      </c>
      <c r="Y2669" s="204">
        <v>2.0743591177723175E-2</v>
      </c>
      <c r="Z2669" s="201">
        <v>2.0732495368944726E-2</v>
      </c>
    </row>
    <row r="2670" spans="22:26" x14ac:dyDescent="0.2">
      <c r="V2670" s="202" t="str">
        <f t="shared" si="50"/>
        <v>1w</v>
      </c>
      <c r="W2670" s="200">
        <f>_xll.qlCalendarAdvance(Calendar,W2669,V2670,"f",FALSE)</f>
        <v>57614</v>
      </c>
      <c r="X2670" s="203">
        <f>_xll.qlCalendarAdvance(Calendar,W2670,NDays&amp;"D")</f>
        <v>57616</v>
      </c>
      <c r="Y2670" s="204">
        <v>2.0741583360387755E-2</v>
      </c>
      <c r="Z2670" s="201">
        <v>2.0729677102258037E-2</v>
      </c>
    </row>
    <row r="2671" spans="22:26" x14ac:dyDescent="0.2">
      <c r="V2671" s="202" t="str">
        <f t="shared" si="50"/>
        <v>1w</v>
      </c>
      <c r="W2671" s="200">
        <f>_xll.qlCalendarAdvance(Calendar,W2670,V2671,"f",FALSE)</f>
        <v>57621</v>
      </c>
      <c r="X2671" s="203">
        <f>_xll.qlCalendarAdvance(Calendar,W2671,NDays&amp;"D")</f>
        <v>57623</v>
      </c>
      <c r="Y2671" s="204">
        <v>2.0737994054710364E-2</v>
      </c>
      <c r="Z2671" s="201">
        <v>2.0726868520357655E-2</v>
      </c>
    </row>
    <row r="2672" spans="22:26" x14ac:dyDescent="0.2">
      <c r="V2672" s="202" t="str">
        <f t="shared" si="50"/>
        <v>1w</v>
      </c>
      <c r="W2672" s="200">
        <f>_xll.qlCalendarAdvance(Calendar,W2671,V2672,"f",FALSE)</f>
        <v>57628</v>
      </c>
      <c r="X2672" s="203">
        <f>_xll.qlCalendarAdvance(Calendar,W2672,NDays&amp;"D")</f>
        <v>57630</v>
      </c>
      <c r="Y2672" s="204">
        <v>2.0735210044823225E-2</v>
      </c>
      <c r="Z2672" s="201">
        <v>2.0724069623350161E-2</v>
      </c>
    </row>
    <row r="2673" spans="22:26" x14ac:dyDescent="0.2">
      <c r="V2673" s="202" t="str">
        <f t="shared" si="50"/>
        <v>1w</v>
      </c>
      <c r="W2673" s="200">
        <f>_xll.qlCalendarAdvance(Calendar,W2672,V2673,"f",FALSE)</f>
        <v>57635</v>
      </c>
      <c r="X2673" s="203">
        <f>_xll.qlCalendarAdvance(Calendar,W2673,NDays&amp;"D")</f>
        <v>57637</v>
      </c>
      <c r="Y2673" s="204">
        <v>2.0732435735999262E-2</v>
      </c>
      <c r="Z2673" s="201">
        <v>2.0721280411155618E-2</v>
      </c>
    </row>
    <row r="2674" spans="22:26" x14ac:dyDescent="0.2">
      <c r="V2674" s="202" t="str">
        <f t="shared" si="50"/>
        <v>1w</v>
      </c>
      <c r="W2674" s="200">
        <f>_xll.qlCalendarAdvance(Calendar,W2673,V2674,"f",FALSE)</f>
        <v>57642</v>
      </c>
      <c r="X2674" s="203">
        <f>_xll.qlCalendarAdvance(Calendar,W2674,NDays&amp;"D")</f>
        <v>57644</v>
      </c>
      <c r="Y2674" s="204">
        <v>2.0729671128235899E-2</v>
      </c>
      <c r="Z2674" s="201">
        <v>2.0718500883827318E-2</v>
      </c>
    </row>
    <row r="2675" spans="22:26" x14ac:dyDescent="0.2">
      <c r="V2675" s="202" t="str">
        <f t="shared" si="50"/>
        <v>1w</v>
      </c>
      <c r="W2675" s="200">
        <f>_xll.qlCalendarAdvance(Calendar,W2674,V2675,"f",FALSE)</f>
        <v>57649</v>
      </c>
      <c r="X2675" s="203">
        <f>_xll.qlCalendarAdvance(Calendar,W2675,NDays&amp;"D")</f>
        <v>57651</v>
      </c>
      <c r="Y2675" s="204">
        <v>2.0726916221527981E-2</v>
      </c>
      <c r="Z2675" s="201">
        <v>2.0715731041338614E-2</v>
      </c>
    </row>
    <row r="2676" spans="22:26" x14ac:dyDescent="0.2">
      <c r="V2676" s="202" t="str">
        <f t="shared" si="50"/>
        <v>1w</v>
      </c>
      <c r="W2676" s="200">
        <f>_xll.qlCalendarAdvance(Calendar,W2675,V2676,"f",FALSE)</f>
        <v>57656</v>
      </c>
      <c r="X2676" s="203">
        <f>_xll.qlCalendarAdvance(Calendar,W2676,NDays&amp;"D")</f>
        <v>57658</v>
      </c>
      <c r="Y2676" s="204">
        <v>2.0724171015867768E-2</v>
      </c>
      <c r="Z2676" s="201">
        <v>2.0712970883716153E-2</v>
      </c>
    </row>
    <row r="2677" spans="22:26" x14ac:dyDescent="0.2">
      <c r="V2677" s="202" t="str">
        <f t="shared" si="50"/>
        <v>1w</v>
      </c>
      <c r="W2677" s="200">
        <f>_xll.qlCalendarAdvance(Calendar,W2676,V2677,"f",FALSE)</f>
        <v>57663</v>
      </c>
      <c r="X2677" s="203">
        <f>_xll.qlCalendarAdvance(Calendar,W2677,NDays&amp;"D")</f>
        <v>57665</v>
      </c>
      <c r="Y2677" s="204">
        <v>2.0721435511247527E-2</v>
      </c>
      <c r="Z2677" s="201">
        <v>2.0710220410959934E-2</v>
      </c>
    </row>
    <row r="2678" spans="22:26" x14ac:dyDescent="0.2">
      <c r="V2678" s="202" t="str">
        <f t="shared" si="50"/>
        <v>1w</v>
      </c>
      <c r="W2678" s="200">
        <f>_xll.qlCalendarAdvance(Calendar,W2677,V2678,"f",FALSE)</f>
        <v>57670</v>
      </c>
      <c r="X2678" s="203">
        <f>_xll.qlCalendarAdvance(Calendar,W2678,NDays&amp;"D")</f>
        <v>57672</v>
      </c>
      <c r="Y2678" s="204">
        <v>2.0718709707656945E-2</v>
      </c>
      <c r="Z2678" s="201">
        <v>2.0707479623016667E-2</v>
      </c>
    </row>
    <row r="2679" spans="22:26" x14ac:dyDescent="0.2">
      <c r="V2679" s="202" t="str">
        <f t="shared" si="50"/>
        <v>1w</v>
      </c>
      <c r="W2679" s="200">
        <f>_xll.qlCalendarAdvance(Calendar,W2678,V2679,"f",FALSE)</f>
        <v>57677</v>
      </c>
      <c r="X2679" s="203">
        <f>_xll.qlCalendarAdvance(Calendar,W2679,NDays&amp;"D")</f>
        <v>57679</v>
      </c>
      <c r="Y2679" s="204">
        <v>2.0715993605096017E-2</v>
      </c>
      <c r="Z2679" s="201">
        <v>2.0704748519939642E-2</v>
      </c>
    </row>
    <row r="2680" spans="22:26" x14ac:dyDescent="0.2">
      <c r="V2680" s="202" t="str">
        <f t="shared" si="50"/>
        <v>1w</v>
      </c>
      <c r="W2680" s="200">
        <f>_xll.qlCalendarAdvance(Calendar,W2679,V2680,"f",FALSE)</f>
        <v>57684</v>
      </c>
      <c r="X2680" s="203">
        <f>_xll.qlCalendarAdvance(Calendar,W2680,NDays&amp;"D")</f>
        <v>57686</v>
      </c>
      <c r="Y2680" s="204">
        <v>2.0713287203554434E-2</v>
      </c>
      <c r="Z2680" s="201">
        <v>2.0702027101702214E-2</v>
      </c>
    </row>
    <row r="2681" spans="22:26" x14ac:dyDescent="0.2">
      <c r="V2681" s="202" t="str">
        <f t="shared" si="50"/>
        <v>1w</v>
      </c>
      <c r="W2681" s="200">
        <f>_xll.qlCalendarAdvance(Calendar,W2680,V2681,"f",FALSE)</f>
        <v>57691</v>
      </c>
      <c r="X2681" s="203">
        <f>_xll.qlCalendarAdvance(Calendar,W2681,NDays&amp;"D")</f>
        <v>57693</v>
      </c>
      <c r="Y2681" s="204">
        <v>2.0710590503024456E-2</v>
      </c>
      <c r="Z2681" s="201">
        <v>2.0699315368331028E-2</v>
      </c>
    </row>
    <row r="2682" spans="22:26" x14ac:dyDescent="0.2">
      <c r="V2682" s="202" t="str">
        <f t="shared" si="50"/>
        <v>1w</v>
      </c>
      <c r="W2682" s="200">
        <f>_xll.qlCalendarAdvance(Calendar,W2681,V2682,"f",FALSE)</f>
        <v>57698</v>
      </c>
      <c r="X2682" s="203">
        <f>_xll.qlCalendarAdvance(Calendar,W2682,NDays&amp;"D")</f>
        <v>57700</v>
      </c>
      <c r="Y2682" s="204">
        <v>2.0707903503500928E-2</v>
      </c>
      <c r="Z2682" s="201">
        <v>2.0696613319746149E-2</v>
      </c>
    </row>
    <row r="2683" spans="22:26" x14ac:dyDescent="0.2">
      <c r="V2683" s="202" t="str">
        <f t="shared" si="50"/>
        <v>1w</v>
      </c>
      <c r="W2683" s="200">
        <f>_xll.qlCalendarAdvance(Calendar,W2682,V2683,"f",FALSE)</f>
        <v>57706</v>
      </c>
      <c r="X2683" s="203">
        <f>_xll.qlCalendarAdvance(Calendar,W2683,NDays&amp;"D")</f>
        <v>57710</v>
      </c>
      <c r="Y2683" s="204">
        <v>2.070408176101458E-2</v>
      </c>
      <c r="Z2683" s="201">
        <v>2.069236702876065E-2</v>
      </c>
    </row>
    <row r="2684" spans="22:26" x14ac:dyDescent="0.2">
      <c r="V2684" s="202" t="str">
        <f t="shared" si="50"/>
        <v>1w</v>
      </c>
      <c r="W2684" s="200">
        <f>_xll.qlCalendarAdvance(Calendar,W2683,V2684,"f",FALSE)</f>
        <v>57713</v>
      </c>
      <c r="X2684" s="203">
        <f>_xll.qlCalendarAdvance(Calendar,W2684,NDays&amp;"D")</f>
        <v>57717</v>
      </c>
      <c r="Y2684" s="204">
        <v>2.0701418321050519E-2</v>
      </c>
      <c r="Z2684" s="201">
        <v>2.0689284469712632E-2</v>
      </c>
    </row>
    <row r="2685" spans="22:26" x14ac:dyDescent="0.2">
      <c r="V2685" s="202" t="str">
        <f t="shared" si="50"/>
        <v>1w</v>
      </c>
      <c r="W2685" s="200">
        <f>_xll.qlCalendarAdvance(Calendar,W2684,V2685,"f",FALSE)</f>
        <v>57720</v>
      </c>
      <c r="X2685" s="203">
        <f>_xll.qlCalendarAdvance(Calendar,W2685,NDays&amp;"D")</f>
        <v>57724</v>
      </c>
      <c r="Y2685" s="204">
        <v>2.0698764582067118E-2</v>
      </c>
      <c r="Z2685" s="201">
        <v>2.0686614549667581E-2</v>
      </c>
    </row>
    <row r="2686" spans="22:26" x14ac:dyDescent="0.2">
      <c r="V2686" s="202" t="str">
        <f t="shared" si="50"/>
        <v>1w</v>
      </c>
      <c r="W2686" s="200">
        <f>_xll.qlCalendarAdvance(Calendar,W2685,V2686,"f",FALSE)</f>
        <v>57727</v>
      </c>
      <c r="X2686" s="203">
        <f>_xll.qlCalendarAdvance(Calendar,W2686,NDays&amp;"D")</f>
        <v>57731</v>
      </c>
      <c r="Y2686" s="204">
        <v>2.0696120544064382E-2</v>
      </c>
      <c r="Z2686" s="201">
        <v>2.0683954313396313E-2</v>
      </c>
    </row>
    <row r="2687" spans="22:26" x14ac:dyDescent="0.2">
      <c r="V2687" s="202" t="str">
        <f t="shared" si="50"/>
        <v>1w</v>
      </c>
      <c r="W2687" s="200">
        <f>_xll.qlCalendarAdvance(Calendar,W2686,V2687,"f",FALSE)</f>
        <v>57734</v>
      </c>
      <c r="X2687" s="203">
        <f>_xll.qlCalendarAdvance(Calendar,W2687,NDays&amp;"D")</f>
        <v>57738</v>
      </c>
      <c r="Y2687" s="204">
        <v>2.0693486207026841E-2</v>
      </c>
      <c r="Z2687" s="201">
        <v>2.068130376065902E-2</v>
      </c>
    </row>
    <row r="2688" spans="22:26" x14ac:dyDescent="0.2">
      <c r="V2688" s="202" t="str">
        <f t="shared" si="50"/>
        <v>1w</v>
      </c>
      <c r="W2688" s="200">
        <f>_xll.qlCalendarAdvance(Calendar,W2687,V2688,"f",FALSE)</f>
        <v>57741</v>
      </c>
      <c r="X2688" s="203">
        <f>_xll.qlCalendarAdvance(Calendar,W2688,NDays&amp;"D")</f>
        <v>57745</v>
      </c>
      <c r="Y2688" s="204">
        <v>2.0689638981689549E-2</v>
      </c>
      <c r="Z2688" s="201">
        <v>2.0678662891615573E-2</v>
      </c>
    </row>
    <row r="2689" spans="22:26" x14ac:dyDescent="0.2">
      <c r="V2689" s="202" t="str">
        <f t="shared" si="50"/>
        <v>1w</v>
      </c>
      <c r="W2689" s="200">
        <f>_xll.qlCalendarAdvance(Calendar,W2688,V2689,"f",FALSE)</f>
        <v>57748</v>
      </c>
      <c r="X2689" s="203">
        <f>_xll.qlCalendarAdvance(Calendar,W2689,NDays&amp;"D")</f>
        <v>57752</v>
      </c>
      <c r="Y2689" s="204">
        <v>2.0687022418577655E-2</v>
      </c>
      <c r="Z2689" s="201">
        <v>2.067603170634591E-2</v>
      </c>
    </row>
    <row r="2690" spans="22:26" x14ac:dyDescent="0.2">
      <c r="V2690" s="202" t="str">
        <f t="shared" si="50"/>
        <v>1w</v>
      </c>
      <c r="W2690" s="200">
        <f>_xll.qlCalendarAdvance(Calendar,W2689,V2690,"f",FALSE)</f>
        <v>57755</v>
      </c>
      <c r="X2690" s="203">
        <f>_xll.qlCalendarAdvance(Calendar,W2690,NDays&amp;"D")</f>
        <v>57759</v>
      </c>
      <c r="Y2690" s="204">
        <v>2.0684415554690042E-2</v>
      </c>
      <c r="Z2690" s="201">
        <v>2.0673410204850029E-2</v>
      </c>
    </row>
    <row r="2691" spans="22:26" x14ac:dyDescent="0.2">
      <c r="V2691" s="202" t="str">
        <f t="shared" si="50"/>
        <v>1w</v>
      </c>
      <c r="W2691" s="200">
        <f>_xll.qlCalendarAdvance(Calendar,W2690,V2691,"f",FALSE)</f>
        <v>57762</v>
      </c>
      <c r="X2691" s="203">
        <f>_xll.qlCalendarAdvance(Calendar,W2691,NDays&amp;"D")</f>
        <v>57766</v>
      </c>
      <c r="Y2691" s="204">
        <v>2.0681818390018147E-2</v>
      </c>
      <c r="Z2691" s="201">
        <v>2.0670798386888123E-2</v>
      </c>
    </row>
    <row r="2692" spans="22:26" x14ac:dyDescent="0.2">
      <c r="V2692" s="202" t="str">
        <f t="shared" si="50"/>
        <v>1w</v>
      </c>
      <c r="W2692" s="200">
        <f>_xll.qlCalendarAdvance(Calendar,W2691,V2692,"f",FALSE)</f>
        <v>57769</v>
      </c>
      <c r="X2692" s="203">
        <f>_xll.qlCalendarAdvance(Calendar,W2692,NDays&amp;"D")</f>
        <v>57773</v>
      </c>
      <c r="Y2692" s="204">
        <v>2.0680460036164878E-2</v>
      </c>
      <c r="Z2692" s="201">
        <v>2.0668196252620064E-2</v>
      </c>
    </row>
    <row r="2693" spans="22:26" x14ac:dyDescent="0.2">
      <c r="V2693" s="202" t="str">
        <f t="shared" si="50"/>
        <v>1w</v>
      </c>
      <c r="W2693" s="200">
        <f>_xll.qlCalendarAdvance(Calendar,W2692,V2693,"f",FALSE)</f>
        <v>57776</v>
      </c>
      <c r="X2693" s="203">
        <f>_xll.qlCalendarAdvance(Calendar,W2693,NDays&amp;"D")</f>
        <v>57780</v>
      </c>
      <c r="Y2693" s="204">
        <v>2.067788390481019E-2</v>
      </c>
      <c r="Z2693" s="201">
        <v>2.0665603802205723E-2</v>
      </c>
    </row>
    <row r="2694" spans="22:26" x14ac:dyDescent="0.2">
      <c r="V2694" s="202" t="str">
        <f t="shared" si="50"/>
        <v>1w</v>
      </c>
      <c r="W2694" s="200">
        <f>_xll.qlCalendarAdvance(Calendar,W2693,V2694,"f",FALSE)</f>
        <v>57783</v>
      </c>
      <c r="X2694" s="203">
        <f>_xll.qlCalendarAdvance(Calendar,W2694,NDays&amp;"D")</f>
        <v>57787</v>
      </c>
      <c r="Y2694" s="204">
        <v>2.0675317474382015E-2</v>
      </c>
      <c r="Z2694" s="201">
        <v>2.0663021035325357E-2</v>
      </c>
    </row>
    <row r="2695" spans="22:26" x14ac:dyDescent="0.2">
      <c r="V2695" s="202" t="str">
        <f t="shared" si="50"/>
        <v>1w</v>
      </c>
      <c r="W2695" s="200">
        <f>_xll.qlCalendarAdvance(Calendar,W2694,V2695,"f",FALSE)</f>
        <v>57790</v>
      </c>
      <c r="X2695" s="203">
        <f>_xll.qlCalendarAdvance(Calendar,W2695,NDays&amp;"D")</f>
        <v>57794</v>
      </c>
      <c r="Y2695" s="204">
        <v>2.0672760744870039E-2</v>
      </c>
      <c r="Z2695" s="201">
        <v>2.0660447952138838E-2</v>
      </c>
    </row>
    <row r="2696" spans="22:26" x14ac:dyDescent="0.2">
      <c r="V2696" s="202" t="str">
        <f t="shared" si="50"/>
        <v>1w</v>
      </c>
      <c r="W2696" s="200">
        <f>_xll.qlCalendarAdvance(Calendar,W2695,V2696,"f",FALSE)</f>
        <v>57797</v>
      </c>
      <c r="X2696" s="203">
        <f>_xll.qlCalendarAdvance(Calendar,W2696,NDays&amp;"D")</f>
        <v>57801</v>
      </c>
      <c r="Y2696" s="204">
        <v>2.0670213716271684E-2</v>
      </c>
      <c r="Z2696" s="201">
        <v>2.0657884552726102E-2</v>
      </c>
    </row>
    <row r="2697" spans="22:26" x14ac:dyDescent="0.2">
      <c r="V2697" s="202" t="str">
        <f t="shared" si="50"/>
        <v>1w</v>
      </c>
      <c r="W2697" s="200">
        <f>_xll.qlCalendarAdvance(Calendar,W2696,V2697,"f",FALSE)</f>
        <v>57804</v>
      </c>
      <c r="X2697" s="203">
        <f>_xll.qlCalendarAdvance(Calendar,W2697,NDays&amp;"D")</f>
        <v>57808</v>
      </c>
      <c r="Y2697" s="204">
        <v>2.0667263886172016E-2</v>
      </c>
      <c r="Z2697" s="201">
        <v>2.0655330837007213E-2</v>
      </c>
    </row>
    <row r="2698" spans="22:26" x14ac:dyDescent="0.2">
      <c r="V2698" s="202" t="str">
        <f t="shared" si="50"/>
        <v>1w</v>
      </c>
      <c r="W2698" s="200">
        <f>_xll.qlCalendarAdvance(Calendar,W2697,V2698,"f",FALSE)</f>
        <v>57811</v>
      </c>
      <c r="X2698" s="203">
        <f>_xll.qlCalendarAdvance(Calendar,W2698,NDays&amp;"D")</f>
        <v>57817</v>
      </c>
      <c r="Y2698" s="204">
        <v>2.0664015157523252E-2</v>
      </c>
      <c r="Z2698" s="201">
        <v>2.0652061717152392E-2</v>
      </c>
    </row>
    <row r="2699" spans="22:26" x14ac:dyDescent="0.2">
      <c r="V2699" s="202" t="str">
        <f t="shared" si="50"/>
        <v>1w</v>
      </c>
      <c r="W2699" s="200">
        <f>_xll.qlCalendarAdvance(Calendar,W2698,V2699,"f",FALSE)</f>
        <v>57818</v>
      </c>
      <c r="X2699" s="203">
        <f>_xll.qlCalendarAdvance(Calendar,W2699,NDays&amp;"D")</f>
        <v>57822</v>
      </c>
      <c r="Y2699" s="204">
        <v>2.0662217237076064E-2</v>
      </c>
      <c r="Z2699" s="201">
        <v>2.0650252456491103E-2</v>
      </c>
    </row>
    <row r="2700" spans="22:26" x14ac:dyDescent="0.2">
      <c r="V2700" s="202" t="str">
        <f t="shared" si="50"/>
        <v>1w</v>
      </c>
      <c r="W2700" s="200">
        <f>_xll.qlCalendarAdvance(Calendar,W2699,V2700,"f",FALSE)</f>
        <v>57825</v>
      </c>
      <c r="X2700" s="203">
        <f>_xll.qlCalendarAdvance(Calendar,W2700,NDays&amp;"D")</f>
        <v>57829</v>
      </c>
      <c r="Y2700" s="204">
        <v>2.0659708462999582E-2</v>
      </c>
      <c r="Z2700" s="201">
        <v>2.0647727791853754E-2</v>
      </c>
    </row>
    <row r="2701" spans="22:26" x14ac:dyDescent="0.2">
      <c r="V2701" s="202" t="str">
        <f t="shared" si="50"/>
        <v>1w</v>
      </c>
      <c r="W2701" s="200">
        <f>_xll.qlCalendarAdvance(Calendar,W2700,V2701,"f",FALSE)</f>
        <v>57832</v>
      </c>
      <c r="X2701" s="203">
        <f>_xll.qlCalendarAdvance(Calendar,W2701,NDays&amp;"D")</f>
        <v>57836</v>
      </c>
      <c r="Y2701" s="204">
        <v>2.0657624086713473E-2</v>
      </c>
      <c r="Z2701" s="201">
        <v>2.064521281075038E-2</v>
      </c>
    </row>
    <row r="2702" spans="22:26" x14ac:dyDescent="0.2">
      <c r="V2702" s="202" t="str">
        <f t="shared" si="50"/>
        <v>1w</v>
      </c>
      <c r="W2702" s="200">
        <f>_xll.qlCalendarAdvance(Calendar,W2701,V2702,"f",FALSE)</f>
        <v>57839</v>
      </c>
      <c r="X2702" s="203">
        <f>_xll.qlCalendarAdvance(Calendar,W2702,NDays&amp;"D")</f>
        <v>57843</v>
      </c>
      <c r="Y2702" s="204">
        <v>2.0655135263449864E-2</v>
      </c>
      <c r="Z2702" s="201">
        <v>2.0642707513420788E-2</v>
      </c>
    </row>
    <row r="2703" spans="22:26" x14ac:dyDescent="0.2">
      <c r="V2703" s="202" t="str">
        <f t="shared" si="50"/>
        <v>1w</v>
      </c>
      <c r="W2703" s="200">
        <f>_xll.qlCalendarAdvance(Calendar,W2702,V2703,"f",FALSE)</f>
        <v>57846</v>
      </c>
      <c r="X2703" s="203">
        <f>_xll.qlCalendarAdvance(Calendar,W2703,NDays&amp;"D")</f>
        <v>57850</v>
      </c>
      <c r="Y2703" s="204">
        <v>2.0652656141053462E-2</v>
      </c>
      <c r="Z2703" s="201">
        <v>2.0640211899785044E-2</v>
      </c>
    </row>
    <row r="2704" spans="22:26" x14ac:dyDescent="0.2">
      <c r="V2704" s="202" t="str">
        <f t="shared" si="50"/>
        <v>1w</v>
      </c>
      <c r="W2704" s="200">
        <f>_xll.qlCalendarAdvance(Calendar,W2703,V2704,"f",FALSE)</f>
        <v>57853</v>
      </c>
      <c r="X2704" s="203">
        <f>_xll.qlCalendarAdvance(Calendar,W2704,NDays&amp;"D")</f>
        <v>57857</v>
      </c>
      <c r="Y2704" s="204">
        <v>2.0650186719513949E-2</v>
      </c>
      <c r="Z2704" s="201">
        <v>2.063772596976321E-2</v>
      </c>
    </row>
    <row r="2705" spans="22:26" x14ac:dyDescent="0.2">
      <c r="V2705" s="202" t="str">
        <f t="shared" si="50"/>
        <v>1w</v>
      </c>
      <c r="W2705" s="200">
        <f>_xll.qlCalendarAdvance(Calendar,W2704,V2705,"f",FALSE)</f>
        <v>57860</v>
      </c>
      <c r="X2705" s="203">
        <f>_xll.qlCalendarAdvance(Calendar,W2705,NDays&amp;"D")</f>
        <v>57864</v>
      </c>
      <c r="Y2705" s="204">
        <v>2.0647310097100302E-2</v>
      </c>
      <c r="Z2705" s="201">
        <v>2.0635249723515159E-2</v>
      </c>
    </row>
    <row r="2706" spans="22:26" x14ac:dyDescent="0.2">
      <c r="V2706" s="202" t="str">
        <f t="shared" si="50"/>
        <v>1w</v>
      </c>
      <c r="W2706" s="200">
        <f>_xll.qlCalendarAdvance(Calendar,W2705,V2706,"f",FALSE)</f>
        <v>57867</v>
      </c>
      <c r="X2706" s="203">
        <f>_xll.qlCalendarAdvance(Calendar,W2706,NDays&amp;"D")</f>
        <v>57871</v>
      </c>
      <c r="Y2706" s="204">
        <v>2.0644859524771242E-2</v>
      </c>
      <c r="Z2706" s="201">
        <v>2.0632783160960955E-2</v>
      </c>
    </row>
    <row r="2707" spans="22:26" x14ac:dyDescent="0.2">
      <c r="V2707" s="202" t="str">
        <f t="shared" si="50"/>
        <v>1w</v>
      </c>
      <c r="W2707" s="200">
        <f>_xll.qlCalendarAdvance(Calendar,W2706,V2707,"f",FALSE)</f>
        <v>57874</v>
      </c>
      <c r="X2707" s="203">
        <f>_xll.qlCalendarAdvance(Calendar,W2707,NDays&amp;"D")</f>
        <v>57878</v>
      </c>
      <c r="Y2707" s="204">
        <v>2.0642418652720096E-2</v>
      </c>
      <c r="Z2707" s="201">
        <v>2.0630326282100597E-2</v>
      </c>
    </row>
    <row r="2708" spans="22:26" x14ac:dyDescent="0.2">
      <c r="V2708" s="202" t="str">
        <f t="shared" si="50"/>
        <v>1w</v>
      </c>
      <c r="W2708" s="200">
        <f>_xll.qlCalendarAdvance(Calendar,W2707,V2708,"f",FALSE)</f>
        <v>57881</v>
      </c>
      <c r="X2708" s="203">
        <f>_xll.qlCalendarAdvance(Calendar,W2708,NDays&amp;"D")</f>
        <v>57885</v>
      </c>
      <c r="Y2708" s="204">
        <v>2.0639987480928212E-2</v>
      </c>
      <c r="Z2708" s="201">
        <v>2.0627879086854151E-2</v>
      </c>
    </row>
    <row r="2709" spans="22:26" x14ac:dyDescent="0.2">
      <c r="V2709" s="202" t="str">
        <f t="shared" ref="V2709:V2772" si="51">V2708</f>
        <v>1w</v>
      </c>
      <c r="W2709" s="200">
        <f>_xll.qlCalendarAdvance(Calendar,W2708,V2709,"f",FALSE)</f>
        <v>57888</v>
      </c>
      <c r="X2709" s="203">
        <f>_xll.qlCalendarAdvance(Calendar,W2709,NDays&amp;"D")</f>
        <v>57892</v>
      </c>
      <c r="Y2709" s="204">
        <v>2.0637985124533111E-2</v>
      </c>
      <c r="Z2709" s="201">
        <v>2.0625441575221615E-2</v>
      </c>
    </row>
    <row r="2710" spans="22:26" x14ac:dyDescent="0.2">
      <c r="V2710" s="202" t="str">
        <f t="shared" si="51"/>
        <v>1w</v>
      </c>
      <c r="W2710" s="200">
        <f>_xll.qlCalendarAdvance(Calendar,W2709,V2710,"f",FALSE)</f>
        <v>57895</v>
      </c>
      <c r="X2710" s="203">
        <f>_xll.qlCalendarAdvance(Calendar,W2710,NDays&amp;"D")</f>
        <v>57899</v>
      </c>
      <c r="Y2710" s="204">
        <v>2.0635573908036966E-2</v>
      </c>
      <c r="Z2710" s="201">
        <v>2.0623013747362862E-2</v>
      </c>
    </row>
    <row r="2711" spans="22:26" x14ac:dyDescent="0.2">
      <c r="V2711" s="202" t="str">
        <f t="shared" si="51"/>
        <v>1w</v>
      </c>
      <c r="W2711" s="200">
        <f>_xll.qlCalendarAdvance(Calendar,W2710,V2711,"f",FALSE)</f>
        <v>57902</v>
      </c>
      <c r="X2711" s="203">
        <f>_xll.qlCalendarAdvance(Calendar,W2711,NDays&amp;"D")</f>
        <v>57906</v>
      </c>
      <c r="Y2711" s="204">
        <v>2.0633172392353877E-2</v>
      </c>
      <c r="Z2711" s="201">
        <v>2.0620595603357827E-2</v>
      </c>
    </row>
    <row r="2712" spans="22:26" x14ac:dyDescent="0.2">
      <c r="V2712" s="202" t="str">
        <f t="shared" si="51"/>
        <v>1w</v>
      </c>
      <c r="W2712" s="200">
        <f>_xll.qlCalendarAdvance(Calendar,W2711,V2712,"f",FALSE)</f>
        <v>57909</v>
      </c>
      <c r="X2712" s="203">
        <f>_xll.qlCalendarAdvance(Calendar,W2712,NDays&amp;"D")</f>
        <v>57913</v>
      </c>
      <c r="Y2712" s="204">
        <v>2.0630780577489002E-2</v>
      </c>
      <c r="Z2712" s="201">
        <v>2.0618187142886768E-2</v>
      </c>
    </row>
    <row r="2713" spans="22:26" x14ac:dyDescent="0.2">
      <c r="V2713" s="202" t="str">
        <f t="shared" si="51"/>
        <v>1w</v>
      </c>
      <c r="W2713" s="200">
        <f>_xll.qlCalendarAdvance(Calendar,W2712,V2713,"f",FALSE)</f>
        <v>57916</v>
      </c>
      <c r="X2713" s="203">
        <f>_xll.qlCalendarAdvance(Calendar,W2713,NDays&amp;"D")</f>
        <v>57920</v>
      </c>
      <c r="Y2713" s="204">
        <v>2.0628398463424291E-2</v>
      </c>
      <c r="Z2713" s="201">
        <v>2.0615788365949683E-2</v>
      </c>
    </row>
    <row r="2714" spans="22:26" x14ac:dyDescent="0.2">
      <c r="V2714" s="202" t="str">
        <f t="shared" si="51"/>
        <v>1w</v>
      </c>
      <c r="W2714" s="200">
        <f>_xll.qlCalendarAdvance(Calendar,W2713,V2714,"f",FALSE)</f>
        <v>57923</v>
      </c>
      <c r="X2714" s="203">
        <f>_xll.qlCalendarAdvance(Calendar,W2714,NDays&amp;"D")</f>
        <v>57927</v>
      </c>
      <c r="Y2714" s="204">
        <v>2.0626026050164899E-2</v>
      </c>
      <c r="Z2714" s="201">
        <v>2.0613399272946253E-2</v>
      </c>
    </row>
    <row r="2715" spans="22:26" x14ac:dyDescent="0.2">
      <c r="V2715" s="202" t="str">
        <f t="shared" si="51"/>
        <v>1w</v>
      </c>
      <c r="W2715" s="200">
        <f>_xll.qlCalendarAdvance(Calendar,W2714,V2715,"f",FALSE)</f>
        <v>57930</v>
      </c>
      <c r="X2715" s="203">
        <f>_xll.qlCalendarAdvance(Calendar,W2715,NDays&amp;"D")</f>
        <v>57934</v>
      </c>
      <c r="Y2715" s="204">
        <v>2.0623663337697933E-2</v>
      </c>
      <c r="Z2715" s="201">
        <v>2.0611019863556734E-2</v>
      </c>
    </row>
    <row r="2716" spans="22:26" x14ac:dyDescent="0.2">
      <c r="V2716" s="202" t="str">
        <f t="shared" si="51"/>
        <v>1w</v>
      </c>
      <c r="W2716" s="200">
        <f>_xll.qlCalendarAdvance(Calendar,W2715,V2716,"f",FALSE)</f>
        <v>57937</v>
      </c>
      <c r="X2716" s="203">
        <f>_xll.qlCalendarAdvance(Calendar,W2716,NDays&amp;"D")</f>
        <v>57941</v>
      </c>
      <c r="Y2716" s="204">
        <v>2.0621310326018237E-2</v>
      </c>
      <c r="Z2716" s="201">
        <v>2.0608650137781126E-2</v>
      </c>
    </row>
    <row r="2717" spans="22:26" x14ac:dyDescent="0.2">
      <c r="V2717" s="202" t="str">
        <f t="shared" si="51"/>
        <v>1w</v>
      </c>
      <c r="W2717" s="200">
        <f>_xll.qlCalendarAdvance(Calendar,W2716,V2717,"f",FALSE)</f>
        <v>57944</v>
      </c>
      <c r="X2717" s="203">
        <f>_xll.qlCalendarAdvance(Calendar,W2717,NDays&amp;"D")</f>
        <v>57948</v>
      </c>
      <c r="Y2717" s="204">
        <v>2.0618967015125812E-2</v>
      </c>
      <c r="Z2717" s="201">
        <v>2.0606290095699364E-2</v>
      </c>
    </row>
    <row r="2718" spans="22:26" x14ac:dyDescent="0.2">
      <c r="V2718" s="202" t="str">
        <f t="shared" si="51"/>
        <v>1w</v>
      </c>
      <c r="W2718" s="200">
        <f>_xll.qlCalendarAdvance(Calendar,W2717,V2718,"f",FALSE)</f>
        <v>57951</v>
      </c>
      <c r="X2718" s="203">
        <f>_xll.qlCalendarAdvance(Calendar,W2718,NDays&amp;"D")</f>
        <v>57955</v>
      </c>
      <c r="Y2718" s="204">
        <v>2.0616209276301589E-2</v>
      </c>
      <c r="Z2718" s="201">
        <v>2.0603939737391386E-2</v>
      </c>
    </row>
    <row r="2719" spans="22:26" x14ac:dyDescent="0.2">
      <c r="V2719" s="202" t="str">
        <f t="shared" si="51"/>
        <v>1w</v>
      </c>
      <c r="W2719" s="200">
        <f>_xll.qlCalendarAdvance(Calendar,W2718,V2719,"f",FALSE)</f>
        <v>57958</v>
      </c>
      <c r="X2719" s="203">
        <f>_xll.qlCalendarAdvance(Calendar,W2719,NDays&amp;"D")</f>
        <v>57962</v>
      </c>
      <c r="Y2719" s="204">
        <v>2.0613884807041849E-2</v>
      </c>
      <c r="Z2719" s="201">
        <v>2.0601599062697318E-2</v>
      </c>
    </row>
    <row r="2720" spans="22:26" x14ac:dyDescent="0.2">
      <c r="V2720" s="202" t="str">
        <f t="shared" si="51"/>
        <v>1w</v>
      </c>
      <c r="W2720" s="200">
        <f>_xll.qlCalendarAdvance(Calendar,W2719,V2720,"f",FALSE)</f>
        <v>57965</v>
      </c>
      <c r="X2720" s="203">
        <f>_xll.qlCalendarAdvance(Calendar,W2720,NDays&amp;"D")</f>
        <v>57969</v>
      </c>
      <c r="Y2720" s="204">
        <v>2.0611570037974758E-2</v>
      </c>
      <c r="Z2720" s="201">
        <v>2.0599268071697097E-2</v>
      </c>
    </row>
    <row r="2721" spans="22:26" x14ac:dyDescent="0.2">
      <c r="V2721" s="202" t="str">
        <f t="shared" si="51"/>
        <v>1w</v>
      </c>
      <c r="W2721" s="200">
        <f>_xll.qlCalendarAdvance(Calendar,W2720,V2721,"f",FALSE)</f>
        <v>57972</v>
      </c>
      <c r="X2721" s="203">
        <f>_xll.qlCalendarAdvance(Calendar,W2721,NDays&amp;"D")</f>
        <v>57976</v>
      </c>
      <c r="Y2721" s="204">
        <v>2.0609264969100316E-2</v>
      </c>
      <c r="Z2721" s="201">
        <v>2.0596946764310786E-2</v>
      </c>
    </row>
    <row r="2722" spans="22:26" x14ac:dyDescent="0.2">
      <c r="V2722" s="202" t="str">
        <f t="shared" si="51"/>
        <v>1w</v>
      </c>
      <c r="W2722" s="200">
        <f>_xll.qlCalendarAdvance(Calendar,W2721,V2722,"f",FALSE)</f>
        <v>57979</v>
      </c>
      <c r="X2722" s="203">
        <f>_xll.qlCalendarAdvance(Calendar,W2722,NDays&amp;"D")</f>
        <v>57983</v>
      </c>
      <c r="Y2722" s="204">
        <v>2.0607395972186523E-2</v>
      </c>
      <c r="Z2722" s="201">
        <v>2.0594635140698259E-2</v>
      </c>
    </row>
    <row r="2723" spans="22:26" x14ac:dyDescent="0.2">
      <c r="V2723" s="202" t="str">
        <f t="shared" si="51"/>
        <v>1w</v>
      </c>
      <c r="W2723" s="200">
        <f>_xll.qlCalendarAdvance(Calendar,W2722,V2723,"f",FALSE)</f>
        <v>57986</v>
      </c>
      <c r="X2723" s="203">
        <f>_xll.qlCalendarAdvance(Calendar,W2723,NDays&amp;"D")</f>
        <v>57990</v>
      </c>
      <c r="Y2723" s="204">
        <v>2.0605110865865583E-2</v>
      </c>
      <c r="Z2723" s="201">
        <v>2.0592333200779578E-2</v>
      </c>
    </row>
    <row r="2724" spans="22:26" x14ac:dyDescent="0.2">
      <c r="V2724" s="202" t="str">
        <f t="shared" si="51"/>
        <v>1w</v>
      </c>
      <c r="W2724" s="200">
        <f>_xll.qlCalendarAdvance(Calendar,W2723,V2724,"f",FALSE)</f>
        <v>57993</v>
      </c>
      <c r="X2724" s="203">
        <f>_xll.qlCalendarAdvance(Calendar,W2724,NDays&amp;"D")</f>
        <v>57997</v>
      </c>
      <c r="Y2724" s="204">
        <v>2.0602835460288078E-2</v>
      </c>
      <c r="Z2724" s="201">
        <v>2.0590040944474808E-2</v>
      </c>
    </row>
    <row r="2725" spans="22:26" x14ac:dyDescent="0.2">
      <c r="V2725" s="202" t="str">
        <f t="shared" si="51"/>
        <v>1w</v>
      </c>
      <c r="W2725" s="200">
        <f>_xll.qlCalendarAdvance(Calendar,W2724,V2725,"f",FALSE)</f>
        <v>58000</v>
      </c>
      <c r="X2725" s="203">
        <f>_xll.qlCalendarAdvance(Calendar,W2725,NDays&amp;"D")</f>
        <v>58004</v>
      </c>
      <c r="Y2725" s="204">
        <v>2.0600569755443693E-2</v>
      </c>
      <c r="Z2725" s="201">
        <v>2.0587758371943821E-2</v>
      </c>
    </row>
    <row r="2726" spans="22:26" x14ac:dyDescent="0.2">
      <c r="V2726" s="202" t="str">
        <f t="shared" si="51"/>
        <v>1w</v>
      </c>
      <c r="W2726" s="200">
        <f>_xll.qlCalendarAdvance(Calendar,W2725,V2726,"f",FALSE)</f>
        <v>58007</v>
      </c>
      <c r="X2726" s="203">
        <f>_xll.qlCalendarAdvance(Calendar,W2726,NDays&amp;"D")</f>
        <v>58011</v>
      </c>
      <c r="Y2726" s="204">
        <v>2.059831375133243E-2</v>
      </c>
      <c r="Z2726" s="201">
        <v>2.0585485483026744E-2</v>
      </c>
    </row>
    <row r="2727" spans="22:26" x14ac:dyDescent="0.2">
      <c r="V2727" s="202" t="str">
        <f t="shared" si="51"/>
        <v>1w</v>
      </c>
      <c r="W2727" s="200">
        <f>_xll.qlCalendarAdvance(Calendar,W2726,V2727,"f",FALSE)</f>
        <v>58014</v>
      </c>
      <c r="X2727" s="203">
        <f>_xll.qlCalendarAdvance(Calendar,W2727,NDays&amp;"D")</f>
        <v>58018</v>
      </c>
      <c r="Y2727" s="204">
        <v>2.0595638259528926E-2</v>
      </c>
      <c r="Z2727" s="201">
        <v>2.0583222277723578E-2</v>
      </c>
    </row>
    <row r="2728" spans="22:26" x14ac:dyDescent="0.2">
      <c r="V2728" s="202" t="str">
        <f t="shared" si="51"/>
        <v>1w</v>
      </c>
      <c r="W2728" s="200">
        <f>_xll.qlCalendarAdvance(Calendar,W2727,V2728,"f",FALSE)</f>
        <v>58021</v>
      </c>
      <c r="X2728" s="203">
        <f>_xll.qlCalendarAdvance(Calendar,W2728,NDays&amp;"D")</f>
        <v>58025</v>
      </c>
      <c r="Y2728" s="204">
        <v>2.0593401091829833E-2</v>
      </c>
      <c r="Z2728" s="201">
        <v>2.0580968756194196E-2</v>
      </c>
    </row>
    <row r="2729" spans="22:26" x14ac:dyDescent="0.2">
      <c r="V2729" s="202" t="str">
        <f t="shared" si="51"/>
        <v>1w</v>
      </c>
      <c r="W2729" s="200">
        <f>_xll.qlCalendarAdvance(Calendar,W2728,V2729,"f",FALSE)</f>
        <v>58028</v>
      </c>
      <c r="X2729" s="203">
        <f>_xll.qlCalendarAdvance(Calendar,W2729,NDays&amp;"D")</f>
        <v>58032</v>
      </c>
      <c r="Y2729" s="204">
        <v>2.0591173624275427E-2</v>
      </c>
      <c r="Z2729" s="201">
        <v>2.0578724918438596E-2</v>
      </c>
    </row>
    <row r="2730" spans="22:26" x14ac:dyDescent="0.2">
      <c r="V2730" s="202" t="str">
        <f t="shared" si="51"/>
        <v>1w</v>
      </c>
      <c r="W2730" s="200">
        <f>_xll.qlCalendarAdvance(Calendar,W2729,V2730,"f",FALSE)</f>
        <v>58035</v>
      </c>
      <c r="X2730" s="203">
        <f>_xll.qlCalendarAdvance(Calendar,W2730,NDays&amp;"D")</f>
        <v>58039</v>
      </c>
      <c r="Y2730" s="204">
        <v>2.0589817697708734E-2</v>
      </c>
      <c r="Z2730" s="201">
        <v>2.0576490764296906E-2</v>
      </c>
    </row>
    <row r="2731" spans="22:26" x14ac:dyDescent="0.2">
      <c r="V2731" s="202" t="str">
        <f t="shared" si="51"/>
        <v>1w</v>
      </c>
      <c r="W2731" s="200">
        <f>_xll.qlCalendarAdvance(Calendar,W2730,V2731,"f",FALSE)</f>
        <v>58042</v>
      </c>
      <c r="X2731" s="203">
        <f>_xll.qlCalendarAdvance(Calendar,W2731,NDays&amp;"D")</f>
        <v>58046</v>
      </c>
      <c r="Y2731" s="204">
        <v>2.0587179241538255E-2</v>
      </c>
      <c r="Z2731" s="201">
        <v>2.0574266293689192E-2</v>
      </c>
    </row>
    <row r="2732" spans="22:26" x14ac:dyDescent="0.2">
      <c r="V2732" s="202" t="str">
        <f t="shared" si="51"/>
        <v>1w</v>
      </c>
      <c r="W2732" s="200">
        <f>_xll.qlCalendarAdvance(Calendar,W2731,V2732,"f",FALSE)</f>
        <v>58049</v>
      </c>
      <c r="X2732" s="203">
        <f>_xll.qlCalendarAdvance(Calendar,W2732,NDays&amp;"D")</f>
        <v>58053</v>
      </c>
      <c r="Y2732" s="204">
        <v>2.0584981441694201E-2</v>
      </c>
      <c r="Z2732" s="201">
        <v>2.0572051506935196E-2</v>
      </c>
    </row>
    <row r="2733" spans="22:26" x14ac:dyDescent="0.2">
      <c r="V2733" s="202" t="str">
        <f t="shared" si="51"/>
        <v>1w</v>
      </c>
      <c r="W2733" s="200">
        <f>_xll.qlCalendarAdvance(Calendar,W2732,V2733,"f",FALSE)</f>
        <v>58056</v>
      </c>
      <c r="X2733" s="203">
        <f>_xll.qlCalendarAdvance(Calendar,W2733,NDays&amp;"D")</f>
        <v>58060</v>
      </c>
      <c r="Y2733" s="204">
        <v>2.0582793342544592E-2</v>
      </c>
      <c r="Z2733" s="201">
        <v>2.0569846403715175E-2</v>
      </c>
    </row>
    <row r="2734" spans="22:26" x14ac:dyDescent="0.2">
      <c r="V2734" s="202" t="str">
        <f t="shared" si="51"/>
        <v>1w</v>
      </c>
      <c r="W2734" s="200">
        <f>_xll.qlCalendarAdvance(Calendar,W2733,V2734,"f",FALSE)</f>
        <v>58063</v>
      </c>
      <c r="X2734" s="203">
        <f>_xll.qlCalendarAdvance(Calendar,W2734,NDays&amp;"D")</f>
        <v>58067</v>
      </c>
      <c r="Y2734" s="204">
        <v>2.0580614944076526E-2</v>
      </c>
      <c r="Z2734" s="201">
        <v>2.0567650984268937E-2</v>
      </c>
    </row>
    <row r="2735" spans="22:26" x14ac:dyDescent="0.2">
      <c r="V2735" s="202" t="str">
        <f t="shared" si="51"/>
        <v>1w</v>
      </c>
      <c r="W2735" s="200">
        <f>_xll.qlCalendarAdvance(Calendar,W2734,V2735,"f",FALSE)</f>
        <v>58071</v>
      </c>
      <c r="X2735" s="203">
        <f>_xll.qlCalendarAdvance(Calendar,W2735,NDays&amp;"D")</f>
        <v>58075</v>
      </c>
      <c r="Y2735" s="204">
        <v>2.0578137224212409E-2</v>
      </c>
      <c r="Z2735" s="201">
        <v>2.0565585548886212E-2</v>
      </c>
    </row>
    <row r="2736" spans="22:26" x14ac:dyDescent="0.2">
      <c r="V2736" s="202" t="str">
        <f t="shared" si="51"/>
        <v>1w</v>
      </c>
      <c r="W2736" s="200">
        <f>_xll.qlCalendarAdvance(Calendar,W2735,V2736,"f",FALSE)</f>
        <v>58078</v>
      </c>
      <c r="X2736" s="203">
        <f>_xll.qlCalendarAdvance(Calendar,W2736,NDays&amp;"D")</f>
        <v>58082</v>
      </c>
      <c r="Y2736" s="204">
        <v>2.0575979612915039E-2</v>
      </c>
      <c r="Z2736" s="201">
        <v>2.0562979122331626E-2</v>
      </c>
    </row>
    <row r="2737" spans="22:26" x14ac:dyDescent="0.2">
      <c r="V2737" s="202" t="str">
        <f t="shared" si="51"/>
        <v>1w</v>
      </c>
      <c r="W2737" s="200">
        <f>_xll.qlCalendarAdvance(Calendar,W2736,V2737,"f",FALSE)</f>
        <v>58085</v>
      </c>
      <c r="X2737" s="203">
        <f>_xll.qlCalendarAdvance(Calendar,W2737,NDays&amp;"D")</f>
        <v>58089</v>
      </c>
      <c r="Y2737" s="204">
        <v>2.0573831702286327E-2</v>
      </c>
      <c r="Z2737" s="201">
        <v>2.0560814137340344E-2</v>
      </c>
    </row>
    <row r="2738" spans="22:26" x14ac:dyDescent="0.2">
      <c r="V2738" s="202" t="str">
        <f t="shared" si="51"/>
        <v>1w</v>
      </c>
      <c r="W2738" s="200">
        <f>_xll.qlCalendarAdvance(Calendar,W2737,V2738,"f",FALSE)</f>
        <v>58092</v>
      </c>
      <c r="X2738" s="203">
        <f>_xll.qlCalendarAdvance(Calendar,W2738,NDays&amp;"D")</f>
        <v>58096</v>
      </c>
      <c r="Y2738" s="204">
        <v>2.0571693492318535E-2</v>
      </c>
      <c r="Z2738" s="201">
        <v>2.0558658836042909E-2</v>
      </c>
    </row>
    <row r="2739" spans="22:26" x14ac:dyDescent="0.2">
      <c r="V2739" s="202" t="str">
        <f t="shared" si="51"/>
        <v>1w</v>
      </c>
      <c r="W2739" s="200">
        <f>_xll.qlCalendarAdvance(Calendar,W2738,V2739,"f",FALSE)</f>
        <v>58099</v>
      </c>
      <c r="X2739" s="203">
        <f>_xll.qlCalendarAdvance(Calendar,W2739,NDays&amp;"D")</f>
        <v>58103</v>
      </c>
      <c r="Y2739" s="204">
        <v>2.056956498301166E-2</v>
      </c>
      <c r="Z2739" s="201">
        <v>2.0556513218359385E-2</v>
      </c>
    </row>
    <row r="2740" spans="22:26" x14ac:dyDescent="0.2">
      <c r="V2740" s="202" t="str">
        <f t="shared" si="51"/>
        <v>1w</v>
      </c>
      <c r="W2740" s="200">
        <f>_xll.qlCalendarAdvance(Calendar,W2739,V2740,"f",FALSE)</f>
        <v>58106</v>
      </c>
      <c r="X2740" s="203">
        <f>_xll.qlCalendarAdvance(Calendar,W2740,NDays&amp;"D")</f>
        <v>58110</v>
      </c>
      <c r="Y2740" s="204">
        <v>2.0566136408332839E-2</v>
      </c>
      <c r="Z2740" s="201">
        <v>2.0554377284369707E-2</v>
      </c>
    </row>
    <row r="2741" spans="22:26" x14ac:dyDescent="0.2">
      <c r="V2741" s="202" t="str">
        <f t="shared" si="51"/>
        <v>1w</v>
      </c>
      <c r="W2741" s="200">
        <f>_xll.qlCalendarAdvance(Calendar,W2740,V2741,"f",FALSE)</f>
        <v>58113</v>
      </c>
      <c r="X2741" s="203">
        <f>_xll.qlCalendarAdvance(Calendar,W2741,NDays&amp;"D")</f>
        <v>58117</v>
      </c>
      <c r="Y2741" s="204">
        <v>2.0564025583101091E-2</v>
      </c>
      <c r="Z2741" s="201">
        <v>2.0552251034073876E-2</v>
      </c>
    </row>
    <row r="2742" spans="22:26" x14ac:dyDescent="0.2">
      <c r="V2742" s="202" t="str">
        <f t="shared" si="51"/>
        <v>1w</v>
      </c>
      <c r="W2742" s="200">
        <f>_xll.qlCalendarAdvance(Calendar,W2741,V2742,"f",FALSE)</f>
        <v>58120</v>
      </c>
      <c r="X2742" s="203">
        <f>_xll.qlCalendarAdvance(Calendar,W2742,NDays&amp;"D")</f>
        <v>58124</v>
      </c>
      <c r="Y2742" s="204">
        <v>2.0561924456816705E-2</v>
      </c>
      <c r="Z2742" s="201">
        <v>2.0550134467471892E-2</v>
      </c>
    </row>
    <row r="2743" spans="22:26" x14ac:dyDescent="0.2">
      <c r="V2743" s="202" t="str">
        <f t="shared" si="51"/>
        <v>1w</v>
      </c>
      <c r="W2743" s="200">
        <f>_xll.qlCalendarAdvance(Calendar,W2742,V2743,"f",FALSE)</f>
        <v>58127</v>
      </c>
      <c r="X2743" s="203">
        <f>_xll.qlCalendarAdvance(Calendar,W2743,NDays&amp;"D")</f>
        <v>58131</v>
      </c>
      <c r="Y2743" s="204">
        <v>2.055983302947682E-2</v>
      </c>
      <c r="Z2743" s="201">
        <v>2.0548027584483819E-2</v>
      </c>
    </row>
    <row r="2744" spans="22:26" x14ac:dyDescent="0.2">
      <c r="V2744" s="202" t="str">
        <f t="shared" si="51"/>
        <v>1w</v>
      </c>
      <c r="W2744" s="200">
        <f>_xll.qlCalendarAdvance(Calendar,W2743,V2744,"f",FALSE)</f>
        <v>58134</v>
      </c>
      <c r="X2744" s="203">
        <f>_xll.qlCalendarAdvance(Calendar,W2744,NDays&amp;"D")</f>
        <v>58138</v>
      </c>
      <c r="Y2744" s="204">
        <v>2.0559067946169331E-2</v>
      </c>
      <c r="Z2744" s="201">
        <v>2.0545930385189592E-2</v>
      </c>
    </row>
    <row r="2745" spans="22:26" x14ac:dyDescent="0.2">
      <c r="V2745" s="202" t="str">
        <f t="shared" si="51"/>
        <v>1w</v>
      </c>
      <c r="W2745" s="200">
        <f>_xll.qlCalendarAdvance(Calendar,W2744,V2745,"f",FALSE)</f>
        <v>58141</v>
      </c>
      <c r="X2745" s="203">
        <f>_xll.qlCalendarAdvance(Calendar,W2745,NDays&amp;"D")</f>
        <v>58145</v>
      </c>
      <c r="Y2745" s="204">
        <v>2.0556997640704202E-2</v>
      </c>
      <c r="Z2745" s="201">
        <v>2.0543842869669149E-2</v>
      </c>
    </row>
    <row r="2746" spans="22:26" x14ac:dyDescent="0.2">
      <c r="V2746" s="202" t="str">
        <f t="shared" si="51"/>
        <v>1w</v>
      </c>
      <c r="W2746" s="200">
        <f>_xll.qlCalendarAdvance(Calendar,W2745,V2746,"f",FALSE)</f>
        <v>58148</v>
      </c>
      <c r="X2746" s="203">
        <f>_xll.qlCalendarAdvance(Calendar,W2746,NDays&amp;"D")</f>
        <v>58152</v>
      </c>
      <c r="Y2746" s="204">
        <v>2.0554937035856161E-2</v>
      </c>
      <c r="Z2746" s="201">
        <v>2.054176503768268E-2</v>
      </c>
    </row>
    <row r="2747" spans="22:26" x14ac:dyDescent="0.2">
      <c r="V2747" s="202" t="str">
        <f t="shared" si="51"/>
        <v>1w</v>
      </c>
      <c r="W2747" s="200">
        <f>_xll.qlCalendarAdvance(Calendar,W2746,V2747,"f",FALSE)</f>
        <v>58155</v>
      </c>
      <c r="X2747" s="203">
        <f>_xll.qlCalendarAdvance(Calendar,W2747,NDays&amp;"D")</f>
        <v>58159</v>
      </c>
      <c r="Y2747" s="204">
        <v>2.0552886131627777E-2</v>
      </c>
      <c r="Z2747" s="201">
        <v>2.0539696889469994E-2</v>
      </c>
    </row>
    <row r="2748" spans="22:26" x14ac:dyDescent="0.2">
      <c r="V2748" s="202" t="str">
        <f t="shared" si="51"/>
        <v>1w</v>
      </c>
      <c r="W2748" s="200">
        <f>_xll.qlCalendarAdvance(Calendar,W2747,V2748,"f",FALSE)</f>
        <v>58166</v>
      </c>
      <c r="X2748" s="203">
        <f>_xll.qlCalendarAdvance(Calendar,W2748,NDays&amp;"D")</f>
        <v>58168</v>
      </c>
      <c r="Y2748" s="204">
        <v>2.0550705000794978E-2</v>
      </c>
      <c r="Z2748" s="201">
        <v>2.0537052070865869E-2</v>
      </c>
    </row>
    <row r="2749" spans="22:26" x14ac:dyDescent="0.2">
      <c r="V2749" s="202" t="str">
        <f t="shared" si="51"/>
        <v>1w</v>
      </c>
      <c r="W2749" s="200">
        <f>_xll.qlCalendarAdvance(Calendar,W2748,V2749,"f",FALSE)</f>
        <v>58173</v>
      </c>
      <c r="X2749" s="203">
        <f>_xll.qlCalendarAdvance(Calendar,W2749,NDays&amp;"D")</f>
        <v>58175</v>
      </c>
      <c r="Y2749" s="204">
        <v>2.0548676846620373E-2</v>
      </c>
      <c r="Z2749" s="201">
        <v>2.0535006056707772E-2</v>
      </c>
    </row>
    <row r="2750" spans="22:26" x14ac:dyDescent="0.2">
      <c r="V2750" s="202" t="str">
        <f t="shared" si="51"/>
        <v>1w</v>
      </c>
      <c r="W2750" s="200">
        <f>_xll.qlCalendarAdvance(Calendar,W2749,V2750,"f",FALSE)</f>
        <v>58180</v>
      </c>
      <c r="X2750" s="203">
        <f>_xll.qlCalendarAdvance(Calendar,W2750,NDays&amp;"D")</f>
        <v>58182</v>
      </c>
      <c r="Y2750" s="204">
        <v>2.054665839361064E-2</v>
      </c>
      <c r="Z2750" s="201">
        <v>2.0532969726243522E-2</v>
      </c>
    </row>
    <row r="2751" spans="22:26" x14ac:dyDescent="0.2">
      <c r="V2751" s="202" t="str">
        <f t="shared" si="51"/>
        <v>1w</v>
      </c>
      <c r="W2751" s="200">
        <f>_xll.qlCalendarAdvance(Calendar,W2750,V2751,"f",FALSE)</f>
        <v>58187</v>
      </c>
      <c r="X2751" s="203">
        <f>_xll.qlCalendarAdvance(Calendar,W2751,NDays&amp;"D")</f>
        <v>58189</v>
      </c>
      <c r="Y2751" s="204">
        <v>2.054464964176328E-2</v>
      </c>
      <c r="Z2751" s="201">
        <v>2.0530943079473118E-2</v>
      </c>
    </row>
    <row r="2752" spans="22:26" x14ac:dyDescent="0.2">
      <c r="V2752" s="202" t="str">
        <f t="shared" si="51"/>
        <v>1w</v>
      </c>
      <c r="W2752" s="200">
        <f>_xll.qlCalendarAdvance(Calendar,W2751,V2752,"f",FALSE)</f>
        <v>58194</v>
      </c>
      <c r="X2752" s="203">
        <f>_xll.qlCalendarAdvance(Calendar,W2752,NDays&amp;"D")</f>
        <v>58197</v>
      </c>
      <c r="Y2752" s="204">
        <v>2.0541921917175302E-2</v>
      </c>
      <c r="Z2752" s="201">
        <v>2.0529522300325453E-2</v>
      </c>
    </row>
    <row r="2753" spans="22:26" x14ac:dyDescent="0.2">
      <c r="V2753" s="202" t="str">
        <f t="shared" si="51"/>
        <v>1w</v>
      </c>
      <c r="W2753" s="200">
        <f>_xll.qlCalendarAdvance(Calendar,W2752,V2753,"f",FALSE)</f>
        <v>58201</v>
      </c>
      <c r="X2753" s="203">
        <f>_xll.qlCalendarAdvance(Calendar,W2753,NDays&amp;"D")</f>
        <v>58203</v>
      </c>
      <c r="Y2753" s="204">
        <v>2.054066124151821E-2</v>
      </c>
      <c r="Z2753" s="201">
        <v>2.0526918837013852E-2</v>
      </c>
    </row>
    <row r="2754" spans="22:26" x14ac:dyDescent="0.2">
      <c r="V2754" s="202" t="str">
        <f t="shared" si="51"/>
        <v>1w</v>
      </c>
      <c r="W2754" s="200">
        <f>_xll.qlCalendarAdvance(Calendar,W2753,V2754,"f",FALSE)</f>
        <v>58208</v>
      </c>
      <c r="X2754" s="203">
        <f>_xll.qlCalendarAdvance(Calendar,W2754,NDays&amp;"D")</f>
        <v>58210</v>
      </c>
      <c r="Y2754" s="204">
        <v>2.0538681593115504E-2</v>
      </c>
      <c r="Z2754" s="201">
        <v>2.0524921241245053E-2</v>
      </c>
    </row>
    <row r="2755" spans="22:26" x14ac:dyDescent="0.2">
      <c r="V2755" s="202" t="str">
        <f t="shared" si="51"/>
        <v>1w</v>
      </c>
      <c r="W2755" s="200">
        <f>_xll.qlCalendarAdvance(Calendar,W2754,V2755,"f",FALSE)</f>
        <v>58215</v>
      </c>
      <c r="X2755" s="203">
        <f>_xll.qlCalendarAdvance(Calendar,W2755,NDays&amp;"D")</f>
        <v>58217</v>
      </c>
      <c r="Y2755" s="204">
        <v>2.053671164585269E-2</v>
      </c>
      <c r="Z2755" s="201">
        <v>2.0522933329329973E-2</v>
      </c>
    </row>
    <row r="2756" spans="22:26" x14ac:dyDescent="0.2">
      <c r="V2756" s="202" t="str">
        <f t="shared" si="51"/>
        <v>1w</v>
      </c>
      <c r="W2756" s="200">
        <f>_xll.qlCalendarAdvance(Calendar,W2755,V2756,"f",FALSE)</f>
        <v>58222</v>
      </c>
      <c r="X2756" s="203">
        <f>_xll.qlCalendarAdvance(Calendar,W2756,NDays&amp;"D")</f>
        <v>58224</v>
      </c>
      <c r="Y2756" s="204">
        <v>2.0534751399722273E-2</v>
      </c>
      <c r="Z2756" s="201">
        <v>2.0520955100948868E-2</v>
      </c>
    </row>
    <row r="2757" spans="22:26" x14ac:dyDescent="0.2">
      <c r="V2757" s="202" t="str">
        <f t="shared" si="51"/>
        <v>1w</v>
      </c>
      <c r="W2757" s="200">
        <f>_xll.qlCalendarAdvance(Calendar,W2756,V2757,"f",FALSE)</f>
        <v>58229</v>
      </c>
      <c r="X2757" s="203">
        <f>_xll.qlCalendarAdvance(Calendar,W2757,NDays&amp;"D")</f>
        <v>58231</v>
      </c>
      <c r="Y2757" s="204">
        <v>2.053280085471676E-2</v>
      </c>
      <c r="Z2757" s="201">
        <v>2.0518986556181673E-2</v>
      </c>
    </row>
    <row r="2758" spans="22:26" x14ac:dyDescent="0.2">
      <c r="V2758" s="202" t="str">
        <f t="shared" si="51"/>
        <v>1w</v>
      </c>
      <c r="W2758" s="200">
        <f>_xll.qlCalendarAdvance(Calendar,W2757,V2758,"f",FALSE)</f>
        <v>58236</v>
      </c>
      <c r="X2758" s="203">
        <f>_xll.qlCalendarAdvance(Calendar,W2758,NDays&amp;"D")</f>
        <v>58238</v>
      </c>
      <c r="Y2758" s="204">
        <v>2.0530860010836149E-2</v>
      </c>
      <c r="Z2758" s="201">
        <v>2.0517027695188261E-2</v>
      </c>
    </row>
    <row r="2759" spans="22:26" x14ac:dyDescent="0.2">
      <c r="V2759" s="202" t="str">
        <f t="shared" si="51"/>
        <v>1w</v>
      </c>
      <c r="W2759" s="200">
        <f>_xll.qlCalendarAdvance(Calendar,W2758,V2759,"f",FALSE)</f>
        <v>58243</v>
      </c>
      <c r="X2759" s="203">
        <f>_xll.qlCalendarAdvance(Calendar,W2759,NDays&amp;"D")</f>
        <v>58245</v>
      </c>
      <c r="Y2759" s="204">
        <v>2.0528928868075447E-2</v>
      </c>
      <c r="Z2759" s="201">
        <v>2.0515078517888696E-2</v>
      </c>
    </row>
    <row r="2760" spans="22:26" x14ac:dyDescent="0.2">
      <c r="V2760" s="202" t="str">
        <f t="shared" si="51"/>
        <v>1w</v>
      </c>
      <c r="W2760" s="200">
        <f>_xll.qlCalendarAdvance(Calendar,W2759,V2760,"f",FALSE)</f>
        <v>58250</v>
      </c>
      <c r="X2760" s="203">
        <f>_xll.qlCalendarAdvance(Calendar,W2760,NDays&amp;"D")</f>
        <v>58252</v>
      </c>
      <c r="Y2760" s="204">
        <v>2.0527007426422161E-2</v>
      </c>
      <c r="Z2760" s="201">
        <v>2.0513139024203042E-2</v>
      </c>
    </row>
    <row r="2761" spans="22:26" x14ac:dyDescent="0.2">
      <c r="V2761" s="202" t="str">
        <f t="shared" si="51"/>
        <v>1w</v>
      </c>
      <c r="W2761" s="200">
        <f>_xll.qlCalendarAdvance(Calendar,W2760,V2761,"f",FALSE)</f>
        <v>58257</v>
      </c>
      <c r="X2761" s="203">
        <f>_xll.qlCalendarAdvance(Calendar,W2761,NDays&amp;"D")</f>
        <v>58259</v>
      </c>
      <c r="Y2761" s="204">
        <v>2.0525095685883787E-2</v>
      </c>
      <c r="Z2761" s="201">
        <v>2.0511209214211235E-2</v>
      </c>
    </row>
    <row r="2762" spans="22:26" x14ac:dyDescent="0.2">
      <c r="V2762" s="202" t="str">
        <f t="shared" si="51"/>
        <v>1w</v>
      </c>
      <c r="W2762" s="200">
        <f>_xll.qlCalendarAdvance(Calendar,W2761,V2762,"f",FALSE)</f>
        <v>58264</v>
      </c>
      <c r="X2762" s="203">
        <f>_xll.qlCalendarAdvance(Calendar,W2762,NDays&amp;"D")</f>
        <v>58266</v>
      </c>
      <c r="Y2762" s="204">
        <v>2.0523193646445337E-2</v>
      </c>
      <c r="Z2762" s="201">
        <v>2.0509289087913274E-2</v>
      </c>
    </row>
    <row r="2763" spans="22:26" x14ac:dyDescent="0.2">
      <c r="V2763" s="202" t="str">
        <f t="shared" si="51"/>
        <v>1w</v>
      </c>
      <c r="W2763" s="200">
        <f>_xll.qlCalendarAdvance(Calendar,W2762,V2763,"f",FALSE)</f>
        <v>58271</v>
      </c>
      <c r="X2763" s="203">
        <f>_xll.qlCalendarAdvance(Calendar,W2763,NDays&amp;"D")</f>
        <v>58273</v>
      </c>
      <c r="Y2763" s="204">
        <v>2.052130130810681E-2</v>
      </c>
      <c r="Z2763" s="201">
        <v>2.050737864530916E-2</v>
      </c>
    </row>
    <row r="2764" spans="22:26" x14ac:dyDescent="0.2">
      <c r="V2764" s="202" t="str">
        <f t="shared" si="51"/>
        <v>1w</v>
      </c>
      <c r="W2764" s="200">
        <f>_xll.qlCalendarAdvance(Calendar,W2763,V2764,"f",FALSE)</f>
        <v>58278</v>
      </c>
      <c r="X2764" s="203">
        <f>_xll.qlCalendarAdvance(Calendar,W2764,NDays&amp;"D")</f>
        <v>58280</v>
      </c>
      <c r="Y2764" s="204">
        <v>2.0519418670855716E-2</v>
      </c>
      <c r="Z2764" s="201">
        <v>2.0505477886318957E-2</v>
      </c>
    </row>
    <row r="2765" spans="22:26" x14ac:dyDescent="0.2">
      <c r="V2765" s="202" t="str">
        <f t="shared" si="51"/>
        <v>1w</v>
      </c>
      <c r="W2765" s="200">
        <f>_xll.qlCalendarAdvance(Calendar,W2764,V2765,"f",FALSE)</f>
        <v>58285</v>
      </c>
      <c r="X2765" s="203">
        <f>_xll.qlCalendarAdvance(Calendar,W2765,NDays&amp;"D")</f>
        <v>58287</v>
      </c>
      <c r="Y2765" s="204">
        <v>2.0516191808611754E-2</v>
      </c>
      <c r="Z2765" s="201">
        <v>2.0503586811022601E-2</v>
      </c>
    </row>
    <row r="2766" spans="22:26" x14ac:dyDescent="0.2">
      <c r="V2766" s="202" t="str">
        <f t="shared" si="51"/>
        <v>1w</v>
      </c>
      <c r="W2766" s="200">
        <f>_xll.qlCalendarAdvance(Calendar,W2765,V2766,"f",FALSE)</f>
        <v>58292</v>
      </c>
      <c r="X2766" s="203">
        <f>_xll.qlCalendarAdvance(Calendar,W2766,NDays&amp;"D")</f>
        <v>58294</v>
      </c>
      <c r="Y2766" s="204">
        <v>2.051568249962582E-2</v>
      </c>
      <c r="Z2766" s="201">
        <v>2.0501705419500027E-2</v>
      </c>
    </row>
    <row r="2767" spans="22:26" x14ac:dyDescent="0.2">
      <c r="V2767" s="202" t="str">
        <f t="shared" si="51"/>
        <v>1w</v>
      </c>
      <c r="W2767" s="200">
        <f>_xll.qlCalendarAdvance(Calendar,W2766,V2767,"f",FALSE)</f>
        <v>58299</v>
      </c>
      <c r="X2767" s="203">
        <f>_xll.qlCalendarAdvance(Calendar,W2767,NDays&amp;"D")</f>
        <v>58301</v>
      </c>
      <c r="Y2767" s="204">
        <v>2.0513828965632031E-2</v>
      </c>
      <c r="Z2767" s="201">
        <v>2.0499833711591364E-2</v>
      </c>
    </row>
    <row r="2768" spans="22:26" x14ac:dyDescent="0.2">
      <c r="V2768" s="202" t="str">
        <f t="shared" si="51"/>
        <v>1w</v>
      </c>
      <c r="W2768" s="200">
        <f>_xll.qlCalendarAdvance(Calendar,W2767,V2768,"f",FALSE)</f>
        <v>58306</v>
      </c>
      <c r="X2768" s="203">
        <f>_xll.qlCalendarAdvance(Calendar,W2768,NDays&amp;"D")</f>
        <v>58308</v>
      </c>
      <c r="Y2768" s="204">
        <v>2.0511985132708188E-2</v>
      </c>
      <c r="Z2768" s="201">
        <v>2.0497971687216676E-2</v>
      </c>
    </row>
    <row r="2769" spans="22:26" x14ac:dyDescent="0.2">
      <c r="V2769" s="202" t="str">
        <f t="shared" si="51"/>
        <v>1w</v>
      </c>
      <c r="W2769" s="200">
        <f>_xll.qlCalendarAdvance(Calendar,W2768,V2769,"f",FALSE)</f>
        <v>58313</v>
      </c>
      <c r="X2769" s="203">
        <f>_xll.qlCalendarAdvance(Calendar,W2769,NDays&amp;"D")</f>
        <v>58315</v>
      </c>
      <c r="Y2769" s="204">
        <v>2.0510151000859289E-2</v>
      </c>
      <c r="Z2769" s="201">
        <v>2.0496119346775643E-2</v>
      </c>
    </row>
    <row r="2770" spans="22:26" x14ac:dyDescent="0.2">
      <c r="V2770" s="202" t="str">
        <f t="shared" si="51"/>
        <v>1w</v>
      </c>
      <c r="W2770" s="200">
        <f>_xll.qlCalendarAdvance(Calendar,W2769,V2770,"f",FALSE)</f>
        <v>58320</v>
      </c>
      <c r="X2770" s="203">
        <f>_xll.qlCalendarAdvance(Calendar,W2770,NDays&amp;"D")</f>
        <v>58322</v>
      </c>
      <c r="Y2770" s="204">
        <v>2.0508326570072843E-2</v>
      </c>
      <c r="Z2770" s="201">
        <v>2.0494276689868585E-2</v>
      </c>
    </row>
    <row r="2771" spans="22:26" x14ac:dyDescent="0.2">
      <c r="V2771" s="202" t="str">
        <f t="shared" si="51"/>
        <v>1w</v>
      </c>
      <c r="W2771" s="200">
        <f>_xll.qlCalendarAdvance(Calendar,W2770,V2771,"f",FALSE)</f>
        <v>58327</v>
      </c>
      <c r="X2771" s="203">
        <f>_xll.qlCalendarAdvance(Calendar,W2771,NDays&amp;"D")</f>
        <v>58329</v>
      </c>
      <c r="Y2771" s="204">
        <v>2.0506511840343855E-2</v>
      </c>
      <c r="Z2771" s="201">
        <v>2.0492443716495501E-2</v>
      </c>
    </row>
    <row r="2772" spans="22:26" x14ac:dyDescent="0.2">
      <c r="V2772" s="202" t="str">
        <f t="shared" si="51"/>
        <v>1w</v>
      </c>
      <c r="W2772" s="200">
        <f>_xll.qlCalendarAdvance(Calendar,W2771,V2772,"f",FALSE)</f>
        <v>58334</v>
      </c>
      <c r="X2772" s="203">
        <f>_xll.qlCalendarAdvance(Calendar,W2772,NDays&amp;"D")</f>
        <v>58336</v>
      </c>
      <c r="Y2772" s="204">
        <v>2.0504706811669826E-2</v>
      </c>
      <c r="Z2772" s="201">
        <v>2.0490620426976136E-2</v>
      </c>
    </row>
    <row r="2773" spans="22:26" x14ac:dyDescent="0.2">
      <c r="V2773" s="202" t="str">
        <f t="shared" ref="V2773:V2836" si="52">V2772</f>
        <v>1w</v>
      </c>
      <c r="W2773" s="200">
        <f>_xll.qlCalendarAdvance(Calendar,W2772,V2773,"f",FALSE)</f>
        <v>58341</v>
      </c>
      <c r="X2773" s="203">
        <f>_xll.qlCalendarAdvance(Calendar,W2773,NDays&amp;"D")</f>
        <v>58343</v>
      </c>
      <c r="Y2773" s="204">
        <v>2.0502911484053254E-2</v>
      </c>
      <c r="Z2773" s="201">
        <v>2.0488806821150618E-2</v>
      </c>
    </row>
    <row r="2774" spans="22:26" x14ac:dyDescent="0.2">
      <c r="V2774" s="202" t="str">
        <f t="shared" si="52"/>
        <v>1w</v>
      </c>
      <c r="W2774" s="200">
        <f>_xll.qlCalendarAdvance(Calendar,W2773,V2774,"f",FALSE)</f>
        <v>58348</v>
      </c>
      <c r="X2774" s="203">
        <f>_xll.qlCalendarAdvance(Calendar,W2774,NDays&amp;"D")</f>
        <v>58350</v>
      </c>
      <c r="Y2774" s="204">
        <v>2.0501125857476654E-2</v>
      </c>
      <c r="Z2774" s="201">
        <v>2.0487002898939011E-2</v>
      </c>
    </row>
    <row r="2775" spans="22:26" x14ac:dyDescent="0.2">
      <c r="V2775" s="202" t="str">
        <f t="shared" si="52"/>
        <v>1w</v>
      </c>
      <c r="W2775" s="200">
        <f>_xll.qlCalendarAdvance(Calendar,W2774,V2775,"f",FALSE)</f>
        <v>58355</v>
      </c>
      <c r="X2775" s="203">
        <f>_xll.qlCalendarAdvance(Calendar,W2775,NDays&amp;"D")</f>
        <v>58357</v>
      </c>
      <c r="Y2775" s="204">
        <v>2.0499349931945021E-2</v>
      </c>
      <c r="Z2775" s="201">
        <v>2.048520866042125E-2</v>
      </c>
    </row>
    <row r="2776" spans="22:26" x14ac:dyDescent="0.2">
      <c r="V2776" s="202" t="str">
        <f t="shared" si="52"/>
        <v>1w</v>
      </c>
      <c r="W2776" s="200">
        <f>_xll.qlCalendarAdvance(Calendar,W2775,V2776,"f",FALSE)</f>
        <v>58362</v>
      </c>
      <c r="X2776" s="203">
        <f>_xll.qlCalendarAdvance(Calendar,W2776,NDays&amp;"D")</f>
        <v>58364</v>
      </c>
      <c r="Y2776" s="204">
        <v>2.0497583707443368E-2</v>
      </c>
      <c r="Z2776" s="201">
        <v>2.04834241055174E-2</v>
      </c>
    </row>
    <row r="2777" spans="22:26" x14ac:dyDescent="0.2">
      <c r="V2777" s="202" t="str">
        <f t="shared" si="52"/>
        <v>1w</v>
      </c>
      <c r="W2777" s="200">
        <f>_xll.qlCalendarAdvance(Calendar,W2776,V2777,"f",FALSE)</f>
        <v>58369</v>
      </c>
      <c r="X2777" s="203">
        <f>_xll.qlCalendarAdvance(Calendar,W2777,NDays&amp;"D")</f>
        <v>58371</v>
      </c>
      <c r="Y2777" s="204">
        <v>2.0495827183981685E-2</v>
      </c>
      <c r="Z2777" s="201">
        <v>2.0481649234387334E-2</v>
      </c>
    </row>
    <row r="2778" spans="22:26" x14ac:dyDescent="0.2">
      <c r="V2778" s="202" t="str">
        <f t="shared" si="52"/>
        <v>1w</v>
      </c>
      <c r="W2778" s="200">
        <f>_xll.qlCalendarAdvance(Calendar,W2777,V2778,"f",FALSE)</f>
        <v>58376</v>
      </c>
      <c r="X2778" s="203">
        <f>_xll.qlCalendarAdvance(Calendar,W2778,NDays&amp;"D")</f>
        <v>58378</v>
      </c>
      <c r="Y2778" s="204">
        <v>2.049270342159706E-2</v>
      </c>
      <c r="Z2778" s="201">
        <v>2.0479884046871177E-2</v>
      </c>
    </row>
    <row r="2779" spans="22:26" x14ac:dyDescent="0.2">
      <c r="V2779" s="202" t="str">
        <f t="shared" si="52"/>
        <v>1w</v>
      </c>
      <c r="W2779" s="200">
        <f>_xll.qlCalendarAdvance(Calendar,W2778,V2779,"f",FALSE)</f>
        <v>58383</v>
      </c>
      <c r="X2779" s="203">
        <f>_xll.qlCalendarAdvance(Calendar,W2779,NDays&amp;"D")</f>
        <v>58385</v>
      </c>
      <c r="Y2779" s="204">
        <v>2.0492343240125777E-2</v>
      </c>
      <c r="Z2779" s="201">
        <v>2.0478128542968932E-2</v>
      </c>
    </row>
    <row r="2780" spans="22:26" x14ac:dyDescent="0.2">
      <c r="V2780" s="202" t="str">
        <f t="shared" si="52"/>
        <v>1w</v>
      </c>
      <c r="W2780" s="200">
        <f>_xll.qlCalendarAdvance(Calendar,W2779,V2780,"f",FALSE)</f>
        <v>58390</v>
      </c>
      <c r="X2780" s="203">
        <f>_xll.qlCalendarAdvance(Calendar,W2780,NDays&amp;"D")</f>
        <v>58392</v>
      </c>
      <c r="Y2780" s="204">
        <v>2.0490615819736546E-2</v>
      </c>
      <c r="Z2780" s="201">
        <v>2.0476382722840469E-2</v>
      </c>
    </row>
    <row r="2781" spans="22:26" x14ac:dyDescent="0.2">
      <c r="V2781" s="202" t="str">
        <f t="shared" si="52"/>
        <v>1w</v>
      </c>
      <c r="W2781" s="200">
        <f>_xll.qlCalendarAdvance(Calendar,W2780,V2781,"f",FALSE)</f>
        <v>58397</v>
      </c>
      <c r="X2781" s="203">
        <f>_xll.qlCalendarAdvance(Calendar,W2781,NDays&amp;"D")</f>
        <v>58399</v>
      </c>
      <c r="Y2781" s="204">
        <v>2.0488898100352315E-2</v>
      </c>
      <c r="Z2781" s="201">
        <v>2.0474646586405854E-2</v>
      </c>
    </row>
    <row r="2782" spans="22:26" x14ac:dyDescent="0.2">
      <c r="V2782" s="202" t="str">
        <f t="shared" si="52"/>
        <v>1w</v>
      </c>
      <c r="W2782" s="200">
        <f>_xll.qlCalendarAdvance(Calendar,W2781,V2782,"f",FALSE)</f>
        <v>58404</v>
      </c>
      <c r="X2782" s="203">
        <f>_xll.qlCalendarAdvance(Calendar,W2782,NDays&amp;"D")</f>
        <v>58406</v>
      </c>
      <c r="Y2782" s="204">
        <v>2.0487190081978079E-2</v>
      </c>
      <c r="Z2782" s="201">
        <v>2.0472920133505212E-2</v>
      </c>
    </row>
    <row r="2783" spans="22:26" x14ac:dyDescent="0.2">
      <c r="V2783" s="202" t="str">
        <f t="shared" si="52"/>
        <v>1w</v>
      </c>
      <c r="W2783" s="200">
        <f>_xll.qlCalendarAdvance(Calendar,W2782,V2783,"f",FALSE)</f>
        <v>58411</v>
      </c>
      <c r="X2783" s="203">
        <f>_xll.qlCalendarAdvance(Calendar,W2783,NDays&amp;"D")</f>
        <v>58413</v>
      </c>
      <c r="Y2783" s="204">
        <v>2.0485491764613839E-2</v>
      </c>
      <c r="Z2783" s="201">
        <v>2.047120336445829E-2</v>
      </c>
    </row>
    <row r="2784" spans="22:26" x14ac:dyDescent="0.2">
      <c r="V2784" s="202" t="str">
        <f t="shared" si="52"/>
        <v>1w</v>
      </c>
      <c r="W2784" s="200">
        <f>_xll.qlCalendarAdvance(Calendar,W2783,V2784,"f",FALSE)</f>
        <v>58418</v>
      </c>
      <c r="X2784" s="203">
        <f>_xll.qlCalendarAdvance(Calendar,W2784,NDays&amp;"D")</f>
        <v>58420</v>
      </c>
      <c r="Y2784" s="204">
        <v>2.0483803148249602E-2</v>
      </c>
      <c r="Z2784" s="201">
        <v>2.0469496278945343E-2</v>
      </c>
    </row>
    <row r="2785" spans="22:26" x14ac:dyDescent="0.2">
      <c r="V2785" s="202" t="str">
        <f t="shared" si="52"/>
        <v>1w</v>
      </c>
      <c r="W2785" s="200">
        <f>_xll.qlCalendarAdvance(Calendar,W2784,V2785,"f",FALSE)</f>
        <v>58425</v>
      </c>
      <c r="X2785" s="203">
        <f>_xll.qlCalendarAdvance(Calendar,W2785,NDays&amp;"D")</f>
        <v>58427</v>
      </c>
      <c r="Y2785" s="204">
        <v>2.048212423288287E-2</v>
      </c>
      <c r="Z2785" s="201">
        <v>2.0467798877206178E-2</v>
      </c>
    </row>
    <row r="2786" spans="22:26" x14ac:dyDescent="0.2">
      <c r="V2786" s="202" t="str">
        <f t="shared" si="52"/>
        <v>1w</v>
      </c>
      <c r="W2786" s="200">
        <f>_xll.qlCalendarAdvance(Calendar,W2785,V2786,"f",FALSE)</f>
        <v>58432</v>
      </c>
      <c r="X2786" s="203">
        <f>_xll.qlCalendarAdvance(Calendar,W2786,NDays&amp;"D")</f>
        <v>58438</v>
      </c>
      <c r="Y2786" s="204">
        <v>2.0479041372886392E-2</v>
      </c>
      <c r="Z2786" s="201">
        <v>2.0465151096491496E-2</v>
      </c>
    </row>
    <row r="2787" spans="22:26" x14ac:dyDescent="0.2">
      <c r="V2787" s="202" t="str">
        <f t="shared" si="52"/>
        <v>1w</v>
      </c>
      <c r="W2787" s="200">
        <f>_xll.qlCalendarAdvance(Calendar,W2786,V2787,"f",FALSE)</f>
        <v>58439</v>
      </c>
      <c r="X2787" s="203">
        <f>_xll.qlCalendarAdvance(Calendar,W2787,NDays&amp;"D")</f>
        <v>58442</v>
      </c>
      <c r="Y2787" s="204">
        <v>2.0478094717159681E-2</v>
      </c>
      <c r="Z2787" s="201">
        <v>2.0465118812369454E-2</v>
      </c>
    </row>
    <row r="2788" spans="22:26" x14ac:dyDescent="0.2">
      <c r="V2788" s="202" t="str">
        <f t="shared" si="52"/>
        <v>1w</v>
      </c>
      <c r="W2788" s="200">
        <f>_xll.qlCalendarAdvance(Calendar,W2787,V2788,"f",FALSE)</f>
        <v>58446</v>
      </c>
      <c r="X2788" s="203">
        <f>_xll.qlCalendarAdvance(Calendar,W2788,NDays&amp;"D")</f>
        <v>58448</v>
      </c>
      <c r="Y2788" s="204">
        <v>2.047714569271275E-2</v>
      </c>
      <c r="Z2788" s="201">
        <v>2.0462764773832021E-2</v>
      </c>
    </row>
    <row r="2789" spans="22:26" x14ac:dyDescent="0.2">
      <c r="V2789" s="202" t="str">
        <f t="shared" si="52"/>
        <v>1w</v>
      </c>
      <c r="W2789" s="200">
        <f>_xll.qlCalendarAdvance(Calendar,W2788,V2789,"f",FALSE)</f>
        <v>58453</v>
      </c>
      <c r="X2789" s="203">
        <f>_xll.qlCalendarAdvance(Calendar,W2789,NDays&amp;"D")</f>
        <v>58455</v>
      </c>
      <c r="Y2789" s="204">
        <v>2.047550558128608E-2</v>
      </c>
      <c r="Z2789" s="201">
        <v>2.0461106106628435E-2</v>
      </c>
    </row>
    <row r="2790" spans="22:26" x14ac:dyDescent="0.2">
      <c r="V2790" s="202" t="str">
        <f t="shared" si="52"/>
        <v>1w</v>
      </c>
      <c r="W2790" s="200">
        <f>_xll.qlCalendarAdvance(Calendar,W2789,V2790,"f",FALSE)</f>
        <v>58460</v>
      </c>
      <c r="X2790" s="203">
        <f>_xll.qlCalendarAdvance(Calendar,W2790,NDays&amp;"D")</f>
        <v>58462</v>
      </c>
      <c r="Y2790" s="204">
        <v>2.047387517083693E-2</v>
      </c>
      <c r="Z2790" s="201">
        <v>2.0459457123278568E-2</v>
      </c>
    </row>
    <row r="2791" spans="22:26" x14ac:dyDescent="0.2">
      <c r="V2791" s="202" t="str">
        <f t="shared" si="52"/>
        <v>1w</v>
      </c>
      <c r="W2791" s="200">
        <f>_xll.qlCalendarAdvance(Calendar,W2790,V2791,"f",FALSE)</f>
        <v>58467</v>
      </c>
      <c r="X2791" s="203">
        <f>_xll.qlCalendarAdvance(Calendar,W2791,NDays&amp;"D")</f>
        <v>58469</v>
      </c>
      <c r="Y2791" s="204">
        <v>2.0470854223714387E-2</v>
      </c>
      <c r="Z2791" s="201">
        <v>2.0457817823542612E-2</v>
      </c>
    </row>
    <row r="2792" spans="22:26" x14ac:dyDescent="0.2">
      <c r="V2792" s="202" t="str">
        <f t="shared" si="52"/>
        <v>1w</v>
      </c>
      <c r="W2792" s="200">
        <f>_xll.qlCalendarAdvance(Calendar,W2791,V2792,"f",FALSE)</f>
        <v>58474</v>
      </c>
      <c r="X2792" s="203">
        <f>_xll.qlCalendarAdvance(Calendar,W2792,NDays&amp;"D")</f>
        <v>58476</v>
      </c>
      <c r="Y2792" s="204">
        <v>2.0469241411339701E-2</v>
      </c>
      <c r="Z2792" s="201">
        <v>2.0456188207500503E-2</v>
      </c>
    </row>
    <row r="2793" spans="22:26" x14ac:dyDescent="0.2">
      <c r="V2793" s="202" t="str">
        <f t="shared" si="52"/>
        <v>1w</v>
      </c>
      <c r="W2793" s="200">
        <f>_xll.qlCalendarAdvance(Calendar,W2792,V2793,"f",FALSE)</f>
        <v>58481</v>
      </c>
      <c r="X2793" s="203">
        <f>_xll.qlCalendarAdvance(Calendar,W2793,NDays&amp;"D")</f>
        <v>58483</v>
      </c>
      <c r="Y2793" s="204">
        <v>2.0467638298251906E-2</v>
      </c>
      <c r="Z2793" s="201">
        <v>2.0454568274992369E-2</v>
      </c>
    </row>
    <row r="2794" spans="22:26" x14ac:dyDescent="0.2">
      <c r="V2794" s="202" t="str">
        <f t="shared" si="52"/>
        <v>1w</v>
      </c>
      <c r="W2794" s="200">
        <f>_xll.qlCalendarAdvance(Calendar,W2793,V2794,"f",FALSE)</f>
        <v>58488</v>
      </c>
      <c r="X2794" s="203">
        <f>_xll.qlCalendarAdvance(Calendar,W2794,NDays&amp;"D")</f>
        <v>58490</v>
      </c>
      <c r="Y2794" s="204">
        <v>2.0466044884453756E-2</v>
      </c>
      <c r="Z2794" s="201">
        <v>2.0452958026337953E-2</v>
      </c>
    </row>
    <row r="2795" spans="22:26" x14ac:dyDescent="0.2">
      <c r="V2795" s="202" t="str">
        <f t="shared" si="52"/>
        <v>1w</v>
      </c>
      <c r="W2795" s="200">
        <f>_xll.qlCalendarAdvance(Calendar,W2794,V2795,"f",FALSE)</f>
        <v>58495</v>
      </c>
      <c r="X2795" s="203">
        <f>_xll.qlCalendarAdvance(Calendar,W2795,NDays&amp;"D")</f>
        <v>58497</v>
      </c>
      <c r="Y2795" s="204">
        <v>2.046446116993423E-2</v>
      </c>
      <c r="Z2795" s="201">
        <v>2.0451357461217512E-2</v>
      </c>
    </row>
    <row r="2796" spans="22:26" x14ac:dyDescent="0.2">
      <c r="V2796" s="202" t="str">
        <f t="shared" si="52"/>
        <v>1w</v>
      </c>
      <c r="W2796" s="200">
        <f>_xll.qlCalendarAdvance(Calendar,W2795,V2796,"f",FALSE)</f>
        <v>58502</v>
      </c>
      <c r="X2796" s="203">
        <f>_xll.qlCalendarAdvance(Calendar,W2796,NDays&amp;"D")</f>
        <v>58504</v>
      </c>
      <c r="Y2796" s="204">
        <v>2.0464296428382711E-2</v>
      </c>
      <c r="Z2796" s="201">
        <v>2.0449766579790918E-2</v>
      </c>
    </row>
    <row r="2797" spans="22:26" x14ac:dyDescent="0.2">
      <c r="V2797" s="202" t="str">
        <f t="shared" si="52"/>
        <v>1w</v>
      </c>
      <c r="W2797" s="200">
        <f>_xll.qlCalendarAdvance(Calendar,W2796,V2797,"f",FALSE)</f>
        <v>58509</v>
      </c>
      <c r="X2797" s="203">
        <f>_xll.qlCalendarAdvance(Calendar,W2797,NDays&amp;"D")</f>
        <v>58511</v>
      </c>
      <c r="Y2797" s="204">
        <v>2.0462733924641319E-2</v>
      </c>
      <c r="Z2797" s="201">
        <v>2.0448185381978234E-2</v>
      </c>
    </row>
    <row r="2798" spans="22:26" x14ac:dyDescent="0.2">
      <c r="V2798" s="202" t="str">
        <f t="shared" si="52"/>
        <v>1w</v>
      </c>
      <c r="W2798" s="200">
        <f>_xll.qlCalendarAdvance(Calendar,W2797,V2798,"f",FALSE)</f>
        <v>58516</v>
      </c>
      <c r="X2798" s="203">
        <f>_xll.qlCalendarAdvance(Calendar,W2798,NDays&amp;"D")</f>
        <v>58518</v>
      </c>
      <c r="Y2798" s="204">
        <v>2.0461652239428026E-2</v>
      </c>
      <c r="Z2798" s="201">
        <v>2.044661386801927E-2</v>
      </c>
    </row>
    <row r="2799" spans="22:26" x14ac:dyDescent="0.2">
      <c r="V2799" s="202" t="str">
        <f t="shared" si="52"/>
        <v>1w</v>
      </c>
      <c r="W2799" s="200">
        <f>_xll.qlCalendarAdvance(Calendar,W2798,V2799,"f",FALSE)</f>
        <v>58523</v>
      </c>
      <c r="X2799" s="203">
        <f>_xll.qlCalendarAdvance(Calendar,W2799,NDays&amp;"D")</f>
        <v>58525</v>
      </c>
      <c r="Y2799" s="204">
        <v>2.0459638019983684E-2</v>
      </c>
      <c r="Z2799" s="201">
        <v>2.044505203759428E-2</v>
      </c>
    </row>
    <row r="2800" spans="22:26" x14ac:dyDescent="0.2">
      <c r="V2800" s="202" t="str">
        <f t="shared" si="52"/>
        <v>1w</v>
      </c>
      <c r="W2800" s="200">
        <f>_xll.qlCalendarAdvance(Calendar,W2799,V2800,"f",FALSE)</f>
        <v>58530</v>
      </c>
      <c r="X2800" s="203">
        <f>_xll.qlCalendarAdvance(Calendar,W2800,NDays&amp;"D")</f>
        <v>58532</v>
      </c>
      <c r="Y2800" s="204">
        <v>2.0458104619057449E-2</v>
      </c>
      <c r="Z2800" s="201">
        <v>2.0443499890863137E-2</v>
      </c>
    </row>
    <row r="2801" spans="22:26" x14ac:dyDescent="0.2">
      <c r="V2801" s="202" t="str">
        <f t="shared" si="52"/>
        <v>1w</v>
      </c>
      <c r="W2801" s="200">
        <f>_xll.qlCalendarAdvance(Calendar,W2800,V2801,"f",FALSE)</f>
        <v>58537</v>
      </c>
      <c r="X2801" s="203">
        <f>_xll.qlCalendarAdvance(Calendar,W2801,NDays&amp;"D")</f>
        <v>58539</v>
      </c>
      <c r="Y2801" s="204">
        <v>2.0456580919061274E-2</v>
      </c>
      <c r="Z2801" s="201">
        <v>2.0441957427825841E-2</v>
      </c>
    </row>
    <row r="2802" spans="22:26" x14ac:dyDescent="0.2">
      <c r="V2802" s="202" t="str">
        <f t="shared" si="52"/>
        <v>1w</v>
      </c>
      <c r="W2802" s="200">
        <f>_xll.qlCalendarAdvance(Calendar,W2801,V2802,"f",FALSE)</f>
        <v>58544</v>
      </c>
      <c r="X2802" s="203">
        <f>_xll.qlCalendarAdvance(Calendar,W2802,NDays&amp;"D")</f>
        <v>58546</v>
      </c>
      <c r="Y2802" s="204">
        <v>2.0455066919992659E-2</v>
      </c>
      <c r="Z2802" s="201">
        <v>2.0442309892523269E-2</v>
      </c>
    </row>
    <row r="2803" spans="22:26" x14ac:dyDescent="0.2">
      <c r="V2803" s="202" t="str">
        <f t="shared" si="52"/>
        <v>1w</v>
      </c>
      <c r="W2803" s="200">
        <f>_xll.qlCalendarAdvance(Calendar,W2802,V2803,"f",FALSE)</f>
        <v>58551</v>
      </c>
      <c r="X2803" s="203">
        <f>_xll.qlCalendarAdvance(Calendar,W2803,NDays&amp;"D")</f>
        <v>58553</v>
      </c>
      <c r="Y2803" s="204">
        <v>2.0453562621849108E-2</v>
      </c>
      <c r="Z2803" s="201">
        <v>2.0438901552752853E-2</v>
      </c>
    </row>
    <row r="2804" spans="22:26" x14ac:dyDescent="0.2">
      <c r="V2804" s="202" t="str">
        <f t="shared" si="52"/>
        <v>1w</v>
      </c>
      <c r="W2804" s="200">
        <f>_xll.qlCalendarAdvance(Calendar,W2803,V2804,"f",FALSE)</f>
        <v>58558</v>
      </c>
      <c r="X2804" s="203">
        <f>_xll.qlCalendarAdvance(Calendar,W2804,NDays&amp;"D")</f>
        <v>58560</v>
      </c>
      <c r="Y2804" s="204">
        <v>2.0452068024618131E-2</v>
      </c>
      <c r="Z2804" s="201">
        <v>2.0437388140717161E-2</v>
      </c>
    </row>
    <row r="2805" spans="22:26" x14ac:dyDescent="0.2">
      <c r="V2805" s="202" t="str">
        <f t="shared" si="52"/>
        <v>1w</v>
      </c>
      <c r="W2805" s="200">
        <f>_xll.qlCalendarAdvance(Calendar,W2804,V2805,"f",FALSE)</f>
        <v>58565</v>
      </c>
      <c r="X2805" s="203">
        <f>_xll.qlCalendarAdvance(Calendar,W2805,NDays&amp;"D")</f>
        <v>58567</v>
      </c>
      <c r="Y2805" s="204">
        <v>2.045058312830722E-2</v>
      </c>
      <c r="Z2805" s="201">
        <v>2.0435884412375316E-2</v>
      </c>
    </row>
    <row r="2806" spans="22:26" x14ac:dyDescent="0.2">
      <c r="V2806" s="202" t="str">
        <f t="shared" si="52"/>
        <v>1w</v>
      </c>
      <c r="W2806" s="200">
        <f>_xll.qlCalendarAdvance(Calendar,W2805,V2806,"f",FALSE)</f>
        <v>58572</v>
      </c>
      <c r="X2806" s="203">
        <f>_xll.qlCalendarAdvance(Calendar,W2806,NDays&amp;"D")</f>
        <v>58574</v>
      </c>
      <c r="Y2806" s="204">
        <v>2.0449107932903887E-2</v>
      </c>
      <c r="Z2806" s="201">
        <v>2.0434390367727318E-2</v>
      </c>
    </row>
    <row r="2807" spans="22:26" x14ac:dyDescent="0.2">
      <c r="V2807" s="202" t="str">
        <f t="shared" si="52"/>
        <v>1w</v>
      </c>
      <c r="W2807" s="200">
        <f>_xll.qlCalendarAdvance(Calendar,W2806,V2807,"f",FALSE)</f>
        <v>58579</v>
      </c>
      <c r="X2807" s="203">
        <f>_xll.qlCalendarAdvance(Calendar,W2807,NDays&amp;"D")</f>
        <v>58581</v>
      </c>
      <c r="Y2807" s="204">
        <v>2.0447642438405633E-2</v>
      </c>
      <c r="Z2807" s="201">
        <v>2.0432906006613294E-2</v>
      </c>
    </row>
    <row r="2808" spans="22:26" x14ac:dyDescent="0.2">
      <c r="V2808" s="202" t="str">
        <f t="shared" si="52"/>
        <v>1w</v>
      </c>
      <c r="W2808" s="200">
        <f>_xll.qlCalendarAdvance(Calendar,W2807,V2808,"f",FALSE)</f>
        <v>58586</v>
      </c>
      <c r="X2808" s="203">
        <f>_xll.qlCalendarAdvance(Calendar,W2808,NDays&amp;"D")</f>
        <v>58588</v>
      </c>
      <c r="Y2808" s="204">
        <v>2.0446186644814957E-2</v>
      </c>
      <c r="Z2808" s="201">
        <v>2.0431431329193117E-2</v>
      </c>
    </row>
    <row r="2809" spans="22:26" x14ac:dyDescent="0.2">
      <c r="V2809" s="202" t="str">
        <f t="shared" si="52"/>
        <v>1w</v>
      </c>
      <c r="W2809" s="200">
        <f>_xll.qlCalendarAdvance(Calendar,W2808,V2809,"f",FALSE)</f>
        <v>58593</v>
      </c>
      <c r="X2809" s="203">
        <f>_xll.qlCalendarAdvance(Calendar,W2809,NDays&amp;"D")</f>
        <v>58595</v>
      </c>
      <c r="Y2809" s="204">
        <v>2.0444740552124363E-2</v>
      </c>
      <c r="Z2809" s="201">
        <v>2.0429966335626659E-2</v>
      </c>
    </row>
    <row r="2810" spans="22:26" x14ac:dyDescent="0.2">
      <c r="V2810" s="202" t="str">
        <f t="shared" si="52"/>
        <v>1w</v>
      </c>
      <c r="W2810" s="200">
        <f>_xll.qlCalendarAdvance(Calendar,W2809,V2810,"f",FALSE)</f>
        <v>58600</v>
      </c>
      <c r="X2810" s="203">
        <f>_xll.qlCalendarAdvance(Calendar,W2810,NDays&amp;"D")</f>
        <v>58602</v>
      </c>
      <c r="Y2810" s="204">
        <v>2.0443304160326359E-2</v>
      </c>
      <c r="Z2810" s="201">
        <v>2.0428511025594176E-2</v>
      </c>
    </row>
    <row r="2811" spans="22:26" x14ac:dyDescent="0.2">
      <c r="V2811" s="202" t="str">
        <f t="shared" si="52"/>
        <v>1w</v>
      </c>
      <c r="W2811" s="200">
        <f>_xll.qlCalendarAdvance(Calendar,W2810,V2811,"f",FALSE)</f>
        <v>58607</v>
      </c>
      <c r="X2811" s="203">
        <f>_xll.qlCalendarAdvance(Calendar,W2811,NDays&amp;"D")</f>
        <v>58609</v>
      </c>
      <c r="Y2811" s="204">
        <v>2.0441877469418446E-2</v>
      </c>
      <c r="Z2811" s="201">
        <v>2.0427065399175603E-2</v>
      </c>
    </row>
    <row r="2812" spans="22:26" x14ac:dyDescent="0.2">
      <c r="V2812" s="202" t="str">
        <f t="shared" si="52"/>
        <v>1w</v>
      </c>
      <c r="W2812" s="200">
        <f>_xll.qlCalendarAdvance(Calendar,W2811,V2812,"f",FALSE)</f>
        <v>58614</v>
      </c>
      <c r="X2812" s="203">
        <f>_xll.qlCalendarAdvance(Calendar,W2812,NDays&amp;"D")</f>
        <v>58616</v>
      </c>
      <c r="Y2812" s="204">
        <v>2.0440460479403122E-2</v>
      </c>
      <c r="Z2812" s="201">
        <v>2.042562945661075E-2</v>
      </c>
    </row>
    <row r="2813" spans="22:26" x14ac:dyDescent="0.2">
      <c r="V2813" s="202" t="str">
        <f t="shared" si="52"/>
        <v>1w</v>
      </c>
      <c r="W2813" s="200">
        <f>_xll.qlCalendarAdvance(Calendar,W2812,V2813,"f",FALSE)</f>
        <v>58621</v>
      </c>
      <c r="X2813" s="203">
        <f>_xll.qlCalendarAdvance(Calendar,W2813,NDays&amp;"D")</f>
        <v>58623</v>
      </c>
      <c r="Y2813" s="204">
        <v>2.0439053190272893E-2</v>
      </c>
      <c r="Z2813" s="201">
        <v>2.0424203197579871E-2</v>
      </c>
    </row>
    <row r="2814" spans="22:26" x14ac:dyDescent="0.2">
      <c r="V2814" s="202" t="str">
        <f t="shared" si="52"/>
        <v>1w</v>
      </c>
      <c r="W2814" s="200">
        <f>_xll.qlCalendarAdvance(Calendar,W2813,V2814,"f",FALSE)</f>
        <v>58628</v>
      </c>
      <c r="X2814" s="203">
        <f>_xll.qlCalendarAdvance(Calendar,W2814,NDays&amp;"D")</f>
        <v>58630</v>
      </c>
      <c r="Y2814" s="204">
        <v>2.0437655602022764E-2</v>
      </c>
      <c r="Z2814" s="201">
        <v>2.0422786622242839E-2</v>
      </c>
    </row>
    <row r="2815" spans="22:26" x14ac:dyDescent="0.2">
      <c r="V2815" s="202" t="str">
        <f t="shared" si="52"/>
        <v>1w</v>
      </c>
      <c r="W2815" s="200">
        <f>_xll.qlCalendarAdvance(Calendar,W2814,V2815,"f",FALSE)</f>
        <v>58635</v>
      </c>
      <c r="X2815" s="203">
        <f>_xll.qlCalendarAdvance(Calendar,W2815,NDays&amp;"D")</f>
        <v>58637</v>
      </c>
      <c r="Y2815" s="204">
        <v>2.0436267714647738E-2</v>
      </c>
      <c r="Z2815" s="201">
        <v>2.0421379730519718E-2</v>
      </c>
    </row>
    <row r="2816" spans="22:26" x14ac:dyDescent="0.2">
      <c r="V2816" s="202" t="str">
        <f t="shared" si="52"/>
        <v>1w</v>
      </c>
      <c r="W2816" s="200">
        <f>_xll.qlCalendarAdvance(Calendar,W2815,V2816,"f",FALSE)</f>
        <v>58642</v>
      </c>
      <c r="X2816" s="203">
        <f>_xll.qlCalendarAdvance(Calendar,W2816,NDays&amp;"D")</f>
        <v>58644</v>
      </c>
      <c r="Y2816" s="204">
        <v>2.0434889528147815E-2</v>
      </c>
      <c r="Z2816" s="201">
        <v>2.0419982522570379E-2</v>
      </c>
    </row>
    <row r="2817" spans="22:26" x14ac:dyDescent="0.2">
      <c r="V2817" s="202" t="str">
        <f t="shared" si="52"/>
        <v>1w</v>
      </c>
      <c r="W2817" s="200">
        <f>_xll.qlCalendarAdvance(Calendar,W2816,V2817,"f",FALSE)</f>
        <v>58649</v>
      </c>
      <c r="X2817" s="203">
        <f>_xll.qlCalendarAdvance(Calendar,W2817,NDays&amp;"D")</f>
        <v>58651</v>
      </c>
      <c r="Y2817" s="204">
        <v>2.0433521042520497E-2</v>
      </c>
      <c r="Z2817" s="201">
        <v>2.0418594998234951E-2</v>
      </c>
    </row>
    <row r="2818" spans="22:26" x14ac:dyDescent="0.2">
      <c r="V2818" s="202" t="str">
        <f t="shared" si="52"/>
        <v>1w</v>
      </c>
      <c r="W2818" s="200">
        <f>_xll.qlCalendarAdvance(Calendar,W2817,V2818,"f",FALSE)</f>
        <v>58656</v>
      </c>
      <c r="X2818" s="203">
        <f>_xll.qlCalendarAdvance(Calendar,W2818,NDays&amp;"D")</f>
        <v>58658</v>
      </c>
      <c r="Y2818" s="204">
        <v>2.0432162257755793E-2</v>
      </c>
      <c r="Z2818" s="201">
        <v>2.0417217157513434E-2</v>
      </c>
    </row>
    <row r="2819" spans="22:26" x14ac:dyDescent="0.2">
      <c r="V2819" s="202" t="str">
        <f t="shared" si="52"/>
        <v>1w</v>
      </c>
      <c r="W2819" s="200">
        <f>_xll.qlCalendarAdvance(Calendar,W2818,V2819,"f",FALSE)</f>
        <v>58663</v>
      </c>
      <c r="X2819" s="203">
        <f>_xll.qlCalendarAdvance(Calendar,W2819,NDays&amp;"D")</f>
        <v>58665</v>
      </c>
      <c r="Y2819" s="204">
        <v>2.0430813173853701E-2</v>
      </c>
      <c r="Z2819" s="201">
        <v>2.0415849000485764E-2</v>
      </c>
    </row>
    <row r="2820" spans="22:26" x14ac:dyDescent="0.2">
      <c r="V2820" s="202" t="str">
        <f t="shared" si="52"/>
        <v>1w</v>
      </c>
      <c r="W2820" s="200">
        <f>_xll.qlCalendarAdvance(Calendar,W2819,V2820,"f",FALSE)</f>
        <v>58670</v>
      </c>
      <c r="X2820" s="203">
        <f>_xll.qlCalendarAdvance(Calendar,W2820,NDays&amp;"D")</f>
        <v>58672</v>
      </c>
      <c r="Y2820" s="204">
        <v>2.0429473790819219E-2</v>
      </c>
      <c r="Z2820" s="201">
        <v>2.0414490527231877E-2</v>
      </c>
    </row>
    <row r="2821" spans="22:26" x14ac:dyDescent="0.2">
      <c r="V2821" s="202" t="str">
        <f t="shared" si="52"/>
        <v>1w</v>
      </c>
      <c r="W2821" s="200">
        <f>_xll.qlCalendarAdvance(Calendar,W2820,V2821,"f",FALSE)</f>
        <v>58677</v>
      </c>
      <c r="X2821" s="203">
        <f>_xll.qlCalendarAdvance(Calendar,W2821,NDays&amp;"D")</f>
        <v>58679</v>
      </c>
      <c r="Y2821" s="204">
        <v>2.042814410863486E-2</v>
      </c>
      <c r="Z2821" s="201">
        <v>2.04131417375919E-2</v>
      </c>
    </row>
    <row r="2822" spans="22:26" x14ac:dyDescent="0.2">
      <c r="V2822" s="202" t="str">
        <f t="shared" si="52"/>
        <v>1w</v>
      </c>
      <c r="W2822" s="200">
        <f>_xll.qlCalendarAdvance(Calendar,W2821,V2822,"f",FALSE)</f>
        <v>58684</v>
      </c>
      <c r="X2822" s="203">
        <f>_xll.qlCalendarAdvance(Calendar,W2822,NDays&amp;"D")</f>
        <v>58686</v>
      </c>
      <c r="Y2822" s="204">
        <v>2.0426824127303123E-2</v>
      </c>
      <c r="Z2822" s="201">
        <v>2.0411802631485898E-2</v>
      </c>
    </row>
    <row r="2823" spans="22:26" x14ac:dyDescent="0.2">
      <c r="V2823" s="202" t="str">
        <f t="shared" si="52"/>
        <v>1w</v>
      </c>
      <c r="W2823" s="200">
        <f>_xll.qlCalendarAdvance(Calendar,W2822,V2823,"f",FALSE)</f>
        <v>58691</v>
      </c>
      <c r="X2823" s="203">
        <f>_xll.qlCalendarAdvance(Calendar,W2823,NDays&amp;"D")</f>
        <v>58693</v>
      </c>
      <c r="Y2823" s="204">
        <v>2.0425513846821508E-2</v>
      </c>
      <c r="Z2823" s="201">
        <v>2.0410473209233615E-2</v>
      </c>
    </row>
    <row r="2824" spans="22:26" x14ac:dyDescent="0.2">
      <c r="V2824" s="202" t="str">
        <f t="shared" si="52"/>
        <v>1w</v>
      </c>
      <c r="W2824" s="200">
        <f>_xll.qlCalendarAdvance(Calendar,W2823,V2824,"f",FALSE)</f>
        <v>58698</v>
      </c>
      <c r="X2824" s="203">
        <f>_xll.qlCalendarAdvance(Calendar,W2824,NDays&amp;"D")</f>
        <v>58700</v>
      </c>
      <c r="Y2824" s="204">
        <v>2.0424213267190017E-2</v>
      </c>
      <c r="Z2824" s="201">
        <v>2.0409153470595243E-2</v>
      </c>
    </row>
    <row r="2825" spans="22:26" x14ac:dyDescent="0.2">
      <c r="V2825" s="202" t="str">
        <f t="shared" si="52"/>
        <v>1w</v>
      </c>
      <c r="W2825" s="200">
        <f>_xll.qlCalendarAdvance(Calendar,W2824,V2825,"f",FALSE)</f>
        <v>58705</v>
      </c>
      <c r="X2825" s="203">
        <f>_xll.qlCalendarAdvance(Calendar,W2825,NDays&amp;"D")</f>
        <v>58707</v>
      </c>
      <c r="Y2825" s="204">
        <v>2.0422922388396159E-2</v>
      </c>
      <c r="Z2825" s="201">
        <v>2.0407843415650717E-2</v>
      </c>
    </row>
    <row r="2826" spans="22:26" x14ac:dyDescent="0.2">
      <c r="V2826" s="202" t="str">
        <f t="shared" si="52"/>
        <v>1w</v>
      </c>
      <c r="W2826" s="200">
        <f>_xll.qlCalendarAdvance(Calendar,W2825,V2826,"f",FALSE)</f>
        <v>58712</v>
      </c>
      <c r="X2826" s="203">
        <f>_xll.qlCalendarAdvance(Calendar,W2826,NDays&amp;"D")</f>
        <v>58714</v>
      </c>
      <c r="Y2826" s="204">
        <v>2.0420176844067203E-2</v>
      </c>
      <c r="Z2826" s="201">
        <v>2.0406543044240166E-2</v>
      </c>
    </row>
    <row r="2827" spans="22:26" x14ac:dyDescent="0.2">
      <c r="V2827" s="202" t="str">
        <f t="shared" si="52"/>
        <v>1w</v>
      </c>
      <c r="W2827" s="200">
        <f>_xll.qlCalendarAdvance(Calendar,W2826,V2827,"f",FALSE)</f>
        <v>58719</v>
      </c>
      <c r="X2827" s="203">
        <f>_xll.qlCalendarAdvance(Calendar,W2827,NDays&amp;"D")</f>
        <v>58721</v>
      </c>
      <c r="Y2827" s="204">
        <v>2.0420369733328836E-2</v>
      </c>
      <c r="Z2827" s="201">
        <v>2.0405252356603398E-2</v>
      </c>
    </row>
    <row r="2828" spans="22:26" x14ac:dyDescent="0.2">
      <c r="V2828" s="202" t="str">
        <f t="shared" si="52"/>
        <v>1w</v>
      </c>
      <c r="W2828" s="200">
        <f>_xll.qlCalendarAdvance(Calendar,W2827,V2828,"f",FALSE)</f>
        <v>58726</v>
      </c>
      <c r="X2828" s="203">
        <f>_xll.qlCalendarAdvance(Calendar,W2828,NDays&amp;"D")</f>
        <v>58728</v>
      </c>
      <c r="Y2828" s="204">
        <v>2.0419107957045379E-2</v>
      </c>
      <c r="Z2828" s="201">
        <v>2.0403971352660477E-2</v>
      </c>
    </row>
    <row r="2829" spans="22:26" x14ac:dyDescent="0.2">
      <c r="V2829" s="202" t="str">
        <f t="shared" si="52"/>
        <v>1w</v>
      </c>
      <c r="W2829" s="200">
        <f>_xll.qlCalendarAdvance(Calendar,W2828,V2829,"f",FALSE)</f>
        <v>58733</v>
      </c>
      <c r="X2829" s="203">
        <f>_xll.qlCalendarAdvance(Calendar,W2829,NDays&amp;"D")</f>
        <v>58735</v>
      </c>
      <c r="Y2829" s="204">
        <v>2.0417855881589564E-2</v>
      </c>
      <c r="Z2829" s="201">
        <v>2.0402700032331467E-2</v>
      </c>
    </row>
    <row r="2830" spans="22:26" x14ac:dyDescent="0.2">
      <c r="V2830" s="202" t="str">
        <f t="shared" si="52"/>
        <v>1w</v>
      </c>
      <c r="W2830" s="200">
        <f>_xll.qlCalendarAdvance(Calendar,W2829,V2830,"f",FALSE)</f>
        <v>58740</v>
      </c>
      <c r="X2830" s="203">
        <f>_xll.qlCalendarAdvance(Calendar,W2830,NDays&amp;"D")</f>
        <v>58742</v>
      </c>
      <c r="Y2830" s="204">
        <v>2.041661350696139E-2</v>
      </c>
      <c r="Z2830" s="201">
        <v>2.0401438395696303E-2</v>
      </c>
    </row>
    <row r="2831" spans="22:26" x14ac:dyDescent="0.2">
      <c r="V2831" s="202" t="str">
        <f t="shared" si="52"/>
        <v>1w</v>
      </c>
      <c r="W2831" s="200">
        <f>_xll.qlCalendarAdvance(Calendar,W2830,V2831,"f",FALSE)</f>
        <v>58747</v>
      </c>
      <c r="X2831" s="203">
        <f>_xll.qlCalendarAdvance(Calendar,W2831,NDays&amp;"D")</f>
        <v>58749</v>
      </c>
      <c r="Y2831" s="204">
        <v>2.0415380833158359E-2</v>
      </c>
      <c r="Z2831" s="201">
        <v>2.0400186442754986E-2</v>
      </c>
    </row>
    <row r="2832" spans="22:26" x14ac:dyDescent="0.2">
      <c r="V2832" s="202" t="str">
        <f t="shared" si="52"/>
        <v>1w</v>
      </c>
      <c r="W2832" s="200">
        <f>_xll.qlCalendarAdvance(Calendar,W2831,V2832,"f",FALSE)</f>
        <v>58754</v>
      </c>
      <c r="X2832" s="203">
        <f>_xll.qlCalendarAdvance(Calendar,W2832,NDays&amp;"D")</f>
        <v>58756</v>
      </c>
      <c r="Y2832" s="204">
        <v>2.0414157860172977E-2</v>
      </c>
      <c r="Z2832" s="201">
        <v>2.039894417342758E-2</v>
      </c>
    </row>
    <row r="2833" spans="22:26" x14ac:dyDescent="0.2">
      <c r="V2833" s="202" t="str">
        <f t="shared" si="52"/>
        <v>1w</v>
      </c>
      <c r="W2833" s="200">
        <f>_xll.qlCalendarAdvance(Calendar,W2832,V2833,"f",FALSE)</f>
        <v>58761</v>
      </c>
      <c r="X2833" s="203">
        <f>_xll.qlCalendarAdvance(Calendar,W2833,NDays&amp;"D")</f>
        <v>58763</v>
      </c>
      <c r="Y2833" s="204">
        <v>2.0412944588002746E-2</v>
      </c>
      <c r="Z2833" s="201">
        <v>2.0397711587714085E-2</v>
      </c>
    </row>
    <row r="2834" spans="22:26" x14ac:dyDescent="0.2">
      <c r="V2834" s="202" t="str">
        <f t="shared" si="52"/>
        <v>1w</v>
      </c>
      <c r="W2834" s="200">
        <f>_xll.qlCalendarAdvance(Calendar,W2833,V2834,"f",FALSE)</f>
        <v>58768</v>
      </c>
      <c r="X2834" s="203">
        <f>_xll.qlCalendarAdvance(Calendar,W2834,NDays&amp;"D")</f>
        <v>58770</v>
      </c>
      <c r="Y2834" s="204">
        <v>2.0411741016652662E-2</v>
      </c>
      <c r="Z2834" s="201">
        <v>2.0396488685774372E-2</v>
      </c>
    </row>
    <row r="2835" spans="22:26" x14ac:dyDescent="0.2">
      <c r="V2835" s="202" t="str">
        <f t="shared" si="52"/>
        <v>1w</v>
      </c>
      <c r="W2835" s="200">
        <f>_xll.qlCalendarAdvance(Calendar,W2834,V2835,"f",FALSE)</f>
        <v>58775</v>
      </c>
      <c r="X2835" s="203">
        <f>_xll.qlCalendarAdvance(Calendar,W2835,NDays&amp;"D")</f>
        <v>58777</v>
      </c>
      <c r="Y2835" s="204">
        <v>2.041054714610524E-2</v>
      </c>
      <c r="Z2835" s="201">
        <v>2.039527546744857E-2</v>
      </c>
    </row>
    <row r="2836" spans="22:26" x14ac:dyDescent="0.2">
      <c r="V2836" s="202" t="str">
        <f t="shared" si="52"/>
        <v>1w</v>
      </c>
      <c r="W2836" s="200">
        <f>_xll.qlCalendarAdvance(Calendar,W2835,V2836,"f",FALSE)</f>
        <v>58782</v>
      </c>
      <c r="X2836" s="203">
        <f>_xll.qlCalendarAdvance(Calendar,W2836,NDays&amp;"D")</f>
        <v>58784</v>
      </c>
      <c r="Y2836" s="204">
        <v>2.0409362976367973E-2</v>
      </c>
      <c r="Z2836" s="201">
        <v>2.0394071932736679E-2</v>
      </c>
    </row>
    <row r="2837" spans="22:26" x14ac:dyDescent="0.2">
      <c r="V2837" s="202" t="str">
        <f t="shared" ref="V2837:V2900" si="53">V2836</f>
        <v>1w</v>
      </c>
      <c r="W2837" s="200">
        <f>_xll.qlCalendarAdvance(Calendar,W2836,V2837,"f",FALSE)</f>
        <v>58789</v>
      </c>
      <c r="X2837" s="203">
        <f>_xll.qlCalendarAdvance(Calendar,W2837,NDays&amp;"D")</f>
        <v>58791</v>
      </c>
      <c r="Y2837" s="204">
        <v>2.0408188507435865E-2</v>
      </c>
      <c r="Z2837" s="201">
        <v>2.0392878081798571E-2</v>
      </c>
    </row>
    <row r="2838" spans="22:26" x14ac:dyDescent="0.2">
      <c r="V2838" s="202" t="str">
        <f t="shared" si="53"/>
        <v>1w</v>
      </c>
      <c r="W2838" s="200">
        <f>_xll.qlCalendarAdvance(Calendar,W2837,V2838,"f",FALSE)</f>
        <v>58796</v>
      </c>
      <c r="X2838" s="203">
        <f>_xll.qlCalendarAdvance(Calendar,W2838,NDays&amp;"D")</f>
        <v>58798</v>
      </c>
      <c r="Y2838" s="204">
        <v>2.0407023739308916E-2</v>
      </c>
      <c r="Z2838" s="201">
        <v>2.039169391455431E-2</v>
      </c>
    </row>
    <row r="2839" spans="22:26" x14ac:dyDescent="0.2">
      <c r="V2839" s="202" t="str">
        <f t="shared" si="53"/>
        <v>1w</v>
      </c>
      <c r="W2839" s="200">
        <f>_xll.qlCalendarAdvance(Calendar,W2838,V2839,"f",FALSE)</f>
        <v>58803</v>
      </c>
      <c r="X2839" s="203">
        <f>_xll.qlCalendarAdvance(Calendar,W2839,NDays&amp;"D")</f>
        <v>58805</v>
      </c>
      <c r="Y2839" s="204">
        <v>2.0405868671977134E-2</v>
      </c>
      <c r="Z2839" s="201">
        <v>2.0390519430923959E-2</v>
      </c>
    </row>
    <row r="2840" spans="22:26" x14ac:dyDescent="0.2">
      <c r="V2840" s="202" t="str">
        <f t="shared" si="53"/>
        <v>1w</v>
      </c>
      <c r="W2840" s="200">
        <f>_xll.qlCalendarAdvance(Calendar,W2839,V2840,"f",FALSE)</f>
        <v>58810</v>
      </c>
      <c r="X2840" s="203">
        <f>_xll.qlCalendarAdvance(Calendar,W2840,NDays&amp;"D")</f>
        <v>58812</v>
      </c>
      <c r="Y2840" s="204">
        <v>2.0404723305435524E-2</v>
      </c>
      <c r="Z2840" s="201">
        <v>2.0389354630827583E-2</v>
      </c>
    </row>
    <row r="2841" spans="22:26" x14ac:dyDescent="0.2">
      <c r="V2841" s="202" t="str">
        <f t="shared" si="53"/>
        <v>1w</v>
      </c>
      <c r="W2841" s="200">
        <f>_xll.qlCalendarAdvance(Calendar,W2840,V2841,"f",FALSE)</f>
        <v>58817</v>
      </c>
      <c r="X2841" s="203">
        <f>_xll.qlCalendarAdvance(Calendar,W2841,NDays&amp;"D")</f>
        <v>58819</v>
      </c>
      <c r="Y2841" s="204">
        <v>2.0403587639694076E-2</v>
      </c>
      <c r="Z2841" s="201">
        <v>2.0388199514584926E-2</v>
      </c>
    </row>
    <row r="2842" spans="22:26" x14ac:dyDescent="0.2">
      <c r="V2842" s="202" t="str">
        <f t="shared" si="53"/>
        <v>1w</v>
      </c>
      <c r="W2842" s="200">
        <f>_xll.qlCalendarAdvance(Calendar,W2841,V2842,"f",FALSE)</f>
        <v>58824</v>
      </c>
      <c r="X2842" s="203">
        <f>_xll.qlCalendarAdvance(Calendar,W2842,NDays&amp;"D")</f>
        <v>58826</v>
      </c>
      <c r="Y2842" s="204">
        <v>2.0402461674737804E-2</v>
      </c>
      <c r="Z2842" s="201">
        <v>2.0387054081876244E-2</v>
      </c>
    </row>
    <row r="2843" spans="22:26" x14ac:dyDescent="0.2">
      <c r="V2843" s="202" t="str">
        <f t="shared" si="53"/>
        <v>1w</v>
      </c>
      <c r="W2843" s="200">
        <f>_xll.qlCalendarAdvance(Calendar,W2842,V2843,"f",FALSE)</f>
        <v>58831</v>
      </c>
      <c r="X2843" s="203">
        <f>_xll.qlCalendarAdvance(Calendar,W2843,NDays&amp;"D")</f>
        <v>58833</v>
      </c>
      <c r="Y2843" s="204">
        <v>2.0401345410571703E-2</v>
      </c>
      <c r="Z2843" s="201">
        <v>2.0385918332941344E-2</v>
      </c>
    </row>
    <row r="2844" spans="22:26" x14ac:dyDescent="0.2">
      <c r="V2844" s="202" t="str">
        <f t="shared" si="53"/>
        <v>1w</v>
      </c>
      <c r="W2844" s="200">
        <f>_xll.qlCalendarAdvance(Calendar,W2843,V2844,"f",FALSE)</f>
        <v>58838</v>
      </c>
      <c r="X2844" s="203">
        <f>_xll.qlCalendarAdvance(Calendar,W2844,NDays&amp;"D")</f>
        <v>58840</v>
      </c>
      <c r="Y2844" s="204">
        <v>2.0398241484192208E-2</v>
      </c>
      <c r="Z2844" s="201">
        <v>2.0384792267620355E-2</v>
      </c>
    </row>
    <row r="2845" spans="22:26" x14ac:dyDescent="0.2">
      <c r="V2845" s="202" t="str">
        <f t="shared" si="53"/>
        <v>1w</v>
      </c>
      <c r="W2845" s="200">
        <f>_xll.qlCalendarAdvance(Calendar,W2844,V2845,"f",FALSE)</f>
        <v>58845</v>
      </c>
      <c r="X2845" s="203">
        <f>_xll.qlCalendarAdvance(Calendar,W2845,NDays&amp;"D")</f>
        <v>58847</v>
      </c>
      <c r="Y2845" s="204">
        <v>2.0397142098935093E-2</v>
      </c>
      <c r="Z2845" s="201">
        <v>2.0383675885993213E-2</v>
      </c>
    </row>
    <row r="2846" spans="22:26" x14ac:dyDescent="0.2">
      <c r="V2846" s="202" t="str">
        <f t="shared" si="53"/>
        <v>1w</v>
      </c>
      <c r="W2846" s="200">
        <f>_xll.qlCalendarAdvance(Calendar,W2845,V2846,"f",FALSE)</f>
        <v>58852</v>
      </c>
      <c r="X2846" s="203">
        <f>_xll.qlCalendarAdvance(Calendar,W2846,NDays&amp;"D")</f>
        <v>58854</v>
      </c>
      <c r="Y2846" s="204">
        <v>2.0396052412242786E-2</v>
      </c>
      <c r="Z2846" s="201">
        <v>2.0382569187979982E-2</v>
      </c>
    </row>
    <row r="2847" spans="22:26" x14ac:dyDescent="0.2">
      <c r="V2847" s="202" t="str">
        <f t="shared" si="53"/>
        <v>1w</v>
      </c>
      <c r="W2847" s="200">
        <f>_xll.qlCalendarAdvance(Calendar,W2846,V2847,"f",FALSE)</f>
        <v>58859</v>
      </c>
      <c r="X2847" s="203">
        <f>_xll.qlCalendarAdvance(Calendar,W2847,NDays&amp;"D")</f>
        <v>58861</v>
      </c>
      <c r="Y2847" s="204">
        <v>2.0394972424120996E-2</v>
      </c>
      <c r="Z2847" s="201">
        <v>2.0381472173740534E-2</v>
      </c>
    </row>
    <row r="2848" spans="22:26" x14ac:dyDescent="0.2">
      <c r="V2848" s="202" t="str">
        <f t="shared" si="53"/>
        <v>1w</v>
      </c>
      <c r="W2848" s="200">
        <f>_xll.qlCalendarAdvance(Calendar,W2847,V2848,"f",FALSE)</f>
        <v>58866</v>
      </c>
      <c r="X2848" s="203">
        <f>_xll.qlCalendarAdvance(Calendar,W2848,NDays&amp;"D")</f>
        <v>58868</v>
      </c>
      <c r="Y2848" s="204">
        <v>2.0395909601426399E-2</v>
      </c>
      <c r="Z2848" s="201">
        <v>2.038038484303506E-2</v>
      </c>
    </row>
    <row r="2849" spans="22:26" x14ac:dyDescent="0.2">
      <c r="V2849" s="202" t="str">
        <f t="shared" si="53"/>
        <v>1w</v>
      </c>
      <c r="W2849" s="200">
        <f>_xll.qlCalendarAdvance(Calendar,W2848,V2849,"f",FALSE)</f>
        <v>58873</v>
      </c>
      <c r="X2849" s="203">
        <f>_xll.qlCalendarAdvance(Calendar,W2849,NDays&amp;"D")</f>
        <v>58875</v>
      </c>
      <c r="Y2849" s="204">
        <v>2.0395354239789949E-2</v>
      </c>
      <c r="Z2849" s="201">
        <v>2.0379307196103369E-2</v>
      </c>
    </row>
    <row r="2850" spans="22:26" x14ac:dyDescent="0.2">
      <c r="V2850" s="202" t="str">
        <f t="shared" si="53"/>
        <v>1w</v>
      </c>
      <c r="W2850" s="200">
        <f>_xll.qlCalendarAdvance(Calendar,W2849,V2850,"f",FALSE)</f>
        <v>58880</v>
      </c>
      <c r="X2850" s="203">
        <f>_xll.qlCalendarAdvance(Calendar,W2850,NDays&amp;"D")</f>
        <v>58882</v>
      </c>
      <c r="Y2850" s="204">
        <v>2.0393803183179071E-2</v>
      </c>
      <c r="Z2850" s="201">
        <v>2.0378239232865525E-2</v>
      </c>
    </row>
    <row r="2851" spans="22:26" x14ac:dyDescent="0.2">
      <c r="V2851" s="202" t="str">
        <f t="shared" si="53"/>
        <v>1w</v>
      </c>
      <c r="W2851" s="200">
        <f>_xll.qlCalendarAdvance(Calendar,W2850,V2851,"f",FALSE)</f>
        <v>58887</v>
      </c>
      <c r="X2851" s="203">
        <f>_xll.qlCalendarAdvance(Calendar,W2851,NDays&amp;"D")</f>
        <v>58889</v>
      </c>
      <c r="Y2851" s="204">
        <v>2.0392764525196949E-2</v>
      </c>
      <c r="Z2851" s="201">
        <v>2.0377180953001783E-2</v>
      </c>
    </row>
    <row r="2852" spans="22:26" x14ac:dyDescent="0.2">
      <c r="V2852" s="202" t="str">
        <f t="shared" si="53"/>
        <v>1w</v>
      </c>
      <c r="W2852" s="200">
        <f>_xll.qlCalendarAdvance(Calendar,W2851,V2852,"f",FALSE)</f>
        <v>58894</v>
      </c>
      <c r="X2852" s="203">
        <f>_xll.qlCalendarAdvance(Calendar,W2852,NDays&amp;"D")</f>
        <v>58896</v>
      </c>
      <c r="Y2852" s="204">
        <v>2.0390222244149457E-2</v>
      </c>
      <c r="Z2852" s="201">
        <v>2.0376132357151633E-2</v>
      </c>
    </row>
    <row r="2853" spans="22:26" x14ac:dyDescent="0.2">
      <c r="V2853" s="202" t="str">
        <f t="shared" si="53"/>
        <v>1w</v>
      </c>
      <c r="W2853" s="200">
        <f>_xll.qlCalendarAdvance(Calendar,W2852,V2853,"f",FALSE)</f>
        <v>58901</v>
      </c>
      <c r="X2853" s="203">
        <f>_xll.qlCalendarAdvance(Calendar,W2853,NDays&amp;"D")</f>
        <v>58903</v>
      </c>
      <c r="Y2853" s="204">
        <v>2.0390716311528279E-2</v>
      </c>
      <c r="Z2853" s="201">
        <v>2.0377105010709329E-2</v>
      </c>
    </row>
    <row r="2854" spans="22:26" x14ac:dyDescent="0.2">
      <c r="V2854" s="202" t="str">
        <f t="shared" si="53"/>
        <v>1w</v>
      </c>
      <c r="W2854" s="200">
        <f>_xll.qlCalendarAdvance(Calendar,W2853,V2854,"f",FALSE)</f>
        <v>58908</v>
      </c>
      <c r="X2854" s="203">
        <f>_xll.qlCalendarAdvance(Calendar,W2854,NDays&amp;"D")</f>
        <v>58910</v>
      </c>
      <c r="Y2854" s="204">
        <v>2.0389706755826742E-2</v>
      </c>
      <c r="Z2854" s="201">
        <v>2.0374064216133192E-2</v>
      </c>
    </row>
    <row r="2855" spans="22:26" x14ac:dyDescent="0.2">
      <c r="V2855" s="202" t="str">
        <f t="shared" si="53"/>
        <v>1w</v>
      </c>
      <c r="W2855" s="200">
        <f>_xll.qlCalendarAdvance(Calendar,W2854,V2855,"f",FALSE)</f>
        <v>58915</v>
      </c>
      <c r="X2855" s="203">
        <f>_xll.qlCalendarAdvance(Calendar,W2855,NDays&amp;"D")</f>
        <v>58917</v>
      </c>
      <c r="Y2855" s="204">
        <v>2.0388706900877906E-2</v>
      </c>
      <c r="Z2855" s="201">
        <v>2.0373044671124774E-2</v>
      </c>
    </row>
    <row r="2856" spans="22:26" x14ac:dyDescent="0.2">
      <c r="V2856" s="202" t="str">
        <f t="shared" si="53"/>
        <v>1w</v>
      </c>
      <c r="W2856" s="200">
        <f>_xll.qlCalendarAdvance(Calendar,W2855,V2856,"f",FALSE)</f>
        <v>58922</v>
      </c>
      <c r="X2856" s="203">
        <f>_xll.qlCalendarAdvance(Calendar,W2856,NDays&amp;"D")</f>
        <v>58924</v>
      </c>
      <c r="Y2856" s="204">
        <v>2.0387716746681772E-2</v>
      </c>
      <c r="Z2856" s="201">
        <v>2.0372034809810202E-2</v>
      </c>
    </row>
    <row r="2857" spans="22:26" x14ac:dyDescent="0.2">
      <c r="V2857" s="202" t="str">
        <f t="shared" si="53"/>
        <v>1w</v>
      </c>
      <c r="W2857" s="200">
        <f>_xll.qlCalendarAdvance(Calendar,W2856,V2857,"f",FALSE)</f>
        <v>58929</v>
      </c>
      <c r="X2857" s="203">
        <f>_xll.qlCalendarAdvance(Calendar,W2857,NDays&amp;"D")</f>
        <v>58931</v>
      </c>
      <c r="Y2857" s="204">
        <v>2.0386736293235841E-2</v>
      </c>
      <c r="Z2857" s="201">
        <v>2.0371034632189478E-2</v>
      </c>
    </row>
    <row r="2858" spans="22:26" x14ac:dyDescent="0.2">
      <c r="V2858" s="202" t="str">
        <f t="shared" si="53"/>
        <v>1w</v>
      </c>
      <c r="W2858" s="200">
        <f>_xll.qlCalendarAdvance(Calendar,W2857,V2858,"f",FALSE)</f>
        <v>58936</v>
      </c>
      <c r="X2858" s="203">
        <f>_xll.qlCalendarAdvance(Calendar,W2858,NDays&amp;"D")</f>
        <v>58938</v>
      </c>
      <c r="Y2858" s="204">
        <v>2.0385765540532619E-2</v>
      </c>
      <c r="Z2858" s="201">
        <v>2.0370044138102728E-2</v>
      </c>
    </row>
    <row r="2859" spans="22:26" x14ac:dyDescent="0.2">
      <c r="V2859" s="202" t="str">
        <f t="shared" si="53"/>
        <v>1w</v>
      </c>
      <c r="W2859" s="200">
        <f>_xll.qlCalendarAdvance(Calendar,W2858,V2859,"f",FALSE)</f>
        <v>58943</v>
      </c>
      <c r="X2859" s="203">
        <f>_xll.qlCalendarAdvance(Calendar,W2859,NDays&amp;"D")</f>
        <v>58945</v>
      </c>
      <c r="Y2859" s="204">
        <v>2.0384804488572106E-2</v>
      </c>
      <c r="Z2859" s="201">
        <v>2.0369063327869696E-2</v>
      </c>
    </row>
    <row r="2860" spans="22:26" x14ac:dyDescent="0.2">
      <c r="V2860" s="202" t="str">
        <f t="shared" si="53"/>
        <v>1w</v>
      </c>
      <c r="W2860" s="200">
        <f>_xll.qlCalendarAdvance(Calendar,W2859,V2860,"f",FALSE)</f>
        <v>58950</v>
      </c>
      <c r="X2860" s="203">
        <f>_xll.qlCalendarAdvance(Calendar,W2860,NDays&amp;"D")</f>
        <v>58952</v>
      </c>
      <c r="Y2860" s="204">
        <v>2.03838531373568E-2</v>
      </c>
      <c r="Z2860" s="201">
        <v>2.036809220117064E-2</v>
      </c>
    </row>
    <row r="2861" spans="22:26" x14ac:dyDescent="0.2">
      <c r="V2861" s="202" t="str">
        <f t="shared" si="53"/>
        <v>1w</v>
      </c>
      <c r="W2861" s="200">
        <f>_xll.qlCalendarAdvance(Calendar,W2860,V2861,"f",FALSE)</f>
        <v>58957</v>
      </c>
      <c r="X2861" s="203">
        <f>_xll.qlCalendarAdvance(Calendar,W2861,NDays&amp;"D")</f>
        <v>58959</v>
      </c>
      <c r="Y2861" s="204">
        <v>2.0382911486879207E-2</v>
      </c>
      <c r="Z2861" s="201">
        <v>2.036713075816543E-2</v>
      </c>
    </row>
    <row r="2862" spans="22:26" x14ac:dyDescent="0.2">
      <c r="V2862" s="202" t="str">
        <f t="shared" si="53"/>
        <v>1w</v>
      </c>
      <c r="W2862" s="200">
        <f>_xll.qlCalendarAdvance(Calendar,W2861,V2862,"f",FALSE)</f>
        <v>58964</v>
      </c>
      <c r="X2862" s="203">
        <f>_xll.qlCalendarAdvance(Calendar,W2862,NDays&amp;"D")</f>
        <v>58966</v>
      </c>
      <c r="Y2862" s="204">
        <v>2.0381979537134332E-2</v>
      </c>
      <c r="Z2862" s="201">
        <v>2.0366178998774132E-2</v>
      </c>
    </row>
    <row r="2863" spans="22:26" x14ac:dyDescent="0.2">
      <c r="V2863" s="202" t="str">
        <f t="shared" si="53"/>
        <v>1w</v>
      </c>
      <c r="W2863" s="200">
        <f>_xll.qlCalendarAdvance(Calendar,W2862,V2863,"f",FALSE)</f>
        <v>58971</v>
      </c>
      <c r="X2863" s="203">
        <f>_xll.qlCalendarAdvance(Calendar,W2863,NDays&amp;"D")</f>
        <v>58973</v>
      </c>
      <c r="Y2863" s="204">
        <v>2.0381057288129667E-2</v>
      </c>
      <c r="Z2863" s="201">
        <v>2.0365236923156615E-2</v>
      </c>
    </row>
    <row r="2864" spans="22:26" x14ac:dyDescent="0.2">
      <c r="V2864" s="202" t="str">
        <f t="shared" si="53"/>
        <v>1w</v>
      </c>
      <c r="W2864" s="200">
        <f>_xll.qlCalendarAdvance(Calendar,W2863,V2864,"f",FALSE)</f>
        <v>58978</v>
      </c>
      <c r="X2864" s="203">
        <f>_xll.qlCalendarAdvance(Calendar,W2864,NDays&amp;"D")</f>
        <v>58980</v>
      </c>
      <c r="Y2864" s="204">
        <v>2.0380144739850226E-2</v>
      </c>
      <c r="Z2864" s="201">
        <v>2.036430453115301E-2</v>
      </c>
    </row>
    <row r="2865" spans="22:26" x14ac:dyDescent="0.2">
      <c r="V2865" s="202" t="str">
        <f t="shared" si="53"/>
        <v>1w</v>
      </c>
      <c r="W2865" s="200">
        <f>_xll.qlCalendarAdvance(Calendar,W2864,V2865,"f",FALSE)</f>
        <v>58985</v>
      </c>
      <c r="X2865" s="203">
        <f>_xll.qlCalendarAdvance(Calendar,W2865,NDays&amp;"D")</f>
        <v>58987</v>
      </c>
      <c r="Y2865" s="204">
        <v>2.0377703669889488E-2</v>
      </c>
      <c r="Z2865" s="201">
        <v>2.0363381822763316E-2</v>
      </c>
    </row>
    <row r="2866" spans="22:26" x14ac:dyDescent="0.2">
      <c r="V2866" s="202" t="str">
        <f t="shared" si="53"/>
        <v>1w</v>
      </c>
      <c r="W2866" s="200">
        <f>_xll.qlCalendarAdvance(Calendar,W2865,V2866,"f",FALSE)</f>
        <v>58992</v>
      </c>
      <c r="X2866" s="203">
        <f>_xll.qlCalendarAdvance(Calendar,W2866,NDays&amp;"D")</f>
        <v>58994</v>
      </c>
      <c r="Y2866" s="204">
        <v>2.0378348745479502E-2</v>
      </c>
      <c r="Z2866" s="201">
        <v>2.0362468798067468E-2</v>
      </c>
    </row>
    <row r="2867" spans="22:26" x14ac:dyDescent="0.2">
      <c r="V2867" s="202" t="str">
        <f t="shared" si="53"/>
        <v>1w</v>
      </c>
      <c r="W2867" s="200">
        <f>_xll.qlCalendarAdvance(Calendar,W2866,V2867,"f",FALSE)</f>
        <v>58999</v>
      </c>
      <c r="X2867" s="203">
        <f>_xll.qlCalendarAdvance(Calendar,W2867,NDays&amp;"D")</f>
        <v>59001</v>
      </c>
      <c r="Y2867" s="204">
        <v>2.0377465299383224E-2</v>
      </c>
      <c r="Z2867" s="201">
        <v>2.0361565457145403E-2</v>
      </c>
    </row>
    <row r="2868" spans="22:26" x14ac:dyDescent="0.2">
      <c r="V2868" s="202" t="str">
        <f t="shared" si="53"/>
        <v>1w</v>
      </c>
      <c r="W2868" s="200">
        <f>_xll.qlCalendarAdvance(Calendar,W2867,V2868,"f",FALSE)</f>
        <v>59006</v>
      </c>
      <c r="X2868" s="203">
        <f>_xll.qlCalendarAdvance(Calendar,W2868,NDays&amp;"D")</f>
        <v>59008</v>
      </c>
      <c r="Y2868" s="204">
        <v>2.0376591554007173E-2</v>
      </c>
      <c r="Z2868" s="201">
        <v>2.0360671799837249E-2</v>
      </c>
    </row>
    <row r="2869" spans="22:26" x14ac:dyDescent="0.2">
      <c r="V2869" s="202" t="str">
        <f t="shared" si="53"/>
        <v>1w</v>
      </c>
      <c r="W2869" s="200">
        <f>_xll.qlCalendarAdvance(Calendar,W2868,V2869,"f",FALSE)</f>
        <v>59013</v>
      </c>
      <c r="X2869" s="203">
        <f>_xll.qlCalendarAdvance(Calendar,W2869,NDays&amp;"D")</f>
        <v>59015</v>
      </c>
      <c r="Y2869" s="204">
        <v>2.0375727509348851E-2</v>
      </c>
      <c r="Z2869" s="201">
        <v>2.0359787825983133E-2</v>
      </c>
    </row>
    <row r="2870" spans="22:26" x14ac:dyDescent="0.2">
      <c r="V2870" s="202" t="str">
        <f t="shared" si="53"/>
        <v>1w</v>
      </c>
      <c r="W2870" s="200">
        <f>_xll.qlCalendarAdvance(Calendar,W2869,V2870,"f",FALSE)</f>
        <v>59020</v>
      </c>
      <c r="X2870" s="203">
        <f>_xll.qlCalendarAdvance(Calendar,W2870,NDays&amp;"D")</f>
        <v>59022</v>
      </c>
      <c r="Y2870" s="204">
        <v>2.0374873165410756E-2</v>
      </c>
      <c r="Z2870" s="201">
        <v>2.0358913536062673E-2</v>
      </c>
    </row>
    <row r="2871" spans="22:26" x14ac:dyDescent="0.2">
      <c r="V2871" s="202" t="str">
        <f t="shared" si="53"/>
        <v>1w</v>
      </c>
      <c r="W2871" s="200">
        <f>_xll.qlCalendarAdvance(Calendar,W2870,V2871,"f",FALSE)</f>
        <v>59027</v>
      </c>
      <c r="X2871" s="203">
        <f>_xll.qlCalendarAdvance(Calendar,W2871,NDays&amp;"D")</f>
        <v>59029</v>
      </c>
      <c r="Y2871" s="204">
        <v>2.0374028522187893E-2</v>
      </c>
      <c r="Z2871" s="201">
        <v>2.0358048929676187E-2</v>
      </c>
    </row>
    <row r="2872" spans="22:26" x14ac:dyDescent="0.2">
      <c r="V2872" s="202" t="str">
        <f t="shared" si="53"/>
        <v>1w</v>
      </c>
      <c r="W2872" s="200">
        <f>_xll.qlCalendarAdvance(Calendar,W2871,V2872,"f",FALSE)</f>
        <v>59034</v>
      </c>
      <c r="X2872" s="203">
        <f>_xll.qlCalendarAdvance(Calendar,W2872,NDays&amp;"D")</f>
        <v>59036</v>
      </c>
      <c r="Y2872" s="204">
        <v>2.0373193579677762E-2</v>
      </c>
      <c r="Z2872" s="201">
        <v>2.0357194006983548E-2</v>
      </c>
    </row>
    <row r="2873" spans="22:26" x14ac:dyDescent="0.2">
      <c r="V2873" s="202" t="str">
        <f t="shared" si="53"/>
        <v>1w</v>
      </c>
      <c r="W2873" s="200">
        <f>_xll.qlCalendarAdvance(Calendar,W2872,V2873,"f",FALSE)</f>
        <v>59041</v>
      </c>
      <c r="X2873" s="203">
        <f>_xll.qlCalendarAdvance(Calendar,W2873,NDays&amp;"D")</f>
        <v>59043</v>
      </c>
      <c r="Y2873" s="204">
        <v>2.0372368337877866E-2</v>
      </c>
      <c r="Z2873" s="201">
        <v>2.0356348767984755E-2</v>
      </c>
    </row>
    <row r="2874" spans="22:26" x14ac:dyDescent="0.2">
      <c r="V2874" s="202" t="str">
        <f t="shared" si="53"/>
        <v>1w</v>
      </c>
      <c r="W2874" s="200">
        <f>_xll.qlCalendarAdvance(Calendar,W2873,V2874,"f",FALSE)</f>
        <v>59048</v>
      </c>
      <c r="X2874" s="203">
        <f>_xll.qlCalendarAdvance(Calendar,W2874,NDays&amp;"D")</f>
        <v>59050</v>
      </c>
      <c r="Y2874" s="204">
        <v>2.0371552796790704E-2</v>
      </c>
      <c r="Z2874" s="201">
        <v>2.0355513212599874E-2</v>
      </c>
    </row>
    <row r="2875" spans="22:26" x14ac:dyDescent="0.2">
      <c r="V2875" s="202" t="str">
        <f t="shared" si="53"/>
        <v>1w</v>
      </c>
      <c r="W2875" s="200">
        <f>_xll.qlCalendarAdvance(Calendar,W2874,V2875,"f",FALSE)</f>
        <v>59055</v>
      </c>
      <c r="X2875" s="203">
        <f>_xll.qlCalendarAdvance(Calendar,W2875,NDays&amp;"D")</f>
        <v>59057</v>
      </c>
      <c r="Y2875" s="204">
        <v>2.0370746956406283E-2</v>
      </c>
      <c r="Z2875" s="201">
        <v>2.0354687340908839E-2</v>
      </c>
    </row>
    <row r="2876" spans="22:26" x14ac:dyDescent="0.2">
      <c r="V2876" s="202" t="str">
        <f t="shared" si="53"/>
        <v>1w</v>
      </c>
      <c r="W2876" s="200">
        <f>_xll.qlCalendarAdvance(Calendar,W2875,V2876,"f",FALSE)</f>
        <v>59062</v>
      </c>
      <c r="X2876" s="203">
        <f>_xll.qlCalendarAdvance(Calendar,W2876,NDays&amp;"D")</f>
        <v>59064</v>
      </c>
      <c r="Y2876" s="204">
        <v>2.03699508167271E-2</v>
      </c>
      <c r="Z2876" s="201">
        <v>2.0353871152751779E-2</v>
      </c>
    </row>
    <row r="2877" spans="22:26" x14ac:dyDescent="0.2">
      <c r="V2877" s="202" t="str">
        <f t="shared" si="53"/>
        <v>1w</v>
      </c>
      <c r="W2877" s="200">
        <f>_xll.qlCalendarAdvance(Calendar,W2876,V2877,"f",FALSE)</f>
        <v>59069</v>
      </c>
      <c r="X2877" s="203">
        <f>_xll.qlCalendarAdvance(Calendar,W2877,NDays&amp;"D")</f>
        <v>59071</v>
      </c>
      <c r="Y2877" s="204">
        <v>2.0369164377750659E-2</v>
      </c>
      <c r="Z2877" s="201">
        <v>2.0353064648368502E-2</v>
      </c>
    </row>
    <row r="2878" spans="22:26" x14ac:dyDescent="0.2">
      <c r="V2878" s="202" t="str">
        <f t="shared" si="53"/>
        <v>1w</v>
      </c>
      <c r="W2878" s="200">
        <f>_xll.qlCalendarAdvance(Calendar,W2877,V2878,"f",FALSE)</f>
        <v>59076</v>
      </c>
      <c r="X2878" s="203">
        <f>_xll.qlCalendarAdvance(Calendar,W2878,NDays&amp;"D")</f>
        <v>59078</v>
      </c>
      <c r="Y2878" s="204">
        <v>2.0368387639476959E-2</v>
      </c>
      <c r="Z2878" s="201">
        <v>2.0352267827759007E-2</v>
      </c>
    </row>
    <row r="2879" spans="22:26" x14ac:dyDescent="0.2">
      <c r="V2879" s="202" t="str">
        <f t="shared" si="53"/>
        <v>1w</v>
      </c>
      <c r="W2879" s="200">
        <f>_xll.qlCalendarAdvance(Calendar,W2878,V2879,"f",FALSE)</f>
        <v>59083</v>
      </c>
      <c r="X2879" s="203">
        <f>_xll.qlCalendarAdvance(Calendar,W2879,NDays&amp;"D")</f>
        <v>59085</v>
      </c>
      <c r="Y2879" s="204">
        <v>2.0367620601898506E-2</v>
      </c>
      <c r="Z2879" s="201">
        <v>2.0351480690683488E-2</v>
      </c>
    </row>
    <row r="2880" spans="22:26" x14ac:dyDescent="0.2">
      <c r="V2880" s="202" t="str">
        <f t="shared" si="53"/>
        <v>1w</v>
      </c>
      <c r="W2880" s="200">
        <f>_xll.qlCalendarAdvance(Calendar,W2879,V2880,"f",FALSE)</f>
        <v>59090</v>
      </c>
      <c r="X2880" s="203">
        <f>_xll.qlCalendarAdvance(Calendar,W2880,NDays&amp;"D")</f>
        <v>59092</v>
      </c>
      <c r="Y2880" s="204">
        <v>2.0366863265017798E-2</v>
      </c>
      <c r="Z2880" s="201">
        <v>2.0350703237301815E-2</v>
      </c>
    </row>
    <row r="2881" spans="22:26" x14ac:dyDescent="0.2">
      <c r="V2881" s="202" t="str">
        <f t="shared" si="53"/>
        <v>1w</v>
      </c>
      <c r="W2881" s="200">
        <f>_xll.qlCalendarAdvance(Calendar,W2880,V2881,"f",FALSE)</f>
        <v>59097</v>
      </c>
      <c r="X2881" s="203">
        <f>_xll.qlCalendarAdvance(Calendar,W2881,NDays&amp;"D")</f>
        <v>59099</v>
      </c>
      <c r="Y2881" s="204">
        <v>2.0366115628834836E-2</v>
      </c>
      <c r="Z2881" s="201">
        <v>2.0349935467613989E-2</v>
      </c>
    </row>
    <row r="2882" spans="22:26" x14ac:dyDescent="0.2">
      <c r="V2882" s="202" t="str">
        <f t="shared" si="53"/>
        <v>1w</v>
      </c>
      <c r="W2882" s="200">
        <f>_xll.qlCalendarAdvance(Calendar,W2881,V2882,"f",FALSE)</f>
        <v>59104</v>
      </c>
      <c r="X2882" s="203">
        <f>_xll.qlCalendarAdvance(Calendar,W2882,NDays&amp;"D")</f>
        <v>59106</v>
      </c>
      <c r="Y2882" s="204">
        <v>2.0365377693342124E-2</v>
      </c>
      <c r="Z2882" s="201">
        <v>2.0349177381540073E-2</v>
      </c>
    </row>
    <row r="2883" spans="22:26" x14ac:dyDescent="0.2">
      <c r="V2883" s="202" t="str">
        <f t="shared" si="53"/>
        <v>1w</v>
      </c>
      <c r="W2883" s="200">
        <f>_xll.qlCalendarAdvance(Calendar,W2882,V2883,"f",FALSE)</f>
        <v>59111</v>
      </c>
      <c r="X2883" s="203">
        <f>_xll.qlCalendarAdvance(Calendar,W2883,NDays&amp;"D")</f>
        <v>59113</v>
      </c>
      <c r="Y2883" s="204">
        <v>2.0364649458537165E-2</v>
      </c>
      <c r="Z2883" s="201">
        <v>2.0348428979080069E-2</v>
      </c>
    </row>
    <row r="2884" spans="22:26" x14ac:dyDescent="0.2">
      <c r="V2884" s="202" t="str">
        <f t="shared" si="53"/>
        <v>1w</v>
      </c>
      <c r="W2884" s="200">
        <f>_xll.qlCalendarAdvance(Calendar,W2883,V2884,"f",FALSE)</f>
        <v>59118</v>
      </c>
      <c r="X2884" s="203">
        <f>_xll.qlCalendarAdvance(Calendar,W2884,NDays&amp;"D")</f>
        <v>59120</v>
      </c>
      <c r="Y2884" s="204">
        <v>2.0363930924424956E-2</v>
      </c>
      <c r="Z2884" s="201">
        <v>2.0347690260393847E-2</v>
      </c>
    </row>
    <row r="2885" spans="22:26" x14ac:dyDescent="0.2">
      <c r="V2885" s="202" t="str">
        <f t="shared" si="53"/>
        <v>1w</v>
      </c>
      <c r="W2885" s="200">
        <f>_xll.qlCalendarAdvance(Calendar,W2884,V2885,"f",FALSE)</f>
        <v>59125</v>
      </c>
      <c r="X2885" s="203">
        <f>_xll.qlCalendarAdvance(Calendar,W2885,NDays&amp;"D")</f>
        <v>59127</v>
      </c>
      <c r="Y2885" s="204">
        <v>2.0363222091000499E-2</v>
      </c>
      <c r="Z2885" s="201">
        <v>2.0346961225321536E-2</v>
      </c>
    </row>
    <row r="2886" spans="22:26" x14ac:dyDescent="0.2">
      <c r="V2886" s="202" t="str">
        <f t="shared" si="53"/>
        <v>1w</v>
      </c>
      <c r="W2886" s="200">
        <f>_xll.qlCalendarAdvance(Calendar,W2885,V2886,"f",FALSE)</f>
        <v>59132</v>
      </c>
      <c r="X2886" s="203">
        <f>_xll.qlCalendarAdvance(Calendar,W2886,NDays&amp;"D")</f>
        <v>59134</v>
      </c>
      <c r="Y2886" s="204">
        <v>2.0363049466773316E-2</v>
      </c>
      <c r="Z2886" s="201">
        <v>2.0346241873943072E-2</v>
      </c>
    </row>
    <row r="2887" spans="22:26" x14ac:dyDescent="0.2">
      <c r="V2887" s="202" t="str">
        <f t="shared" si="53"/>
        <v>1w</v>
      </c>
      <c r="W2887" s="200">
        <f>_xll.qlCalendarAdvance(Calendar,W2886,V2887,"f",FALSE)</f>
        <v>59139</v>
      </c>
      <c r="X2887" s="203">
        <f>_xll.qlCalendarAdvance(Calendar,W2887,NDays&amp;"D")</f>
        <v>59141</v>
      </c>
      <c r="Y2887" s="204">
        <v>2.0361833526199857E-2</v>
      </c>
      <c r="Z2887" s="201">
        <v>2.0345532206178518E-2</v>
      </c>
    </row>
    <row r="2888" spans="22:26" x14ac:dyDescent="0.2">
      <c r="V2888" s="202" t="str">
        <f t="shared" si="53"/>
        <v>1w</v>
      </c>
      <c r="W2888" s="200">
        <f>_xll.qlCalendarAdvance(Calendar,W2887,V2888,"f",FALSE)</f>
        <v>59146</v>
      </c>
      <c r="X2888" s="203">
        <f>_xll.qlCalendarAdvance(Calendar,W2888,NDays&amp;"D")</f>
        <v>59148</v>
      </c>
      <c r="Y2888" s="204">
        <v>2.036115379482617E-2</v>
      </c>
      <c r="Z2888" s="201">
        <v>2.0344832222107812E-2</v>
      </c>
    </row>
    <row r="2889" spans="22:26" x14ac:dyDescent="0.2">
      <c r="V2889" s="202" t="str">
        <f t="shared" si="53"/>
        <v>1w</v>
      </c>
      <c r="W2889" s="200">
        <f>_xll.qlCalendarAdvance(Calendar,W2888,V2889,"f",FALSE)</f>
        <v>59153</v>
      </c>
      <c r="X2889" s="203">
        <f>_xll.qlCalendarAdvance(Calendar,W2889,NDays&amp;"D")</f>
        <v>59155</v>
      </c>
      <c r="Y2889" s="204">
        <v>2.0360483764130244E-2</v>
      </c>
      <c r="Z2889" s="201">
        <v>2.0344141921730952E-2</v>
      </c>
    </row>
    <row r="2890" spans="22:26" x14ac:dyDescent="0.2">
      <c r="V2890" s="202" t="str">
        <f t="shared" si="53"/>
        <v>1w</v>
      </c>
      <c r="W2890" s="200">
        <f>_xll.qlCalendarAdvance(Calendar,W2889,V2890,"f",FALSE)</f>
        <v>59160</v>
      </c>
      <c r="X2890" s="203">
        <f>_xll.qlCalendarAdvance(Calendar,W2890,NDays&amp;"D")</f>
        <v>59162</v>
      </c>
      <c r="Y2890" s="204">
        <v>2.0359823434112079E-2</v>
      </c>
      <c r="Z2890" s="201">
        <v>2.0343461304888066E-2</v>
      </c>
    </row>
    <row r="2891" spans="22:26" x14ac:dyDescent="0.2">
      <c r="V2891" s="202" t="str">
        <f t="shared" si="53"/>
        <v>1w</v>
      </c>
      <c r="W2891" s="200">
        <f>_xll.qlCalendarAdvance(Calendar,W2890,V2891,"f",FALSE)</f>
        <v>59167</v>
      </c>
      <c r="X2891" s="203">
        <f>_xll.qlCalendarAdvance(Calendar,W2891,NDays&amp;"D")</f>
        <v>59169</v>
      </c>
      <c r="Y2891" s="204">
        <v>2.0359172804771675E-2</v>
      </c>
      <c r="Z2891" s="201">
        <v>2.0342790371739028E-2</v>
      </c>
    </row>
    <row r="2892" spans="22:26" x14ac:dyDescent="0.2">
      <c r="V2892" s="202" t="str">
        <f t="shared" si="53"/>
        <v>1w</v>
      </c>
      <c r="W2892" s="200">
        <f>_xll.qlCalendarAdvance(Calendar,W2891,V2892,"f",FALSE)</f>
        <v>59174</v>
      </c>
      <c r="X2892" s="203">
        <f>_xll.qlCalendarAdvance(Calendar,W2892,NDays&amp;"D")</f>
        <v>59176</v>
      </c>
      <c r="Y2892" s="204">
        <v>2.0358531876104036E-2</v>
      </c>
      <c r="Z2892" s="201">
        <v>2.0342129122363772E-2</v>
      </c>
    </row>
    <row r="2893" spans="22:26" x14ac:dyDescent="0.2">
      <c r="V2893" s="202" t="str">
        <f t="shared" si="53"/>
        <v>1w</v>
      </c>
      <c r="W2893" s="200">
        <f>_xll.qlCalendarAdvance(Calendar,W2892,V2893,"f",FALSE)</f>
        <v>59181</v>
      </c>
      <c r="X2893" s="203">
        <f>_xll.qlCalendarAdvance(Calendar,W2893,NDays&amp;"D")</f>
        <v>59183</v>
      </c>
      <c r="Y2893" s="204">
        <v>2.035790064811166E-2</v>
      </c>
      <c r="Z2893" s="201">
        <v>2.0341477556602428E-2</v>
      </c>
    </row>
    <row r="2894" spans="22:26" x14ac:dyDescent="0.2">
      <c r="V2894" s="202" t="str">
        <f t="shared" si="53"/>
        <v>1w</v>
      </c>
      <c r="W2894" s="200">
        <f>_xll.qlCalendarAdvance(Calendar,W2893,V2894,"f",FALSE)</f>
        <v>59188</v>
      </c>
      <c r="X2894" s="203">
        <f>_xll.qlCalendarAdvance(Calendar,W2894,NDays&amp;"D")</f>
        <v>59190</v>
      </c>
      <c r="Y2894" s="204">
        <v>2.0357279120789551E-2</v>
      </c>
      <c r="Z2894" s="201">
        <v>2.0340835674454993E-2</v>
      </c>
    </row>
    <row r="2895" spans="22:26" x14ac:dyDescent="0.2">
      <c r="V2895" s="202" t="str">
        <f t="shared" si="53"/>
        <v>1w</v>
      </c>
      <c r="W2895" s="200">
        <f>_xll.qlCalendarAdvance(Calendar,W2894,V2895,"f",FALSE)</f>
        <v>59195</v>
      </c>
      <c r="X2895" s="203">
        <f>_xll.qlCalendarAdvance(Calendar,W2895,NDays&amp;"D")</f>
        <v>59197</v>
      </c>
      <c r="Y2895" s="204">
        <v>2.0356667294137709E-2</v>
      </c>
      <c r="Z2895" s="201">
        <v>2.0340203476001406E-2</v>
      </c>
    </row>
    <row r="2896" spans="22:26" x14ac:dyDescent="0.2">
      <c r="V2896" s="202" t="str">
        <f t="shared" si="53"/>
        <v>1w</v>
      </c>
      <c r="W2896" s="200">
        <f>_xll.qlCalendarAdvance(Calendar,W2895,V2896,"f",FALSE)</f>
        <v>59202</v>
      </c>
      <c r="X2896" s="203">
        <f>_xll.qlCalendarAdvance(Calendar,W2896,NDays&amp;"D")</f>
        <v>59204</v>
      </c>
      <c r="Y2896" s="204">
        <v>2.0353933704726806E-2</v>
      </c>
      <c r="Z2896" s="201">
        <v>2.0339580961241666E-2</v>
      </c>
    </row>
    <row r="2897" spans="22:26" x14ac:dyDescent="0.2">
      <c r="V2897" s="202" t="str">
        <f t="shared" si="53"/>
        <v>1w</v>
      </c>
      <c r="W2897" s="200">
        <f>_xll.qlCalendarAdvance(Calendar,W2896,V2897,"f",FALSE)</f>
        <v>59209</v>
      </c>
      <c r="X2897" s="203">
        <f>_xll.qlCalendarAdvance(Calendar,W2897,NDays&amp;"D")</f>
        <v>59211</v>
      </c>
      <c r="Y2897" s="204">
        <v>2.035333864227892E-2</v>
      </c>
      <c r="Z2897" s="201">
        <v>2.0338968130175772E-2</v>
      </c>
    </row>
    <row r="2898" spans="22:26" x14ac:dyDescent="0.2">
      <c r="V2898" s="202" t="str">
        <f t="shared" si="53"/>
        <v>1w</v>
      </c>
      <c r="W2898" s="200">
        <f>_xll.qlCalendarAdvance(Calendar,W2897,V2898,"f",FALSE)</f>
        <v>59216</v>
      </c>
      <c r="X2898" s="203">
        <f>_xll.qlCalendarAdvance(Calendar,W2898,NDays&amp;"D")</f>
        <v>59218</v>
      </c>
      <c r="Y2898" s="204">
        <v>2.0352753278293063E-2</v>
      </c>
      <c r="Z2898" s="201">
        <v>2.0338364982643853E-2</v>
      </c>
    </row>
    <row r="2899" spans="22:26" x14ac:dyDescent="0.2">
      <c r="V2899" s="202" t="str">
        <f t="shared" si="53"/>
        <v>1w</v>
      </c>
      <c r="W2899" s="200">
        <f>_xll.qlCalendarAdvance(Calendar,W2898,V2899,"f",FALSE)</f>
        <v>59223</v>
      </c>
      <c r="X2899" s="203">
        <f>_xll.qlCalendarAdvance(Calendar,W2899,NDays&amp;"D")</f>
        <v>59225</v>
      </c>
      <c r="Y2899" s="204">
        <v>2.0352177612777807E-2</v>
      </c>
      <c r="Z2899" s="201">
        <v>2.0337771518885717E-2</v>
      </c>
    </row>
    <row r="2900" spans="22:26" x14ac:dyDescent="0.2">
      <c r="V2900" s="202" t="str">
        <f t="shared" si="53"/>
        <v>1w</v>
      </c>
      <c r="W2900" s="200">
        <f>_xll.qlCalendarAdvance(Calendar,W2899,V2900,"f",FALSE)</f>
        <v>59230</v>
      </c>
      <c r="X2900" s="203">
        <f>_xll.qlCalendarAdvance(Calendar,W2900,NDays&amp;"D")</f>
        <v>59232</v>
      </c>
      <c r="Y2900" s="204">
        <v>2.0353753670875052E-2</v>
      </c>
      <c r="Z2900" s="201">
        <v>2.0337187738741491E-2</v>
      </c>
    </row>
    <row r="2901" spans="22:26" x14ac:dyDescent="0.2">
      <c r="V2901" s="202" t="str">
        <f t="shared" ref="V2901:V2964" si="54">V2900</f>
        <v>1w</v>
      </c>
      <c r="W2901" s="200">
        <f>_xll.qlCalendarAdvance(Calendar,W2900,V2901,"f",FALSE)</f>
        <v>59237</v>
      </c>
      <c r="X2901" s="203">
        <f>_xll.qlCalendarAdvance(Calendar,W2901,NDays&amp;"D")</f>
        <v>59239</v>
      </c>
      <c r="Y2901" s="204">
        <v>2.0353200048209841E-2</v>
      </c>
      <c r="Z2901" s="201">
        <v>2.0336613642211177E-2</v>
      </c>
    </row>
    <row r="2902" spans="22:26" x14ac:dyDescent="0.2">
      <c r="V2902" s="202" t="str">
        <f t="shared" si="54"/>
        <v>1w</v>
      </c>
      <c r="W2902" s="200">
        <f>_xll.qlCalendarAdvance(Calendar,W2901,V2902,"f",FALSE)</f>
        <v>59244</v>
      </c>
      <c r="X2902" s="203">
        <f>_xll.qlCalendarAdvance(Calendar,W2902,NDays&amp;"D")</f>
        <v>59246</v>
      </c>
      <c r="Y2902" s="204">
        <v>2.0352656126202406E-2</v>
      </c>
      <c r="Z2902" s="201">
        <v>2.0336049229454645E-2</v>
      </c>
    </row>
    <row r="2903" spans="22:26" x14ac:dyDescent="0.2">
      <c r="V2903" s="202" t="str">
        <f t="shared" si="54"/>
        <v>1w</v>
      </c>
      <c r="W2903" s="200">
        <f>_xll.qlCalendarAdvance(Calendar,W2902,V2903,"f",FALSE)</f>
        <v>59251</v>
      </c>
      <c r="X2903" s="203">
        <f>_xll.qlCalendarAdvance(Calendar,W2903,NDays&amp;"D")</f>
        <v>59253</v>
      </c>
      <c r="Y2903" s="204">
        <v>2.0352121904857745E-2</v>
      </c>
      <c r="Z2903" s="201">
        <v>2.0337635478810512E-2</v>
      </c>
    </row>
    <row r="2904" spans="22:26" x14ac:dyDescent="0.2">
      <c r="V2904" s="202" t="str">
        <f t="shared" si="54"/>
        <v>1w</v>
      </c>
      <c r="W2904" s="200">
        <f>_xll.qlCalendarAdvance(Calendar,W2903,V2904,"f",FALSE)</f>
        <v>59258</v>
      </c>
      <c r="X2904" s="203">
        <f>_xll.qlCalendarAdvance(Calendar,W2904,NDays&amp;"D")</f>
        <v>59260</v>
      </c>
      <c r="Y2904" s="204">
        <v>2.034998279246699E-2</v>
      </c>
      <c r="Z2904" s="201">
        <v>2.0334949454783313E-2</v>
      </c>
    </row>
    <row r="2905" spans="22:26" x14ac:dyDescent="0.2">
      <c r="V2905" s="202" t="str">
        <f t="shared" si="54"/>
        <v>1w</v>
      </c>
      <c r="W2905" s="200">
        <f>_xll.qlCalendarAdvance(Calendar,W2904,V2905,"f",FALSE)</f>
        <v>59265</v>
      </c>
      <c r="X2905" s="203">
        <f>_xll.qlCalendarAdvance(Calendar,W2905,NDays&amp;"D")</f>
        <v>59267</v>
      </c>
      <c r="Y2905" s="204">
        <v>2.0351082564129264E-2</v>
      </c>
      <c r="Z2905" s="201">
        <v>2.033441409294845E-2</v>
      </c>
    </row>
    <row r="2906" spans="22:26" x14ac:dyDescent="0.2">
      <c r="V2906" s="202" t="str">
        <f t="shared" si="54"/>
        <v>1w</v>
      </c>
      <c r="W2906" s="200">
        <f>_xll.qlCalendarAdvance(Calendar,W2905,V2906,"f",FALSE)</f>
        <v>59272</v>
      </c>
      <c r="X2906" s="203">
        <f>_xll.qlCalendarAdvance(Calendar,W2906,NDays&amp;"D")</f>
        <v>59274</v>
      </c>
      <c r="Y2906" s="204">
        <v>2.0350577444747942E-2</v>
      </c>
      <c r="Z2906" s="201">
        <v>2.0333888414887369E-2</v>
      </c>
    </row>
    <row r="2907" spans="22:26" x14ac:dyDescent="0.2">
      <c r="V2907" s="202" t="str">
        <f t="shared" si="54"/>
        <v>1w</v>
      </c>
      <c r="W2907" s="200">
        <f>_xll.qlCalendarAdvance(Calendar,W2906,V2907,"f",FALSE)</f>
        <v>59279</v>
      </c>
      <c r="X2907" s="203">
        <f>_xll.qlCalendarAdvance(Calendar,W2907,NDays&amp;"D")</f>
        <v>59281</v>
      </c>
      <c r="Y2907" s="204">
        <v>2.0350082026021898E-2</v>
      </c>
      <c r="Z2907" s="201">
        <v>2.0333372420360263E-2</v>
      </c>
    </row>
    <row r="2908" spans="22:26" x14ac:dyDescent="0.2">
      <c r="V2908" s="202" t="str">
        <f t="shared" si="54"/>
        <v>1w</v>
      </c>
      <c r="W2908" s="200">
        <f>_xll.qlCalendarAdvance(Calendar,W2907,V2908,"f",FALSE)</f>
        <v>59286</v>
      </c>
      <c r="X2908" s="203">
        <f>_xll.qlCalendarAdvance(Calendar,W2908,NDays&amp;"D")</f>
        <v>59288</v>
      </c>
      <c r="Y2908" s="204">
        <v>2.034959630794364E-2</v>
      </c>
      <c r="Z2908" s="201">
        <v>2.033286610960694E-2</v>
      </c>
    </row>
    <row r="2909" spans="22:26" x14ac:dyDescent="0.2">
      <c r="V2909" s="202" t="str">
        <f t="shared" si="54"/>
        <v>1w</v>
      </c>
      <c r="W2909" s="200">
        <f>_xll.qlCalendarAdvance(Calendar,W2908,V2909,"f",FALSE)</f>
        <v>59293</v>
      </c>
      <c r="X2909" s="203">
        <f>_xll.qlCalendarAdvance(Calendar,W2909,NDays&amp;"D")</f>
        <v>59295</v>
      </c>
      <c r="Y2909" s="204">
        <v>2.0349120290515665E-2</v>
      </c>
      <c r="Z2909" s="201">
        <v>2.0332369482387591E-2</v>
      </c>
    </row>
    <row r="2910" spans="22:26" x14ac:dyDescent="0.2">
      <c r="V2910" s="202" t="str">
        <f t="shared" si="54"/>
        <v>1w</v>
      </c>
      <c r="W2910" s="200">
        <f>_xll.qlCalendarAdvance(Calendar,W2909,V2910,"f",FALSE)</f>
        <v>59300</v>
      </c>
      <c r="X2910" s="203">
        <f>_xll.qlCalendarAdvance(Calendar,W2910,NDays&amp;"D")</f>
        <v>59302</v>
      </c>
      <c r="Y2910" s="204">
        <v>2.0348653973735475E-2</v>
      </c>
      <c r="Z2910" s="201">
        <v>2.0331882538782153E-2</v>
      </c>
    </row>
    <row r="2911" spans="22:26" x14ac:dyDescent="0.2">
      <c r="V2911" s="202" t="str">
        <f t="shared" si="54"/>
        <v>1w</v>
      </c>
      <c r="W2911" s="200">
        <f>_xll.qlCalendarAdvance(Calendar,W2910,V2911,"f",FALSE)</f>
        <v>59307</v>
      </c>
      <c r="X2911" s="203">
        <f>_xll.qlCalendarAdvance(Calendar,W2911,NDays&amp;"D")</f>
        <v>59309</v>
      </c>
      <c r="Y2911" s="204">
        <v>2.0348197357608067E-2</v>
      </c>
      <c r="Z2911" s="201">
        <v>2.0331405279030434E-2</v>
      </c>
    </row>
    <row r="2912" spans="22:26" x14ac:dyDescent="0.2">
      <c r="V2912" s="202" t="str">
        <f t="shared" si="54"/>
        <v>1w</v>
      </c>
      <c r="W2912" s="200">
        <f>_xll.qlCalendarAdvance(Calendar,W2911,V2912,"f",FALSE)</f>
        <v>59314</v>
      </c>
      <c r="X2912" s="203">
        <f>_xll.qlCalendarAdvance(Calendar,W2912,NDays&amp;"D")</f>
        <v>59316</v>
      </c>
      <c r="Y2912" s="204">
        <v>2.0347750442118451E-2</v>
      </c>
      <c r="Z2912" s="201">
        <v>2.0330937702732754E-2</v>
      </c>
    </row>
    <row r="2913" spans="22:26" x14ac:dyDescent="0.2">
      <c r="V2913" s="202" t="str">
        <f t="shared" si="54"/>
        <v>1w</v>
      </c>
      <c r="W2913" s="200">
        <f>_xll.qlCalendarAdvance(Calendar,W2912,V2913,"f",FALSE)</f>
        <v>59321</v>
      </c>
      <c r="X2913" s="203">
        <f>_xll.qlCalendarAdvance(Calendar,W2913,NDays&amp;"D")</f>
        <v>59323</v>
      </c>
      <c r="Y2913" s="204">
        <v>2.0347313227281616E-2</v>
      </c>
      <c r="Z2913" s="201">
        <v>2.0330479810288793E-2</v>
      </c>
    </row>
    <row r="2914" spans="22:26" x14ac:dyDescent="0.2">
      <c r="V2914" s="202" t="str">
        <f t="shared" si="54"/>
        <v>1w</v>
      </c>
      <c r="W2914" s="200">
        <f>_xll.qlCalendarAdvance(Calendar,W2913,V2914,"f",FALSE)</f>
        <v>59328</v>
      </c>
      <c r="X2914" s="203">
        <f>_xll.qlCalendarAdvance(Calendar,W2914,NDays&amp;"D")</f>
        <v>59330</v>
      </c>
      <c r="Y2914" s="204">
        <v>2.034688571308757E-2</v>
      </c>
      <c r="Z2914" s="201">
        <v>2.0330031601378806E-2</v>
      </c>
    </row>
    <row r="2915" spans="22:26" x14ac:dyDescent="0.2">
      <c r="V2915" s="202" t="str">
        <f t="shared" si="54"/>
        <v>1w</v>
      </c>
      <c r="W2915" s="200">
        <f>_xll.qlCalendarAdvance(Calendar,W2914,V2915,"f",FALSE)</f>
        <v>59335</v>
      </c>
      <c r="X2915" s="203">
        <f>_xll.qlCalendarAdvance(Calendar,W2915,NDays&amp;"D")</f>
        <v>59337</v>
      </c>
      <c r="Y2915" s="204">
        <v>2.0346467899536314E-2</v>
      </c>
      <c r="Z2915" s="201">
        <v>2.0329593076162666E-2</v>
      </c>
    </row>
    <row r="2916" spans="22:26" x14ac:dyDescent="0.2">
      <c r="V2916" s="202" t="str">
        <f t="shared" si="54"/>
        <v>1w</v>
      </c>
      <c r="W2916" s="200">
        <f>_xll.qlCalendarAdvance(Calendar,W2915,V2916,"f",FALSE)</f>
        <v>59342</v>
      </c>
      <c r="X2916" s="203">
        <f>_xll.qlCalendarAdvance(Calendar,W2916,NDays&amp;"D")</f>
        <v>59344</v>
      </c>
      <c r="Y2916" s="204">
        <v>2.034605978662285E-2</v>
      </c>
      <c r="Z2916" s="201">
        <v>2.0329164234640373E-2</v>
      </c>
    </row>
    <row r="2917" spans="22:26" x14ac:dyDescent="0.2">
      <c r="V2917" s="202" t="str">
        <f t="shared" si="54"/>
        <v>1w</v>
      </c>
      <c r="W2917" s="200">
        <f>_xll.qlCalendarAdvance(Calendar,W2916,V2917,"f",FALSE)</f>
        <v>59349</v>
      </c>
      <c r="X2917" s="203">
        <f>_xll.qlCalendarAdvance(Calendar,W2917,NDays&amp;"D")</f>
        <v>59351</v>
      </c>
      <c r="Y2917" s="204">
        <v>2.0345661374357171E-2</v>
      </c>
      <c r="Z2917" s="201">
        <v>2.0328745076811927E-2</v>
      </c>
    </row>
    <row r="2918" spans="22:26" x14ac:dyDescent="0.2">
      <c r="V2918" s="202" t="str">
        <f t="shared" si="54"/>
        <v>1w</v>
      </c>
      <c r="W2918" s="200">
        <f>_xll.qlCalendarAdvance(Calendar,W2917,V2918,"f",FALSE)</f>
        <v>59356</v>
      </c>
      <c r="X2918" s="203">
        <f>_xll.qlCalendarAdvance(Calendar,W2918,NDays&amp;"D")</f>
        <v>59358</v>
      </c>
      <c r="Y2918" s="204">
        <v>2.0345272662726788E-2</v>
      </c>
      <c r="Z2918" s="201">
        <v>2.0328335602517456E-2</v>
      </c>
    </row>
    <row r="2919" spans="22:26" x14ac:dyDescent="0.2">
      <c r="V2919" s="202" t="str">
        <f t="shared" si="54"/>
        <v>1w</v>
      </c>
      <c r="W2919" s="200">
        <f>_xll.qlCalendarAdvance(Calendar,W2918,V2919,"f",FALSE)</f>
        <v>59363</v>
      </c>
      <c r="X2919" s="203">
        <f>_xll.qlCalendarAdvance(Calendar,W2919,NDays&amp;"D")</f>
        <v>59365</v>
      </c>
      <c r="Y2919" s="204">
        <v>2.0344893651734197E-2</v>
      </c>
      <c r="Z2919" s="201">
        <v>2.0327935811916831E-2</v>
      </c>
    </row>
    <row r="2920" spans="22:26" x14ac:dyDescent="0.2">
      <c r="V2920" s="202" t="str">
        <f t="shared" si="54"/>
        <v>1w</v>
      </c>
      <c r="W2920" s="200">
        <f>_xll.qlCalendarAdvance(Calendar,W2919,V2920,"f",FALSE)</f>
        <v>59370</v>
      </c>
      <c r="X2920" s="203">
        <f>_xll.qlCalendarAdvance(Calendar,W2920,NDays&amp;"D")</f>
        <v>59372</v>
      </c>
      <c r="Y2920" s="204">
        <v>2.0344524341381898E-2</v>
      </c>
      <c r="Z2920" s="201">
        <v>2.0327545705010053E-2</v>
      </c>
    </row>
    <row r="2921" spans="22:26" x14ac:dyDescent="0.2">
      <c r="V2921" s="202" t="str">
        <f t="shared" si="54"/>
        <v>1w</v>
      </c>
      <c r="W2921" s="200">
        <f>_xll.qlCalendarAdvance(Calendar,W2920,V2921,"f",FALSE)</f>
        <v>59377</v>
      </c>
      <c r="X2921" s="203">
        <f>_xll.qlCalendarAdvance(Calendar,W2921,NDays&amp;"D")</f>
        <v>59379</v>
      </c>
      <c r="Y2921" s="204">
        <v>2.0344164731667391E-2</v>
      </c>
      <c r="Z2921" s="201">
        <v>2.0327165281877058E-2</v>
      </c>
    </row>
    <row r="2922" spans="22:26" x14ac:dyDescent="0.2">
      <c r="V2922" s="202" t="str">
        <f t="shared" si="54"/>
        <v>1w</v>
      </c>
      <c r="W2922" s="200">
        <f>_xll.qlCalendarAdvance(Calendar,W2921,V2922,"f",FALSE)</f>
        <v>59384</v>
      </c>
      <c r="X2922" s="203">
        <f>_xll.qlCalendarAdvance(Calendar,W2922,NDays&amp;"D")</f>
        <v>59386</v>
      </c>
      <c r="Y2922" s="204">
        <v>2.034381482258818E-2</v>
      </c>
      <c r="Z2922" s="201">
        <v>2.0326794542278037E-2</v>
      </c>
    </row>
    <row r="2923" spans="22:26" x14ac:dyDescent="0.2">
      <c r="V2923" s="202" t="str">
        <f t="shared" si="54"/>
        <v>1w</v>
      </c>
      <c r="W2923" s="200">
        <f>_xll.qlCalendarAdvance(Calendar,W2922,V2923,"f",FALSE)</f>
        <v>59391</v>
      </c>
      <c r="X2923" s="203">
        <f>_xll.qlCalendarAdvance(Calendar,W2923,NDays&amp;"D")</f>
        <v>59393</v>
      </c>
      <c r="Y2923" s="204">
        <v>2.0343474614141765E-2</v>
      </c>
      <c r="Z2923" s="201">
        <v>2.0326433486292927E-2</v>
      </c>
    </row>
    <row r="2924" spans="22:26" x14ac:dyDescent="0.2">
      <c r="V2924" s="202" t="str">
        <f t="shared" si="54"/>
        <v>1w</v>
      </c>
      <c r="W2924" s="200">
        <f>_xll.qlCalendarAdvance(Calendar,W2923,V2924,"f",FALSE)</f>
        <v>59398</v>
      </c>
      <c r="X2924" s="203">
        <f>_xll.qlCalendarAdvance(Calendar,W2924,NDays&amp;"D")</f>
        <v>59400</v>
      </c>
      <c r="Y2924" s="204">
        <v>2.0343144106333144E-2</v>
      </c>
      <c r="Z2924" s="201">
        <v>2.0326082114161537E-2</v>
      </c>
    </row>
    <row r="2925" spans="22:26" x14ac:dyDescent="0.2">
      <c r="V2925" s="202" t="str">
        <f t="shared" si="54"/>
        <v>1w</v>
      </c>
      <c r="W2925" s="200">
        <f>_xll.qlCalendarAdvance(Calendar,W2924,V2925,"f",FALSE)</f>
        <v>59405</v>
      </c>
      <c r="X2925" s="203">
        <f>_xll.qlCalendarAdvance(Calendar,W2925,NDays&amp;"D")</f>
        <v>59407</v>
      </c>
      <c r="Y2925" s="204">
        <v>2.0342823299159818E-2</v>
      </c>
      <c r="Z2925" s="201">
        <v>2.0325740425484184E-2</v>
      </c>
    </row>
    <row r="2926" spans="22:26" x14ac:dyDescent="0.2">
      <c r="V2926" s="202" t="str">
        <f t="shared" si="54"/>
        <v>1w</v>
      </c>
      <c r="W2926" s="200">
        <f>_xll.qlCalendarAdvance(Calendar,W2925,V2926,"f",FALSE)</f>
        <v>59412</v>
      </c>
      <c r="X2926" s="203">
        <f>_xll.qlCalendarAdvance(Calendar,W2926,NDays&amp;"D")</f>
        <v>59414</v>
      </c>
      <c r="Y2926" s="204">
        <v>2.0340853416017695E-2</v>
      </c>
      <c r="Z2926" s="201">
        <v>2.0325408420580615E-2</v>
      </c>
    </row>
    <row r="2927" spans="22:26" x14ac:dyDescent="0.2">
      <c r="V2927" s="202" t="str">
        <f t="shared" si="54"/>
        <v>1w</v>
      </c>
      <c r="W2927" s="200">
        <f>_xll.qlCalendarAdvance(Calendar,W2926,V2927,"f",FALSE)</f>
        <v>59419</v>
      </c>
      <c r="X2927" s="203">
        <f>_xll.qlCalendarAdvance(Calendar,W2927,NDays&amp;"D")</f>
        <v>59421</v>
      </c>
      <c r="Y2927" s="204">
        <v>2.0342210786701564E-2</v>
      </c>
      <c r="Z2927" s="201">
        <v>2.0325086099290957E-2</v>
      </c>
    </row>
    <row r="2928" spans="22:26" x14ac:dyDescent="0.2">
      <c r="V2928" s="202" t="str">
        <f t="shared" si="54"/>
        <v>1w</v>
      </c>
      <c r="W2928" s="200">
        <f>_xll.qlCalendarAdvance(Calendar,W2927,V2928,"f",FALSE)</f>
        <v>59426</v>
      </c>
      <c r="X2928" s="203">
        <f>_xll.qlCalendarAdvance(Calendar,W2928,NDays&amp;"D")</f>
        <v>59428</v>
      </c>
      <c r="Y2928" s="204">
        <v>2.0341919081421633E-2</v>
      </c>
      <c r="Z2928" s="201">
        <v>2.0324773461775081E-2</v>
      </c>
    </row>
    <row r="2929" spans="22:26" x14ac:dyDescent="0.2">
      <c r="V2929" s="202" t="str">
        <f t="shared" si="54"/>
        <v>1w</v>
      </c>
      <c r="W2929" s="200">
        <f>_xll.qlCalendarAdvance(Calendar,W2928,V2929,"f",FALSE)</f>
        <v>59433</v>
      </c>
      <c r="X2929" s="203">
        <f>_xll.qlCalendarAdvance(Calendar,W2929,NDays&amp;"D")</f>
        <v>59435</v>
      </c>
      <c r="Y2929" s="204">
        <v>2.0341637076767005E-2</v>
      </c>
      <c r="Z2929" s="201">
        <v>2.032447050779318E-2</v>
      </c>
    </row>
    <row r="2930" spans="22:26" x14ac:dyDescent="0.2">
      <c r="V2930" s="202" t="str">
        <f t="shared" si="54"/>
        <v>1w</v>
      </c>
      <c r="W2930" s="200">
        <f>_xll.qlCalendarAdvance(Calendar,W2929,V2930,"f",FALSE)</f>
        <v>59440</v>
      </c>
      <c r="X2930" s="203">
        <f>_xll.qlCalendarAdvance(Calendar,W2930,NDays&amp;"D")</f>
        <v>59442</v>
      </c>
      <c r="Y2930" s="204">
        <v>2.0341364772745174E-2</v>
      </c>
      <c r="Z2930" s="201">
        <v>2.0324177237425189E-2</v>
      </c>
    </row>
    <row r="2931" spans="22:26" x14ac:dyDescent="0.2">
      <c r="V2931" s="202" t="str">
        <f t="shared" si="54"/>
        <v>1w</v>
      </c>
      <c r="W2931" s="200">
        <f>_xll.qlCalendarAdvance(Calendar,W2930,V2931,"f",FALSE)</f>
        <v>59447</v>
      </c>
      <c r="X2931" s="203">
        <f>_xll.qlCalendarAdvance(Calendar,W2931,NDays&amp;"D")</f>
        <v>59449</v>
      </c>
      <c r="Y2931" s="204">
        <v>2.0341102169353642E-2</v>
      </c>
      <c r="Z2931" s="201">
        <v>2.0323893650830982E-2</v>
      </c>
    </row>
    <row r="2932" spans="22:26" x14ac:dyDescent="0.2">
      <c r="V2932" s="202" t="str">
        <f t="shared" si="54"/>
        <v>1w</v>
      </c>
      <c r="W2932" s="200">
        <f>_xll.qlCalendarAdvance(Calendar,W2931,V2932,"f",FALSE)</f>
        <v>59454</v>
      </c>
      <c r="X2932" s="203">
        <f>_xll.qlCalendarAdvance(Calendar,W2932,NDays&amp;"D")</f>
        <v>59456</v>
      </c>
      <c r="Y2932" s="204">
        <v>2.0340849266589911E-2</v>
      </c>
      <c r="Z2932" s="201">
        <v>2.0323619747930621E-2</v>
      </c>
    </row>
    <row r="2933" spans="22:26" x14ac:dyDescent="0.2">
      <c r="V2933" s="202" t="str">
        <f t="shared" si="54"/>
        <v>1w</v>
      </c>
      <c r="W2933" s="200">
        <f>_xll.qlCalendarAdvance(Calendar,W2932,V2933,"f",FALSE)</f>
        <v>59461</v>
      </c>
      <c r="X2933" s="203">
        <f>_xll.qlCalendarAdvance(Calendar,W2933,NDays&amp;"D")</f>
        <v>59463</v>
      </c>
      <c r="Y2933" s="204">
        <v>2.0340606064451483E-2</v>
      </c>
      <c r="Z2933" s="201">
        <v>2.0323355528564235E-2</v>
      </c>
    </row>
    <row r="2934" spans="22:26" x14ac:dyDescent="0.2">
      <c r="V2934" s="202" t="str">
        <f t="shared" si="54"/>
        <v>1w</v>
      </c>
      <c r="W2934" s="200">
        <f>_xll.qlCalendarAdvance(Calendar,W2933,V2934,"f",FALSE)</f>
        <v>59468</v>
      </c>
      <c r="X2934" s="203">
        <f>_xll.qlCalendarAdvance(Calendar,W2934,NDays&amp;"D")</f>
        <v>59470</v>
      </c>
      <c r="Y2934" s="204">
        <v>2.0340372562943354E-2</v>
      </c>
      <c r="Z2934" s="201">
        <v>2.0323100992891696E-2</v>
      </c>
    </row>
    <row r="2935" spans="22:26" x14ac:dyDescent="0.2">
      <c r="V2935" s="202" t="str">
        <f t="shared" si="54"/>
        <v>1w</v>
      </c>
      <c r="W2935" s="200">
        <f>_xll.qlCalendarAdvance(Calendar,W2934,V2935,"f",FALSE)</f>
        <v>59475</v>
      </c>
      <c r="X2935" s="203">
        <f>_xll.qlCalendarAdvance(Calendar,W2935,NDays&amp;"D")</f>
        <v>59477</v>
      </c>
      <c r="Y2935" s="204">
        <v>2.034014876205803E-2</v>
      </c>
      <c r="Z2935" s="201">
        <v>2.0322856140913004E-2</v>
      </c>
    </row>
    <row r="2936" spans="22:26" x14ac:dyDescent="0.2">
      <c r="V2936" s="202" t="str">
        <f t="shared" si="54"/>
        <v>1w</v>
      </c>
      <c r="W2936" s="200">
        <f>_xll.qlCalendarAdvance(Calendar,W2935,V2936,"f",FALSE)</f>
        <v>59482</v>
      </c>
      <c r="X2936" s="203">
        <f>_xll.qlCalendarAdvance(Calendar,W2936,NDays&amp;"D")</f>
        <v>59484</v>
      </c>
      <c r="Y2936" s="204">
        <v>2.0339934661798009E-2</v>
      </c>
      <c r="Z2936" s="201">
        <v>2.0322620972628158E-2</v>
      </c>
    </row>
    <row r="2937" spans="22:26" x14ac:dyDescent="0.2">
      <c r="V2937" s="202" t="str">
        <f t="shared" si="54"/>
        <v>1w</v>
      </c>
      <c r="W2937" s="200">
        <f>_xll.qlCalendarAdvance(Calendar,W2936,V2937,"f",FALSE)</f>
        <v>59489</v>
      </c>
      <c r="X2937" s="203">
        <f>_xll.qlCalendarAdvance(Calendar,W2937,NDays&amp;"D")</f>
        <v>59491</v>
      </c>
      <c r="Y2937" s="204">
        <v>2.0339730262168287E-2</v>
      </c>
      <c r="Z2937" s="201">
        <v>2.0322395487957223E-2</v>
      </c>
    </row>
    <row r="2938" spans="22:26" x14ac:dyDescent="0.2">
      <c r="V2938" s="202" t="str">
        <f t="shared" si="54"/>
        <v>1w</v>
      </c>
      <c r="W2938" s="200">
        <f>_xll.qlCalendarAdvance(Calendar,W2937,V2938,"f",FALSE)</f>
        <v>59496</v>
      </c>
      <c r="X2938" s="203">
        <f>_xll.qlCalendarAdvance(Calendar,W2938,NDays&amp;"D")</f>
        <v>59498</v>
      </c>
      <c r="Y2938" s="204">
        <v>2.0340658135645458E-2</v>
      </c>
      <c r="Z2938" s="201">
        <v>2.0322179686900199E-2</v>
      </c>
    </row>
    <row r="2939" spans="22:26" x14ac:dyDescent="0.2">
      <c r="V2939" s="202" t="str">
        <f t="shared" si="54"/>
        <v>1w</v>
      </c>
      <c r="W2939" s="200">
        <f>_xll.qlCalendarAdvance(Calendar,W2938,V2939,"f",FALSE)</f>
        <v>59503</v>
      </c>
      <c r="X2939" s="203">
        <f>_xll.qlCalendarAdvance(Calendar,W2939,NDays&amp;"D")</f>
        <v>59505</v>
      </c>
      <c r="Y2939" s="204">
        <v>2.033766530497081E-2</v>
      </c>
      <c r="Z2939" s="201">
        <v>2.0321973569616958E-2</v>
      </c>
    </row>
    <row r="2940" spans="22:26" x14ac:dyDescent="0.2">
      <c r="V2940" s="202" t="str">
        <f t="shared" si="54"/>
        <v>1w</v>
      </c>
      <c r="W2940" s="200">
        <f>_xll.qlCalendarAdvance(Calendar,W2939,V2940,"f",FALSE)</f>
        <v>59510</v>
      </c>
      <c r="X2940" s="203">
        <f>_xll.qlCalendarAdvance(Calendar,W2940,NDays&amp;"D")</f>
        <v>59512</v>
      </c>
      <c r="Y2940" s="204">
        <v>2.0339175267013454E-2</v>
      </c>
      <c r="Z2940" s="201">
        <v>2.0321777135947627E-2</v>
      </c>
    </row>
    <row r="2941" spans="22:26" x14ac:dyDescent="0.2">
      <c r="V2941" s="202" t="str">
        <f t="shared" si="54"/>
        <v>1w</v>
      </c>
      <c r="W2941" s="200">
        <f>_xll.qlCalendarAdvance(Calendar,W2940,V2941,"f",FALSE)</f>
        <v>59517</v>
      </c>
      <c r="X2941" s="203">
        <f>_xll.qlCalendarAdvance(Calendar,W2941,NDays&amp;"D")</f>
        <v>59519</v>
      </c>
      <c r="Y2941" s="204">
        <v>2.0339009669872454E-2</v>
      </c>
      <c r="Z2941" s="201">
        <v>2.0321590385892208E-2</v>
      </c>
    </row>
    <row r="2942" spans="22:26" x14ac:dyDescent="0.2">
      <c r="V2942" s="202" t="str">
        <f t="shared" si="54"/>
        <v>1w</v>
      </c>
      <c r="W2942" s="200">
        <f>_xll.qlCalendarAdvance(Calendar,W2941,V2942,"f",FALSE)</f>
        <v>59524</v>
      </c>
      <c r="X2942" s="203">
        <f>_xll.qlCalendarAdvance(Calendar,W2942,NDays&amp;"D")</f>
        <v>59526</v>
      </c>
      <c r="Y2942" s="204">
        <v>2.0338853773359256E-2</v>
      </c>
      <c r="Z2942" s="201">
        <v>2.0321413319530635E-2</v>
      </c>
    </row>
    <row r="2943" spans="22:26" x14ac:dyDescent="0.2">
      <c r="V2943" s="202" t="str">
        <f t="shared" si="54"/>
        <v>1w</v>
      </c>
      <c r="W2943" s="200">
        <f>_xll.qlCalendarAdvance(Calendar,W2942,V2943,"f",FALSE)</f>
        <v>59532</v>
      </c>
      <c r="X2943" s="203">
        <f>_xll.qlCalendarAdvance(Calendar,W2943,NDays&amp;"D")</f>
        <v>59534</v>
      </c>
      <c r="Y2943" s="204">
        <v>2.0339252243219169E-2</v>
      </c>
      <c r="Z2943" s="201">
        <v>2.0322909320353855E-2</v>
      </c>
    </row>
    <row r="2944" spans="22:26" x14ac:dyDescent="0.2">
      <c r="V2944" s="202" t="str">
        <f t="shared" si="54"/>
        <v>1w</v>
      </c>
      <c r="W2944" s="200">
        <f>_xll.qlCalendarAdvance(Calendar,W2943,V2944,"f",FALSE)</f>
        <v>59539</v>
      </c>
      <c r="X2944" s="203">
        <f>_xll.qlCalendarAdvance(Calendar,W2944,NDays&amp;"D")</f>
        <v>59541</v>
      </c>
      <c r="Y2944" s="204">
        <v>2.0337987017057281E-2</v>
      </c>
      <c r="Z2944" s="201">
        <v>2.0322192116184468E-2</v>
      </c>
    </row>
    <row r="2945" spans="22:26" x14ac:dyDescent="0.2">
      <c r="V2945" s="202" t="str">
        <f t="shared" si="54"/>
        <v>1w</v>
      </c>
      <c r="W2945" s="200">
        <f>_xll.qlCalendarAdvance(Calendar,W2944,V2945,"f",FALSE)</f>
        <v>59546</v>
      </c>
      <c r="X2945" s="203">
        <f>_xll.qlCalendarAdvance(Calendar,W2945,NDays&amp;"D")</f>
        <v>59548</v>
      </c>
      <c r="Y2945" s="204">
        <v>2.0337860922428352E-2</v>
      </c>
      <c r="Z2945" s="201">
        <v>2.0322046851157793E-2</v>
      </c>
    </row>
    <row r="2946" spans="22:26" x14ac:dyDescent="0.2">
      <c r="V2946" s="202" t="str">
        <f t="shared" si="54"/>
        <v>1w</v>
      </c>
      <c r="W2946" s="200">
        <f>_xll.qlCalendarAdvance(Calendar,W2945,V2946,"f",FALSE)</f>
        <v>59553</v>
      </c>
      <c r="X2946" s="203">
        <f>_xll.qlCalendarAdvance(Calendar,W2946,NDays&amp;"D")</f>
        <v>59555</v>
      </c>
      <c r="Y2946" s="204">
        <v>2.0337744527872421E-2</v>
      </c>
      <c r="Z2946" s="201">
        <v>2.032191127089078E-2</v>
      </c>
    </row>
    <row r="2947" spans="22:26" x14ac:dyDescent="0.2">
      <c r="V2947" s="202" t="str">
        <f t="shared" si="54"/>
        <v>1w</v>
      </c>
      <c r="W2947" s="200">
        <f>_xll.qlCalendarAdvance(Calendar,W2946,V2947,"f",FALSE)</f>
        <v>59560</v>
      </c>
      <c r="X2947" s="203">
        <f>_xll.qlCalendarAdvance(Calendar,W2947,NDays&amp;"D")</f>
        <v>59562</v>
      </c>
      <c r="Y2947" s="204">
        <v>2.0337637833389495E-2</v>
      </c>
      <c r="Z2947" s="201">
        <v>2.0321785375410073E-2</v>
      </c>
    </row>
    <row r="2948" spans="22:26" x14ac:dyDescent="0.2">
      <c r="V2948" s="202" t="str">
        <f t="shared" si="54"/>
        <v>1w</v>
      </c>
      <c r="W2948" s="200">
        <f>_xll.qlCalendarAdvance(Calendar,W2947,V2948,"f",FALSE)</f>
        <v>59567</v>
      </c>
      <c r="X2948" s="203">
        <f>_xll.qlCalendarAdvance(Calendar,W2948,NDays&amp;"D")</f>
        <v>59569</v>
      </c>
      <c r="Y2948" s="204">
        <v>2.0335837048022221E-2</v>
      </c>
      <c r="Z2948" s="201">
        <v>2.0321669164662381E-2</v>
      </c>
    </row>
    <row r="2949" spans="22:26" x14ac:dyDescent="0.2">
      <c r="V2949" s="202" t="str">
        <f t="shared" si="54"/>
        <v>1w</v>
      </c>
      <c r="W2949" s="200">
        <f>_xll.qlCalendarAdvance(Calendar,W2948,V2949,"f",FALSE)</f>
        <v>59574</v>
      </c>
      <c r="X2949" s="203">
        <f>_xll.qlCalendarAdvance(Calendar,W2949,NDays&amp;"D")</f>
        <v>59576</v>
      </c>
      <c r="Y2949" s="204">
        <v>2.0335747690229625E-2</v>
      </c>
      <c r="Z2949" s="201">
        <v>2.0321562638647706E-2</v>
      </c>
    </row>
    <row r="2950" spans="22:26" x14ac:dyDescent="0.2">
      <c r="V2950" s="202" t="str">
        <f t="shared" si="54"/>
        <v>1w</v>
      </c>
      <c r="W2950" s="200">
        <f>_xll.qlCalendarAdvance(Calendar,W2949,V2950,"f",FALSE)</f>
        <v>59581</v>
      </c>
      <c r="X2950" s="203">
        <f>_xll.qlCalendarAdvance(Calendar,W2950,NDays&amp;"D")</f>
        <v>59583</v>
      </c>
      <c r="Y2950" s="204">
        <v>2.0335668030867664E-2</v>
      </c>
      <c r="Z2950" s="201">
        <v>2.0321465797419336E-2</v>
      </c>
    </row>
    <row r="2951" spans="22:26" x14ac:dyDescent="0.2">
      <c r="V2951" s="202" t="str">
        <f t="shared" si="54"/>
        <v>1w</v>
      </c>
      <c r="W2951" s="200">
        <f>_xll.qlCalendarAdvance(Calendar,W2950,V2951,"f",FALSE)</f>
        <v>59588</v>
      </c>
      <c r="X2951" s="203">
        <f>_xll.qlCalendarAdvance(Calendar,W2951,NDays&amp;"D")</f>
        <v>59590</v>
      </c>
      <c r="Y2951" s="204">
        <v>2.0335598069933472E-2</v>
      </c>
      <c r="Z2951" s="201">
        <v>2.0321378640950627E-2</v>
      </c>
    </row>
    <row r="2952" spans="22:26" x14ac:dyDescent="0.2">
      <c r="V2952" s="202" t="str">
        <f t="shared" si="54"/>
        <v>1w</v>
      </c>
      <c r="W2952" s="200">
        <f>_xll.qlCalendarAdvance(Calendar,W2951,V2952,"f",FALSE)</f>
        <v>59595</v>
      </c>
      <c r="X2952" s="203">
        <f>_xll.qlCalendarAdvance(Calendar,W2952,NDays&amp;"D")</f>
        <v>59597</v>
      </c>
      <c r="Y2952" s="204">
        <v>2.0337249862064751E-2</v>
      </c>
      <c r="Z2952" s="201">
        <v>2.0321301169188288E-2</v>
      </c>
    </row>
    <row r="2953" spans="22:26" x14ac:dyDescent="0.2">
      <c r="V2953" s="202" t="str">
        <f t="shared" si="54"/>
        <v>1w</v>
      </c>
      <c r="W2953" s="200">
        <f>_xll.qlCalendarAdvance(Calendar,W2952,V2953,"f",FALSE)</f>
        <v>59602</v>
      </c>
      <c r="X2953" s="203">
        <f>_xll.qlCalendarAdvance(Calendar,W2953,NDays&amp;"D")</f>
        <v>59604</v>
      </c>
      <c r="Y2953" s="204">
        <v>2.0337201368017265E-2</v>
      </c>
      <c r="Z2953" s="201">
        <v>2.0321233382212256E-2</v>
      </c>
    </row>
    <row r="2954" spans="22:26" x14ac:dyDescent="0.2">
      <c r="V2954" s="202" t="str">
        <f t="shared" si="54"/>
        <v>1w</v>
      </c>
      <c r="W2954" s="200">
        <f>_xll.qlCalendarAdvance(Calendar,W2953,V2954,"f",FALSE)</f>
        <v>59609</v>
      </c>
      <c r="X2954" s="203">
        <f>_xll.qlCalendarAdvance(Calendar,W2954,NDays&amp;"D")</f>
        <v>59611</v>
      </c>
      <c r="Y2954" s="204">
        <v>2.0337734814221409E-2</v>
      </c>
      <c r="Z2954" s="201">
        <v>2.032117528002253E-2</v>
      </c>
    </row>
    <row r="2955" spans="22:26" x14ac:dyDescent="0.2">
      <c r="V2955" s="202" t="str">
        <f t="shared" si="54"/>
        <v>1w</v>
      </c>
      <c r="W2955" s="200">
        <f>_xll.qlCalendarAdvance(Calendar,W2954,V2955,"f",FALSE)</f>
        <v>59616</v>
      </c>
      <c r="X2955" s="203">
        <f>_xll.qlCalendarAdvance(Calendar,W2955,NDays&amp;"D")</f>
        <v>59618</v>
      </c>
      <c r="Y2955" s="204">
        <v>2.0337133480141299E-2</v>
      </c>
      <c r="Z2955" s="201">
        <v>2.0321126862565819E-2</v>
      </c>
    </row>
    <row r="2956" spans="22:26" x14ac:dyDescent="0.2">
      <c r="V2956" s="202" t="str">
        <f t="shared" si="54"/>
        <v>1w</v>
      </c>
      <c r="W2956" s="200">
        <f>_xll.qlCalendarAdvance(Calendar,W2955,V2956,"f",FALSE)</f>
        <v>59623</v>
      </c>
      <c r="X2956" s="203">
        <f>_xll.qlCalendarAdvance(Calendar,W2956,NDays&amp;"D")</f>
        <v>59625</v>
      </c>
      <c r="Y2956" s="204">
        <v>2.0337114086307662E-2</v>
      </c>
      <c r="Z2956" s="201">
        <v>2.0321088129815479E-2</v>
      </c>
    </row>
    <row r="2957" spans="22:26" x14ac:dyDescent="0.2">
      <c r="V2957" s="202" t="str">
        <f t="shared" si="54"/>
        <v>1w</v>
      </c>
      <c r="W2957" s="200">
        <f>_xll.qlCalendarAdvance(Calendar,W2956,V2957,"f",FALSE)</f>
        <v>59630</v>
      </c>
      <c r="X2957" s="203">
        <f>_xll.qlCalendarAdvance(Calendar,W2957,NDays&amp;"D")</f>
        <v>59632</v>
      </c>
      <c r="Y2957" s="204">
        <v>2.0337104392547028E-2</v>
      </c>
      <c r="Z2957" s="201">
        <v>2.0321059081851445E-2</v>
      </c>
    </row>
    <row r="2958" spans="22:26" x14ac:dyDescent="0.2">
      <c r="V2958" s="202" t="str">
        <f t="shared" si="54"/>
        <v>1w</v>
      </c>
      <c r="W2958" s="200">
        <f>_xll.qlCalendarAdvance(Calendar,W2957,V2958,"f",FALSE)</f>
        <v>59637</v>
      </c>
      <c r="X2958" s="203">
        <f>_xll.qlCalendarAdvance(Calendar,W2958,NDays&amp;"D")</f>
        <v>59643</v>
      </c>
      <c r="Y2958" s="204">
        <v>2.0336533440645788E-2</v>
      </c>
      <c r="Z2958" s="201">
        <v>2.0319887358972721E-2</v>
      </c>
    </row>
    <row r="2959" spans="22:26" x14ac:dyDescent="0.2">
      <c r="V2959" s="202" t="str">
        <f t="shared" si="54"/>
        <v>1w</v>
      </c>
      <c r="W2959" s="200">
        <f>_xll.qlCalendarAdvance(Calendar,W2958,V2959,"f",FALSE)</f>
        <v>59644</v>
      </c>
      <c r="X2959" s="203">
        <f>_xll.qlCalendarAdvance(Calendar,W2959,NDays&amp;"D")</f>
        <v>59646</v>
      </c>
      <c r="Y2959" s="204">
        <v>2.0337114105242193E-2</v>
      </c>
      <c r="Z2959" s="201">
        <v>2.0321030040229004E-2</v>
      </c>
    </row>
    <row r="2960" spans="22:26" x14ac:dyDescent="0.2">
      <c r="V2960" s="202" t="str">
        <f t="shared" si="54"/>
        <v>1w</v>
      </c>
      <c r="W2960" s="200">
        <f>_xll.qlCalendarAdvance(Calendar,W2959,V2960,"f",FALSE)</f>
        <v>59651</v>
      </c>
      <c r="X2960" s="203">
        <f>_xll.qlCalendarAdvance(Calendar,W2960,NDays&amp;"D")</f>
        <v>59653</v>
      </c>
      <c r="Y2960" s="204">
        <v>2.033713351169799E-2</v>
      </c>
      <c r="Z2960" s="201">
        <v>2.0321030046490662E-2</v>
      </c>
    </row>
    <row r="2961" spans="22:26" x14ac:dyDescent="0.2">
      <c r="V2961" s="202" t="str">
        <f t="shared" si="54"/>
        <v>1w</v>
      </c>
      <c r="W2961" s="200">
        <f>_xll.qlCalendarAdvance(Calendar,W2960,V2961,"f",FALSE)</f>
        <v>59658</v>
      </c>
      <c r="X2961" s="203">
        <f>_xll.qlCalendarAdvance(Calendar,W2961,NDays&amp;"D")</f>
        <v>59660</v>
      </c>
      <c r="Y2961" s="204">
        <v>2.0337162618224214E-2</v>
      </c>
      <c r="Z2961" s="201">
        <v>2.0321039737565272E-2</v>
      </c>
    </row>
    <row r="2962" spans="22:26" x14ac:dyDescent="0.2">
      <c r="V2962" s="202" t="str">
        <f t="shared" si="54"/>
        <v>1w</v>
      </c>
      <c r="W2962" s="200">
        <f>_xll.qlCalendarAdvance(Calendar,W2961,V2962,"f",FALSE)</f>
        <v>59665</v>
      </c>
      <c r="X2962" s="203">
        <f>_xll.qlCalendarAdvance(Calendar,W2962,NDays&amp;"D")</f>
        <v>59667</v>
      </c>
      <c r="Y2962" s="204">
        <v>2.0337201424826014E-2</v>
      </c>
      <c r="Z2962" s="201">
        <v>2.0321059113372897E-2</v>
      </c>
    </row>
    <row r="2963" spans="22:26" x14ac:dyDescent="0.2">
      <c r="V2963" s="202" t="str">
        <f t="shared" si="54"/>
        <v>1w</v>
      </c>
      <c r="W2963" s="200">
        <f>_xll.qlCalendarAdvance(Calendar,W2962,V2963,"f",FALSE)</f>
        <v>59672</v>
      </c>
      <c r="X2963" s="203">
        <f>_xll.qlCalendarAdvance(Calendar,W2963,NDays&amp;"D")</f>
        <v>59674</v>
      </c>
      <c r="Y2963" s="204">
        <v>2.0337249931495664E-2</v>
      </c>
      <c r="Z2963" s="201">
        <v>2.0321088173940183E-2</v>
      </c>
    </row>
    <row r="2964" spans="22:26" x14ac:dyDescent="0.2">
      <c r="V2964" s="202" t="str">
        <f t="shared" si="54"/>
        <v>1w</v>
      </c>
      <c r="W2964" s="200">
        <f>_xll.qlCalendarAdvance(Calendar,W2963,V2964,"f",FALSE)</f>
        <v>59679</v>
      </c>
      <c r="X2964" s="203">
        <f>_xll.qlCalendarAdvance(Calendar,W2964,NDays&amp;"D")</f>
        <v>59681</v>
      </c>
      <c r="Y2964" s="204">
        <v>2.0337308138240893E-2</v>
      </c>
      <c r="Z2964" s="201">
        <v>2.0321126919240484E-2</v>
      </c>
    </row>
    <row r="2965" spans="22:26" x14ac:dyDescent="0.2">
      <c r="V2965" s="202" t="str">
        <f t="shared" ref="V2965:V3028" si="55">V2964</f>
        <v>1w</v>
      </c>
      <c r="W2965" s="200">
        <f>_xll.qlCalendarAdvance(Calendar,W2964,V2965,"f",FALSE)</f>
        <v>59686</v>
      </c>
      <c r="X2965" s="203">
        <f>_xll.qlCalendarAdvance(Calendar,W2965,NDays&amp;"D")</f>
        <v>59688</v>
      </c>
      <c r="Y2965" s="204">
        <v>2.033737604505655E-2</v>
      </c>
      <c r="Z2965" s="201">
        <v>2.0321175349327092E-2</v>
      </c>
    </row>
    <row r="2966" spans="22:26" x14ac:dyDescent="0.2">
      <c r="V2966" s="202" t="str">
        <f t="shared" si="55"/>
        <v>1w</v>
      </c>
      <c r="W2966" s="200">
        <f>_xll.qlCalendarAdvance(Calendar,W2965,V2966,"f",FALSE)</f>
        <v>59693</v>
      </c>
      <c r="X2966" s="203">
        <f>_xll.qlCalendarAdvance(Calendar,W2966,NDays&amp;"D")</f>
        <v>59695</v>
      </c>
      <c r="Y2966" s="204">
        <v>2.0337453651942627E-2</v>
      </c>
      <c r="Z2966" s="201">
        <v>2.0321233464146715E-2</v>
      </c>
    </row>
    <row r="2967" spans="22:26" x14ac:dyDescent="0.2">
      <c r="V2967" s="202" t="str">
        <f t="shared" si="55"/>
        <v>1w</v>
      </c>
      <c r="W2967" s="200">
        <f>_xll.qlCalendarAdvance(Calendar,W2966,V2967,"f",FALSE)</f>
        <v>59700</v>
      </c>
      <c r="X2967" s="203">
        <f>_xll.qlCalendarAdvance(Calendar,W2967,NDays&amp;"D")</f>
        <v>59702</v>
      </c>
      <c r="Y2967" s="204">
        <v>2.0337540958906865E-2</v>
      </c>
      <c r="Z2967" s="201">
        <v>2.0321301263725999E-2</v>
      </c>
    </row>
    <row r="2968" spans="22:26" x14ac:dyDescent="0.2">
      <c r="V2968" s="202" t="str">
        <f t="shared" si="55"/>
        <v>1w</v>
      </c>
      <c r="W2968" s="200">
        <f>_xll.qlCalendarAdvance(Calendar,W2967,V2968,"f",FALSE)</f>
        <v>59707</v>
      </c>
      <c r="X2968" s="203">
        <f>_xll.qlCalendarAdvance(Calendar,W2968,NDays&amp;"D")</f>
        <v>59709</v>
      </c>
      <c r="Y2968" s="204">
        <v>2.0337637965938949E-2</v>
      </c>
      <c r="Z2968" s="201">
        <v>2.0321378748064944E-2</v>
      </c>
    </row>
    <row r="2969" spans="22:26" x14ac:dyDescent="0.2">
      <c r="V2969" s="202" t="str">
        <f t="shared" si="55"/>
        <v>1w</v>
      </c>
      <c r="W2969" s="200">
        <f>_xll.qlCalendarAdvance(Calendar,W2968,V2969,"f",FALSE)</f>
        <v>59714</v>
      </c>
      <c r="X2969" s="203">
        <f>_xll.qlCalendarAdvance(Calendar,W2969,NDays&amp;"D")</f>
        <v>59716</v>
      </c>
      <c r="Y2969" s="204">
        <v>2.0338327339602669E-2</v>
      </c>
      <c r="Z2969" s="201">
        <v>2.032146591716355E-2</v>
      </c>
    </row>
    <row r="2970" spans="22:26" x14ac:dyDescent="0.2">
      <c r="V2970" s="202" t="str">
        <f t="shared" si="55"/>
        <v>1w</v>
      </c>
      <c r="W2970" s="200">
        <f>_xll.qlCalendarAdvance(Calendar,W2969,V2970,"f",FALSE)</f>
        <v>59721</v>
      </c>
      <c r="X2970" s="203">
        <f>_xll.qlCalendarAdvance(Calendar,W2970,NDays&amp;"D")</f>
        <v>59723</v>
      </c>
      <c r="Y2970" s="204">
        <v>2.0337861080227285E-2</v>
      </c>
      <c r="Z2970" s="201">
        <v>2.0321562771021817E-2</v>
      </c>
    </row>
    <row r="2971" spans="22:26" x14ac:dyDescent="0.2">
      <c r="V2971" s="202" t="str">
        <f t="shared" si="55"/>
        <v>1w</v>
      </c>
      <c r="W2971" s="200">
        <f>_xll.qlCalendarAdvance(Calendar,W2970,V2971,"f",FALSE)</f>
        <v>59728</v>
      </c>
      <c r="X2971" s="203">
        <f>_xll.qlCalendarAdvance(Calendar,W2971,NDays&amp;"D")</f>
        <v>59730</v>
      </c>
      <c r="Y2971" s="204">
        <v>2.0337987187478378E-2</v>
      </c>
      <c r="Z2971" s="201">
        <v>2.0321669309586454E-2</v>
      </c>
    </row>
    <row r="2972" spans="22:26" x14ac:dyDescent="0.2">
      <c r="V2972" s="202" t="str">
        <f t="shared" si="55"/>
        <v>1w</v>
      </c>
      <c r="W2972" s="200">
        <f>_xll.qlCalendarAdvance(Calendar,W2971,V2972,"f",FALSE)</f>
        <v>59735</v>
      </c>
      <c r="X2972" s="203">
        <f>_xll.qlCalendarAdvance(Calendar,W2972,NDays&amp;"D")</f>
        <v>59737</v>
      </c>
      <c r="Y2972" s="204">
        <v>2.0338122994807632E-2</v>
      </c>
      <c r="Z2972" s="201">
        <v>2.0321785532964043E-2</v>
      </c>
    </row>
    <row r="2973" spans="22:26" x14ac:dyDescent="0.2">
      <c r="V2973" s="202" t="str">
        <f t="shared" si="55"/>
        <v>1w</v>
      </c>
      <c r="W2973" s="200">
        <f>_xll.qlCalendarAdvance(Calendar,W2972,V2973,"f",FALSE)</f>
        <v>59742</v>
      </c>
      <c r="X2973" s="203">
        <f>_xll.qlCalendarAdvance(Calendar,W2973,NDays&amp;"D")</f>
        <v>59744</v>
      </c>
      <c r="Y2973" s="204">
        <v>2.0338268502209888E-2</v>
      </c>
      <c r="Z2973" s="201">
        <v>2.0321911441048002E-2</v>
      </c>
    </row>
    <row r="2974" spans="22:26" x14ac:dyDescent="0.2">
      <c r="V2974" s="202" t="str">
        <f t="shared" si="55"/>
        <v>1w</v>
      </c>
      <c r="W2974" s="200">
        <f>_xll.qlCalendarAdvance(Calendar,W2973,V2974,"f",FALSE)</f>
        <v>59749</v>
      </c>
      <c r="X2974" s="203">
        <f>_xll.qlCalendarAdvance(Calendar,W2974,NDays&amp;"D")</f>
        <v>59751</v>
      </c>
      <c r="Y2974" s="204">
        <v>2.0338423709687727E-2</v>
      </c>
      <c r="Z2974" s="201">
        <v>2.0322047033918267E-2</v>
      </c>
    </row>
    <row r="2975" spans="22:26" x14ac:dyDescent="0.2">
      <c r="V2975" s="202" t="str">
        <f t="shared" si="55"/>
        <v>1w</v>
      </c>
      <c r="W2975" s="200">
        <f>_xll.qlCalendarAdvance(Calendar,W2974,V2975,"f",FALSE)</f>
        <v>59756</v>
      </c>
      <c r="X2975" s="203">
        <f>_xll.qlCalendarAdvance(Calendar,W2975,NDays&amp;"D")</f>
        <v>59758</v>
      </c>
      <c r="Y2975" s="204">
        <v>2.0338588617238567E-2</v>
      </c>
      <c r="Z2975" s="201">
        <v>2.0322192311494902E-2</v>
      </c>
    </row>
    <row r="2976" spans="22:26" x14ac:dyDescent="0.2">
      <c r="V2976" s="202" t="str">
        <f t="shared" si="55"/>
        <v>1w</v>
      </c>
      <c r="W2976" s="200">
        <f>_xll.qlCalendarAdvance(Calendar,W2975,V2976,"f",FALSE)</f>
        <v>59763</v>
      </c>
      <c r="X2976" s="203">
        <f>_xll.qlCalendarAdvance(Calendar,W2976,NDays&amp;"D")</f>
        <v>59765</v>
      </c>
      <c r="Y2976" s="204">
        <v>2.0338763224867568E-2</v>
      </c>
      <c r="Z2976" s="201">
        <v>2.0322347273884489E-2</v>
      </c>
    </row>
    <row r="2977" spans="22:26" x14ac:dyDescent="0.2">
      <c r="V2977" s="202" t="str">
        <f t="shared" si="55"/>
        <v>1w</v>
      </c>
      <c r="W2977" s="200">
        <f>_xll.qlCalendarAdvance(Calendar,W2976,V2977,"f",FALSE)</f>
        <v>59770</v>
      </c>
      <c r="X2977" s="203">
        <f>_xll.qlCalendarAdvance(Calendar,W2977,NDays&amp;"D")</f>
        <v>59772</v>
      </c>
      <c r="Y2977" s="204">
        <v>2.0338947532569571E-2</v>
      </c>
      <c r="Z2977" s="201">
        <v>2.0322511921007091E-2</v>
      </c>
    </row>
    <row r="2978" spans="22:26" x14ac:dyDescent="0.2">
      <c r="V2978" s="202" t="str">
        <f t="shared" si="55"/>
        <v>1w</v>
      </c>
      <c r="W2978" s="200">
        <f>_xll.qlCalendarAdvance(Calendar,W2977,V2978,"f",FALSE)</f>
        <v>59777</v>
      </c>
      <c r="X2978" s="203">
        <f>_xll.qlCalendarAdvance(Calendar,W2978,NDays&amp;"D")</f>
        <v>59779</v>
      </c>
      <c r="Y2978" s="204">
        <v>2.0337375131302959E-2</v>
      </c>
      <c r="Z2978" s="201">
        <v>2.0322686252889355E-2</v>
      </c>
    </row>
    <row r="2979" spans="22:26" x14ac:dyDescent="0.2">
      <c r="V2979" s="202" t="str">
        <f t="shared" si="55"/>
        <v>1w</v>
      </c>
      <c r="W2979" s="200">
        <f>_xll.qlCalendarAdvance(Calendar,W2978,V2979,"f",FALSE)</f>
        <v>59784</v>
      </c>
      <c r="X2979" s="203">
        <f>_xll.qlCalendarAdvance(Calendar,W2979,NDays&amp;"D")</f>
        <v>59786</v>
      </c>
      <c r="Y2979" s="204">
        <v>2.0339345248205479E-2</v>
      </c>
      <c r="Z2979" s="201">
        <v>2.0322870269531279E-2</v>
      </c>
    </row>
    <row r="2980" spans="22:26" x14ac:dyDescent="0.2">
      <c r="V2980" s="202" t="str">
        <f t="shared" si="55"/>
        <v>1w</v>
      </c>
      <c r="W2980" s="200">
        <f>_xll.qlCalendarAdvance(Calendar,W2979,V2980,"f",FALSE)</f>
        <v>59791</v>
      </c>
      <c r="X2980" s="203">
        <f>_xll.qlCalendarAdvance(Calendar,W2980,NDays&amp;"D")</f>
        <v>59793</v>
      </c>
      <c r="Y2980" s="204">
        <v>2.0339558656141964E-2</v>
      </c>
      <c r="Z2980" s="201">
        <v>2.0323063970906219E-2</v>
      </c>
    </row>
    <row r="2981" spans="22:26" x14ac:dyDescent="0.2">
      <c r="V2981" s="202" t="str">
        <f t="shared" si="55"/>
        <v>1w</v>
      </c>
      <c r="W2981" s="200">
        <f>_xll.qlCalendarAdvance(Calendar,W2980,V2981,"f",FALSE)</f>
        <v>59798</v>
      </c>
      <c r="X2981" s="203">
        <f>_xll.qlCalendarAdvance(Calendar,W2981,NDays&amp;"D")</f>
        <v>59800</v>
      </c>
      <c r="Y2981" s="204">
        <v>2.0339781764151448E-2</v>
      </c>
      <c r="Z2981" s="201">
        <v>2.0323267357067465E-2</v>
      </c>
    </row>
    <row r="2982" spans="22:26" x14ac:dyDescent="0.2">
      <c r="V2982" s="202" t="str">
        <f t="shared" si="55"/>
        <v>1w</v>
      </c>
      <c r="W2982" s="200">
        <f>_xll.qlCalendarAdvance(Calendar,W2981,V2982,"f",FALSE)</f>
        <v>59805</v>
      </c>
      <c r="X2982" s="203">
        <f>_xll.qlCalendarAdvance(Calendar,W2982,NDays&amp;"D")</f>
        <v>59807</v>
      </c>
      <c r="Y2982" s="204">
        <v>2.0341198266653687E-2</v>
      </c>
      <c r="Z2982" s="201">
        <v>2.0323480427908436E-2</v>
      </c>
    </row>
    <row r="2983" spans="22:26" x14ac:dyDescent="0.2">
      <c r="V2983" s="202" t="str">
        <f t="shared" si="55"/>
        <v>1w</v>
      </c>
      <c r="W2983" s="200">
        <f>_xll.qlCalendarAdvance(Calendar,W2982,V2983,"f",FALSE)</f>
        <v>59812</v>
      </c>
      <c r="X2983" s="203">
        <f>_xll.qlCalendarAdvance(Calendar,W2983,NDays&amp;"D")</f>
        <v>59814</v>
      </c>
      <c r="Y2983" s="204">
        <v>2.0340257080412639E-2</v>
      </c>
      <c r="Z2983" s="201">
        <v>2.0323703183589004E-2</v>
      </c>
    </row>
    <row r="2984" spans="22:26" x14ac:dyDescent="0.2">
      <c r="V2984" s="202" t="str">
        <f t="shared" si="55"/>
        <v>1w</v>
      </c>
      <c r="W2984" s="200">
        <f>_xll.qlCalendarAdvance(Calendar,W2983,V2984,"f",FALSE)</f>
        <v>59819</v>
      </c>
      <c r="X2984" s="203">
        <f>_xll.qlCalendarAdvance(Calendar,W2984,NDays&amp;"D")</f>
        <v>59821</v>
      </c>
      <c r="Y2984" s="204">
        <v>2.0340509288661761E-2</v>
      </c>
      <c r="Z2984" s="201">
        <v>2.0323935624002587E-2</v>
      </c>
    </row>
    <row r="2985" spans="22:26" x14ac:dyDescent="0.2">
      <c r="V2985" s="202" t="str">
        <f t="shared" si="55"/>
        <v>1w</v>
      </c>
      <c r="W2985" s="200">
        <f>_xll.qlCalendarAdvance(Calendar,W2984,V2985,"f",FALSE)</f>
        <v>59826</v>
      </c>
      <c r="X2985" s="203">
        <f>_xll.qlCalendarAdvance(Calendar,W2985,NDays&amp;"D")</f>
        <v>59828</v>
      </c>
      <c r="Y2985" s="204">
        <v>2.0340771196991625E-2</v>
      </c>
      <c r="Z2985" s="201">
        <v>2.0324177749149186E-2</v>
      </c>
    </row>
    <row r="2986" spans="22:26" x14ac:dyDescent="0.2">
      <c r="V2986" s="202" t="str">
        <f t="shared" si="55"/>
        <v>1w</v>
      </c>
      <c r="W2986" s="200">
        <f>_xll.qlCalendarAdvance(Calendar,W2985,V2986,"f",FALSE)</f>
        <v>59833</v>
      </c>
      <c r="X2986" s="203">
        <f>_xll.qlCalendarAdvance(Calendar,W2986,NDays&amp;"D")</f>
        <v>59835</v>
      </c>
      <c r="Y2986" s="204">
        <v>2.0341042805399646E-2</v>
      </c>
      <c r="Z2986" s="201">
        <v>2.0324429559055446E-2</v>
      </c>
    </row>
    <row r="2987" spans="22:26" x14ac:dyDescent="0.2">
      <c r="V2987" s="202" t="str">
        <f t="shared" si="55"/>
        <v>1w</v>
      </c>
      <c r="W2987" s="200">
        <f>_xll.qlCalendarAdvance(Calendar,W2986,V2987,"f",FALSE)</f>
        <v>59840</v>
      </c>
      <c r="X2987" s="203">
        <f>_xll.qlCalendarAdvance(Calendar,W2987,NDays&amp;"D")</f>
        <v>59842</v>
      </c>
      <c r="Y2987" s="204">
        <v>2.0341324113893566E-2</v>
      </c>
      <c r="Z2987" s="201">
        <v>2.0324691053721367E-2</v>
      </c>
    </row>
    <row r="2988" spans="22:26" x14ac:dyDescent="0.2">
      <c r="V2988" s="202" t="str">
        <f t="shared" si="55"/>
        <v>1w</v>
      </c>
      <c r="W2988" s="200">
        <f>_xll.qlCalendarAdvance(Calendar,W2987,V2988,"f",FALSE)</f>
        <v>59847</v>
      </c>
      <c r="X2988" s="203">
        <f>_xll.qlCalendarAdvance(Calendar,W2988,NDays&amp;"D")</f>
        <v>59849</v>
      </c>
      <c r="Y2988" s="204">
        <v>2.0341615122468223E-2</v>
      </c>
      <c r="Z2988" s="201">
        <v>2.0324962233146948E-2</v>
      </c>
    </row>
    <row r="2989" spans="22:26" x14ac:dyDescent="0.2">
      <c r="V2989" s="202" t="str">
        <f t="shared" si="55"/>
        <v>1w</v>
      </c>
      <c r="W2989" s="200">
        <f>_xll.qlCalendarAdvance(Calendar,W2988,V2989,"f",FALSE)</f>
        <v>59854</v>
      </c>
      <c r="X2989" s="203">
        <f>_xll.qlCalendarAdvance(Calendar,W2989,NDays&amp;"D")</f>
        <v>59856</v>
      </c>
      <c r="Y2989" s="204">
        <v>2.034191583112362E-2</v>
      </c>
      <c r="Z2989" s="201">
        <v>2.0325243097332191E-2</v>
      </c>
    </row>
    <row r="2990" spans="22:26" x14ac:dyDescent="0.2">
      <c r="V2990" s="202" t="str">
        <f t="shared" si="55"/>
        <v>1w</v>
      </c>
      <c r="W2990" s="200">
        <f>_xll.qlCalendarAdvance(Calendar,W2989,V2990,"f",FALSE)</f>
        <v>59861</v>
      </c>
      <c r="X2990" s="203">
        <f>_xll.qlCalendarAdvance(Calendar,W2990,NDays&amp;"D")</f>
        <v>59863</v>
      </c>
      <c r="Y2990" s="204">
        <v>2.0342226239867488E-2</v>
      </c>
      <c r="Z2990" s="201">
        <v>2.0325533646250449E-2</v>
      </c>
    </row>
    <row r="2991" spans="22:26" x14ac:dyDescent="0.2">
      <c r="V2991" s="202" t="str">
        <f t="shared" si="55"/>
        <v>1w</v>
      </c>
      <c r="W2991" s="200">
        <f>_xll.qlCalendarAdvance(Calendar,W2990,V2991,"f",FALSE)</f>
        <v>59868</v>
      </c>
      <c r="X2991" s="203">
        <f>_xll.qlCalendarAdvance(Calendar,W2991,NDays&amp;"D")</f>
        <v>59870</v>
      </c>
      <c r="Y2991" s="204">
        <v>2.0342546348692099E-2</v>
      </c>
      <c r="Z2991" s="201">
        <v>2.0325833879928368E-2</v>
      </c>
    </row>
    <row r="2992" spans="22:26" x14ac:dyDescent="0.2">
      <c r="V2992" s="202" t="str">
        <f t="shared" si="55"/>
        <v>1w</v>
      </c>
      <c r="W2992" s="200">
        <f>_xll.qlCalendarAdvance(Calendar,W2991,V2992,"f",FALSE)</f>
        <v>59875</v>
      </c>
      <c r="X2992" s="203">
        <f>_xll.qlCalendarAdvance(Calendar,W2992,NDays&amp;"D")</f>
        <v>59877</v>
      </c>
      <c r="Y2992" s="204">
        <v>2.03428761576026E-2</v>
      </c>
      <c r="Z2992" s="201">
        <v>2.0326143798392593E-2</v>
      </c>
    </row>
    <row r="2993" spans="22:26" x14ac:dyDescent="0.2">
      <c r="V2993" s="202" t="str">
        <f t="shared" si="55"/>
        <v>1w</v>
      </c>
      <c r="W2993" s="200">
        <f>_xll.qlCalendarAdvance(Calendar,W2992,V2993,"f",FALSE)</f>
        <v>59882</v>
      </c>
      <c r="X2993" s="203">
        <f>_xll.qlCalendarAdvance(Calendar,W2993,NDays&amp;"D")</f>
        <v>59884</v>
      </c>
      <c r="Y2993" s="204">
        <v>2.0343215666599003E-2</v>
      </c>
      <c r="Z2993" s="201">
        <v>2.0326463401563188E-2</v>
      </c>
    </row>
    <row r="2994" spans="22:26" x14ac:dyDescent="0.2">
      <c r="V2994" s="202" t="str">
        <f t="shared" si="55"/>
        <v>1w</v>
      </c>
      <c r="W2994" s="200">
        <f>_xll.qlCalendarAdvance(Calendar,W2993,V2994,"f",FALSE)</f>
        <v>59889</v>
      </c>
      <c r="X2994" s="203">
        <f>_xll.qlCalendarAdvance(Calendar,W2994,NDays&amp;"D")</f>
        <v>59891</v>
      </c>
      <c r="Y2994" s="204">
        <v>2.0343564875683878E-2</v>
      </c>
      <c r="Z2994" s="201">
        <v>2.0326792689546735E-2</v>
      </c>
    </row>
    <row r="2995" spans="22:26" x14ac:dyDescent="0.2">
      <c r="V2995" s="202" t="str">
        <f t="shared" si="55"/>
        <v>1w</v>
      </c>
      <c r="W2995" s="200">
        <f>_xll.qlCalendarAdvance(Calendar,W2994,V2995,"f",FALSE)</f>
        <v>59897</v>
      </c>
      <c r="X2995" s="203">
        <f>_xll.qlCalendarAdvance(Calendar,W2995,NDays&amp;"D")</f>
        <v>59901</v>
      </c>
      <c r="Y2995" s="204">
        <v>2.0344080572487846E-2</v>
      </c>
      <c r="Z2995" s="201">
        <v>2.0326681187872175E-2</v>
      </c>
    </row>
    <row r="2996" spans="22:26" x14ac:dyDescent="0.2">
      <c r="V2996" s="202" t="str">
        <f t="shared" si="55"/>
        <v>1w</v>
      </c>
      <c r="W2996" s="200">
        <f>_xll.qlCalendarAdvance(Calendar,W2995,V2996,"f",FALSE)</f>
        <v>59904</v>
      </c>
      <c r="X2996" s="203">
        <f>_xll.qlCalendarAdvance(Calendar,W2996,NDays&amp;"D")</f>
        <v>59908</v>
      </c>
      <c r="Y2996" s="204">
        <v>2.0344453338932655E-2</v>
      </c>
      <c r="Z2996" s="201">
        <v>2.0326433949922063E-2</v>
      </c>
    </row>
    <row r="2997" spans="22:26" x14ac:dyDescent="0.2">
      <c r="V2997" s="202" t="str">
        <f t="shared" si="55"/>
        <v>1w</v>
      </c>
      <c r="W2997" s="200">
        <f>_xll.qlCalendarAdvance(Calendar,W2996,V2997,"f",FALSE)</f>
        <v>59911</v>
      </c>
      <c r="X2997" s="203">
        <f>_xll.qlCalendarAdvance(Calendar,W2997,NDays&amp;"D")</f>
        <v>59915</v>
      </c>
      <c r="Y2997" s="204">
        <v>2.0344835805463358E-2</v>
      </c>
      <c r="Z2997" s="201">
        <v>2.0326795018457133E-2</v>
      </c>
    </row>
    <row r="2998" spans="22:26" x14ac:dyDescent="0.2">
      <c r="V2998" s="202" t="str">
        <f t="shared" si="55"/>
        <v>1w</v>
      </c>
      <c r="W2998" s="200">
        <f>_xll.qlCalendarAdvance(Calendar,W2997,V2998,"f",FALSE)</f>
        <v>59918</v>
      </c>
      <c r="X2998" s="203">
        <f>_xll.qlCalendarAdvance(Calendar,W2998,NDays&amp;"D")</f>
        <v>59922</v>
      </c>
      <c r="Y2998" s="204">
        <v>2.0345227972090273E-2</v>
      </c>
      <c r="Z2998" s="201">
        <v>2.0327165770606115E-2</v>
      </c>
    </row>
    <row r="2999" spans="22:26" x14ac:dyDescent="0.2">
      <c r="V2999" s="202" t="str">
        <f t="shared" si="55"/>
        <v>1w</v>
      </c>
      <c r="W2999" s="200">
        <f>_xll.qlCalendarAdvance(Calendar,W2998,V2999,"f",FALSE)</f>
        <v>59925</v>
      </c>
      <c r="X2999" s="203">
        <f>_xll.qlCalendarAdvance(Calendar,W2999,NDays&amp;"D")</f>
        <v>59929</v>
      </c>
      <c r="Y2999" s="204">
        <v>2.0345629838803083E-2</v>
      </c>
      <c r="Z2999" s="201">
        <v>2.0327546206448943E-2</v>
      </c>
    </row>
    <row r="3000" spans="22:26" x14ac:dyDescent="0.2">
      <c r="V3000" s="202" t="str">
        <f t="shared" si="55"/>
        <v>1w</v>
      </c>
      <c r="W3000" s="200">
        <f>_xll.qlCalendarAdvance(Calendar,W2999,V3000,"f",FALSE)</f>
        <v>59932</v>
      </c>
      <c r="X3000" s="203">
        <f>_xll.qlCalendarAdvance(Calendar,W3000,NDays&amp;"D")</f>
        <v>59936</v>
      </c>
      <c r="Y3000" s="204">
        <v>2.0344831854931175E-2</v>
      </c>
      <c r="Z3000" s="201">
        <v>2.0327936325985618E-2</v>
      </c>
    </row>
    <row r="3001" spans="22:26" x14ac:dyDescent="0.2">
      <c r="V3001" s="202" t="str">
        <f t="shared" si="55"/>
        <v>1w</v>
      </c>
      <c r="W3001" s="200">
        <f>_xll.qlCalendarAdvance(Calendar,W3000,V3001,"f",FALSE)</f>
        <v>59939</v>
      </c>
      <c r="X3001" s="203">
        <f>_xll.qlCalendarAdvance(Calendar,W3001,NDays&amp;"D")</f>
        <v>59943</v>
      </c>
      <c r="Y3001" s="204">
        <v>2.03452516886879E-2</v>
      </c>
      <c r="Z3001" s="201">
        <v>2.0328336129136204E-2</v>
      </c>
    </row>
    <row r="3002" spans="22:26" x14ac:dyDescent="0.2">
      <c r="V3002" s="202" t="str">
        <f t="shared" si="55"/>
        <v>1w</v>
      </c>
      <c r="W3002" s="200">
        <f>_xll.qlCalendarAdvance(Calendar,W3001,V3002,"f",FALSE)</f>
        <v>59946</v>
      </c>
      <c r="X3002" s="203">
        <f>_xll.qlCalendarAdvance(Calendar,W3002,NDays&amp;"D")</f>
        <v>59950</v>
      </c>
      <c r="Y3002" s="204">
        <v>2.0345681221447608E-2</v>
      </c>
      <c r="Z3002" s="201">
        <v>2.0328745615980637E-2</v>
      </c>
    </row>
    <row r="3003" spans="22:26" x14ac:dyDescent="0.2">
      <c r="V3003" s="202" t="str">
        <f t="shared" si="55"/>
        <v>1w</v>
      </c>
      <c r="W3003" s="200">
        <f>_xll.qlCalendarAdvance(Calendar,W3002,V3003,"f",FALSE)</f>
        <v>59953</v>
      </c>
      <c r="X3003" s="203">
        <f>_xll.qlCalendarAdvance(Calendar,W3003,NDays&amp;"D")</f>
        <v>59957</v>
      </c>
      <c r="Y3003" s="204">
        <v>2.0346120453204778E-2</v>
      </c>
      <c r="Z3003" s="201">
        <v>2.0329164786518916E-2</v>
      </c>
    </row>
    <row r="3004" spans="22:26" x14ac:dyDescent="0.2">
      <c r="V3004" s="202" t="str">
        <f t="shared" si="55"/>
        <v>1w</v>
      </c>
      <c r="W3004" s="200">
        <f>_xll.qlCalendarAdvance(Calendar,W3003,V3004,"f",FALSE)</f>
        <v>59960</v>
      </c>
      <c r="X3004" s="203">
        <f>_xll.qlCalendarAdvance(Calendar,W3004,NDays&amp;"D")</f>
        <v>59964</v>
      </c>
      <c r="Y3004" s="204">
        <v>2.0347784673802553E-2</v>
      </c>
      <c r="Z3004" s="201">
        <v>2.0329593640671106E-2</v>
      </c>
    </row>
    <row r="3005" spans="22:26" x14ac:dyDescent="0.2">
      <c r="V3005" s="202" t="str">
        <f t="shared" si="55"/>
        <v>1w</v>
      </c>
      <c r="W3005" s="200">
        <f>_xll.qlCalendarAdvance(Calendar,W3004,V3005,"f",FALSE)</f>
        <v>59967</v>
      </c>
      <c r="X3005" s="203">
        <f>_xll.qlCalendarAdvance(Calendar,W3005,NDays&amp;"D")</f>
        <v>59971</v>
      </c>
      <c r="Y3005" s="204">
        <v>2.0348244741090045E-2</v>
      </c>
      <c r="Z3005" s="201">
        <v>2.0330032178357271E-2</v>
      </c>
    </row>
    <row r="3006" spans="22:26" x14ac:dyDescent="0.2">
      <c r="V3006" s="202" t="str">
        <f t="shared" si="55"/>
        <v>1w</v>
      </c>
      <c r="W3006" s="200">
        <f>_xll.qlCalendarAdvance(Calendar,W3005,V3006,"f",FALSE)</f>
        <v>59974</v>
      </c>
      <c r="X3006" s="203">
        <f>_xll.qlCalendarAdvance(Calendar,W3006,NDays&amp;"D")</f>
        <v>59978</v>
      </c>
      <c r="Y3006" s="204">
        <v>2.0348714508481483E-2</v>
      </c>
      <c r="Z3006" s="201">
        <v>2.0330480399897155E-2</v>
      </c>
    </row>
    <row r="3007" spans="22:26" x14ac:dyDescent="0.2">
      <c r="V3007" s="202" t="str">
        <f t="shared" si="55"/>
        <v>1w</v>
      </c>
      <c r="W3007" s="200">
        <f>_xll.qlCalendarAdvance(Calendar,W3006,V3007,"f",FALSE)</f>
        <v>59981</v>
      </c>
      <c r="X3007" s="203">
        <f>_xll.qlCalendarAdvance(Calendar,W3007,NDays&amp;"D")</f>
        <v>59985</v>
      </c>
      <c r="Y3007" s="204">
        <v>2.0349193975974289E-2</v>
      </c>
      <c r="Z3007" s="201">
        <v>2.0330938304971014E-2</v>
      </c>
    </row>
    <row r="3008" spans="22:26" x14ac:dyDescent="0.2">
      <c r="V3008" s="202" t="str">
        <f t="shared" si="55"/>
        <v>1w</v>
      </c>
      <c r="W3008" s="200">
        <f>_xll.qlCalendarAdvance(Calendar,W3007,V3008,"f",FALSE)</f>
        <v>59988</v>
      </c>
      <c r="X3008" s="203">
        <f>_xll.qlCalendarAdvance(Calendar,W3008,NDays&amp;"D")</f>
        <v>59992</v>
      </c>
      <c r="Y3008" s="204">
        <v>2.0349072574459726E-2</v>
      </c>
      <c r="Z3008" s="201">
        <v>2.0331405893738719E-2</v>
      </c>
    </row>
    <row r="3009" spans="22:26" x14ac:dyDescent="0.2">
      <c r="V3009" s="202" t="str">
        <f t="shared" si="55"/>
        <v>1w</v>
      </c>
      <c r="W3009" s="200">
        <f>_xll.qlCalendarAdvance(Calendar,W3008,V3009,"f",FALSE)</f>
        <v>59995</v>
      </c>
      <c r="X3009" s="203">
        <f>_xll.qlCalendarAdvance(Calendar,W3009,NDays&amp;"D")</f>
        <v>60001</v>
      </c>
      <c r="Y3009" s="204">
        <v>2.0349714830334875E-2</v>
      </c>
      <c r="Z3009" s="201">
        <v>2.0332021308417936E-2</v>
      </c>
    </row>
    <row r="3010" spans="22:26" x14ac:dyDescent="0.2">
      <c r="V3010" s="202" t="str">
        <f t="shared" si="55"/>
        <v>1w</v>
      </c>
      <c r="W3010" s="200">
        <f>_xll.qlCalendarAdvance(Calendar,W3009,V3010,"f",FALSE)</f>
        <v>60002</v>
      </c>
      <c r="X3010" s="203">
        <f>_xll.qlCalendarAdvance(Calendar,W3010,NDays&amp;"D")</f>
        <v>60006</v>
      </c>
      <c r="Y3010" s="204">
        <v>2.0350078567407337E-2</v>
      </c>
      <c r="Z3010" s="201">
        <v>2.033237012235567E-2</v>
      </c>
    </row>
    <row r="3011" spans="22:26" x14ac:dyDescent="0.2">
      <c r="V3011" s="202" t="str">
        <f t="shared" si="55"/>
        <v>1w</v>
      </c>
      <c r="W3011" s="200">
        <f>_xll.qlCalendarAdvance(Calendar,W3010,V3011,"f",FALSE)</f>
        <v>60009</v>
      </c>
      <c r="X3011" s="203">
        <f>_xll.qlCalendarAdvance(Calendar,W3011,NDays&amp;"D")</f>
        <v>60013</v>
      </c>
      <c r="Y3011" s="204">
        <v>2.0350596113218877E-2</v>
      </c>
      <c r="Z3011" s="201">
        <v>2.0332866762204915E-2</v>
      </c>
    </row>
    <row r="3012" spans="22:26" x14ac:dyDescent="0.2">
      <c r="V3012" s="202" t="str">
        <f t="shared" si="55"/>
        <v>1w</v>
      </c>
      <c r="W3012" s="200">
        <f>_xll.qlCalendarAdvance(Calendar,W3011,V3012,"f",FALSE)</f>
        <v>60016</v>
      </c>
      <c r="X3012" s="203">
        <f>_xll.qlCalendarAdvance(Calendar,W3012,NDays&amp;"D")</f>
        <v>60020</v>
      </c>
      <c r="Y3012" s="204">
        <v>2.0351123358586243E-2</v>
      </c>
      <c r="Z3012" s="201">
        <v>2.03333730855082E-2</v>
      </c>
    </row>
    <row r="3013" spans="22:26" x14ac:dyDescent="0.2">
      <c r="V3013" s="202" t="str">
        <f t="shared" si="55"/>
        <v>1w</v>
      </c>
      <c r="W3013" s="200">
        <f>_xll.qlCalendarAdvance(Calendar,W3012,V3013,"f",FALSE)</f>
        <v>60024</v>
      </c>
      <c r="X3013" s="203">
        <f>_xll.qlCalendarAdvance(Calendar,W3013,NDays&amp;"D")</f>
        <v>60028</v>
      </c>
      <c r="Y3013" s="204">
        <v>2.0352352084683025E-2</v>
      </c>
      <c r="Z3013" s="201">
        <v>2.0333963598426763E-2</v>
      </c>
    </row>
    <row r="3014" spans="22:26" x14ac:dyDescent="0.2">
      <c r="V3014" s="202" t="str">
        <f t="shared" si="55"/>
        <v>1w</v>
      </c>
      <c r="W3014" s="200">
        <f>_xll.qlCalendarAdvance(Calendar,W3013,V3014,"f",FALSE)</f>
        <v>60031</v>
      </c>
      <c r="X3014" s="203">
        <f>_xll.qlCalendarAdvance(Calendar,W3014,NDays&amp;"D")</f>
        <v>60035</v>
      </c>
      <c r="Y3014" s="204">
        <v>2.0352900838644009E-2</v>
      </c>
      <c r="Z3014" s="201">
        <v>2.0334490672571093E-2</v>
      </c>
    </row>
    <row r="3015" spans="22:26" x14ac:dyDescent="0.2">
      <c r="V3015" s="202" t="str">
        <f t="shared" si="55"/>
        <v>1w</v>
      </c>
      <c r="W3015" s="200">
        <f>_xll.qlCalendarAdvance(Calendar,W3014,V3015,"f",FALSE)</f>
        <v>60038</v>
      </c>
      <c r="X3015" s="203">
        <f>_xll.qlCalendarAdvance(Calendar,W3015,NDays&amp;"D")</f>
        <v>60042</v>
      </c>
      <c r="Y3015" s="204">
        <v>2.0353459292716671E-2</v>
      </c>
      <c r="Z3015" s="201">
        <v>2.0335027430489205E-2</v>
      </c>
    </row>
    <row r="3016" spans="22:26" x14ac:dyDescent="0.2">
      <c r="V3016" s="202" t="str">
        <f t="shared" si="55"/>
        <v>1w</v>
      </c>
      <c r="W3016" s="200">
        <f>_xll.qlCalendarAdvance(Calendar,W3015,V3016,"f",FALSE)</f>
        <v>60045</v>
      </c>
      <c r="X3016" s="203">
        <f>_xll.qlCalendarAdvance(Calendar,W3016,NDays&amp;"D")</f>
        <v>60049</v>
      </c>
      <c r="Y3016" s="204">
        <v>2.0354027446901016E-2</v>
      </c>
      <c r="Z3016" s="201">
        <v>2.0335573871941293E-2</v>
      </c>
    </row>
    <row r="3017" spans="22:26" x14ac:dyDescent="0.2">
      <c r="V3017" s="202" t="str">
        <f t="shared" si="55"/>
        <v>1w</v>
      </c>
      <c r="W3017" s="200">
        <f>_xll.qlCalendarAdvance(Calendar,W3016,V3017,"f",FALSE)</f>
        <v>60052</v>
      </c>
      <c r="X3017" s="203">
        <f>_xll.qlCalendarAdvance(Calendar,W3017,NDays&amp;"D")</f>
        <v>60056</v>
      </c>
      <c r="Y3017" s="204">
        <v>2.0353988119670596E-2</v>
      </c>
      <c r="Z3017" s="201">
        <v>2.0336129997007291E-2</v>
      </c>
    </row>
    <row r="3018" spans="22:26" x14ac:dyDescent="0.2">
      <c r="V3018" s="202" t="str">
        <f t="shared" si="55"/>
        <v>1w</v>
      </c>
      <c r="W3018" s="200">
        <f>_xll.qlCalendarAdvance(Calendar,W3017,V3018,"f",FALSE)</f>
        <v>60059</v>
      </c>
      <c r="X3018" s="203">
        <f>_xll.qlCalendarAdvance(Calendar,W3018,NDays&amp;"D")</f>
        <v>60063</v>
      </c>
      <c r="Y3018" s="204">
        <v>2.0354574948069803E-2</v>
      </c>
      <c r="Z3018" s="201">
        <v>2.0336695805847071E-2</v>
      </c>
    </row>
    <row r="3019" spans="22:26" x14ac:dyDescent="0.2">
      <c r="V3019" s="202" t="str">
        <f t="shared" si="55"/>
        <v>1w</v>
      </c>
      <c r="W3019" s="200">
        <f>_xll.qlCalendarAdvance(Calendar,W3018,V3019,"f",FALSE)</f>
        <v>60066</v>
      </c>
      <c r="X3019" s="203">
        <f>_xll.qlCalendarAdvance(Calendar,W3019,NDays&amp;"D")</f>
        <v>60070</v>
      </c>
      <c r="Y3019" s="204">
        <v>2.0355171476038159E-2</v>
      </c>
      <c r="Z3019" s="201">
        <v>2.0337271298300763E-2</v>
      </c>
    </row>
    <row r="3020" spans="22:26" x14ac:dyDescent="0.2">
      <c r="V3020" s="202" t="str">
        <f t="shared" si="55"/>
        <v>1w</v>
      </c>
      <c r="W3020" s="200">
        <f>_xll.qlCalendarAdvance(Calendar,W3019,V3020,"f",FALSE)</f>
        <v>60073</v>
      </c>
      <c r="X3020" s="203">
        <f>_xll.qlCalendarAdvance(Calendar,W3020,NDays&amp;"D")</f>
        <v>60077</v>
      </c>
      <c r="Y3020" s="204">
        <v>2.0355777703572997E-2</v>
      </c>
      <c r="Z3020" s="201">
        <v>2.0337856474368365E-2</v>
      </c>
    </row>
    <row r="3021" spans="22:26" x14ac:dyDescent="0.2">
      <c r="V3021" s="202" t="str">
        <f t="shared" si="55"/>
        <v>1w</v>
      </c>
      <c r="W3021" s="200">
        <f>_xll.qlCalendarAdvance(Calendar,W3020,V3021,"f",FALSE)</f>
        <v>60080</v>
      </c>
      <c r="X3021" s="203">
        <f>_xll.qlCalendarAdvance(Calendar,W3021,NDays&amp;"D")</f>
        <v>60084</v>
      </c>
      <c r="Y3021" s="204">
        <v>2.0357013719572742E-2</v>
      </c>
      <c r="Z3021" s="201">
        <v>2.0338451334129815E-2</v>
      </c>
    </row>
    <row r="3022" spans="22:26" x14ac:dyDescent="0.2">
      <c r="V3022" s="202" t="str">
        <f t="shared" si="55"/>
        <v>1w</v>
      </c>
      <c r="W3022" s="200">
        <f>_xll.qlCalendarAdvance(Calendar,W3021,V3022,"f",FALSE)</f>
        <v>60087</v>
      </c>
      <c r="X3022" s="203">
        <f>_xll.qlCalendarAdvance(Calendar,W3022,NDays&amp;"D")</f>
        <v>60091</v>
      </c>
      <c r="Y3022" s="204">
        <v>2.0357640074465853E-2</v>
      </c>
      <c r="Z3022" s="201">
        <v>2.033905587758511E-2</v>
      </c>
    </row>
    <row r="3023" spans="22:26" x14ac:dyDescent="0.2">
      <c r="V3023" s="202" t="str">
        <f t="shared" si="55"/>
        <v>1w</v>
      </c>
      <c r="W3023" s="200">
        <f>_xll.qlCalendarAdvance(Calendar,W3022,V3023,"f",FALSE)</f>
        <v>60094</v>
      </c>
      <c r="X3023" s="203">
        <f>_xll.qlCalendarAdvance(Calendar,W3023,NDays&amp;"D")</f>
        <v>60098</v>
      </c>
      <c r="Y3023" s="204">
        <v>2.0358276129480962E-2</v>
      </c>
      <c r="Z3023" s="201">
        <v>2.0339670104734253E-2</v>
      </c>
    </row>
    <row r="3024" spans="22:26" x14ac:dyDescent="0.2">
      <c r="V3024" s="202" t="str">
        <f t="shared" si="55"/>
        <v>1w</v>
      </c>
      <c r="W3024" s="200">
        <f>_xll.qlCalendarAdvance(Calendar,W3023,V3024,"f",FALSE)</f>
        <v>60101</v>
      </c>
      <c r="X3024" s="203">
        <f>_xll.qlCalendarAdvance(Calendar,W3024,NDays&amp;"D")</f>
        <v>60105</v>
      </c>
      <c r="Y3024" s="204">
        <v>2.0358921884620646E-2</v>
      </c>
      <c r="Z3024" s="201">
        <v>2.0340294015497307E-2</v>
      </c>
    </row>
    <row r="3025" spans="22:26" x14ac:dyDescent="0.2">
      <c r="V3025" s="202" t="str">
        <f t="shared" si="55"/>
        <v>1w</v>
      </c>
      <c r="W3025" s="200">
        <f>_xll.qlCalendarAdvance(Calendar,W3024,V3025,"f",FALSE)</f>
        <v>60108</v>
      </c>
      <c r="X3025" s="203">
        <f>_xll.qlCalendarAdvance(Calendar,W3025,NDays&amp;"D")</f>
        <v>60112</v>
      </c>
      <c r="Y3025" s="204">
        <v>2.0359577339887483E-2</v>
      </c>
      <c r="Z3025" s="201">
        <v>2.0340927609954207E-2</v>
      </c>
    </row>
    <row r="3026" spans="22:26" x14ac:dyDescent="0.2">
      <c r="V3026" s="202" t="str">
        <f t="shared" si="55"/>
        <v>1w</v>
      </c>
      <c r="W3026" s="200">
        <f>_xll.qlCalendarAdvance(Calendar,W3025,V3026,"f",FALSE)</f>
        <v>60115</v>
      </c>
      <c r="X3026" s="203">
        <f>_xll.qlCalendarAdvance(Calendar,W3026,NDays&amp;"D")</f>
        <v>60119</v>
      </c>
      <c r="Y3026" s="204">
        <v>2.0360242495281473E-2</v>
      </c>
      <c r="Z3026" s="201">
        <v>2.0341570887945082E-2</v>
      </c>
    </row>
    <row r="3027" spans="22:26" x14ac:dyDescent="0.2">
      <c r="V3027" s="202" t="str">
        <f t="shared" si="55"/>
        <v>1w</v>
      </c>
      <c r="W3027" s="200">
        <f>_xll.qlCalendarAdvance(Calendar,W3026,V3027,"f",FALSE)</f>
        <v>60122</v>
      </c>
      <c r="X3027" s="203">
        <f>_xll.qlCalendarAdvance(Calendar,W3027,NDays&amp;"D")</f>
        <v>60126</v>
      </c>
      <c r="Y3027" s="204">
        <v>2.0360917273331683E-2</v>
      </c>
      <c r="Z3027" s="201">
        <v>2.034222384970974E-2</v>
      </c>
    </row>
    <row r="3028" spans="22:26" x14ac:dyDescent="0.2">
      <c r="V3028" s="202" t="str">
        <f t="shared" si="55"/>
        <v>1w</v>
      </c>
      <c r="W3028" s="200">
        <f>_xll.qlCalendarAdvance(Calendar,W3027,V3028,"f",FALSE)</f>
        <v>60129</v>
      </c>
      <c r="X3028" s="203">
        <f>_xll.qlCalendarAdvance(Calendar,W3028,NDays&amp;"D")</f>
        <v>60133</v>
      </c>
      <c r="Y3028" s="204">
        <v>2.0361600295251997E-2</v>
      </c>
      <c r="Z3028" s="201">
        <v>2.0342886495088308E-2</v>
      </c>
    </row>
    <row r="3029" spans="22:26" x14ac:dyDescent="0.2">
      <c r="V3029" s="202" t="str">
        <f t="shared" ref="V3029:V3092" si="56">V3028</f>
        <v>1w</v>
      </c>
      <c r="W3029" s="200">
        <f>_xll.qlCalendarAdvance(Calendar,W3028,V3029,"f",FALSE)</f>
        <v>60136</v>
      </c>
      <c r="X3029" s="203">
        <f>_xll.qlCalendarAdvance(Calendar,W3029,NDays&amp;"D")</f>
        <v>60140</v>
      </c>
      <c r="Y3029" s="204">
        <v>2.0362289102459397E-2</v>
      </c>
      <c r="Z3029" s="201">
        <v>2.034355882424066E-2</v>
      </c>
    </row>
    <row r="3030" spans="22:26" x14ac:dyDescent="0.2">
      <c r="V3030" s="202" t="str">
        <f t="shared" si="56"/>
        <v>1w</v>
      </c>
      <c r="W3030" s="200">
        <f>_xll.qlCalendarAdvance(Calendar,W3029,V3030,"f",FALSE)</f>
        <v>60143</v>
      </c>
      <c r="X3030" s="203">
        <f>_xll.qlCalendarAdvance(Calendar,W3030,NDays&amp;"D")</f>
        <v>60147</v>
      </c>
      <c r="Y3030" s="204">
        <v>2.0362356164429052E-2</v>
      </c>
      <c r="Z3030" s="201">
        <v>2.0344240837006922E-2</v>
      </c>
    </row>
    <row r="3031" spans="22:26" x14ac:dyDescent="0.2">
      <c r="V3031" s="202" t="str">
        <f t="shared" si="56"/>
        <v>1w</v>
      </c>
      <c r="W3031" s="200">
        <f>_xll.qlCalendarAdvance(Calendar,W3030,V3031,"f",FALSE)</f>
        <v>60150</v>
      </c>
      <c r="X3031" s="203">
        <f>_xll.qlCalendarAdvance(Calendar,W3031,NDays&amp;"D")</f>
        <v>60154</v>
      </c>
      <c r="Y3031" s="204">
        <v>2.0363049116940424E-2</v>
      </c>
      <c r="Z3031" s="201">
        <v>2.0344932271196825E-2</v>
      </c>
    </row>
    <row r="3032" spans="22:26" x14ac:dyDescent="0.2">
      <c r="V3032" s="202" t="str">
        <f t="shared" si="56"/>
        <v>1w</v>
      </c>
      <c r="W3032" s="200">
        <f>_xll.qlCalendarAdvance(Calendar,W3031,V3032,"f",FALSE)</f>
        <v>60157</v>
      </c>
      <c r="X3032" s="203">
        <f>_xll.qlCalendarAdvance(Calendar,W3032,NDays&amp;"D")</f>
        <v>60161</v>
      </c>
      <c r="Y3032" s="204">
        <v>2.0363741007098923E-2</v>
      </c>
      <c r="Z3032" s="201">
        <v>2.0345625783964039E-2</v>
      </c>
    </row>
    <row r="3033" spans="22:26" x14ac:dyDescent="0.2">
      <c r="V3033" s="202" t="str">
        <f t="shared" si="56"/>
        <v>1w</v>
      </c>
      <c r="W3033" s="200">
        <f>_xll.qlCalendarAdvance(Calendar,W3032,V3033,"f",FALSE)</f>
        <v>60164</v>
      </c>
      <c r="X3033" s="203">
        <f>_xll.qlCalendarAdvance(Calendar,W3033,NDays&amp;"D")</f>
        <v>60168</v>
      </c>
      <c r="Y3033" s="204">
        <v>2.0364431564728669E-2</v>
      </c>
      <c r="Z3033" s="201">
        <v>2.0346317966595251E-2</v>
      </c>
    </row>
    <row r="3034" spans="22:26" x14ac:dyDescent="0.2">
      <c r="V3034" s="202" t="str">
        <f t="shared" si="56"/>
        <v>1w</v>
      </c>
      <c r="W3034" s="200">
        <f>_xll.qlCalendarAdvance(Calendar,W3033,V3034,"f",FALSE)</f>
        <v>60171</v>
      </c>
      <c r="X3034" s="203">
        <f>_xll.qlCalendarAdvance(Calendar,W3034,NDays&amp;"D")</f>
        <v>60175</v>
      </c>
      <c r="Y3034" s="204">
        <v>2.0365745613320156E-2</v>
      </c>
      <c r="Z3034" s="201">
        <v>2.0347008818690782E-2</v>
      </c>
    </row>
    <row r="3035" spans="22:26" x14ac:dyDescent="0.2">
      <c r="V3035" s="202" t="str">
        <f t="shared" si="56"/>
        <v>1w</v>
      </c>
      <c r="W3035" s="200">
        <f>_xll.qlCalendarAdvance(Calendar,W3034,V3035,"f",FALSE)</f>
        <v>60178</v>
      </c>
      <c r="X3035" s="203">
        <f>_xll.qlCalendarAdvance(Calendar,W3035,NDays&amp;"D")</f>
        <v>60182</v>
      </c>
      <c r="Y3035" s="204">
        <v>2.0366433449582944E-2</v>
      </c>
      <c r="Z3035" s="201">
        <v>2.0347698340330567E-2</v>
      </c>
    </row>
    <row r="3036" spans="22:26" x14ac:dyDescent="0.2">
      <c r="V3036" s="202" t="str">
        <f t="shared" si="56"/>
        <v>1w</v>
      </c>
      <c r="W3036" s="200">
        <f>_xll.qlCalendarAdvance(Calendar,W3035,V3036,"f",FALSE)</f>
        <v>60185</v>
      </c>
      <c r="X3036" s="203">
        <f>_xll.qlCalendarAdvance(Calendar,W3036,NDays&amp;"D")</f>
        <v>60189</v>
      </c>
      <c r="Y3036" s="204">
        <v>2.0367119953234286E-2</v>
      </c>
      <c r="Z3036" s="201">
        <v>2.0348386531674478E-2</v>
      </c>
    </row>
    <row r="3037" spans="22:26" x14ac:dyDescent="0.2">
      <c r="V3037" s="202" t="str">
        <f t="shared" si="56"/>
        <v>1w</v>
      </c>
      <c r="W3037" s="200">
        <f>_xll.qlCalendarAdvance(Calendar,W3036,V3037,"f",FALSE)</f>
        <v>60192</v>
      </c>
      <c r="X3037" s="203">
        <f>_xll.qlCalendarAdvance(Calendar,W3037,NDays&amp;"D")</f>
        <v>60196</v>
      </c>
      <c r="Y3037" s="204">
        <v>2.036780512427935E-2</v>
      </c>
      <c r="Z3037" s="201">
        <v>2.0349073392722516E-2</v>
      </c>
    </row>
    <row r="3038" spans="22:26" x14ac:dyDescent="0.2">
      <c r="V3038" s="202" t="str">
        <f t="shared" si="56"/>
        <v>1w</v>
      </c>
      <c r="W3038" s="200">
        <f>_xll.qlCalendarAdvance(Calendar,W3037,V3038,"f",FALSE)</f>
        <v>60199</v>
      </c>
      <c r="X3038" s="203">
        <f>_xll.qlCalendarAdvance(Calendar,W3038,NDays&amp;"D")</f>
        <v>60203</v>
      </c>
      <c r="Y3038" s="204">
        <v>2.0368488962720706E-2</v>
      </c>
      <c r="Z3038" s="201">
        <v>2.0349758923234873E-2</v>
      </c>
    </row>
    <row r="3039" spans="22:26" x14ac:dyDescent="0.2">
      <c r="V3039" s="202" t="str">
        <f t="shared" si="56"/>
        <v>1w</v>
      </c>
      <c r="W3039" s="200">
        <f>_xll.qlCalendarAdvance(Calendar,W3038,V3039,"f",FALSE)</f>
        <v>60206</v>
      </c>
      <c r="X3039" s="203">
        <f>_xll.qlCalendarAdvance(Calendar,W3039,NDays&amp;"D")</f>
        <v>60210</v>
      </c>
      <c r="Y3039" s="204">
        <v>2.0368546927310049E-2</v>
      </c>
      <c r="Z3039" s="201">
        <v>2.035044312337142E-2</v>
      </c>
    </row>
    <row r="3040" spans="22:26" x14ac:dyDescent="0.2">
      <c r="V3040" s="202" t="str">
        <f t="shared" si="56"/>
        <v>1w</v>
      </c>
      <c r="W3040" s="200">
        <f>_xll.qlCalendarAdvance(Calendar,W3039,V3040,"f",FALSE)</f>
        <v>60213</v>
      </c>
      <c r="X3040" s="203">
        <f>_xll.qlCalendarAdvance(Calendar,W3040,NDays&amp;"D")</f>
        <v>60217</v>
      </c>
      <c r="Y3040" s="204">
        <v>2.0369228157209207E-2</v>
      </c>
      <c r="Z3040" s="201">
        <v>2.0351125993212094E-2</v>
      </c>
    </row>
    <row r="3041" spans="22:26" x14ac:dyDescent="0.2">
      <c r="V3041" s="202" t="str">
        <f t="shared" si="56"/>
        <v>1w</v>
      </c>
      <c r="W3041" s="200">
        <f>_xll.qlCalendarAdvance(Calendar,W3040,V3041,"f",FALSE)</f>
        <v>60220</v>
      </c>
      <c r="X3041" s="203">
        <f>_xll.qlCalendarAdvance(Calendar,W3041,NDays&amp;"D")</f>
        <v>60224</v>
      </c>
      <c r="Y3041" s="204">
        <v>2.0369908054576946E-2</v>
      </c>
      <c r="Z3041" s="201">
        <v>2.0351807532597022E-2</v>
      </c>
    </row>
    <row r="3042" spans="22:26" x14ac:dyDescent="0.2">
      <c r="V3042" s="202" t="str">
        <f t="shared" si="56"/>
        <v>1w</v>
      </c>
      <c r="W3042" s="200">
        <f>_xll.qlCalendarAdvance(Calendar,W3041,V3042,"f",FALSE)</f>
        <v>60227</v>
      </c>
      <c r="X3042" s="203">
        <f>_xll.qlCalendarAdvance(Calendar,W3042,NDays&amp;"D")</f>
        <v>60231</v>
      </c>
      <c r="Y3042" s="204">
        <v>2.0373084212088218E-2</v>
      </c>
      <c r="Z3042" s="201">
        <v>2.0352487741526204E-2</v>
      </c>
    </row>
    <row r="3043" spans="22:26" x14ac:dyDescent="0.2">
      <c r="V3043" s="202" t="str">
        <f t="shared" si="56"/>
        <v>1w</v>
      </c>
      <c r="W3043" s="200">
        <f>_xll.qlCalendarAdvance(Calendar,W3042,V3043,"f",FALSE)</f>
        <v>60234</v>
      </c>
      <c r="X3043" s="203">
        <f>_xll.qlCalendarAdvance(Calendar,W3043,NDays&amp;"D")</f>
        <v>60238</v>
      </c>
      <c r="Y3043" s="204">
        <v>2.0371888165804878E-2</v>
      </c>
      <c r="Z3043" s="201">
        <v>2.0353166620159513E-2</v>
      </c>
    </row>
    <row r="3044" spans="22:26" x14ac:dyDescent="0.2">
      <c r="V3044" s="202" t="str">
        <f t="shared" si="56"/>
        <v>1w</v>
      </c>
      <c r="W3044" s="200">
        <f>_xll.qlCalendarAdvance(Calendar,W3043,V3044,"f",FALSE)</f>
        <v>60241</v>
      </c>
      <c r="X3044" s="203">
        <f>_xll.qlCalendarAdvance(Calendar,W3044,NDays&amp;"D")</f>
        <v>60245</v>
      </c>
      <c r="Y3044" s="204">
        <v>2.0372564008598219E-2</v>
      </c>
      <c r="Z3044" s="201">
        <v>2.0353844168417012E-2</v>
      </c>
    </row>
    <row r="3045" spans="22:26" x14ac:dyDescent="0.2">
      <c r="V3045" s="202" t="str">
        <f t="shared" si="56"/>
        <v>1w</v>
      </c>
      <c r="W3045" s="200">
        <f>_xll.qlCalendarAdvance(Calendar,W3044,V3045,"f",FALSE)</f>
        <v>60248</v>
      </c>
      <c r="X3045" s="203">
        <f>_xll.qlCalendarAdvance(Calendar,W3045,NDays&amp;"D")</f>
        <v>60252</v>
      </c>
      <c r="Y3045" s="204">
        <v>2.0373238518782699E-2</v>
      </c>
      <c r="Z3045" s="201">
        <v>2.0354520386298702E-2</v>
      </c>
    </row>
    <row r="3046" spans="22:26" x14ac:dyDescent="0.2">
      <c r="V3046" s="202" t="str">
        <f t="shared" si="56"/>
        <v>1w</v>
      </c>
      <c r="W3046" s="200">
        <f>_xll.qlCalendarAdvance(Calendar,W3045,V3046,"f",FALSE)</f>
        <v>60255</v>
      </c>
      <c r="X3046" s="203">
        <f>_xll.qlCalendarAdvance(Calendar,W3046,NDays&amp;"D")</f>
        <v>60259</v>
      </c>
      <c r="Y3046" s="204">
        <v>2.0373911696358316E-2</v>
      </c>
      <c r="Z3046" s="201">
        <v>2.0355195273724647E-2</v>
      </c>
    </row>
    <row r="3047" spans="22:26" x14ac:dyDescent="0.2">
      <c r="V3047" s="202" t="str">
        <f t="shared" si="56"/>
        <v>1w</v>
      </c>
      <c r="W3047" s="200">
        <f>_xll.qlCalendarAdvance(Calendar,W3046,V3047,"f",FALSE)</f>
        <v>60265</v>
      </c>
      <c r="X3047" s="203">
        <f>_xll.qlCalendarAdvance(Calendar,W3047,NDays&amp;"D")</f>
        <v>60267</v>
      </c>
      <c r="Y3047" s="204">
        <v>2.037405533279113E-2</v>
      </c>
      <c r="Z3047" s="201">
        <v>2.0356588498060546E-2</v>
      </c>
    </row>
    <row r="3048" spans="22:26" x14ac:dyDescent="0.2">
      <c r="V3048" s="202" t="str">
        <f t="shared" si="56"/>
        <v>1w</v>
      </c>
      <c r="W3048" s="200">
        <f>_xll.qlCalendarAdvance(Calendar,W3047,V3048,"f",FALSE)</f>
        <v>60272</v>
      </c>
      <c r="X3048" s="203">
        <f>_xll.qlCalendarAdvance(Calendar,W3048,NDays&amp;"D")</f>
        <v>60274</v>
      </c>
      <c r="Y3048" s="204">
        <v>2.0376597827214127E-2</v>
      </c>
      <c r="Z3048" s="201">
        <v>2.0356636981198051E-2</v>
      </c>
    </row>
    <row r="3049" spans="22:26" x14ac:dyDescent="0.2">
      <c r="V3049" s="202" t="str">
        <f t="shared" si="56"/>
        <v>1w</v>
      </c>
      <c r="W3049" s="200">
        <f>_xll.qlCalendarAdvance(Calendar,W3048,V3049,"f",FALSE)</f>
        <v>60279</v>
      </c>
      <c r="X3049" s="203">
        <f>_xll.qlCalendarAdvance(Calendar,W3049,NDays&amp;"D")</f>
        <v>60281</v>
      </c>
      <c r="Y3049" s="204">
        <v>2.0377266701861917E-2</v>
      </c>
      <c r="Z3049" s="201">
        <v>2.0357307687488557E-2</v>
      </c>
    </row>
    <row r="3050" spans="22:26" x14ac:dyDescent="0.2">
      <c r="V3050" s="202" t="str">
        <f t="shared" si="56"/>
        <v>1w</v>
      </c>
      <c r="W3050" s="200">
        <f>_xll.qlCalendarAdvance(Calendar,W3049,V3050,"f",FALSE)</f>
        <v>60286</v>
      </c>
      <c r="X3050" s="203">
        <f>_xll.qlCalendarAdvance(Calendar,W3050,NDays&amp;"D")</f>
        <v>60288</v>
      </c>
      <c r="Y3050" s="204">
        <v>2.0377934243752775E-2</v>
      </c>
      <c r="Z3050" s="201">
        <v>2.0357977063403254E-2</v>
      </c>
    </row>
    <row r="3051" spans="22:26" x14ac:dyDescent="0.2">
      <c r="V3051" s="202" t="str">
        <f t="shared" si="56"/>
        <v>1w</v>
      </c>
      <c r="W3051" s="200">
        <f>_xll.qlCalendarAdvance(Calendar,W3050,V3051,"f",FALSE)</f>
        <v>60293</v>
      </c>
      <c r="X3051" s="203">
        <f>_xll.qlCalendarAdvance(Calendar,W3051,NDays&amp;"D")</f>
        <v>60295</v>
      </c>
      <c r="Y3051" s="204">
        <v>2.0376728854624382E-2</v>
      </c>
      <c r="Z3051" s="201">
        <v>2.035864510878227E-2</v>
      </c>
    </row>
    <row r="3052" spans="22:26" x14ac:dyDescent="0.2">
      <c r="V3052" s="202" t="str">
        <f t="shared" si="56"/>
        <v>1w</v>
      </c>
      <c r="W3052" s="200">
        <f>_xll.qlCalendarAdvance(Calendar,W3051,V3052,"f",FALSE)</f>
        <v>60300</v>
      </c>
      <c r="X3052" s="203">
        <f>_xll.qlCalendarAdvance(Calendar,W3052,NDays&amp;"D")</f>
        <v>60302</v>
      </c>
      <c r="Y3052" s="204">
        <v>2.0376146376885576E-2</v>
      </c>
      <c r="Z3052" s="201">
        <v>2.0359311823945347E-2</v>
      </c>
    </row>
    <row r="3053" spans="22:26" x14ac:dyDescent="0.2">
      <c r="V3053" s="202" t="str">
        <f t="shared" si="56"/>
        <v>1w</v>
      </c>
      <c r="W3053" s="200">
        <f>_xll.qlCalendarAdvance(Calendar,W3052,V3053,"f",FALSE)</f>
        <v>60307</v>
      </c>
      <c r="X3053" s="203">
        <f>_xll.qlCalendarAdvance(Calendar,W3053,NDays&amp;"D")</f>
        <v>60309</v>
      </c>
      <c r="Y3053" s="204">
        <v>2.0376810208737921E-2</v>
      </c>
      <c r="Z3053" s="201">
        <v>2.0359977208572744E-2</v>
      </c>
    </row>
    <row r="3054" spans="22:26" x14ac:dyDescent="0.2">
      <c r="V3054" s="202" t="str">
        <f t="shared" si="56"/>
        <v>1w</v>
      </c>
      <c r="W3054" s="200">
        <f>_xll.qlCalendarAdvance(Calendar,W3053,V3054,"f",FALSE)</f>
        <v>60314</v>
      </c>
      <c r="X3054" s="203">
        <f>_xll.qlCalendarAdvance(Calendar,W3054,NDays&amp;"D")</f>
        <v>60316</v>
      </c>
      <c r="Y3054" s="204">
        <v>2.0377472708201783E-2</v>
      </c>
      <c r="Z3054" s="201">
        <v>2.0360641262824331E-2</v>
      </c>
    </row>
    <row r="3055" spans="22:26" x14ac:dyDescent="0.2">
      <c r="V3055" s="202" t="str">
        <f t="shared" si="56"/>
        <v>1w</v>
      </c>
      <c r="W3055" s="200">
        <f>_xll.qlCalendarAdvance(Calendar,W3054,V3055,"f",FALSE)</f>
        <v>60321</v>
      </c>
      <c r="X3055" s="203">
        <f>_xll.qlCalendarAdvance(Calendar,W3055,NDays&amp;"D")</f>
        <v>60323</v>
      </c>
      <c r="Y3055" s="204">
        <v>2.0378133875277156E-2</v>
      </c>
      <c r="Z3055" s="201">
        <v>2.0361303986780044E-2</v>
      </c>
    </row>
    <row r="3056" spans="22:26" x14ac:dyDescent="0.2">
      <c r="V3056" s="202" t="str">
        <f t="shared" si="56"/>
        <v>1w</v>
      </c>
      <c r="W3056" s="200">
        <f>_xll.qlCalendarAdvance(Calendar,W3055,V3056,"f",FALSE)</f>
        <v>60328</v>
      </c>
      <c r="X3056" s="203">
        <f>_xll.qlCalendarAdvance(Calendar,W3056,NDays&amp;"D")</f>
        <v>60330</v>
      </c>
      <c r="Y3056" s="204">
        <v>2.0381911507148975E-2</v>
      </c>
      <c r="Z3056" s="201">
        <v>2.0361965380359948E-2</v>
      </c>
    </row>
    <row r="3057" spans="22:26" x14ac:dyDescent="0.2">
      <c r="V3057" s="202" t="str">
        <f t="shared" si="56"/>
        <v>1w</v>
      </c>
      <c r="W3057" s="200">
        <f>_xll.qlCalendarAdvance(Calendar,W3056,V3057,"f",FALSE)</f>
        <v>60335</v>
      </c>
      <c r="X3057" s="203">
        <f>_xll.qlCalendarAdvance(Calendar,W3057,NDays&amp;"D")</f>
        <v>60337</v>
      </c>
      <c r="Y3057" s="204">
        <v>2.038256971972675E-2</v>
      </c>
      <c r="Z3057" s="201">
        <v>2.0362625443484106E-2</v>
      </c>
    </row>
    <row r="3058" spans="22:26" x14ac:dyDescent="0.2">
      <c r="V3058" s="202" t="str">
        <f t="shared" si="56"/>
        <v>1w</v>
      </c>
      <c r="W3058" s="200">
        <f>_xll.qlCalendarAdvance(Calendar,W3057,V3058,"f",FALSE)</f>
        <v>60342</v>
      </c>
      <c r="X3058" s="203">
        <f>_xll.qlCalendarAdvance(Calendar,W3058,NDays&amp;"D")</f>
        <v>60344</v>
      </c>
      <c r="Y3058" s="204">
        <v>2.0383226599540324E-2</v>
      </c>
      <c r="Z3058" s="201">
        <v>2.0363284176152519E-2</v>
      </c>
    </row>
    <row r="3059" spans="22:26" x14ac:dyDescent="0.2">
      <c r="V3059" s="202" t="str">
        <f t="shared" si="56"/>
        <v>1w</v>
      </c>
      <c r="W3059" s="200">
        <f>_xll.qlCalendarAdvance(Calendar,W3058,V3059,"f",FALSE)</f>
        <v>60349</v>
      </c>
      <c r="X3059" s="203">
        <f>_xll.qlCalendarAdvance(Calendar,W3059,NDays&amp;"D")</f>
        <v>60351</v>
      </c>
      <c r="Y3059" s="204">
        <v>2.0383882146594541E-2</v>
      </c>
      <c r="Z3059" s="201">
        <v>2.0363941578525058E-2</v>
      </c>
    </row>
    <row r="3060" spans="22:26" x14ac:dyDescent="0.2">
      <c r="V3060" s="202" t="str">
        <f t="shared" si="56"/>
        <v>1w</v>
      </c>
      <c r="W3060" s="200">
        <f>_xll.qlCalendarAdvance(Calendar,W3059,V3060,"f",FALSE)</f>
        <v>60357</v>
      </c>
      <c r="X3060" s="203">
        <f>_xll.qlCalendarAdvance(Calendar,W3060,NDays&amp;"D")</f>
        <v>60359</v>
      </c>
      <c r="Y3060" s="204">
        <v>2.0384006356456708E-2</v>
      </c>
      <c r="Z3060" s="201">
        <v>2.0364691266516743E-2</v>
      </c>
    </row>
    <row r="3061" spans="22:26" x14ac:dyDescent="0.2">
      <c r="V3061" s="202" t="str">
        <f t="shared" si="56"/>
        <v>1w</v>
      </c>
      <c r="W3061" s="200">
        <f>_xll.qlCalendarAdvance(Calendar,W3060,V3061,"f",FALSE)</f>
        <v>60364</v>
      </c>
      <c r="X3061" s="203">
        <f>_xll.qlCalendarAdvance(Calendar,W3061,NDays&amp;"D")</f>
        <v>60366</v>
      </c>
      <c r="Y3061" s="204">
        <v>2.0384659105866232E-2</v>
      </c>
      <c r="Z3061" s="201">
        <v>2.0365345817969782E-2</v>
      </c>
    </row>
    <row r="3062" spans="22:26" x14ac:dyDescent="0.2">
      <c r="V3062" s="202" t="str">
        <f t="shared" si="56"/>
        <v>1w</v>
      </c>
      <c r="W3062" s="200">
        <f>_xll.qlCalendarAdvance(Calendar,W3061,V3062,"f",FALSE)</f>
        <v>60371</v>
      </c>
      <c r="X3062" s="203">
        <f>_xll.qlCalendarAdvance(Calendar,W3062,NDays&amp;"D")</f>
        <v>60373</v>
      </c>
      <c r="Y3062" s="204">
        <v>2.0385310522589295E-2</v>
      </c>
      <c r="Z3062" s="201">
        <v>2.0365999039126947E-2</v>
      </c>
    </row>
    <row r="3063" spans="22:26" x14ac:dyDescent="0.2">
      <c r="V3063" s="202" t="str">
        <f t="shared" si="56"/>
        <v>1w</v>
      </c>
      <c r="W3063" s="200">
        <f>_xll.qlCalendarAdvance(Calendar,W3062,V3063,"f",FALSE)</f>
        <v>60378</v>
      </c>
      <c r="X3063" s="203">
        <f>_xll.qlCalendarAdvance(Calendar,W3063,NDays&amp;"D")</f>
        <v>60380</v>
      </c>
      <c r="Y3063" s="204">
        <v>2.0385960606620901E-2</v>
      </c>
      <c r="Z3063" s="201">
        <v>2.0366650929828367E-2</v>
      </c>
    </row>
    <row r="3064" spans="22:26" x14ac:dyDescent="0.2">
      <c r="V3064" s="202" t="str">
        <f t="shared" si="56"/>
        <v>1w</v>
      </c>
      <c r="W3064" s="200">
        <f>_xll.qlCalendarAdvance(Calendar,W3063,V3064,"f",FALSE)</f>
        <v>60385</v>
      </c>
      <c r="X3064" s="203">
        <f>_xll.qlCalendarAdvance(Calendar,W3064,NDays&amp;"D")</f>
        <v>60387</v>
      </c>
      <c r="Y3064" s="204">
        <v>2.0384740101630206E-2</v>
      </c>
      <c r="Z3064" s="201">
        <v>2.0369169240488372E-2</v>
      </c>
    </row>
    <row r="3065" spans="22:26" x14ac:dyDescent="0.2">
      <c r="V3065" s="202" t="str">
        <f t="shared" si="56"/>
        <v>1w</v>
      </c>
      <c r="W3065" s="200">
        <f>_xll.qlCalendarAdvance(Calendar,W3064,V3065,"f",FALSE)</f>
        <v>60392</v>
      </c>
      <c r="X3065" s="203">
        <f>_xll.qlCalendarAdvance(Calendar,W3065,NDays&amp;"D")</f>
        <v>60394</v>
      </c>
      <c r="Y3065" s="204">
        <v>2.0387256776627227E-2</v>
      </c>
      <c r="Z3065" s="201">
        <v>2.0367950720183714E-2</v>
      </c>
    </row>
    <row r="3066" spans="22:26" x14ac:dyDescent="0.2">
      <c r="V3066" s="202" t="str">
        <f t="shared" si="56"/>
        <v>1w</v>
      </c>
      <c r="W3066" s="200">
        <f>_xll.qlCalendarAdvance(Calendar,W3065,V3066,"f",FALSE)</f>
        <v>60399</v>
      </c>
      <c r="X3066" s="203">
        <f>_xll.qlCalendarAdvance(Calendar,W3066,NDays&amp;"D")</f>
        <v>60401</v>
      </c>
      <c r="Y3066" s="204">
        <v>2.0387902862601948E-2</v>
      </c>
      <c r="Z3066" s="201">
        <v>2.0368598619837641E-2</v>
      </c>
    </row>
    <row r="3067" spans="22:26" x14ac:dyDescent="0.2">
      <c r="V3067" s="202" t="str">
        <f t="shared" si="56"/>
        <v>1w</v>
      </c>
      <c r="W3067" s="200">
        <f>_xll.qlCalendarAdvance(Calendar,W3066,V3067,"f",FALSE)</f>
        <v>60406</v>
      </c>
      <c r="X3067" s="203">
        <f>_xll.qlCalendarAdvance(Calendar,W3067,NDays&amp;"D")</f>
        <v>60408</v>
      </c>
      <c r="Y3067" s="204">
        <v>2.0388547615885211E-2</v>
      </c>
      <c r="Z3067" s="201">
        <v>2.0369245188955887E-2</v>
      </c>
    </row>
    <row r="3068" spans="22:26" x14ac:dyDescent="0.2">
      <c r="V3068" s="202" t="str">
        <f t="shared" si="56"/>
        <v>1w</v>
      </c>
      <c r="W3068" s="200">
        <f>_xll.qlCalendarAdvance(Calendar,W3067,V3068,"f",FALSE)</f>
        <v>60413</v>
      </c>
      <c r="X3068" s="203">
        <f>_xll.qlCalendarAdvance(Calendar,W3068,NDays&amp;"D")</f>
        <v>60415</v>
      </c>
      <c r="Y3068" s="204">
        <v>2.0389191036482013E-2</v>
      </c>
      <c r="Z3068" s="201">
        <v>2.0369890427858195E-2</v>
      </c>
    </row>
    <row r="3069" spans="22:26" x14ac:dyDescent="0.2">
      <c r="V3069" s="202" t="str">
        <f t="shared" si="56"/>
        <v>1w</v>
      </c>
      <c r="W3069" s="200">
        <f>_xll.qlCalendarAdvance(Calendar,W3068,V3069,"f",FALSE)</f>
        <v>60420</v>
      </c>
      <c r="X3069" s="203">
        <f>_xll.qlCalendarAdvance(Calendar,W3069,NDays&amp;"D")</f>
        <v>60422</v>
      </c>
      <c r="Y3069" s="204">
        <v>2.0389833124387358E-2</v>
      </c>
      <c r="Z3069" s="201">
        <v>2.0370534336224821E-2</v>
      </c>
    </row>
    <row r="3070" spans="22:26" x14ac:dyDescent="0.2">
      <c r="V3070" s="202" t="str">
        <f t="shared" si="56"/>
        <v>1w</v>
      </c>
      <c r="W3070" s="200">
        <f>_xll.qlCalendarAdvance(Calendar,W3069,V3070,"f",FALSE)</f>
        <v>60427</v>
      </c>
      <c r="X3070" s="203">
        <f>_xll.qlCalendarAdvance(Calendar,W3070,NDays&amp;"D")</f>
        <v>60429</v>
      </c>
      <c r="Y3070" s="204">
        <v>2.0390473879606241E-2</v>
      </c>
      <c r="Z3070" s="201">
        <v>2.0371176914135702E-2</v>
      </c>
    </row>
    <row r="3071" spans="22:26" x14ac:dyDescent="0.2">
      <c r="V3071" s="202" t="str">
        <f t="shared" si="56"/>
        <v>1w</v>
      </c>
      <c r="W3071" s="200">
        <f>_xll.qlCalendarAdvance(Calendar,W3070,V3071,"f",FALSE)</f>
        <v>60434</v>
      </c>
      <c r="X3071" s="203">
        <f>_xll.qlCalendarAdvance(Calendar,W3071,NDays&amp;"D")</f>
        <v>60436</v>
      </c>
      <c r="Y3071" s="204">
        <v>2.0391113302136166E-2</v>
      </c>
      <c r="Z3071" s="201">
        <v>2.0371818161910582E-2</v>
      </c>
    </row>
    <row r="3072" spans="22:26" x14ac:dyDescent="0.2">
      <c r="V3072" s="202" t="str">
        <f t="shared" si="56"/>
        <v>1w</v>
      </c>
      <c r="W3072" s="200">
        <f>_xll.qlCalendarAdvance(Calendar,W3071,V3072,"f",FALSE)</f>
        <v>60441</v>
      </c>
      <c r="X3072" s="203">
        <f>_xll.qlCalendarAdvance(Calendar,W3072,NDays&amp;"D")</f>
        <v>60443</v>
      </c>
      <c r="Y3072" s="204">
        <v>2.0391751391979629E-2</v>
      </c>
      <c r="Z3072" s="201">
        <v>2.037245807914978E-2</v>
      </c>
    </row>
    <row r="3073" spans="22:26" x14ac:dyDescent="0.2">
      <c r="V3073" s="202" t="str">
        <f t="shared" si="56"/>
        <v>1w</v>
      </c>
      <c r="W3073" s="200">
        <f>_xll.qlCalendarAdvance(Calendar,W3072,V3073,"f",FALSE)</f>
        <v>60448</v>
      </c>
      <c r="X3073" s="203">
        <f>_xll.qlCalendarAdvance(Calendar,W3073,NDays&amp;"D")</f>
        <v>60450</v>
      </c>
      <c r="Y3073" s="204">
        <v>2.0392388149131635E-2</v>
      </c>
      <c r="Z3073" s="201">
        <v>2.0373096666013168E-2</v>
      </c>
    </row>
    <row r="3074" spans="22:26" x14ac:dyDescent="0.2">
      <c r="V3074" s="202" t="str">
        <f t="shared" si="56"/>
        <v>1w</v>
      </c>
      <c r="W3074" s="200">
        <f>_xll.qlCalendarAdvance(Calendar,W3073,V3074,"f",FALSE)</f>
        <v>60455</v>
      </c>
      <c r="X3074" s="203">
        <f>_xll.qlCalendarAdvance(Calendar,W3074,NDays&amp;"D")</f>
        <v>60457</v>
      </c>
      <c r="Y3074" s="204">
        <v>2.0393023573592184E-2</v>
      </c>
      <c r="Z3074" s="201">
        <v>2.0373733922420811E-2</v>
      </c>
    </row>
    <row r="3075" spans="22:26" x14ac:dyDescent="0.2">
      <c r="V3075" s="202" t="str">
        <f t="shared" si="56"/>
        <v>1w</v>
      </c>
      <c r="W3075" s="200">
        <f>_xll.qlCalendarAdvance(Calendar,W3074,V3075,"f",FALSE)</f>
        <v>60462</v>
      </c>
      <c r="X3075" s="203">
        <f>_xll.qlCalendarAdvance(Calendar,W3075,NDays&amp;"D")</f>
        <v>60464</v>
      </c>
      <c r="Y3075" s="204">
        <v>2.0393657665366272E-2</v>
      </c>
      <c r="Z3075" s="201">
        <v>2.0374369848612517E-2</v>
      </c>
    </row>
    <row r="3076" spans="22:26" x14ac:dyDescent="0.2">
      <c r="V3076" s="202" t="str">
        <f t="shared" si="56"/>
        <v>1w</v>
      </c>
      <c r="W3076" s="200">
        <f>_xll.qlCalendarAdvance(Calendar,W3075,V3076,"f",FALSE)</f>
        <v>60469</v>
      </c>
      <c r="X3076" s="203">
        <f>_xll.qlCalendarAdvance(Calendar,W3076,NDays&amp;"D")</f>
        <v>60471</v>
      </c>
      <c r="Y3076" s="204">
        <v>2.0394290424448902E-2</v>
      </c>
      <c r="Z3076" s="201">
        <v>2.0375004444348477E-2</v>
      </c>
    </row>
    <row r="3077" spans="22:26" x14ac:dyDescent="0.2">
      <c r="V3077" s="202" t="str">
        <f t="shared" si="56"/>
        <v>1w</v>
      </c>
      <c r="W3077" s="200">
        <f>_xll.qlCalendarAdvance(Calendar,W3076,V3077,"f",FALSE)</f>
        <v>60476</v>
      </c>
      <c r="X3077" s="203">
        <f>_xll.qlCalendarAdvance(Calendar,W3077,NDays&amp;"D")</f>
        <v>60478</v>
      </c>
      <c r="Y3077" s="204">
        <v>2.0394921850840075E-2</v>
      </c>
      <c r="Z3077" s="201">
        <v>2.0375637709548755E-2</v>
      </c>
    </row>
    <row r="3078" spans="22:26" x14ac:dyDescent="0.2">
      <c r="V3078" s="202" t="str">
        <f t="shared" si="56"/>
        <v>1w</v>
      </c>
      <c r="W3078" s="200">
        <f>_xll.qlCalendarAdvance(Calendar,W3077,V3078,"f",FALSE)</f>
        <v>60483</v>
      </c>
      <c r="X3078" s="203">
        <f>_xll.qlCalendarAdvance(Calendar,W3078,NDays&amp;"D")</f>
        <v>60485</v>
      </c>
      <c r="Y3078" s="204">
        <v>2.0395551944542289E-2</v>
      </c>
      <c r="Z3078" s="201">
        <v>2.037626964445316E-2</v>
      </c>
    </row>
    <row r="3079" spans="22:26" x14ac:dyDescent="0.2">
      <c r="V3079" s="202" t="str">
        <f t="shared" si="56"/>
        <v>1w</v>
      </c>
      <c r="W3079" s="200">
        <f>_xll.qlCalendarAdvance(Calendar,W3078,V3079,"f",FALSE)</f>
        <v>60490</v>
      </c>
      <c r="X3079" s="203">
        <f>_xll.qlCalendarAdvance(Calendar,W3079,NDays&amp;"D")</f>
        <v>60492</v>
      </c>
      <c r="Y3079" s="204">
        <v>2.0396180705553046E-2</v>
      </c>
      <c r="Z3079" s="201">
        <v>2.0376900249061691E-2</v>
      </c>
    </row>
    <row r="3080" spans="22:26" x14ac:dyDescent="0.2">
      <c r="V3080" s="202" t="str">
        <f t="shared" si="56"/>
        <v>1w</v>
      </c>
      <c r="W3080" s="200">
        <f>_xll.qlCalendarAdvance(Calendar,W3079,V3080,"f",FALSE)</f>
        <v>60497</v>
      </c>
      <c r="X3080" s="203">
        <f>_xll.qlCalendarAdvance(Calendar,W3080,NDays&amp;"D")</f>
        <v>60499</v>
      </c>
      <c r="Y3080" s="204">
        <v>2.0396808133874844E-2</v>
      </c>
      <c r="Z3080" s="201">
        <v>2.0377529523294413E-2</v>
      </c>
    </row>
    <row r="3081" spans="22:26" x14ac:dyDescent="0.2">
      <c r="V3081" s="202" t="str">
        <f t="shared" si="56"/>
        <v>1w</v>
      </c>
      <c r="W3081" s="200">
        <f>_xll.qlCalendarAdvance(Calendar,W3080,V3081,"f",FALSE)</f>
        <v>60504</v>
      </c>
      <c r="X3081" s="203">
        <f>_xll.qlCalendarAdvance(Calendar,W3081,NDays&amp;"D")</f>
        <v>60506</v>
      </c>
      <c r="Y3081" s="204">
        <v>2.0397434229502687E-2</v>
      </c>
      <c r="Z3081" s="201">
        <v>2.0378157466991453E-2</v>
      </c>
    </row>
    <row r="3082" spans="22:26" x14ac:dyDescent="0.2">
      <c r="V3082" s="202" t="str">
        <f t="shared" si="56"/>
        <v>1w</v>
      </c>
      <c r="W3082" s="200">
        <f>_xll.qlCalendarAdvance(Calendar,W3081,V3082,"f",FALSE)</f>
        <v>60511</v>
      </c>
      <c r="X3082" s="203">
        <f>_xll.qlCalendarAdvance(Calendar,W3082,NDays&amp;"D")</f>
        <v>60513</v>
      </c>
      <c r="Y3082" s="204">
        <v>2.0398058992439072E-2</v>
      </c>
      <c r="Z3082" s="201">
        <v>2.0378784080312684E-2</v>
      </c>
    </row>
    <row r="3083" spans="22:26" x14ac:dyDescent="0.2">
      <c r="V3083" s="202" t="str">
        <f t="shared" si="56"/>
        <v>1w</v>
      </c>
      <c r="W3083" s="200">
        <f>_xll.qlCalendarAdvance(Calendar,W3082,V3083,"f",FALSE)</f>
        <v>60518</v>
      </c>
      <c r="X3083" s="203">
        <f>_xll.qlCalendarAdvance(Calendar,W3083,NDays&amp;"D")</f>
        <v>60520</v>
      </c>
      <c r="Y3083" s="204">
        <v>2.0398682422688996E-2</v>
      </c>
      <c r="Z3083" s="201">
        <v>2.0379409363417977E-2</v>
      </c>
    </row>
    <row r="3084" spans="22:26" x14ac:dyDescent="0.2">
      <c r="V3084" s="202" t="str">
        <f t="shared" si="56"/>
        <v>1w</v>
      </c>
      <c r="W3084" s="200">
        <f>_xll.qlCalendarAdvance(Calendar,W3083,V3084,"f",FALSE)</f>
        <v>60525</v>
      </c>
      <c r="X3084" s="203">
        <f>_xll.qlCalendarAdvance(Calendar,W3084,NDays&amp;"D")</f>
        <v>60527</v>
      </c>
      <c r="Y3084" s="204">
        <v>2.0399304520242467E-2</v>
      </c>
      <c r="Z3084" s="201">
        <v>2.0380033315987589E-2</v>
      </c>
    </row>
    <row r="3085" spans="22:26" x14ac:dyDescent="0.2">
      <c r="V3085" s="202" t="str">
        <f t="shared" si="56"/>
        <v>1w</v>
      </c>
      <c r="W3085" s="200">
        <f>_xll.qlCalendarAdvance(Calendar,W3084,V3085,"f",FALSE)</f>
        <v>60532</v>
      </c>
      <c r="X3085" s="203">
        <f>_xll.qlCalendarAdvance(Calendar,W3085,NDays&amp;"D")</f>
        <v>60534</v>
      </c>
      <c r="Y3085" s="204">
        <v>2.0399925285104481E-2</v>
      </c>
      <c r="Z3085" s="201">
        <v>2.0380655938101455E-2</v>
      </c>
    </row>
    <row r="3086" spans="22:26" x14ac:dyDescent="0.2">
      <c r="V3086" s="202" t="str">
        <f t="shared" si="56"/>
        <v>1w</v>
      </c>
      <c r="W3086" s="200">
        <f>_xll.qlCalendarAdvance(Calendar,W3085,V3086,"f",FALSE)</f>
        <v>60539</v>
      </c>
      <c r="X3086" s="203">
        <f>_xll.qlCalendarAdvance(Calendar,W3086,NDays&amp;"D")</f>
        <v>60541</v>
      </c>
      <c r="Y3086" s="204">
        <v>2.0400544717277536E-2</v>
      </c>
      <c r="Z3086" s="201">
        <v>2.0381277229999384E-2</v>
      </c>
    </row>
    <row r="3087" spans="22:26" x14ac:dyDescent="0.2">
      <c r="V3087" s="202" t="str">
        <f t="shared" si="56"/>
        <v>1w</v>
      </c>
      <c r="W3087" s="200">
        <f>_xll.qlCalendarAdvance(Calendar,W3086,V3087,"f",FALSE)</f>
        <v>60546</v>
      </c>
      <c r="X3087" s="203">
        <f>_xll.qlCalendarAdvance(Calendar,W3087,NDays&amp;"D")</f>
        <v>60548</v>
      </c>
      <c r="Y3087" s="204">
        <v>2.0401162816754137E-2</v>
      </c>
      <c r="Z3087" s="201">
        <v>2.0381897191361631E-2</v>
      </c>
    </row>
    <row r="3088" spans="22:26" x14ac:dyDescent="0.2">
      <c r="V3088" s="202" t="str">
        <f t="shared" si="56"/>
        <v>1w</v>
      </c>
      <c r="W3088" s="200">
        <f>_xll.qlCalendarAdvance(Calendar,W3087,V3088,"f",FALSE)</f>
        <v>60553</v>
      </c>
      <c r="X3088" s="203">
        <f>_xll.qlCalendarAdvance(Calendar,W3088,NDays&amp;"D")</f>
        <v>60555</v>
      </c>
      <c r="Y3088" s="204">
        <v>2.0401779583536783E-2</v>
      </c>
      <c r="Z3088" s="201">
        <v>2.0382515822348068E-2</v>
      </c>
    </row>
    <row r="3089" spans="22:26" x14ac:dyDescent="0.2">
      <c r="V3089" s="202" t="str">
        <f t="shared" si="56"/>
        <v>1w</v>
      </c>
      <c r="W3089" s="200">
        <f>_xll.qlCalendarAdvance(Calendar,W3088,V3089,"f",FALSE)</f>
        <v>60560</v>
      </c>
      <c r="X3089" s="203">
        <f>_xll.qlCalendarAdvance(Calendar,W3089,NDays&amp;"D")</f>
        <v>60562</v>
      </c>
      <c r="Y3089" s="204">
        <v>2.040239501763047E-2</v>
      </c>
      <c r="Z3089" s="201">
        <v>2.0383133123038633E-2</v>
      </c>
    </row>
    <row r="3090" spans="22:26" x14ac:dyDescent="0.2">
      <c r="V3090" s="202" t="str">
        <f t="shared" si="56"/>
        <v>1w</v>
      </c>
      <c r="W3090" s="200">
        <f>_xll.qlCalendarAdvance(Calendar,W3089,V3090,"f",FALSE)</f>
        <v>60567</v>
      </c>
      <c r="X3090" s="203">
        <f>_xll.qlCalendarAdvance(Calendar,W3090,NDays&amp;"D")</f>
        <v>60569</v>
      </c>
      <c r="Y3090" s="204">
        <v>2.0403009119030202E-2</v>
      </c>
      <c r="Z3090" s="201">
        <v>2.0383749093353387E-2</v>
      </c>
    </row>
    <row r="3091" spans="22:26" x14ac:dyDescent="0.2">
      <c r="V3091" s="202" t="str">
        <f t="shared" si="56"/>
        <v>1w</v>
      </c>
      <c r="W3091" s="200">
        <f>_xll.qlCalendarAdvance(Calendar,W3090,V3091,"f",FALSE)</f>
        <v>60574</v>
      </c>
      <c r="X3091" s="203">
        <f>_xll.qlCalendarAdvance(Calendar,W3091,NDays&amp;"D")</f>
        <v>60576</v>
      </c>
      <c r="Y3091" s="204">
        <v>2.0403621887735979E-2</v>
      </c>
      <c r="Z3091" s="201">
        <v>2.0384363733292332E-2</v>
      </c>
    </row>
    <row r="3092" spans="22:26" x14ac:dyDescent="0.2">
      <c r="V3092" s="202" t="str">
        <f t="shared" si="56"/>
        <v>1w</v>
      </c>
      <c r="W3092" s="200">
        <f>_xll.qlCalendarAdvance(Calendar,W3091,V3092,"f",FALSE)</f>
        <v>60581</v>
      </c>
      <c r="X3092" s="203">
        <f>_xll.qlCalendarAdvance(Calendar,W3092,NDays&amp;"D")</f>
        <v>60583</v>
      </c>
      <c r="Y3092" s="204">
        <v>2.04042333237478E-2</v>
      </c>
      <c r="Z3092" s="201">
        <v>2.0384977042695596E-2</v>
      </c>
    </row>
    <row r="3093" spans="22:26" x14ac:dyDescent="0.2">
      <c r="V3093" s="202" t="str">
        <f t="shared" ref="V3093:V3156" si="57">V3092</f>
        <v>1w</v>
      </c>
      <c r="W3093" s="200">
        <f>_xll.qlCalendarAdvance(Calendar,W3092,V3093,"f",FALSE)</f>
        <v>60588</v>
      </c>
      <c r="X3093" s="203">
        <f>_xll.qlCalendarAdvance(Calendar,W3093,NDays&amp;"D")</f>
        <v>60590</v>
      </c>
      <c r="Y3093" s="204">
        <v>2.0404843427068164E-2</v>
      </c>
      <c r="Z3093" s="201">
        <v>2.0385589021802986E-2</v>
      </c>
    </row>
    <row r="3094" spans="22:26" x14ac:dyDescent="0.2">
      <c r="V3094" s="202" t="str">
        <f t="shared" si="57"/>
        <v>1w</v>
      </c>
      <c r="W3094" s="200">
        <f>_xll.qlCalendarAdvance(Calendar,W3093,V3094,"f",FALSE)</f>
        <v>60595</v>
      </c>
      <c r="X3094" s="203">
        <f>_xll.qlCalendarAdvance(Calendar,W3094,NDays&amp;"D")</f>
        <v>60597</v>
      </c>
      <c r="Y3094" s="204">
        <v>2.0405452197694574E-2</v>
      </c>
      <c r="Z3094" s="201">
        <v>2.0386199670614502E-2</v>
      </c>
    </row>
    <row r="3095" spans="22:26" x14ac:dyDescent="0.2">
      <c r="V3095" s="202" t="str">
        <f t="shared" si="57"/>
        <v>1w</v>
      </c>
      <c r="W3095" s="200">
        <f>_xll.qlCalendarAdvance(Calendar,W3094,V3095,"f",FALSE)</f>
        <v>60602</v>
      </c>
      <c r="X3095" s="203">
        <f>_xll.qlCalendarAdvance(Calendar,W3095,NDays&amp;"D")</f>
        <v>60604</v>
      </c>
      <c r="Y3095" s="204">
        <v>2.0406059635624529E-2</v>
      </c>
      <c r="Z3095" s="201">
        <v>2.0386808988890337E-2</v>
      </c>
    </row>
    <row r="3096" spans="22:26" x14ac:dyDescent="0.2">
      <c r="V3096" s="202" t="str">
        <f t="shared" si="57"/>
        <v>1w</v>
      </c>
      <c r="W3096" s="200">
        <f>_xll.qlCalendarAdvance(Calendar,W3095,V3096,"f",FALSE)</f>
        <v>60609</v>
      </c>
      <c r="X3096" s="203">
        <f>_xll.qlCalendarAdvance(Calendar,W3096,NDays&amp;"D")</f>
        <v>60611</v>
      </c>
      <c r="Y3096" s="204">
        <v>2.040666574086053E-2</v>
      </c>
      <c r="Z3096" s="201">
        <v>2.0387416976790362E-2</v>
      </c>
    </row>
    <row r="3097" spans="22:26" x14ac:dyDescent="0.2">
      <c r="V3097" s="202" t="str">
        <f t="shared" si="57"/>
        <v>1w</v>
      </c>
      <c r="W3097" s="200">
        <f>_xll.qlCalendarAdvance(Calendar,W3096,V3097,"f",FALSE)</f>
        <v>60616</v>
      </c>
      <c r="X3097" s="203">
        <f>_xll.qlCalendarAdvance(Calendar,W3097,NDays&amp;"D")</f>
        <v>60618</v>
      </c>
      <c r="Y3097" s="204">
        <v>2.0407270513402576E-2</v>
      </c>
      <c r="Z3097" s="201">
        <v>2.0388023634314578E-2</v>
      </c>
    </row>
    <row r="3098" spans="22:26" x14ac:dyDescent="0.2">
      <c r="V3098" s="202" t="str">
        <f t="shared" si="57"/>
        <v>1w</v>
      </c>
      <c r="W3098" s="200">
        <f>_xll.qlCalendarAdvance(Calendar,W3097,V3098,"f",FALSE)</f>
        <v>60623</v>
      </c>
      <c r="X3098" s="203">
        <f>_xll.qlCalendarAdvance(Calendar,W3098,NDays&amp;"D")</f>
        <v>60625</v>
      </c>
      <c r="Y3098" s="204">
        <v>2.0407873953250666E-2</v>
      </c>
      <c r="Z3098" s="201">
        <v>2.0390490639314862E-2</v>
      </c>
    </row>
    <row r="3099" spans="22:26" x14ac:dyDescent="0.2">
      <c r="V3099" s="202" t="str">
        <f t="shared" si="57"/>
        <v>1w</v>
      </c>
      <c r="W3099" s="200">
        <f>_xll.qlCalendarAdvance(Calendar,W3098,V3099,"f",FALSE)</f>
        <v>60630</v>
      </c>
      <c r="X3099" s="203">
        <f>_xll.qlCalendarAdvance(Calendar,W3099,NDays&amp;"D")</f>
        <v>60632</v>
      </c>
      <c r="Y3099" s="204">
        <v>2.0406613084362833E-2</v>
      </c>
      <c r="Z3099" s="201">
        <v>2.0391094453573455E-2</v>
      </c>
    </row>
    <row r="3100" spans="22:26" x14ac:dyDescent="0.2">
      <c r="V3100" s="202" t="str">
        <f t="shared" si="57"/>
        <v>1w</v>
      </c>
      <c r="W3100" s="200">
        <f>_xll.qlCalendarAdvance(Calendar,W3099,V3100,"f",FALSE)</f>
        <v>60637</v>
      </c>
      <c r="X3100" s="203">
        <f>_xll.qlCalendarAdvance(Calendar,W3100,NDays&amp;"D")</f>
        <v>60639</v>
      </c>
      <c r="Y3100" s="204">
        <v>2.0409076834857487E-2</v>
      </c>
      <c r="Z3100" s="201">
        <v>2.0389835624632369E-2</v>
      </c>
    </row>
    <row r="3101" spans="22:26" x14ac:dyDescent="0.2">
      <c r="V3101" s="202" t="str">
        <f t="shared" si="57"/>
        <v>1w</v>
      </c>
      <c r="W3101" s="200">
        <f>_xll.qlCalendarAdvance(Calendar,W3100,V3101,"f",FALSE)</f>
        <v>60644</v>
      </c>
      <c r="X3101" s="203">
        <f>_xll.qlCalendarAdvance(Calendar,W3101,NDays&amp;"D")</f>
        <v>60646</v>
      </c>
      <c r="Y3101" s="204">
        <v>2.0409676276621214E-2</v>
      </c>
      <c r="Z3101" s="201">
        <v>2.0390436960733282E-2</v>
      </c>
    </row>
    <row r="3102" spans="22:26" x14ac:dyDescent="0.2">
      <c r="V3102" s="202" t="str">
        <f t="shared" si="57"/>
        <v>1w</v>
      </c>
      <c r="W3102" s="200">
        <f>_xll.qlCalendarAdvance(Calendar,W3101,V3102,"f",FALSE)</f>
        <v>60651</v>
      </c>
      <c r="X3102" s="203">
        <f>_xll.qlCalendarAdvance(Calendar,W3102,NDays&amp;"D")</f>
        <v>60653</v>
      </c>
      <c r="Y3102" s="204">
        <v>2.0410274385688487E-2</v>
      </c>
      <c r="Z3102" s="201">
        <v>2.0391036966298515E-2</v>
      </c>
    </row>
    <row r="3103" spans="22:26" x14ac:dyDescent="0.2">
      <c r="V3103" s="202" t="str">
        <f t="shared" si="57"/>
        <v>1w</v>
      </c>
      <c r="W3103" s="200">
        <f>_xll.qlCalendarAdvance(Calendar,W3102,V3103,"f",FALSE)</f>
        <v>60658</v>
      </c>
      <c r="X3103" s="203">
        <f>_xll.qlCalendarAdvance(Calendar,W3103,NDays&amp;"D")</f>
        <v>60660</v>
      </c>
      <c r="Y3103" s="204">
        <v>2.0409008921180045E-2</v>
      </c>
      <c r="Z3103" s="201">
        <v>2.0391635641487937E-2</v>
      </c>
    </row>
    <row r="3104" spans="22:26" x14ac:dyDescent="0.2">
      <c r="V3104" s="202" t="str">
        <f t="shared" si="57"/>
        <v>1w</v>
      </c>
      <c r="W3104" s="200">
        <f>_xll.qlCalendarAdvance(Calendar,W3103,V3104,"f",FALSE)</f>
        <v>60665</v>
      </c>
      <c r="X3104" s="203">
        <f>_xll.qlCalendarAdvance(Calendar,W3104,NDays&amp;"D")</f>
        <v>60667</v>
      </c>
      <c r="Y3104" s="204">
        <v>2.040898389885859E-2</v>
      </c>
      <c r="Z3104" s="201">
        <v>2.0392232986381487E-2</v>
      </c>
    </row>
    <row r="3105" spans="22:26" x14ac:dyDescent="0.2">
      <c r="V3105" s="202" t="str">
        <f t="shared" si="57"/>
        <v>1w</v>
      </c>
      <c r="W3105" s="200">
        <f>_xll.qlCalendarAdvance(Calendar,W3104,V3105,"f",FALSE)</f>
        <v>60672</v>
      </c>
      <c r="X3105" s="203">
        <f>_xll.qlCalendarAdvance(Calendar,W3105,NDays&amp;"D")</f>
        <v>60674</v>
      </c>
      <c r="Y3105" s="204">
        <v>2.0409578255916445E-2</v>
      </c>
      <c r="Z3105" s="201">
        <v>2.0392829000739354E-2</v>
      </c>
    </row>
    <row r="3106" spans="22:26" x14ac:dyDescent="0.2">
      <c r="V3106" s="202" t="str">
        <f t="shared" si="57"/>
        <v>1w</v>
      </c>
      <c r="W3106" s="200">
        <f>_xll.qlCalendarAdvance(Calendar,W3105,V3106,"f",FALSE)</f>
        <v>60679</v>
      </c>
      <c r="X3106" s="203">
        <f>_xll.qlCalendarAdvance(Calendar,W3106,NDays&amp;"D")</f>
        <v>60681</v>
      </c>
      <c r="Y3106" s="204">
        <v>2.0410171280580106E-2</v>
      </c>
      <c r="Z3106" s="201">
        <v>2.0393423684881284E-2</v>
      </c>
    </row>
    <row r="3107" spans="22:26" x14ac:dyDescent="0.2">
      <c r="V3107" s="202" t="str">
        <f t="shared" si="57"/>
        <v>1w</v>
      </c>
      <c r="W3107" s="200">
        <f>_xll.qlCalendarAdvance(Calendar,W3106,V3107,"f",FALSE)</f>
        <v>60686</v>
      </c>
      <c r="X3107" s="203">
        <f>_xll.qlCalendarAdvance(Calendar,W3107,NDays&amp;"D")</f>
        <v>60688</v>
      </c>
      <c r="Y3107" s="204">
        <v>2.0410762972838153E-2</v>
      </c>
      <c r="Z3107" s="201">
        <v>2.0394017038487533E-2</v>
      </c>
    </row>
    <row r="3108" spans="22:26" x14ac:dyDescent="0.2">
      <c r="V3108" s="202" t="str">
        <f t="shared" si="57"/>
        <v>1w</v>
      </c>
      <c r="W3108" s="200">
        <f>_xll.qlCalendarAdvance(Calendar,W3107,V3108,"f",FALSE)</f>
        <v>60693</v>
      </c>
      <c r="X3108" s="203">
        <f>_xll.qlCalendarAdvance(Calendar,W3108,NDays&amp;"D")</f>
        <v>60695</v>
      </c>
      <c r="Y3108" s="204">
        <v>2.0413835053461615E-2</v>
      </c>
      <c r="Z3108" s="201">
        <v>2.0394609061797908E-2</v>
      </c>
    </row>
    <row r="3109" spans="22:26" x14ac:dyDescent="0.2">
      <c r="V3109" s="202" t="str">
        <f t="shared" si="57"/>
        <v>1w</v>
      </c>
      <c r="W3109" s="200">
        <f>_xll.qlCalendarAdvance(Calendar,W3108,V3109,"f",FALSE)</f>
        <v>60700</v>
      </c>
      <c r="X3109" s="203">
        <f>_xll.qlCalendarAdvance(Calendar,W3109,NDays&amp;"D")</f>
        <v>60702</v>
      </c>
      <c r="Y3109" s="204">
        <v>2.0415044245868881E-2</v>
      </c>
      <c r="Z3109" s="201">
        <v>2.0395199754732474E-2</v>
      </c>
    </row>
    <row r="3110" spans="22:26" x14ac:dyDescent="0.2">
      <c r="V3110" s="202" t="str">
        <f t="shared" si="57"/>
        <v>1w</v>
      </c>
      <c r="W3110" s="200">
        <f>_xll.qlCalendarAdvance(Calendar,W3109,V3110,"f",FALSE)</f>
        <v>60707</v>
      </c>
      <c r="X3110" s="203">
        <f>_xll.qlCalendarAdvance(Calendar,W3110,NDays&amp;"D")</f>
        <v>60709</v>
      </c>
      <c r="Y3110" s="204">
        <v>2.041501128114187E-2</v>
      </c>
      <c r="Z3110" s="201">
        <v>2.0395789117051422E-2</v>
      </c>
    </row>
    <row r="3111" spans="22:26" x14ac:dyDescent="0.2">
      <c r="V3111" s="202" t="str">
        <f t="shared" si="57"/>
        <v>1w</v>
      </c>
      <c r="W3111" s="200">
        <f>_xll.qlCalendarAdvance(Calendar,W3110,V3111,"f",FALSE)</f>
        <v>60714</v>
      </c>
      <c r="X3111" s="203">
        <f>_xll.qlCalendarAdvance(Calendar,W3111,NDays&amp;"D")</f>
        <v>60716</v>
      </c>
      <c r="Y3111" s="204">
        <v>2.0415597395938567E-2</v>
      </c>
      <c r="Z3111" s="201">
        <v>2.0396377149314304E-2</v>
      </c>
    </row>
    <row r="3112" spans="22:26" x14ac:dyDescent="0.2">
      <c r="V3112" s="202" t="str">
        <f t="shared" si="57"/>
        <v>1w</v>
      </c>
      <c r="W3112" s="200">
        <f>_xll.qlCalendarAdvance(Calendar,W3111,V3112,"f",FALSE)</f>
        <v>60721</v>
      </c>
      <c r="X3112" s="203">
        <f>_xll.qlCalendarAdvance(Calendar,W3112,NDays&amp;"D")</f>
        <v>60723</v>
      </c>
      <c r="Y3112" s="204">
        <v>2.0416182178036313E-2</v>
      </c>
      <c r="Z3112" s="201">
        <v>2.0396963850961569E-2</v>
      </c>
    </row>
    <row r="3113" spans="22:26" x14ac:dyDescent="0.2">
      <c r="V3113" s="202" t="str">
        <f t="shared" si="57"/>
        <v>1w</v>
      </c>
      <c r="W3113" s="200">
        <f>_xll.qlCalendarAdvance(Calendar,W3112,V3113,"f",FALSE)</f>
        <v>60728</v>
      </c>
      <c r="X3113" s="203">
        <f>_xll.qlCalendarAdvance(Calendar,W3113,NDays&amp;"D")</f>
        <v>60730</v>
      </c>
      <c r="Y3113" s="204">
        <v>2.0416765627437605E-2</v>
      </c>
      <c r="Z3113" s="201">
        <v>2.0400027813133548E-2</v>
      </c>
    </row>
    <row r="3114" spans="22:26" x14ac:dyDescent="0.2">
      <c r="V3114" s="202" t="str">
        <f t="shared" si="57"/>
        <v>1w</v>
      </c>
      <c r="W3114" s="200">
        <f>_xll.qlCalendarAdvance(Calendar,W3113,V3114,"f",FALSE)</f>
        <v>60735</v>
      </c>
      <c r="X3114" s="203">
        <f>_xll.qlCalendarAdvance(Calendar,W3114,NDays&amp;"D")</f>
        <v>60737</v>
      </c>
      <c r="Y3114" s="204">
        <v>2.0417347744137448E-2</v>
      </c>
      <c r="Z3114" s="201">
        <v>2.0398133263208607E-2</v>
      </c>
    </row>
    <row r="3115" spans="22:26" x14ac:dyDescent="0.2">
      <c r="V3115" s="202" t="str">
        <f t="shared" si="57"/>
        <v>1w</v>
      </c>
      <c r="W3115" s="200">
        <f>_xll.qlCalendarAdvance(Calendar,W3114,V3115,"f",FALSE)</f>
        <v>60742</v>
      </c>
      <c r="X3115" s="203">
        <f>_xll.qlCalendarAdvance(Calendar,W3115,NDays&amp;"D")</f>
        <v>60744</v>
      </c>
      <c r="Y3115" s="204">
        <v>2.0417928528140838E-2</v>
      </c>
      <c r="Z3115" s="201">
        <v>2.0398715973888315E-2</v>
      </c>
    </row>
    <row r="3116" spans="22:26" x14ac:dyDescent="0.2">
      <c r="V3116" s="202" t="str">
        <f t="shared" si="57"/>
        <v>1w</v>
      </c>
      <c r="W3116" s="200">
        <f>_xll.qlCalendarAdvance(Calendar,W3115,V3116,"f",FALSE)</f>
        <v>60749</v>
      </c>
      <c r="X3116" s="203">
        <f>_xll.qlCalendarAdvance(Calendar,W3116,NDays&amp;"D")</f>
        <v>60751</v>
      </c>
      <c r="Y3116" s="204">
        <v>2.0418507979442779E-2</v>
      </c>
      <c r="Z3116" s="201">
        <v>2.0399297353952406E-2</v>
      </c>
    </row>
    <row r="3117" spans="22:26" x14ac:dyDescent="0.2">
      <c r="V3117" s="202" t="str">
        <f t="shared" si="57"/>
        <v>1w</v>
      </c>
      <c r="W3117" s="200">
        <f>_xll.qlCalendarAdvance(Calendar,W3116,V3117,"f",FALSE)</f>
        <v>60756</v>
      </c>
      <c r="X3117" s="203">
        <f>_xll.qlCalendarAdvance(Calendar,W3117,NDays&amp;"D")</f>
        <v>60758</v>
      </c>
      <c r="Y3117" s="204">
        <v>2.0419086098048267E-2</v>
      </c>
      <c r="Z3117" s="201">
        <v>2.0399877403720623E-2</v>
      </c>
    </row>
    <row r="3118" spans="22:26" x14ac:dyDescent="0.2">
      <c r="V3118" s="202" t="str">
        <f t="shared" si="57"/>
        <v>1w</v>
      </c>
      <c r="W3118" s="200">
        <f>_xll.qlCalendarAdvance(Calendar,W3117,V3118,"f",FALSE)</f>
        <v>60763</v>
      </c>
      <c r="X3118" s="203">
        <f>_xll.qlCalendarAdvance(Calendar,W3118,NDays&amp;"D")</f>
        <v>60765</v>
      </c>
      <c r="Y3118" s="204">
        <v>2.0419662883957301E-2</v>
      </c>
      <c r="Z3118" s="201">
        <v>2.0400456123113031E-2</v>
      </c>
    </row>
    <row r="3119" spans="22:26" x14ac:dyDescent="0.2">
      <c r="V3119" s="202" t="str">
        <f t="shared" si="57"/>
        <v>1w</v>
      </c>
      <c r="W3119" s="200">
        <f>_xll.qlCalendarAdvance(Calendar,W3118,V3119,"f",FALSE)</f>
        <v>60770</v>
      </c>
      <c r="X3119" s="203">
        <f>_xll.qlCalendarAdvance(Calendar,W3119,NDays&amp;"D")</f>
        <v>60772</v>
      </c>
      <c r="Y3119" s="204">
        <v>2.0420238337164887E-2</v>
      </c>
      <c r="Z3119" s="201">
        <v>2.0401033512129629E-2</v>
      </c>
    </row>
    <row r="3120" spans="22:26" x14ac:dyDescent="0.2">
      <c r="V3120" s="202" t="str">
        <f t="shared" si="57"/>
        <v>1w</v>
      </c>
      <c r="W3120" s="200">
        <f>_xll.qlCalendarAdvance(Calendar,W3119,V3120,"f",FALSE)</f>
        <v>60777</v>
      </c>
      <c r="X3120" s="203">
        <f>_xll.qlCalendarAdvance(Calendar,W3120,NDays&amp;"D")</f>
        <v>60779</v>
      </c>
      <c r="Y3120" s="204">
        <v>2.0420812457676019E-2</v>
      </c>
      <c r="Z3120" s="201">
        <v>2.040160957093029E-2</v>
      </c>
    </row>
    <row r="3121" spans="22:26" x14ac:dyDescent="0.2">
      <c r="V3121" s="202" t="str">
        <f t="shared" si="57"/>
        <v>1w</v>
      </c>
      <c r="W3121" s="200">
        <f>_xll.qlCalendarAdvance(Calendar,W3120,V3121,"f",FALSE)</f>
        <v>60784</v>
      </c>
      <c r="X3121" s="203">
        <f>_xll.qlCalendarAdvance(Calendar,W3121,NDays&amp;"D")</f>
        <v>60786</v>
      </c>
      <c r="Y3121" s="204">
        <v>2.0421385245478207E-2</v>
      </c>
      <c r="Z3121" s="201">
        <v>2.0402184299035397E-2</v>
      </c>
    </row>
    <row r="3122" spans="22:26" x14ac:dyDescent="0.2">
      <c r="V3122" s="202" t="str">
        <f t="shared" si="57"/>
        <v>1w</v>
      </c>
      <c r="W3122" s="200">
        <f>_xll.qlCalendarAdvance(Calendar,W3121,V3122,"f",FALSE)</f>
        <v>60791</v>
      </c>
      <c r="X3122" s="203">
        <f>_xll.qlCalendarAdvance(Calendar,W3122,NDays&amp;"D")</f>
        <v>60793</v>
      </c>
      <c r="Y3122" s="204">
        <v>2.0421956700591437E-2</v>
      </c>
      <c r="Z3122" s="201">
        <v>2.0402757696924567E-2</v>
      </c>
    </row>
    <row r="3123" spans="22:26" x14ac:dyDescent="0.2">
      <c r="V3123" s="202" t="str">
        <f t="shared" si="57"/>
        <v>1w</v>
      </c>
      <c r="W3123" s="200">
        <f>_xll.qlCalendarAdvance(Calendar,W3122,V3123,"f",FALSE)</f>
        <v>60798</v>
      </c>
      <c r="X3123" s="203">
        <f>_xll.qlCalendarAdvance(Calendar,W3123,NDays&amp;"D")</f>
        <v>60800</v>
      </c>
      <c r="Y3123" s="204">
        <v>2.0422526822998222E-2</v>
      </c>
      <c r="Z3123" s="201">
        <v>2.0403329764357991E-2</v>
      </c>
    </row>
    <row r="3124" spans="22:26" x14ac:dyDescent="0.2">
      <c r="V3124" s="202" t="str">
        <f t="shared" si="57"/>
        <v>1w</v>
      </c>
      <c r="W3124" s="200">
        <f>_xll.qlCalendarAdvance(Calendar,W3123,V3124,"f",FALSE)</f>
        <v>60805</v>
      </c>
      <c r="X3124" s="203">
        <f>_xll.qlCalendarAdvance(Calendar,W3124,NDays&amp;"D")</f>
        <v>60807</v>
      </c>
      <c r="Y3124" s="204">
        <v>2.0423095612703557E-2</v>
      </c>
      <c r="Z3124" s="201">
        <v>2.040390050133567E-2</v>
      </c>
    </row>
    <row r="3125" spans="22:26" x14ac:dyDescent="0.2">
      <c r="V3125" s="202" t="str">
        <f t="shared" si="57"/>
        <v>1w</v>
      </c>
      <c r="W3125" s="200">
        <f>_xll.qlCalendarAdvance(Calendar,W3124,V3125,"f",FALSE)</f>
        <v>60812</v>
      </c>
      <c r="X3125" s="203">
        <f>_xll.qlCalendarAdvance(Calendar,W3125,NDays&amp;"D")</f>
        <v>60814</v>
      </c>
      <c r="Y3125" s="204">
        <v>2.0423663069714937E-2</v>
      </c>
      <c r="Z3125" s="201">
        <v>2.0404469908017475E-2</v>
      </c>
    </row>
    <row r="3126" spans="22:26" x14ac:dyDescent="0.2">
      <c r="V3126" s="202" t="str">
        <f t="shared" si="57"/>
        <v>1w</v>
      </c>
      <c r="W3126" s="200">
        <f>_xll.qlCalendarAdvance(Calendar,W3125,V3126,"f",FALSE)</f>
        <v>60819</v>
      </c>
      <c r="X3126" s="203">
        <f>_xll.qlCalendarAdvance(Calendar,W3126,NDays&amp;"D")</f>
        <v>60821</v>
      </c>
      <c r="Y3126" s="204">
        <v>2.0424229194019872E-2</v>
      </c>
      <c r="Z3126" s="201">
        <v>2.0405037984323471E-2</v>
      </c>
    </row>
    <row r="3127" spans="22:26" x14ac:dyDescent="0.2">
      <c r="V3127" s="202" t="str">
        <f t="shared" si="57"/>
        <v>1w</v>
      </c>
      <c r="W3127" s="200">
        <f>_xll.qlCalendarAdvance(Calendar,W3126,V3127,"f",FALSE)</f>
        <v>60826</v>
      </c>
      <c r="X3127" s="203">
        <f>_xll.qlCalendarAdvance(Calendar,W3127,NDays&amp;"D")</f>
        <v>60828</v>
      </c>
      <c r="Y3127" s="204">
        <v>2.0424793985630851E-2</v>
      </c>
      <c r="Z3127" s="201">
        <v>2.0405604730253657E-2</v>
      </c>
    </row>
    <row r="3128" spans="22:26" x14ac:dyDescent="0.2">
      <c r="V3128" s="202" t="str">
        <f t="shared" si="57"/>
        <v>1w</v>
      </c>
      <c r="W3128" s="200">
        <f>_xll.qlCalendarAdvance(Calendar,W3127,V3128,"f",FALSE)</f>
        <v>60833</v>
      </c>
      <c r="X3128" s="203">
        <f>_xll.qlCalendarAdvance(Calendar,W3128,NDays&amp;"D")</f>
        <v>60835</v>
      </c>
      <c r="Y3128" s="204">
        <v>2.0425357444532888E-2</v>
      </c>
      <c r="Z3128" s="201">
        <v>2.0406170145728098E-2</v>
      </c>
    </row>
    <row r="3129" spans="22:26" x14ac:dyDescent="0.2">
      <c r="V3129" s="202" t="str">
        <f t="shared" si="57"/>
        <v>1w</v>
      </c>
      <c r="W3129" s="200">
        <f>_xll.qlCalendarAdvance(Calendar,W3128,V3129,"f",FALSE)</f>
        <v>60840</v>
      </c>
      <c r="X3129" s="203">
        <f>_xll.qlCalendarAdvance(Calendar,W3129,NDays&amp;"D")</f>
        <v>60842</v>
      </c>
      <c r="Y3129" s="204">
        <v>2.0425919570735973E-2</v>
      </c>
      <c r="Z3129" s="201">
        <v>2.0406734230826729E-2</v>
      </c>
    </row>
    <row r="3130" spans="22:26" x14ac:dyDescent="0.2">
      <c r="V3130" s="202" t="str">
        <f t="shared" si="57"/>
        <v>1w</v>
      </c>
      <c r="W3130" s="200">
        <f>_xll.qlCalendarAdvance(Calendar,W3129,V3130,"f",FALSE)</f>
        <v>60847</v>
      </c>
      <c r="X3130" s="203">
        <f>_xll.qlCalendarAdvance(Calendar,W3130,NDays&amp;"D")</f>
        <v>60849</v>
      </c>
      <c r="Y3130" s="204">
        <v>2.0426480364242605E-2</v>
      </c>
      <c r="Z3130" s="201">
        <v>2.0407296985629486E-2</v>
      </c>
    </row>
    <row r="3131" spans="22:26" x14ac:dyDescent="0.2">
      <c r="V3131" s="202" t="str">
        <f t="shared" si="57"/>
        <v>1w</v>
      </c>
      <c r="W3131" s="200">
        <f>_xll.qlCalendarAdvance(Calendar,W3130,V3131,"f",FALSE)</f>
        <v>60854</v>
      </c>
      <c r="X3131" s="203">
        <f>_xll.qlCalendarAdvance(Calendar,W3131,NDays&amp;"D")</f>
        <v>60856</v>
      </c>
      <c r="Y3131" s="204">
        <v>2.042703982504529E-2</v>
      </c>
      <c r="Z3131" s="201">
        <v>2.0407858409976498E-2</v>
      </c>
    </row>
    <row r="3132" spans="22:26" x14ac:dyDescent="0.2">
      <c r="V3132" s="202" t="str">
        <f t="shared" si="57"/>
        <v>1w</v>
      </c>
      <c r="W3132" s="200">
        <f>_xll.qlCalendarAdvance(Calendar,W3131,V3132,"f",FALSE)</f>
        <v>60861</v>
      </c>
      <c r="X3132" s="203">
        <f>_xll.qlCalendarAdvance(Calendar,W3132,NDays&amp;"D")</f>
        <v>60863</v>
      </c>
      <c r="Y3132" s="204">
        <v>2.042759795314153E-2</v>
      </c>
      <c r="Z3132" s="201">
        <v>2.0408418503867765E-2</v>
      </c>
    </row>
    <row r="3133" spans="22:26" x14ac:dyDescent="0.2">
      <c r="V3133" s="202" t="str">
        <f t="shared" si="57"/>
        <v>1w</v>
      </c>
      <c r="W3133" s="200">
        <f>_xll.qlCalendarAdvance(Calendar,W3132,V3133,"f",FALSE)</f>
        <v>60868</v>
      </c>
      <c r="X3133" s="203">
        <f>_xll.qlCalendarAdvance(Calendar,W3133,NDays&amp;"D")</f>
        <v>60870</v>
      </c>
      <c r="Y3133" s="204">
        <v>2.0428154748538818E-2</v>
      </c>
      <c r="Z3133" s="201">
        <v>2.0408977267463158E-2</v>
      </c>
    </row>
    <row r="3134" spans="22:26" x14ac:dyDescent="0.2">
      <c r="V3134" s="202" t="str">
        <f t="shared" si="57"/>
        <v>1w</v>
      </c>
      <c r="W3134" s="200">
        <f>_xll.qlCalendarAdvance(Calendar,W3133,V3134,"f",FALSE)</f>
        <v>60875</v>
      </c>
      <c r="X3134" s="203">
        <f>_xll.qlCalendarAdvance(Calendar,W3134,NDays&amp;"D")</f>
        <v>60877</v>
      </c>
      <c r="Y3134" s="204">
        <v>2.0428710211234657E-2</v>
      </c>
      <c r="Z3134" s="201">
        <v>2.0409534700682741E-2</v>
      </c>
    </row>
    <row r="3135" spans="22:26" x14ac:dyDescent="0.2">
      <c r="V3135" s="202" t="str">
        <f t="shared" si="57"/>
        <v>1w</v>
      </c>
      <c r="W3135" s="200">
        <f>_xll.qlCalendarAdvance(Calendar,W3134,V3135,"f",FALSE)</f>
        <v>60882</v>
      </c>
      <c r="X3135" s="203">
        <f>_xll.qlCalendarAdvance(Calendar,W3135,NDays&amp;"D")</f>
        <v>60884</v>
      </c>
      <c r="Y3135" s="204">
        <v>2.042926434122655E-2</v>
      </c>
      <c r="Z3135" s="201">
        <v>2.0410090803366643E-2</v>
      </c>
    </row>
    <row r="3136" spans="22:26" x14ac:dyDescent="0.2">
      <c r="V3136" s="202" t="str">
        <f t="shared" si="57"/>
        <v>1w</v>
      </c>
      <c r="W3136" s="200">
        <f>_xll.qlCalendarAdvance(Calendar,W3135,V3136,"f",FALSE)</f>
        <v>60889</v>
      </c>
      <c r="X3136" s="203">
        <f>_xll.qlCalendarAdvance(Calendar,W3136,NDays&amp;"D")</f>
        <v>60891</v>
      </c>
      <c r="Y3136" s="204">
        <v>2.0429817138514494E-2</v>
      </c>
      <c r="Z3136" s="201">
        <v>2.0410645575754671E-2</v>
      </c>
    </row>
    <row r="3137" spans="22:26" x14ac:dyDescent="0.2">
      <c r="V3137" s="202" t="str">
        <f t="shared" si="57"/>
        <v>1w</v>
      </c>
      <c r="W3137" s="200">
        <f>_xll.qlCalendarAdvance(Calendar,W3136,V3137,"f",FALSE)</f>
        <v>60896</v>
      </c>
      <c r="X3137" s="203">
        <f>_xll.qlCalendarAdvance(Calendar,W3137,NDays&amp;"D")</f>
        <v>60898</v>
      </c>
      <c r="Y3137" s="204">
        <v>2.0430368603103488E-2</v>
      </c>
      <c r="Z3137" s="201">
        <v>2.0411199017846826E-2</v>
      </c>
    </row>
    <row r="3138" spans="22:26" x14ac:dyDescent="0.2">
      <c r="V3138" s="202" t="str">
        <f t="shared" si="57"/>
        <v>1w</v>
      </c>
      <c r="W3138" s="200">
        <f>_xll.qlCalendarAdvance(Calendar,W3137,V3138,"f",FALSE)</f>
        <v>60903</v>
      </c>
      <c r="X3138" s="203">
        <f>_xll.qlCalendarAdvance(Calendar,W3138,NDays&amp;"D")</f>
        <v>60905</v>
      </c>
      <c r="Y3138" s="204">
        <v>2.0429063079486429E-2</v>
      </c>
      <c r="Z3138" s="201">
        <v>2.0411751129403299E-2</v>
      </c>
    </row>
    <row r="3139" spans="22:26" x14ac:dyDescent="0.2">
      <c r="V3139" s="202" t="str">
        <f t="shared" si="57"/>
        <v>1w</v>
      </c>
      <c r="W3139" s="200">
        <f>_xll.qlCalendarAdvance(Calendar,W3138,V3139,"f",FALSE)</f>
        <v>60910</v>
      </c>
      <c r="X3139" s="203">
        <f>_xll.qlCalendarAdvance(Calendar,W3139,NDays&amp;"D")</f>
        <v>60912</v>
      </c>
      <c r="Y3139" s="204">
        <v>2.0431467534169634E-2</v>
      </c>
      <c r="Z3139" s="201">
        <v>2.0412301910743835E-2</v>
      </c>
    </row>
    <row r="3140" spans="22:26" x14ac:dyDescent="0.2">
      <c r="V3140" s="202" t="str">
        <f t="shared" si="57"/>
        <v>1w</v>
      </c>
      <c r="W3140" s="200">
        <f>_xll.qlCalendarAdvance(Calendar,W3139,V3140,"f",FALSE)</f>
        <v>60917</v>
      </c>
      <c r="X3140" s="203">
        <f>_xll.qlCalendarAdvance(Calendar,W3140,NDays&amp;"D")</f>
        <v>60919</v>
      </c>
      <c r="Y3140" s="204">
        <v>2.0432015000646786E-2</v>
      </c>
      <c r="Z3140" s="201">
        <v>2.041285136154869E-2</v>
      </c>
    </row>
    <row r="3141" spans="22:26" x14ac:dyDescent="0.2">
      <c r="V3141" s="202" t="str">
        <f t="shared" si="57"/>
        <v>1w</v>
      </c>
      <c r="W3141" s="200">
        <f>_xll.qlCalendarAdvance(Calendar,W3140,V3141,"f",FALSE)</f>
        <v>60924</v>
      </c>
      <c r="X3141" s="203">
        <f>_xll.qlCalendarAdvance(Calendar,W3141,NDays&amp;"D")</f>
        <v>60926</v>
      </c>
      <c r="Y3141" s="204">
        <v>2.0432561134422489E-2</v>
      </c>
      <c r="Z3141" s="201">
        <v>2.0413399481977734E-2</v>
      </c>
    </row>
    <row r="3142" spans="22:26" x14ac:dyDescent="0.2">
      <c r="V3142" s="202" t="str">
        <f t="shared" si="57"/>
        <v>1w</v>
      </c>
      <c r="W3142" s="200">
        <f>_xll.qlCalendarAdvance(Calendar,W3141,V3142,"f",FALSE)</f>
        <v>60931</v>
      </c>
      <c r="X3142" s="203">
        <f>_xll.qlCalendarAdvance(Calendar,W3142,NDays&amp;"D")</f>
        <v>60933</v>
      </c>
      <c r="Y3142" s="204">
        <v>2.0433105935491747E-2</v>
      </c>
      <c r="Z3142" s="201">
        <v>2.0413946272030969E-2</v>
      </c>
    </row>
    <row r="3143" spans="22:26" x14ac:dyDescent="0.2">
      <c r="V3143" s="202" t="str">
        <f t="shared" si="57"/>
        <v>1w</v>
      </c>
      <c r="W3143" s="200">
        <f>_xll.qlCalendarAdvance(Calendar,W3142,V3143,"f",FALSE)</f>
        <v>60938</v>
      </c>
      <c r="X3143" s="203">
        <f>_xll.qlCalendarAdvance(Calendar,W3143,NDays&amp;"D")</f>
        <v>60940</v>
      </c>
      <c r="Y3143" s="204">
        <v>2.0433649403859555E-2</v>
      </c>
      <c r="Z3143" s="201">
        <v>2.0414491731708395E-2</v>
      </c>
    </row>
    <row r="3144" spans="22:26" x14ac:dyDescent="0.2">
      <c r="V3144" s="202" t="str">
        <f t="shared" si="57"/>
        <v>1w</v>
      </c>
      <c r="W3144" s="200">
        <f>_xll.qlCalendarAdvance(Calendar,W3143,V3144,"f",FALSE)</f>
        <v>60945</v>
      </c>
      <c r="X3144" s="203">
        <f>_xll.qlCalendarAdvance(Calendar,W3144,NDays&amp;"D")</f>
        <v>60947</v>
      </c>
      <c r="Y3144" s="204">
        <v>2.0434191539520918E-2</v>
      </c>
      <c r="Z3144" s="201">
        <v>2.0415035861010011E-2</v>
      </c>
    </row>
    <row r="3145" spans="22:26" x14ac:dyDescent="0.2">
      <c r="V3145" s="202" t="str">
        <f t="shared" si="57"/>
        <v>1w</v>
      </c>
      <c r="W3145" s="200">
        <f>_xll.qlCalendarAdvance(Calendar,W3144,V3145,"f",FALSE)</f>
        <v>60952</v>
      </c>
      <c r="X3145" s="203">
        <f>_xll.qlCalendarAdvance(Calendar,W3145,NDays&amp;"D")</f>
        <v>60954</v>
      </c>
      <c r="Y3145" s="204">
        <v>2.043473234248333E-2</v>
      </c>
      <c r="Z3145" s="201">
        <v>2.0415578660015754E-2</v>
      </c>
    </row>
    <row r="3146" spans="22:26" x14ac:dyDescent="0.2">
      <c r="V3146" s="202" t="str">
        <f t="shared" si="57"/>
        <v>1w</v>
      </c>
      <c r="W3146" s="200">
        <f>_xll.qlCalendarAdvance(Calendar,W3145,V3146,"f",FALSE)</f>
        <v>60959</v>
      </c>
      <c r="X3146" s="203">
        <f>_xll.qlCalendarAdvance(Calendar,W3146,NDays&amp;"D")</f>
        <v>60961</v>
      </c>
      <c r="Y3146" s="204">
        <v>2.0435271812734301E-2</v>
      </c>
      <c r="Z3146" s="201">
        <v>2.0416120128405879E-2</v>
      </c>
    </row>
    <row r="3147" spans="22:26" x14ac:dyDescent="0.2">
      <c r="V3147" s="202" t="str">
        <f t="shared" si="57"/>
        <v>1w</v>
      </c>
      <c r="W3147" s="200">
        <f>_xll.qlCalendarAdvance(Calendar,W3146,V3147,"f",FALSE)</f>
        <v>60966</v>
      </c>
      <c r="X3147" s="203">
        <f>_xll.qlCalendarAdvance(Calendar,W3147,NDays&amp;"D")</f>
        <v>60968</v>
      </c>
      <c r="Y3147" s="204">
        <v>2.0435809950281325E-2</v>
      </c>
      <c r="Z3147" s="201">
        <v>2.0416660266580067E-2</v>
      </c>
    </row>
    <row r="3148" spans="22:26" x14ac:dyDescent="0.2">
      <c r="V3148" s="202" t="str">
        <f t="shared" si="57"/>
        <v>1w</v>
      </c>
      <c r="W3148" s="200">
        <f>_xll.qlCalendarAdvance(Calendar,W3147,V3148,"f",FALSE)</f>
        <v>60973</v>
      </c>
      <c r="X3148" s="203">
        <f>_xll.qlCalendarAdvance(Calendar,W3148,NDays&amp;"D")</f>
        <v>60975</v>
      </c>
      <c r="Y3148" s="204">
        <v>2.0436346755124402E-2</v>
      </c>
      <c r="Z3148" s="201">
        <v>2.0417199074298509E-2</v>
      </c>
    </row>
    <row r="3149" spans="22:26" x14ac:dyDescent="0.2">
      <c r="V3149" s="202" t="str">
        <f t="shared" si="57"/>
        <v>1w</v>
      </c>
      <c r="W3149" s="200">
        <f>_xll.qlCalendarAdvance(Calendar,W3148,V3149,"f",FALSE)</f>
        <v>60980</v>
      </c>
      <c r="X3149" s="203">
        <f>_xll.qlCalendarAdvance(Calendar,W3149,NDays&amp;"D")</f>
        <v>60982</v>
      </c>
      <c r="Y3149" s="204">
        <v>2.0436882227263531E-2</v>
      </c>
      <c r="Z3149" s="201">
        <v>2.0417736551561205E-2</v>
      </c>
    </row>
    <row r="3150" spans="22:26" x14ac:dyDescent="0.2">
      <c r="V3150" s="202" t="str">
        <f t="shared" si="57"/>
        <v>1w</v>
      </c>
      <c r="W3150" s="200">
        <f>_xll.qlCalendarAdvance(Calendar,W3149,V3150,"f",FALSE)</f>
        <v>60987</v>
      </c>
      <c r="X3150" s="203">
        <f>_xll.qlCalendarAdvance(Calendar,W3150,NDays&amp;"D")</f>
        <v>60989</v>
      </c>
      <c r="Y3150" s="204">
        <v>2.0437416366696215E-2</v>
      </c>
      <c r="Z3150" s="201">
        <v>2.0418272698448092E-2</v>
      </c>
    </row>
    <row r="3151" spans="22:26" x14ac:dyDescent="0.2">
      <c r="V3151" s="202" t="str">
        <f t="shared" si="57"/>
        <v>1w</v>
      </c>
      <c r="W3151" s="200">
        <f>_xll.qlCalendarAdvance(Calendar,W3150,V3151,"f",FALSE)</f>
        <v>60994</v>
      </c>
      <c r="X3151" s="203">
        <f>_xll.qlCalendarAdvance(Calendar,W3151,NDays&amp;"D")</f>
        <v>60996</v>
      </c>
      <c r="Y3151" s="204">
        <v>2.0437949173424952E-2</v>
      </c>
      <c r="Z3151" s="201">
        <v>2.0418807515198978E-2</v>
      </c>
    </row>
    <row r="3152" spans="22:26" x14ac:dyDescent="0.2">
      <c r="V3152" s="202" t="str">
        <f t="shared" si="57"/>
        <v>1w</v>
      </c>
      <c r="W3152" s="200">
        <f>_xll.qlCalendarAdvance(Calendar,W3151,V3152,"f",FALSE)</f>
        <v>61001</v>
      </c>
      <c r="X3152" s="203">
        <f>_xll.qlCalendarAdvance(Calendar,W3152,NDays&amp;"D")</f>
        <v>61003</v>
      </c>
      <c r="Y3152" s="204">
        <v>2.0438480647447244E-2</v>
      </c>
      <c r="Z3152" s="201">
        <v>2.0419341001414182E-2</v>
      </c>
    </row>
    <row r="3153" spans="22:26" x14ac:dyDescent="0.2">
      <c r="V3153" s="202" t="str">
        <f t="shared" si="57"/>
        <v>1w</v>
      </c>
      <c r="W3153" s="200">
        <f>_xll.qlCalendarAdvance(Calendar,W3152,V3153,"f",FALSE)</f>
        <v>61008</v>
      </c>
      <c r="X3153" s="203">
        <f>_xll.qlCalendarAdvance(Calendar,W3153,NDays&amp;"D")</f>
        <v>61010</v>
      </c>
      <c r="Y3153" s="204">
        <v>2.043901078876309E-2</v>
      </c>
      <c r="Z3153" s="201">
        <v>2.0419873157093704E-2</v>
      </c>
    </row>
    <row r="3154" spans="22:26" x14ac:dyDescent="0.2">
      <c r="V3154" s="202" t="str">
        <f t="shared" si="57"/>
        <v>1w</v>
      </c>
      <c r="W3154" s="200">
        <f>_xll.qlCalendarAdvance(Calendar,W3153,V3154,"f",FALSE)</f>
        <v>61015</v>
      </c>
      <c r="X3154" s="203">
        <f>_xll.qlCalendarAdvance(Calendar,W3154,NDays&amp;"D")</f>
        <v>61017</v>
      </c>
      <c r="Y3154" s="204">
        <v>2.0439539597372491E-2</v>
      </c>
      <c r="Z3154" s="201">
        <v>2.0420403982477353E-2</v>
      </c>
    </row>
    <row r="3155" spans="22:26" x14ac:dyDescent="0.2">
      <c r="V3155" s="202" t="str">
        <f t="shared" si="57"/>
        <v>1w</v>
      </c>
      <c r="W3155" s="200">
        <f>_xll.qlCalendarAdvance(Calendar,W3154,V3155,"f",FALSE)</f>
        <v>61022</v>
      </c>
      <c r="X3155" s="203">
        <f>_xll.qlCalendarAdvance(Calendar,W3155,NDays&amp;"D")</f>
        <v>61024</v>
      </c>
      <c r="Y3155" s="204">
        <v>2.0440067073275447E-2</v>
      </c>
      <c r="Z3155" s="201">
        <v>2.0420933477485192E-2</v>
      </c>
    </row>
    <row r="3156" spans="22:26" x14ac:dyDescent="0.2">
      <c r="V3156" s="202" t="str">
        <f t="shared" si="57"/>
        <v>1w</v>
      </c>
      <c r="W3156" s="200">
        <f>_xll.qlCalendarAdvance(Calendar,W3155,V3156,"f",FALSE)</f>
        <v>61029</v>
      </c>
      <c r="X3156" s="203">
        <f>_xll.qlCalendarAdvance(Calendar,W3156,NDays&amp;"D")</f>
        <v>61031</v>
      </c>
      <c r="Y3156" s="204">
        <v>2.0438123701592228E-2</v>
      </c>
      <c r="Z3156" s="201">
        <v>2.0421461642197158E-2</v>
      </c>
    </row>
    <row r="3157" spans="22:26" x14ac:dyDescent="0.2">
      <c r="V3157" s="202" t="str">
        <f t="shared" ref="V3157:V3220" si="58">V3156</f>
        <v>1w</v>
      </c>
      <c r="W3157" s="200">
        <f>_xll.qlCalendarAdvance(Calendar,W3156,V3157,"f",FALSE)</f>
        <v>61036</v>
      </c>
      <c r="X3157" s="203">
        <f>_xll.qlCalendarAdvance(Calendar,W3157,NDays&amp;"D")</f>
        <v>61038</v>
      </c>
      <c r="Y3157" s="204">
        <v>2.0438648773695167E-2</v>
      </c>
      <c r="Z3157" s="201">
        <v>2.0421988476293507E-2</v>
      </c>
    </row>
    <row r="3158" spans="22:26" x14ac:dyDescent="0.2">
      <c r="V3158" s="202" t="str">
        <f t="shared" si="58"/>
        <v>1w</v>
      </c>
      <c r="W3158" s="200">
        <f>_xll.qlCalendarAdvance(Calendar,W3157,V3158,"f",FALSE)</f>
        <v>61043</v>
      </c>
      <c r="X3158" s="203">
        <f>_xll.qlCalendarAdvance(Calendar,W3158,NDays&amp;"D")</f>
        <v>61045</v>
      </c>
      <c r="Y3158" s="204">
        <v>2.0439172513398201E-2</v>
      </c>
      <c r="Z3158" s="201">
        <v>2.0422513980253854E-2</v>
      </c>
    </row>
    <row r="3159" spans="22:26" x14ac:dyDescent="0.2">
      <c r="V3159" s="202" t="str">
        <f t="shared" si="58"/>
        <v>1w</v>
      </c>
      <c r="W3159" s="200">
        <f>_xll.qlCalendarAdvance(Calendar,W3158,V3159,"f",FALSE)</f>
        <v>61050</v>
      </c>
      <c r="X3159" s="203">
        <f>_xll.qlCalendarAdvance(Calendar,W3159,NDays&amp;"D")</f>
        <v>61052</v>
      </c>
      <c r="Y3159" s="204">
        <v>2.0439694920687059E-2</v>
      </c>
      <c r="Z3159" s="201">
        <v>2.0423038153758455E-2</v>
      </c>
    </row>
    <row r="3160" spans="22:26" x14ac:dyDescent="0.2">
      <c r="V3160" s="202" t="str">
        <f t="shared" si="58"/>
        <v>1w</v>
      </c>
      <c r="W3160" s="200">
        <f>_xll.qlCalendarAdvance(Calendar,W3159,V3160,"f",FALSE)</f>
        <v>61057</v>
      </c>
      <c r="X3160" s="203">
        <f>_xll.qlCalendarAdvance(Calendar,W3160,NDays&amp;"D")</f>
        <v>61059</v>
      </c>
      <c r="Y3160" s="204">
        <v>2.04433016215664E-2</v>
      </c>
      <c r="Z3160" s="201">
        <v>2.0423560996887247E-2</v>
      </c>
    </row>
    <row r="3161" spans="22:26" x14ac:dyDescent="0.2">
      <c r="V3161" s="202" t="str">
        <f t="shared" si="58"/>
        <v>1w</v>
      </c>
      <c r="W3161" s="200">
        <f>_xll.qlCalendarAdvance(Calendar,W3160,V3161,"f",FALSE)</f>
        <v>61064</v>
      </c>
      <c r="X3161" s="203">
        <f>_xll.qlCalendarAdvance(Calendar,W3161,NDays&amp;"D")</f>
        <v>61066</v>
      </c>
      <c r="Y3161" s="204">
        <v>2.0443203941857835E-2</v>
      </c>
      <c r="Z3161" s="201">
        <v>2.0424082509480357E-2</v>
      </c>
    </row>
    <row r="3162" spans="22:26" x14ac:dyDescent="0.2">
      <c r="V3162" s="202" t="str">
        <f t="shared" si="58"/>
        <v>1w</v>
      </c>
      <c r="W3162" s="200">
        <f>_xll.qlCalendarAdvance(Calendar,W3161,V3162,"f",FALSE)</f>
        <v>61071</v>
      </c>
      <c r="X3162" s="203">
        <f>_xll.qlCalendarAdvance(Calendar,W3162,NDays&amp;"D")</f>
        <v>61073</v>
      </c>
      <c r="Y3162" s="204">
        <v>2.0443722088815675E-2</v>
      </c>
      <c r="Z3162" s="201">
        <v>2.0424602691697658E-2</v>
      </c>
    </row>
    <row r="3163" spans="22:26" x14ac:dyDescent="0.2">
      <c r="V3163" s="202" t="str">
        <f t="shared" si="58"/>
        <v>1w</v>
      </c>
      <c r="W3163" s="200">
        <f>_xll.qlCalendarAdvance(Calendar,W3162,V3163,"f",FALSE)</f>
        <v>61078</v>
      </c>
      <c r="X3163" s="203">
        <f>_xll.qlCalendarAdvance(Calendar,W3163,NDays&amp;"D")</f>
        <v>61080</v>
      </c>
      <c r="Y3163" s="204">
        <v>2.0444238903062073E-2</v>
      </c>
      <c r="Z3163" s="201">
        <v>2.0425121543619085E-2</v>
      </c>
    </row>
    <row r="3164" spans="22:26" x14ac:dyDescent="0.2">
      <c r="V3164" s="202" t="str">
        <f t="shared" si="58"/>
        <v>1w</v>
      </c>
      <c r="W3164" s="200">
        <f>_xll.qlCalendarAdvance(Calendar,W3163,V3164,"f",FALSE)</f>
        <v>61085</v>
      </c>
      <c r="X3164" s="203">
        <f>_xll.qlCalendarAdvance(Calendar,W3164,NDays&amp;"D")</f>
        <v>61087</v>
      </c>
      <c r="Y3164" s="204">
        <v>2.0442903798840496E-2</v>
      </c>
      <c r="Z3164" s="201">
        <v>2.0428104637167266E-2</v>
      </c>
    </row>
    <row r="3165" spans="22:26" x14ac:dyDescent="0.2">
      <c r="V3165" s="202" t="str">
        <f t="shared" si="58"/>
        <v>1w</v>
      </c>
      <c r="W3165" s="200">
        <f>_xll.qlCalendarAdvance(Calendar,W3164,V3165,"f",FALSE)</f>
        <v>61092</v>
      </c>
      <c r="X3165" s="203">
        <f>_xll.qlCalendarAdvance(Calendar,W3165,NDays&amp;"D")</f>
        <v>61094</v>
      </c>
      <c r="Y3165" s="204">
        <v>2.0445268533430538E-2</v>
      </c>
      <c r="Z3165" s="201">
        <v>2.0426155256334511E-2</v>
      </c>
    </row>
    <row r="3166" spans="22:26" x14ac:dyDescent="0.2">
      <c r="V3166" s="202" t="str">
        <f t="shared" si="58"/>
        <v>1w</v>
      </c>
      <c r="W3166" s="200">
        <f>_xll.qlCalendarAdvance(Calendar,W3165,V3166,"f",FALSE)</f>
        <v>61099</v>
      </c>
      <c r="X3166" s="203">
        <f>_xll.qlCalendarAdvance(Calendar,W3166,NDays&amp;"D")</f>
        <v>61101</v>
      </c>
      <c r="Y3166" s="204">
        <v>2.0445781349555103E-2</v>
      </c>
      <c r="Z3166" s="201">
        <v>2.0426670117048573E-2</v>
      </c>
    </row>
    <row r="3167" spans="22:26" x14ac:dyDescent="0.2">
      <c r="V3167" s="202" t="str">
        <f t="shared" si="58"/>
        <v>1w</v>
      </c>
      <c r="W3167" s="200">
        <f>_xll.qlCalendarAdvance(Calendar,W3166,V3167,"f",FALSE)</f>
        <v>61106</v>
      </c>
      <c r="X3167" s="203">
        <f>_xll.qlCalendarAdvance(Calendar,W3167,NDays&amp;"D")</f>
        <v>61108</v>
      </c>
      <c r="Y3167" s="204">
        <v>2.0446292832973223E-2</v>
      </c>
      <c r="Z3167" s="201">
        <v>2.0427183647386826E-2</v>
      </c>
    </row>
    <row r="3168" spans="22:26" x14ac:dyDescent="0.2">
      <c r="V3168" s="202" t="str">
        <f t="shared" si="58"/>
        <v>1w</v>
      </c>
      <c r="W3168" s="200">
        <f>_xll.qlCalendarAdvance(Calendar,W3167,V3168,"f",FALSE)</f>
        <v>61113</v>
      </c>
      <c r="X3168" s="203">
        <f>_xll.qlCalendarAdvance(Calendar,W3168,NDays&amp;"D")</f>
        <v>61115</v>
      </c>
      <c r="Y3168" s="204">
        <v>2.0446802983677403E-2</v>
      </c>
      <c r="Z3168" s="201">
        <v>2.042769584734927E-2</v>
      </c>
    </row>
    <row r="3169" spans="22:26" x14ac:dyDescent="0.2">
      <c r="V3169" s="202" t="str">
        <f t="shared" si="58"/>
        <v>1w</v>
      </c>
      <c r="W3169" s="200">
        <f>_xll.qlCalendarAdvance(Calendar,W3168,V3169,"f",FALSE)</f>
        <v>61120</v>
      </c>
      <c r="X3169" s="203">
        <f>_xll.qlCalendarAdvance(Calendar,W3169,NDays&amp;"D")</f>
        <v>61122</v>
      </c>
      <c r="Y3169" s="204">
        <v>2.0447311801672641E-2</v>
      </c>
      <c r="Z3169" s="201">
        <v>2.0428206716935904E-2</v>
      </c>
    </row>
    <row r="3170" spans="22:26" x14ac:dyDescent="0.2">
      <c r="V3170" s="202" t="str">
        <f t="shared" si="58"/>
        <v>1w</v>
      </c>
      <c r="W3170" s="200">
        <f>_xll.qlCalendarAdvance(Calendar,W3169,V3170,"f",FALSE)</f>
        <v>61127</v>
      </c>
      <c r="X3170" s="203">
        <f>_xll.qlCalendarAdvance(Calendar,W3170,NDays&amp;"D")</f>
        <v>61129</v>
      </c>
      <c r="Y3170" s="204">
        <v>2.0447819286961433E-2</v>
      </c>
      <c r="Z3170" s="201">
        <v>2.0428716256146728E-2</v>
      </c>
    </row>
    <row r="3171" spans="22:26" x14ac:dyDescent="0.2">
      <c r="V3171" s="202" t="str">
        <f t="shared" si="58"/>
        <v>1w</v>
      </c>
      <c r="W3171" s="200">
        <f>_xll.qlCalendarAdvance(Calendar,W3170,V3171,"f",FALSE)</f>
        <v>61134</v>
      </c>
      <c r="X3171" s="203">
        <f>_xll.qlCalendarAdvance(Calendar,W3171,NDays&amp;"D")</f>
        <v>61136</v>
      </c>
      <c r="Y3171" s="204">
        <v>2.0448325439541282E-2</v>
      </c>
      <c r="Z3171" s="201">
        <v>2.0429224464901807E-2</v>
      </c>
    </row>
    <row r="3172" spans="22:26" x14ac:dyDescent="0.2">
      <c r="V3172" s="202" t="str">
        <f t="shared" si="58"/>
        <v>1w</v>
      </c>
      <c r="W3172" s="200">
        <f>_xll.qlCalendarAdvance(Calendar,W3171,V3172,"f",FALSE)</f>
        <v>61141</v>
      </c>
      <c r="X3172" s="203">
        <f>_xll.qlCalendarAdvance(Calendar,W3172,NDays&amp;"D")</f>
        <v>61143</v>
      </c>
      <c r="Y3172" s="204">
        <v>2.0448830259407191E-2</v>
      </c>
      <c r="Z3172" s="201">
        <v>2.0429731343361013E-2</v>
      </c>
    </row>
    <row r="3173" spans="22:26" x14ac:dyDescent="0.2">
      <c r="V3173" s="202" t="str">
        <f t="shared" si="58"/>
        <v>1w</v>
      </c>
      <c r="W3173" s="200">
        <f>_xll.qlCalendarAdvance(Calendar,W3172,V3173,"f",FALSE)</f>
        <v>61148</v>
      </c>
      <c r="X3173" s="203">
        <f>_xll.qlCalendarAdvance(Calendar,W3173,NDays&amp;"D")</f>
        <v>61150</v>
      </c>
      <c r="Y3173" s="204">
        <v>2.0449333746569154E-2</v>
      </c>
      <c r="Z3173" s="201">
        <v>2.0430236891364473E-2</v>
      </c>
    </row>
    <row r="3174" spans="22:26" x14ac:dyDescent="0.2">
      <c r="V3174" s="202" t="str">
        <f t="shared" si="58"/>
        <v>1w</v>
      </c>
      <c r="W3174" s="200">
        <f>_xll.qlCalendarAdvance(Calendar,W3173,V3174,"f",FALSE)</f>
        <v>61155</v>
      </c>
      <c r="X3174" s="203">
        <f>_xll.qlCalendarAdvance(Calendar,W3174,NDays&amp;"D")</f>
        <v>61157</v>
      </c>
      <c r="Y3174" s="204">
        <v>2.0449835901017177E-2</v>
      </c>
      <c r="Z3174" s="201">
        <v>2.0430741108992123E-2</v>
      </c>
    </row>
    <row r="3175" spans="22:26" x14ac:dyDescent="0.2">
      <c r="V3175" s="202" t="str">
        <f t="shared" si="58"/>
        <v>1w</v>
      </c>
      <c r="W3175" s="200">
        <f>_xll.qlCalendarAdvance(Calendar,W3174,V3175,"f",FALSE)</f>
        <v>61162</v>
      </c>
      <c r="X3175" s="203">
        <f>_xll.qlCalendarAdvance(Calendar,W3175,NDays&amp;"D")</f>
        <v>61164</v>
      </c>
      <c r="Y3175" s="204">
        <v>2.0450336722758755E-2</v>
      </c>
      <c r="Z3175" s="201">
        <v>2.0431243996164028E-2</v>
      </c>
    </row>
    <row r="3176" spans="22:26" x14ac:dyDescent="0.2">
      <c r="V3176" s="202" t="str">
        <f t="shared" si="58"/>
        <v>1w</v>
      </c>
      <c r="W3176" s="200">
        <f>_xll.qlCalendarAdvance(Calendar,W3175,V3176,"f",FALSE)</f>
        <v>61169</v>
      </c>
      <c r="X3176" s="203">
        <f>_xll.qlCalendarAdvance(Calendar,W3176,NDays&amp;"D")</f>
        <v>61171</v>
      </c>
      <c r="Y3176" s="204">
        <v>2.0450836211788892E-2</v>
      </c>
      <c r="Z3176" s="201">
        <v>2.0431745553119995E-2</v>
      </c>
    </row>
    <row r="3177" spans="22:26" x14ac:dyDescent="0.2">
      <c r="V3177" s="202" t="str">
        <f t="shared" si="58"/>
        <v>1w</v>
      </c>
      <c r="W3177" s="200">
        <f>_xll.qlCalendarAdvance(Calendar,W3176,V3177,"f",FALSE)</f>
        <v>61176</v>
      </c>
      <c r="X3177" s="203">
        <f>_xll.qlCalendarAdvance(Calendar,W3177,NDays&amp;"D")</f>
        <v>61178</v>
      </c>
      <c r="Y3177" s="204">
        <v>2.0449486374150158E-2</v>
      </c>
      <c r="Z3177" s="201">
        <v>2.0432245779540281E-2</v>
      </c>
    </row>
    <row r="3178" spans="22:26" x14ac:dyDescent="0.2">
      <c r="V3178" s="202" t="str">
        <f t="shared" si="58"/>
        <v>1w</v>
      </c>
      <c r="W3178" s="200">
        <f>_xll.qlCalendarAdvance(Calendar,W3177,V3178,"f",FALSE)</f>
        <v>61183</v>
      </c>
      <c r="X3178" s="203">
        <f>_xll.qlCalendarAdvance(Calendar,W3178,NDays&amp;"D")</f>
        <v>61185</v>
      </c>
      <c r="Y3178" s="204">
        <v>2.045183119171734E-2</v>
      </c>
      <c r="Z3178" s="201">
        <v>2.0432744675584757E-2</v>
      </c>
    </row>
    <row r="3179" spans="22:26" x14ac:dyDescent="0.2">
      <c r="V3179" s="202" t="str">
        <f t="shared" si="58"/>
        <v>1w</v>
      </c>
      <c r="W3179" s="200">
        <f>_xll.qlCalendarAdvance(Calendar,W3178,V3179,"f",FALSE)</f>
        <v>61190</v>
      </c>
      <c r="X3179" s="203">
        <f>_xll.qlCalendarAdvance(Calendar,W3179,NDays&amp;"D")</f>
        <v>61192</v>
      </c>
      <c r="Y3179" s="204">
        <v>2.0452326682610655E-2</v>
      </c>
      <c r="Z3179" s="201">
        <v>2.0433242241173488E-2</v>
      </c>
    </row>
    <row r="3180" spans="22:26" x14ac:dyDescent="0.2">
      <c r="V3180" s="202" t="str">
        <f t="shared" si="58"/>
        <v>1w</v>
      </c>
      <c r="W3180" s="200">
        <f>_xll.qlCalendarAdvance(Calendar,W3179,V3180,"f",FALSE)</f>
        <v>61197</v>
      </c>
      <c r="X3180" s="203">
        <f>_xll.qlCalendarAdvance(Calendar,W3180,NDays&amp;"D")</f>
        <v>61199</v>
      </c>
      <c r="Y3180" s="204">
        <v>2.0452820840805019E-2</v>
      </c>
      <c r="Z3180" s="201">
        <v>2.0433738476626218E-2</v>
      </c>
    </row>
    <row r="3181" spans="22:26" x14ac:dyDescent="0.2">
      <c r="V3181" s="202" t="str">
        <f t="shared" si="58"/>
        <v>1w</v>
      </c>
      <c r="W3181" s="200">
        <f>_xll.qlCalendarAdvance(Calendar,W3180,V3181,"f",FALSE)</f>
        <v>61204</v>
      </c>
      <c r="X3181" s="203">
        <f>_xll.qlCalendarAdvance(Calendar,W3181,NDays&amp;"D")</f>
        <v>61206</v>
      </c>
      <c r="Y3181" s="204">
        <v>2.0453313666280448E-2</v>
      </c>
      <c r="Z3181" s="201">
        <v>2.0434233381463329E-2</v>
      </c>
    </row>
    <row r="3182" spans="22:26" x14ac:dyDescent="0.2">
      <c r="V3182" s="202" t="str">
        <f t="shared" si="58"/>
        <v>1w</v>
      </c>
      <c r="W3182" s="200">
        <f>_xll.qlCalendarAdvance(Calendar,W3181,V3182,"f",FALSE)</f>
        <v>61211</v>
      </c>
      <c r="X3182" s="203">
        <f>_xll.qlCalendarAdvance(Calendar,W3182,NDays&amp;"D")</f>
        <v>61213</v>
      </c>
      <c r="Y3182" s="204">
        <v>2.0453805159044436E-2</v>
      </c>
      <c r="Z3182" s="201">
        <v>2.0434726955924631E-2</v>
      </c>
    </row>
    <row r="3183" spans="22:26" x14ac:dyDescent="0.2">
      <c r="V3183" s="202" t="str">
        <f t="shared" si="58"/>
        <v>1w</v>
      </c>
      <c r="W3183" s="200">
        <f>_xll.qlCalendarAdvance(Calendar,W3182,V3183,"f",FALSE)</f>
        <v>61218</v>
      </c>
      <c r="X3183" s="203">
        <f>_xll.qlCalendarAdvance(Calendar,W3183,NDays&amp;"D")</f>
        <v>61220</v>
      </c>
      <c r="Y3183" s="204">
        <v>2.045429531909948E-2</v>
      </c>
      <c r="Z3183" s="201">
        <v>2.043521920009006E-2</v>
      </c>
    </row>
    <row r="3184" spans="22:26" x14ac:dyDescent="0.2">
      <c r="V3184" s="202" t="str">
        <f t="shared" si="58"/>
        <v>1w</v>
      </c>
      <c r="W3184" s="200">
        <f>_xll.qlCalendarAdvance(Calendar,W3183,V3184,"f",FALSE)</f>
        <v>61225</v>
      </c>
      <c r="X3184" s="203">
        <f>_xll.qlCalendarAdvance(Calendar,W3184,NDays&amp;"D")</f>
        <v>61227</v>
      </c>
      <c r="Y3184" s="204">
        <v>2.045478414644808E-2</v>
      </c>
      <c r="Z3184" s="201">
        <v>2.0435710113959615E-2</v>
      </c>
    </row>
    <row r="3185" spans="22:26" x14ac:dyDescent="0.2">
      <c r="V3185" s="202" t="str">
        <f t="shared" si="58"/>
        <v>1w</v>
      </c>
      <c r="W3185" s="200">
        <f>_xll.qlCalendarAdvance(Calendar,W3184,V3185,"f",FALSE)</f>
        <v>61232</v>
      </c>
      <c r="X3185" s="203">
        <f>_xll.qlCalendarAdvance(Calendar,W3185,NDays&amp;"D")</f>
        <v>61234</v>
      </c>
      <c r="Y3185" s="204">
        <v>2.0455271641080242E-2</v>
      </c>
      <c r="Z3185" s="201">
        <v>2.0436199697293489E-2</v>
      </c>
    </row>
    <row r="3186" spans="22:26" x14ac:dyDescent="0.2">
      <c r="V3186" s="202" t="str">
        <f t="shared" si="58"/>
        <v>1w</v>
      </c>
      <c r="W3186" s="200">
        <f>_xll.qlCalendarAdvance(Calendar,W3185,V3186,"f",FALSE)</f>
        <v>61239</v>
      </c>
      <c r="X3186" s="203">
        <f>_xll.qlCalendarAdvance(Calendar,W3186,NDays&amp;"D")</f>
        <v>61241</v>
      </c>
      <c r="Y3186" s="204">
        <v>2.0455757802995966E-2</v>
      </c>
      <c r="Z3186" s="201">
        <v>2.0436687950171617E-2</v>
      </c>
    </row>
    <row r="3187" spans="22:26" x14ac:dyDescent="0.2">
      <c r="V3187" s="202" t="str">
        <f t="shared" si="58"/>
        <v>1w</v>
      </c>
      <c r="W3187" s="200">
        <f>_xll.qlCalendarAdvance(Calendar,W3186,V3187,"f",FALSE)</f>
        <v>61246</v>
      </c>
      <c r="X3187" s="203">
        <f>_xll.qlCalendarAdvance(Calendar,W3187,NDays&amp;"D")</f>
        <v>61248</v>
      </c>
      <c r="Y3187" s="204">
        <v>2.0456242632205246E-2</v>
      </c>
      <c r="Z3187" s="201">
        <v>2.0437174872913744E-2</v>
      </c>
    </row>
    <row r="3188" spans="22:26" x14ac:dyDescent="0.2">
      <c r="V3188" s="202" t="str">
        <f t="shared" si="58"/>
        <v>1w</v>
      </c>
      <c r="W3188" s="200">
        <f>_xll.qlCalendarAdvance(Calendar,W3187,V3188,"f",FALSE)</f>
        <v>61253</v>
      </c>
      <c r="X3188" s="203">
        <f>_xll.qlCalendarAdvance(Calendar,W3188,NDays&amp;"D")</f>
        <v>61255</v>
      </c>
      <c r="Y3188" s="204">
        <v>2.0456726128698088E-2</v>
      </c>
      <c r="Z3188" s="201">
        <v>2.0437660464960317E-2</v>
      </c>
    </row>
    <row r="3189" spans="22:26" x14ac:dyDescent="0.2">
      <c r="V3189" s="202" t="str">
        <f t="shared" si="58"/>
        <v>1w</v>
      </c>
      <c r="W3189" s="200">
        <f>_xll.qlCalendarAdvance(Calendar,W3188,V3189,"f",FALSE)</f>
        <v>61260</v>
      </c>
      <c r="X3189" s="203">
        <f>_xll.qlCalendarAdvance(Calendar,W3189,NDays&amp;"D")</f>
        <v>61262</v>
      </c>
      <c r="Y3189" s="204">
        <v>2.0457208292484486E-2</v>
      </c>
      <c r="Z3189" s="201">
        <v>2.0438144726790952E-2</v>
      </c>
    </row>
    <row r="3190" spans="22:26" x14ac:dyDescent="0.2">
      <c r="V3190" s="202" t="str">
        <f t="shared" si="58"/>
        <v>1w</v>
      </c>
      <c r="W3190" s="200">
        <f>_xll.qlCalendarAdvance(Calendar,W3189,V3190,"f",FALSE)</f>
        <v>61267</v>
      </c>
      <c r="X3190" s="203">
        <f>_xll.qlCalendarAdvance(Calendar,W3190,NDays&amp;"D")</f>
        <v>61269</v>
      </c>
      <c r="Y3190" s="204">
        <v>2.0457689123551948E-2</v>
      </c>
      <c r="Z3190" s="201">
        <v>2.043862765800597E-2</v>
      </c>
    </row>
    <row r="3191" spans="22:26" x14ac:dyDescent="0.2">
      <c r="V3191" s="202" t="str">
        <f t="shared" si="58"/>
        <v>1w</v>
      </c>
      <c r="W3191" s="200">
        <f>_xll.qlCalendarAdvance(Calendar,W3190,V3191,"f",FALSE)</f>
        <v>61274</v>
      </c>
      <c r="X3191" s="203">
        <f>_xll.qlCalendarAdvance(Calendar,W3191,NDays&amp;"D")</f>
        <v>61276</v>
      </c>
      <c r="Y3191" s="204">
        <v>2.0458168621910466E-2</v>
      </c>
      <c r="Z3191" s="201">
        <v>2.0439109259164923E-2</v>
      </c>
    </row>
    <row r="3192" spans="22:26" x14ac:dyDescent="0.2">
      <c r="V3192" s="202" t="str">
        <f t="shared" si="58"/>
        <v>1w</v>
      </c>
      <c r="W3192" s="200">
        <f>_xll.qlCalendarAdvance(Calendar,W3191,V3192,"f",FALSE)</f>
        <v>61281</v>
      </c>
      <c r="X3192" s="203">
        <f>_xll.qlCalendarAdvance(Calendar,W3192,NDays&amp;"D")</f>
        <v>61283</v>
      </c>
      <c r="Y3192" s="204">
        <v>2.0458646787555046E-2</v>
      </c>
      <c r="Z3192" s="201">
        <v>2.043958952986813E-2</v>
      </c>
    </row>
    <row r="3193" spans="22:26" x14ac:dyDescent="0.2">
      <c r="V3193" s="202" t="str">
        <f t="shared" si="58"/>
        <v>1w</v>
      </c>
      <c r="W3193" s="200">
        <f>_xll.qlCalendarAdvance(Calendar,W3192,V3193,"f",FALSE)</f>
        <v>61288</v>
      </c>
      <c r="X3193" s="203">
        <f>_xll.qlCalendarAdvance(Calendar,W3193,NDays&amp;"D")</f>
        <v>61290</v>
      </c>
      <c r="Y3193" s="204">
        <v>2.0459123620485686E-2</v>
      </c>
      <c r="Z3193" s="201">
        <v>2.0440068469955719E-2</v>
      </c>
    </row>
    <row r="3194" spans="22:26" x14ac:dyDescent="0.2">
      <c r="V3194" s="202" t="str">
        <f t="shared" si="58"/>
        <v>1w</v>
      </c>
      <c r="W3194" s="200">
        <f>_xll.qlCalendarAdvance(Calendar,W3193,V3194,"f",FALSE)</f>
        <v>61295</v>
      </c>
      <c r="X3194" s="203">
        <f>_xll.qlCalendarAdvance(Calendar,W3194,NDays&amp;"D")</f>
        <v>61297</v>
      </c>
      <c r="Y3194" s="204">
        <v>2.0459599120707384E-2</v>
      </c>
      <c r="Z3194" s="201">
        <v>2.0440546079827371E-2</v>
      </c>
    </row>
    <row r="3195" spans="22:26" x14ac:dyDescent="0.2">
      <c r="V3195" s="202" t="str">
        <f t="shared" si="58"/>
        <v>1w</v>
      </c>
      <c r="W3195" s="200">
        <f>_xll.qlCalendarAdvance(Calendar,W3194,V3195,"f",FALSE)</f>
        <v>61302</v>
      </c>
      <c r="X3195" s="203">
        <f>_xll.qlCalendarAdvance(Calendar,W3195,NDays&amp;"D")</f>
        <v>61304</v>
      </c>
      <c r="Y3195" s="204">
        <v>2.0460073288212643E-2</v>
      </c>
      <c r="Z3195" s="201">
        <v>2.0441022359403149E-2</v>
      </c>
    </row>
    <row r="3196" spans="22:26" x14ac:dyDescent="0.2">
      <c r="V3196" s="202" t="str">
        <f t="shared" si="58"/>
        <v>1w</v>
      </c>
      <c r="W3196" s="200">
        <f>_xll.qlCalendarAdvance(Calendar,W3195,V3196,"f",FALSE)</f>
        <v>61309</v>
      </c>
      <c r="X3196" s="203">
        <f>_xll.qlCalendarAdvance(Calendar,W3196,NDays&amp;"D")</f>
        <v>61311</v>
      </c>
      <c r="Y3196" s="204">
        <v>2.046054612300896E-2</v>
      </c>
      <c r="Z3196" s="201">
        <v>2.0441497308603118E-2</v>
      </c>
    </row>
    <row r="3197" spans="22:26" x14ac:dyDescent="0.2">
      <c r="V3197" s="202" t="str">
        <f t="shared" si="58"/>
        <v>1w</v>
      </c>
      <c r="W3197" s="200">
        <f>_xll.qlCalendarAdvance(Calendar,W3196,V3197,"f",FALSE)</f>
        <v>61316</v>
      </c>
      <c r="X3197" s="203">
        <f>_xll.qlCalendarAdvance(Calendar,W3197,NDays&amp;"D")</f>
        <v>61318</v>
      </c>
      <c r="Y3197" s="204">
        <v>2.0461017625081346E-2</v>
      </c>
      <c r="Z3197" s="201">
        <v>2.0441970927107533E-2</v>
      </c>
    </row>
    <row r="3198" spans="22:26" x14ac:dyDescent="0.2">
      <c r="V3198" s="202" t="str">
        <f t="shared" si="58"/>
        <v>1w</v>
      </c>
      <c r="W3198" s="200">
        <f>_xll.qlCalendarAdvance(Calendar,W3197,V3198,"f",FALSE)</f>
        <v>61323</v>
      </c>
      <c r="X3198" s="203">
        <f>_xll.qlCalendarAdvance(Calendar,W3198,NDays&amp;"D")</f>
        <v>61325</v>
      </c>
      <c r="Y3198" s="204">
        <v>2.0462102403557031E-2</v>
      </c>
      <c r="Z3198" s="201">
        <v>2.0442443215396011E-2</v>
      </c>
    </row>
    <row r="3199" spans="22:26" x14ac:dyDescent="0.2">
      <c r="V3199" s="202" t="str">
        <f t="shared" si="58"/>
        <v>1w</v>
      </c>
      <c r="W3199" s="200">
        <f>_xll.qlCalendarAdvance(Calendar,W3198,V3199,"f",FALSE)</f>
        <v>61330</v>
      </c>
      <c r="X3199" s="203">
        <f>_xll.qlCalendarAdvance(Calendar,W3199,NDays&amp;"D")</f>
        <v>61332</v>
      </c>
      <c r="Y3199" s="204">
        <v>2.0461956631096789E-2</v>
      </c>
      <c r="Z3199" s="201">
        <v>2.0442914173308679E-2</v>
      </c>
    </row>
    <row r="3200" spans="22:26" x14ac:dyDescent="0.2">
      <c r="V3200" s="202" t="str">
        <f t="shared" si="58"/>
        <v>1w</v>
      </c>
      <c r="W3200" s="200">
        <f>_xll.qlCalendarAdvance(Calendar,W3199,V3200,"f",FALSE)</f>
        <v>61337</v>
      </c>
      <c r="X3200" s="203">
        <f>_xll.qlCalendarAdvance(Calendar,W3200,NDays&amp;"D")</f>
        <v>61339</v>
      </c>
      <c r="Y3200" s="204">
        <v>2.0462424135029855E-2</v>
      </c>
      <c r="Z3200" s="201">
        <v>2.0443383800845538E-2</v>
      </c>
    </row>
    <row r="3201" spans="22:26" x14ac:dyDescent="0.2">
      <c r="V3201" s="202" t="str">
        <f t="shared" si="58"/>
        <v>1w</v>
      </c>
      <c r="W3201" s="200">
        <f>_xll.qlCalendarAdvance(Calendar,W3200,V3201,"f",FALSE)</f>
        <v>61344</v>
      </c>
      <c r="X3201" s="203">
        <f>_xll.qlCalendarAdvance(Calendar,W3201,NDays&amp;"D")</f>
        <v>61346</v>
      </c>
      <c r="Y3201" s="204">
        <v>2.0462890306253978E-2</v>
      </c>
      <c r="Z3201" s="201">
        <v>2.0443852098006587E-2</v>
      </c>
    </row>
    <row r="3202" spans="22:26" x14ac:dyDescent="0.2">
      <c r="V3202" s="202" t="str">
        <f t="shared" si="58"/>
        <v>1w</v>
      </c>
      <c r="W3202" s="200">
        <f>_xll.qlCalendarAdvance(Calendar,W3201,V3202,"f",FALSE)</f>
        <v>61351</v>
      </c>
      <c r="X3202" s="203">
        <f>_xll.qlCalendarAdvance(Calendar,W3202,NDays&amp;"D")</f>
        <v>61353</v>
      </c>
      <c r="Y3202" s="204">
        <v>2.0463355144761664E-2</v>
      </c>
      <c r="Z3202" s="201">
        <v>2.0444319064711891E-2</v>
      </c>
    </row>
    <row r="3203" spans="22:26" x14ac:dyDescent="0.2">
      <c r="V3203" s="202" t="str">
        <f t="shared" si="58"/>
        <v>1w</v>
      </c>
      <c r="W3203" s="200">
        <f>_xll.qlCalendarAdvance(Calendar,W3202,V3203,"f",FALSE)</f>
        <v>61358</v>
      </c>
      <c r="X3203" s="203">
        <f>_xll.qlCalendarAdvance(Calendar,W3203,NDays&amp;"D")</f>
        <v>61360</v>
      </c>
      <c r="Y3203" s="204">
        <v>2.0463818650552912E-2</v>
      </c>
      <c r="Z3203" s="201">
        <v>2.0444784701041385E-2</v>
      </c>
    </row>
    <row r="3204" spans="22:26" x14ac:dyDescent="0.2">
      <c r="V3204" s="202" t="str">
        <f t="shared" si="58"/>
        <v>1w</v>
      </c>
      <c r="W3204" s="200">
        <f>_xll.qlCalendarAdvance(Calendar,W3203,V3204,"f",FALSE)</f>
        <v>61365</v>
      </c>
      <c r="X3204" s="203">
        <f>_xll.qlCalendarAdvance(Calendar,W3204,NDays&amp;"D")</f>
        <v>61367</v>
      </c>
      <c r="Y3204" s="204">
        <v>2.0464280823630221E-2</v>
      </c>
      <c r="Z3204" s="201">
        <v>2.044524900699507E-2</v>
      </c>
    </row>
    <row r="3205" spans="22:26" x14ac:dyDescent="0.2">
      <c r="V3205" s="202" t="str">
        <f t="shared" si="58"/>
        <v>1w</v>
      </c>
      <c r="W3205" s="200">
        <f>_xll.qlCalendarAdvance(Calendar,W3204,V3205,"f",FALSE)</f>
        <v>61372</v>
      </c>
      <c r="X3205" s="203">
        <f>_xll.qlCalendarAdvance(Calendar,W3205,NDays&amp;"D")</f>
        <v>61374</v>
      </c>
      <c r="Y3205" s="204">
        <v>2.0464741663993591E-2</v>
      </c>
      <c r="Z3205" s="201">
        <v>2.0445711982652881E-2</v>
      </c>
    </row>
    <row r="3206" spans="22:26" x14ac:dyDescent="0.2">
      <c r="V3206" s="202" t="str">
        <f t="shared" si="58"/>
        <v>1w</v>
      </c>
      <c r="W3206" s="200">
        <f>_xll.qlCalendarAdvance(Calendar,W3205,V3206,"f",FALSE)</f>
        <v>61379</v>
      </c>
      <c r="X3206" s="203">
        <f>_xll.qlCalendarAdvance(Calendar,W3206,NDays&amp;"D")</f>
        <v>61381</v>
      </c>
      <c r="Y3206" s="204">
        <v>2.0465201171643022E-2</v>
      </c>
      <c r="Z3206" s="201">
        <v>2.0446173627775011E-2</v>
      </c>
    </row>
    <row r="3207" spans="22:26" x14ac:dyDescent="0.2">
      <c r="V3207" s="202" t="str">
        <f t="shared" si="58"/>
        <v>1w</v>
      </c>
      <c r="W3207" s="200">
        <f>_xll.qlCalendarAdvance(Calendar,W3206,V3207,"f",FALSE)</f>
        <v>61386</v>
      </c>
      <c r="X3207" s="203">
        <f>_xll.qlCalendarAdvance(Calendar,W3207,NDays&amp;"D")</f>
        <v>61388</v>
      </c>
      <c r="Y3207" s="204">
        <v>2.0465659346573517E-2</v>
      </c>
      <c r="Z3207" s="201">
        <v>2.0446633942521331E-2</v>
      </c>
    </row>
    <row r="3208" spans="22:26" x14ac:dyDescent="0.2">
      <c r="V3208" s="202" t="str">
        <f t="shared" si="58"/>
        <v>1w</v>
      </c>
      <c r="W3208" s="200">
        <f>_xll.qlCalendarAdvance(Calendar,W3207,V3208,"f",FALSE)</f>
        <v>61393</v>
      </c>
      <c r="X3208" s="203">
        <f>_xll.qlCalendarAdvance(Calendar,W3208,NDays&amp;"D")</f>
        <v>61395</v>
      </c>
      <c r="Y3208" s="204">
        <v>2.0464274528718646E-2</v>
      </c>
      <c r="Z3208" s="201">
        <v>2.0447092926891841E-2</v>
      </c>
    </row>
    <row r="3209" spans="22:26" x14ac:dyDescent="0.2">
      <c r="V3209" s="202" t="str">
        <f t="shared" si="58"/>
        <v>1w</v>
      </c>
      <c r="W3209" s="200">
        <f>_xll.qlCalendarAdvance(Calendar,W3208,V3209,"f",FALSE)</f>
        <v>61400</v>
      </c>
      <c r="X3209" s="203">
        <f>_xll.qlCalendarAdvance(Calendar,W3209,NDays&amp;"D")</f>
        <v>61402</v>
      </c>
      <c r="Y3209" s="204">
        <v>2.0464730246143821E-2</v>
      </c>
      <c r="Z3209" s="201">
        <v>2.0447550580966478E-2</v>
      </c>
    </row>
    <row r="3210" spans="22:26" x14ac:dyDescent="0.2">
      <c r="V3210" s="202" t="str">
        <f t="shared" si="58"/>
        <v>1w</v>
      </c>
      <c r="W3210" s="200">
        <f>_xll.qlCalendarAdvance(Calendar,W3209,V3210,"f",FALSE)</f>
        <v>61407</v>
      </c>
      <c r="X3210" s="203">
        <f>_xll.qlCalendarAdvance(Calendar,W3210,NDays&amp;"D")</f>
        <v>61409</v>
      </c>
      <c r="Y3210" s="204">
        <v>2.0465184631076258E-2</v>
      </c>
      <c r="Z3210" s="201">
        <v>2.044800690458537E-2</v>
      </c>
    </row>
    <row r="3211" spans="22:26" x14ac:dyDescent="0.2">
      <c r="V3211" s="202" t="str">
        <f t="shared" si="58"/>
        <v>1w</v>
      </c>
      <c r="W3211" s="200">
        <f>_xll.qlCalendarAdvance(Calendar,W3210,V3211,"f",FALSE)</f>
        <v>61414</v>
      </c>
      <c r="X3211" s="203">
        <f>_xll.qlCalendarAdvance(Calendar,W3211,NDays&amp;"D")</f>
        <v>61416</v>
      </c>
      <c r="Y3211" s="204">
        <v>2.0465637683515961E-2</v>
      </c>
      <c r="Z3211" s="201">
        <v>2.0448461897908388E-2</v>
      </c>
    </row>
    <row r="3212" spans="22:26" x14ac:dyDescent="0.2">
      <c r="V3212" s="202" t="str">
        <f t="shared" si="58"/>
        <v>1w</v>
      </c>
      <c r="W3212" s="200">
        <f>_xll.qlCalendarAdvance(Calendar,W3211,V3212,"f",FALSE)</f>
        <v>61421</v>
      </c>
      <c r="X3212" s="203">
        <f>_xll.qlCalendarAdvance(Calendar,W3212,NDays&amp;"D")</f>
        <v>61423</v>
      </c>
      <c r="Y3212" s="204">
        <v>2.0467930230496922E-2</v>
      </c>
      <c r="Z3212" s="201">
        <v>2.0448915560695724E-2</v>
      </c>
    </row>
    <row r="3213" spans="22:26" x14ac:dyDescent="0.2">
      <c r="V3213" s="202" t="str">
        <f t="shared" si="58"/>
        <v>1w</v>
      </c>
      <c r="W3213" s="200">
        <f>_xll.qlCalendarAdvance(Calendar,W3212,V3213,"f",FALSE)</f>
        <v>61428</v>
      </c>
      <c r="X3213" s="203">
        <f>_xll.qlCalendarAdvance(Calendar,W3213,NDays&amp;"D")</f>
        <v>61430</v>
      </c>
      <c r="Y3213" s="204">
        <v>2.0468380409133791E-2</v>
      </c>
      <c r="Z3213" s="201">
        <v>2.0449367893107251E-2</v>
      </c>
    </row>
    <row r="3214" spans="22:26" x14ac:dyDescent="0.2">
      <c r="V3214" s="202" t="str">
        <f t="shared" si="58"/>
        <v>1w</v>
      </c>
      <c r="W3214" s="200">
        <f>_xll.qlCalendarAdvance(Calendar,W3213,V3214,"f",FALSE)</f>
        <v>61435</v>
      </c>
      <c r="X3214" s="203">
        <f>_xll.qlCalendarAdvance(Calendar,W3214,NDays&amp;"D")</f>
        <v>61437</v>
      </c>
      <c r="Y3214" s="204">
        <v>2.0468829255051724E-2</v>
      </c>
      <c r="Z3214" s="201">
        <v>2.0449818895222904E-2</v>
      </c>
    </row>
    <row r="3215" spans="22:26" x14ac:dyDescent="0.2">
      <c r="V3215" s="202" t="str">
        <f t="shared" si="58"/>
        <v>1w</v>
      </c>
      <c r="W3215" s="200">
        <f>_xll.qlCalendarAdvance(Calendar,W3214,V3215,"f",FALSE)</f>
        <v>61442</v>
      </c>
      <c r="X3215" s="203">
        <f>_xll.qlCalendarAdvance(Calendar,W3215,NDays&amp;"D")</f>
        <v>61444</v>
      </c>
      <c r="Y3215" s="204">
        <v>2.0469890201376989E-2</v>
      </c>
      <c r="Z3215" s="201">
        <v>2.0450268566802876E-2</v>
      </c>
    </row>
    <row r="3216" spans="22:26" x14ac:dyDescent="0.2">
      <c r="V3216" s="202" t="str">
        <f t="shared" si="58"/>
        <v>1w</v>
      </c>
      <c r="W3216" s="200">
        <f>_xll.qlCalendarAdvance(Calendar,W3215,V3216,"f",FALSE)</f>
        <v>61449</v>
      </c>
      <c r="X3216" s="203">
        <f>_xll.qlCalendarAdvance(Calendar,W3216,NDays&amp;"D")</f>
        <v>61451</v>
      </c>
      <c r="Y3216" s="204">
        <v>2.0469722948745772E-2</v>
      </c>
      <c r="Z3216" s="201">
        <v>2.0450716908246847E-2</v>
      </c>
    </row>
    <row r="3217" spans="22:26" x14ac:dyDescent="0.2">
      <c r="V3217" s="202" t="str">
        <f t="shared" si="58"/>
        <v>1w</v>
      </c>
      <c r="W3217" s="200">
        <f>_xll.qlCalendarAdvance(Calendar,W3216,V3217,"f",FALSE)</f>
        <v>61456</v>
      </c>
      <c r="X3217" s="203">
        <f>_xll.qlCalendarAdvance(Calendar,W3217,NDays&amp;"D")</f>
        <v>61458</v>
      </c>
      <c r="Y3217" s="204">
        <v>2.0470167796514394E-2</v>
      </c>
      <c r="Z3217" s="201">
        <v>2.0451163919155135E-2</v>
      </c>
    </row>
    <row r="3218" spans="22:26" x14ac:dyDescent="0.2">
      <c r="V3218" s="202" t="str">
        <f t="shared" si="58"/>
        <v>1w</v>
      </c>
      <c r="W3218" s="200">
        <f>_xll.qlCalendarAdvance(Calendar,W3217,V3218,"f",FALSE)</f>
        <v>61463</v>
      </c>
      <c r="X3218" s="203">
        <f>_xll.qlCalendarAdvance(Calendar,W3218,NDays&amp;"D")</f>
        <v>61465</v>
      </c>
      <c r="Y3218" s="204">
        <v>2.047061131156408E-2</v>
      </c>
      <c r="Z3218" s="201">
        <v>2.0451609599527742E-2</v>
      </c>
    </row>
    <row r="3219" spans="22:26" x14ac:dyDescent="0.2">
      <c r="V3219" s="202" t="str">
        <f t="shared" si="58"/>
        <v>1w</v>
      </c>
      <c r="W3219" s="200">
        <f>_xll.qlCalendarAdvance(Calendar,W3218,V3219,"f",FALSE)</f>
        <v>61470</v>
      </c>
      <c r="X3219" s="203">
        <f>_xll.qlCalendarAdvance(Calendar,W3219,NDays&amp;"D")</f>
        <v>61472</v>
      </c>
      <c r="Y3219" s="204">
        <v>2.0471053493899827E-2</v>
      </c>
      <c r="Z3219" s="201">
        <v>2.0454504610190938E-2</v>
      </c>
    </row>
    <row r="3220" spans="22:26" x14ac:dyDescent="0.2">
      <c r="V3220" s="202" t="str">
        <f t="shared" si="58"/>
        <v>1w</v>
      </c>
      <c r="W3220" s="200">
        <f>_xll.qlCalendarAdvance(Calendar,W3219,V3220,"f",FALSE)</f>
        <v>61477</v>
      </c>
      <c r="X3220" s="203">
        <f>_xll.qlCalendarAdvance(Calendar,W3220,NDays&amp;"D")</f>
        <v>61479</v>
      </c>
      <c r="Y3220" s="204">
        <v>2.0471494343516639E-2</v>
      </c>
      <c r="Z3220" s="201">
        <v>2.0452496969465273E-2</v>
      </c>
    </row>
    <row r="3221" spans="22:26" x14ac:dyDescent="0.2">
      <c r="V3221" s="202" t="str">
        <f t="shared" ref="V3221:V3284" si="59">V3220</f>
        <v>1w</v>
      </c>
      <c r="W3221" s="200">
        <f>_xll.qlCalendarAdvance(Calendar,W3220,V3221,"f",FALSE)</f>
        <v>61485</v>
      </c>
      <c r="X3221" s="203">
        <f>_xll.qlCalendarAdvance(Calendar,W3221,NDays&amp;"D")</f>
        <v>61487</v>
      </c>
      <c r="Y3221" s="204">
        <v>2.0471383553434287E-2</v>
      </c>
      <c r="Z3221" s="201">
        <v>2.0454226646187124E-2</v>
      </c>
    </row>
    <row r="3222" spans="22:26" x14ac:dyDescent="0.2">
      <c r="V3222" s="202" t="str">
        <f t="shared" si="59"/>
        <v>1w</v>
      </c>
      <c r="W3222" s="200">
        <f>_xll.qlCalendarAdvance(Calendar,W3221,V3222,"f",FALSE)</f>
        <v>61492</v>
      </c>
      <c r="X3222" s="203">
        <f>_xll.qlCalendarAdvance(Calendar,W3222,NDays&amp;"D")</f>
        <v>61494</v>
      </c>
      <c r="Y3222" s="204">
        <v>2.0471821617535413E-2</v>
      </c>
      <c r="Z3222" s="201">
        <v>2.0454666675053801E-2</v>
      </c>
    </row>
    <row r="3223" spans="22:26" x14ac:dyDescent="0.2">
      <c r="V3223" s="202" t="str">
        <f t="shared" si="59"/>
        <v>1w</v>
      </c>
      <c r="W3223" s="200">
        <f>_xll.qlCalendarAdvance(Calendar,W3222,V3223,"f",FALSE)</f>
        <v>61499</v>
      </c>
      <c r="X3223" s="203">
        <f>_xll.qlCalendarAdvance(Calendar,W3223,NDays&amp;"D")</f>
        <v>61501</v>
      </c>
      <c r="Y3223" s="204">
        <v>2.0472258348986416E-2</v>
      </c>
      <c r="Z3223" s="201">
        <v>2.0455105373331506E-2</v>
      </c>
    </row>
    <row r="3224" spans="22:26" x14ac:dyDescent="0.2">
      <c r="V3224" s="202" t="str">
        <f t="shared" si="59"/>
        <v>1w</v>
      </c>
      <c r="W3224" s="200">
        <f>_xll.qlCalendarAdvance(Calendar,W3223,V3224,"f",FALSE)</f>
        <v>61506</v>
      </c>
      <c r="X3224" s="203">
        <f>_xll.qlCalendarAdvance(Calendar,W3224,NDays&amp;"D")</f>
        <v>61508</v>
      </c>
      <c r="Y3224" s="204">
        <v>2.0472693747802771E-2</v>
      </c>
      <c r="Z3224" s="201">
        <v>2.0455542741100174E-2</v>
      </c>
    </row>
    <row r="3225" spans="22:26" x14ac:dyDescent="0.2">
      <c r="V3225" s="202" t="str">
        <f t="shared" si="59"/>
        <v>1w</v>
      </c>
      <c r="W3225" s="200">
        <f>_xll.qlCalendarAdvance(Calendar,W3224,V3225,"f",FALSE)</f>
        <v>61513</v>
      </c>
      <c r="X3225" s="203">
        <f>_xll.qlCalendarAdvance(Calendar,W3225,NDays&amp;"D")</f>
        <v>61515</v>
      </c>
      <c r="Y3225" s="204">
        <v>2.0473127813971585E-2</v>
      </c>
      <c r="Z3225" s="201">
        <v>2.0455978778359807E-2</v>
      </c>
    </row>
    <row r="3226" spans="22:26" x14ac:dyDescent="0.2">
      <c r="V3226" s="202" t="str">
        <f t="shared" si="59"/>
        <v>1w</v>
      </c>
      <c r="W3226" s="200">
        <f>_xll.qlCalendarAdvance(Calendar,W3225,V3226,"f",FALSE)</f>
        <v>61520</v>
      </c>
      <c r="X3226" s="203">
        <f>_xll.qlCalendarAdvance(Calendar,W3226,NDays&amp;"D")</f>
        <v>61522</v>
      </c>
      <c r="Y3226" s="204">
        <v>2.0473560547498017E-2</v>
      </c>
      <c r="Z3226" s="201">
        <v>2.0456413485030467E-2</v>
      </c>
    </row>
    <row r="3227" spans="22:26" x14ac:dyDescent="0.2">
      <c r="V3227" s="202" t="str">
        <f t="shared" si="59"/>
        <v>1w</v>
      </c>
      <c r="W3227" s="200">
        <f>_xll.qlCalendarAdvance(Calendar,W3226,V3227,"f",FALSE)</f>
        <v>61527</v>
      </c>
      <c r="X3227" s="203">
        <f>_xll.qlCalendarAdvance(Calendar,W3227,NDays&amp;"D")</f>
        <v>61529</v>
      </c>
      <c r="Y3227" s="204">
        <v>2.0473991948382064E-2</v>
      </c>
      <c r="Z3227" s="201">
        <v>2.04568468611388E-2</v>
      </c>
    </row>
    <row r="3228" spans="22:26" x14ac:dyDescent="0.2">
      <c r="V3228" s="202" t="str">
        <f t="shared" si="59"/>
        <v>1w</v>
      </c>
      <c r="W3228" s="200">
        <f>_xll.qlCalendarAdvance(Calendar,W3227,V3228,"f",FALSE)</f>
        <v>61534</v>
      </c>
      <c r="X3228" s="203">
        <f>_xll.qlCalendarAdvance(Calendar,W3228,NDays&amp;"D")</f>
        <v>61536</v>
      </c>
      <c r="Y3228" s="204">
        <v>2.0474422016626307E-2</v>
      </c>
      <c r="Z3228" s="201">
        <v>2.0457278906791387E-2</v>
      </c>
    </row>
    <row r="3229" spans="22:26" x14ac:dyDescent="0.2">
      <c r="V3229" s="202" t="str">
        <f t="shared" si="59"/>
        <v>1w</v>
      </c>
      <c r="W3229" s="200">
        <f>_xll.qlCalendarAdvance(Calendar,W3228,V3229,"f",FALSE)</f>
        <v>61541</v>
      </c>
      <c r="X3229" s="203">
        <f>_xll.qlCalendarAdvance(Calendar,W3229,NDays&amp;"D")</f>
        <v>61543</v>
      </c>
      <c r="Y3229" s="204">
        <v>2.0475463173998398E-2</v>
      </c>
      <c r="Z3229" s="201">
        <v>2.0457709621828357E-2</v>
      </c>
    </row>
    <row r="3230" spans="22:26" x14ac:dyDescent="0.2">
      <c r="V3230" s="202" t="str">
        <f t="shared" si="59"/>
        <v>1w</v>
      </c>
      <c r="W3230" s="200">
        <f>_xll.qlCalendarAdvance(Calendar,W3229,V3230,"f",FALSE)</f>
        <v>61548</v>
      </c>
      <c r="X3230" s="203">
        <f>_xll.qlCalendarAdvance(Calendar,W3230,NDays&amp;"D")</f>
        <v>61550</v>
      </c>
      <c r="Y3230" s="204">
        <v>2.0475278155174751E-2</v>
      </c>
      <c r="Z3230" s="201">
        <v>2.0458139006382936E-2</v>
      </c>
    </row>
    <row r="3231" spans="22:26" x14ac:dyDescent="0.2">
      <c r="V3231" s="202" t="str">
        <f t="shared" si="59"/>
        <v>1w</v>
      </c>
      <c r="W3231" s="200">
        <f>_xll.qlCalendarAdvance(Calendar,W3230,V3231,"f",FALSE)</f>
        <v>61555</v>
      </c>
      <c r="X3231" s="203">
        <f>_xll.qlCalendarAdvance(Calendar,W3231,NDays&amp;"D")</f>
        <v>61557</v>
      </c>
      <c r="Y3231" s="204">
        <v>2.0475704225481527E-2</v>
      </c>
      <c r="Z3231" s="201">
        <v>2.0458567060401833E-2</v>
      </c>
    </row>
    <row r="3232" spans="22:26" x14ac:dyDescent="0.2">
      <c r="V3232" s="202" t="str">
        <f t="shared" si="59"/>
        <v>1w</v>
      </c>
      <c r="W3232" s="200">
        <f>_xll.qlCalendarAdvance(Calendar,W3231,V3232,"f",FALSE)</f>
        <v>61562</v>
      </c>
      <c r="X3232" s="203">
        <f>_xll.qlCalendarAdvance(Calendar,W3232,NDays&amp;"D")</f>
        <v>61564</v>
      </c>
      <c r="Y3232" s="204">
        <v>2.0476128963148502E-2</v>
      </c>
      <c r="Z3232" s="201">
        <v>2.0458993783831758E-2</v>
      </c>
    </row>
    <row r="3233" spans="22:26" x14ac:dyDescent="0.2">
      <c r="V3233" s="202" t="str">
        <f t="shared" si="59"/>
        <v>1w</v>
      </c>
      <c r="W3233" s="200">
        <f>_xll.qlCalendarAdvance(Calendar,W3232,V3233,"f",FALSE)</f>
        <v>61569</v>
      </c>
      <c r="X3233" s="203">
        <f>_xll.qlCalendarAdvance(Calendar,W3233,NDays&amp;"D")</f>
        <v>61571</v>
      </c>
      <c r="Y3233" s="204">
        <v>2.0476552368165354E-2</v>
      </c>
      <c r="Z3233" s="201">
        <v>2.0459419176726001E-2</v>
      </c>
    </row>
    <row r="3234" spans="22:26" x14ac:dyDescent="0.2">
      <c r="V3234" s="202" t="str">
        <f t="shared" si="59"/>
        <v>1w</v>
      </c>
      <c r="W3234" s="200">
        <f>_xll.qlCalendarAdvance(Calendar,W3233,V3234,"f",FALSE)</f>
        <v>61576</v>
      </c>
      <c r="X3234" s="203">
        <f>_xll.qlCalendarAdvance(Calendar,W3234,NDays&amp;"D")</f>
        <v>61578</v>
      </c>
      <c r="Y3234" s="204">
        <v>2.0476974440544981E-2</v>
      </c>
      <c r="Z3234" s="201">
        <v>2.0459843239111208E-2</v>
      </c>
    </row>
    <row r="3235" spans="22:26" x14ac:dyDescent="0.2">
      <c r="V3235" s="202" t="str">
        <f t="shared" si="59"/>
        <v>1w</v>
      </c>
      <c r="W3235" s="200">
        <f>_xll.qlCalendarAdvance(Calendar,W3234,V3235,"f",FALSE)</f>
        <v>61583</v>
      </c>
      <c r="X3235" s="203">
        <f>_xll.qlCalendarAdvance(Calendar,W3235,NDays&amp;"D")</f>
        <v>61585</v>
      </c>
      <c r="Y3235" s="204">
        <v>2.0477395180277067E-2</v>
      </c>
      <c r="Z3235" s="201">
        <v>2.0460265970960734E-2</v>
      </c>
    </row>
    <row r="3236" spans="22:26" x14ac:dyDescent="0.2">
      <c r="V3236" s="202" t="str">
        <f t="shared" si="59"/>
        <v>1w</v>
      </c>
      <c r="W3236" s="200">
        <f>_xll.qlCalendarAdvance(Calendar,W3235,V3236,"f",FALSE)</f>
        <v>61590</v>
      </c>
      <c r="X3236" s="203">
        <f>_xll.qlCalendarAdvance(Calendar,W3236,NDays&amp;"D")</f>
        <v>61592</v>
      </c>
      <c r="Y3236" s="204">
        <v>2.0477814587364192E-2</v>
      </c>
      <c r="Z3236" s="201">
        <v>2.0460687372274577E-2</v>
      </c>
    </row>
    <row r="3237" spans="22:26" x14ac:dyDescent="0.2">
      <c r="V3237" s="202" t="str">
        <f t="shared" si="59"/>
        <v>1w</v>
      </c>
      <c r="W3237" s="200">
        <f>_xll.qlCalendarAdvance(Calendar,W3236,V3237,"f",FALSE)</f>
        <v>61597</v>
      </c>
      <c r="X3237" s="203">
        <f>_xll.qlCalendarAdvance(Calendar,W3237,NDays&amp;"D")</f>
        <v>61599</v>
      </c>
      <c r="Y3237" s="204">
        <v>2.0478232661806355E-2</v>
      </c>
      <c r="Z3237" s="201">
        <v>2.0461107442972803E-2</v>
      </c>
    </row>
    <row r="3238" spans="22:26" x14ac:dyDescent="0.2">
      <c r="V3238" s="202" t="str">
        <f t="shared" si="59"/>
        <v>1w</v>
      </c>
      <c r="W3238" s="200">
        <f>_xll.qlCalendarAdvance(Calendar,W3237,V3238,"f",FALSE)</f>
        <v>61604</v>
      </c>
      <c r="X3238" s="203">
        <f>_xll.qlCalendarAdvance(Calendar,W3238,NDays&amp;"D")</f>
        <v>61606</v>
      </c>
      <c r="Y3238" s="204">
        <v>2.0476814159055792E-2</v>
      </c>
      <c r="Z3238" s="201">
        <v>2.0461526183215284E-2</v>
      </c>
    </row>
    <row r="3239" spans="22:26" x14ac:dyDescent="0.2">
      <c r="V3239" s="202" t="str">
        <f t="shared" si="59"/>
        <v>1w</v>
      </c>
      <c r="W3239" s="200">
        <f>_xll.qlCalendarAdvance(Calendar,W3238,V3239,"f",FALSE)</f>
        <v>61611</v>
      </c>
      <c r="X3239" s="203">
        <f>_xll.qlCalendarAdvance(Calendar,W3239,NDays&amp;"D")</f>
        <v>61613</v>
      </c>
      <c r="Y3239" s="204">
        <v>2.0479064812753214E-2</v>
      </c>
      <c r="Z3239" s="201">
        <v>2.0461943592922083E-2</v>
      </c>
    </row>
    <row r="3240" spans="22:26" x14ac:dyDescent="0.2">
      <c r="V3240" s="202" t="str">
        <f t="shared" si="59"/>
        <v>1w</v>
      </c>
      <c r="W3240" s="200">
        <f>_xll.qlCalendarAdvance(Calendar,W3239,V3240,"f",FALSE)</f>
        <v>61618</v>
      </c>
      <c r="X3240" s="203">
        <f>_xll.qlCalendarAdvance(Calendar,W3240,NDays&amp;"D")</f>
        <v>61620</v>
      </c>
      <c r="Y3240" s="204">
        <v>2.0479478889260491E-2</v>
      </c>
      <c r="Z3240" s="201">
        <v>2.0462359672039909E-2</v>
      </c>
    </row>
    <row r="3241" spans="22:26" x14ac:dyDescent="0.2">
      <c r="V3241" s="202" t="str">
        <f t="shared" si="59"/>
        <v>1w</v>
      </c>
      <c r="W3241" s="200">
        <f>_xll.qlCalendarAdvance(Calendar,W3240,V3241,"f",FALSE)</f>
        <v>61625</v>
      </c>
      <c r="X3241" s="203">
        <f>_xll.qlCalendarAdvance(Calendar,W3241,NDays&amp;"D")</f>
        <v>61627</v>
      </c>
      <c r="Y3241" s="204">
        <v>2.0479891633120226E-2</v>
      </c>
      <c r="Z3241" s="201">
        <v>2.0462774420622054E-2</v>
      </c>
    </row>
    <row r="3242" spans="22:26" x14ac:dyDescent="0.2">
      <c r="V3242" s="202" t="str">
        <f t="shared" si="59"/>
        <v>1w</v>
      </c>
      <c r="W3242" s="200">
        <f>_xll.qlCalendarAdvance(Calendar,W3241,V3242,"f",FALSE)</f>
        <v>61632</v>
      </c>
      <c r="X3242" s="203">
        <f>_xll.qlCalendarAdvance(Calendar,W3242,NDays&amp;"D")</f>
        <v>61634</v>
      </c>
      <c r="Y3242" s="204">
        <v>2.0481526048915816E-2</v>
      </c>
      <c r="Z3242" s="201">
        <v>2.0463187838668517E-2</v>
      </c>
    </row>
    <row r="3243" spans="22:26" x14ac:dyDescent="0.2">
      <c r="V3243" s="202" t="str">
        <f t="shared" si="59"/>
        <v>1w</v>
      </c>
      <c r="W3243" s="200">
        <f>_xll.qlCalendarAdvance(Calendar,W3242,V3243,"f",FALSE)</f>
        <v>61639</v>
      </c>
      <c r="X3243" s="203">
        <f>_xll.qlCalendarAdvance(Calendar,W3243,NDays&amp;"D")</f>
        <v>61641</v>
      </c>
      <c r="Y3243" s="204">
        <v>2.0480713122909968E-2</v>
      </c>
      <c r="Z3243" s="201">
        <v>2.0463599926179299E-2</v>
      </c>
    </row>
    <row r="3244" spans="22:26" x14ac:dyDescent="0.2">
      <c r="V3244" s="202" t="str">
        <f t="shared" si="59"/>
        <v>1w</v>
      </c>
      <c r="W3244" s="200">
        <f>_xll.qlCalendarAdvance(Calendar,W3243,V3244,"f",FALSE)</f>
        <v>61646</v>
      </c>
      <c r="X3244" s="203">
        <f>_xll.qlCalendarAdvance(Calendar,W3244,NDays&amp;"D")</f>
        <v>61648</v>
      </c>
      <c r="Y3244" s="204">
        <v>2.0481121868837396E-2</v>
      </c>
      <c r="Z3244" s="201">
        <v>2.0464010683154399E-2</v>
      </c>
    </row>
    <row r="3245" spans="22:26" x14ac:dyDescent="0.2">
      <c r="V3245" s="202" t="str">
        <f t="shared" si="59"/>
        <v>1w</v>
      </c>
      <c r="W3245" s="200">
        <f>_xll.qlCalendarAdvance(Calendar,W3244,V3245,"f",FALSE)</f>
        <v>61653</v>
      </c>
      <c r="X3245" s="203">
        <f>_xll.qlCalendarAdvance(Calendar,W3245,NDays&amp;"D")</f>
        <v>61655</v>
      </c>
      <c r="Y3245" s="204">
        <v>2.0481529282114701E-2</v>
      </c>
      <c r="Z3245" s="201">
        <v>2.0464420109620463E-2</v>
      </c>
    </row>
    <row r="3246" spans="22:26" x14ac:dyDescent="0.2">
      <c r="V3246" s="202" t="str">
        <f t="shared" si="59"/>
        <v>1w</v>
      </c>
      <c r="W3246" s="200">
        <f>_xll.qlCalendarAdvance(Calendar,W3245,V3246,"f",FALSE)</f>
        <v>61660</v>
      </c>
      <c r="X3246" s="203">
        <f>_xll.qlCalendarAdvance(Calendar,W3246,NDays&amp;"D")</f>
        <v>61662</v>
      </c>
      <c r="Y3246" s="204">
        <v>2.0481935362747047E-2</v>
      </c>
      <c r="Z3246" s="201">
        <v>2.0464828205497554E-2</v>
      </c>
    </row>
    <row r="3247" spans="22:26" x14ac:dyDescent="0.2">
      <c r="V3247" s="202" t="str">
        <f t="shared" si="59"/>
        <v>1w</v>
      </c>
      <c r="W3247" s="200">
        <f>_xll.qlCalendarAdvance(Calendar,W3246,V3247,"f",FALSE)</f>
        <v>61667</v>
      </c>
      <c r="X3247" s="203">
        <f>_xll.qlCalendarAdvance(Calendar,W3247,NDays&amp;"D")</f>
        <v>61669</v>
      </c>
      <c r="Y3247" s="204">
        <v>2.0482340110731856E-2</v>
      </c>
      <c r="Z3247" s="201">
        <v>2.0465234970892254E-2</v>
      </c>
    </row>
    <row r="3248" spans="22:26" x14ac:dyDescent="0.2">
      <c r="V3248" s="202" t="str">
        <f t="shared" si="59"/>
        <v>1w</v>
      </c>
      <c r="W3248" s="200">
        <f>_xll.qlCalendarAdvance(Calendar,W3247,V3248,"f",FALSE)</f>
        <v>61674</v>
      </c>
      <c r="X3248" s="203">
        <f>_xll.qlCalendarAdvance(Calendar,W3248,NDays&amp;"D")</f>
        <v>61676</v>
      </c>
      <c r="Y3248" s="204">
        <v>2.0482743526076853E-2</v>
      </c>
      <c r="Z3248" s="201">
        <v>2.0465640405724628E-2</v>
      </c>
    </row>
    <row r="3249" spans="22:26" x14ac:dyDescent="0.2">
      <c r="V3249" s="202" t="str">
        <f t="shared" si="59"/>
        <v>1w</v>
      </c>
      <c r="W3249" s="200">
        <f>_xll.qlCalendarAdvance(Calendar,W3248,V3249,"f",FALSE)</f>
        <v>61681</v>
      </c>
      <c r="X3249" s="203">
        <f>_xll.qlCalendarAdvance(Calendar,W3249,NDays&amp;"D")</f>
        <v>61683</v>
      </c>
      <c r="Y3249" s="204">
        <v>2.0483145608769158E-2</v>
      </c>
      <c r="Z3249" s="201">
        <v>2.0466044509968029E-2</v>
      </c>
    </row>
    <row r="3250" spans="22:26" x14ac:dyDescent="0.2">
      <c r="V3250" s="202" t="str">
        <f t="shared" si="59"/>
        <v>1w</v>
      </c>
      <c r="W3250" s="200">
        <f>_xll.qlCalendarAdvance(Calendar,W3249,V3250,"f",FALSE)</f>
        <v>61688</v>
      </c>
      <c r="X3250" s="203">
        <f>_xll.qlCalendarAdvance(Calendar,W3250,NDays&amp;"D")</f>
        <v>61690</v>
      </c>
      <c r="Y3250" s="204">
        <v>2.0483546358816499E-2</v>
      </c>
      <c r="Z3250" s="201">
        <v>2.0466447283755684E-2</v>
      </c>
    </row>
    <row r="3251" spans="22:26" x14ac:dyDescent="0.2">
      <c r="V3251" s="202" t="str">
        <f t="shared" si="59"/>
        <v>1w</v>
      </c>
      <c r="W3251" s="200">
        <f>_xll.qlCalendarAdvance(Calendar,W3250,V3251,"f",FALSE)</f>
        <v>61695</v>
      </c>
      <c r="X3251" s="203">
        <f>_xll.qlCalendarAdvance(Calendar,W3251,NDays&amp;"D")</f>
        <v>61697</v>
      </c>
      <c r="Y3251" s="204">
        <v>2.0483945776213718E-2</v>
      </c>
      <c r="Z3251" s="201">
        <v>2.0466848726901077E-2</v>
      </c>
    </row>
    <row r="3252" spans="22:26" x14ac:dyDescent="0.2">
      <c r="V3252" s="202" t="str">
        <f t="shared" si="59"/>
        <v>1w</v>
      </c>
      <c r="W3252" s="200">
        <f>_xll.qlCalendarAdvance(Calendar,W3251,V3252,"f",FALSE)</f>
        <v>61702</v>
      </c>
      <c r="X3252" s="203">
        <f>_xll.qlCalendarAdvance(Calendar,W3252,NDays&amp;"D")</f>
        <v>61704</v>
      </c>
      <c r="Y3252" s="204">
        <v>2.0484343860968555E-2</v>
      </c>
      <c r="Z3252" s="201">
        <v>2.0467248839564078E-2</v>
      </c>
    </row>
    <row r="3253" spans="22:26" x14ac:dyDescent="0.2">
      <c r="V3253" s="202" t="str">
        <f t="shared" si="59"/>
        <v>1w</v>
      </c>
      <c r="W3253" s="200">
        <f>_xll.qlCalendarAdvance(Calendar,W3252,V3253,"f",FALSE)</f>
        <v>61709</v>
      </c>
      <c r="X3253" s="203">
        <f>_xll.qlCalendarAdvance(Calendar,W3253,NDays&amp;"D")</f>
        <v>61711</v>
      </c>
      <c r="Y3253" s="204">
        <v>2.0484740613075852E-2</v>
      </c>
      <c r="Z3253" s="201">
        <v>2.0467647621718044E-2</v>
      </c>
    </row>
    <row r="3254" spans="22:26" x14ac:dyDescent="0.2">
      <c r="V3254" s="202" t="str">
        <f t="shared" si="59"/>
        <v>1w</v>
      </c>
      <c r="W3254" s="200">
        <f>_xll.qlCalendarAdvance(Calendar,W3253,V3254,"f",FALSE)</f>
        <v>61716</v>
      </c>
      <c r="X3254" s="203">
        <f>_xll.qlCalendarAdvance(Calendar,W3254,NDays&amp;"D")</f>
        <v>61718</v>
      </c>
      <c r="Y3254" s="204">
        <v>2.0485136032535611E-2</v>
      </c>
      <c r="Z3254" s="201">
        <v>2.0468045073309682E-2</v>
      </c>
    </row>
    <row r="3255" spans="22:26" x14ac:dyDescent="0.2">
      <c r="V3255" s="202" t="str">
        <f t="shared" si="59"/>
        <v>1w</v>
      </c>
      <c r="W3255" s="200">
        <f>_xll.qlCalendarAdvance(Calendar,W3254,V3255,"f",FALSE)</f>
        <v>61724</v>
      </c>
      <c r="X3255" s="203">
        <f>_xll.qlCalendarAdvance(Calendar,W3255,NDays&amp;"D")</f>
        <v>61728</v>
      </c>
      <c r="Y3255" s="204">
        <v>2.0485698605744271E-2</v>
      </c>
      <c r="Z3255" s="201">
        <v>2.0468000500604155E-2</v>
      </c>
    </row>
    <row r="3256" spans="22:26" x14ac:dyDescent="0.2">
      <c r="V3256" s="202" t="str">
        <f t="shared" si="59"/>
        <v>1w</v>
      </c>
      <c r="W3256" s="200">
        <f>_xll.qlCalendarAdvance(Calendar,W3255,V3256,"f",FALSE)</f>
        <v>61731</v>
      </c>
      <c r="X3256" s="203">
        <f>_xll.qlCalendarAdvance(Calendar,W3256,NDays&amp;"D")</f>
        <v>61735</v>
      </c>
      <c r="Y3256" s="204">
        <v>2.0486090788770971E-2</v>
      </c>
      <c r="Z3256" s="201">
        <v>2.0467784829723001E-2</v>
      </c>
    </row>
    <row r="3257" spans="22:26" x14ac:dyDescent="0.2">
      <c r="V3257" s="202" t="str">
        <f t="shared" si="59"/>
        <v>1w</v>
      </c>
      <c r="W3257" s="200">
        <f>_xll.qlCalendarAdvance(Calendar,W3256,V3257,"f",FALSE)</f>
        <v>61738</v>
      </c>
      <c r="X3257" s="203">
        <f>_xll.qlCalendarAdvance(Calendar,W3257,NDays&amp;"D")</f>
        <v>61742</v>
      </c>
      <c r="Y3257" s="204">
        <v>2.0486481639152707E-2</v>
      </c>
      <c r="Z3257" s="201">
        <v>2.0468177864767512E-2</v>
      </c>
    </row>
    <row r="3258" spans="22:26" x14ac:dyDescent="0.2">
      <c r="V3258" s="202" t="str">
        <f t="shared" si="59"/>
        <v>1w</v>
      </c>
      <c r="W3258" s="200">
        <f>_xll.qlCalendarAdvance(Calendar,W3257,V3258,"f",FALSE)</f>
        <v>61745</v>
      </c>
      <c r="X3258" s="203">
        <f>_xll.qlCalendarAdvance(Calendar,W3258,NDays&amp;"D")</f>
        <v>61749</v>
      </c>
      <c r="Y3258" s="204">
        <v>2.0486871156889484E-2</v>
      </c>
      <c r="Z3258" s="201">
        <v>2.0468569569596085E-2</v>
      </c>
    </row>
    <row r="3259" spans="22:26" x14ac:dyDescent="0.2">
      <c r="V3259" s="202" t="str">
        <f t="shared" si="59"/>
        <v>1w</v>
      </c>
      <c r="W3259" s="200">
        <f>_xll.qlCalendarAdvance(Calendar,W3258,V3259,"f",FALSE)</f>
        <v>61752</v>
      </c>
      <c r="X3259" s="203">
        <f>_xll.qlCalendarAdvance(Calendar,W3259,NDays&amp;"D")</f>
        <v>61756</v>
      </c>
      <c r="Y3259" s="204">
        <v>2.0487259341976139E-2</v>
      </c>
      <c r="Z3259" s="201">
        <v>2.0468959943888976E-2</v>
      </c>
    </row>
    <row r="3260" spans="22:26" x14ac:dyDescent="0.2">
      <c r="V3260" s="202" t="str">
        <f t="shared" si="59"/>
        <v>1w</v>
      </c>
      <c r="W3260" s="200">
        <f>_xll.qlCalendarAdvance(Calendar,W3259,V3260,"f",FALSE)</f>
        <v>61759</v>
      </c>
      <c r="X3260" s="203">
        <f>_xll.qlCalendarAdvance(Calendar,W3260,NDays&amp;"D")</f>
        <v>61763</v>
      </c>
      <c r="Y3260" s="204">
        <v>2.0485815819441453E-2</v>
      </c>
      <c r="Z3260" s="201">
        <v>2.0469348987806057E-2</v>
      </c>
    </row>
    <row r="3261" spans="22:26" x14ac:dyDescent="0.2">
      <c r="V3261" s="202" t="str">
        <f t="shared" si="59"/>
        <v>1w</v>
      </c>
      <c r="W3261" s="200">
        <f>_xll.qlCalendarAdvance(Calendar,W3260,V3261,"f",FALSE)</f>
        <v>61766</v>
      </c>
      <c r="X3261" s="203">
        <f>_xll.qlCalendarAdvance(Calendar,W3261,NDays&amp;"D")</f>
        <v>61770</v>
      </c>
      <c r="Y3261" s="204">
        <v>2.0486201558996036E-2</v>
      </c>
      <c r="Z3261" s="201">
        <v>2.046973670134733E-2</v>
      </c>
    </row>
    <row r="3262" spans="22:26" x14ac:dyDescent="0.2">
      <c r="V3262" s="202" t="str">
        <f t="shared" si="59"/>
        <v>1w</v>
      </c>
      <c r="W3262" s="200">
        <f>_xll.qlCalendarAdvance(Calendar,W3261,V3262,"f",FALSE)</f>
        <v>61773</v>
      </c>
      <c r="X3262" s="203">
        <f>_xll.qlCalendarAdvance(Calendar,W3262,NDays&amp;"D")</f>
        <v>61777</v>
      </c>
      <c r="Y3262" s="204">
        <v>2.0486585966122167E-2</v>
      </c>
      <c r="Z3262" s="201">
        <v>2.0470123084592728E-2</v>
      </c>
    </row>
    <row r="3263" spans="22:26" x14ac:dyDescent="0.2">
      <c r="V3263" s="202" t="str">
        <f t="shared" si="59"/>
        <v>1w</v>
      </c>
      <c r="W3263" s="200">
        <f>_xll.qlCalendarAdvance(Calendar,W3262,V3263,"f",FALSE)</f>
        <v>61780</v>
      </c>
      <c r="X3263" s="203">
        <f>_xll.qlCalendarAdvance(Calendar,W3263,NDays&amp;"D")</f>
        <v>61784</v>
      </c>
      <c r="Y3263" s="204">
        <v>2.0486969040834118E-2</v>
      </c>
      <c r="Z3263" s="201">
        <v>2.0470508137302446E-2</v>
      </c>
    </row>
    <row r="3264" spans="22:26" x14ac:dyDescent="0.2">
      <c r="V3264" s="202" t="str">
        <f t="shared" si="59"/>
        <v>1w</v>
      </c>
      <c r="W3264" s="200">
        <f>_xll.qlCalendarAdvance(Calendar,W3263,V3264,"f",FALSE)</f>
        <v>61787</v>
      </c>
      <c r="X3264" s="203">
        <f>_xll.qlCalendarAdvance(Calendar,W3264,NDays&amp;"D")</f>
        <v>61791</v>
      </c>
      <c r="Y3264" s="204">
        <v>2.0489180277685991E-2</v>
      </c>
      <c r="Z3264" s="201">
        <v>2.0470891859716289E-2</v>
      </c>
    </row>
    <row r="3265" spans="22:26" x14ac:dyDescent="0.2">
      <c r="V3265" s="202" t="str">
        <f t="shared" si="59"/>
        <v>1w</v>
      </c>
      <c r="W3265" s="200">
        <f>_xll.qlCalendarAdvance(Calendar,W3264,V3265,"f",FALSE)</f>
        <v>61794</v>
      </c>
      <c r="X3265" s="203">
        <f>_xll.qlCalendarAdvance(Calendar,W3265,NDays&amp;"D")</f>
        <v>61798</v>
      </c>
      <c r="Y3265" s="204">
        <v>2.0489560466882245E-2</v>
      </c>
      <c r="Z3265" s="201">
        <v>2.0471274251754323E-2</v>
      </c>
    </row>
    <row r="3266" spans="22:26" x14ac:dyDescent="0.2">
      <c r="V3266" s="202" t="str">
        <f t="shared" si="59"/>
        <v>1w</v>
      </c>
      <c r="W3266" s="200">
        <f>_xll.qlCalendarAdvance(Calendar,W3265,V3266,"f",FALSE)</f>
        <v>61801</v>
      </c>
      <c r="X3266" s="203">
        <f>_xll.qlCalendarAdvance(Calendar,W3266,NDays&amp;"D")</f>
        <v>61805</v>
      </c>
      <c r="Y3266" s="204">
        <v>2.0489939323433539E-2</v>
      </c>
      <c r="Z3266" s="201">
        <v>2.0471655313416548E-2</v>
      </c>
    </row>
    <row r="3267" spans="22:26" x14ac:dyDescent="0.2">
      <c r="V3267" s="202" t="str">
        <f t="shared" si="59"/>
        <v>1w</v>
      </c>
      <c r="W3267" s="200">
        <f>_xll.qlCalendarAdvance(Calendar,W3266,V3267,"f",FALSE)</f>
        <v>61808</v>
      </c>
      <c r="X3267" s="203">
        <f>_xll.qlCalendarAdvance(Calendar,W3267,NDays&amp;"D")</f>
        <v>61812</v>
      </c>
      <c r="Y3267" s="204">
        <v>2.0490316847326974E-2</v>
      </c>
      <c r="Z3267" s="201">
        <v>2.0472035044543091E-2</v>
      </c>
    </row>
    <row r="3268" spans="22:26" x14ac:dyDescent="0.2">
      <c r="V3268" s="202" t="str">
        <f t="shared" si="59"/>
        <v>1w</v>
      </c>
      <c r="W3268" s="200">
        <f>_xll.qlCalendarAdvance(Calendar,W3267,V3268,"f",FALSE)</f>
        <v>61815</v>
      </c>
      <c r="X3268" s="203">
        <f>_xll.qlCalendarAdvance(Calendar,W3268,NDays&amp;"D")</f>
        <v>61819</v>
      </c>
      <c r="Y3268" s="204">
        <v>2.0490693038578027E-2</v>
      </c>
      <c r="Z3268" s="201">
        <v>2.0472413445293824E-2</v>
      </c>
    </row>
    <row r="3269" spans="22:26" x14ac:dyDescent="0.2">
      <c r="V3269" s="202" t="str">
        <f t="shared" si="59"/>
        <v>1w</v>
      </c>
      <c r="W3269" s="200">
        <f>_xll.qlCalendarAdvance(Calendar,W3268,V3269,"f",FALSE)</f>
        <v>61822</v>
      </c>
      <c r="X3269" s="203">
        <f>_xll.qlCalendarAdvance(Calendar,W3269,NDays&amp;"D")</f>
        <v>61826</v>
      </c>
      <c r="Y3269" s="204">
        <v>2.049045841811914E-2</v>
      </c>
      <c r="Z3269" s="201">
        <v>2.0472790515908557E-2</v>
      </c>
    </row>
    <row r="3270" spans="22:26" x14ac:dyDescent="0.2">
      <c r="V3270" s="202" t="str">
        <f t="shared" si="59"/>
        <v>1w</v>
      </c>
      <c r="W3270" s="200">
        <f>_xll.qlCalendarAdvance(Calendar,W3269,V3270,"f",FALSE)</f>
        <v>61829</v>
      </c>
      <c r="X3270" s="203">
        <f>_xll.qlCalendarAdvance(Calendar,W3270,NDays&amp;"D")</f>
        <v>61835</v>
      </c>
      <c r="Y3270" s="204">
        <v>2.0490938516080526E-2</v>
      </c>
      <c r="Z3270" s="201">
        <v>2.0473273365828604E-2</v>
      </c>
    </row>
    <row r="3271" spans="22:26" x14ac:dyDescent="0.2">
      <c r="V3271" s="202" t="str">
        <f t="shared" si="59"/>
        <v>1w</v>
      </c>
      <c r="W3271" s="200">
        <f>_xll.qlCalendarAdvance(Calendar,W3270,V3271,"f",FALSE)</f>
        <v>61836</v>
      </c>
      <c r="X3271" s="203">
        <f>_xll.qlCalendarAdvance(Calendar,W3271,NDays&amp;"D")</f>
        <v>61840</v>
      </c>
      <c r="Y3271" s="204">
        <v>2.0491204285332465E-2</v>
      </c>
      <c r="Z3271" s="201">
        <v>2.0473540665530976E-2</v>
      </c>
    </row>
    <row r="3272" spans="22:26" x14ac:dyDescent="0.2">
      <c r="V3272" s="202" t="str">
        <f t="shared" si="59"/>
        <v>1w</v>
      </c>
      <c r="W3272" s="200">
        <f>_xll.qlCalendarAdvance(Calendar,W3271,V3272,"f",FALSE)</f>
        <v>61843</v>
      </c>
      <c r="X3272" s="203">
        <f>_xll.qlCalendarAdvance(Calendar,W3272,NDays&amp;"D")</f>
        <v>61847</v>
      </c>
      <c r="Y3272" s="204">
        <v>2.0491575220079383E-2</v>
      </c>
      <c r="Z3272" s="201">
        <v>2.0473913744858407E-2</v>
      </c>
    </row>
    <row r="3273" spans="22:26" x14ac:dyDescent="0.2">
      <c r="V3273" s="202" t="str">
        <f t="shared" si="59"/>
        <v>1w</v>
      </c>
      <c r="W3273" s="200">
        <f>_xll.qlCalendarAdvance(Calendar,W3272,V3273,"f",FALSE)</f>
        <v>61850</v>
      </c>
      <c r="X3273" s="203">
        <f>_xll.qlCalendarAdvance(Calendar,W3273,NDays&amp;"D")</f>
        <v>61854</v>
      </c>
      <c r="Y3273" s="204">
        <v>2.0492554005084086E-2</v>
      </c>
      <c r="Z3273" s="201">
        <v>2.0474285493730093E-2</v>
      </c>
    </row>
    <row r="3274" spans="22:26" x14ac:dyDescent="0.2">
      <c r="V3274" s="202" t="str">
        <f t="shared" si="59"/>
        <v>1w</v>
      </c>
      <c r="W3274" s="200">
        <f>_xll.qlCalendarAdvance(Calendar,W3273,V3274,"f",FALSE)</f>
        <v>61857</v>
      </c>
      <c r="X3274" s="203">
        <f>_xll.qlCalendarAdvance(Calendar,W3274,NDays&amp;"D")</f>
        <v>61861</v>
      </c>
      <c r="Y3274" s="204">
        <v>2.0492922200439582E-2</v>
      </c>
      <c r="Z3274" s="201">
        <v>2.0474655912146034E-2</v>
      </c>
    </row>
    <row r="3275" spans="22:26" x14ac:dyDescent="0.2">
      <c r="V3275" s="202" t="str">
        <f t="shared" si="59"/>
        <v>1w</v>
      </c>
      <c r="W3275" s="200">
        <f>_xll.qlCalendarAdvance(Calendar,W3274,V3275,"f",FALSE)</f>
        <v>61864</v>
      </c>
      <c r="X3275" s="203">
        <f>_xll.qlCalendarAdvance(Calendar,W3275,NDays&amp;"D")</f>
        <v>61868</v>
      </c>
      <c r="Y3275" s="204">
        <v>2.0493289063142378E-2</v>
      </c>
      <c r="Z3275" s="201">
        <v>2.0475025000266101E-2</v>
      </c>
    </row>
    <row r="3276" spans="22:26" x14ac:dyDescent="0.2">
      <c r="V3276" s="202" t="str">
        <f t="shared" si="59"/>
        <v>1w</v>
      </c>
      <c r="W3276" s="200">
        <f>_xll.qlCalendarAdvance(Calendar,W3275,V3276,"f",FALSE)</f>
        <v>61871</v>
      </c>
      <c r="X3276" s="203">
        <f>_xll.qlCalendarAdvance(Calendar,W3276,NDays&amp;"D")</f>
        <v>61875</v>
      </c>
      <c r="Y3276" s="204">
        <v>2.0493654593192478E-2</v>
      </c>
      <c r="Z3276" s="201">
        <v>2.0475392758090294E-2</v>
      </c>
    </row>
    <row r="3277" spans="22:26" x14ac:dyDescent="0.2">
      <c r="V3277" s="202" t="str">
        <f t="shared" si="59"/>
        <v>1w</v>
      </c>
      <c r="W3277" s="200">
        <f>_xll.qlCalendarAdvance(Calendar,W3276,V3277,"f",FALSE)</f>
        <v>61878</v>
      </c>
      <c r="X3277" s="203">
        <f>_xll.qlCalendarAdvance(Calendar,W3277,NDays&amp;"D")</f>
        <v>61882</v>
      </c>
      <c r="Y3277" s="204">
        <v>2.0493409905187221E-2</v>
      </c>
      <c r="Z3277" s="201">
        <v>2.0475759185378806E-2</v>
      </c>
    </row>
    <row r="3278" spans="22:26" x14ac:dyDescent="0.2">
      <c r="V3278" s="202" t="str">
        <f t="shared" si="59"/>
        <v>1w</v>
      </c>
      <c r="W3278" s="200">
        <f>_xll.qlCalendarAdvance(Calendar,W3277,V3278,"f",FALSE)</f>
        <v>61885</v>
      </c>
      <c r="X3278" s="203">
        <f>_xll.qlCalendarAdvance(Calendar,W3278,NDays&amp;"D")</f>
        <v>61889</v>
      </c>
      <c r="Y3278" s="204">
        <v>2.0493772844484504E-2</v>
      </c>
      <c r="Z3278" s="201">
        <v>2.0476124282371444E-2</v>
      </c>
    </row>
    <row r="3279" spans="22:26" x14ac:dyDescent="0.2">
      <c r="V3279" s="202" t="str">
        <f t="shared" si="59"/>
        <v>1w</v>
      </c>
      <c r="W3279" s="200">
        <f>_xll.qlCalendarAdvance(Calendar,W3278,V3279,"f",FALSE)</f>
        <v>61892</v>
      </c>
      <c r="X3279" s="203">
        <f>_xll.qlCalendarAdvance(Calendar,W3279,NDays&amp;"D")</f>
        <v>61896</v>
      </c>
      <c r="Y3279" s="204">
        <v>2.049413445120507E-2</v>
      </c>
      <c r="Z3279" s="201">
        <v>2.0476488048828401E-2</v>
      </c>
    </row>
    <row r="3280" spans="22:26" x14ac:dyDescent="0.2">
      <c r="V3280" s="202" t="str">
        <f t="shared" si="59"/>
        <v>1w</v>
      </c>
      <c r="W3280" s="200">
        <f>_xll.qlCalendarAdvance(Calendar,W3279,V3280,"f",FALSE)</f>
        <v>61899</v>
      </c>
      <c r="X3280" s="203">
        <f>_xll.qlCalendarAdvance(Calendar,W3280,NDays&amp;"D")</f>
        <v>61903</v>
      </c>
      <c r="Y3280" s="204">
        <v>2.0494494725354251E-2</v>
      </c>
      <c r="Z3280" s="201">
        <v>2.047685048506942E-2</v>
      </c>
    </row>
    <row r="3281" spans="22:26" x14ac:dyDescent="0.2">
      <c r="V3281" s="202" t="str">
        <f t="shared" si="59"/>
        <v>1w</v>
      </c>
      <c r="W3281" s="200">
        <f>_xll.qlCalendarAdvance(Calendar,W3280,V3281,"f",FALSE)</f>
        <v>61906</v>
      </c>
      <c r="X3281" s="203">
        <f>_xll.qlCalendarAdvance(Calendar,W3281,NDays&amp;"D")</f>
        <v>61910</v>
      </c>
      <c r="Y3281" s="204">
        <v>2.0495462253698919E-2</v>
      </c>
      <c r="Z3281" s="201">
        <v>2.0477211590774758E-2</v>
      </c>
    </row>
    <row r="3282" spans="22:26" x14ac:dyDescent="0.2">
      <c r="V3282" s="202" t="str">
        <f t="shared" si="59"/>
        <v>1w</v>
      </c>
      <c r="W3282" s="200">
        <f>_xll.qlCalendarAdvance(Calendar,W3281,V3282,"f",FALSE)</f>
        <v>61913</v>
      </c>
      <c r="X3282" s="203">
        <f>_xll.qlCalendarAdvance(Calendar,W3282,NDays&amp;"D")</f>
        <v>61917</v>
      </c>
      <c r="Y3282" s="204">
        <v>2.049581978785088E-2</v>
      </c>
      <c r="Z3282" s="201">
        <v>2.0477571366184222E-2</v>
      </c>
    </row>
    <row r="3283" spans="22:26" x14ac:dyDescent="0.2">
      <c r="V3283" s="202" t="str">
        <f t="shared" si="59"/>
        <v>1w</v>
      </c>
      <c r="W3283" s="200">
        <f>_xll.qlCalendarAdvance(Calendar,W3282,V3283,"f",FALSE)</f>
        <v>61920</v>
      </c>
      <c r="X3283" s="203">
        <f>_xll.qlCalendarAdvance(Calendar,W3283,NDays&amp;"D")</f>
        <v>61924</v>
      </c>
      <c r="Y3283" s="204">
        <v>2.0496175989347568E-2</v>
      </c>
      <c r="Z3283" s="201">
        <v>2.0477929811217876E-2</v>
      </c>
    </row>
    <row r="3284" spans="22:26" x14ac:dyDescent="0.2">
      <c r="V3284" s="202" t="str">
        <f t="shared" si="59"/>
        <v>1w</v>
      </c>
      <c r="W3284" s="200">
        <f>_xll.qlCalendarAdvance(Calendar,W3283,V3284,"f",FALSE)</f>
        <v>61927</v>
      </c>
      <c r="X3284" s="203">
        <f>_xll.qlCalendarAdvance(Calendar,W3284,NDays&amp;"D")</f>
        <v>61931</v>
      </c>
      <c r="Y3284" s="204">
        <v>2.0496530858194133E-2</v>
      </c>
      <c r="Z3284" s="201">
        <v>2.0478286925795786E-2</v>
      </c>
    </row>
    <row r="3285" spans="22:26" x14ac:dyDescent="0.2">
      <c r="V3285" s="202" t="str">
        <f t="shared" ref="V3285:V3348" si="60">V3284</f>
        <v>1w</v>
      </c>
      <c r="W3285" s="200">
        <f>_xll.qlCalendarAdvance(Calendar,W3284,V3285,"f",FALSE)</f>
        <v>61934</v>
      </c>
      <c r="X3285" s="203">
        <f>_xll.qlCalendarAdvance(Calendar,W3285,NDays&amp;"D")</f>
        <v>61938</v>
      </c>
      <c r="Y3285" s="204">
        <v>2.0496884394390579E-2</v>
      </c>
      <c r="Z3285" s="201">
        <v>2.0478642709997885E-2</v>
      </c>
    </row>
    <row r="3286" spans="22:26" x14ac:dyDescent="0.2">
      <c r="V3286" s="202" t="str">
        <f t="shared" si="60"/>
        <v>1w</v>
      </c>
      <c r="W3286" s="200">
        <f>_xll.qlCalendarAdvance(Calendar,W3285,V3286,"f",FALSE)</f>
        <v>61941</v>
      </c>
      <c r="X3286" s="203">
        <f>_xll.qlCalendarAdvance(Calendar,W3286,NDays&amp;"D")</f>
        <v>61945</v>
      </c>
      <c r="Y3286" s="204">
        <v>2.0497236597936907E-2</v>
      </c>
      <c r="Z3286" s="201">
        <v>2.0478997163904111E-2</v>
      </c>
    </row>
    <row r="3287" spans="22:26" x14ac:dyDescent="0.2">
      <c r="V3287" s="202" t="str">
        <f t="shared" si="60"/>
        <v>1w</v>
      </c>
      <c r="W3287" s="200">
        <f>_xll.qlCalendarAdvance(Calendar,W3286,V3287,"f",FALSE)</f>
        <v>61948</v>
      </c>
      <c r="X3287" s="203">
        <f>_xll.qlCalendarAdvance(Calendar,W3287,NDays&amp;"D")</f>
        <v>61952</v>
      </c>
      <c r="Y3287" s="204">
        <v>2.0497587468830538E-2</v>
      </c>
      <c r="Z3287" s="201">
        <v>2.0479350287354592E-2</v>
      </c>
    </row>
    <row r="3288" spans="22:26" x14ac:dyDescent="0.2">
      <c r="V3288" s="202" t="str">
        <f t="shared" si="60"/>
        <v>1w</v>
      </c>
      <c r="W3288" s="200">
        <f>_xll.qlCalendarAdvance(Calendar,W3287,V3288,"f",FALSE)</f>
        <v>61955</v>
      </c>
      <c r="X3288" s="203">
        <f>_xll.qlCalendarAdvance(Calendar,W3288,NDays&amp;"D")</f>
        <v>61959</v>
      </c>
      <c r="Y3288" s="204">
        <v>2.0497937007071469E-2</v>
      </c>
      <c r="Z3288" s="201">
        <v>2.0479702080349327E-2</v>
      </c>
    </row>
    <row r="3289" spans="22:26" x14ac:dyDescent="0.2">
      <c r="V3289" s="202" t="str">
        <f t="shared" si="60"/>
        <v>1w</v>
      </c>
      <c r="W3289" s="200">
        <f>_xll.qlCalendarAdvance(Calendar,W3288,V3289,"f",FALSE)</f>
        <v>61962</v>
      </c>
      <c r="X3289" s="203">
        <f>_xll.qlCalendarAdvance(Calendar,W3289,NDays&amp;"D")</f>
        <v>61966</v>
      </c>
      <c r="Y3289" s="204">
        <v>2.0498285212659704E-2</v>
      </c>
      <c r="Z3289" s="201">
        <v>2.0480052542968252E-2</v>
      </c>
    </row>
    <row r="3290" spans="22:26" x14ac:dyDescent="0.2">
      <c r="V3290" s="202" t="str">
        <f t="shared" si="60"/>
        <v>1w</v>
      </c>
      <c r="W3290" s="200">
        <f>_xll.qlCalendarAdvance(Calendar,W3289,V3290,"f",FALSE)</f>
        <v>61969</v>
      </c>
      <c r="X3290" s="203">
        <f>_xll.qlCalendarAdvance(Calendar,W3290,NDays&amp;"D")</f>
        <v>61973</v>
      </c>
      <c r="Y3290" s="204">
        <v>2.0498024175163998E-2</v>
      </c>
      <c r="Z3290" s="201">
        <v>2.0480401675211368E-2</v>
      </c>
    </row>
    <row r="3291" spans="22:26" x14ac:dyDescent="0.2">
      <c r="V3291" s="202" t="str">
        <f t="shared" si="60"/>
        <v>1w</v>
      </c>
      <c r="W3291" s="200">
        <f>_xll.qlCalendarAdvance(Calendar,W3290,V3291,"f",FALSE)</f>
        <v>61976</v>
      </c>
      <c r="X3291" s="203">
        <f>_xll.qlCalendarAdvance(Calendar,W3291,NDays&amp;"D")</f>
        <v>61980</v>
      </c>
      <c r="Y3291" s="204">
        <v>2.04983697909773E-2</v>
      </c>
      <c r="Z3291" s="201">
        <v>2.0480749477078675E-2</v>
      </c>
    </row>
    <row r="3292" spans="22:26" x14ac:dyDescent="0.2">
      <c r="V3292" s="202" t="str">
        <f t="shared" si="60"/>
        <v>1w</v>
      </c>
      <c r="W3292" s="200">
        <f>_xll.qlCalendarAdvance(Calendar,W3291,V3292,"f",FALSE)</f>
        <v>61983</v>
      </c>
      <c r="X3292" s="203">
        <f>_xll.qlCalendarAdvance(Calendar,W3292,NDays&amp;"D")</f>
        <v>61987</v>
      </c>
      <c r="Y3292" s="204">
        <v>2.0498714074216551E-2</v>
      </c>
      <c r="Z3292" s="201">
        <v>2.0481095948650108E-2</v>
      </c>
    </row>
    <row r="3293" spans="22:26" x14ac:dyDescent="0.2">
      <c r="V3293" s="202" t="str">
        <f t="shared" si="60"/>
        <v>1w</v>
      </c>
      <c r="W3293" s="200">
        <f>_xll.qlCalendarAdvance(Calendar,W3292,V3293,"f",FALSE)</f>
        <v>61990</v>
      </c>
      <c r="X3293" s="203">
        <f>_xll.qlCalendarAdvance(Calendar,W3293,NDays&amp;"D")</f>
        <v>61994</v>
      </c>
      <c r="Y3293" s="204">
        <v>2.0499057024871092E-2</v>
      </c>
      <c r="Z3293" s="201">
        <v>2.0481441089605923E-2</v>
      </c>
    </row>
    <row r="3294" spans="22:26" x14ac:dyDescent="0.2">
      <c r="V3294" s="202" t="str">
        <f t="shared" si="60"/>
        <v>1w</v>
      </c>
      <c r="W3294" s="200">
        <f>_xll.qlCalendarAdvance(Calendar,W3293,V3294,"f",FALSE)</f>
        <v>61997</v>
      </c>
      <c r="X3294" s="203">
        <f>_xll.qlCalendarAdvance(Calendar,W3294,NDays&amp;"D")</f>
        <v>62001</v>
      </c>
      <c r="Y3294" s="204">
        <v>2.0500006250833612E-2</v>
      </c>
      <c r="Z3294" s="201">
        <v>2.0481784900505673E-2</v>
      </c>
    </row>
    <row r="3295" spans="22:26" x14ac:dyDescent="0.2">
      <c r="V3295" s="202" t="str">
        <f t="shared" si="60"/>
        <v>1w</v>
      </c>
      <c r="W3295" s="200">
        <f>_xll.qlCalendarAdvance(Calendar,W3294,V3295,"f",FALSE)</f>
        <v>62004</v>
      </c>
      <c r="X3295" s="203">
        <f>_xll.qlCalendarAdvance(Calendar,W3295,NDays&amp;"D")</f>
        <v>62008</v>
      </c>
      <c r="Y3295" s="204">
        <v>2.0500346460508238E-2</v>
      </c>
      <c r="Z3295" s="201">
        <v>2.0482127380869741E-2</v>
      </c>
    </row>
    <row r="3296" spans="22:26" x14ac:dyDescent="0.2">
      <c r="V3296" s="202" t="str">
        <f t="shared" si="60"/>
        <v>1w</v>
      </c>
      <c r="W3296" s="200">
        <f>_xll.qlCalendarAdvance(Calendar,W3295,V3296,"f",FALSE)</f>
        <v>62011</v>
      </c>
      <c r="X3296" s="203">
        <f>_xll.qlCalendarAdvance(Calendar,W3296,NDays&amp;"D")</f>
        <v>62015</v>
      </c>
      <c r="Y3296" s="204">
        <v>2.0500685337530165E-2</v>
      </c>
      <c r="Z3296" s="201">
        <v>2.0482468530698128E-2</v>
      </c>
    </row>
    <row r="3297" spans="22:26" x14ac:dyDescent="0.2">
      <c r="V3297" s="202" t="str">
        <f t="shared" si="60"/>
        <v>1w</v>
      </c>
      <c r="W3297" s="200">
        <f>_xll.qlCalendarAdvance(Calendar,W3296,V3297,"f",FALSE)</f>
        <v>62018</v>
      </c>
      <c r="X3297" s="203">
        <f>_xll.qlCalendarAdvance(Calendar,W3297,NDays&amp;"D")</f>
        <v>62022</v>
      </c>
      <c r="Y3297" s="204">
        <v>2.0501022881907131E-2</v>
      </c>
      <c r="Z3297" s="201">
        <v>2.0482808350310577E-2</v>
      </c>
    </row>
    <row r="3298" spans="22:26" x14ac:dyDescent="0.2">
      <c r="V3298" s="202" t="str">
        <f t="shared" si="60"/>
        <v>1w</v>
      </c>
      <c r="W3298" s="200">
        <f>_xll.qlCalendarAdvance(Calendar,W3297,V3298,"f",FALSE)</f>
        <v>62025</v>
      </c>
      <c r="X3298" s="203">
        <f>_xll.qlCalendarAdvance(Calendar,W3298,NDays&amp;"D")</f>
        <v>62029</v>
      </c>
      <c r="Y3298" s="204">
        <v>2.0501359093623665E-2</v>
      </c>
      <c r="Z3298" s="201">
        <v>2.0483146839467281E-2</v>
      </c>
    </row>
    <row r="3299" spans="22:26" x14ac:dyDescent="0.2">
      <c r="V3299" s="202" t="str">
        <f t="shared" si="60"/>
        <v>1w</v>
      </c>
      <c r="W3299" s="200">
        <f>_xll.qlCalendarAdvance(Calendar,W3298,V3299,"f",FALSE)</f>
        <v>62032</v>
      </c>
      <c r="X3299" s="203">
        <f>_xll.qlCalendarAdvance(Calendar,W3299,NDays&amp;"D")</f>
        <v>62036</v>
      </c>
      <c r="Y3299" s="204">
        <v>2.0501086744713959E-2</v>
      </c>
      <c r="Z3299" s="201">
        <v>2.0483483998088303E-2</v>
      </c>
    </row>
    <row r="3300" spans="22:26" x14ac:dyDescent="0.2">
      <c r="V3300" s="202" t="str">
        <f t="shared" si="60"/>
        <v>1w</v>
      </c>
      <c r="W3300" s="200">
        <f>_xll.qlCalendarAdvance(Calendar,W3299,V3300,"f",FALSE)</f>
        <v>62039</v>
      </c>
      <c r="X3300" s="203">
        <f>_xll.qlCalendarAdvance(Calendar,W3300,NDays&amp;"D")</f>
        <v>62043</v>
      </c>
      <c r="Y3300" s="204">
        <v>2.0501420367331491E-2</v>
      </c>
      <c r="Z3300" s="201">
        <v>2.0483819826413452E-2</v>
      </c>
    </row>
    <row r="3301" spans="22:26" x14ac:dyDescent="0.2">
      <c r="V3301" s="202" t="str">
        <f t="shared" si="60"/>
        <v>1w</v>
      </c>
      <c r="W3301" s="200">
        <f>_xll.qlCalendarAdvance(Calendar,W3300,V3301,"f",FALSE)</f>
        <v>62046</v>
      </c>
      <c r="X3301" s="203">
        <f>_xll.qlCalendarAdvance(Calendar,W3301,NDays&amp;"D")</f>
        <v>62050</v>
      </c>
      <c r="Y3301" s="204">
        <v>2.0501752657374972E-2</v>
      </c>
      <c r="Z3301" s="201">
        <v>2.0484154324522663E-2</v>
      </c>
    </row>
    <row r="3302" spans="22:26" x14ac:dyDescent="0.2">
      <c r="V3302" s="202" t="str">
        <f t="shared" si="60"/>
        <v>1w</v>
      </c>
      <c r="W3302" s="200">
        <f>_xll.qlCalendarAdvance(Calendar,W3301,V3302,"f",FALSE)</f>
        <v>62053</v>
      </c>
      <c r="X3302" s="203">
        <f>_xll.qlCalendarAdvance(Calendar,W3302,NDays&amp;"D")</f>
        <v>62057</v>
      </c>
      <c r="Y3302" s="204">
        <v>2.0503297628851891E-2</v>
      </c>
      <c r="Z3302" s="201">
        <v>2.0484487492176129E-2</v>
      </c>
    </row>
    <row r="3303" spans="22:26" x14ac:dyDescent="0.2">
      <c r="V3303" s="202" t="str">
        <f t="shared" si="60"/>
        <v>1w</v>
      </c>
      <c r="W3303" s="200">
        <f>_xll.qlCalendarAdvance(Calendar,W3302,V3303,"f",FALSE)</f>
        <v>62060</v>
      </c>
      <c r="X3303" s="203">
        <f>_xll.qlCalendarAdvance(Calendar,W3303,NDays&amp;"D")</f>
        <v>62064</v>
      </c>
      <c r="Y3303" s="204">
        <v>2.050302016242617E-2</v>
      </c>
      <c r="Z3303" s="201">
        <v>2.0484819329373849E-2</v>
      </c>
    </row>
    <row r="3304" spans="22:26" x14ac:dyDescent="0.2">
      <c r="V3304" s="202" t="str">
        <f t="shared" si="60"/>
        <v>1w</v>
      </c>
      <c r="W3304" s="200">
        <f>_xll.qlCalendarAdvance(Calendar,W3303,V3304,"f",FALSE)</f>
        <v>62067</v>
      </c>
      <c r="X3304" s="203">
        <f>_xll.qlCalendarAdvance(Calendar,W3304,NDays&amp;"D")</f>
        <v>62071</v>
      </c>
      <c r="Y3304" s="204">
        <v>2.0503348378226514E-2</v>
      </c>
      <c r="Z3304" s="201">
        <v>2.0485149836115824E-2</v>
      </c>
    </row>
    <row r="3305" spans="22:26" x14ac:dyDescent="0.2">
      <c r="V3305" s="202" t="str">
        <f t="shared" si="60"/>
        <v>1w</v>
      </c>
      <c r="W3305" s="200">
        <f>_xll.qlCalendarAdvance(Calendar,W3304,V3305,"f",FALSE)</f>
        <v>62074</v>
      </c>
      <c r="X3305" s="203">
        <f>_xll.qlCalendarAdvance(Calendar,W3305,NDays&amp;"D")</f>
        <v>62078</v>
      </c>
      <c r="Y3305" s="204">
        <v>2.0503675261374161E-2</v>
      </c>
      <c r="Z3305" s="201">
        <v>2.0485479012641861E-2</v>
      </c>
    </row>
    <row r="3306" spans="22:26" x14ac:dyDescent="0.2">
      <c r="V3306" s="202" t="str">
        <f t="shared" si="60"/>
        <v>1w</v>
      </c>
      <c r="W3306" s="200">
        <f>_xll.qlCalendarAdvance(Calendar,W3305,V3306,"f",FALSE)</f>
        <v>62081</v>
      </c>
      <c r="X3306" s="203">
        <f>_xll.qlCalendarAdvance(Calendar,W3306,NDays&amp;"D")</f>
        <v>62085</v>
      </c>
      <c r="Y3306" s="204">
        <v>2.0504000811863952E-2</v>
      </c>
      <c r="Z3306" s="201">
        <v>2.0485806858632216E-2</v>
      </c>
    </row>
    <row r="3307" spans="22:26" x14ac:dyDescent="0.2">
      <c r="V3307" s="202" t="str">
        <f t="shared" si="60"/>
        <v>1w</v>
      </c>
      <c r="W3307" s="200">
        <f>_xll.qlCalendarAdvance(Calendar,W3306,V3307,"f",FALSE)</f>
        <v>62089</v>
      </c>
      <c r="X3307" s="203">
        <f>_xll.qlCalendarAdvance(Calendar,W3307,NDays&amp;"D")</f>
        <v>62093</v>
      </c>
      <c r="Y3307" s="204">
        <v>2.0504371237750046E-2</v>
      </c>
      <c r="Z3307" s="201">
        <v>2.0486786060591733E-2</v>
      </c>
    </row>
    <row r="3308" spans="22:26" x14ac:dyDescent="0.2">
      <c r="V3308" s="202" t="str">
        <f t="shared" si="60"/>
        <v>1w</v>
      </c>
      <c r="W3308" s="200">
        <f>_xll.qlCalendarAdvance(Calendar,W3307,V3308,"f",FALSE)</f>
        <v>62096</v>
      </c>
      <c r="X3308" s="203">
        <f>_xll.qlCalendarAdvance(Calendar,W3308,NDays&amp;"D")</f>
        <v>62100</v>
      </c>
      <c r="Y3308" s="204">
        <v>2.0504693932555117E-2</v>
      </c>
      <c r="Z3308" s="201">
        <v>2.0486504906012115E-2</v>
      </c>
    </row>
    <row r="3309" spans="22:26" x14ac:dyDescent="0.2">
      <c r="V3309" s="202" t="str">
        <f t="shared" si="60"/>
        <v>1w</v>
      </c>
      <c r="W3309" s="200">
        <f>_xll.qlCalendarAdvance(Calendar,W3308,V3309,"f",FALSE)</f>
        <v>62103</v>
      </c>
      <c r="X3309" s="203">
        <f>_xll.qlCalendarAdvance(Calendar,W3309,NDays&amp;"D")</f>
        <v>62107</v>
      </c>
      <c r="Y3309" s="204">
        <v>2.0505015294707489E-2</v>
      </c>
      <c r="Z3309" s="201">
        <v>2.0486828570707161E-2</v>
      </c>
    </row>
    <row r="3310" spans="22:26" x14ac:dyDescent="0.2">
      <c r="V3310" s="202" t="str">
        <f t="shared" si="60"/>
        <v>1w</v>
      </c>
      <c r="W3310" s="200">
        <f>_xll.qlCalendarAdvance(Calendar,W3309,V3310,"f",FALSE)</f>
        <v>62110</v>
      </c>
      <c r="X3310" s="203">
        <f>_xll.qlCalendarAdvance(Calendar,W3310,NDays&amp;"D")</f>
        <v>62114</v>
      </c>
      <c r="Y3310" s="204">
        <v>2.0505335324207164E-2</v>
      </c>
      <c r="Z3310" s="201">
        <v>2.0487150905266205E-2</v>
      </c>
    </row>
    <row r="3311" spans="22:26" x14ac:dyDescent="0.2">
      <c r="V3311" s="202" t="str">
        <f t="shared" si="60"/>
        <v>1w</v>
      </c>
      <c r="W3311" s="200">
        <f>_xll.qlCalendarAdvance(Calendar,W3310,V3311,"f",FALSE)</f>
        <v>62117</v>
      </c>
      <c r="X3311" s="203">
        <f>_xll.qlCalendarAdvance(Calendar,W3311,NDays&amp;"D")</f>
        <v>62121</v>
      </c>
      <c r="Y3311" s="204">
        <v>2.0505654021051561E-2</v>
      </c>
      <c r="Z3311" s="201">
        <v>2.0487471909289567E-2</v>
      </c>
    </row>
    <row r="3312" spans="22:26" x14ac:dyDescent="0.2">
      <c r="V3312" s="202" t="str">
        <f t="shared" si="60"/>
        <v>1w</v>
      </c>
      <c r="W3312" s="200">
        <f>_xll.qlCalendarAdvance(Calendar,W3311,V3312,"f",FALSE)</f>
        <v>62124</v>
      </c>
      <c r="X3312" s="203">
        <f>_xll.qlCalendarAdvance(Calendar,W3312,NDays&amp;"D")</f>
        <v>62128</v>
      </c>
      <c r="Y3312" s="204">
        <v>2.0504152771038595E-2</v>
      </c>
      <c r="Z3312" s="201">
        <v>2.0487791582857184E-2</v>
      </c>
    </row>
    <row r="3313" spans="22:26" x14ac:dyDescent="0.2">
      <c r="V3313" s="202" t="str">
        <f t="shared" si="60"/>
        <v>1w</v>
      </c>
      <c r="W3313" s="200">
        <f>_xll.qlCalendarAdvance(Calendar,W3312,V3313,"f",FALSE)</f>
        <v>62131</v>
      </c>
      <c r="X3313" s="203">
        <f>_xll.qlCalendarAdvance(Calendar,W3313,NDays&amp;"D")</f>
        <v>62135</v>
      </c>
      <c r="Y3313" s="204">
        <v>2.0504469034140018E-2</v>
      </c>
      <c r="Z3313" s="201">
        <v>2.0488109926128928E-2</v>
      </c>
    </row>
    <row r="3314" spans="22:26" x14ac:dyDescent="0.2">
      <c r="V3314" s="202" t="str">
        <f t="shared" si="60"/>
        <v>1w</v>
      </c>
      <c r="W3314" s="200">
        <f>_xll.qlCalendarAdvance(Calendar,W3313,V3314,"f",FALSE)</f>
        <v>62138</v>
      </c>
      <c r="X3314" s="203">
        <f>_xll.qlCalendarAdvance(Calendar,W3314,NDays&amp;"D")</f>
        <v>62142</v>
      </c>
      <c r="Y3314" s="204">
        <v>2.0504783964812985E-2</v>
      </c>
      <c r="Z3314" s="201">
        <v>2.0488426939024862E-2</v>
      </c>
    </row>
    <row r="3315" spans="22:26" x14ac:dyDescent="0.2">
      <c r="V3315" s="202" t="str">
        <f t="shared" si="60"/>
        <v>1w</v>
      </c>
      <c r="W3315" s="200">
        <f>_xll.qlCalendarAdvance(Calendar,W3314,V3315,"f",FALSE)</f>
        <v>62145</v>
      </c>
      <c r="X3315" s="203">
        <f>_xll.qlCalendarAdvance(Calendar,W3315,NDays&amp;"D")</f>
        <v>62149</v>
      </c>
      <c r="Y3315" s="204">
        <v>2.0505097563063211E-2</v>
      </c>
      <c r="Z3315" s="201">
        <v>2.0488742621544986E-2</v>
      </c>
    </row>
    <row r="3316" spans="22:26" x14ac:dyDescent="0.2">
      <c r="V3316" s="202" t="str">
        <f t="shared" si="60"/>
        <v>1w</v>
      </c>
      <c r="W3316" s="200">
        <f>_xll.qlCalendarAdvance(Calendar,W3315,V3316,"f",FALSE)</f>
        <v>62152</v>
      </c>
      <c r="X3316" s="203">
        <f>_xll.qlCalendarAdvance(Calendar,W3316,NDays&amp;"D")</f>
        <v>62156</v>
      </c>
      <c r="Y3316" s="204">
        <v>2.0507227515452146E-2</v>
      </c>
      <c r="Z3316" s="201">
        <v>2.0489056973529429E-2</v>
      </c>
    </row>
    <row r="3317" spans="22:26" x14ac:dyDescent="0.2">
      <c r="V3317" s="202" t="str">
        <f t="shared" si="60"/>
        <v>1w</v>
      </c>
      <c r="W3317" s="200">
        <f>_xll.qlCalendarAdvance(Calendar,W3316,V3317,"f",FALSE)</f>
        <v>62159</v>
      </c>
      <c r="X3317" s="203">
        <f>_xll.qlCalendarAdvance(Calendar,W3317,NDays&amp;"D")</f>
        <v>62163</v>
      </c>
      <c r="Y3317" s="204">
        <v>2.0507538216370042E-2</v>
      </c>
      <c r="Z3317" s="201">
        <v>2.0489369995297935E-2</v>
      </c>
    </row>
    <row r="3318" spans="22:26" x14ac:dyDescent="0.2">
      <c r="V3318" s="202" t="str">
        <f t="shared" si="60"/>
        <v>1w</v>
      </c>
      <c r="W3318" s="200">
        <f>_xll.qlCalendarAdvance(Calendar,W3317,V3318,"f",FALSE)</f>
        <v>62166</v>
      </c>
      <c r="X3318" s="203">
        <f>_xll.qlCalendarAdvance(Calendar,W3318,NDays&amp;"D")</f>
        <v>62170</v>
      </c>
      <c r="Y3318" s="204">
        <v>2.0507847584632661E-2</v>
      </c>
      <c r="Z3318" s="201">
        <v>2.0489681686690631E-2</v>
      </c>
    </row>
    <row r="3319" spans="22:26" x14ac:dyDescent="0.2">
      <c r="V3319" s="202" t="str">
        <f t="shared" si="60"/>
        <v>1w</v>
      </c>
      <c r="W3319" s="200">
        <f>_xll.qlCalendarAdvance(Calendar,W3318,V3319,"f",FALSE)</f>
        <v>62173</v>
      </c>
      <c r="X3319" s="203">
        <f>_xll.qlCalendarAdvance(Calendar,W3319,NDays&amp;"D")</f>
        <v>62177</v>
      </c>
      <c r="Y3319" s="204">
        <v>2.0508155620232268E-2</v>
      </c>
      <c r="Z3319" s="201">
        <v>2.0489992047547645E-2</v>
      </c>
    </row>
    <row r="3320" spans="22:26" x14ac:dyDescent="0.2">
      <c r="V3320" s="202" t="str">
        <f t="shared" si="60"/>
        <v>1w</v>
      </c>
      <c r="W3320" s="200">
        <f>_xll.qlCalendarAdvance(Calendar,W3319,V3320,"f",FALSE)</f>
        <v>62184</v>
      </c>
      <c r="X3320" s="203">
        <f>_xll.qlCalendarAdvance(Calendar,W3320,NDays&amp;"D")</f>
        <v>62186</v>
      </c>
      <c r="Y3320" s="204">
        <v>2.0509155301853543E-2</v>
      </c>
      <c r="Z3320" s="201">
        <v>2.0490389128235975E-2</v>
      </c>
    </row>
    <row r="3321" spans="22:26" x14ac:dyDescent="0.2">
      <c r="V3321" s="202" t="str">
        <f t="shared" si="60"/>
        <v>1w</v>
      </c>
      <c r="W3321" s="200">
        <f>_xll.qlCalendarAdvance(Calendar,W3320,V3321,"f",FALSE)</f>
        <v>62191</v>
      </c>
      <c r="X3321" s="203">
        <f>_xll.qlCalendarAdvance(Calendar,W3321,NDays&amp;"D")</f>
        <v>62193</v>
      </c>
      <c r="Y3321" s="204">
        <v>2.0509460213554431E-2</v>
      </c>
      <c r="Z3321" s="201">
        <v>2.0490696448245416E-2</v>
      </c>
    </row>
    <row r="3322" spans="22:26" x14ac:dyDescent="0.2">
      <c r="V3322" s="202" t="str">
        <f t="shared" si="60"/>
        <v>1w</v>
      </c>
      <c r="W3322" s="200">
        <f>_xll.qlCalendarAdvance(Calendar,W3321,V3322,"f",FALSE)</f>
        <v>62198</v>
      </c>
      <c r="X3322" s="203">
        <f>_xll.qlCalendarAdvance(Calendar,W3322,NDays&amp;"D")</f>
        <v>62200</v>
      </c>
      <c r="Y3322" s="204">
        <v>2.0509763792523894E-2</v>
      </c>
      <c r="Z3322" s="201">
        <v>2.0491002437799111E-2</v>
      </c>
    </row>
    <row r="3323" spans="22:26" x14ac:dyDescent="0.2">
      <c r="V3323" s="202" t="str">
        <f t="shared" si="60"/>
        <v>1w</v>
      </c>
      <c r="W3323" s="200">
        <f>_xll.qlCalendarAdvance(Calendar,W3322,V3323,"f",FALSE)</f>
        <v>62205</v>
      </c>
      <c r="X3323" s="203">
        <f>_xll.qlCalendarAdvance(Calendar,W3323,NDays&amp;"D")</f>
        <v>62207</v>
      </c>
      <c r="Y3323" s="204">
        <v>2.0510066038761932E-2</v>
      </c>
      <c r="Z3323" s="201">
        <v>2.0491307096976996E-2</v>
      </c>
    </row>
    <row r="3324" spans="22:26" x14ac:dyDescent="0.2">
      <c r="V3324" s="202" t="str">
        <f t="shared" si="60"/>
        <v>1w</v>
      </c>
      <c r="W3324" s="200">
        <f>_xll.qlCalendarAdvance(Calendar,W3323,V3324,"f",FALSE)</f>
        <v>62212</v>
      </c>
      <c r="X3324" s="203">
        <f>_xll.qlCalendarAdvance(Calendar,W3324,NDays&amp;"D")</f>
        <v>62215</v>
      </c>
      <c r="Y3324" s="204">
        <v>2.0509804560050506E-2</v>
      </c>
      <c r="Z3324" s="201">
        <v>2.0492863275709539E-2</v>
      </c>
    </row>
    <row r="3325" spans="22:26" x14ac:dyDescent="0.2">
      <c r="V3325" s="202" t="str">
        <f t="shared" si="60"/>
        <v>1w</v>
      </c>
      <c r="W3325" s="200">
        <f>_xll.qlCalendarAdvance(Calendar,W3324,V3325,"f",FALSE)</f>
        <v>62219</v>
      </c>
      <c r="X3325" s="203">
        <f>_xll.qlCalendarAdvance(Calendar,W3325,NDays&amp;"D")</f>
        <v>62221</v>
      </c>
      <c r="Y3325" s="204">
        <v>2.0510666533048727E-2</v>
      </c>
      <c r="Z3325" s="201">
        <v>2.0491912424445147E-2</v>
      </c>
    </row>
    <row r="3326" spans="22:26" x14ac:dyDescent="0.2">
      <c r="V3326" s="202" t="str">
        <f t="shared" si="60"/>
        <v>1w</v>
      </c>
      <c r="W3326" s="200">
        <f>_xll.qlCalendarAdvance(Calendar,W3325,V3326,"f",FALSE)</f>
        <v>62226</v>
      </c>
      <c r="X3326" s="203">
        <f>_xll.qlCalendarAdvance(Calendar,W3326,NDays&amp;"D")</f>
        <v>62228</v>
      </c>
      <c r="Y3326" s="204">
        <v>2.0510964781094987E-2</v>
      </c>
      <c r="Z3326" s="201">
        <v>2.0492213092415668E-2</v>
      </c>
    </row>
    <row r="3327" spans="22:26" x14ac:dyDescent="0.2">
      <c r="V3327" s="202" t="str">
        <f t="shared" si="60"/>
        <v>1w</v>
      </c>
      <c r="W3327" s="200">
        <f>_xll.qlCalendarAdvance(Calendar,W3326,V3327,"f",FALSE)</f>
        <v>62233</v>
      </c>
      <c r="X3327" s="203">
        <f>_xll.qlCalendarAdvance(Calendar,W3327,NDays&amp;"D")</f>
        <v>62235</v>
      </c>
      <c r="Y3327" s="204">
        <v>2.0511261696409822E-2</v>
      </c>
      <c r="Z3327" s="201">
        <v>2.0492512430170251E-2</v>
      </c>
    </row>
    <row r="3328" spans="22:26" x14ac:dyDescent="0.2">
      <c r="V3328" s="202" t="str">
        <f t="shared" si="60"/>
        <v>1w</v>
      </c>
      <c r="W3328" s="200">
        <f>_xll.qlCalendarAdvance(Calendar,W3327,V3328,"f",FALSE)</f>
        <v>62240</v>
      </c>
      <c r="X3328" s="203">
        <f>_xll.qlCalendarAdvance(Calendar,W3328,NDays&amp;"D")</f>
        <v>62242</v>
      </c>
      <c r="Y3328" s="204">
        <v>2.0511557278990733E-2</v>
      </c>
      <c r="Z3328" s="201">
        <v>2.0492810437469089E-2</v>
      </c>
    </row>
    <row r="3329" spans="22:26" x14ac:dyDescent="0.2">
      <c r="V3329" s="202" t="str">
        <f t="shared" si="60"/>
        <v>1w</v>
      </c>
      <c r="W3329" s="200">
        <f>_xll.qlCalendarAdvance(Calendar,W3328,V3329,"f",FALSE)</f>
        <v>62247</v>
      </c>
      <c r="X3329" s="203">
        <f>_xll.qlCalendarAdvance(Calendar,W3329,NDays&amp;"D")</f>
        <v>62249</v>
      </c>
      <c r="Y3329" s="204">
        <v>2.0511851528840219E-2</v>
      </c>
      <c r="Z3329" s="201">
        <v>2.0493107114392117E-2</v>
      </c>
    </row>
    <row r="3330" spans="22:26" x14ac:dyDescent="0.2">
      <c r="V3330" s="202" t="str">
        <f t="shared" si="60"/>
        <v>1w</v>
      </c>
      <c r="W3330" s="200">
        <f>_xll.qlCalendarAdvance(Calendar,W3329,V3330,"f",FALSE)</f>
        <v>62254</v>
      </c>
      <c r="X3330" s="203">
        <f>_xll.qlCalendarAdvance(Calendar,W3330,NDays&amp;"D")</f>
        <v>62256</v>
      </c>
      <c r="Y3330" s="204">
        <v>2.051214444595828E-2</v>
      </c>
      <c r="Z3330" s="201">
        <v>2.0493402460939336E-2</v>
      </c>
    </row>
    <row r="3331" spans="22:26" x14ac:dyDescent="0.2">
      <c r="V3331" s="202" t="str">
        <f t="shared" si="60"/>
        <v>1w</v>
      </c>
      <c r="W3331" s="200">
        <f>_xll.qlCalendarAdvance(Calendar,W3330,V3331,"f",FALSE)</f>
        <v>62261</v>
      </c>
      <c r="X3331" s="203">
        <f>_xll.qlCalendarAdvance(Calendar,W3331,NDays&amp;"D")</f>
        <v>62263</v>
      </c>
      <c r="Y3331" s="204">
        <v>2.0512436030344916E-2</v>
      </c>
      <c r="Z3331" s="201">
        <v>2.0493696477110745E-2</v>
      </c>
    </row>
    <row r="3332" spans="22:26" x14ac:dyDescent="0.2">
      <c r="V3332" s="202" t="str">
        <f t="shared" si="60"/>
        <v>1w</v>
      </c>
      <c r="W3332" s="200">
        <f>_xll.qlCalendarAdvance(Calendar,W3331,V3332,"f",FALSE)</f>
        <v>62268</v>
      </c>
      <c r="X3332" s="203">
        <f>_xll.qlCalendarAdvance(Calendar,W3332,NDays&amp;"D")</f>
        <v>62270</v>
      </c>
      <c r="Y3332" s="204">
        <v>2.0512726281997629E-2</v>
      </c>
      <c r="Z3332" s="201">
        <v>2.0493989162826409E-2</v>
      </c>
    </row>
    <row r="3333" spans="22:26" x14ac:dyDescent="0.2">
      <c r="V3333" s="202" t="str">
        <f t="shared" si="60"/>
        <v>1w</v>
      </c>
      <c r="W3333" s="200">
        <f>_xll.qlCalendarAdvance(Calendar,W3332,V3333,"f",FALSE)</f>
        <v>62275</v>
      </c>
      <c r="X3333" s="203">
        <f>_xll.qlCalendarAdvance(Calendar,W3333,NDays&amp;"D")</f>
        <v>62277</v>
      </c>
      <c r="Y3333" s="204">
        <v>2.0513015200921414E-2</v>
      </c>
      <c r="Z3333" s="201">
        <v>2.0494280518086327E-2</v>
      </c>
    </row>
    <row r="3334" spans="22:26" x14ac:dyDescent="0.2">
      <c r="V3334" s="202" t="str">
        <f t="shared" si="60"/>
        <v>1w</v>
      </c>
      <c r="W3334" s="200">
        <f>_xll.qlCalendarAdvance(Calendar,W3333,V3334,"f",FALSE)</f>
        <v>62282</v>
      </c>
      <c r="X3334" s="203">
        <f>_xll.qlCalendarAdvance(Calendar,W3334,NDays&amp;"D")</f>
        <v>62284</v>
      </c>
      <c r="Y3334" s="204">
        <v>2.0513302787111276E-2</v>
      </c>
      <c r="Z3334" s="201">
        <v>2.0494570543210244E-2</v>
      </c>
    </row>
    <row r="3335" spans="22:26" x14ac:dyDescent="0.2">
      <c r="V3335" s="202" t="str">
        <f t="shared" si="60"/>
        <v>1w</v>
      </c>
      <c r="W3335" s="200">
        <f>_xll.qlCalendarAdvance(Calendar,W3334,V3335,"f",FALSE)</f>
        <v>62289</v>
      </c>
      <c r="X3335" s="203">
        <f>_xll.qlCalendarAdvance(Calendar,W3335,NDays&amp;"D")</f>
        <v>62291</v>
      </c>
      <c r="Y3335" s="204">
        <v>2.0513589040567215E-2</v>
      </c>
      <c r="Z3335" s="201">
        <v>2.0494859237718543E-2</v>
      </c>
    </row>
    <row r="3336" spans="22:26" x14ac:dyDescent="0.2">
      <c r="V3336" s="202" t="str">
        <f t="shared" si="60"/>
        <v>1w</v>
      </c>
      <c r="W3336" s="200">
        <f>_xll.qlCalendarAdvance(Calendar,W3335,V3336,"f",FALSE)</f>
        <v>62296</v>
      </c>
      <c r="X3336" s="203">
        <f>_xll.qlCalendarAdvance(Calendar,W3336,NDays&amp;"D")</f>
        <v>62298</v>
      </c>
      <c r="Y3336" s="204">
        <v>2.0513873961294227E-2</v>
      </c>
      <c r="Z3336" s="201">
        <v>2.0495146601851033E-2</v>
      </c>
    </row>
    <row r="3337" spans="22:26" x14ac:dyDescent="0.2">
      <c r="V3337" s="202" t="str">
        <f t="shared" si="60"/>
        <v>1w</v>
      </c>
      <c r="W3337" s="200">
        <f>_xll.qlCalendarAdvance(Calendar,W3336,V3337,"f",FALSE)</f>
        <v>62303</v>
      </c>
      <c r="X3337" s="203">
        <f>_xll.qlCalendarAdvance(Calendar,W3337,NDays&amp;"D")</f>
        <v>62305</v>
      </c>
      <c r="Y3337" s="204">
        <v>2.0512344813861411E-2</v>
      </c>
      <c r="Z3337" s="201">
        <v>2.0495432635687649E-2</v>
      </c>
    </row>
    <row r="3338" spans="22:26" x14ac:dyDescent="0.2">
      <c r="V3338" s="202" t="str">
        <f t="shared" si="60"/>
        <v>1w</v>
      </c>
      <c r="W3338" s="200">
        <f>_xll.qlCalendarAdvance(Calendar,W3337,V3338,"f",FALSE)</f>
        <v>62310</v>
      </c>
      <c r="X3338" s="203">
        <f>_xll.qlCalendarAdvance(Calendar,W3338,NDays&amp;"D")</f>
        <v>62312</v>
      </c>
      <c r="Y3338" s="204">
        <v>2.051443980454648E-2</v>
      </c>
      <c r="Z3338" s="201">
        <v>2.0495717339148456E-2</v>
      </c>
    </row>
    <row r="3339" spans="22:26" x14ac:dyDescent="0.2">
      <c r="V3339" s="202" t="str">
        <f t="shared" si="60"/>
        <v>1w</v>
      </c>
      <c r="W3339" s="200">
        <f>_xll.qlCalendarAdvance(Calendar,W3338,V3339,"f",FALSE)</f>
        <v>62317</v>
      </c>
      <c r="X3339" s="203">
        <f>_xll.qlCalendarAdvance(Calendar,W3339,NDays&amp;"D")</f>
        <v>62319</v>
      </c>
      <c r="Y3339" s="204">
        <v>2.0514720727071722E-2</v>
      </c>
      <c r="Z3339" s="201">
        <v>2.0496000712153517E-2</v>
      </c>
    </row>
    <row r="3340" spans="22:26" x14ac:dyDescent="0.2">
      <c r="V3340" s="202" t="str">
        <f t="shared" si="60"/>
        <v>1w</v>
      </c>
      <c r="W3340" s="200">
        <f>_xll.qlCalendarAdvance(Calendar,W3339,V3340,"f",FALSE)</f>
        <v>62324</v>
      </c>
      <c r="X3340" s="203">
        <f>_xll.qlCalendarAdvance(Calendar,W3340,NDays&amp;"D")</f>
        <v>62326</v>
      </c>
      <c r="Y3340" s="204">
        <v>2.0515000316863041E-2</v>
      </c>
      <c r="Z3340" s="201">
        <v>2.0496282754702833E-2</v>
      </c>
    </row>
    <row r="3341" spans="22:26" x14ac:dyDescent="0.2">
      <c r="V3341" s="202" t="str">
        <f t="shared" si="60"/>
        <v>1w</v>
      </c>
      <c r="W3341" s="200">
        <f>_xll.qlCalendarAdvance(Calendar,W3340,V3341,"f",FALSE)</f>
        <v>62331</v>
      </c>
      <c r="X3341" s="203">
        <f>_xll.qlCalendarAdvance(Calendar,W3341,NDays&amp;"D")</f>
        <v>62333</v>
      </c>
      <c r="Y3341" s="204">
        <v>2.0515278573925433E-2</v>
      </c>
      <c r="Z3341" s="201">
        <v>2.0496563466956275E-2</v>
      </c>
    </row>
    <row r="3342" spans="22:26" x14ac:dyDescent="0.2">
      <c r="V3342" s="202" t="str">
        <f t="shared" si="60"/>
        <v>1w</v>
      </c>
      <c r="W3342" s="200">
        <f>_xll.qlCalendarAdvance(Calendar,W3341,V3342,"f",FALSE)</f>
        <v>62338</v>
      </c>
      <c r="X3342" s="203">
        <f>_xll.qlCalendarAdvance(Calendar,W3342,NDays&amp;"D")</f>
        <v>62340</v>
      </c>
      <c r="Y3342" s="204">
        <v>2.0515555498253901E-2</v>
      </c>
      <c r="Z3342" s="201">
        <v>2.0496842848833907E-2</v>
      </c>
    </row>
    <row r="3343" spans="22:26" x14ac:dyDescent="0.2">
      <c r="V3343" s="202" t="str">
        <f t="shared" si="60"/>
        <v>1w</v>
      </c>
      <c r="W3343" s="200">
        <f>_xll.qlCalendarAdvance(Calendar,W3342,V3343,"f",FALSE)</f>
        <v>62345</v>
      </c>
      <c r="X3343" s="203">
        <f>_xll.qlCalendarAdvance(Calendar,W3343,NDays&amp;"D")</f>
        <v>62347</v>
      </c>
      <c r="Y3343" s="204">
        <v>2.0515831089845948E-2</v>
      </c>
      <c r="Z3343" s="201">
        <v>2.0497120900255794E-2</v>
      </c>
    </row>
    <row r="3344" spans="22:26" x14ac:dyDescent="0.2">
      <c r="V3344" s="202" t="str">
        <f t="shared" si="60"/>
        <v>1w</v>
      </c>
      <c r="W3344" s="200">
        <f>_xll.qlCalendarAdvance(Calendar,W3343,V3344,"f",FALSE)</f>
        <v>62352</v>
      </c>
      <c r="X3344" s="203">
        <f>_xll.qlCalendarAdvance(Calendar,W3344,NDays&amp;"D")</f>
        <v>62354</v>
      </c>
      <c r="Y3344" s="204">
        <v>2.051610534870657E-2</v>
      </c>
      <c r="Z3344" s="201">
        <v>2.0497397621301872E-2</v>
      </c>
    </row>
    <row r="3345" spans="22:26" x14ac:dyDescent="0.2">
      <c r="V3345" s="202" t="str">
        <f t="shared" si="60"/>
        <v>1w</v>
      </c>
      <c r="W3345" s="200">
        <f>_xll.qlCalendarAdvance(Calendar,W3344,V3345,"f",FALSE)</f>
        <v>62359</v>
      </c>
      <c r="X3345" s="203">
        <f>_xll.qlCalendarAdvance(Calendar,W3345,NDays&amp;"D")</f>
        <v>62361</v>
      </c>
      <c r="Y3345" s="204">
        <v>2.0516378274835767E-2</v>
      </c>
      <c r="Z3345" s="201">
        <v>2.0497673012132012E-2</v>
      </c>
    </row>
    <row r="3346" spans="22:26" x14ac:dyDescent="0.2">
      <c r="V3346" s="202" t="str">
        <f t="shared" si="60"/>
        <v>1w</v>
      </c>
      <c r="W3346" s="200">
        <f>_xll.qlCalendarAdvance(Calendar,W3345,V3346,"f",FALSE)</f>
        <v>62366</v>
      </c>
      <c r="X3346" s="203">
        <f>_xll.qlCalendarAdvance(Calendar,W3346,NDays&amp;"D")</f>
        <v>62368</v>
      </c>
      <c r="Y3346" s="204">
        <v>2.0516649868231041E-2</v>
      </c>
      <c r="Z3346" s="201">
        <v>2.049794707242647E-2</v>
      </c>
    </row>
    <row r="3347" spans="22:26" x14ac:dyDescent="0.2">
      <c r="V3347" s="202" t="str">
        <f t="shared" si="60"/>
        <v>1w</v>
      </c>
      <c r="W3347" s="200">
        <f>_xll.qlCalendarAdvance(Calendar,W3346,V3347,"f",FALSE)</f>
        <v>62373</v>
      </c>
      <c r="X3347" s="203">
        <f>_xll.qlCalendarAdvance(Calendar,W3347,NDays&amp;"D")</f>
        <v>62375</v>
      </c>
      <c r="Y3347" s="204">
        <v>2.0516920128889893E-2</v>
      </c>
      <c r="Z3347" s="201">
        <v>2.0498219802265183E-2</v>
      </c>
    </row>
    <row r="3348" spans="22:26" x14ac:dyDescent="0.2">
      <c r="V3348" s="202" t="str">
        <f t="shared" si="60"/>
        <v>1w</v>
      </c>
      <c r="W3348" s="200">
        <f>_xll.qlCalendarAdvance(Calendar,W3347,V3348,"f",FALSE)</f>
        <v>62380</v>
      </c>
      <c r="X3348" s="203">
        <f>_xll.qlCalendarAdvance(Calendar,W3348,NDays&amp;"D")</f>
        <v>62382</v>
      </c>
      <c r="Y3348" s="204">
        <v>2.0517189056814822E-2</v>
      </c>
      <c r="Z3348" s="201">
        <v>2.049849120164815E-2</v>
      </c>
    </row>
    <row r="3349" spans="22:26" x14ac:dyDescent="0.2">
      <c r="V3349" s="202" t="str">
        <f t="shared" ref="V3349:V3412" si="61">V3348</f>
        <v>1w</v>
      </c>
      <c r="W3349" s="200">
        <f>_xll.qlCalendarAdvance(Calendar,W3348,V3349,"f",FALSE)</f>
        <v>62387</v>
      </c>
      <c r="X3349" s="203">
        <f>_xll.qlCalendarAdvance(Calendar,W3349,NDays&amp;"D")</f>
        <v>62389</v>
      </c>
      <c r="Y3349" s="204">
        <v>2.0517456652010824E-2</v>
      </c>
      <c r="Z3349" s="201">
        <v>2.0498761270975052E-2</v>
      </c>
    </row>
    <row r="3350" spans="22:26" x14ac:dyDescent="0.2">
      <c r="V3350" s="202" t="str">
        <f t="shared" si="61"/>
        <v>1w</v>
      </c>
      <c r="W3350" s="200">
        <f>_xll.qlCalendarAdvance(Calendar,W3349,V3350,"f",FALSE)</f>
        <v>62394</v>
      </c>
      <c r="X3350" s="203">
        <f>_xll.qlCalendarAdvance(Calendar,W3350,NDays&amp;"D")</f>
        <v>62396</v>
      </c>
      <c r="Y3350" s="204">
        <v>2.0515913282077504E-2</v>
      </c>
      <c r="Z3350" s="201">
        <v>2.04990300096064E-2</v>
      </c>
    </row>
    <row r="3351" spans="22:26" x14ac:dyDescent="0.2">
      <c r="V3351" s="202" t="str">
        <f t="shared" si="61"/>
        <v>1w</v>
      </c>
      <c r="W3351" s="200">
        <f>_xll.qlCalendarAdvance(Calendar,W3350,V3351,"f",FALSE)</f>
        <v>62401</v>
      </c>
      <c r="X3351" s="203">
        <f>_xll.qlCalendarAdvance(Calendar,W3351,NDays&amp;"D")</f>
        <v>62403</v>
      </c>
      <c r="Y3351" s="204">
        <v>2.0517987844193564E-2</v>
      </c>
      <c r="Z3351" s="201">
        <v>2.0499297418021811E-2</v>
      </c>
    </row>
    <row r="3352" spans="22:26" x14ac:dyDescent="0.2">
      <c r="V3352" s="202" t="str">
        <f t="shared" si="61"/>
        <v>1w</v>
      </c>
      <c r="W3352" s="200">
        <f>_xll.qlCalendarAdvance(Calendar,W3351,V3352,"f",FALSE)</f>
        <v>62408</v>
      </c>
      <c r="X3352" s="203">
        <f>_xll.qlCalendarAdvance(Calendar,W3352,NDays&amp;"D")</f>
        <v>62410</v>
      </c>
      <c r="Y3352" s="204">
        <v>2.0518251441185298E-2</v>
      </c>
      <c r="Z3352" s="201">
        <v>2.0499563495981477E-2</v>
      </c>
    </row>
    <row r="3353" spans="22:26" x14ac:dyDescent="0.2">
      <c r="V3353" s="202" t="str">
        <f t="shared" si="61"/>
        <v>1w</v>
      </c>
      <c r="W3353" s="200">
        <f>_xll.qlCalendarAdvance(Calendar,W3352,V3353,"f",FALSE)</f>
        <v>62415</v>
      </c>
      <c r="X3353" s="203">
        <f>_xll.qlCalendarAdvance(Calendar,W3353,NDays&amp;"D")</f>
        <v>62417</v>
      </c>
      <c r="Y3353" s="204">
        <v>2.0518513705443109E-2</v>
      </c>
      <c r="Z3353" s="201">
        <v>2.049982824340546E-2</v>
      </c>
    </row>
    <row r="3354" spans="22:26" x14ac:dyDescent="0.2">
      <c r="V3354" s="202" t="str">
        <f t="shared" si="61"/>
        <v>1w</v>
      </c>
      <c r="W3354" s="200">
        <f>_xll.qlCalendarAdvance(Calendar,W3353,V3354,"f",FALSE)</f>
        <v>62422</v>
      </c>
      <c r="X3354" s="203">
        <f>_xll.qlCalendarAdvance(Calendar,W3354,NDays&amp;"D")</f>
        <v>62424</v>
      </c>
      <c r="Y3354" s="204">
        <v>2.0518774636966997E-2</v>
      </c>
      <c r="Z3354" s="201">
        <v>2.0500091660693442E-2</v>
      </c>
    </row>
    <row r="3355" spans="22:26" x14ac:dyDescent="0.2">
      <c r="V3355" s="202" t="str">
        <f t="shared" si="61"/>
        <v>1w</v>
      </c>
      <c r="W3355" s="200">
        <f>_xll.qlCalendarAdvance(Calendar,W3354,V3355,"f",FALSE)</f>
        <v>62429</v>
      </c>
      <c r="X3355" s="203">
        <f>_xll.qlCalendarAdvance(Calendar,W3355,NDays&amp;"D")</f>
        <v>62431</v>
      </c>
      <c r="Y3355" s="204">
        <v>2.0519034235754463E-2</v>
      </c>
      <c r="Z3355" s="201">
        <v>2.0500353747445743E-2</v>
      </c>
    </row>
    <row r="3356" spans="22:26" x14ac:dyDescent="0.2">
      <c r="V3356" s="202" t="str">
        <f t="shared" si="61"/>
        <v>1w</v>
      </c>
      <c r="W3356" s="200">
        <f>_xll.qlCalendarAdvance(Calendar,W3355,V3356,"f",FALSE)</f>
        <v>62436</v>
      </c>
      <c r="X3356" s="203">
        <f>_xll.qlCalendarAdvance(Calendar,W3356,NDays&amp;"D")</f>
        <v>62438</v>
      </c>
      <c r="Y3356" s="204">
        <v>2.0519292501808006E-2</v>
      </c>
      <c r="Z3356" s="201">
        <v>2.050061450390217E-2</v>
      </c>
    </row>
    <row r="3357" spans="22:26" x14ac:dyDescent="0.2">
      <c r="V3357" s="202" t="str">
        <f t="shared" si="61"/>
        <v>1w</v>
      </c>
      <c r="W3357" s="200">
        <f>_xll.qlCalendarAdvance(Calendar,W3356,V3357,"f",FALSE)</f>
        <v>62443</v>
      </c>
      <c r="X3357" s="203">
        <f>_xll.qlCalendarAdvance(Calendar,W3357,NDays&amp;"D")</f>
        <v>62445</v>
      </c>
      <c r="Y3357" s="204">
        <v>2.0519549435127626E-2</v>
      </c>
      <c r="Z3357" s="201">
        <v>2.0500873929902852E-2</v>
      </c>
    </row>
    <row r="3358" spans="22:26" x14ac:dyDescent="0.2">
      <c r="V3358" s="202" t="str">
        <f t="shared" si="61"/>
        <v>1w</v>
      </c>
      <c r="W3358" s="200">
        <f>_xll.qlCalendarAdvance(Calendar,W3357,V3358,"f",FALSE)</f>
        <v>62450</v>
      </c>
      <c r="X3358" s="203">
        <f>_xll.qlCalendarAdvance(Calendar,W3358,NDays&amp;"D")</f>
        <v>62456</v>
      </c>
      <c r="Y3358" s="204">
        <v>2.0519347957815452E-2</v>
      </c>
      <c r="Z3358" s="201">
        <v>2.050127891131126E-2</v>
      </c>
    </row>
    <row r="3359" spans="22:26" x14ac:dyDescent="0.2">
      <c r="V3359" s="202" t="str">
        <f t="shared" si="61"/>
        <v>1w</v>
      </c>
      <c r="W3359" s="200">
        <f>_xll.qlCalendarAdvance(Calendar,W3358,V3359,"f",FALSE)</f>
        <v>62457</v>
      </c>
      <c r="X3359" s="203">
        <f>_xll.qlCalendarAdvance(Calendar,W3359,NDays&amp;"D")</f>
        <v>62460</v>
      </c>
      <c r="Y3359" s="204">
        <v>2.0519493027879802E-2</v>
      </c>
      <c r="Z3359" s="201">
        <v>2.0502629448566623E-2</v>
      </c>
    </row>
    <row r="3360" spans="22:26" x14ac:dyDescent="0.2">
      <c r="V3360" s="202" t="str">
        <f t="shared" si="61"/>
        <v>1w</v>
      </c>
      <c r="W3360" s="200">
        <f>_xll.qlCalendarAdvance(Calendar,W3359,V3360,"f",FALSE)</f>
        <v>62464</v>
      </c>
      <c r="X3360" s="203">
        <f>_xll.qlCalendarAdvance(Calendar,W3360,NDays&amp;"D")</f>
        <v>62466</v>
      </c>
      <c r="Y3360" s="204">
        <v>2.0520312238677951E-2</v>
      </c>
      <c r="Z3360" s="201">
        <v>2.0501644225570104E-2</v>
      </c>
    </row>
    <row r="3361" spans="22:26" x14ac:dyDescent="0.2">
      <c r="V3361" s="202" t="str">
        <f t="shared" si="61"/>
        <v>1w</v>
      </c>
      <c r="W3361" s="200">
        <f>_xll.qlCalendarAdvance(Calendar,W3360,V3361,"f",FALSE)</f>
        <v>62471</v>
      </c>
      <c r="X3361" s="203">
        <f>_xll.qlCalendarAdvance(Calendar,W3361,NDays&amp;"D")</f>
        <v>62473</v>
      </c>
      <c r="Y3361" s="204">
        <v>2.0520563841054384E-2</v>
      </c>
      <c r="Z3361" s="201">
        <v>2.0501898329987611E-2</v>
      </c>
    </row>
    <row r="3362" spans="22:26" x14ac:dyDescent="0.2">
      <c r="V3362" s="202" t="str">
        <f t="shared" si="61"/>
        <v>1w</v>
      </c>
      <c r="W3362" s="200">
        <f>_xll.qlCalendarAdvance(Calendar,W3361,V3362,"f",FALSE)</f>
        <v>62478</v>
      </c>
      <c r="X3362" s="203">
        <f>_xll.qlCalendarAdvance(Calendar,W3362,NDays&amp;"D")</f>
        <v>62480</v>
      </c>
      <c r="Y3362" s="204">
        <v>2.052081411070189E-2</v>
      </c>
      <c r="Z3362" s="201">
        <v>2.0502151104029309E-2</v>
      </c>
    </row>
    <row r="3363" spans="22:26" x14ac:dyDescent="0.2">
      <c r="V3363" s="202" t="str">
        <f t="shared" si="61"/>
        <v>1w</v>
      </c>
      <c r="W3363" s="200">
        <f>_xll.qlCalendarAdvance(Calendar,W3362,V3363,"f",FALSE)</f>
        <v>62485</v>
      </c>
      <c r="X3363" s="203">
        <f>_xll.qlCalendarAdvance(Calendar,W3363,NDays&amp;"D")</f>
        <v>62487</v>
      </c>
      <c r="Y3363" s="204">
        <v>2.05192565566285E-2</v>
      </c>
      <c r="Z3363" s="201">
        <v>2.0502402547695198E-2</v>
      </c>
    </row>
    <row r="3364" spans="22:26" x14ac:dyDescent="0.2">
      <c r="V3364" s="202" t="str">
        <f t="shared" si="61"/>
        <v>1w</v>
      </c>
      <c r="W3364" s="200">
        <f>_xll.qlCalendarAdvance(Calendar,W3363,V3364,"f",FALSE)</f>
        <v>62492</v>
      </c>
      <c r="X3364" s="203">
        <f>_xll.qlCalendarAdvance(Calendar,W3364,NDays&amp;"D")</f>
        <v>62494</v>
      </c>
      <c r="Y3364" s="204">
        <v>2.0518902351723982E-2</v>
      </c>
      <c r="Z3364" s="201">
        <v>2.0502652660985277E-2</v>
      </c>
    </row>
    <row r="3365" spans="22:26" x14ac:dyDescent="0.2">
      <c r="V3365" s="202" t="str">
        <f t="shared" si="61"/>
        <v>1w</v>
      </c>
      <c r="W3365" s="200">
        <f>_xll.qlCalendarAdvance(Calendar,W3364,V3365,"f",FALSE)</f>
        <v>62499</v>
      </c>
      <c r="X3365" s="203">
        <f>_xll.qlCalendarAdvance(Calendar,W3365,NDays&amp;"D")</f>
        <v>62501</v>
      </c>
      <c r="Y3365" s="204">
        <v>2.0519148947764711E-2</v>
      </c>
      <c r="Z3365" s="201">
        <v>2.0502901443899546E-2</v>
      </c>
    </row>
    <row r="3366" spans="22:26" x14ac:dyDescent="0.2">
      <c r="V3366" s="202" t="str">
        <f t="shared" si="61"/>
        <v>1w</v>
      </c>
      <c r="W3366" s="200">
        <f>_xll.qlCalendarAdvance(Calendar,W3365,V3366,"f",FALSE)</f>
        <v>62506</v>
      </c>
      <c r="X3366" s="203">
        <f>_xll.qlCalendarAdvance(Calendar,W3366,NDays&amp;"D")</f>
        <v>62508</v>
      </c>
      <c r="Y3366" s="204">
        <v>2.0519394211368423E-2</v>
      </c>
      <c r="Z3366" s="201">
        <v>2.050314889635807E-2</v>
      </c>
    </row>
    <row r="3367" spans="22:26" x14ac:dyDescent="0.2">
      <c r="V3367" s="202" t="str">
        <f t="shared" si="61"/>
        <v>1w</v>
      </c>
      <c r="W3367" s="200">
        <f>_xll.qlCalendarAdvance(Calendar,W3366,V3367,"f",FALSE)</f>
        <v>62513</v>
      </c>
      <c r="X3367" s="203">
        <f>_xll.qlCalendarAdvance(Calendar,W3367,NDays&amp;"D")</f>
        <v>62515</v>
      </c>
      <c r="Y3367" s="204">
        <v>2.0519638142540826E-2</v>
      </c>
      <c r="Z3367" s="201">
        <v>2.0503395018440784E-2</v>
      </c>
    </row>
    <row r="3368" spans="22:26" x14ac:dyDescent="0.2">
      <c r="V3368" s="202" t="str">
        <f t="shared" si="61"/>
        <v>1w</v>
      </c>
      <c r="W3368" s="200">
        <f>_xll.qlCalendarAdvance(Calendar,W3367,V3368,"f",FALSE)</f>
        <v>62520</v>
      </c>
      <c r="X3368" s="203">
        <f>_xll.qlCalendarAdvance(Calendar,W3368,NDays&amp;"D")</f>
        <v>62522</v>
      </c>
      <c r="Y3368" s="204">
        <v>2.0522287741129575E-2</v>
      </c>
      <c r="Z3368" s="201">
        <v>2.0503639810227625E-2</v>
      </c>
    </row>
    <row r="3369" spans="22:26" x14ac:dyDescent="0.2">
      <c r="V3369" s="202" t="str">
        <f t="shared" si="61"/>
        <v>1w</v>
      </c>
      <c r="W3369" s="200">
        <f>_xll.qlCalendarAdvance(Calendar,W3368,V3369,"f",FALSE)</f>
        <v>62527</v>
      </c>
      <c r="X3369" s="203">
        <f>_xll.qlCalendarAdvance(Calendar,W3369,NDays&amp;"D")</f>
        <v>62529</v>
      </c>
      <c r="Y3369" s="204">
        <v>2.0522528681627128E-2</v>
      </c>
      <c r="Z3369" s="201">
        <v>2.050388327155872E-2</v>
      </c>
    </row>
    <row r="3370" spans="22:26" x14ac:dyDescent="0.2">
      <c r="V3370" s="202" t="str">
        <f t="shared" si="61"/>
        <v>1w</v>
      </c>
      <c r="W3370" s="200">
        <f>_xll.qlCalendarAdvance(Calendar,W3369,V3370,"f",FALSE)</f>
        <v>62534</v>
      </c>
      <c r="X3370" s="203">
        <f>_xll.qlCalendarAdvance(Calendar,W3370,NDays&amp;"D")</f>
        <v>62536</v>
      </c>
      <c r="Y3370" s="204">
        <v>2.0523369914052288E-2</v>
      </c>
      <c r="Z3370" s="201">
        <v>2.050412540243407E-2</v>
      </c>
    </row>
    <row r="3371" spans="22:26" x14ac:dyDescent="0.2">
      <c r="V3371" s="202" t="str">
        <f t="shared" si="61"/>
        <v>1w</v>
      </c>
      <c r="W3371" s="200">
        <f>_xll.qlCalendarAdvance(Calendar,W3370,V3371,"f",FALSE)</f>
        <v>62541</v>
      </c>
      <c r="X3371" s="203">
        <f>_xll.qlCalendarAdvance(Calendar,W3371,NDays&amp;"D")</f>
        <v>62543</v>
      </c>
      <c r="Y3371" s="204">
        <v>2.0523006564420465E-2</v>
      </c>
      <c r="Z3371" s="201">
        <v>2.0504366203093483E-2</v>
      </c>
    </row>
    <row r="3372" spans="22:26" x14ac:dyDescent="0.2">
      <c r="V3372" s="202" t="str">
        <f t="shared" si="61"/>
        <v>1w</v>
      </c>
      <c r="W3372" s="200">
        <f>_xll.qlCalendarAdvance(Calendar,W3371,V3372,"f",FALSE)</f>
        <v>62548</v>
      </c>
      <c r="X3372" s="203">
        <f>_xll.qlCalendarAdvance(Calendar,W3372,NDays&amp;"D")</f>
        <v>62550</v>
      </c>
      <c r="Y3372" s="204">
        <v>2.0523243506708755E-2</v>
      </c>
      <c r="Z3372" s="201">
        <v>2.0504605673217213E-2</v>
      </c>
    </row>
    <row r="3373" spans="22:26" x14ac:dyDescent="0.2">
      <c r="V3373" s="202" t="str">
        <f t="shared" si="61"/>
        <v>1w</v>
      </c>
      <c r="W3373" s="200">
        <f>_xll.qlCalendarAdvance(Calendar,W3372,V3373,"f",FALSE)</f>
        <v>62555</v>
      </c>
      <c r="X3373" s="203">
        <f>_xll.qlCalendarAdvance(Calendar,W3373,NDays&amp;"D")</f>
        <v>62557</v>
      </c>
      <c r="Y3373" s="204">
        <v>2.0523479116260623E-2</v>
      </c>
      <c r="Z3373" s="201">
        <v>2.0504843812885198E-2</v>
      </c>
    </row>
    <row r="3374" spans="22:26" x14ac:dyDescent="0.2">
      <c r="V3374" s="202" t="str">
        <f t="shared" si="61"/>
        <v>1w</v>
      </c>
      <c r="W3374" s="200">
        <f>_xll.qlCalendarAdvance(Calendar,W3373,V3374,"f",FALSE)</f>
        <v>62562</v>
      </c>
      <c r="X3374" s="203">
        <f>_xll.qlCalendarAdvance(Calendar,W3374,NDays&amp;"D")</f>
        <v>62564</v>
      </c>
      <c r="Y3374" s="204">
        <v>2.0523713393081067E-2</v>
      </c>
      <c r="Z3374" s="201">
        <v>2.0507484038699175E-2</v>
      </c>
    </row>
    <row r="3375" spans="22:26" x14ac:dyDescent="0.2">
      <c r="V3375" s="202" t="str">
        <f t="shared" si="61"/>
        <v>1w</v>
      </c>
      <c r="W3375" s="200">
        <f>_xll.qlCalendarAdvance(Calendar,W3374,V3375,"f",FALSE)</f>
        <v>62569</v>
      </c>
      <c r="X3375" s="203">
        <f>_xll.qlCalendarAdvance(Calendar,W3375,NDays&amp;"D")</f>
        <v>62571</v>
      </c>
      <c r="Y3375" s="204">
        <v>2.0523946337165089E-2</v>
      </c>
      <c r="Z3375" s="201">
        <v>2.0505316101413484E-2</v>
      </c>
    </row>
    <row r="3376" spans="22:26" x14ac:dyDescent="0.2">
      <c r="V3376" s="202" t="str">
        <f t="shared" si="61"/>
        <v>1w</v>
      </c>
      <c r="W3376" s="200">
        <f>_xll.qlCalendarAdvance(Calendar,W3375,V3376,"f",FALSE)</f>
        <v>62576</v>
      </c>
      <c r="X3376" s="203">
        <f>_xll.qlCalendarAdvance(Calendar,W3376,NDays&amp;"D")</f>
        <v>62578</v>
      </c>
      <c r="Y3376" s="204">
        <v>2.0522374637329723E-2</v>
      </c>
      <c r="Z3376" s="201">
        <v>2.0507352299623527E-2</v>
      </c>
    </row>
    <row r="3377" spans="22:26" x14ac:dyDescent="0.2">
      <c r="V3377" s="202" t="str">
        <f t="shared" si="61"/>
        <v>1w</v>
      </c>
      <c r="W3377" s="200">
        <f>_xll.qlCalendarAdvance(Calendar,W3376,V3377,"f",FALSE)</f>
        <v>62583</v>
      </c>
      <c r="X3377" s="203">
        <f>_xll.qlCalendarAdvance(Calendar,W3377,NDays&amp;"D")</f>
        <v>62585</v>
      </c>
      <c r="Y3377" s="204">
        <v>2.0524408227116375E-2</v>
      </c>
      <c r="Z3377" s="201">
        <v>2.0505783068118788E-2</v>
      </c>
    </row>
    <row r="3378" spans="22:26" x14ac:dyDescent="0.2">
      <c r="V3378" s="202" t="str">
        <f t="shared" si="61"/>
        <v>1w</v>
      </c>
      <c r="W3378" s="200">
        <f>_xll.qlCalendarAdvance(Calendar,W3377,V3378,"f",FALSE)</f>
        <v>62590</v>
      </c>
      <c r="X3378" s="203">
        <f>_xll.qlCalendarAdvance(Calendar,W3378,NDays&amp;"D")</f>
        <v>62592</v>
      </c>
      <c r="Y3378" s="204">
        <v>2.0524637172991134E-2</v>
      </c>
      <c r="Z3378" s="201">
        <v>2.0506014555907726E-2</v>
      </c>
    </row>
    <row r="3379" spans="22:26" x14ac:dyDescent="0.2">
      <c r="V3379" s="202" t="str">
        <f t="shared" si="61"/>
        <v>1w</v>
      </c>
      <c r="W3379" s="200">
        <f>_xll.qlCalendarAdvance(Calendar,W3378,V3379,"f",FALSE)</f>
        <v>62597</v>
      </c>
      <c r="X3379" s="203">
        <f>_xll.qlCalendarAdvance(Calendar,W3379,NDays&amp;"D")</f>
        <v>62599</v>
      </c>
      <c r="Y3379" s="204">
        <v>2.0524864786131969E-2</v>
      </c>
      <c r="Z3379" s="201">
        <v>2.0506244713480726E-2</v>
      </c>
    </row>
    <row r="3380" spans="22:26" x14ac:dyDescent="0.2">
      <c r="V3380" s="202" t="str">
        <f t="shared" si="61"/>
        <v>1w</v>
      </c>
      <c r="W3380" s="200">
        <f>_xll.qlCalendarAdvance(Calendar,W3379,V3380,"f",FALSE)</f>
        <v>62604</v>
      </c>
      <c r="X3380" s="203">
        <f>_xll.qlCalendarAdvance(Calendar,W3380,NDays&amp;"D")</f>
        <v>62606</v>
      </c>
      <c r="Y3380" s="204">
        <v>2.0525091066528889E-2</v>
      </c>
      <c r="Z3380" s="201">
        <v>2.0506473540518044E-2</v>
      </c>
    </row>
    <row r="3381" spans="22:26" x14ac:dyDescent="0.2">
      <c r="V3381" s="202" t="str">
        <f t="shared" si="61"/>
        <v>1w</v>
      </c>
      <c r="W3381" s="200">
        <f>_xll.qlCalendarAdvance(Calendar,W3380,V3381,"f",FALSE)</f>
        <v>62611</v>
      </c>
      <c r="X3381" s="203">
        <f>_xll.qlCalendarAdvance(Calendar,W3381,NDays&amp;"D")</f>
        <v>62613</v>
      </c>
      <c r="Y3381" s="204">
        <v>2.0525316014191886E-2</v>
      </c>
      <c r="Z3381" s="201">
        <v>2.0506701037099617E-2</v>
      </c>
    </row>
    <row r="3382" spans="22:26" x14ac:dyDescent="0.2">
      <c r="V3382" s="202" t="str">
        <f t="shared" si="61"/>
        <v>1w</v>
      </c>
      <c r="W3382" s="200">
        <f>_xll.qlCalendarAdvance(Calendar,W3381,V3382,"f",FALSE)</f>
        <v>62618</v>
      </c>
      <c r="X3382" s="203">
        <f>_xll.qlCalendarAdvance(Calendar,W3382,NDays&amp;"D")</f>
        <v>62620</v>
      </c>
      <c r="Y3382" s="204">
        <v>2.0525539629123457E-2</v>
      </c>
      <c r="Z3382" s="201">
        <v>2.0506927203385317E-2</v>
      </c>
    </row>
    <row r="3383" spans="22:26" x14ac:dyDescent="0.2">
      <c r="V3383" s="202" t="str">
        <f t="shared" si="61"/>
        <v>1w</v>
      </c>
      <c r="W3383" s="200">
        <f>_xll.qlCalendarAdvance(Calendar,W3382,V3383,"f",FALSE)</f>
        <v>62625</v>
      </c>
      <c r="X3383" s="203">
        <f>_xll.qlCalendarAdvance(Calendar,W3383,NDays&amp;"D")</f>
        <v>62627</v>
      </c>
      <c r="Y3383" s="204">
        <v>2.0525761911311113E-2</v>
      </c>
      <c r="Z3383" s="201">
        <v>2.0507152039215271E-2</v>
      </c>
    </row>
    <row r="3384" spans="22:26" x14ac:dyDescent="0.2">
      <c r="V3384" s="202" t="str">
        <f t="shared" si="61"/>
        <v>1w</v>
      </c>
      <c r="W3384" s="200">
        <f>_xll.qlCalendarAdvance(Calendar,W3383,V3384,"f",FALSE)</f>
        <v>62632</v>
      </c>
      <c r="X3384" s="203">
        <f>_xll.qlCalendarAdvance(Calendar,W3384,NDays&amp;"D")</f>
        <v>62634</v>
      </c>
      <c r="Y3384" s="204">
        <v>2.0525982860764846E-2</v>
      </c>
      <c r="Z3384" s="201">
        <v>2.0507375544669415E-2</v>
      </c>
    </row>
    <row r="3385" spans="22:26" x14ac:dyDescent="0.2">
      <c r="V3385" s="202" t="str">
        <f t="shared" si="61"/>
        <v>1w</v>
      </c>
      <c r="W3385" s="200">
        <f>_xll.qlCalendarAdvance(Calendar,W3384,V3385,"f",FALSE)</f>
        <v>62639</v>
      </c>
      <c r="X3385" s="203">
        <f>_xll.qlCalendarAdvance(Calendar,W3385,NDays&amp;"D")</f>
        <v>62641</v>
      </c>
      <c r="Y3385" s="204">
        <v>2.0526202477482158E-2</v>
      </c>
      <c r="Z3385" s="201">
        <v>2.0507597719907622E-2</v>
      </c>
    </row>
    <row r="3386" spans="22:26" x14ac:dyDescent="0.2">
      <c r="V3386" s="202" t="str">
        <f t="shared" si="61"/>
        <v>1w</v>
      </c>
      <c r="W3386" s="200">
        <f>_xll.qlCalendarAdvance(Calendar,W3385,V3386,"f",FALSE)</f>
        <v>62646</v>
      </c>
      <c r="X3386" s="203">
        <f>_xll.qlCalendarAdvance(Calendar,W3386,NDays&amp;"D")</f>
        <v>62648</v>
      </c>
      <c r="Y3386" s="204">
        <v>2.0526420761463049E-2</v>
      </c>
      <c r="Z3386" s="201">
        <v>2.0507818564610147E-2</v>
      </c>
    </row>
    <row r="3387" spans="22:26" x14ac:dyDescent="0.2">
      <c r="V3387" s="202" t="str">
        <f t="shared" si="61"/>
        <v>1w</v>
      </c>
      <c r="W3387" s="200">
        <f>_xll.qlCalendarAdvance(Calendar,W3386,V3387,"f",FALSE)</f>
        <v>62653</v>
      </c>
      <c r="X3387" s="203">
        <f>_xll.qlCalendarAdvance(Calendar,W3387,NDays&amp;"D")</f>
        <v>62655</v>
      </c>
      <c r="Y3387" s="204">
        <v>2.0526637712702522E-2</v>
      </c>
      <c r="Z3387" s="201">
        <v>2.0508038078856927E-2</v>
      </c>
    </row>
    <row r="3388" spans="22:26" x14ac:dyDescent="0.2">
      <c r="V3388" s="202" t="str">
        <f t="shared" si="61"/>
        <v>1w</v>
      </c>
      <c r="W3388" s="200">
        <f>_xll.qlCalendarAdvance(Calendar,W3387,V3388,"f",FALSE)</f>
        <v>62660</v>
      </c>
      <c r="X3388" s="203">
        <f>_xll.qlCalendarAdvance(Calendar,W3388,NDays&amp;"D")</f>
        <v>62662</v>
      </c>
      <c r="Y3388" s="204">
        <v>2.0526853331210571E-2</v>
      </c>
      <c r="Z3388" s="201">
        <v>2.0508256262727897E-2</v>
      </c>
    </row>
    <row r="3389" spans="22:26" x14ac:dyDescent="0.2">
      <c r="V3389" s="202" t="str">
        <f t="shared" si="61"/>
        <v>1w</v>
      </c>
      <c r="W3389" s="200">
        <f>_xll.qlCalendarAdvance(Calendar,W3388,V3389,"f",FALSE)</f>
        <v>62667</v>
      </c>
      <c r="X3389" s="203">
        <f>_xll.qlCalendarAdvance(Calendar,W3389,NDays&amp;"D")</f>
        <v>62669</v>
      </c>
      <c r="Y3389" s="204">
        <v>2.05270676169797E-2</v>
      </c>
      <c r="Z3389" s="201">
        <v>2.050847311638293E-2</v>
      </c>
    </row>
    <row r="3390" spans="22:26" x14ac:dyDescent="0.2">
      <c r="V3390" s="202" t="str">
        <f t="shared" si="61"/>
        <v>1w</v>
      </c>
      <c r="W3390" s="200">
        <f>_xll.qlCalendarAdvance(Calendar,W3389,V3390,"f",FALSE)</f>
        <v>62674</v>
      </c>
      <c r="X3390" s="203">
        <f>_xll.qlCalendarAdvance(Calendar,W3390,NDays&amp;"D")</f>
        <v>62676</v>
      </c>
      <c r="Y3390" s="204">
        <v>2.0527280570009909E-2</v>
      </c>
      <c r="Z3390" s="201">
        <v>2.0508688639502282E-2</v>
      </c>
    </row>
    <row r="3391" spans="22:26" x14ac:dyDescent="0.2">
      <c r="V3391" s="202" t="str">
        <f t="shared" si="61"/>
        <v>1w</v>
      </c>
      <c r="W3391" s="200">
        <f>_xll.qlCalendarAdvance(Calendar,W3390,V3391,"f",FALSE)</f>
        <v>62681</v>
      </c>
      <c r="X3391" s="203">
        <f>_xll.qlCalendarAdvance(Calendar,W3391,NDays&amp;"D")</f>
        <v>62683</v>
      </c>
      <c r="Y3391" s="204">
        <v>2.05274921903012E-2</v>
      </c>
      <c r="Z3391" s="201">
        <v>2.0508902832245823E-2</v>
      </c>
    </row>
    <row r="3392" spans="22:26" x14ac:dyDescent="0.2">
      <c r="V3392" s="202" t="str">
        <f t="shared" si="61"/>
        <v>1w</v>
      </c>
      <c r="W3392" s="200">
        <f>_xll.qlCalendarAdvance(Calendar,W3391,V3392,"f",FALSE)</f>
        <v>62688</v>
      </c>
      <c r="X3392" s="203">
        <f>_xll.qlCalendarAdvance(Calendar,W3392,NDays&amp;"D")</f>
        <v>62690</v>
      </c>
      <c r="Y3392" s="204">
        <v>2.0527702477856069E-2</v>
      </c>
      <c r="Z3392" s="201">
        <v>2.0509115694613556E-2</v>
      </c>
    </row>
    <row r="3393" spans="22:26" x14ac:dyDescent="0.2">
      <c r="V3393" s="202" t="str">
        <f t="shared" si="61"/>
        <v>1w</v>
      </c>
      <c r="W3393" s="200">
        <f>_xll.qlCalendarAdvance(Calendar,W3392,V3393,"f",FALSE)</f>
        <v>62695</v>
      </c>
      <c r="X3393" s="203">
        <f>_xll.qlCalendarAdvance(Calendar,W3393,NDays&amp;"D")</f>
        <v>62697</v>
      </c>
      <c r="Y3393" s="204">
        <v>2.0527911432679513E-2</v>
      </c>
      <c r="Z3393" s="201">
        <v>2.0509327226605478E-2</v>
      </c>
    </row>
    <row r="3394" spans="22:26" x14ac:dyDescent="0.2">
      <c r="V3394" s="202" t="str">
        <f t="shared" si="61"/>
        <v>1w</v>
      </c>
      <c r="W3394" s="200">
        <f>_xll.qlCalendarAdvance(Calendar,W3393,V3394,"f",FALSE)</f>
        <v>62702</v>
      </c>
      <c r="X3394" s="203">
        <f>_xll.qlCalendarAdvance(Calendar,W3394,NDays&amp;"D")</f>
        <v>62704</v>
      </c>
      <c r="Y3394" s="204">
        <v>2.0528119054759042E-2</v>
      </c>
      <c r="Z3394" s="201">
        <v>2.0509537428301527E-2</v>
      </c>
    </row>
    <row r="3395" spans="22:26" x14ac:dyDescent="0.2">
      <c r="V3395" s="202" t="str">
        <f t="shared" si="61"/>
        <v>1w</v>
      </c>
      <c r="W3395" s="200">
        <f>_xll.qlCalendarAdvance(Calendar,W3394,V3395,"f",FALSE)</f>
        <v>62709</v>
      </c>
      <c r="X3395" s="203">
        <f>_xll.qlCalendarAdvance(Calendar,W3395,NDays&amp;"D")</f>
        <v>62711</v>
      </c>
      <c r="Y3395" s="204">
        <v>2.0528325344099652E-2</v>
      </c>
      <c r="Z3395" s="201">
        <v>2.0509746299381959E-2</v>
      </c>
    </row>
    <row r="3396" spans="22:26" x14ac:dyDescent="0.2">
      <c r="V3396" s="202" t="str">
        <f t="shared" si="61"/>
        <v>1w</v>
      </c>
      <c r="W3396" s="200">
        <f>_xll.qlCalendarAdvance(Calendar,W3395,V3396,"f",FALSE)</f>
        <v>62716</v>
      </c>
      <c r="X3396" s="203">
        <f>_xll.qlCalendarAdvance(Calendar,W3396,NDays&amp;"D")</f>
        <v>62718</v>
      </c>
      <c r="Y3396" s="204">
        <v>2.0528530300708836E-2</v>
      </c>
      <c r="Z3396" s="201">
        <v>2.0509953840166517E-2</v>
      </c>
    </row>
    <row r="3397" spans="22:26" x14ac:dyDescent="0.2">
      <c r="V3397" s="202" t="str">
        <f t="shared" si="61"/>
        <v>1w</v>
      </c>
      <c r="W3397" s="200">
        <f>_xll.qlCalendarAdvance(Calendar,W3396,V3397,"f",FALSE)</f>
        <v>62723</v>
      </c>
      <c r="X3397" s="203">
        <f>_xll.qlCalendarAdvance(Calendar,W3397,NDays&amp;"D")</f>
        <v>62725</v>
      </c>
      <c r="Y3397" s="204">
        <v>2.0528733924576603E-2</v>
      </c>
      <c r="Z3397" s="201">
        <v>2.0510160050655202E-2</v>
      </c>
    </row>
    <row r="3398" spans="22:26" x14ac:dyDescent="0.2">
      <c r="V3398" s="202" t="str">
        <f t="shared" si="61"/>
        <v>1w</v>
      </c>
      <c r="W3398" s="200">
        <f>_xll.qlCalendarAdvance(Calendar,W3397,V3398,"f",FALSE)</f>
        <v>62730</v>
      </c>
      <c r="X3398" s="203">
        <f>_xll.qlCalendarAdvance(Calendar,W3398,NDays&amp;"D")</f>
        <v>62732</v>
      </c>
      <c r="Y3398" s="204">
        <v>2.0528936215702953E-2</v>
      </c>
      <c r="Z3398" s="201">
        <v>2.0510364930608205E-2</v>
      </c>
    </row>
    <row r="3399" spans="22:26" x14ac:dyDescent="0.2">
      <c r="V3399" s="202" t="str">
        <f t="shared" si="61"/>
        <v>1w</v>
      </c>
      <c r="W3399" s="200">
        <f>_xll.qlCalendarAdvance(Calendar,W3398,V3399,"f",FALSE)</f>
        <v>62737</v>
      </c>
      <c r="X3399" s="203">
        <f>_xll.qlCalendarAdvance(Calendar,W3399,NDays&amp;"D")</f>
        <v>62739</v>
      </c>
      <c r="Y3399" s="204">
        <v>2.052913717409538E-2</v>
      </c>
      <c r="Z3399" s="201">
        <v>2.0510568480265334E-2</v>
      </c>
    </row>
    <row r="3400" spans="22:26" x14ac:dyDescent="0.2">
      <c r="V3400" s="202" t="str">
        <f t="shared" si="61"/>
        <v>1w</v>
      </c>
      <c r="W3400" s="200">
        <f>_xll.qlCalendarAdvance(Calendar,W3399,V3400,"f",FALSE)</f>
        <v>62744</v>
      </c>
      <c r="X3400" s="203">
        <f>_xll.qlCalendarAdvance(Calendar,W3400,NDays&amp;"D")</f>
        <v>62746</v>
      </c>
      <c r="Y3400" s="204">
        <v>2.0529336799748887E-2</v>
      </c>
      <c r="Z3400" s="201">
        <v>2.051077069962659E-2</v>
      </c>
    </row>
    <row r="3401" spans="22:26" x14ac:dyDescent="0.2">
      <c r="V3401" s="202" t="str">
        <f t="shared" si="61"/>
        <v>1w</v>
      </c>
      <c r="W3401" s="200">
        <f>_xll.qlCalendarAdvance(Calendar,W3400,V3401,"f",FALSE)</f>
        <v>62751</v>
      </c>
      <c r="X3401" s="203">
        <f>_xll.qlCalendarAdvance(Calendar,W3401,NDays&amp;"D")</f>
        <v>62753</v>
      </c>
      <c r="Y3401" s="204">
        <v>2.0529535092663476E-2</v>
      </c>
      <c r="Z3401" s="201">
        <v>2.0510971588372229E-2</v>
      </c>
    </row>
    <row r="3402" spans="22:26" x14ac:dyDescent="0.2">
      <c r="V3402" s="202" t="str">
        <f t="shared" si="61"/>
        <v>1w</v>
      </c>
      <c r="W3402" s="200">
        <f>_xll.qlCalendarAdvance(Calendar,W3401,V3402,"f",FALSE)</f>
        <v>62758</v>
      </c>
      <c r="X3402" s="203">
        <f>_xll.qlCalendarAdvance(Calendar,W3402,NDays&amp;"D")</f>
        <v>62760</v>
      </c>
      <c r="Y3402" s="204">
        <v>2.0529732052841643E-2</v>
      </c>
      <c r="Z3402" s="201">
        <v>2.051117114690193E-2</v>
      </c>
    </row>
    <row r="3403" spans="22:26" x14ac:dyDescent="0.2">
      <c r="V3403" s="202" t="str">
        <f t="shared" si="61"/>
        <v>1w</v>
      </c>
      <c r="W3403" s="200">
        <f>_xll.qlCalendarAdvance(Calendar,W3402,V3403,"f",FALSE)</f>
        <v>62765</v>
      </c>
      <c r="X3403" s="203">
        <f>_xll.qlCalendarAdvance(Calendar,W3403,NDays&amp;"D")</f>
        <v>62767</v>
      </c>
      <c r="Y3403" s="204">
        <v>2.0529927680285887E-2</v>
      </c>
      <c r="Z3403" s="201">
        <v>2.0511369375055821E-2</v>
      </c>
    </row>
    <row r="3404" spans="22:26" x14ac:dyDescent="0.2">
      <c r="V3404" s="202" t="str">
        <f t="shared" si="61"/>
        <v>1w</v>
      </c>
      <c r="W3404" s="200">
        <f>_xll.qlCalendarAdvance(Calendar,W3403,V3404,"f",FALSE)</f>
        <v>62772</v>
      </c>
      <c r="X3404" s="203">
        <f>_xll.qlCalendarAdvance(Calendar,W3404,NDays&amp;"D")</f>
        <v>62774</v>
      </c>
      <c r="Y3404" s="204">
        <v>2.0530121974983717E-2</v>
      </c>
      <c r="Z3404" s="201">
        <v>2.0511566272674031E-2</v>
      </c>
    </row>
    <row r="3405" spans="22:26" x14ac:dyDescent="0.2">
      <c r="V3405" s="202" t="str">
        <f t="shared" si="61"/>
        <v>1w</v>
      </c>
      <c r="W3405" s="200">
        <f>_xll.qlCalendarAdvance(Calendar,W3404,V3405,"f",FALSE)</f>
        <v>62779</v>
      </c>
      <c r="X3405" s="203">
        <f>_xll.qlCalendarAdvance(Calendar,W3405,NDays&amp;"D")</f>
        <v>62781</v>
      </c>
      <c r="Y3405" s="204">
        <v>2.0530314936945127E-2</v>
      </c>
      <c r="Z3405" s="201">
        <v>2.0511761839996367E-2</v>
      </c>
    </row>
    <row r="3406" spans="22:26" x14ac:dyDescent="0.2">
      <c r="V3406" s="202" t="str">
        <f t="shared" si="61"/>
        <v>1w</v>
      </c>
      <c r="W3406" s="200">
        <f>_xll.qlCalendarAdvance(Calendar,W3405,V3406,"f",FALSE)</f>
        <v>62786</v>
      </c>
      <c r="X3406" s="203">
        <f>_xll.qlCalendarAdvance(Calendar,W3406,NDays&amp;"D")</f>
        <v>62788</v>
      </c>
      <c r="Y3406" s="204">
        <v>2.0530506566167617E-2</v>
      </c>
      <c r="Z3406" s="201">
        <v>2.0511956076862958E-2</v>
      </c>
    </row>
    <row r="3407" spans="22:26" x14ac:dyDescent="0.2">
      <c r="V3407" s="202" t="str">
        <f t="shared" si="61"/>
        <v>1w</v>
      </c>
      <c r="W3407" s="200">
        <f>_xll.qlCalendarAdvance(Calendar,W3406,V3407,"f",FALSE)</f>
        <v>62793</v>
      </c>
      <c r="X3407" s="203">
        <f>_xll.qlCalendarAdvance(Calendar,W3407,NDays&amp;"D")</f>
        <v>62795</v>
      </c>
      <c r="Y3407" s="204">
        <v>2.0530696862658682E-2</v>
      </c>
      <c r="Z3407" s="201">
        <v>2.0512148983433676E-2</v>
      </c>
    </row>
    <row r="3408" spans="22:26" x14ac:dyDescent="0.2">
      <c r="V3408" s="202" t="str">
        <f t="shared" si="61"/>
        <v>1w</v>
      </c>
      <c r="W3408" s="200">
        <f>_xll.qlCalendarAdvance(Calendar,W3407,V3408,"f",FALSE)</f>
        <v>62800</v>
      </c>
      <c r="X3408" s="203">
        <f>_xll.qlCalendarAdvance(Calendar,W3408,NDays&amp;"D")</f>
        <v>62802</v>
      </c>
      <c r="Y3408" s="204">
        <v>2.0530885826403333E-2</v>
      </c>
      <c r="Z3408" s="201">
        <v>2.0512340559628583E-2</v>
      </c>
    </row>
    <row r="3409" spans="22:26" x14ac:dyDescent="0.2">
      <c r="V3409" s="202" t="str">
        <f t="shared" si="61"/>
        <v>1w</v>
      </c>
      <c r="W3409" s="200">
        <f>_xll.qlCalendarAdvance(Calendar,W3408,V3409,"f",FALSE)</f>
        <v>62807</v>
      </c>
      <c r="X3409" s="203">
        <f>_xll.qlCalendarAdvance(Calendar,W3409,NDays&amp;"D")</f>
        <v>62809</v>
      </c>
      <c r="Y3409" s="204">
        <v>2.0531073457409066E-2</v>
      </c>
      <c r="Z3409" s="201">
        <v>2.051253080528781E-2</v>
      </c>
    </row>
    <row r="3410" spans="22:26" x14ac:dyDescent="0.2">
      <c r="V3410" s="202" t="str">
        <f t="shared" si="61"/>
        <v>1w</v>
      </c>
      <c r="W3410" s="200">
        <f>_xll.qlCalendarAdvance(Calendar,W3409,V3410,"f",FALSE)</f>
        <v>62814</v>
      </c>
      <c r="X3410" s="203">
        <f>_xll.qlCalendarAdvance(Calendar,W3410,NDays&amp;"D")</f>
        <v>62816</v>
      </c>
      <c r="Y3410" s="204">
        <v>2.0531259755680875E-2</v>
      </c>
      <c r="Z3410" s="201">
        <v>2.0514513301215231E-2</v>
      </c>
    </row>
    <row r="3411" spans="22:26" x14ac:dyDescent="0.2">
      <c r="V3411" s="202" t="str">
        <f t="shared" si="61"/>
        <v>1w</v>
      </c>
      <c r="W3411" s="200">
        <f>_xll.qlCalendarAdvance(Calendar,W3410,V3411,"f",FALSE)</f>
        <v>62821</v>
      </c>
      <c r="X3411" s="203">
        <f>_xll.qlCalendarAdvance(Calendar,W3411,NDays&amp;"D")</f>
        <v>62823</v>
      </c>
      <c r="Y3411" s="204">
        <v>2.0529650162008993E-2</v>
      </c>
      <c r="Z3411" s="201">
        <v>2.05147006331452E-2</v>
      </c>
    </row>
    <row r="3412" spans="22:26" x14ac:dyDescent="0.2">
      <c r="V3412" s="202" t="str">
        <f t="shared" si="61"/>
        <v>1w</v>
      </c>
      <c r="W3412" s="200">
        <f>_xll.qlCalendarAdvance(Calendar,W3411,V3412,"f",FALSE)</f>
        <v>62828</v>
      </c>
      <c r="X3412" s="203">
        <f>_xll.qlCalendarAdvance(Calendar,W3412,NDays&amp;"D")</f>
        <v>62830</v>
      </c>
      <c r="Y3412" s="204">
        <v>2.053162835400274E-2</v>
      </c>
      <c r="Z3412" s="201">
        <v>2.0513093560170503E-2</v>
      </c>
    </row>
    <row r="3413" spans="22:26" x14ac:dyDescent="0.2">
      <c r="V3413" s="202" t="str">
        <f t="shared" ref="V3413:V3476" si="62">V3412</f>
        <v>1w</v>
      </c>
      <c r="W3413" s="200">
        <f>_xll.qlCalendarAdvance(Calendar,W3412,V3413,"f",FALSE)</f>
        <v>62835</v>
      </c>
      <c r="X3413" s="203">
        <f>_xll.qlCalendarAdvance(Calendar,W3413,NDays&amp;"D")</f>
        <v>62837</v>
      </c>
      <c r="Y3413" s="204">
        <v>2.0531810654055294E-2</v>
      </c>
      <c r="Z3413" s="201">
        <v>2.0513278484326491E-2</v>
      </c>
    </row>
    <row r="3414" spans="22:26" x14ac:dyDescent="0.2">
      <c r="V3414" s="202" t="str">
        <f t="shared" si="62"/>
        <v>1w</v>
      </c>
      <c r="W3414" s="200">
        <f>_xll.qlCalendarAdvance(Calendar,W3413,V3414,"f",FALSE)</f>
        <v>62842</v>
      </c>
      <c r="X3414" s="203">
        <f>_xll.qlCalendarAdvance(Calendar,W3414,NDays&amp;"D")</f>
        <v>62844</v>
      </c>
      <c r="Y3414" s="204">
        <v>2.0531991621371426E-2</v>
      </c>
      <c r="Z3414" s="201">
        <v>2.0513462078186606E-2</v>
      </c>
    </row>
    <row r="3415" spans="22:26" x14ac:dyDescent="0.2">
      <c r="V3415" s="202" t="str">
        <f t="shared" si="62"/>
        <v>1w</v>
      </c>
      <c r="W3415" s="200">
        <f>_xll.qlCalendarAdvance(Calendar,W3414,V3415,"f",FALSE)</f>
        <v>62849</v>
      </c>
      <c r="X3415" s="203">
        <f>_xll.qlCalendarAdvance(Calendar,W3415,NDays&amp;"D")</f>
        <v>62851</v>
      </c>
      <c r="Y3415" s="204">
        <v>2.0532171255946141E-2</v>
      </c>
      <c r="Z3415" s="201">
        <v>2.0513644341511039E-2</v>
      </c>
    </row>
    <row r="3416" spans="22:26" x14ac:dyDescent="0.2">
      <c r="V3416" s="202" t="str">
        <f t="shared" si="62"/>
        <v>1w</v>
      </c>
      <c r="W3416" s="200">
        <f>_xll.qlCalendarAdvance(Calendar,W3415,V3416,"f",FALSE)</f>
        <v>62856</v>
      </c>
      <c r="X3416" s="203">
        <f>_xll.qlCalendarAdvance(Calendar,W3416,NDays&amp;"D")</f>
        <v>62858</v>
      </c>
      <c r="Y3416" s="204">
        <v>2.0530556271604623E-2</v>
      </c>
      <c r="Z3416" s="201">
        <v>2.0513825274539599E-2</v>
      </c>
    </row>
    <row r="3417" spans="22:26" x14ac:dyDescent="0.2">
      <c r="V3417" s="202" t="str">
        <f t="shared" si="62"/>
        <v>1w</v>
      </c>
      <c r="W3417" s="200">
        <f>_xll.qlCalendarAdvance(Calendar,W3416,V3417,"f",FALSE)</f>
        <v>62863</v>
      </c>
      <c r="X3417" s="203">
        <f>_xll.qlCalendarAdvance(Calendar,W3417,NDays&amp;"D")</f>
        <v>62865</v>
      </c>
      <c r="Y3417" s="204">
        <v>2.0530733495994269E-2</v>
      </c>
      <c r="Z3417" s="201">
        <v>2.0514004877192349E-2</v>
      </c>
    </row>
    <row r="3418" spans="22:26" x14ac:dyDescent="0.2">
      <c r="V3418" s="202" t="str">
        <f t="shared" si="62"/>
        <v>1w</v>
      </c>
      <c r="W3418" s="200">
        <f>_xll.qlCalendarAdvance(Calendar,W3417,V3418,"f",FALSE)</f>
        <v>62870</v>
      </c>
      <c r="X3418" s="203">
        <f>_xll.qlCalendarAdvance(Calendar,W3418,NDays&amp;"D")</f>
        <v>62872</v>
      </c>
      <c r="Y3418" s="204">
        <v>2.0530909387869129E-2</v>
      </c>
      <c r="Z3418" s="201">
        <v>2.0514183149549226E-2</v>
      </c>
    </row>
    <row r="3419" spans="22:26" x14ac:dyDescent="0.2">
      <c r="V3419" s="202" t="str">
        <f t="shared" si="62"/>
        <v>1w</v>
      </c>
      <c r="W3419" s="200">
        <f>_xll.qlCalendarAdvance(Calendar,W3418,V3419,"f",FALSE)</f>
        <v>62877</v>
      </c>
      <c r="X3419" s="203">
        <f>_xll.qlCalendarAdvance(Calendar,W3419,NDays&amp;"D")</f>
        <v>62879</v>
      </c>
      <c r="Y3419" s="204">
        <v>2.0531083947226442E-2</v>
      </c>
      <c r="Z3419" s="201">
        <v>2.051436009137042E-2</v>
      </c>
    </row>
    <row r="3420" spans="22:26" x14ac:dyDescent="0.2">
      <c r="V3420" s="202" t="str">
        <f t="shared" si="62"/>
        <v>1w</v>
      </c>
      <c r="W3420" s="200">
        <f>_xll.qlCalendarAdvance(Calendar,W3419,V3420,"f",FALSE)</f>
        <v>62884</v>
      </c>
      <c r="X3420" s="203">
        <f>_xll.qlCalendarAdvance(Calendar,W3420,NDays&amp;"D")</f>
        <v>62886</v>
      </c>
      <c r="Y3420" s="204">
        <v>2.053304943773343E-2</v>
      </c>
      <c r="Z3420" s="201">
        <v>2.0514535702815806E-2</v>
      </c>
    </row>
    <row r="3421" spans="22:26" x14ac:dyDescent="0.2">
      <c r="V3421" s="202" t="str">
        <f t="shared" si="62"/>
        <v>1w</v>
      </c>
      <c r="W3421" s="200">
        <f>_xll.qlCalendarAdvance(Calendar,W3420,V3421,"f",FALSE)</f>
        <v>62891</v>
      </c>
      <c r="X3421" s="203">
        <f>_xll.qlCalendarAdvance(Calendar,W3421,NDays&amp;"D")</f>
        <v>62893</v>
      </c>
      <c r="Y3421" s="204">
        <v>2.0533818440799129E-2</v>
      </c>
      <c r="Z3421" s="201">
        <v>2.0514709983965318E-2</v>
      </c>
    </row>
    <row r="3422" spans="22:26" x14ac:dyDescent="0.2">
      <c r="V3422" s="202" t="str">
        <f t="shared" si="62"/>
        <v>1w</v>
      </c>
      <c r="W3422" s="200">
        <f>_xll.qlCalendarAdvance(Calendar,W3421,V3422,"f",FALSE)</f>
        <v>62898</v>
      </c>
      <c r="X3422" s="203">
        <f>_xll.qlCalendarAdvance(Calendar,W3422,NDays&amp;"D")</f>
        <v>62900</v>
      </c>
      <c r="Y3422" s="204">
        <v>2.0533391381271915E-2</v>
      </c>
      <c r="Z3422" s="201">
        <v>2.0514882934579148E-2</v>
      </c>
    </row>
    <row r="3423" spans="22:26" x14ac:dyDescent="0.2">
      <c r="V3423" s="202" t="str">
        <f t="shared" si="62"/>
        <v>1w</v>
      </c>
      <c r="W3423" s="200">
        <f>_xll.qlCalendarAdvance(Calendar,W3422,V3423,"f",FALSE)</f>
        <v>62905</v>
      </c>
      <c r="X3423" s="203">
        <f>_xll.qlCalendarAdvance(Calendar,W3423,NDays&amp;"D")</f>
        <v>62907</v>
      </c>
      <c r="Y3423" s="204">
        <v>2.053356035393028E-2</v>
      </c>
      <c r="Z3423" s="201">
        <v>2.0515054554737233E-2</v>
      </c>
    </row>
    <row r="3424" spans="22:26" x14ac:dyDescent="0.2">
      <c r="V3424" s="202" t="str">
        <f t="shared" si="62"/>
        <v>1w</v>
      </c>
      <c r="W3424" s="200">
        <f>_xll.qlCalendarAdvance(Calendar,W3423,V3424,"f",FALSE)</f>
        <v>62912</v>
      </c>
      <c r="X3424" s="203">
        <f>_xll.qlCalendarAdvance(Calendar,W3424,NDays&amp;"D")</f>
        <v>62914</v>
      </c>
      <c r="Y3424" s="204">
        <v>2.0531936756357342E-2</v>
      </c>
      <c r="Z3424" s="201">
        <v>2.0515224844759317E-2</v>
      </c>
    </row>
    <row r="3425" spans="22:26" x14ac:dyDescent="0.2">
      <c r="V3425" s="202" t="str">
        <f t="shared" si="62"/>
        <v>1w</v>
      </c>
      <c r="W3425" s="200">
        <f>_xll.qlCalendarAdvance(Calendar,W3424,V3425,"f",FALSE)</f>
        <v>62919</v>
      </c>
      <c r="X3425" s="203">
        <f>_xll.qlCalendarAdvance(Calendar,W3425,NDays&amp;"D")</f>
        <v>62921</v>
      </c>
      <c r="Y3425" s="204">
        <v>2.0533894301035249E-2</v>
      </c>
      <c r="Z3425" s="201">
        <v>2.0517780180941969E-2</v>
      </c>
    </row>
    <row r="3426" spans="22:26" x14ac:dyDescent="0.2">
      <c r="V3426" s="202" t="str">
        <f t="shared" si="62"/>
        <v>1w</v>
      </c>
      <c r="W3426" s="200">
        <f>_xll.qlCalendarAdvance(Calendar,W3425,V3426,"f",FALSE)</f>
        <v>62926</v>
      </c>
      <c r="X3426" s="203">
        <f>_xll.qlCalendarAdvance(Calendar,W3426,NDays&amp;"D")</f>
        <v>62928</v>
      </c>
      <c r="Y3426" s="204">
        <v>2.0534059275479355E-2</v>
      </c>
      <c r="Z3426" s="201">
        <v>2.0515561433436247E-2</v>
      </c>
    </row>
    <row r="3427" spans="22:26" x14ac:dyDescent="0.2">
      <c r="V3427" s="202" t="str">
        <f t="shared" si="62"/>
        <v>1w</v>
      </c>
      <c r="W3427" s="200">
        <f>_xll.qlCalendarAdvance(Calendar,W3426,V3427,"f",FALSE)</f>
        <v>62933</v>
      </c>
      <c r="X3427" s="203">
        <f>_xll.qlCalendarAdvance(Calendar,W3427,NDays&amp;"D")</f>
        <v>62935</v>
      </c>
      <c r="Y3427" s="204">
        <v>2.0534222917177047E-2</v>
      </c>
      <c r="Z3427" s="201">
        <v>2.0515727732091094E-2</v>
      </c>
    </row>
    <row r="3428" spans="22:26" x14ac:dyDescent="0.2">
      <c r="V3428" s="202" t="str">
        <f t="shared" si="62"/>
        <v>1w</v>
      </c>
      <c r="W3428" s="200">
        <f>_xll.qlCalendarAdvance(Calendar,W3427,V3428,"f",FALSE)</f>
        <v>62940</v>
      </c>
      <c r="X3428" s="203">
        <f>_xll.qlCalendarAdvance(Calendar,W3428,NDays&amp;"D")</f>
        <v>62942</v>
      </c>
      <c r="Y3428" s="204">
        <v>2.0534385226138319E-2</v>
      </c>
      <c r="Z3428" s="201">
        <v>2.0515892700450067E-2</v>
      </c>
    </row>
    <row r="3429" spans="22:26" x14ac:dyDescent="0.2">
      <c r="V3429" s="202" t="str">
        <f t="shared" si="62"/>
        <v>1w</v>
      </c>
      <c r="W3429" s="200">
        <f>_xll.qlCalendarAdvance(Calendar,W3428,V3429,"f",FALSE)</f>
        <v>62947</v>
      </c>
      <c r="X3429" s="203">
        <f>_xll.qlCalendarAdvance(Calendar,W3429,NDays&amp;"D")</f>
        <v>62949</v>
      </c>
      <c r="Y3429" s="204">
        <v>2.0534546202363169E-2</v>
      </c>
      <c r="Z3429" s="201">
        <v>2.0516056338433231E-2</v>
      </c>
    </row>
    <row r="3430" spans="22:26" x14ac:dyDescent="0.2">
      <c r="V3430" s="202" t="str">
        <f t="shared" si="62"/>
        <v>1w</v>
      </c>
      <c r="W3430" s="200">
        <f>_xll.qlCalendarAdvance(Calendar,W3429,V3430,"f",FALSE)</f>
        <v>62954</v>
      </c>
      <c r="X3430" s="203">
        <f>_xll.qlCalendarAdvance(Calendar,W3430,NDays&amp;"D")</f>
        <v>62956</v>
      </c>
      <c r="Y3430" s="204">
        <v>2.0534705845844103E-2</v>
      </c>
      <c r="Z3430" s="201">
        <v>2.0516218645880713E-2</v>
      </c>
    </row>
    <row r="3431" spans="22:26" x14ac:dyDescent="0.2">
      <c r="V3431" s="202" t="str">
        <f t="shared" si="62"/>
        <v>1w</v>
      </c>
      <c r="W3431" s="200">
        <f>_xll.qlCalendarAdvance(Calendar,W3430,V3431,"f",FALSE)</f>
        <v>62961</v>
      </c>
      <c r="X3431" s="203">
        <f>_xll.qlCalendarAdvance(Calendar,W3431,NDays&amp;"D")</f>
        <v>62963</v>
      </c>
      <c r="Y3431" s="204">
        <v>2.0534864156583621E-2</v>
      </c>
      <c r="Z3431" s="201">
        <v>2.0516379622952385E-2</v>
      </c>
    </row>
    <row r="3432" spans="22:26" x14ac:dyDescent="0.2">
      <c r="V3432" s="202" t="str">
        <f t="shared" si="62"/>
        <v>1w</v>
      </c>
      <c r="W3432" s="200">
        <f>_xll.qlCalendarAdvance(Calendar,W3431,V3432,"f",FALSE)</f>
        <v>62968</v>
      </c>
      <c r="X3432" s="203">
        <f>_xll.qlCalendarAdvance(Calendar,W3432,NDays&amp;"D")</f>
        <v>62970</v>
      </c>
      <c r="Y3432" s="204">
        <v>2.0535021134586717E-2</v>
      </c>
      <c r="Z3432" s="201">
        <v>2.0516539269888057E-2</v>
      </c>
    </row>
    <row r="3433" spans="22:26" x14ac:dyDescent="0.2">
      <c r="V3433" s="202" t="str">
        <f t="shared" si="62"/>
        <v>1w</v>
      </c>
      <c r="W3433" s="200">
        <f>_xll.qlCalendarAdvance(Calendar,W3432,V3433,"f",FALSE)</f>
        <v>62975</v>
      </c>
      <c r="X3433" s="203">
        <f>_xll.qlCalendarAdvance(Calendar,W3433,NDays&amp;"D")</f>
        <v>62977</v>
      </c>
      <c r="Y3433" s="204">
        <v>2.0535176779848396E-2</v>
      </c>
      <c r="Z3433" s="201">
        <v>2.0516697586288046E-2</v>
      </c>
    </row>
    <row r="3434" spans="22:26" x14ac:dyDescent="0.2">
      <c r="V3434" s="202" t="str">
        <f t="shared" si="62"/>
        <v>1w</v>
      </c>
      <c r="W3434" s="200">
        <f>_xll.qlCalendarAdvance(Calendar,W3433,V3434,"f",FALSE)</f>
        <v>62982</v>
      </c>
      <c r="X3434" s="203">
        <f>_xll.qlCalendarAdvance(Calendar,W3434,NDays&amp;"D")</f>
        <v>62984</v>
      </c>
      <c r="Y3434" s="204">
        <v>2.0535331092368658E-2</v>
      </c>
      <c r="Z3434" s="201">
        <v>2.0516854572152354E-2</v>
      </c>
    </row>
    <row r="3435" spans="22:26" x14ac:dyDescent="0.2">
      <c r="V3435" s="202" t="str">
        <f t="shared" si="62"/>
        <v>1w</v>
      </c>
      <c r="W3435" s="200">
        <f>_xll.qlCalendarAdvance(Calendar,W3434,V3435,"f",FALSE)</f>
        <v>62989</v>
      </c>
      <c r="X3435" s="203">
        <f>_xll.qlCalendarAdvance(Calendar,W3435,NDays&amp;"D")</f>
        <v>62991</v>
      </c>
      <c r="Y3435" s="204">
        <v>2.0535484072147503E-2</v>
      </c>
      <c r="Z3435" s="201">
        <v>2.0517010227800725E-2</v>
      </c>
    </row>
    <row r="3436" spans="22:26" x14ac:dyDescent="0.2">
      <c r="V3436" s="202" t="str">
        <f t="shared" si="62"/>
        <v>1w</v>
      </c>
      <c r="W3436" s="200">
        <f>_xll.qlCalendarAdvance(Calendar,W3435,V3436,"f",FALSE)</f>
        <v>62996</v>
      </c>
      <c r="X3436" s="203">
        <f>_xll.qlCalendarAdvance(Calendar,W3436,NDays&amp;"D")</f>
        <v>62998</v>
      </c>
      <c r="Y3436" s="204">
        <v>2.0535635719192424E-2</v>
      </c>
      <c r="Z3436" s="201">
        <v>2.0517164553153222E-2</v>
      </c>
    </row>
    <row r="3437" spans="22:26" x14ac:dyDescent="0.2">
      <c r="V3437" s="202" t="str">
        <f t="shared" si="62"/>
        <v>1w</v>
      </c>
      <c r="W3437" s="200">
        <f>_xll.qlCalendarAdvance(Calendar,W3436,V3437,"f",FALSE)</f>
        <v>63003</v>
      </c>
      <c r="X3437" s="203">
        <f>_xll.qlCalendarAdvance(Calendar,W3437,NDays&amp;"D")</f>
        <v>63005</v>
      </c>
      <c r="Y3437" s="204">
        <v>2.053399815616681E-2</v>
      </c>
      <c r="Z3437" s="201">
        <v>2.0517317547970038E-2</v>
      </c>
    </row>
    <row r="3438" spans="22:26" x14ac:dyDescent="0.2">
      <c r="V3438" s="202" t="str">
        <f t="shared" si="62"/>
        <v>1w</v>
      </c>
      <c r="W3438" s="200">
        <f>_xll.qlCalendarAdvance(Calendar,W3437,V3438,"f",FALSE)</f>
        <v>63010</v>
      </c>
      <c r="X3438" s="203">
        <f>_xll.qlCalendarAdvance(Calendar,W3438,NDays&amp;"D")</f>
        <v>63012</v>
      </c>
      <c r="Y3438" s="204">
        <v>2.053593501505302E-2</v>
      </c>
      <c r="Z3438" s="201">
        <v>2.0517469212331108E-2</v>
      </c>
    </row>
    <row r="3439" spans="22:26" x14ac:dyDescent="0.2">
      <c r="V3439" s="202" t="str">
        <f t="shared" si="62"/>
        <v>1w</v>
      </c>
      <c r="W3439" s="200">
        <f>_xll.qlCalendarAdvance(Calendar,W3438,V3439,"f",FALSE)</f>
        <v>63017</v>
      </c>
      <c r="X3439" s="203">
        <f>_xll.qlCalendarAdvance(Calendar,W3439,NDays&amp;"D")</f>
        <v>63019</v>
      </c>
      <c r="Y3439" s="204">
        <v>2.0536082663873689E-2</v>
      </c>
      <c r="Z3439" s="201">
        <v>2.0517619546396304E-2</v>
      </c>
    </row>
    <row r="3440" spans="22:26" x14ac:dyDescent="0.2">
      <c r="V3440" s="202" t="str">
        <f t="shared" si="62"/>
        <v>1w</v>
      </c>
      <c r="W3440" s="200">
        <f>_xll.qlCalendarAdvance(Calendar,W3439,V3440,"f",FALSE)</f>
        <v>63024</v>
      </c>
      <c r="X3440" s="203">
        <f>_xll.qlCalendarAdvance(Calendar,W3440,NDays&amp;"D")</f>
        <v>63026</v>
      </c>
      <c r="Y3440" s="204">
        <v>2.0536228979950444E-2</v>
      </c>
      <c r="Z3440" s="201">
        <v>2.0517768550085691E-2</v>
      </c>
    </row>
    <row r="3441" spans="22:26" x14ac:dyDescent="0.2">
      <c r="V3441" s="202" t="str">
        <f t="shared" si="62"/>
        <v>1w</v>
      </c>
      <c r="W3441" s="200">
        <f>_xll.qlCalendarAdvance(Calendar,W3440,V3441,"f",FALSE)</f>
        <v>63031</v>
      </c>
      <c r="X3441" s="203">
        <f>_xll.qlCalendarAdvance(Calendar,W3441,NDays&amp;"D")</f>
        <v>63033</v>
      </c>
      <c r="Y3441" s="204">
        <v>2.0536373963288279E-2</v>
      </c>
      <c r="Z3441" s="201">
        <v>2.0517916223239396E-2</v>
      </c>
    </row>
    <row r="3442" spans="22:26" x14ac:dyDescent="0.2">
      <c r="V3442" s="202" t="str">
        <f t="shared" si="62"/>
        <v>1w</v>
      </c>
      <c r="W3442" s="200">
        <f>_xll.qlCalendarAdvance(Calendar,W3441,V3442,"f",FALSE)</f>
        <v>63038</v>
      </c>
      <c r="X3442" s="203">
        <f>_xll.qlCalendarAdvance(Calendar,W3442,NDays&amp;"D")</f>
        <v>63040</v>
      </c>
      <c r="Y3442" s="204">
        <v>2.0536517613889693E-2</v>
      </c>
      <c r="Z3442" s="201">
        <v>2.0518062566177164E-2</v>
      </c>
    </row>
    <row r="3443" spans="22:26" x14ac:dyDescent="0.2">
      <c r="V3443" s="202" t="str">
        <f t="shared" si="62"/>
        <v>1w</v>
      </c>
      <c r="W3443" s="200">
        <f>_xll.qlCalendarAdvance(Calendar,W3442,V3443,"f",FALSE)</f>
        <v>63045</v>
      </c>
      <c r="X3443" s="203">
        <f>_xll.qlCalendarAdvance(Calendar,W3443,NDays&amp;"D")</f>
        <v>63047</v>
      </c>
      <c r="Y3443" s="204">
        <v>2.0536659931747192E-2</v>
      </c>
      <c r="Z3443" s="201">
        <v>2.0518207578659187E-2</v>
      </c>
    </row>
    <row r="3444" spans="22:26" x14ac:dyDescent="0.2">
      <c r="V3444" s="202" t="str">
        <f t="shared" si="62"/>
        <v>1w</v>
      </c>
      <c r="W3444" s="200">
        <f>_xll.qlCalendarAdvance(Calendar,W3443,V3444,"f",FALSE)</f>
        <v>63052</v>
      </c>
      <c r="X3444" s="203">
        <f>_xll.qlCalendarAdvance(Calendar,W3444,NDays&amp;"D")</f>
        <v>63054</v>
      </c>
      <c r="Y3444" s="204">
        <v>2.0536800916865772E-2</v>
      </c>
      <c r="Z3444" s="201">
        <v>2.0518351260845336E-2</v>
      </c>
    </row>
    <row r="3445" spans="22:26" x14ac:dyDescent="0.2">
      <c r="V3445" s="202" t="str">
        <f t="shared" si="62"/>
        <v>1w</v>
      </c>
      <c r="W3445" s="200">
        <f>_xll.qlCalendarAdvance(Calendar,W3444,V3445,"f",FALSE)</f>
        <v>63059</v>
      </c>
      <c r="X3445" s="203">
        <f>_xll.qlCalendarAdvance(Calendar,W3445,NDays&amp;"D")</f>
        <v>63061</v>
      </c>
      <c r="Y3445" s="204">
        <v>2.0536940569240436E-2</v>
      </c>
      <c r="Z3445" s="201">
        <v>2.0518493612575739E-2</v>
      </c>
    </row>
    <row r="3446" spans="22:26" x14ac:dyDescent="0.2">
      <c r="V3446" s="202" t="str">
        <f t="shared" si="62"/>
        <v>1w</v>
      </c>
      <c r="W3446" s="200">
        <f>_xll.qlCalendarAdvance(Calendar,W3445,V3446,"f",FALSE)</f>
        <v>63066</v>
      </c>
      <c r="X3446" s="203">
        <f>_xll.qlCalendarAdvance(Calendar,W3446,NDays&amp;"D")</f>
        <v>63068</v>
      </c>
      <c r="Y3446" s="204">
        <v>2.0537078888873683E-2</v>
      </c>
      <c r="Z3446" s="201">
        <v>2.0518634633850397E-2</v>
      </c>
    </row>
    <row r="3447" spans="22:26" x14ac:dyDescent="0.2">
      <c r="V3447" s="202" t="str">
        <f t="shared" si="62"/>
        <v>1w</v>
      </c>
      <c r="W3447" s="200">
        <f>_xll.qlCalendarAdvance(Calendar,W3446,V3447,"f",FALSE)</f>
        <v>63073</v>
      </c>
      <c r="X3447" s="203">
        <f>_xll.qlCalendarAdvance(Calendar,W3447,NDays&amp;"D")</f>
        <v>63075</v>
      </c>
      <c r="Y3447" s="204">
        <v>2.0537215875770509E-2</v>
      </c>
      <c r="Z3447" s="201">
        <v>2.0518774324829181E-2</v>
      </c>
    </row>
    <row r="3448" spans="22:26" x14ac:dyDescent="0.2">
      <c r="V3448" s="202" t="str">
        <f t="shared" si="62"/>
        <v>1w</v>
      </c>
      <c r="W3448" s="200">
        <f>_xll.qlCalendarAdvance(Calendar,W3447,V3448,"f",FALSE)</f>
        <v>63080</v>
      </c>
      <c r="X3448" s="203">
        <f>_xll.qlCalendarAdvance(Calendar,W3448,NDays&amp;"D")</f>
        <v>63082</v>
      </c>
      <c r="Y3448" s="204">
        <v>2.053735152992342E-2</v>
      </c>
      <c r="Z3448" s="201">
        <v>2.051891268535222E-2</v>
      </c>
    </row>
    <row r="3449" spans="22:26" x14ac:dyDescent="0.2">
      <c r="V3449" s="202" t="str">
        <f t="shared" si="62"/>
        <v>1w</v>
      </c>
      <c r="W3449" s="200">
        <f>_xll.qlCalendarAdvance(Calendar,W3448,V3449,"f",FALSE)</f>
        <v>63087</v>
      </c>
      <c r="X3449" s="203">
        <f>_xll.qlCalendarAdvance(Calendar,W3449,NDays&amp;"D")</f>
        <v>63089</v>
      </c>
      <c r="Y3449" s="204">
        <v>2.0537485851337411E-2</v>
      </c>
      <c r="Z3449" s="201">
        <v>2.0519049715499449E-2</v>
      </c>
    </row>
    <row r="3450" spans="22:26" x14ac:dyDescent="0.2">
      <c r="V3450" s="202" t="str">
        <f t="shared" si="62"/>
        <v>1w</v>
      </c>
      <c r="W3450" s="200">
        <f>_xll.qlCalendarAdvance(Calendar,W3449,V3450,"f",FALSE)</f>
        <v>63094</v>
      </c>
      <c r="X3450" s="203">
        <f>_xll.qlCalendarAdvance(Calendar,W3450,NDays&amp;"D")</f>
        <v>63096</v>
      </c>
      <c r="Y3450" s="204">
        <v>2.0537618840007488E-2</v>
      </c>
      <c r="Z3450" s="201">
        <v>2.0519185415350805E-2</v>
      </c>
    </row>
    <row r="3451" spans="22:26" x14ac:dyDescent="0.2">
      <c r="V3451" s="202" t="str">
        <f t="shared" si="62"/>
        <v>1w</v>
      </c>
      <c r="W3451" s="200">
        <f>_xll.qlCalendarAdvance(Calendar,W3450,V3451,"f",FALSE)</f>
        <v>63101</v>
      </c>
      <c r="X3451" s="203">
        <f>_xll.qlCalendarAdvance(Calendar,W3451,NDays&amp;"D")</f>
        <v>63103</v>
      </c>
      <c r="Y3451" s="204">
        <v>2.0537750495936147E-2</v>
      </c>
      <c r="Z3451" s="201">
        <v>2.0519319784666479E-2</v>
      </c>
    </row>
    <row r="3452" spans="22:26" x14ac:dyDescent="0.2">
      <c r="V3452" s="202" t="str">
        <f t="shared" si="62"/>
        <v>1w</v>
      </c>
      <c r="W3452" s="200">
        <f>_xll.qlCalendarAdvance(Calendar,W3451,V3452,"f",FALSE)</f>
        <v>63108</v>
      </c>
      <c r="X3452" s="203">
        <f>_xll.qlCalendarAdvance(Calendar,W3452,NDays&amp;"D")</f>
        <v>63110</v>
      </c>
      <c r="Y3452" s="204">
        <v>2.0537880819123389E-2</v>
      </c>
      <c r="Z3452" s="201">
        <v>2.0519452823526407E-2</v>
      </c>
    </row>
    <row r="3453" spans="22:26" x14ac:dyDescent="0.2">
      <c r="V3453" s="202" t="str">
        <f t="shared" si="62"/>
        <v>1w</v>
      </c>
      <c r="W3453" s="200">
        <f>_xll.qlCalendarAdvance(Calendar,W3452,V3453,"f",FALSE)</f>
        <v>63115</v>
      </c>
      <c r="X3453" s="203">
        <f>_xll.qlCalendarAdvance(Calendar,W3453,NDays&amp;"D")</f>
        <v>63117</v>
      </c>
      <c r="Y3453" s="204">
        <v>2.0538009809571711E-2</v>
      </c>
      <c r="Z3453" s="201">
        <v>2.0519584532250335E-2</v>
      </c>
    </row>
    <row r="3454" spans="22:26" x14ac:dyDescent="0.2">
      <c r="V3454" s="202" t="str">
        <f t="shared" si="62"/>
        <v>1w</v>
      </c>
      <c r="W3454" s="200">
        <f>_xll.qlCalendarAdvance(Calendar,W3453,V3454,"f",FALSE)</f>
        <v>63122</v>
      </c>
      <c r="X3454" s="203">
        <f>_xll.qlCalendarAdvance(Calendar,W3454,NDays&amp;"D")</f>
        <v>63124</v>
      </c>
      <c r="Y3454" s="204">
        <v>2.0538137467281115E-2</v>
      </c>
      <c r="Z3454" s="201">
        <v>2.0519714910358644E-2</v>
      </c>
    </row>
    <row r="3455" spans="22:26" x14ac:dyDescent="0.2">
      <c r="V3455" s="202" t="str">
        <f t="shared" si="62"/>
        <v>1w</v>
      </c>
      <c r="W3455" s="200">
        <f>_xll.qlCalendarAdvance(Calendar,W3454,V3455,"f",FALSE)</f>
        <v>63129</v>
      </c>
      <c r="X3455" s="203">
        <f>_xll.qlCalendarAdvance(Calendar,W3455,NDays&amp;"D")</f>
        <v>63131</v>
      </c>
      <c r="Y3455" s="204">
        <v>2.0538263792246603E-2</v>
      </c>
      <c r="Z3455" s="201">
        <v>2.0519843958251016E-2</v>
      </c>
    </row>
    <row r="3456" spans="22:26" x14ac:dyDescent="0.2">
      <c r="V3456" s="202" t="str">
        <f t="shared" si="62"/>
        <v>1w</v>
      </c>
      <c r="W3456" s="200">
        <f>_xll.qlCalendarAdvance(Calendar,W3455,V3456,"f",FALSE)</f>
        <v>63136</v>
      </c>
      <c r="X3456" s="203">
        <f>_xll.qlCalendarAdvance(Calendar,W3456,NDays&amp;"D")</f>
        <v>63138</v>
      </c>
      <c r="Y3456" s="204">
        <v>2.0538388784473172E-2</v>
      </c>
      <c r="Z3456" s="201">
        <v>2.0519971675687643E-2</v>
      </c>
    </row>
    <row r="3457" spans="22:26" x14ac:dyDescent="0.2">
      <c r="V3457" s="202" t="str">
        <f t="shared" si="62"/>
        <v>1w</v>
      </c>
      <c r="W3457" s="200">
        <f>_xll.qlCalendarAdvance(Calendar,W3456,V3457,"f",FALSE)</f>
        <v>63143</v>
      </c>
      <c r="X3457" s="203">
        <f>_xll.qlCalendarAdvance(Calendar,W3457,NDays&amp;"D")</f>
        <v>63145</v>
      </c>
      <c r="Y3457" s="204">
        <v>2.0538512443953327E-2</v>
      </c>
      <c r="Z3457" s="201">
        <v>2.052009806274846E-2</v>
      </c>
    </row>
    <row r="3458" spans="22:26" x14ac:dyDescent="0.2">
      <c r="V3458" s="202" t="str">
        <f t="shared" si="62"/>
        <v>1w</v>
      </c>
      <c r="W3458" s="200">
        <f>_xll.qlCalendarAdvance(Calendar,W3457,V3458,"f",FALSE)</f>
        <v>63150</v>
      </c>
      <c r="X3458" s="203">
        <f>_xll.qlCalendarAdvance(Calendar,W3458,NDays&amp;"D")</f>
        <v>63152</v>
      </c>
      <c r="Y3458" s="204">
        <v>2.0539228921727864E-2</v>
      </c>
      <c r="Z3458" s="201">
        <v>2.0520223119353531E-2</v>
      </c>
    </row>
    <row r="3459" spans="22:26" x14ac:dyDescent="0.2">
      <c r="V3459" s="202" t="str">
        <f t="shared" si="62"/>
        <v>1w</v>
      </c>
      <c r="W3459" s="200">
        <f>_xll.qlCalendarAdvance(Calendar,W3458,V3459,"f",FALSE)</f>
        <v>63157</v>
      </c>
      <c r="X3459" s="203">
        <f>_xll.qlCalendarAdvance(Calendar,W3459,NDays&amp;"D")</f>
        <v>63159</v>
      </c>
      <c r="Y3459" s="204">
        <v>2.0538755764696881E-2</v>
      </c>
      <c r="Z3459" s="201">
        <v>2.0520346845502857E-2</v>
      </c>
    </row>
    <row r="3460" spans="22:26" x14ac:dyDescent="0.2">
      <c r="V3460" s="202" t="str">
        <f t="shared" si="62"/>
        <v>1w</v>
      </c>
      <c r="W3460" s="200">
        <f>_xll.qlCalendarAdvance(Calendar,W3459,V3460,"f",FALSE)</f>
        <v>63164</v>
      </c>
      <c r="X3460" s="203">
        <f>_xll.qlCalendarAdvance(Calendar,W3460,NDays&amp;"D")</f>
        <v>63166</v>
      </c>
      <c r="Y3460" s="204">
        <v>2.0538875425955283E-2</v>
      </c>
      <c r="Z3460" s="201">
        <v>2.0520469241436246E-2</v>
      </c>
    </row>
    <row r="3461" spans="22:26" x14ac:dyDescent="0.2">
      <c r="V3461" s="202" t="str">
        <f t="shared" si="62"/>
        <v>1w</v>
      </c>
      <c r="W3461" s="200">
        <f>_xll.qlCalendarAdvance(Calendar,W3460,V3461,"f",FALSE)</f>
        <v>63171</v>
      </c>
      <c r="X3461" s="203">
        <f>_xll.qlCalendarAdvance(Calendar,W3461,NDays&amp;"D")</f>
        <v>63173</v>
      </c>
      <c r="Y3461" s="204">
        <v>2.0538993754472268E-2</v>
      </c>
      <c r="Z3461" s="201">
        <v>2.0520590306993824E-2</v>
      </c>
    </row>
    <row r="3462" spans="22:26" x14ac:dyDescent="0.2">
      <c r="V3462" s="202" t="str">
        <f t="shared" si="62"/>
        <v>1w</v>
      </c>
      <c r="W3462" s="200">
        <f>_xll.qlCalendarAdvance(Calendar,W3461,V3462,"f",FALSE)</f>
        <v>63178</v>
      </c>
      <c r="X3462" s="203">
        <f>_xll.qlCalendarAdvance(Calendar,W3462,NDays&amp;"D")</f>
        <v>63180</v>
      </c>
      <c r="Y3462" s="204">
        <v>2.0539110750250333E-2</v>
      </c>
      <c r="Z3462" s="201">
        <v>2.0520710042015722E-2</v>
      </c>
    </row>
    <row r="3463" spans="22:26" x14ac:dyDescent="0.2">
      <c r="V3463" s="202" t="str">
        <f t="shared" si="62"/>
        <v>1w</v>
      </c>
      <c r="W3463" s="200">
        <f>_xll.qlCalendarAdvance(Calendar,W3462,V3463,"f",FALSE)</f>
        <v>63185</v>
      </c>
      <c r="X3463" s="203">
        <f>_xll.qlCalendarAdvance(Calendar,W3463,NDays&amp;"D")</f>
        <v>63187</v>
      </c>
      <c r="Y3463" s="204">
        <v>2.0539226413286982E-2</v>
      </c>
      <c r="Z3463" s="201">
        <v>2.052082844666181E-2</v>
      </c>
    </row>
    <row r="3464" spans="22:26" x14ac:dyDescent="0.2">
      <c r="V3464" s="202" t="str">
        <f t="shared" si="62"/>
        <v>1w</v>
      </c>
      <c r="W3464" s="200">
        <f>_xll.qlCalendarAdvance(Calendar,W3463,V3464,"f",FALSE)</f>
        <v>63192</v>
      </c>
      <c r="X3464" s="203">
        <f>_xll.qlCalendarAdvance(Calendar,W3464,NDays&amp;"D")</f>
        <v>63194</v>
      </c>
      <c r="Y3464" s="204">
        <v>2.0539340743574719E-2</v>
      </c>
      <c r="Z3464" s="201">
        <v>2.0520945521012024E-2</v>
      </c>
    </row>
    <row r="3465" spans="22:26" x14ac:dyDescent="0.2">
      <c r="V3465" s="202" t="str">
        <f t="shared" si="62"/>
        <v>1w</v>
      </c>
      <c r="W3465" s="200">
        <f>_xll.qlCalendarAdvance(Calendar,W3464,V3465,"f",FALSE)</f>
        <v>63199</v>
      </c>
      <c r="X3465" s="203">
        <f>_xll.qlCalendarAdvance(Calendar,W3465,NDays&amp;"D")</f>
        <v>63201</v>
      </c>
      <c r="Y3465" s="204">
        <v>2.0539453741131031E-2</v>
      </c>
      <c r="Z3465" s="201">
        <v>2.0521061265066365E-2</v>
      </c>
    </row>
    <row r="3466" spans="22:26" x14ac:dyDescent="0.2">
      <c r="V3466" s="202" t="str">
        <f t="shared" si="62"/>
        <v>1w</v>
      </c>
      <c r="W3466" s="200">
        <f>_xll.qlCalendarAdvance(Calendar,W3465,V3466,"f",FALSE)</f>
        <v>63206</v>
      </c>
      <c r="X3466" s="203">
        <f>_xll.qlCalendarAdvance(Calendar,W3466,NDays&amp;"D")</f>
        <v>63208</v>
      </c>
      <c r="Y3466" s="204">
        <v>2.0539565405938431E-2</v>
      </c>
      <c r="Z3466" s="201">
        <v>2.0521175678505088E-2</v>
      </c>
    </row>
    <row r="3467" spans="22:26" x14ac:dyDescent="0.2">
      <c r="V3467" s="202" t="str">
        <f t="shared" si="62"/>
        <v>1w</v>
      </c>
      <c r="W3467" s="200">
        <f>_xll.qlCalendarAdvance(Calendar,W3466,V3467,"f",FALSE)</f>
        <v>63213</v>
      </c>
      <c r="X3467" s="203">
        <f>_xll.qlCalendarAdvance(Calendar,W3467,NDays&amp;"D")</f>
        <v>63215</v>
      </c>
      <c r="Y3467" s="204">
        <v>2.0539675738001917E-2</v>
      </c>
      <c r="Z3467" s="201">
        <v>2.0521288761568002E-2</v>
      </c>
    </row>
    <row r="3468" spans="22:26" x14ac:dyDescent="0.2">
      <c r="V3468" s="202" t="str">
        <f t="shared" si="62"/>
        <v>1w</v>
      </c>
      <c r="W3468" s="200">
        <f>_xll.qlCalendarAdvance(Calendar,W3467,V3468,"f",FALSE)</f>
        <v>63220</v>
      </c>
      <c r="X3468" s="203">
        <f>_xll.qlCalendarAdvance(Calendar,W3468,NDays&amp;"D")</f>
        <v>63222</v>
      </c>
      <c r="Y3468" s="204">
        <v>2.0537411819705156E-2</v>
      </c>
      <c r="Z3468" s="201">
        <v>2.0521400514414978E-2</v>
      </c>
    </row>
    <row r="3469" spans="22:26" x14ac:dyDescent="0.2">
      <c r="V3469" s="202" t="str">
        <f t="shared" si="62"/>
        <v>1w</v>
      </c>
      <c r="W3469" s="200">
        <f>_xll.qlCalendarAdvance(Calendar,W3468,V3469,"f",FALSE)</f>
        <v>63227</v>
      </c>
      <c r="X3469" s="203">
        <f>_xll.qlCalendarAdvance(Calendar,W3469,NDays&amp;"D")</f>
        <v>63229</v>
      </c>
      <c r="Y3469" s="204">
        <v>2.0537519842438772E-2</v>
      </c>
      <c r="Z3469" s="201">
        <v>2.0521510936726273E-2</v>
      </c>
    </row>
    <row r="3470" spans="22:26" x14ac:dyDescent="0.2">
      <c r="V3470" s="202" t="str">
        <f t="shared" si="62"/>
        <v>1w</v>
      </c>
      <c r="W3470" s="200">
        <f>_xll.qlCalendarAdvance(Calendar,W3469,V3470,"f",FALSE)</f>
        <v>63234</v>
      </c>
      <c r="X3470" s="203">
        <f>_xll.qlCalendarAdvance(Calendar,W3470,NDays&amp;"D")</f>
        <v>63236</v>
      </c>
      <c r="Y3470" s="204">
        <v>2.0537626532738225E-2</v>
      </c>
      <c r="Z3470" s="201">
        <v>2.0521620028581822E-2</v>
      </c>
    </row>
    <row r="3471" spans="22:26" x14ac:dyDescent="0.2">
      <c r="V3471" s="202" t="str">
        <f t="shared" si="62"/>
        <v>1w</v>
      </c>
      <c r="W3471" s="200">
        <f>_xll.qlCalendarAdvance(Calendar,W3470,V3471,"f",FALSE)</f>
        <v>63241</v>
      </c>
      <c r="X3471" s="203">
        <f>_xll.qlCalendarAdvance(Calendar,W3471,NDays&amp;"D")</f>
        <v>63243</v>
      </c>
      <c r="Y3471" s="204">
        <v>2.0537731890594949E-2</v>
      </c>
      <c r="Z3471" s="201">
        <v>2.0521727790221433E-2</v>
      </c>
    </row>
    <row r="3472" spans="22:26" x14ac:dyDescent="0.2">
      <c r="V3472" s="202" t="str">
        <f t="shared" si="62"/>
        <v>1w</v>
      </c>
      <c r="W3472" s="200">
        <f>_xll.qlCalendarAdvance(Calendar,W3471,V3472,"f",FALSE)</f>
        <v>63248</v>
      </c>
      <c r="X3472" s="203">
        <f>_xll.qlCalendarAdvance(Calendar,W3472,NDays&amp;"D")</f>
        <v>63250</v>
      </c>
      <c r="Y3472" s="204">
        <v>2.0540207407215572E-2</v>
      </c>
      <c r="Z3472" s="201">
        <v>2.05218342214053E-2</v>
      </c>
    </row>
    <row r="3473" spans="22:26" x14ac:dyDescent="0.2">
      <c r="V3473" s="202" t="str">
        <f t="shared" si="62"/>
        <v>1w</v>
      </c>
      <c r="W3473" s="200">
        <f>_xll.qlCalendarAdvance(Calendar,W3472,V3473,"f",FALSE)</f>
        <v>63255</v>
      </c>
      <c r="X3473" s="203">
        <f>_xll.qlCalendarAdvance(Calendar,W3473,NDays&amp;"D")</f>
        <v>63257</v>
      </c>
      <c r="Y3473" s="204">
        <v>2.054030974283555E-2</v>
      </c>
      <c r="Z3473" s="201">
        <v>2.0521939322293292E-2</v>
      </c>
    </row>
    <row r="3474" spans="22:26" x14ac:dyDescent="0.2">
      <c r="V3474" s="202" t="str">
        <f t="shared" si="62"/>
        <v>1w</v>
      </c>
      <c r="W3474" s="200">
        <f>_xll.qlCalendarAdvance(Calendar,W3473,V3474,"f",FALSE)</f>
        <v>63262</v>
      </c>
      <c r="X3474" s="203">
        <f>_xll.qlCalendarAdvance(Calendar,W3474,NDays&amp;"D")</f>
        <v>63264</v>
      </c>
      <c r="Y3474" s="204">
        <v>2.0540410745704119E-2</v>
      </c>
      <c r="Z3474" s="201">
        <v>2.0522043092565667E-2</v>
      </c>
    </row>
    <row r="3475" spans="22:26" x14ac:dyDescent="0.2">
      <c r="V3475" s="202" t="str">
        <f t="shared" si="62"/>
        <v>1w</v>
      </c>
      <c r="W3475" s="200">
        <f>_xll.qlCalendarAdvance(Calendar,W3474,V3475,"f",FALSE)</f>
        <v>63269</v>
      </c>
      <c r="X3475" s="203">
        <f>_xll.qlCalendarAdvance(Calendar,W3475,NDays&amp;"D")</f>
        <v>63271</v>
      </c>
      <c r="Y3475" s="204">
        <v>2.0540510415836266E-2</v>
      </c>
      <c r="Z3475" s="201">
        <v>2.0524514438957198E-2</v>
      </c>
    </row>
    <row r="3476" spans="22:26" x14ac:dyDescent="0.2">
      <c r="V3476" s="202" t="str">
        <f t="shared" si="62"/>
        <v>1w</v>
      </c>
      <c r="W3476" s="200">
        <f>_xll.qlCalendarAdvance(Calendar,W3475,V3476,"f",FALSE)</f>
        <v>63276</v>
      </c>
      <c r="X3476" s="203">
        <f>_xll.qlCalendarAdvance(Calendar,W3476,NDays&amp;"D")</f>
        <v>63278</v>
      </c>
      <c r="Y3476" s="204">
        <v>2.0538831187320028E-2</v>
      </c>
      <c r="Z3476" s="201">
        <v>2.0522246642382669E-2</v>
      </c>
    </row>
    <row r="3477" spans="22:26" x14ac:dyDescent="0.2">
      <c r="V3477" s="202" t="str">
        <f t="shared" ref="V3477:V3540" si="63">V3476</f>
        <v>1w</v>
      </c>
      <c r="W3477" s="200">
        <f>_xll.qlCalendarAdvance(Calendar,W3476,V3477,"f",FALSE)</f>
        <v>63283</v>
      </c>
      <c r="X3477" s="203">
        <f>_xll.qlCalendarAdvance(Calendar,W3477,NDays&amp;"D")</f>
        <v>63285</v>
      </c>
      <c r="Y3477" s="204">
        <v>2.0540705757878808E-2</v>
      </c>
      <c r="Z3477" s="201">
        <v>2.0522346421527615E-2</v>
      </c>
    </row>
    <row r="3478" spans="22:26" x14ac:dyDescent="0.2">
      <c r="V3478" s="202" t="str">
        <f t="shared" si="63"/>
        <v>1w</v>
      </c>
      <c r="W3478" s="200">
        <f>_xll.qlCalendarAdvance(Calendar,W3477,V3478,"f",FALSE)</f>
        <v>63290</v>
      </c>
      <c r="X3478" s="203">
        <f>_xll.qlCalendarAdvance(Calendar,W3478,NDays&amp;"D")</f>
        <v>63292</v>
      </c>
      <c r="Y3478" s="204">
        <v>2.0540801429781708E-2</v>
      </c>
      <c r="Z3478" s="201">
        <v>2.0522444870296752E-2</v>
      </c>
    </row>
    <row r="3479" spans="22:26" x14ac:dyDescent="0.2">
      <c r="V3479" s="202" t="str">
        <f t="shared" si="63"/>
        <v>1w</v>
      </c>
      <c r="W3479" s="200">
        <f>_xll.qlCalendarAdvance(Calendar,W3478,V3479,"f",FALSE)</f>
        <v>63297</v>
      </c>
      <c r="X3479" s="203">
        <f>_xll.qlCalendarAdvance(Calendar,W3479,NDays&amp;"D")</f>
        <v>63299</v>
      </c>
      <c r="Y3479" s="204">
        <v>2.0540895768948186E-2</v>
      </c>
      <c r="Z3479" s="201">
        <v>2.0522541988849952E-2</v>
      </c>
    </row>
    <row r="3480" spans="22:26" x14ac:dyDescent="0.2">
      <c r="V3480" s="202" t="str">
        <f t="shared" si="63"/>
        <v>1w</v>
      </c>
      <c r="W3480" s="200">
        <f>_xll.qlCalendarAdvance(Calendar,W3479,V3480,"f",FALSE)</f>
        <v>63304</v>
      </c>
      <c r="X3480" s="203">
        <f>_xll.qlCalendarAdvance(Calendar,W3480,NDays&amp;"D")</f>
        <v>63306</v>
      </c>
      <c r="Y3480" s="204">
        <v>2.054098877537075E-2</v>
      </c>
      <c r="Z3480" s="201">
        <v>2.0522637776947406E-2</v>
      </c>
    </row>
    <row r="3481" spans="22:26" x14ac:dyDescent="0.2">
      <c r="V3481" s="202" t="str">
        <f t="shared" si="63"/>
        <v>1w</v>
      </c>
      <c r="W3481" s="200">
        <f>_xll.qlCalendarAdvance(Calendar,W3480,V3481,"f",FALSE)</f>
        <v>63311</v>
      </c>
      <c r="X3481" s="203">
        <f>_xll.qlCalendarAdvance(Calendar,W3481,NDays&amp;"D")</f>
        <v>63313</v>
      </c>
      <c r="Y3481" s="204">
        <v>2.0541080449049398E-2</v>
      </c>
      <c r="Z3481" s="201">
        <v>2.0522732234589114E-2</v>
      </c>
    </row>
    <row r="3482" spans="22:26" x14ac:dyDescent="0.2">
      <c r="V3482" s="202" t="str">
        <f t="shared" si="63"/>
        <v>1w</v>
      </c>
      <c r="W3482" s="200">
        <f>_xll.qlCalendarAdvance(Calendar,W3481,V3482,"f",FALSE)</f>
        <v>63318</v>
      </c>
      <c r="X3482" s="203">
        <f>_xll.qlCalendarAdvance(Calendar,W3482,NDays&amp;"D")</f>
        <v>63320</v>
      </c>
      <c r="Y3482" s="204">
        <v>2.0541170789984131E-2</v>
      </c>
      <c r="Z3482" s="201">
        <v>2.0522825361855013E-2</v>
      </c>
    </row>
    <row r="3483" spans="22:26" x14ac:dyDescent="0.2">
      <c r="V3483" s="202" t="str">
        <f t="shared" si="63"/>
        <v>1w</v>
      </c>
      <c r="W3483" s="200">
        <f>_xll.qlCalendarAdvance(Calendar,W3482,V3483,"f",FALSE)</f>
        <v>63325</v>
      </c>
      <c r="X3483" s="203">
        <f>_xll.qlCalendarAdvance(Calendar,W3483,NDays&amp;"D")</f>
        <v>63327</v>
      </c>
      <c r="Y3483" s="204">
        <v>2.0541259798182443E-2</v>
      </c>
      <c r="Z3483" s="201">
        <v>2.0522917158825038E-2</v>
      </c>
    </row>
    <row r="3484" spans="22:26" x14ac:dyDescent="0.2">
      <c r="V3484" s="202" t="str">
        <f t="shared" si="63"/>
        <v>1w</v>
      </c>
      <c r="W3484" s="200">
        <f>_xll.qlCalendarAdvance(Calendar,W3483,V3484,"f",FALSE)</f>
        <v>63332</v>
      </c>
      <c r="X3484" s="203">
        <f>_xll.qlCalendarAdvance(Calendar,W3484,NDays&amp;"D")</f>
        <v>63334</v>
      </c>
      <c r="Y3484" s="204">
        <v>2.054134747363684E-2</v>
      </c>
      <c r="Z3484" s="201">
        <v>2.0523007625339318E-2</v>
      </c>
    </row>
    <row r="3485" spans="22:26" x14ac:dyDescent="0.2">
      <c r="V3485" s="202" t="str">
        <f t="shared" si="63"/>
        <v>1w</v>
      </c>
      <c r="W3485" s="200">
        <f>_xll.qlCalendarAdvance(Calendar,W3484,V3485,"f",FALSE)</f>
        <v>63339</v>
      </c>
      <c r="X3485" s="203">
        <f>_xll.qlCalendarAdvance(Calendar,W3485,NDays&amp;"D")</f>
        <v>63341</v>
      </c>
      <c r="Y3485" s="204">
        <v>2.0541433816342325E-2</v>
      </c>
      <c r="Z3485" s="201">
        <v>2.0523096761477788E-2</v>
      </c>
    </row>
    <row r="3486" spans="22:26" x14ac:dyDescent="0.2">
      <c r="V3486" s="202" t="str">
        <f t="shared" si="63"/>
        <v>1w</v>
      </c>
      <c r="W3486" s="200">
        <f>_xll.qlCalendarAdvance(Calendar,W3485,V3486,"f",FALSE)</f>
        <v>63346</v>
      </c>
      <c r="X3486" s="203">
        <f>_xll.qlCalendarAdvance(Calendar,W3486,NDays&amp;"D")</f>
        <v>63348</v>
      </c>
      <c r="Y3486" s="204">
        <v>2.0541518826313887E-2</v>
      </c>
      <c r="Z3486" s="201">
        <v>2.0523184567160513E-2</v>
      </c>
    </row>
    <row r="3487" spans="22:26" x14ac:dyDescent="0.2">
      <c r="V3487" s="202" t="str">
        <f t="shared" si="63"/>
        <v>1w</v>
      </c>
      <c r="W3487" s="200">
        <f>_xll.qlCalendarAdvance(Calendar,W3486,V3487,"f",FALSE)</f>
        <v>63353</v>
      </c>
      <c r="X3487" s="203">
        <f>_xll.qlCalendarAdvance(Calendar,W3487,NDays&amp;"D")</f>
        <v>63355</v>
      </c>
      <c r="Y3487" s="204">
        <v>2.0541602503536538E-2</v>
      </c>
      <c r="Z3487" s="201">
        <v>2.0523271042467428E-2</v>
      </c>
    </row>
    <row r="3488" spans="22:26" x14ac:dyDescent="0.2">
      <c r="V3488" s="202" t="str">
        <f t="shared" si="63"/>
        <v>1w</v>
      </c>
      <c r="W3488" s="200">
        <f>_xll.qlCalendarAdvance(Calendar,W3487,V3488,"f",FALSE)</f>
        <v>63360</v>
      </c>
      <c r="X3488" s="203">
        <f>_xll.qlCalendarAdvance(Calendar,W3488,NDays&amp;"D")</f>
        <v>63362</v>
      </c>
      <c r="Y3488" s="204">
        <v>2.0541684848017772E-2</v>
      </c>
      <c r="Z3488" s="201">
        <v>2.0523356187398534E-2</v>
      </c>
    </row>
    <row r="3489" spans="22:26" x14ac:dyDescent="0.2">
      <c r="V3489" s="202" t="str">
        <f t="shared" si="63"/>
        <v>1w</v>
      </c>
      <c r="W3489" s="200">
        <f>_xll.qlCalendarAdvance(Calendar,W3488,V3489,"f",FALSE)</f>
        <v>63367</v>
      </c>
      <c r="X3489" s="203">
        <f>_xll.qlCalendarAdvance(Calendar,W3489,NDays&amp;"D")</f>
        <v>63369</v>
      </c>
      <c r="Y3489" s="204">
        <v>2.0541765859760086E-2</v>
      </c>
      <c r="Z3489" s="201">
        <v>2.0523440002033766E-2</v>
      </c>
    </row>
    <row r="3490" spans="22:26" x14ac:dyDescent="0.2">
      <c r="V3490" s="202" t="str">
        <f t="shared" si="63"/>
        <v>1w</v>
      </c>
      <c r="W3490" s="200">
        <f>_xll.qlCalendarAdvance(Calendar,W3489,V3490,"f",FALSE)</f>
        <v>63374</v>
      </c>
      <c r="X3490" s="203">
        <f>_xll.qlCalendarAdvance(Calendar,W3490,NDays&amp;"D")</f>
        <v>63376</v>
      </c>
      <c r="Y3490" s="204">
        <v>2.0541845538758485E-2</v>
      </c>
      <c r="Z3490" s="201">
        <v>2.0523522486133317E-2</v>
      </c>
    </row>
    <row r="3491" spans="22:26" x14ac:dyDescent="0.2">
      <c r="V3491" s="202" t="str">
        <f t="shared" si="63"/>
        <v>1w</v>
      </c>
      <c r="W3491" s="200">
        <f>_xll.qlCalendarAdvance(Calendar,W3490,V3491,"f",FALSE)</f>
        <v>63381</v>
      </c>
      <c r="X3491" s="203">
        <f>_xll.qlCalendarAdvance(Calendar,W3491,NDays&amp;"D")</f>
        <v>63383</v>
      </c>
      <c r="Y3491" s="204">
        <v>2.0541923885015467E-2</v>
      </c>
      <c r="Z3491" s="201">
        <v>2.052360364001693E-2</v>
      </c>
    </row>
    <row r="3492" spans="22:26" x14ac:dyDescent="0.2">
      <c r="V3492" s="202" t="str">
        <f t="shared" si="63"/>
        <v>1w</v>
      </c>
      <c r="W3492" s="200">
        <f>_xll.qlCalendarAdvance(Calendar,W3491,V3492,"f",FALSE)</f>
        <v>63388</v>
      </c>
      <c r="X3492" s="203">
        <f>_xll.qlCalendarAdvance(Calendar,W3492,NDays&amp;"D")</f>
        <v>63390</v>
      </c>
      <c r="Y3492" s="204">
        <v>2.0542000898526036E-2</v>
      </c>
      <c r="Z3492" s="201">
        <v>2.0523683463364861E-2</v>
      </c>
    </row>
    <row r="3493" spans="22:26" x14ac:dyDescent="0.2">
      <c r="V3493" s="202" t="str">
        <f t="shared" si="63"/>
        <v>1w</v>
      </c>
      <c r="W3493" s="200">
        <f>_xll.qlCalendarAdvance(Calendar,W3492,V3493,"f",FALSE)</f>
        <v>63395</v>
      </c>
      <c r="X3493" s="203">
        <f>_xll.qlCalendarAdvance(Calendar,W3493,NDays&amp;"D")</f>
        <v>63397</v>
      </c>
      <c r="Y3493" s="204">
        <v>2.0542076579297686E-2</v>
      </c>
      <c r="Z3493" s="201">
        <v>2.0523761956496855E-2</v>
      </c>
    </row>
    <row r="3494" spans="22:26" x14ac:dyDescent="0.2">
      <c r="V3494" s="202" t="str">
        <f t="shared" si="63"/>
        <v>1w</v>
      </c>
      <c r="W3494" s="200">
        <f>_xll.qlCalendarAdvance(Calendar,W3493,V3494,"f",FALSE)</f>
        <v>63402</v>
      </c>
      <c r="X3494" s="203">
        <f>_xll.qlCalendarAdvance(Calendar,W3494,NDays&amp;"D")</f>
        <v>63404</v>
      </c>
      <c r="Y3494" s="204">
        <v>2.054215092732542E-2</v>
      </c>
      <c r="Z3494" s="201">
        <v>2.0523839119013232E-2</v>
      </c>
    </row>
    <row r="3495" spans="22:26" x14ac:dyDescent="0.2">
      <c r="V3495" s="202" t="str">
        <f t="shared" si="63"/>
        <v>1w</v>
      </c>
      <c r="W3495" s="200">
        <f>_xll.qlCalendarAdvance(Calendar,W3494,V3495,"f",FALSE)</f>
        <v>63409</v>
      </c>
      <c r="X3495" s="203">
        <f>_xll.qlCalendarAdvance(Calendar,W3495,NDays&amp;"D")</f>
        <v>63411</v>
      </c>
      <c r="Y3495" s="204">
        <v>2.0542223942609239E-2</v>
      </c>
      <c r="Z3495" s="201">
        <v>2.0523914951153799E-2</v>
      </c>
    </row>
    <row r="3496" spans="22:26" x14ac:dyDescent="0.2">
      <c r="V3496" s="202" t="str">
        <f t="shared" si="63"/>
        <v>1w</v>
      </c>
      <c r="W3496" s="200">
        <f>_xll.qlCalendarAdvance(Calendar,W3495,V3496,"f",FALSE)</f>
        <v>63416</v>
      </c>
      <c r="X3496" s="203">
        <f>_xll.qlCalendarAdvance(Calendar,W3496,NDays&amp;"D")</f>
        <v>63418</v>
      </c>
      <c r="Y3496" s="204">
        <v>2.0542295625151641E-2</v>
      </c>
      <c r="Z3496" s="201">
        <v>2.0523989453078428E-2</v>
      </c>
    </row>
    <row r="3497" spans="22:26" x14ac:dyDescent="0.2">
      <c r="V3497" s="202" t="str">
        <f t="shared" si="63"/>
        <v>1w</v>
      </c>
      <c r="W3497" s="200">
        <f>_xll.qlCalendarAdvance(Calendar,W3496,V3497,"f",FALSE)</f>
        <v>63423</v>
      </c>
      <c r="X3497" s="203">
        <f>_xll.qlCalendarAdvance(Calendar,W3497,NDays&amp;"D")</f>
        <v>63425</v>
      </c>
      <c r="Y3497" s="204">
        <v>2.0542365974952626E-2</v>
      </c>
      <c r="Z3497" s="201">
        <v>2.0524062624467376E-2</v>
      </c>
    </row>
    <row r="3498" spans="22:26" x14ac:dyDescent="0.2">
      <c r="V3498" s="202" t="str">
        <f t="shared" si="63"/>
        <v>1w</v>
      </c>
      <c r="W3498" s="200">
        <f>_xll.qlCalendarAdvance(Calendar,W3497,V3498,"f",FALSE)</f>
        <v>63430</v>
      </c>
      <c r="X3498" s="203">
        <f>_xll.qlCalendarAdvance(Calendar,W3498,NDays&amp;"D")</f>
        <v>63432</v>
      </c>
      <c r="Y3498" s="204">
        <v>2.0540663395649909E-2</v>
      </c>
      <c r="Z3498" s="201">
        <v>2.0524134465560451E-2</v>
      </c>
    </row>
    <row r="3499" spans="22:26" x14ac:dyDescent="0.2">
      <c r="V3499" s="202" t="str">
        <f t="shared" si="63"/>
        <v>1w</v>
      </c>
      <c r="W3499" s="200">
        <f>_xll.qlCalendarAdvance(Calendar,W3498,V3499,"f",FALSE)</f>
        <v>63437</v>
      </c>
      <c r="X3499" s="203">
        <f>_xll.qlCalendarAdvance(Calendar,W3499,NDays&amp;"D")</f>
        <v>63439</v>
      </c>
      <c r="Y3499" s="204">
        <v>2.0542502676320351E-2</v>
      </c>
      <c r="Z3499" s="201">
        <v>2.0524204976117844E-2</v>
      </c>
    </row>
    <row r="3500" spans="22:26" x14ac:dyDescent="0.2">
      <c r="V3500" s="202" t="str">
        <f t="shared" si="63"/>
        <v>1w</v>
      </c>
      <c r="W3500" s="200">
        <f>_xll.qlCalendarAdvance(Calendar,W3499,V3500,"f",FALSE)</f>
        <v>63444</v>
      </c>
      <c r="X3500" s="203">
        <f>_xll.qlCalendarAdvance(Calendar,W3500,NDays&amp;"D")</f>
        <v>63446</v>
      </c>
      <c r="Y3500" s="204">
        <v>2.0542569027892088E-2</v>
      </c>
      <c r="Z3500" s="201">
        <v>2.0524274156379363E-2</v>
      </c>
    </row>
    <row r="3501" spans="22:26" x14ac:dyDescent="0.2">
      <c r="V3501" s="202" t="str">
        <f t="shared" si="63"/>
        <v>1w</v>
      </c>
      <c r="W3501" s="200">
        <f>_xll.qlCalendarAdvance(Calendar,W3500,V3501,"f",FALSE)</f>
        <v>63451</v>
      </c>
      <c r="X3501" s="203">
        <f>_xll.qlCalendarAdvance(Calendar,W3501,NDays&amp;"D")</f>
        <v>63453</v>
      </c>
      <c r="Y3501" s="204">
        <v>2.054263404671991E-2</v>
      </c>
      <c r="Z3501" s="201">
        <v>2.0524342006265073E-2</v>
      </c>
    </row>
    <row r="3502" spans="22:26" x14ac:dyDescent="0.2">
      <c r="V3502" s="202" t="str">
        <f t="shared" si="63"/>
        <v>1w</v>
      </c>
      <c r="W3502" s="200">
        <f>_xll.qlCalendarAdvance(Calendar,W3501,V3502,"f",FALSE)</f>
        <v>63458</v>
      </c>
      <c r="X3502" s="203">
        <f>_xll.qlCalendarAdvance(Calendar,W3502,NDays&amp;"D")</f>
        <v>63460</v>
      </c>
      <c r="Y3502" s="204">
        <v>2.0542697732808812E-2</v>
      </c>
      <c r="Z3502" s="201">
        <v>2.0524408525934845E-2</v>
      </c>
    </row>
    <row r="3503" spans="22:26" x14ac:dyDescent="0.2">
      <c r="V3503" s="202" t="str">
        <f t="shared" si="63"/>
        <v>1w</v>
      </c>
      <c r="W3503" s="200">
        <f>_xll.qlCalendarAdvance(Calendar,W3502,V3503,"f",FALSE)</f>
        <v>63465</v>
      </c>
      <c r="X3503" s="203">
        <f>_xll.qlCalendarAdvance(Calendar,W3503,NDays&amp;"D")</f>
        <v>63467</v>
      </c>
      <c r="Y3503" s="204">
        <v>2.0542760086148804E-2</v>
      </c>
      <c r="Z3503" s="201">
        <v>2.0524473714829128E-2</v>
      </c>
    </row>
    <row r="3504" spans="22:26" x14ac:dyDescent="0.2">
      <c r="V3504" s="202" t="str">
        <f t="shared" si="63"/>
        <v>1w</v>
      </c>
      <c r="W3504" s="200">
        <f>_xll.qlCalendarAdvance(Calendar,W3503,V3504,"f",FALSE)</f>
        <v>63472</v>
      </c>
      <c r="X3504" s="203">
        <f>_xll.qlCalendarAdvance(Calendar,W3504,NDays&amp;"D")</f>
        <v>63474</v>
      </c>
      <c r="Y3504" s="204">
        <v>2.0542821106747378E-2</v>
      </c>
      <c r="Z3504" s="201">
        <v>2.0524537573587409E-2</v>
      </c>
    </row>
    <row r="3505" spans="22:26" x14ac:dyDescent="0.2">
      <c r="V3505" s="202" t="str">
        <f t="shared" si="63"/>
        <v>1w</v>
      </c>
      <c r="W3505" s="200">
        <f>_xll.qlCalendarAdvance(Calendar,W3504,V3505,"f",FALSE)</f>
        <v>63479</v>
      </c>
      <c r="X3505" s="203">
        <f>_xll.qlCalendarAdvance(Calendar,W3505,NDays&amp;"D")</f>
        <v>63481</v>
      </c>
      <c r="Y3505" s="204">
        <v>2.054288079460953E-2</v>
      </c>
      <c r="Z3505" s="201">
        <v>2.0524600101969881E-2</v>
      </c>
    </row>
    <row r="3506" spans="22:26" x14ac:dyDescent="0.2">
      <c r="V3506" s="202" t="str">
        <f t="shared" si="63"/>
        <v>1w</v>
      </c>
      <c r="W3506" s="200">
        <f>_xll.qlCalendarAdvance(Calendar,W3505,V3506,"f",FALSE)</f>
        <v>63486</v>
      </c>
      <c r="X3506" s="203">
        <f>_xll.qlCalendarAdvance(Calendar,W3506,NDays&amp;"D")</f>
        <v>63488</v>
      </c>
      <c r="Y3506" s="204">
        <v>2.0542939149720274E-2</v>
      </c>
      <c r="Z3506" s="201">
        <v>2.0524661299976543E-2</v>
      </c>
    </row>
    <row r="3507" spans="22:26" x14ac:dyDescent="0.2">
      <c r="V3507" s="202" t="str">
        <f t="shared" si="63"/>
        <v>1w</v>
      </c>
      <c r="W3507" s="200">
        <f>_xll.qlCalendarAdvance(Calendar,W3506,V3507,"f",FALSE)</f>
        <v>63493</v>
      </c>
      <c r="X3507" s="203">
        <f>_xll.qlCalendarAdvance(Calendar,W3507,NDays&amp;"D")</f>
        <v>63495</v>
      </c>
      <c r="Y3507" s="204">
        <v>2.05429961720896E-2</v>
      </c>
      <c r="Z3507" s="201">
        <v>2.0524721167367588E-2</v>
      </c>
    </row>
    <row r="3508" spans="22:26" x14ac:dyDescent="0.2">
      <c r="V3508" s="202" t="str">
        <f t="shared" si="63"/>
        <v>1w</v>
      </c>
      <c r="W3508" s="200">
        <f>_xll.qlCalendarAdvance(Calendar,W3507,V3508,"f",FALSE)</f>
        <v>63500</v>
      </c>
      <c r="X3508" s="203">
        <f>_xll.qlCalendarAdvance(Calendar,W3508,NDays&amp;"D")</f>
        <v>63502</v>
      </c>
      <c r="Y3508" s="204">
        <v>2.0543051861722506E-2</v>
      </c>
      <c r="Z3508" s="201">
        <v>2.0524779704622631E-2</v>
      </c>
    </row>
    <row r="3509" spans="22:26" x14ac:dyDescent="0.2">
      <c r="V3509" s="202" t="str">
        <f t="shared" si="63"/>
        <v>1w</v>
      </c>
      <c r="W3509" s="200">
        <f>_xll.qlCalendarAdvance(Calendar,W3508,V3509,"f",FALSE)</f>
        <v>63507</v>
      </c>
      <c r="X3509" s="203">
        <f>_xll.qlCalendarAdvance(Calendar,W3509,NDays&amp;"D")</f>
        <v>63509</v>
      </c>
      <c r="Y3509" s="204">
        <v>2.0543106218606499E-2</v>
      </c>
      <c r="Z3509" s="201">
        <v>2.0524836911421929E-2</v>
      </c>
    </row>
    <row r="3510" spans="22:26" x14ac:dyDescent="0.2">
      <c r="V3510" s="202" t="str">
        <f t="shared" si="63"/>
        <v>1w</v>
      </c>
      <c r="W3510" s="200">
        <f>_xll.qlCalendarAdvance(Calendar,W3509,V3510,"f",FALSE)</f>
        <v>63514</v>
      </c>
      <c r="X3510" s="203">
        <f>_xll.qlCalendarAdvance(Calendar,W3510,NDays&amp;"D")</f>
        <v>63516</v>
      </c>
      <c r="Y3510" s="204">
        <v>2.0544338173349573E-2</v>
      </c>
      <c r="Z3510" s="201">
        <v>2.0524892787765481E-2</v>
      </c>
    </row>
    <row r="3511" spans="22:26" x14ac:dyDescent="0.2">
      <c r="V3511" s="202" t="str">
        <f t="shared" si="63"/>
        <v>1w</v>
      </c>
      <c r="W3511" s="200">
        <f>_xll.qlCalendarAdvance(Calendar,W3510,V3511,"f",FALSE)</f>
        <v>63521</v>
      </c>
      <c r="X3511" s="203">
        <f>_xll.qlCalendarAdvance(Calendar,W3511,NDays&amp;"D")</f>
        <v>63523</v>
      </c>
      <c r="Y3511" s="204">
        <v>2.0541442917093165E-2</v>
      </c>
      <c r="Z3511" s="201">
        <v>2.0524947333653287E-2</v>
      </c>
    </row>
    <row r="3512" spans="22:26" x14ac:dyDescent="0.2">
      <c r="V3512" s="202" t="str">
        <f t="shared" si="63"/>
        <v>1w</v>
      </c>
      <c r="W3512" s="200">
        <f>_xll.qlCalendarAdvance(Calendar,W3511,V3512,"f",FALSE)</f>
        <v>63528</v>
      </c>
      <c r="X3512" s="203">
        <f>_xll.qlCalendarAdvance(Calendar,W3512,NDays&amp;"D")</f>
        <v>63530</v>
      </c>
      <c r="Y3512" s="204">
        <v>2.0543261292802484E-2</v>
      </c>
      <c r="Z3512" s="201">
        <v>2.052500054924522E-2</v>
      </c>
    </row>
    <row r="3513" spans="22:26" x14ac:dyDescent="0.2">
      <c r="V3513" s="202" t="str">
        <f t="shared" si="63"/>
        <v>1w</v>
      </c>
      <c r="W3513" s="200">
        <f>_xll.qlCalendarAdvance(Calendar,W3512,V3513,"f",FALSE)</f>
        <v>63535</v>
      </c>
      <c r="X3513" s="203">
        <f>_xll.qlCalendarAdvance(Calendar,W3513,NDays&amp;"D")</f>
        <v>63537</v>
      </c>
      <c r="Y3513" s="204">
        <v>2.0543310318715813E-2</v>
      </c>
      <c r="Z3513" s="201">
        <v>2.052505243454128E-2</v>
      </c>
    </row>
    <row r="3514" spans="22:26" x14ac:dyDescent="0.2">
      <c r="V3514" s="202" t="str">
        <f t="shared" si="63"/>
        <v>1w</v>
      </c>
      <c r="W3514" s="200">
        <f>_xll.qlCalendarAdvance(Calendar,W3513,V3514,"f",FALSE)</f>
        <v>63542</v>
      </c>
      <c r="X3514" s="203">
        <f>_xll.qlCalendarAdvance(Calendar,W3514,NDays&amp;"D")</f>
        <v>63544</v>
      </c>
      <c r="Y3514" s="204">
        <v>2.0543358011882729E-2</v>
      </c>
      <c r="Z3514" s="201">
        <v>2.0525102989301658E-2</v>
      </c>
    </row>
    <row r="3515" spans="22:26" x14ac:dyDescent="0.2">
      <c r="V3515" s="202" t="str">
        <f t="shared" si="63"/>
        <v>1w</v>
      </c>
      <c r="W3515" s="200">
        <f>_xll.qlCalendarAdvance(Calendar,W3514,V3515,"f",FALSE)</f>
        <v>63550</v>
      </c>
      <c r="X3515" s="203">
        <f>_xll.qlCalendarAdvance(Calendar,W3515,NDays&amp;"D")</f>
        <v>63552</v>
      </c>
      <c r="Y3515" s="204">
        <v>2.0543999869667606E-2</v>
      </c>
      <c r="Z3515" s="201">
        <v>2.0526924865331697E-2</v>
      </c>
    </row>
    <row r="3516" spans="22:26" x14ac:dyDescent="0.2">
      <c r="V3516" s="202" t="str">
        <f t="shared" si="63"/>
        <v>1w</v>
      </c>
      <c r="W3516" s="200">
        <f>_xll.qlCalendarAdvance(Calendar,W3515,V3516,"f",FALSE)</f>
        <v>63557</v>
      </c>
      <c r="X3516" s="203">
        <f>_xll.qlCalendarAdvance(Calendar,W3516,NDays&amp;"D")</f>
        <v>63559</v>
      </c>
      <c r="Y3516" s="204">
        <v>2.054286684669316E-2</v>
      </c>
      <c r="Z3516" s="201">
        <v>2.0526383795056447E-2</v>
      </c>
    </row>
    <row r="3517" spans="22:26" x14ac:dyDescent="0.2">
      <c r="V3517" s="202" t="str">
        <f t="shared" si="63"/>
        <v>1w</v>
      </c>
      <c r="W3517" s="200">
        <f>_xll.qlCalendarAdvance(Calendar,W3516,V3517,"f",FALSE)</f>
        <v>63564</v>
      </c>
      <c r="X3517" s="203">
        <f>_xll.qlCalendarAdvance(Calendar,W3517,NDays&amp;"D")</f>
        <v>63566</v>
      </c>
      <c r="Y3517" s="204">
        <v>2.0542910443953157E-2</v>
      </c>
      <c r="Z3517" s="201">
        <v>2.0526429983869221E-2</v>
      </c>
    </row>
    <row r="3518" spans="22:26" x14ac:dyDescent="0.2">
      <c r="V3518" s="202" t="str">
        <f t="shared" si="63"/>
        <v>1w</v>
      </c>
      <c r="W3518" s="200">
        <f>_xll.qlCalendarAdvance(Calendar,W3517,V3518,"f",FALSE)</f>
        <v>63571</v>
      </c>
      <c r="X3518" s="203">
        <f>_xll.qlCalendarAdvance(Calendar,W3518,NDays&amp;"D")</f>
        <v>63573</v>
      </c>
      <c r="Y3518" s="204">
        <v>2.0542952708547561E-2</v>
      </c>
      <c r="Z3518" s="201">
        <v>2.0526474842119669E-2</v>
      </c>
    </row>
    <row r="3519" spans="22:26" x14ac:dyDescent="0.2">
      <c r="V3519" s="202" t="str">
        <f t="shared" si="63"/>
        <v>1w</v>
      </c>
      <c r="W3519" s="200">
        <f>_xll.qlCalendarAdvance(Calendar,W3518,V3519,"f",FALSE)</f>
        <v>63578</v>
      </c>
      <c r="X3519" s="203">
        <f>_xll.qlCalendarAdvance(Calendar,W3519,NDays&amp;"D")</f>
        <v>63580</v>
      </c>
      <c r="Y3519" s="204">
        <v>2.0542993640471217E-2</v>
      </c>
      <c r="Z3519" s="201">
        <v>2.052651836986108E-2</v>
      </c>
    </row>
    <row r="3520" spans="22:26" x14ac:dyDescent="0.2">
      <c r="V3520" s="202" t="str">
        <f t="shared" si="63"/>
        <v>1w</v>
      </c>
      <c r="W3520" s="200">
        <f>_xll.qlCalendarAdvance(Calendar,W3519,V3520,"f",FALSE)</f>
        <v>63585</v>
      </c>
      <c r="X3520" s="203">
        <f>_xll.qlCalendarAdvance(Calendar,W3520,NDays&amp;"D")</f>
        <v>63587</v>
      </c>
      <c r="Y3520" s="204">
        <v>2.0541267803591636E-2</v>
      </c>
      <c r="Z3520" s="201">
        <v>2.0526560567013519E-2</v>
      </c>
    </row>
    <row r="3521" spans="22:26" x14ac:dyDescent="0.2">
      <c r="V3521" s="202" t="str">
        <f t="shared" si="63"/>
        <v>1w</v>
      </c>
      <c r="W3521" s="200">
        <f>_xll.qlCalendarAdvance(Calendar,W3520,V3521,"f",FALSE)</f>
        <v>63592</v>
      </c>
      <c r="X3521" s="203">
        <f>_xll.qlCalendarAdvance(Calendar,W3521,NDays&amp;"D")</f>
        <v>63594</v>
      </c>
      <c r="Y3521" s="204">
        <v>2.0541306349166937E-2</v>
      </c>
      <c r="Z3521" s="201">
        <v>2.0526601433656921E-2</v>
      </c>
    </row>
    <row r="3522" spans="22:26" x14ac:dyDescent="0.2">
      <c r="V3522" s="202" t="str">
        <f t="shared" si="63"/>
        <v>1w</v>
      </c>
      <c r="W3522" s="200">
        <f>_xll.qlCalendarAdvance(Calendar,W3521,V3522,"f",FALSE)</f>
        <v>63599</v>
      </c>
      <c r="X3522" s="203">
        <f>_xll.qlCalendarAdvance(Calendar,W3522,NDays&amp;"D")</f>
        <v>63601</v>
      </c>
      <c r="Y3522" s="204">
        <v>2.054134356229095E-2</v>
      </c>
      <c r="Z3522" s="201">
        <v>2.0526640969737997E-2</v>
      </c>
    </row>
    <row r="3523" spans="22:26" x14ac:dyDescent="0.2">
      <c r="V3523" s="202" t="str">
        <f t="shared" si="63"/>
        <v>1w</v>
      </c>
      <c r="W3523" s="200">
        <f>_xll.qlCalendarAdvance(Calendar,W3522,V3523,"f",FALSE)</f>
        <v>63606</v>
      </c>
      <c r="X3523" s="203">
        <f>_xll.qlCalendarAdvance(Calendar,W3523,NDays&amp;"D")</f>
        <v>63608</v>
      </c>
      <c r="Y3523" s="204">
        <v>2.0541379442983652E-2</v>
      </c>
      <c r="Z3523" s="201">
        <v>2.0526679175283391E-2</v>
      </c>
    </row>
    <row r="3524" spans="22:26" x14ac:dyDescent="0.2">
      <c r="V3524" s="202" t="str">
        <f t="shared" si="63"/>
        <v>1w</v>
      </c>
      <c r="W3524" s="200">
        <f>_xll.qlCalendarAdvance(Calendar,W3523,V3524,"f",FALSE)</f>
        <v>63613</v>
      </c>
      <c r="X3524" s="203">
        <f>_xll.qlCalendarAdvance(Calendar,W3524,NDays&amp;"D")</f>
        <v>63615</v>
      </c>
      <c r="Y3524" s="204">
        <v>2.0543178310090171E-2</v>
      </c>
      <c r="Z3524" s="201">
        <v>2.0526716050319749E-2</v>
      </c>
    </row>
    <row r="3525" spans="22:26" x14ac:dyDescent="0.2">
      <c r="V3525" s="202" t="str">
        <f t="shared" si="63"/>
        <v>1w</v>
      </c>
      <c r="W3525" s="200">
        <f>_xll.qlCalendarAdvance(Calendar,W3524,V3525,"f",FALSE)</f>
        <v>63620</v>
      </c>
      <c r="X3525" s="203">
        <f>_xll.qlCalendarAdvance(Calendar,W3525,NDays&amp;"D")</f>
        <v>63622</v>
      </c>
      <c r="Y3525" s="204">
        <v>2.0543211246004809E-2</v>
      </c>
      <c r="Z3525" s="201">
        <v>2.0526751594740489E-2</v>
      </c>
    </row>
    <row r="3526" spans="22:26" x14ac:dyDescent="0.2">
      <c r="V3526" s="202" t="str">
        <f t="shared" si="63"/>
        <v>1w</v>
      </c>
      <c r="W3526" s="200">
        <f>_xll.qlCalendarAdvance(Calendar,W3525,V3526,"f",FALSE)</f>
        <v>63627</v>
      </c>
      <c r="X3526" s="203">
        <f>_xll.qlCalendarAdvance(Calendar,W3526,NDays&amp;"D")</f>
        <v>63629</v>
      </c>
      <c r="Y3526" s="204">
        <v>2.0543830795772267E-2</v>
      </c>
      <c r="Z3526" s="201">
        <v>2.0526785808678838E-2</v>
      </c>
    </row>
    <row r="3527" spans="22:26" x14ac:dyDescent="0.2">
      <c r="V3527" s="202" t="str">
        <f t="shared" si="63"/>
        <v>1w</v>
      </c>
      <c r="W3527" s="200">
        <f>_xll.qlCalendarAdvance(Calendar,W3526,V3527,"f",FALSE)</f>
        <v>63634</v>
      </c>
      <c r="X3527" s="203">
        <f>_xll.qlCalendarAdvance(Calendar,W3527,NDays&amp;"D")</f>
        <v>63636</v>
      </c>
      <c r="Y3527" s="204">
        <v>2.0543273119847633E-2</v>
      </c>
      <c r="Z3527" s="201">
        <v>2.0526818692081505E-2</v>
      </c>
    </row>
    <row r="3528" spans="22:26" x14ac:dyDescent="0.2">
      <c r="V3528" s="202" t="str">
        <f t="shared" si="63"/>
        <v>1w</v>
      </c>
      <c r="W3528" s="200">
        <f>_xll.qlCalendarAdvance(Calendar,W3527,V3528,"f",FALSE)</f>
        <v>63641</v>
      </c>
      <c r="X3528" s="203">
        <f>_xll.qlCalendarAdvance(Calendar,W3528,NDays&amp;"D")</f>
        <v>63643</v>
      </c>
      <c r="Y3528" s="204">
        <v>2.0543302057773237E-2</v>
      </c>
      <c r="Z3528" s="201">
        <v>2.0526850244948491E-2</v>
      </c>
    </row>
    <row r="3529" spans="22:26" x14ac:dyDescent="0.2">
      <c r="V3529" s="202" t="str">
        <f t="shared" si="63"/>
        <v>1w</v>
      </c>
      <c r="W3529" s="200">
        <f>_xll.qlCalendarAdvance(Calendar,W3528,V3529,"f",FALSE)</f>
        <v>63648</v>
      </c>
      <c r="X3529" s="203">
        <f>_xll.qlCalendarAdvance(Calendar,W3529,NDays&amp;"D")</f>
        <v>63650</v>
      </c>
      <c r="Y3529" s="204">
        <v>2.0543329663022938E-2</v>
      </c>
      <c r="Z3529" s="201">
        <v>2.0526880467226505E-2</v>
      </c>
    </row>
    <row r="3530" spans="22:26" x14ac:dyDescent="0.2">
      <c r="V3530" s="202" t="str">
        <f t="shared" si="63"/>
        <v>1w</v>
      </c>
      <c r="W3530" s="200">
        <f>_xll.qlCalendarAdvance(Calendar,W3529,V3530,"f",FALSE)</f>
        <v>63655</v>
      </c>
      <c r="X3530" s="203">
        <f>_xll.qlCalendarAdvance(Calendar,W3530,NDays&amp;"D")</f>
        <v>63661</v>
      </c>
      <c r="Y3530" s="204">
        <v>2.0542782844974461E-2</v>
      </c>
      <c r="Z3530" s="201">
        <v>2.0525751025006755E-2</v>
      </c>
    </row>
    <row r="3531" spans="22:26" x14ac:dyDescent="0.2">
      <c r="V3531" s="202" t="str">
        <f t="shared" si="63"/>
        <v>1w</v>
      </c>
      <c r="W3531" s="200">
        <f>_xll.qlCalendarAdvance(Calendar,W3530,V3531,"f",FALSE)</f>
        <v>63662</v>
      </c>
      <c r="X3531" s="203">
        <f>_xll.qlCalendarAdvance(Calendar,W3531,NDays&amp;"D")</f>
        <v>63664</v>
      </c>
      <c r="Y3531" s="204">
        <v>2.0543380875522984E-2</v>
      </c>
      <c r="Z3531" s="201">
        <v>2.0526936920202132E-2</v>
      </c>
    </row>
    <row r="3532" spans="22:26" x14ac:dyDescent="0.2">
      <c r="V3532" s="202" t="str">
        <f t="shared" si="63"/>
        <v>1w</v>
      </c>
      <c r="W3532" s="200">
        <f>_xll.qlCalendarAdvance(Calendar,W3531,V3532,"f",FALSE)</f>
        <v>63669</v>
      </c>
      <c r="X3532" s="203">
        <f>_xll.qlCalendarAdvance(Calendar,W3532,NDays&amp;"D")</f>
        <v>63671</v>
      </c>
      <c r="Y3532" s="204">
        <v>2.0543404482775911E-2</v>
      </c>
      <c r="Z3532" s="201">
        <v>2.0526963150899746E-2</v>
      </c>
    </row>
    <row r="3533" spans="22:26" x14ac:dyDescent="0.2">
      <c r="V3533" s="202" t="str">
        <f t="shared" si="63"/>
        <v>1w</v>
      </c>
      <c r="W3533" s="200">
        <f>_xll.qlCalendarAdvance(Calendar,W3532,V3533,"f",FALSE)</f>
        <v>63676</v>
      </c>
      <c r="X3533" s="203">
        <f>_xll.qlCalendarAdvance(Calendar,W3533,NDays&amp;"D")</f>
        <v>63678</v>
      </c>
      <c r="Y3533" s="204">
        <v>2.0543426757358089E-2</v>
      </c>
      <c r="Z3533" s="201">
        <v>2.0526988051008388E-2</v>
      </c>
    </row>
    <row r="3534" spans="22:26" x14ac:dyDescent="0.2">
      <c r="V3534" s="202" t="str">
        <f t="shared" si="63"/>
        <v>1w</v>
      </c>
      <c r="W3534" s="200">
        <f>_xll.qlCalendarAdvance(Calendar,W3533,V3534,"f",FALSE)</f>
        <v>63683</v>
      </c>
      <c r="X3534" s="203">
        <f>_xll.qlCalendarAdvance(Calendar,W3534,NDays&amp;"D")</f>
        <v>63685</v>
      </c>
      <c r="Y3534" s="204">
        <v>2.0543447699272098E-2</v>
      </c>
      <c r="Z3534" s="201">
        <v>2.0527011620607993E-2</v>
      </c>
    </row>
    <row r="3535" spans="22:26" x14ac:dyDescent="0.2">
      <c r="V3535" s="202" t="str">
        <f t="shared" si="63"/>
        <v>1w</v>
      </c>
      <c r="W3535" s="200">
        <f>_xll.qlCalendarAdvance(Calendar,W3534,V3535,"f",FALSE)</f>
        <v>63690</v>
      </c>
      <c r="X3535" s="203">
        <f>_xll.qlCalendarAdvance(Calendar,W3535,NDays&amp;"D")</f>
        <v>63692</v>
      </c>
      <c r="Y3535" s="204">
        <v>2.0543467308525673E-2</v>
      </c>
      <c r="Z3535" s="201">
        <v>2.0527033859671917E-2</v>
      </c>
    </row>
    <row r="3536" spans="22:26" x14ac:dyDescent="0.2">
      <c r="V3536" s="202" t="str">
        <f t="shared" si="63"/>
        <v>1w</v>
      </c>
      <c r="W3536" s="200">
        <f>_xll.qlCalendarAdvance(Calendar,W3535,V3536,"f",FALSE)</f>
        <v>63697</v>
      </c>
      <c r="X3536" s="203">
        <f>_xll.qlCalendarAdvance(Calendar,W3536,NDays&amp;"D")</f>
        <v>63699</v>
      </c>
      <c r="Y3536" s="204">
        <v>2.0543485585105922E-2</v>
      </c>
      <c r="Z3536" s="201">
        <v>2.0527054768173514E-2</v>
      </c>
    </row>
    <row r="3537" spans="2:26" x14ac:dyDescent="0.2">
      <c r="V3537" s="202" t="str">
        <f t="shared" si="63"/>
        <v>1w</v>
      </c>
      <c r="W3537" s="200">
        <f>_xll.qlCalendarAdvance(Calendar,W3536,V3537,"f",FALSE)</f>
        <v>63704</v>
      </c>
      <c r="X3537" s="203">
        <f>_xll.qlCalendarAdvance(Calendar,W3537,NDays&amp;"D")</f>
        <v>63706</v>
      </c>
      <c r="Y3537" s="204">
        <v>2.0543502529020582E-2</v>
      </c>
      <c r="Z3537" s="201">
        <v>2.0527074346139429E-2</v>
      </c>
    </row>
    <row r="3538" spans="2:26" x14ac:dyDescent="0.2">
      <c r="V3538" s="202" t="str">
        <f t="shared" si="63"/>
        <v>1w</v>
      </c>
      <c r="W3538" s="200">
        <f>_xll.qlCalendarAdvance(Calendar,W3537,V3538,"f",FALSE)</f>
        <v>63711</v>
      </c>
      <c r="X3538" s="203">
        <f>_xll.qlCalendarAdvance(Calendar,W3538,NDays&amp;"D")</f>
        <v>63713</v>
      </c>
      <c r="Y3538" s="204">
        <v>2.0543518140261913E-2</v>
      </c>
      <c r="Z3538" s="201">
        <v>2.0527092593543017E-2</v>
      </c>
    </row>
    <row r="3539" spans="2:26" x14ac:dyDescent="0.2">
      <c r="V3539" s="202" t="str">
        <f t="shared" si="63"/>
        <v>1w</v>
      </c>
      <c r="W3539" s="200">
        <f>_xll.qlCalendarAdvance(Calendar,W3538,V3539,"f",FALSE)</f>
        <v>63718</v>
      </c>
      <c r="X3539" s="203">
        <f>_xll.qlCalendarAdvance(Calendar,W3539,NDays&amp;"D")</f>
        <v>63720</v>
      </c>
      <c r="Y3539" s="204">
        <v>2.0543532418845392E-2</v>
      </c>
      <c r="Z3539" s="201">
        <v>2.052710951049086E-2</v>
      </c>
    </row>
    <row r="3540" spans="2:26" x14ac:dyDescent="0.2">
      <c r="B3540" s="200"/>
      <c r="C3540" s="203"/>
      <c r="D3540" s="204"/>
      <c r="E3540" s="204"/>
      <c r="V3540" s="202" t="str">
        <f t="shared" si="63"/>
        <v>1w</v>
      </c>
      <c r="W3540" s="200">
        <f>_xll.qlCalendarAdvance(Calendar,W3539,V3540,"f",FALSE)</f>
        <v>63725</v>
      </c>
      <c r="X3540" s="203">
        <f>_xll.qlCalendarAdvance(Calendar,W3540,NDays&amp;"D")</f>
        <v>63727</v>
      </c>
      <c r="Y3540" s="204">
        <v>2.0543545364752964E-2</v>
      </c>
      <c r="Z3540" s="201">
        <v>2.0527125096796439E-2</v>
      </c>
    </row>
    <row r="3541" spans="2:26" x14ac:dyDescent="0.2">
      <c r="B3541" s="200"/>
      <c r="C3541" s="203"/>
      <c r="D3541" s="204"/>
      <c r="E3541" s="204"/>
      <c r="V3541" s="202" t="str">
        <f t="shared" ref="V3541:V3552" si="64">V3540</f>
        <v>1w</v>
      </c>
      <c r="W3541" s="200">
        <f>_xll.qlCalendarAdvance(Calendar,W3540,V3541,"f",FALSE)</f>
        <v>63732</v>
      </c>
      <c r="X3541" s="203">
        <f>_xll.qlCalendarAdvance(Calendar,W3541,NDays&amp;"D")</f>
        <v>63734</v>
      </c>
      <c r="Y3541" s="204">
        <v>2.0544143514480695E-2</v>
      </c>
      <c r="Z3541" s="201">
        <v>2.0527139352619628E-2</v>
      </c>
    </row>
    <row r="3542" spans="2:26" x14ac:dyDescent="0.2">
      <c r="B3542" s="200"/>
      <c r="C3542" s="203"/>
      <c r="D3542" s="204"/>
      <c r="E3542" s="204"/>
      <c r="V3542" s="202" t="str">
        <f t="shared" si="64"/>
        <v>1w</v>
      </c>
      <c r="W3542" s="200">
        <f>_xll.qlCalendarAdvance(Calendar,W3541,V3542,"f",FALSE)</f>
        <v>63739</v>
      </c>
      <c r="X3542" s="203">
        <f>_xll.qlCalendarAdvance(Calendar,W3542,NDays&amp;"D")</f>
        <v>63741</v>
      </c>
      <c r="Y3542" s="204">
        <v>2.0543567258576492E-2</v>
      </c>
      <c r="Z3542" s="201">
        <v>2.0527152277880489E-2</v>
      </c>
    </row>
    <row r="3543" spans="2:26" x14ac:dyDescent="0.2">
      <c r="B3543" s="200"/>
      <c r="C3543" s="203"/>
      <c r="D3543" s="204"/>
      <c r="E3543" s="204"/>
      <c r="V3543" s="202" t="str">
        <f t="shared" si="64"/>
        <v>1w</v>
      </c>
      <c r="W3543" s="200">
        <f>_xll.qlCalendarAdvance(Calendar,W3542,V3543,"f",FALSE)</f>
        <v>63746</v>
      </c>
      <c r="X3543" s="203">
        <f>_xll.qlCalendarAdvance(Calendar,W3543,NDays&amp;"D")</f>
        <v>63748</v>
      </c>
      <c r="Y3543" s="204">
        <v>2.054357620648729E-2</v>
      </c>
      <c r="Z3543" s="201">
        <v>2.0527163872605669E-2</v>
      </c>
    </row>
    <row r="3544" spans="2:26" x14ac:dyDescent="0.2">
      <c r="B3544" s="200"/>
      <c r="C3544" s="203"/>
      <c r="D3544" s="204"/>
      <c r="E3544" s="204"/>
      <c r="V3544" s="202" t="str">
        <f t="shared" si="64"/>
        <v>1w</v>
      </c>
      <c r="W3544" s="200">
        <f>_xll.qlCalendarAdvance(Calendar,W3543,V3544,"f",FALSE)</f>
        <v>63753</v>
      </c>
      <c r="X3544" s="203">
        <f>_xll.qlCalendarAdvance(Calendar,W3544,NDays&amp;"D")</f>
        <v>63755</v>
      </c>
      <c r="Y3544" s="204">
        <v>2.0543583821729921E-2</v>
      </c>
      <c r="Z3544" s="201">
        <v>2.0527174136741877E-2</v>
      </c>
    </row>
    <row r="3545" spans="2:26" x14ac:dyDescent="0.2">
      <c r="B3545" s="200"/>
      <c r="C3545" s="203"/>
      <c r="D3545" s="204"/>
      <c r="E3545" s="204"/>
      <c r="V3545" s="202" t="str">
        <f t="shared" si="64"/>
        <v>1w</v>
      </c>
      <c r="W3545" s="200">
        <f>_xll.qlCalendarAdvance(Calendar,W3544,V3545,"f",FALSE)</f>
        <v>63760</v>
      </c>
      <c r="X3545" s="203">
        <f>_xll.qlCalendarAdvance(Calendar,W3545,NDays&amp;"D")</f>
        <v>63762</v>
      </c>
      <c r="Y3545" s="204">
        <v>2.0543590104304382E-2</v>
      </c>
      <c r="Z3545" s="201">
        <v>2.0527183070395694E-2</v>
      </c>
    </row>
    <row r="3546" spans="2:26" x14ac:dyDescent="0.2">
      <c r="B3546" s="200"/>
      <c r="C3546" s="203"/>
      <c r="D3546" s="204"/>
      <c r="E3546" s="204"/>
      <c r="V3546" s="202" t="str">
        <f t="shared" si="64"/>
        <v>1w</v>
      </c>
      <c r="W3546" s="200">
        <f>_xll.qlCalendarAdvance(Calendar,W3545,V3546,"f",FALSE)</f>
        <v>63767</v>
      </c>
      <c r="X3546" s="203">
        <f>_xll.qlCalendarAdvance(Calendar,W3546,NDays&amp;"D")</f>
        <v>63769</v>
      </c>
      <c r="Y3546" s="204">
        <v>2.0543595054210672E-2</v>
      </c>
      <c r="Z3546" s="201">
        <v>2.0527190673487183E-2</v>
      </c>
    </row>
    <row r="3547" spans="2:26" x14ac:dyDescent="0.2">
      <c r="B3547" s="200"/>
      <c r="C3547" s="203"/>
      <c r="D3547" s="204"/>
      <c r="E3547" s="204"/>
      <c r="V3547" s="202" t="str">
        <f t="shared" si="64"/>
        <v>1w</v>
      </c>
      <c r="W3547" s="200">
        <f>_xll.qlCalendarAdvance(Calendar,W3546,V3547,"f",FALSE)</f>
        <v>63774</v>
      </c>
      <c r="X3547" s="203">
        <f>_xll.qlCalendarAdvance(Calendar,W3547,NDays&amp;"D")</f>
        <v>63776</v>
      </c>
      <c r="Y3547" s="204">
        <v>2.0543598671451373E-2</v>
      </c>
      <c r="Z3547" s="201">
        <v>2.0527196946042991E-2</v>
      </c>
    </row>
    <row r="3548" spans="2:26" x14ac:dyDescent="0.2">
      <c r="B3548" s="200"/>
      <c r="C3548" s="203"/>
      <c r="D3548" s="204"/>
      <c r="E3548" s="204"/>
      <c r="V3548" s="202" t="str">
        <f t="shared" si="64"/>
        <v>1w</v>
      </c>
      <c r="W3548" s="200">
        <f>_xll.qlCalendarAdvance(Calendar,W3547,V3548,"f",FALSE)</f>
        <v>63781</v>
      </c>
      <c r="X3548" s="203">
        <f>_xll.qlCalendarAdvance(Calendar,W3548,NDays&amp;"D")</f>
        <v>63783</v>
      </c>
      <c r="Y3548" s="204" t="e">
        <v>#N/A</v>
      </c>
      <c r="Z3548" s="201">
        <v>2.0527201888063118E-2</v>
      </c>
    </row>
    <row r="3549" spans="2:26" x14ac:dyDescent="0.2">
      <c r="B3549" s="200"/>
      <c r="C3549" s="203"/>
      <c r="D3549" s="204"/>
      <c r="E3549" s="204"/>
      <c r="V3549" s="202" t="str">
        <f t="shared" si="64"/>
        <v>1w</v>
      </c>
      <c r="W3549" s="200">
        <f>_xll.qlCalendarAdvance(Calendar,W3548,V3549,"f",FALSE)</f>
        <v>63788</v>
      </c>
      <c r="X3549" s="203">
        <f>_xll.qlCalendarAdvance(Calendar,W3549,NDays&amp;"D")</f>
        <v>63790</v>
      </c>
      <c r="Y3549" s="204" t="e">
        <v>#N/A</v>
      </c>
      <c r="Z3549" s="201">
        <v>2.0527205499520917E-2</v>
      </c>
    </row>
    <row r="3550" spans="2:26" x14ac:dyDescent="0.2">
      <c r="B3550" s="200"/>
      <c r="C3550" s="203"/>
      <c r="D3550" s="204"/>
      <c r="E3550" s="204"/>
      <c r="V3550" s="202" t="str">
        <f t="shared" si="64"/>
        <v>1w</v>
      </c>
      <c r="W3550" s="200">
        <f>_xll.qlCalendarAdvance(Calendar,W3549,V3550,"f",FALSE)</f>
        <v>63795</v>
      </c>
      <c r="X3550" s="203">
        <f>_xll.qlCalendarAdvance(Calendar,W3550,NDays&amp;"D")</f>
        <v>63797</v>
      </c>
      <c r="Y3550" s="204" t="e">
        <v>#N/A</v>
      </c>
      <c r="Z3550" s="201">
        <v>2.0527207780496326E-2</v>
      </c>
    </row>
    <row r="3551" spans="2:26" x14ac:dyDescent="0.2">
      <c r="B3551" s="200"/>
      <c r="C3551" s="203"/>
      <c r="D3551" s="204"/>
      <c r="E3551" s="204"/>
      <c r="V3551" s="202" t="str">
        <f t="shared" si="64"/>
        <v>1w</v>
      </c>
      <c r="W3551" s="200">
        <f>_xll.qlCalendarAdvance(Calendar,W3550,V3551,"f",FALSE)</f>
        <v>63802</v>
      </c>
      <c r="X3551" s="203">
        <f>_xll.qlCalendarAdvance(Calendar,W3551,NDays&amp;"D")</f>
        <v>63804</v>
      </c>
      <c r="Y3551" s="204" t="e">
        <v>#N/A</v>
      </c>
      <c r="Z3551" s="201">
        <v>2.0527208730829472E-2</v>
      </c>
    </row>
    <row r="3552" spans="2:26" ht="12" thickBot="1" x14ac:dyDescent="0.25">
      <c r="B3552" s="200"/>
      <c r="C3552" s="203"/>
      <c r="D3552" s="204"/>
      <c r="E3552" s="204"/>
      <c r="V3552" s="220" t="str">
        <f t="shared" si="64"/>
        <v>1w</v>
      </c>
      <c r="W3552" s="207">
        <f>_xll.qlCalendarAdvance(Calendar,W3551,V3552,"f",FALSE)</f>
        <v>63809</v>
      </c>
      <c r="X3552" s="226">
        <f>_xll.qlCalendarAdvance(Calendar,W3552,NDays&amp;"D")</f>
        <v>63811</v>
      </c>
      <c r="Y3552" s="205" t="e">
        <v>#N/A</v>
      </c>
      <c r="Z3552" s="206" t="e">
        <v>#N/A</v>
      </c>
    </row>
    <row r="3553" spans="2:22" x14ac:dyDescent="0.2">
      <c r="B3553" s="200"/>
      <c r="C3553" s="203"/>
      <c r="D3553" s="204"/>
      <c r="E3553" s="204"/>
      <c r="V3553" s="216"/>
    </row>
    <row r="3554" spans="2:22" x14ac:dyDescent="0.2">
      <c r="B3554" s="200"/>
      <c r="C3554" s="203"/>
      <c r="D3554" s="204"/>
      <c r="E3554" s="204"/>
      <c r="V3554" s="216"/>
    </row>
    <row r="3555" spans="2:22" x14ac:dyDescent="0.2">
      <c r="B3555" s="200"/>
      <c r="C3555" s="203"/>
      <c r="D3555" s="204"/>
      <c r="E3555" s="204"/>
      <c r="V3555" s="216"/>
    </row>
    <row r="3556" spans="2:22" x14ac:dyDescent="0.2">
      <c r="B3556" s="200"/>
      <c r="C3556" s="203"/>
      <c r="D3556" s="204"/>
      <c r="E3556" s="204"/>
      <c r="V3556" s="216"/>
    </row>
    <row r="3557" spans="2:22" x14ac:dyDescent="0.2">
      <c r="B3557" s="200"/>
      <c r="C3557" s="203"/>
      <c r="D3557" s="204"/>
      <c r="E3557" s="204"/>
      <c r="V3557" s="216"/>
    </row>
    <row r="3558" spans="2:22" x14ac:dyDescent="0.2">
      <c r="B3558" s="200"/>
      <c r="C3558" s="203"/>
      <c r="D3558" s="204"/>
      <c r="E3558" s="204"/>
      <c r="V3558" s="216"/>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381000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381000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381000</xdr:colOff>
                    <xdr:row>44</xdr:row>
                    <xdr:rowOff>57150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657225</xdr:colOff>
                    <xdr:row>21</xdr:row>
                    <xdr:rowOff>76200</xdr:rowOff>
                  </from>
                  <to>
                    <xdr:col>10</xdr:col>
                    <xdr:colOff>381000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381000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381000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381000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381000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2014-09-04T12:39:43Z</dcterms:modified>
</cp:coreProperties>
</file>