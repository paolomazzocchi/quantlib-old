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30" yWindow="-15" windowWidth="18675" windowHeight="1080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IMM FRA" sheetId="9" r:id="rId5"/>
    <sheet name="Swaps" sheetId="11" r:id="rId6"/>
    <sheet name="Monitor" sheetId="13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Settings'!$D$20</definedName>
    <definedName name="BondBasisDayCounter">'General Settings'!$J$13</definedName>
    <definedName name="Calendar">'General Settings'!$D$18</definedName>
    <definedName name="CheckFRA">Monitor!$J$48</definedName>
    <definedName name="Conventions" localSheetId="5">Swaps!$P$5:$R$9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Settings'!$J$15</definedName>
    <definedName name="FamilyName">'General Settings'!$J$11</definedName>
    <definedName name="FileOverwrite">'General Settings'!$J$6</definedName>
    <definedName name="FRADates">Monitor!$O$19:$O$33</definedName>
    <definedName name="FRANull">Monitor!$Q$19:$Q$33</definedName>
    <definedName name="FRAQuotes">Monitor!$P$19:$P$33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Settings'!$D$22</definedName>
    <definedName name="MinDistance">RateHelpers!$G$2:$G$45</definedName>
    <definedName name="MoneyMarketDayCounter">'General Settings'!$J$14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Settings'!$J$12</definedName>
    <definedName name="RateHelperPrefix">'General Settings'!$D$9</definedName>
    <definedName name="RateHelpers">RateHelpers!$A$2:$A$45</definedName>
    <definedName name="RateHelpersIncluded">RateHelpers!$E$2:$E$45</definedName>
    <definedName name="RateHelpersPriority">RateHelpers!$F$2:$F$45</definedName>
    <definedName name="RateHelpersSelected">Selected!$A$7</definedName>
    <definedName name="RecalcTrigger">Monitor!$J$20</definedName>
    <definedName name="SamplingFrequency">Monitor!$W$15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Q20" i="13" l="1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L3" i="11"/>
  <c r="X19" i="13"/>
  <c r="L5" i="11"/>
  <c r="L19" i="11"/>
  <c r="L21" i="11"/>
  <c r="L14" i="11"/>
  <c r="L15" i="11"/>
  <c r="L8" i="11"/>
  <c r="L16" i="11"/>
  <c r="L24" i="11"/>
  <c r="L11" i="11"/>
  <c r="L20" i="11"/>
  <c r="L6" i="11"/>
  <c r="L7" i="11"/>
  <c r="L9" i="11"/>
  <c r="L17" i="11"/>
  <c r="L25" i="11"/>
  <c r="L12" i="11"/>
  <c r="L13" i="11"/>
  <c r="L22" i="11"/>
  <c r="L23" i="11"/>
  <c r="L10" i="11"/>
  <c r="L18" i="11"/>
  <c r="L26" i="11"/>
  <c r="H17" i="9" l="1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C27" i="6"/>
  <c r="D7" i="6"/>
  <c r="E3" i="9" a="1"/>
  <c r="E3" i="9" l="1"/>
  <c r="E7" i="9"/>
  <c r="E11" i="9"/>
  <c r="E15" i="9"/>
  <c r="E4" i="9"/>
  <c r="E8" i="9"/>
  <c r="E12" i="9"/>
  <c r="E16" i="9"/>
  <c r="E5" i="9"/>
  <c r="E9" i="9"/>
  <c r="E13" i="9"/>
  <c r="E17" i="9"/>
  <c r="E6" i="9"/>
  <c r="E10" i="9"/>
  <c r="E14" i="9"/>
  <c r="F11" i="9"/>
  <c r="F12" i="9"/>
  <c r="F13" i="9"/>
  <c r="F15" i="9"/>
  <c r="F16" i="9"/>
  <c r="F7" i="9"/>
  <c r="F8" i="9"/>
  <c r="F4" i="9"/>
  <c r="F9" i="9"/>
  <c r="F5" i="9"/>
  <c r="F6" i="9"/>
  <c r="F14" i="9"/>
  <c r="F17" i="9"/>
  <c r="F3" i="9"/>
  <c r="F10" i="9"/>
  <c r="I4" i="7" l="1"/>
  <c r="I5" i="7"/>
  <c r="I6" i="7"/>
  <c r="I7" i="7"/>
  <c r="I9" i="7"/>
  <c r="H9" i="7"/>
  <c r="H6" i="7"/>
  <c r="H8" i="7"/>
  <c r="H7" i="7"/>
  <c r="H4" i="7"/>
  <c r="H5" i="7"/>
  <c r="J4" i="7"/>
  <c r="H3" i="7"/>
  <c r="A3" i="4" l="1"/>
  <c r="K6" i="11"/>
  <c r="K7" i="11"/>
  <c r="K8" i="11"/>
  <c r="K9" i="11"/>
  <c r="K10" i="11"/>
  <c r="J6" i="7"/>
  <c r="B3" i="4"/>
  <c r="J5" i="7"/>
  <c r="K4" i="7"/>
  <c r="J7" i="7"/>
  <c r="H3" i="4"/>
  <c r="C3" i="4"/>
  <c r="I3" i="4"/>
  <c r="A6" i="4" l="1"/>
  <c r="A4" i="4"/>
  <c r="A5" i="4"/>
  <c r="J15" i="6"/>
  <c r="B5" i="4"/>
  <c r="C4" i="4"/>
  <c r="K7" i="7"/>
  <c r="H4" i="4"/>
  <c r="I6" i="4"/>
  <c r="I5" i="4"/>
  <c r="C6" i="4"/>
  <c r="C5" i="4"/>
  <c r="K5" i="7"/>
  <c r="B6" i="4"/>
  <c r="I4" i="4"/>
  <c r="H5" i="4"/>
  <c r="H6" i="4"/>
  <c r="B4" i="4"/>
  <c r="K6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8" i="13"/>
  <c r="B6" i="13"/>
  <c r="B9" i="13"/>
  <c r="B10" i="13"/>
  <c r="B4" i="13"/>
  <c r="B12" i="13"/>
  <c r="B5" i="13"/>
  <c r="B16" i="13"/>
  <c r="B15" i="13"/>
  <c r="B11" i="13"/>
  <c r="B14" i="13"/>
  <c r="B7" i="13"/>
  <c r="B13" i="13"/>
  <c r="B3" i="13"/>
  <c r="J9" i="7"/>
  <c r="A8" i="4" l="1"/>
  <c r="H8" i="4"/>
  <c r="B8" i="4"/>
  <c r="I8" i="4"/>
  <c r="C8" i="4"/>
  <c r="K24" i="11" l="1"/>
  <c r="K16" i="11"/>
  <c r="K15" i="11"/>
  <c r="K23" i="11"/>
  <c r="K13" i="11"/>
  <c r="K12" i="11"/>
  <c r="K21" i="11"/>
  <c r="K18" i="11"/>
  <c r="K25" i="11"/>
  <c r="K17" i="11"/>
  <c r="K5" i="11"/>
  <c r="K14" i="11"/>
  <c r="K20" i="11"/>
  <c r="K19" i="11"/>
  <c r="K11" i="11"/>
  <c r="K22" i="11"/>
  <c r="K26" i="11"/>
  <c r="J2" i="7"/>
  <c r="J2" i="9"/>
  <c r="L2" i="11" l="1"/>
  <c r="I1" i="7" l="1"/>
  <c r="J1" i="7" s="1"/>
  <c r="I3" i="7"/>
  <c r="I8" i="7"/>
  <c r="D6" i="6"/>
  <c r="K9" i="7"/>
  <c r="K2" i="7"/>
  <c r="C5" i="13"/>
  <c r="J3" i="7"/>
  <c r="J8" i="7"/>
  <c r="M2" i="11"/>
  <c r="B1" i="6"/>
  <c r="C3" i="13"/>
  <c r="C4" i="13"/>
  <c r="M3" i="11"/>
  <c r="K2" i="9"/>
  <c r="H1" i="9" l="1"/>
  <c r="G17" i="9" s="1"/>
  <c r="D16" i="6"/>
  <c r="J1" i="11"/>
  <c r="K1" i="11" s="1"/>
  <c r="L1" i="11" s="1"/>
  <c r="D9" i="6"/>
  <c r="I1" i="9"/>
  <c r="J1" i="9" s="1"/>
  <c r="G13" i="9"/>
  <c r="G5" i="9"/>
  <c r="G16" i="9"/>
  <c r="G8" i="9"/>
  <c r="G14" i="9"/>
  <c r="G11" i="9"/>
  <c r="G3" i="9"/>
  <c r="A7" i="4"/>
  <c r="A43" i="4"/>
  <c r="A39" i="4"/>
  <c r="A41" i="4"/>
  <c r="A32" i="4"/>
  <c r="A35" i="4"/>
  <c r="A28" i="4"/>
  <c r="A30" i="4"/>
  <c r="A34" i="4"/>
  <c r="A38" i="4"/>
  <c r="A37" i="4"/>
  <c r="A24" i="4"/>
  <c r="A29" i="4"/>
  <c r="A25" i="4"/>
  <c r="A33" i="4"/>
  <c r="A42" i="4"/>
  <c r="A31" i="4"/>
  <c r="C12" i="13"/>
  <c r="C6" i="13"/>
  <c r="C13" i="13" s="1"/>
  <c r="A27" i="4"/>
  <c r="A26" i="4"/>
  <c r="A36" i="4"/>
  <c r="A45" i="4"/>
  <c r="A44" i="4"/>
  <c r="A40" i="4"/>
  <c r="C11" i="13"/>
  <c r="C10" i="13"/>
  <c r="A2" i="4"/>
  <c r="J16" i="9"/>
  <c r="J14" i="9"/>
  <c r="I7" i="4"/>
  <c r="J8" i="9"/>
  <c r="J11" i="9"/>
  <c r="J17" i="9"/>
  <c r="K3" i="7"/>
  <c r="J5" i="9"/>
  <c r="J3" i="9"/>
  <c r="C7" i="4"/>
  <c r="Y19" i="13"/>
  <c r="B2" i="4"/>
  <c r="B7" i="4"/>
  <c r="K8" i="7"/>
  <c r="J13" i="9"/>
  <c r="H7" i="4"/>
  <c r="G10" i="9" l="1"/>
  <c r="G15" i="9"/>
  <c r="G12" i="9"/>
  <c r="G9" i="9"/>
  <c r="G7" i="9"/>
  <c r="G4" i="9"/>
  <c r="G6" i="9"/>
  <c r="E5" i="13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J15" i="9"/>
  <c r="J7" i="9"/>
  <c r="J10" i="9"/>
  <c r="J4" i="9"/>
  <c r="J12" i="9"/>
  <c r="J6" i="9"/>
  <c r="J9" i="9"/>
  <c r="A9" i="4" l="1"/>
  <c r="A17" i="4"/>
  <c r="A11" i="4"/>
  <c r="A13" i="4"/>
  <c r="A23" i="4"/>
  <c r="A15" i="4"/>
  <c r="A10" i="4"/>
  <c r="A19" i="4"/>
  <c r="A22" i="4"/>
  <c r="A14" i="4"/>
  <c r="A21" i="4"/>
  <c r="A12" i="4"/>
  <c r="A16" i="4"/>
  <c r="A20" i="4"/>
  <c r="A18" i="4"/>
  <c r="H40" i="4"/>
  <c r="D36" i="4"/>
  <c r="I45" i="4"/>
  <c r="I30" i="4"/>
  <c r="D33" i="4"/>
  <c r="H14" i="4"/>
  <c r="D20" i="4"/>
  <c r="I2" i="4"/>
  <c r="D29" i="4"/>
  <c r="C37" i="4"/>
  <c r="K17" i="9"/>
  <c r="D38" i="4"/>
  <c r="H12" i="4"/>
  <c r="C13" i="4"/>
  <c r="I12" i="4"/>
  <c r="M14" i="11"/>
  <c r="B39" i="4"/>
  <c r="D26" i="4"/>
  <c r="C44" i="4"/>
  <c r="C27" i="4"/>
  <c r="I18" i="4"/>
  <c r="B11" i="4"/>
  <c r="I27" i="4"/>
  <c r="H38" i="4"/>
  <c r="B31" i="4"/>
  <c r="K10" i="9"/>
  <c r="B16" i="4"/>
  <c r="C17" i="4"/>
  <c r="B12" i="4"/>
  <c r="I15" i="4"/>
  <c r="B37" i="4"/>
  <c r="I29" i="4"/>
  <c r="C38" i="4"/>
  <c r="C40" i="4"/>
  <c r="K11" i="9"/>
  <c r="H20" i="4"/>
  <c r="C7" i="13"/>
  <c r="C9" i="4"/>
  <c r="H15" i="4"/>
  <c r="C41" i="4"/>
  <c r="I39" i="4"/>
  <c r="I20" i="4"/>
  <c r="H43" i="4"/>
  <c r="B42" i="4"/>
  <c r="C22" i="4"/>
  <c r="D41" i="4"/>
  <c r="D31" i="4"/>
  <c r="M24" i="11"/>
  <c r="C26" i="4"/>
  <c r="B20" i="4"/>
  <c r="C43" i="4"/>
  <c r="K4" i="9"/>
  <c r="H26" i="4"/>
  <c r="B43" i="4"/>
  <c r="I35" i="4"/>
  <c r="C35" i="4"/>
  <c r="M20" i="11"/>
  <c r="D15" i="4"/>
  <c r="H25" i="4"/>
  <c r="I24" i="4"/>
  <c r="K9" i="9"/>
  <c r="B38" i="4"/>
  <c r="D44" i="4"/>
  <c r="D16" i="4"/>
  <c r="B14" i="4"/>
  <c r="C28" i="4"/>
  <c r="H31" i="4"/>
  <c r="K7" i="9"/>
  <c r="D45" i="4"/>
  <c r="M7" i="11"/>
  <c r="C11" i="4"/>
  <c r="I14" i="4"/>
  <c r="B34" i="4"/>
  <c r="D39" i="4"/>
  <c r="M23" i="11"/>
  <c r="B29" i="4"/>
  <c r="D22" i="4"/>
  <c r="H2" i="4"/>
  <c r="I43" i="4"/>
  <c r="B22" i="4"/>
  <c r="I26" i="4"/>
  <c r="H21" i="4"/>
  <c r="I11" i="4"/>
  <c r="K14" i="9"/>
  <c r="C15" i="4"/>
  <c r="H36" i="4"/>
  <c r="D18" i="4"/>
  <c r="I25" i="4"/>
  <c r="I22" i="4"/>
  <c r="M22" i="11"/>
  <c r="H32" i="4"/>
  <c r="M15" i="11"/>
  <c r="H45" i="4"/>
  <c r="B33" i="4"/>
  <c r="C19" i="4"/>
  <c r="B21" i="4"/>
  <c r="D42" i="4"/>
  <c r="I37" i="4"/>
  <c r="D40" i="4"/>
  <c r="C30" i="4"/>
  <c r="M9" i="11"/>
  <c r="H19" i="4"/>
  <c r="D21" i="4"/>
  <c r="B18" i="4"/>
  <c r="K8" i="9"/>
  <c r="D32" i="4"/>
  <c r="D35" i="4"/>
  <c r="H27" i="4"/>
  <c r="I21" i="4"/>
  <c r="D17" i="4"/>
  <c r="C42" i="4"/>
  <c r="C32" i="4"/>
  <c r="X20" i="13"/>
  <c r="C25" i="4"/>
  <c r="D25" i="4"/>
  <c r="H17" i="4"/>
  <c r="I19" i="4"/>
  <c r="Y20" i="13"/>
  <c r="H37" i="4"/>
  <c r="C39" i="4"/>
  <c r="H44" i="4"/>
  <c r="K5" i="9"/>
  <c r="C36" i="4"/>
  <c r="D13" i="4"/>
  <c r="I23" i="4"/>
  <c r="M17" i="11"/>
  <c r="D37" i="4"/>
  <c r="H30" i="4"/>
  <c r="H10" i="4"/>
  <c r="C23" i="4"/>
  <c r="C18" i="4"/>
  <c r="B28" i="4"/>
  <c r="I42" i="4"/>
  <c r="M8" i="11"/>
  <c r="I44" i="4"/>
  <c r="B17" i="4"/>
  <c r="H24" i="4"/>
  <c r="B35" i="4"/>
  <c r="H28" i="4"/>
  <c r="B9" i="4"/>
  <c r="H29" i="4"/>
  <c r="B23" i="4"/>
  <c r="C24" i="4"/>
  <c r="K15" i="9"/>
  <c r="C29" i="4"/>
  <c r="M16" i="11"/>
  <c r="H34" i="4"/>
  <c r="H35" i="4"/>
  <c r="D14" i="4"/>
  <c r="B13" i="4"/>
  <c r="D10" i="4"/>
  <c r="I40" i="4"/>
  <c r="M26" i="11"/>
  <c r="M25" i="11"/>
  <c r="M21" i="11"/>
  <c r="C12" i="4"/>
  <c r="B10" i="4"/>
  <c r="I10" i="4"/>
  <c r="D30" i="4"/>
  <c r="B32" i="4"/>
  <c r="B44" i="4"/>
  <c r="M10" i="11"/>
  <c r="H33" i="4"/>
  <c r="H22" i="4"/>
  <c r="H18" i="4"/>
  <c r="I36" i="4"/>
  <c r="M12" i="11"/>
  <c r="B40" i="4"/>
  <c r="K13" i="9"/>
  <c r="B36" i="4"/>
  <c r="D9" i="4"/>
  <c r="D11" i="4"/>
  <c r="M6" i="11"/>
  <c r="I41" i="4"/>
  <c r="M19" i="11"/>
  <c r="D23" i="4"/>
  <c r="C14" i="4"/>
  <c r="D19" i="4"/>
  <c r="B27" i="4"/>
  <c r="I32" i="4"/>
  <c r="K16" i="9"/>
  <c r="B15" i="4"/>
  <c r="D12" i="4"/>
  <c r="C16" i="4"/>
  <c r="K6" i="9"/>
  <c r="I33" i="4"/>
  <c r="K3" i="9"/>
  <c r="I28" i="4"/>
  <c r="D34" i="4"/>
  <c r="H23" i="4"/>
  <c r="I16" i="4"/>
  <c r="I31" i="4"/>
  <c r="M13" i="11"/>
  <c r="B45" i="4"/>
  <c r="C33" i="4"/>
  <c r="H42" i="4"/>
  <c r="H16" i="4"/>
  <c r="B24" i="4"/>
  <c r="I38" i="4"/>
  <c r="B41" i="4"/>
  <c r="M18" i="11"/>
  <c r="M11" i="11"/>
  <c r="I13" i="4"/>
  <c r="C21" i="4"/>
  <c r="I34" i="4"/>
  <c r="H41" i="4"/>
  <c r="C31" i="4"/>
  <c r="C45" i="4"/>
  <c r="B30" i="4"/>
  <c r="H11" i="4"/>
  <c r="D2" i="5" a="1"/>
  <c r="D27" i="4"/>
  <c r="K12" i="9"/>
  <c r="D43" i="4"/>
  <c r="M5" i="11"/>
  <c r="C20" i="4"/>
  <c r="I9" i="4"/>
  <c r="B26" i="4"/>
  <c r="B25" i="4"/>
  <c r="H39" i="4"/>
  <c r="C2" i="4"/>
  <c r="H9" i="4"/>
  <c r="H13" i="4"/>
  <c r="C34" i="4"/>
  <c r="D28" i="4"/>
  <c r="B19" i="4"/>
  <c r="C10" i="4"/>
  <c r="D24" i="4"/>
  <c r="I17" i="4"/>
  <c r="C8" i="13" l="1"/>
  <c r="C9" i="13" s="1"/>
  <c r="C16" i="13" s="1"/>
  <c r="C14" i="13"/>
  <c r="D97" i="5"/>
  <c r="D56" i="5"/>
  <c r="D26" i="5"/>
  <c r="D36" i="5"/>
  <c r="D29" i="5"/>
  <c r="D35" i="5"/>
  <c r="D11" i="5"/>
  <c r="D63" i="5"/>
  <c r="D89" i="5"/>
  <c r="D23" i="5"/>
  <c r="D22" i="5"/>
  <c r="D60" i="5"/>
  <c r="D86" i="5"/>
  <c r="D8" i="5"/>
  <c r="D105" i="5"/>
  <c r="D31" i="5"/>
  <c r="D41" i="5"/>
  <c r="D80" i="5"/>
  <c r="D10" i="5"/>
  <c r="D34" i="5"/>
  <c r="D93" i="5"/>
  <c r="D47" i="5"/>
  <c r="D90" i="5"/>
  <c r="D84" i="5"/>
  <c r="D77" i="5"/>
  <c r="D67" i="5"/>
  <c r="D59" i="5"/>
  <c r="D64" i="5"/>
  <c r="D124" i="5"/>
  <c r="D68" i="5"/>
  <c r="D98" i="5"/>
  <c r="D70" i="5"/>
  <c r="D33" i="5"/>
  <c r="D20" i="5"/>
  <c r="D27" i="5"/>
  <c r="D25" i="5"/>
  <c r="D100" i="5"/>
  <c r="D69" i="5"/>
  <c r="D74" i="5"/>
  <c r="D92" i="5"/>
  <c r="D81" i="5"/>
  <c r="D76" i="5"/>
  <c r="D73" i="5"/>
  <c r="D30" i="5"/>
  <c r="D110" i="5"/>
  <c r="D115" i="5"/>
  <c r="D106" i="5"/>
  <c r="D91" i="5"/>
  <c r="D17" i="5"/>
  <c r="D79" i="5"/>
  <c r="D5" i="5"/>
  <c r="D19" i="5"/>
  <c r="D7" i="5"/>
  <c r="D121" i="5"/>
  <c r="D38" i="5"/>
  <c r="D82" i="5"/>
  <c r="D61" i="5"/>
  <c r="D88" i="5"/>
  <c r="D44" i="5"/>
  <c r="D15" i="5"/>
  <c r="D125" i="5"/>
  <c r="D18" i="5"/>
  <c r="D107" i="5"/>
  <c r="D37" i="5"/>
  <c r="D87" i="5"/>
  <c r="D54" i="5"/>
  <c r="D55" i="5"/>
  <c r="D111" i="5"/>
  <c r="D12" i="5"/>
  <c r="D9" i="5"/>
  <c r="D51" i="5"/>
  <c r="D16" i="5"/>
  <c r="D104" i="5"/>
  <c r="D95" i="5"/>
  <c r="D85" i="5"/>
  <c r="D123" i="5"/>
  <c r="D65" i="5"/>
  <c r="D78" i="5"/>
  <c r="D43" i="5"/>
  <c r="D14" i="5"/>
  <c r="D48" i="5"/>
  <c r="D66" i="5"/>
  <c r="D62" i="5"/>
  <c r="D2" i="5"/>
  <c r="D50" i="5"/>
  <c r="D3" i="5"/>
  <c r="D72" i="5"/>
  <c r="D40" i="5"/>
  <c r="D39" i="5"/>
  <c r="D99" i="5"/>
  <c r="D4" i="5"/>
  <c r="D32" i="5"/>
  <c r="D94" i="5"/>
  <c r="D102" i="5"/>
  <c r="D113" i="5"/>
  <c r="D24" i="5"/>
  <c r="D108" i="5"/>
  <c r="D116" i="5"/>
  <c r="D57" i="5"/>
  <c r="D6" i="5"/>
  <c r="D83" i="5"/>
  <c r="D101" i="5"/>
  <c r="D103" i="5"/>
  <c r="D118" i="5"/>
  <c r="D109" i="5"/>
  <c r="D42" i="5"/>
  <c r="D114" i="5"/>
  <c r="D117" i="5"/>
  <c r="D53" i="5"/>
  <c r="D96" i="5"/>
  <c r="D126" i="5"/>
  <c r="D28" i="5"/>
  <c r="D112" i="5"/>
  <c r="D122" i="5"/>
  <c r="D21" i="5"/>
  <c r="D120" i="5"/>
  <c r="D52" i="5"/>
  <c r="D58" i="5"/>
  <c r="D13" i="5"/>
  <c r="D75" i="5"/>
  <c r="D46" i="5"/>
  <c r="D45" i="5"/>
  <c r="D119" i="5"/>
  <c r="D71" i="5"/>
  <c r="D49" i="5"/>
  <c r="C15" i="13" l="1"/>
  <c r="U36" i="13" l="1" a="1"/>
  <c r="E85" i="5"/>
  <c r="F19" i="5"/>
  <c r="E93" i="5"/>
  <c r="E49" i="5"/>
  <c r="G99" i="5"/>
  <c r="H55" i="5"/>
  <c r="G30" i="5"/>
  <c r="H86" i="5"/>
  <c r="G112" i="5"/>
  <c r="H3" i="5"/>
  <c r="I38" i="5"/>
  <c r="M19" i="13" a="1"/>
  <c r="E4" i="5"/>
  <c r="H111" i="5"/>
  <c r="H100" i="5"/>
  <c r="E56" i="5"/>
  <c r="G42" i="5"/>
  <c r="I62" i="5"/>
  <c r="G15" i="5"/>
  <c r="H124" i="5"/>
  <c r="M12" i="4"/>
  <c r="E101" i="5"/>
  <c r="I51" i="5"/>
  <c r="E30" i="5"/>
  <c r="I41" i="5"/>
  <c r="G26" i="5"/>
  <c r="G114" i="5"/>
  <c r="I2" i="5"/>
  <c r="E7" i="5"/>
  <c r="F80" i="5"/>
  <c r="G45" i="5"/>
  <c r="H57" i="5"/>
  <c r="I123" i="5"/>
  <c r="G110" i="5"/>
  <c r="G8" i="5"/>
  <c r="I58" i="5"/>
  <c r="E72" i="5"/>
  <c r="G98" i="5"/>
  <c r="E63" i="5"/>
  <c r="H28" i="5"/>
  <c r="E48" i="5"/>
  <c r="I79" i="5"/>
  <c r="F90" i="5"/>
  <c r="F36" i="5"/>
  <c r="G118" i="5"/>
  <c r="E104" i="5"/>
  <c r="H76" i="5"/>
  <c r="E22" i="5"/>
  <c r="F21" i="5"/>
  <c r="I32" i="5"/>
  <c r="I125" i="5"/>
  <c r="E28" i="5"/>
  <c r="I80" i="5"/>
  <c r="H45" i="5"/>
  <c r="I113" i="5"/>
  <c r="G16" i="5"/>
  <c r="H81" i="5"/>
  <c r="E35" i="5"/>
  <c r="G96" i="5"/>
  <c r="E100" i="5"/>
  <c r="G115" i="5"/>
  <c r="I90" i="5"/>
  <c r="F119" i="5"/>
  <c r="F6" i="5"/>
  <c r="F104" i="5"/>
  <c r="I20" i="5"/>
  <c r="H108" i="5"/>
  <c r="G95" i="5"/>
  <c r="G5" i="5"/>
  <c r="H64" i="5"/>
  <c r="L10" i="4"/>
  <c r="G83" i="5"/>
  <c r="F18" i="5"/>
  <c r="I14" i="5"/>
  <c r="G56" i="5"/>
  <c r="E42" i="5"/>
  <c r="E43" i="5"/>
  <c r="F82" i="5"/>
  <c r="E77" i="5"/>
  <c r="M23" i="4"/>
  <c r="I102" i="5"/>
  <c r="M36" i="13" a="1"/>
  <c r="H72" i="5"/>
  <c r="I37" i="5"/>
  <c r="I33" i="5"/>
  <c r="H56" i="5"/>
  <c r="G101" i="5"/>
  <c r="H43" i="5"/>
  <c r="G82" i="5"/>
  <c r="I77" i="5"/>
  <c r="L20" i="4"/>
  <c r="E116" i="5"/>
  <c r="G55" i="5"/>
  <c r="L9" i="4"/>
  <c r="H103" i="5"/>
  <c r="G14" i="5"/>
  <c r="E17" i="5"/>
  <c r="G80" i="5"/>
  <c r="E58" i="5"/>
  <c r="F113" i="5"/>
  <c r="H16" i="5"/>
  <c r="G81" i="5"/>
  <c r="F23" i="5"/>
  <c r="F122" i="5"/>
  <c r="E62" i="5"/>
  <c r="I15" i="5"/>
  <c r="F124" i="5"/>
  <c r="H105" i="5"/>
  <c r="H13" i="5"/>
  <c r="F24" i="5"/>
  <c r="H87" i="5"/>
  <c r="H20" i="5"/>
  <c r="H11" i="5"/>
  <c r="H126" i="5"/>
  <c r="F40" i="5"/>
  <c r="H61" i="5"/>
  <c r="G67" i="5"/>
  <c r="L21" i="4"/>
  <c r="F57" i="5"/>
  <c r="G106" i="5"/>
  <c r="E34" i="5"/>
  <c r="H71" i="5"/>
  <c r="G94" i="5"/>
  <c r="I18" i="5"/>
  <c r="H27" i="5"/>
  <c r="H31" i="5"/>
  <c r="E75" i="5"/>
  <c r="F50" i="5"/>
  <c r="G121" i="5"/>
  <c r="G90" i="5"/>
  <c r="M18" i="4"/>
  <c r="H118" i="5"/>
  <c r="I104" i="5"/>
  <c r="I29" i="5"/>
  <c r="H68" i="5"/>
  <c r="F11" i="5"/>
  <c r="H114" i="5"/>
  <c r="H2" i="5"/>
  <c r="F61" i="5"/>
  <c r="E80" i="5"/>
  <c r="F45" i="5"/>
  <c r="G87" i="5"/>
  <c r="G88" i="5"/>
  <c r="G27" i="5"/>
  <c r="G60" i="5"/>
  <c r="F28" i="5"/>
  <c r="E50" i="5"/>
  <c r="F115" i="5"/>
  <c r="H91" i="5"/>
  <c r="F52" i="5"/>
  <c r="F99" i="5"/>
  <c r="H107" i="5"/>
  <c r="I92" i="5"/>
  <c r="E89" i="5"/>
  <c r="I112" i="5"/>
  <c r="G78" i="5"/>
  <c r="G117" i="5"/>
  <c r="I8" i="5"/>
  <c r="G58" i="5"/>
  <c r="I4" i="5"/>
  <c r="I111" i="5"/>
  <c r="E81" i="5"/>
  <c r="F56" i="5"/>
  <c r="I42" i="5"/>
  <c r="X21" i="13"/>
  <c r="Y21" i="13" s="1"/>
  <c r="E57" i="5"/>
  <c r="G123" i="5"/>
  <c r="F110" i="5"/>
  <c r="F8" i="5"/>
  <c r="H122" i="5"/>
  <c r="H4" i="5"/>
  <c r="E16" i="5"/>
  <c r="G100" i="5"/>
  <c r="G35" i="5"/>
  <c r="E96" i="5"/>
  <c r="F43" i="5"/>
  <c r="I105" i="5"/>
  <c r="H21" i="5"/>
  <c r="G32" i="5"/>
  <c r="H125" i="5"/>
  <c r="G68" i="5"/>
  <c r="F26" i="5"/>
  <c r="I114" i="5"/>
  <c r="H40" i="5"/>
  <c r="F7" i="5"/>
  <c r="H47" i="5"/>
  <c r="L17" i="4"/>
  <c r="G113" i="5"/>
  <c r="I16" i="5"/>
  <c r="F81" i="5"/>
  <c r="E98" i="5"/>
  <c r="G36" i="5"/>
  <c r="E117" i="5"/>
  <c r="I65" i="5"/>
  <c r="H115" i="5"/>
  <c r="H10" i="5"/>
  <c r="H119" i="5"/>
  <c r="I118" i="5"/>
  <c r="E12" i="5"/>
  <c r="H69" i="5"/>
  <c r="G11" i="5"/>
  <c r="F126" i="5"/>
  <c r="G44" i="5"/>
  <c r="H25" i="5"/>
  <c r="H29" i="5"/>
  <c r="H53" i="5"/>
  <c r="E95" i="5"/>
  <c r="H5" i="5"/>
  <c r="G64" i="5"/>
  <c r="M16" i="4"/>
  <c r="E108" i="5"/>
  <c r="E9" i="5"/>
  <c r="F74" i="5"/>
  <c r="H60" i="5"/>
  <c r="H120" i="5"/>
  <c r="G50" i="5"/>
  <c r="E33" i="5"/>
  <c r="E76" i="5"/>
  <c r="E10" i="5"/>
  <c r="G119" i="5"/>
  <c r="G24" i="5"/>
  <c r="I12" i="5"/>
  <c r="F68" i="5"/>
  <c r="M14" i="4"/>
  <c r="E39" i="5"/>
  <c r="H95" i="5"/>
  <c r="F106" i="5"/>
  <c r="E84" i="5"/>
  <c r="M20" i="4"/>
  <c r="F108" i="5"/>
  <c r="H18" i="5"/>
  <c r="E123" i="5"/>
  <c r="M10" i="4"/>
  <c r="I101" i="5"/>
  <c r="H85" i="5"/>
  <c r="G19" i="5"/>
  <c r="F77" i="5"/>
  <c r="G49" i="5"/>
  <c r="H99" i="5"/>
  <c r="I97" i="5"/>
  <c r="I67" i="5"/>
  <c r="H26" i="5"/>
  <c r="E114" i="5"/>
  <c r="F14" i="5"/>
  <c r="H7" i="5"/>
  <c r="H8" i="5"/>
  <c r="H58" i="5"/>
  <c r="F22" i="5"/>
  <c r="I126" i="5"/>
  <c r="G40" i="5"/>
  <c r="G125" i="5"/>
  <c r="E67" i="5"/>
  <c r="E26" i="5"/>
  <c r="I103" i="5"/>
  <c r="G2" i="5"/>
  <c r="H17" i="5"/>
  <c r="F47" i="5"/>
  <c r="I45" i="5"/>
  <c r="G4" i="5"/>
  <c r="I59" i="5"/>
  <c r="I36" i="5"/>
  <c r="F118" i="5"/>
  <c r="G65" i="5"/>
  <c r="F76" i="5"/>
  <c r="I10" i="5"/>
  <c r="G13" i="5"/>
  <c r="E6" i="5"/>
  <c r="F87" i="5"/>
  <c r="E69" i="5"/>
  <c r="I11" i="5"/>
  <c r="F114" i="5"/>
  <c r="E2" i="5"/>
  <c r="I7" i="5"/>
  <c r="H73" i="5"/>
  <c r="H34" i="5"/>
  <c r="F75" i="5"/>
  <c r="H94" i="5"/>
  <c r="E88" i="5"/>
  <c r="E27" i="5"/>
  <c r="E60" i="5"/>
  <c r="G120" i="5"/>
  <c r="I48" i="5"/>
  <c r="H121" i="5"/>
  <c r="H90" i="5"/>
  <c r="I119" i="5"/>
  <c r="H51" i="5"/>
  <c r="I91" i="5"/>
  <c r="F41" i="5"/>
  <c r="E46" i="5"/>
  <c r="E3" i="5"/>
  <c r="E107" i="5"/>
  <c r="F92" i="5"/>
  <c r="H89" i="5"/>
  <c r="E112" i="5"/>
  <c r="E66" i="5"/>
  <c r="E5" i="5"/>
  <c r="F64" i="5"/>
  <c r="M22" i="4"/>
  <c r="H83" i="5"/>
  <c r="E61" i="5"/>
  <c r="F88" i="5"/>
  <c r="H98" i="5"/>
  <c r="F63" i="5"/>
  <c r="I28" i="5"/>
  <c r="H48" i="5"/>
  <c r="E115" i="5"/>
  <c r="H30" i="5"/>
  <c r="I52" i="5"/>
  <c r="I3" i="5"/>
  <c r="E44" i="5"/>
  <c r="I25" i="5"/>
  <c r="G89" i="5"/>
  <c r="I53" i="5"/>
  <c r="F95" i="5"/>
  <c r="H6" i="5"/>
  <c r="I23" i="5"/>
  <c r="E122" i="5"/>
  <c r="F4" i="5"/>
  <c r="H37" i="5"/>
  <c r="F100" i="5"/>
  <c r="M13" i="4"/>
  <c r="F101" i="5"/>
  <c r="G77" i="5"/>
  <c r="I76" i="5"/>
  <c r="G105" i="5"/>
  <c r="I13" i="5"/>
  <c r="H24" i="5"/>
  <c r="I87" i="5"/>
  <c r="I68" i="5"/>
  <c r="L14" i="4"/>
  <c r="E90" i="5"/>
  <c r="M15" i="4"/>
  <c r="I6" i="5"/>
  <c r="G104" i="5"/>
  <c r="G69" i="5"/>
  <c r="E105" i="5"/>
  <c r="I21" i="5"/>
  <c r="E24" i="5"/>
  <c r="E87" i="5"/>
  <c r="G20" i="5"/>
  <c r="I26" i="5"/>
  <c r="G103" i="5"/>
  <c r="H74" i="5"/>
  <c r="F31" i="5"/>
  <c r="I120" i="5"/>
  <c r="H39" i="5"/>
  <c r="F121" i="5"/>
  <c r="I98" i="5"/>
  <c r="I63" i="5"/>
  <c r="G28" i="5"/>
  <c r="F48" i="5"/>
  <c r="H79" i="5"/>
  <c r="F10" i="5"/>
  <c r="F13" i="5"/>
  <c r="I24" i="5"/>
  <c r="H12" i="5"/>
  <c r="F38" i="5"/>
  <c r="E70" i="5"/>
  <c r="H97" i="5"/>
  <c r="E109" i="5"/>
  <c r="H9" i="5"/>
  <c r="E106" i="5"/>
  <c r="F84" i="5"/>
  <c r="L23" i="4"/>
  <c r="G108" i="5"/>
  <c r="F54" i="5"/>
  <c r="I27" i="5"/>
  <c r="I60" i="5"/>
  <c r="G62" i="5"/>
  <c r="F15" i="5"/>
  <c r="G124" i="5"/>
  <c r="L11" i="4"/>
  <c r="I116" i="5"/>
  <c r="F85" i="5"/>
  <c r="H82" i="5"/>
  <c r="I93" i="5"/>
  <c r="F49" i="5"/>
  <c r="G102" i="5"/>
  <c r="I107" i="5"/>
  <c r="H92" i="5"/>
  <c r="F89" i="5"/>
  <c r="F112" i="5"/>
  <c r="H50" i="5"/>
  <c r="F9" i="5"/>
  <c r="G73" i="5"/>
  <c r="I34" i="5"/>
  <c r="G71" i="5"/>
  <c r="F94" i="5"/>
  <c r="I88" i="5"/>
  <c r="G111" i="5"/>
  <c r="L19" i="4"/>
  <c r="F116" i="5"/>
  <c r="G85" i="5"/>
  <c r="G91" i="5"/>
  <c r="F93" i="5"/>
  <c r="I46" i="5"/>
  <c r="G3" i="5"/>
  <c r="E71" i="5"/>
  <c r="F67" i="5"/>
  <c r="L18" i="4"/>
  <c r="E103" i="5"/>
  <c r="E14" i="5"/>
  <c r="F17" i="5"/>
  <c r="E8" i="5"/>
  <c r="G122" i="5"/>
  <c r="G7" i="5"/>
  <c r="E121" i="5"/>
  <c r="H59" i="5"/>
  <c r="H36" i="5"/>
  <c r="F117" i="5"/>
  <c r="E65" i="5"/>
  <c r="G76" i="5"/>
  <c r="I106" i="5"/>
  <c r="I84" i="5"/>
  <c r="M19" i="4"/>
  <c r="I108" i="5"/>
  <c r="I54" i="5"/>
  <c r="I74" i="5"/>
  <c r="F34" i="5"/>
  <c r="I75" i="5"/>
  <c r="I39" i="5"/>
  <c r="H88" i="5"/>
  <c r="G59" i="5"/>
  <c r="E36" i="5"/>
  <c r="F107" i="5"/>
  <c r="G92" i="5"/>
  <c r="E86" i="5"/>
  <c r="H112" i="5"/>
  <c r="G66" i="5"/>
  <c r="H38" i="5"/>
  <c r="E25" i="5"/>
  <c r="E97" i="5"/>
  <c r="G109" i="5"/>
  <c r="I95" i="5"/>
  <c r="F73" i="5"/>
  <c r="G34" i="5"/>
  <c r="F71" i="5"/>
  <c r="E94" i="5"/>
  <c r="G43" i="5"/>
  <c r="E82" i="5"/>
  <c r="E124" i="5"/>
  <c r="L22" i="4"/>
  <c r="G116" i="5"/>
  <c r="F51" i="5"/>
  <c r="H19" i="5"/>
  <c r="H41" i="5"/>
  <c r="G46" i="5"/>
  <c r="E99" i="5"/>
  <c r="I44" i="5"/>
  <c r="E11" i="5"/>
  <c r="G126" i="5"/>
  <c r="F2" i="5"/>
  <c r="G61" i="5"/>
  <c r="G47" i="5"/>
  <c r="M11" i="4"/>
  <c r="I57" i="5"/>
  <c r="H14" i="5"/>
  <c r="I17" i="5"/>
  <c r="H80" i="5"/>
  <c r="F58" i="5"/>
  <c r="F72" i="5"/>
  <c r="E37" i="5"/>
  <c r="I100" i="5"/>
  <c r="E15" i="5"/>
  <c r="I49" i="5"/>
  <c r="E102" i="5"/>
  <c r="E51" i="5"/>
  <c r="E91" i="5"/>
  <c r="G41" i="5"/>
  <c r="F46" i="5"/>
  <c r="F66" i="5"/>
  <c r="H75" i="5"/>
  <c r="E47" i="5"/>
  <c r="E45" i="5"/>
  <c r="G57" i="5"/>
  <c r="H123" i="5"/>
  <c r="E110" i="5"/>
  <c r="H23" i="5"/>
  <c r="F96" i="5"/>
  <c r="H110" i="5"/>
  <c r="E79" i="5"/>
  <c r="F59" i="5"/>
  <c r="M9" i="4"/>
  <c r="E118" i="5"/>
  <c r="H104" i="5"/>
  <c r="F69" i="5"/>
  <c r="X22" i="13"/>
  <c r="E64" i="5"/>
  <c r="F83" i="5"/>
  <c r="H78" i="5"/>
  <c r="G38" i="5"/>
  <c r="G70" i="5"/>
  <c r="F97" i="5"/>
  <c r="F109" i="5"/>
  <c r="E54" i="5"/>
  <c r="G107" i="5"/>
  <c r="G25" i="5"/>
  <c r="I89" i="5"/>
  <c r="F53" i="5"/>
  <c r="I78" i="5"/>
  <c r="F5" i="5"/>
  <c r="H70" i="5"/>
  <c r="G97" i="5"/>
  <c r="I83" i="5"/>
  <c r="I9" i="5"/>
  <c r="G74" i="5"/>
  <c r="G31" i="5"/>
  <c r="I43" i="5"/>
  <c r="E19" i="5"/>
  <c r="H77" i="5"/>
  <c r="H49" i="5"/>
  <c r="F102" i="5"/>
  <c r="I55" i="5"/>
  <c r="F91" i="5"/>
  <c r="E41" i="5"/>
  <c r="E52" i="5"/>
  <c r="F3" i="5"/>
  <c r="E38" i="5"/>
  <c r="F70" i="5"/>
  <c r="E29" i="5"/>
  <c r="I109" i="5"/>
  <c r="H113" i="5"/>
  <c r="E111" i="5"/>
  <c r="I81" i="5"/>
  <c r="F35" i="5"/>
  <c r="I96" i="5"/>
  <c r="F62" i="5"/>
  <c r="F37" i="5"/>
  <c r="G33" i="5"/>
  <c r="I56" i="5"/>
  <c r="H101" i="5"/>
  <c r="G51" i="5"/>
  <c r="G10" i="5"/>
  <c r="E119" i="5"/>
  <c r="G6" i="5"/>
  <c r="F12" i="5"/>
  <c r="F20" i="5"/>
  <c r="H22" i="5"/>
  <c r="E21" i="5"/>
  <c r="F32" i="5"/>
  <c r="F125" i="5"/>
  <c r="E68" i="5"/>
  <c r="M17" i="4"/>
  <c r="F103" i="5"/>
  <c r="F123" i="5"/>
  <c r="G17" i="5"/>
  <c r="I40" i="5"/>
  <c r="I35" i="5"/>
  <c r="F42" i="5"/>
  <c r="H62" i="5"/>
  <c r="H15" i="5"/>
  <c r="I124" i="5"/>
  <c r="L16" i="4"/>
  <c r="H102" i="5"/>
  <c r="G86" i="5"/>
  <c r="E20" i="5"/>
  <c r="G22" i="5"/>
  <c r="E126" i="5"/>
  <c r="E40" i="5"/>
  <c r="I61" i="5"/>
  <c r="I47" i="5"/>
  <c r="L15" i="4"/>
  <c r="G12" i="5"/>
  <c r="E18" i="5"/>
  <c r="E74" i="5"/>
  <c r="E31" i="5"/>
  <c r="E120" i="5"/>
  <c r="F39" i="5"/>
  <c r="G79" i="5"/>
  <c r="I82" i="5"/>
  <c r="H46" i="5"/>
  <c r="I99" i="5"/>
  <c r="F55" i="5"/>
  <c r="I30" i="5"/>
  <c r="I86" i="5"/>
  <c r="G52" i="5"/>
  <c r="F78" i="5"/>
  <c r="F27" i="5"/>
  <c r="F65" i="5"/>
  <c r="G54" i="5"/>
  <c r="H117" i="5"/>
  <c r="E92" i="5"/>
  <c r="I110" i="5"/>
  <c r="I85" i="5"/>
  <c r="F29" i="5"/>
  <c r="F33" i="5"/>
  <c r="E125" i="5"/>
  <c r="G75" i="5"/>
  <c r="F60" i="5"/>
  <c r="I115" i="5"/>
  <c r="I73" i="5"/>
  <c r="G48" i="5"/>
  <c r="G29" i="5"/>
  <c r="E23" i="5"/>
  <c r="I19" i="5"/>
  <c r="H109" i="5"/>
  <c r="L12" i="4"/>
  <c r="H67" i="5"/>
  <c r="G39" i="5"/>
  <c r="F120" i="5"/>
  <c r="F105" i="5"/>
  <c r="G84" i="5"/>
  <c r="E55" i="5"/>
  <c r="E53" i="5"/>
  <c r="I122" i="5"/>
  <c r="H93" i="5"/>
  <c r="G9" i="5"/>
  <c r="H116" i="5"/>
  <c r="M21" i="4"/>
  <c r="I121" i="5"/>
  <c r="I50" i="5"/>
  <c r="E13" i="5"/>
  <c r="I71" i="5"/>
  <c r="F30" i="5"/>
  <c r="E78" i="5"/>
  <c r="G72" i="5"/>
  <c r="F25" i="5"/>
  <c r="H32" i="5"/>
  <c r="G93" i="5"/>
  <c r="F79" i="5"/>
  <c r="I5" i="5"/>
  <c r="I94" i="5"/>
  <c r="F86" i="5"/>
  <c r="H106" i="5"/>
  <c r="F111" i="5"/>
  <c r="G53" i="5"/>
  <c r="G23" i="5"/>
  <c r="I69" i="5"/>
  <c r="H65" i="5"/>
  <c r="E59" i="5"/>
  <c r="I64" i="5"/>
  <c r="G18" i="5"/>
  <c r="H52" i="5"/>
  <c r="H84" i="5"/>
  <c r="H33" i="5"/>
  <c r="H66" i="5"/>
  <c r="H96" i="5"/>
  <c r="I22" i="5"/>
  <c r="H54" i="5"/>
  <c r="I117" i="5"/>
  <c r="E83" i="5"/>
  <c r="H63" i="5"/>
  <c r="H44" i="5"/>
  <c r="F16" i="5"/>
  <c r="H42" i="5"/>
  <c r="I70" i="5"/>
  <c r="G37" i="5"/>
  <c r="E32" i="5"/>
  <c r="I31" i="5"/>
  <c r="G63" i="5"/>
  <c r="G21" i="5"/>
  <c r="L13" i="4"/>
  <c r="E73" i="5"/>
  <c r="F98" i="5"/>
  <c r="I66" i="5"/>
  <c r="E113" i="5"/>
  <c r="H35" i="5"/>
  <c r="F44" i="5"/>
  <c r="I72" i="5"/>
  <c r="C25" i="6" s="1"/>
  <c r="O53" i="13"/>
  <c r="O51" i="13"/>
  <c r="O40" i="13"/>
  <c r="O49" i="13"/>
  <c r="O36" i="13"/>
  <c r="O44" i="13"/>
  <c r="O37" i="13"/>
  <c r="O48" i="13"/>
  <c r="O39" i="13"/>
  <c r="O54" i="13"/>
  <c r="O46" i="13"/>
  <c r="O41" i="13"/>
  <c r="O47" i="13"/>
  <c r="O52" i="13"/>
  <c r="O50" i="13"/>
  <c r="O56" i="13"/>
  <c r="O42" i="13"/>
  <c r="O45" i="13"/>
  <c r="O57" i="13"/>
  <c r="O55" i="13"/>
  <c r="O43" i="13"/>
  <c r="O38" i="13"/>
  <c r="Y22" i="13"/>
  <c r="M25" i="13"/>
  <c r="M30" i="13"/>
  <c r="M28" i="13"/>
  <c r="M24" i="13"/>
  <c r="M21" i="13"/>
  <c r="M29" i="13"/>
  <c r="M31" i="13"/>
  <c r="M33" i="13"/>
  <c r="M32" i="13"/>
  <c r="M26" i="13"/>
  <c r="M27" i="13"/>
  <c r="M22" i="13"/>
  <c r="M23" i="13"/>
  <c r="M19" i="13"/>
  <c r="M20" i="13"/>
  <c r="M38" i="13"/>
  <c r="M44" i="13"/>
  <c r="M54" i="13"/>
  <c r="M56" i="13"/>
  <c r="M39" i="13"/>
  <c r="M47" i="13"/>
  <c r="M41" i="13"/>
  <c r="M52" i="13"/>
  <c r="M48" i="13"/>
  <c r="M37" i="13"/>
  <c r="M50" i="13"/>
  <c r="M55" i="13"/>
  <c r="M49" i="13"/>
  <c r="M45" i="13"/>
  <c r="M53" i="13"/>
  <c r="M40" i="13"/>
  <c r="M43" i="13"/>
  <c r="M57" i="13"/>
  <c r="M46" i="13"/>
  <c r="M36" i="13"/>
  <c r="M51" i="13"/>
  <c r="M42" i="13"/>
  <c r="X23" i="13"/>
  <c r="N43" i="13"/>
  <c r="P43" i="13"/>
  <c r="N42" i="13"/>
  <c r="P42" i="13"/>
  <c r="P28" i="13"/>
  <c r="N28" i="13"/>
  <c r="O28" i="13"/>
  <c r="P24" i="13"/>
  <c r="N24" i="13"/>
  <c r="O24" i="13"/>
  <c r="P52" i="13"/>
  <c r="N52" i="13"/>
  <c r="P48" i="13"/>
  <c r="N48" i="13"/>
  <c r="P26" i="13"/>
  <c r="N26" i="13"/>
  <c r="O26" i="13"/>
  <c r="N46" i="13"/>
  <c r="P46" i="13"/>
  <c r="P23" i="13"/>
  <c r="O23" i="13"/>
  <c r="N23" i="13"/>
  <c r="D14" i="6"/>
  <c r="C24" i="6" s="1"/>
  <c r="P38" i="13"/>
  <c r="N38" i="13"/>
  <c r="P44" i="13"/>
  <c r="N44" i="13"/>
  <c r="N54" i="13"/>
  <c r="P54" i="13"/>
  <c r="P21" i="13"/>
  <c r="O21" i="13"/>
  <c r="N21" i="13"/>
  <c r="P29" i="13"/>
  <c r="O29" i="13"/>
  <c r="N29" i="13"/>
  <c r="Z17" i="13"/>
  <c r="R28" i="13"/>
  <c r="P41" i="13"/>
  <c r="N41" i="13"/>
  <c r="P32" i="13"/>
  <c r="N32" i="13"/>
  <c r="O32" i="13"/>
  <c r="AA17" i="13"/>
  <c r="N49" i="13"/>
  <c r="P49" i="13"/>
  <c r="P19" i="13"/>
  <c r="N19" i="13"/>
  <c r="O19" i="13"/>
  <c r="N56" i="13"/>
  <c r="P56" i="13"/>
  <c r="P39" i="13"/>
  <c r="N39" i="13"/>
  <c r="N47" i="13"/>
  <c r="P47" i="13"/>
  <c r="P31" i="13"/>
  <c r="O31" i="13"/>
  <c r="N31" i="13"/>
  <c r="P33" i="13"/>
  <c r="N33" i="13"/>
  <c r="O33" i="13"/>
  <c r="J23" i="13"/>
  <c r="N55" i="13"/>
  <c r="P55" i="13"/>
  <c r="P37" i="13"/>
  <c r="N37" i="13"/>
  <c r="P57" i="13"/>
  <c r="N57" i="13"/>
  <c r="N50" i="13"/>
  <c r="P50" i="13"/>
  <c r="P27" i="13"/>
  <c r="N27" i="13"/>
  <c r="O27" i="13"/>
  <c r="R27" i="13" s="1"/>
  <c r="P22" i="13"/>
  <c r="N22" i="13"/>
  <c r="O22" i="13"/>
  <c r="R29" i="13"/>
  <c r="P45" i="13"/>
  <c r="N45" i="13"/>
  <c r="N53" i="13"/>
  <c r="P53" i="13"/>
  <c r="P36" i="13"/>
  <c r="N36" i="13"/>
  <c r="P20" i="13"/>
  <c r="N20" i="13"/>
  <c r="O20" i="13"/>
  <c r="J1" i="5" a="1"/>
  <c r="R26" i="13"/>
  <c r="P40" i="13"/>
  <c r="N40" i="13"/>
  <c r="N51" i="13"/>
  <c r="P51" i="13"/>
  <c r="P25" i="13"/>
  <c r="N25" i="13"/>
  <c r="O25" i="13"/>
  <c r="R25" i="13" s="1"/>
  <c r="P30" i="13"/>
  <c r="N30" i="13"/>
  <c r="O30" i="13"/>
  <c r="D15" i="6"/>
  <c r="R31" i="13"/>
  <c r="R30" i="13"/>
  <c r="R32" i="13"/>
  <c r="D27" i="6"/>
  <c r="Y23" i="13"/>
  <c r="R21" i="13"/>
  <c r="R19" i="13"/>
  <c r="R20" i="13"/>
  <c r="R23" i="13"/>
  <c r="R33" i="13"/>
  <c r="R24" i="13"/>
  <c r="R22" i="13"/>
  <c r="Q51" i="13" l="1"/>
  <c r="Q40" i="13"/>
  <c r="Q36" i="13"/>
  <c r="Q53" i="13"/>
  <c r="Q45" i="13"/>
  <c r="Q50" i="13"/>
  <c r="Q57" i="13"/>
  <c r="Q37" i="13"/>
  <c r="Q55" i="13"/>
  <c r="Q47" i="13"/>
  <c r="Q39" i="13"/>
  <c r="Q56" i="13"/>
  <c r="Q49" i="13"/>
  <c r="Q41" i="13"/>
  <c r="Q54" i="13"/>
  <c r="Q44" i="13"/>
  <c r="Q38" i="13"/>
  <c r="Q46" i="13"/>
  <c r="Q48" i="13"/>
  <c r="Q52" i="13"/>
  <c r="Q42" i="13"/>
  <c r="Q43" i="13"/>
  <c r="J66" i="5"/>
  <c r="J50" i="5"/>
  <c r="J20" i="5"/>
  <c r="J99" i="5"/>
  <c r="J67" i="5"/>
  <c r="J124" i="5"/>
  <c r="J4" i="5"/>
  <c r="J47" i="5"/>
  <c r="J57" i="5"/>
  <c r="J6" i="5"/>
  <c r="J98" i="5"/>
  <c r="J123" i="5"/>
  <c r="J63" i="5"/>
  <c r="J68" i="5"/>
  <c r="J77" i="5"/>
  <c r="J18" i="5"/>
  <c r="J71" i="5"/>
  <c r="J2" i="5"/>
  <c r="J101" i="5"/>
  <c r="J51" i="5"/>
  <c r="J86" i="5"/>
  <c r="J104" i="5"/>
  <c r="J46" i="5"/>
  <c r="J31" i="5"/>
  <c r="J16" i="5"/>
  <c r="J52" i="5"/>
  <c r="J23" i="5"/>
  <c r="J62" i="5"/>
  <c r="J80" i="5"/>
  <c r="J69" i="5"/>
  <c r="J13" i="5"/>
  <c r="J94" i="5"/>
  <c r="J42" i="5"/>
  <c r="J107" i="5"/>
  <c r="J26" i="5"/>
  <c r="J34" i="5"/>
  <c r="J91" i="5"/>
  <c r="J126" i="5"/>
  <c r="J82" i="5"/>
  <c r="J55" i="5"/>
  <c r="J74" i="5"/>
  <c r="J19" i="5"/>
  <c r="J3" i="5"/>
  <c r="J21" i="5"/>
  <c r="J15" i="5"/>
  <c r="J12" i="5"/>
  <c r="J119" i="5"/>
  <c r="J25" i="5"/>
  <c r="J70" i="5"/>
  <c r="J22" i="5"/>
  <c r="J1" i="5"/>
  <c r="J54" i="5"/>
  <c r="J95" i="5"/>
  <c r="J88" i="5"/>
  <c r="J102" i="5"/>
  <c r="J39" i="5"/>
  <c r="J10" i="5"/>
  <c r="J17" i="5"/>
  <c r="J45" i="5"/>
  <c r="J38" i="5"/>
  <c r="J40" i="5"/>
  <c r="J79" i="5"/>
  <c r="J122" i="5"/>
  <c r="J103" i="5"/>
  <c r="J24" i="5"/>
  <c r="J76" i="5"/>
  <c r="J115" i="5"/>
  <c r="J5" i="5"/>
  <c r="J78" i="5"/>
  <c r="J110" i="5"/>
  <c r="J49" i="5"/>
  <c r="J120" i="5"/>
  <c r="J27" i="5"/>
  <c r="J44" i="5"/>
  <c r="J14" i="5"/>
  <c r="J97" i="5"/>
  <c r="J93" i="5"/>
  <c r="J9" i="5"/>
  <c r="J85" i="5"/>
  <c r="J84" i="5"/>
  <c r="J60" i="5"/>
  <c r="J75" i="5"/>
  <c r="J73" i="5"/>
  <c r="J58" i="5"/>
  <c r="J11" i="5"/>
  <c r="J87" i="5"/>
  <c r="J100" i="5"/>
  <c r="J43" i="5"/>
  <c r="J7" i="5"/>
  <c r="J8" i="5"/>
  <c r="J29" i="5"/>
  <c r="J125" i="5"/>
  <c r="J53" i="5"/>
  <c r="J61" i="5"/>
  <c r="J116" i="5"/>
  <c r="J105" i="5"/>
  <c r="J106" i="5"/>
  <c r="J36" i="5"/>
  <c r="J92" i="5"/>
  <c r="J56" i="5"/>
  <c r="J64" i="5"/>
  <c r="J30" i="5"/>
  <c r="J72" i="5"/>
  <c r="J112" i="5"/>
  <c r="J114" i="5"/>
  <c r="J89" i="5"/>
  <c r="J35" i="5"/>
  <c r="J41" i="5"/>
  <c r="J32" i="5"/>
  <c r="J83" i="5"/>
  <c r="J109" i="5"/>
  <c r="J108" i="5"/>
  <c r="J90" i="5"/>
  <c r="J96" i="5"/>
  <c r="J113" i="5"/>
  <c r="J59" i="5"/>
  <c r="J48" i="5"/>
  <c r="J111" i="5"/>
  <c r="J121" i="5"/>
  <c r="J118" i="5"/>
  <c r="J33" i="5"/>
  <c r="J28" i="5"/>
  <c r="J37" i="5"/>
  <c r="J117" i="5"/>
  <c r="J81" i="5"/>
  <c r="J65" i="5"/>
  <c r="R51" i="13"/>
  <c r="S51" i="13" s="1"/>
  <c r="R55" i="13"/>
  <c r="S55" i="13" s="1"/>
  <c r="R38" i="13"/>
  <c r="S28" i="13"/>
  <c r="S25" i="13"/>
  <c r="S22" i="13"/>
  <c r="S29" i="13"/>
  <c r="R50" i="13"/>
  <c r="D26" i="6"/>
  <c r="S24" i="13"/>
  <c r="S31" i="13"/>
  <c r="R40" i="13"/>
  <c r="R47" i="13"/>
  <c r="S47" i="13" s="1"/>
  <c r="R46" i="13"/>
  <c r="S46" i="13" s="1"/>
  <c r="R36" i="13"/>
  <c r="R39" i="13"/>
  <c r="R48" i="13"/>
  <c r="R53" i="13"/>
  <c r="S53" i="13" s="1"/>
  <c r="R56" i="13"/>
  <c r="S56" i="13" s="1"/>
  <c r="R52" i="13"/>
  <c r="S52" i="13" s="1"/>
  <c r="S38" i="13"/>
  <c r="S23" i="13"/>
  <c r="S32" i="13"/>
  <c r="S26" i="13"/>
  <c r="D25" i="6"/>
  <c r="R45" i="13"/>
  <c r="R49" i="13"/>
  <c r="S49" i="13" s="1"/>
  <c r="R42" i="13"/>
  <c r="S42" i="13" s="1"/>
  <c r="S39" i="13"/>
  <c r="S45" i="13"/>
  <c r="S48" i="13"/>
  <c r="S20" i="13"/>
  <c r="D24" i="6"/>
  <c r="R41" i="13"/>
  <c r="S41" i="13" s="1"/>
  <c r="R43" i="13"/>
  <c r="S27" i="13"/>
  <c r="S33" i="13"/>
  <c r="S30" i="13"/>
  <c r="S40" i="13"/>
  <c r="S43" i="13"/>
  <c r="S21" i="13"/>
  <c r="S19" i="13"/>
  <c r="S36" i="13"/>
  <c r="R37" i="13"/>
  <c r="S37" i="13" s="1"/>
  <c r="R44" i="13"/>
  <c r="S44" i="13" s="1"/>
  <c r="R57" i="13"/>
  <c r="S57" i="13" s="1"/>
  <c r="R54" i="13"/>
  <c r="S54" i="13" s="1"/>
  <c r="X24" i="13"/>
  <c r="Y24" i="13"/>
  <c r="T54" i="13" l="1"/>
  <c r="T57" i="13"/>
  <c r="T52" i="13"/>
  <c r="T56" i="13"/>
  <c r="T53" i="13"/>
  <c r="T55" i="13"/>
  <c r="T51" i="13"/>
  <c r="T49" i="13"/>
  <c r="T28" i="13"/>
  <c r="T46" i="13"/>
  <c r="T36" i="13"/>
  <c r="T40" i="13"/>
  <c r="T20" i="13"/>
  <c r="T26" i="13"/>
  <c r="T41" i="13"/>
  <c r="T47" i="13"/>
  <c r="T31" i="13"/>
  <c r="T19" i="13"/>
  <c r="T30" i="13"/>
  <c r="T48" i="13"/>
  <c r="T32" i="13"/>
  <c r="T22" i="13"/>
  <c r="T44" i="13"/>
  <c r="T24" i="13"/>
  <c r="T21" i="13"/>
  <c r="T33" i="13"/>
  <c r="T45" i="13"/>
  <c r="T23" i="13"/>
  <c r="T29" i="13"/>
  <c r="T25" i="13"/>
  <c r="T37" i="13"/>
  <c r="T42" i="13"/>
  <c r="T43" i="13"/>
  <c r="T27" i="13"/>
  <c r="T39" i="13"/>
  <c r="T38" i="13"/>
  <c r="X25" i="13"/>
  <c r="U19" i="13" a="1"/>
  <c r="S50" i="13"/>
  <c r="X26" i="13"/>
  <c r="Y26" i="13"/>
  <c r="U36" i="13" l="1"/>
  <c r="T50" i="13"/>
  <c r="U19" i="13"/>
  <c r="X27" i="13"/>
  <c r="Y25" i="13"/>
  <c r="Y27" i="13"/>
  <c r="X28" i="13" l="1"/>
  <c r="Y28" i="13"/>
  <c r="X29" i="13" l="1"/>
  <c r="Y29" i="13"/>
  <c r="X30" i="13" l="1"/>
  <c r="Y30" i="13"/>
  <c r="X31" i="13" l="1"/>
  <c r="X32" i="13"/>
  <c r="Y32" i="13"/>
  <c r="X33" i="13" l="1"/>
  <c r="Y31" i="13"/>
  <c r="X34" i="13"/>
  <c r="Y34" i="13"/>
  <c r="X35" i="13" l="1"/>
  <c r="Y33" i="13"/>
  <c r="X36" i="13"/>
  <c r="X37" i="13"/>
  <c r="X38" i="13"/>
  <c r="Y37" i="13"/>
  <c r="Y38" i="13"/>
  <c r="X39" i="13"/>
  <c r="Y39" i="13"/>
  <c r="X40" i="13"/>
  <c r="Y40" i="13"/>
  <c r="X41" i="13"/>
  <c r="Y41" i="13"/>
  <c r="X42" i="13"/>
  <c r="X43" i="13"/>
  <c r="Y42" i="13"/>
  <c r="Y43" i="13"/>
  <c r="X44" i="13"/>
  <c r="Y44" i="13"/>
  <c r="X45" i="13"/>
  <c r="Y45" i="13"/>
  <c r="X46" i="13"/>
  <c r="Y46" i="13"/>
  <c r="X47" i="13"/>
  <c r="Y47" i="13"/>
  <c r="X48" i="13"/>
  <c r="Y48" i="13"/>
  <c r="X49" i="13"/>
  <c r="Y49" i="13"/>
  <c r="X50" i="13"/>
  <c r="X51" i="13"/>
  <c r="Y50" i="13"/>
  <c r="Y51" i="13"/>
  <c r="X52" i="13"/>
  <c r="X53" i="13"/>
  <c r="Y52" i="13"/>
  <c r="X54" i="13"/>
  <c r="Y53" i="13"/>
  <c r="X55" i="13"/>
  <c r="Y54" i="13"/>
  <c r="Y55" i="13"/>
  <c r="X56" i="13"/>
  <c r="Y56" i="13"/>
  <c r="X57" i="13"/>
  <c r="X58" i="13"/>
  <c r="Y57" i="13"/>
  <c r="X59" i="13"/>
  <c r="Y58" i="13"/>
  <c r="X60" i="13"/>
  <c r="Y59" i="13"/>
  <c r="X61" i="13"/>
  <c r="Y60" i="13"/>
  <c r="Y61" i="13"/>
  <c r="X62" i="13"/>
  <c r="Y62" i="13"/>
  <c r="X63" i="13"/>
  <c r="Y63" i="13"/>
  <c r="X64" i="13"/>
  <c r="Y64" i="13"/>
  <c r="X65" i="13"/>
  <c r="X66" i="13"/>
  <c r="Y65" i="13"/>
  <c r="Y66" i="13"/>
  <c r="X67" i="13"/>
  <c r="X68" i="13"/>
  <c r="Y67" i="13"/>
  <c r="Y68" i="13"/>
  <c r="X69" i="13"/>
  <c r="Y69" i="13"/>
  <c r="X70" i="13"/>
  <c r="X71" i="13"/>
  <c r="Y70" i="13"/>
  <c r="X72" i="13"/>
  <c r="Y71" i="13"/>
  <c r="X73" i="13"/>
  <c r="Y72" i="13"/>
  <c r="Y73" i="13"/>
  <c r="X74" i="13"/>
  <c r="Y74" i="13"/>
  <c r="X75" i="13"/>
  <c r="X76" i="13"/>
  <c r="Y75" i="13"/>
  <c r="Y76" i="13"/>
  <c r="X77" i="13"/>
  <c r="X78" i="13"/>
  <c r="Y77" i="13"/>
  <c r="X79" i="13"/>
  <c r="Y78" i="13"/>
  <c r="Y79" i="13"/>
  <c r="X80" i="13"/>
  <c r="Y80" i="13"/>
  <c r="X81" i="13"/>
  <c r="X82" i="13"/>
  <c r="Y81" i="13"/>
  <c r="X83" i="13"/>
  <c r="Y82" i="13"/>
  <c r="X84" i="13"/>
  <c r="Y83" i="13"/>
  <c r="Y84" i="13"/>
  <c r="X85" i="13"/>
  <c r="X86" i="13"/>
  <c r="Y85" i="13"/>
  <c r="Y86" i="13"/>
  <c r="X87" i="13"/>
  <c r="Y87" i="13"/>
  <c r="X88" i="13"/>
  <c r="Y88" i="13"/>
  <c r="X89" i="13"/>
  <c r="Y89" i="13"/>
  <c r="X90" i="13"/>
  <c r="X91" i="13"/>
  <c r="Y90" i="13"/>
  <c r="X92" i="13"/>
  <c r="Y91" i="13"/>
  <c r="Y92" i="13"/>
  <c r="X93" i="13"/>
  <c r="Y93" i="13"/>
  <c r="X94" i="13"/>
  <c r="X95" i="13"/>
  <c r="Y94" i="13"/>
  <c r="X96" i="13"/>
  <c r="Y95" i="13"/>
  <c r="Y96" i="13"/>
  <c r="X97" i="13"/>
  <c r="Y97" i="13"/>
  <c r="X98" i="13"/>
  <c r="Y98" i="13"/>
  <c r="X99" i="13"/>
  <c r="Y99" i="13"/>
  <c r="X100" i="13"/>
  <c r="Y100" i="13"/>
  <c r="X101" i="13"/>
  <c r="Y101" i="13"/>
  <c r="X102" i="13"/>
  <c r="Y102" i="13"/>
  <c r="X103" i="13"/>
  <c r="Y103" i="13"/>
  <c r="X104" i="13"/>
  <c r="Y104" i="13"/>
  <c r="X105" i="13"/>
  <c r="X106" i="13"/>
  <c r="Y105" i="13"/>
  <c r="Y106" i="13"/>
  <c r="X107" i="13"/>
  <c r="X108" i="13"/>
  <c r="Y107" i="13"/>
  <c r="Y108" i="13"/>
  <c r="X109" i="13"/>
  <c r="X110" i="13"/>
  <c r="Y109" i="13"/>
  <c r="Y110" i="13"/>
  <c r="X111" i="13"/>
  <c r="Y111" i="13"/>
  <c r="X112" i="13"/>
  <c r="X113" i="13"/>
  <c r="Y112" i="13"/>
  <c r="Y113" i="13"/>
  <c r="X114" i="13"/>
  <c r="Y114" i="13"/>
  <c r="X115" i="13"/>
  <c r="Y115" i="13"/>
  <c r="X116" i="13"/>
  <c r="X117" i="13"/>
  <c r="Y116" i="13"/>
  <c r="Y117" i="13"/>
  <c r="X118" i="13"/>
  <c r="X119" i="13"/>
  <c r="Y118" i="13"/>
  <c r="X120" i="13"/>
  <c r="Y119" i="13"/>
  <c r="X121" i="13"/>
  <c r="Y120" i="13"/>
  <c r="Y121" i="13"/>
  <c r="X122" i="13"/>
  <c r="X123" i="13"/>
  <c r="Y122" i="13"/>
  <c r="Y123" i="13"/>
  <c r="X124" i="13"/>
  <c r="X125" i="13"/>
  <c r="Y124" i="13"/>
  <c r="X126" i="13"/>
  <c r="Y125" i="13"/>
  <c r="X127" i="13"/>
  <c r="Y126" i="13"/>
  <c r="X128" i="13"/>
  <c r="Y127" i="13"/>
  <c r="X129" i="13"/>
  <c r="Y128" i="13"/>
  <c r="Y129" i="13"/>
  <c r="X130" i="13"/>
  <c r="X131" i="13"/>
  <c r="Y130" i="13"/>
  <c r="X132" i="13"/>
  <c r="Y131" i="13"/>
  <c r="X133" i="13"/>
  <c r="Y132" i="13"/>
  <c r="X134" i="13"/>
  <c r="Y133" i="13"/>
  <c r="Y134" i="13"/>
  <c r="X135" i="13"/>
  <c r="X136" i="13"/>
  <c r="Y135" i="13"/>
  <c r="X137" i="13"/>
  <c r="Y136" i="13"/>
  <c r="Y137" i="13"/>
  <c r="X138" i="13"/>
  <c r="Y138" i="13"/>
  <c r="X139" i="13"/>
  <c r="X140" i="13"/>
  <c r="Y139" i="13"/>
  <c r="X141" i="13"/>
  <c r="Y140" i="13"/>
  <c r="Y141" i="13"/>
  <c r="X142" i="13"/>
  <c r="Y142" i="13"/>
  <c r="X143" i="13"/>
  <c r="X144" i="13"/>
  <c r="Y143" i="13"/>
  <c r="X145" i="13"/>
  <c r="Y144" i="13"/>
  <c r="Y145" i="13"/>
  <c r="X146" i="13"/>
  <c r="X147" i="13"/>
  <c r="Y146" i="13"/>
  <c r="Y147" i="13"/>
  <c r="X148" i="13"/>
  <c r="X149" i="13"/>
  <c r="Y148" i="13"/>
  <c r="Y149" i="13"/>
  <c r="X150" i="13"/>
  <c r="Y150" i="13"/>
  <c r="X151" i="13"/>
  <c r="X152" i="13"/>
  <c r="Y151" i="13"/>
  <c r="X153" i="13"/>
  <c r="Y152" i="13"/>
  <c r="Y153" i="13"/>
  <c r="X154" i="13"/>
  <c r="X155" i="13"/>
  <c r="Y154" i="13"/>
  <c r="Y155" i="13"/>
  <c r="X156" i="13"/>
  <c r="Y156" i="13"/>
  <c r="X157" i="13"/>
  <c r="X158" i="13"/>
  <c r="Y157" i="13"/>
  <c r="X159" i="13"/>
  <c r="Y158" i="13"/>
  <c r="Y159" i="13"/>
  <c r="X160" i="13"/>
  <c r="X161" i="13"/>
  <c r="Y160" i="13"/>
  <c r="X162" i="13"/>
  <c r="Y161" i="13"/>
  <c r="Y162" i="13"/>
  <c r="X163" i="13"/>
  <c r="X164" i="13"/>
  <c r="Y163" i="13"/>
  <c r="Y164" i="13"/>
  <c r="X165" i="13"/>
  <c r="Y165" i="13"/>
  <c r="X166" i="13"/>
  <c r="X167" i="13"/>
  <c r="Y166" i="13"/>
  <c r="X168" i="13"/>
  <c r="Y167" i="13"/>
  <c r="Y168" i="13"/>
  <c r="X169" i="13"/>
  <c r="Y169" i="13"/>
  <c r="X170" i="13"/>
  <c r="Y170" i="13"/>
  <c r="X171" i="13"/>
  <c r="Y171" i="13"/>
  <c r="X172" i="13"/>
  <c r="Y172" i="13"/>
  <c r="X173" i="13"/>
  <c r="X174" i="13"/>
  <c r="Y173" i="13"/>
  <c r="X175" i="13"/>
  <c r="Y174" i="13"/>
  <c r="X176" i="13"/>
  <c r="Y175" i="13"/>
  <c r="Y176" i="13"/>
  <c r="X177" i="13"/>
  <c r="X178" i="13"/>
  <c r="Y177" i="13"/>
  <c r="Y178" i="13"/>
  <c r="X179" i="13"/>
  <c r="X180" i="13"/>
  <c r="Y179" i="13"/>
  <c r="X181" i="13"/>
  <c r="Y180" i="13"/>
  <c r="Y181" i="13"/>
  <c r="X182" i="13"/>
  <c r="Y182" i="13"/>
  <c r="X183" i="13"/>
  <c r="Y183" i="13"/>
  <c r="X184" i="13"/>
  <c r="Y184" i="13"/>
  <c r="X185" i="13"/>
  <c r="Y185" i="13"/>
  <c r="X186" i="13"/>
  <c r="Y186" i="13"/>
  <c r="X187" i="13"/>
  <c r="Y187" i="13"/>
  <c r="X188" i="13"/>
  <c r="Y188" i="13"/>
  <c r="X189" i="13"/>
  <c r="X190" i="13"/>
  <c r="Y189" i="13"/>
  <c r="X191" i="13"/>
  <c r="Y190" i="13"/>
  <c r="Y191" i="13"/>
  <c r="X192" i="13"/>
  <c r="Y192" i="13"/>
  <c r="X193" i="13"/>
  <c r="X194" i="13"/>
  <c r="Y193" i="13"/>
  <c r="X195" i="13"/>
  <c r="Y194" i="13"/>
  <c r="X196" i="13"/>
  <c r="Y195" i="13"/>
  <c r="Y196" i="13"/>
  <c r="X197" i="13"/>
  <c r="Y197" i="13"/>
  <c r="X198" i="13"/>
  <c r="X199" i="13"/>
  <c r="Y198" i="13"/>
  <c r="Y199" i="13"/>
  <c r="X200" i="13"/>
  <c r="X201" i="13"/>
  <c r="Y200" i="13"/>
  <c r="X202" i="13"/>
  <c r="Y201" i="13"/>
  <c r="Y202" i="13"/>
  <c r="X203" i="13"/>
  <c r="Y203" i="13"/>
  <c r="X204" i="13"/>
  <c r="Y204" i="13"/>
  <c r="X205" i="13"/>
  <c r="Y205" i="13"/>
  <c r="X206" i="13"/>
  <c r="Y206" i="13"/>
  <c r="X207" i="13"/>
  <c r="Y207" i="13"/>
  <c r="X208" i="13"/>
  <c r="X209" i="13"/>
  <c r="Y208" i="13"/>
  <c r="X210" i="13"/>
  <c r="Y209" i="13"/>
  <c r="X211" i="13"/>
  <c r="Y210" i="13"/>
  <c r="Y211" i="13"/>
  <c r="X212" i="13"/>
  <c r="X213" i="13"/>
  <c r="Y212" i="13"/>
  <c r="Y213" i="13"/>
  <c r="X214" i="13"/>
  <c r="Y214" i="13"/>
  <c r="X215" i="13"/>
  <c r="Y215" i="13"/>
  <c r="X216" i="13"/>
  <c r="Y216" i="13"/>
  <c r="X217" i="13"/>
  <c r="X218" i="13"/>
  <c r="Y217" i="13"/>
  <c r="Y218" i="13"/>
  <c r="X219" i="13"/>
  <c r="X220" i="13"/>
  <c r="Y219" i="13"/>
  <c r="Y220" i="13"/>
  <c r="X221" i="13"/>
  <c r="Y221" i="13"/>
  <c r="X222" i="13"/>
  <c r="X223" i="13"/>
  <c r="Y222" i="13"/>
  <c r="X224" i="13"/>
  <c r="Y223" i="13"/>
  <c r="Y224" i="13"/>
  <c r="X225" i="13"/>
  <c r="X226" i="13"/>
  <c r="Y225" i="13"/>
  <c r="X227" i="13"/>
  <c r="Y226" i="13"/>
  <c r="X228" i="13"/>
  <c r="Y227" i="13"/>
  <c r="X229" i="13"/>
  <c r="Y228" i="13"/>
  <c r="Y229" i="13"/>
  <c r="X230" i="13"/>
  <c r="Y230" i="13"/>
  <c r="X231" i="13"/>
  <c r="Y231" i="13"/>
  <c r="X232" i="13"/>
  <c r="Y232" i="13"/>
  <c r="X233" i="13"/>
  <c r="Y233" i="13"/>
  <c r="X234" i="13"/>
  <c r="Y234" i="13"/>
  <c r="X235" i="13"/>
  <c r="Y235" i="13"/>
  <c r="X236" i="13"/>
  <c r="X237" i="13"/>
  <c r="Y236" i="13"/>
  <c r="Y237" i="13"/>
  <c r="X238" i="13"/>
  <c r="Y238" i="13"/>
  <c r="X239" i="13"/>
  <c r="Y239" i="13"/>
  <c r="X240" i="13"/>
  <c r="X241" i="13"/>
  <c r="Y240" i="13"/>
  <c r="Y241" i="13"/>
  <c r="X242" i="13"/>
  <c r="Y242" i="13"/>
  <c r="X243" i="13"/>
  <c r="Y243" i="13"/>
  <c r="X244" i="13"/>
  <c r="X245" i="13"/>
  <c r="Y244" i="13"/>
  <c r="Y245" i="13"/>
  <c r="X246" i="13"/>
  <c r="X247" i="13"/>
  <c r="Y246" i="13"/>
  <c r="Y247" i="13"/>
  <c r="X248" i="13"/>
  <c r="X249" i="13"/>
  <c r="Y248" i="13"/>
  <c r="X250" i="13"/>
  <c r="Y249" i="13"/>
  <c r="Y250" i="13"/>
  <c r="X251" i="13"/>
  <c r="X252" i="13"/>
  <c r="Y251" i="13"/>
  <c r="X253" i="13"/>
  <c r="Y252" i="13"/>
  <c r="X254" i="13"/>
  <c r="Y253" i="13"/>
  <c r="X255" i="13"/>
  <c r="Y254" i="13"/>
  <c r="Y255" i="13"/>
  <c r="X256" i="13"/>
  <c r="X257" i="13"/>
  <c r="Y256" i="13"/>
  <c r="Y257" i="13"/>
  <c r="X258" i="13"/>
  <c r="Y258" i="13"/>
  <c r="X259" i="13"/>
  <c r="Y259" i="13"/>
  <c r="X260" i="13"/>
  <c r="Y260" i="13"/>
  <c r="X261" i="13"/>
  <c r="Y261" i="13"/>
  <c r="X262" i="13"/>
  <c r="X263" i="13"/>
  <c r="Y262" i="13"/>
  <c r="Y263" i="13"/>
  <c r="X264" i="13"/>
  <c r="Y264" i="13"/>
  <c r="X265" i="13"/>
  <c r="X266" i="13"/>
  <c r="Y265" i="13"/>
  <c r="X267" i="13"/>
  <c r="Y266" i="13"/>
  <c r="Y267" i="13"/>
  <c r="X268" i="13"/>
  <c r="Y268" i="13"/>
  <c r="X269" i="13"/>
  <c r="Y269" i="13"/>
  <c r="X270" i="13"/>
  <c r="Y270" i="13"/>
  <c r="X271" i="13"/>
  <c r="Y271" i="13"/>
  <c r="X272" i="13"/>
  <c r="Y272" i="13"/>
  <c r="X273" i="13"/>
  <c r="X274" i="13"/>
  <c r="Y273" i="13"/>
  <c r="Y274" i="13"/>
  <c r="X275" i="13"/>
  <c r="X276" i="13"/>
  <c r="Y275" i="13"/>
  <c r="X277" i="13"/>
  <c r="Y276" i="13"/>
  <c r="Y277" i="13"/>
  <c r="X278" i="13"/>
  <c r="Y278" i="13"/>
  <c r="X279" i="13"/>
  <c r="Y279" i="13"/>
  <c r="X280" i="13"/>
  <c r="Y280" i="13"/>
  <c r="X281" i="13"/>
  <c r="Y281" i="13"/>
  <c r="X282" i="13"/>
  <c r="Y282" i="13"/>
  <c r="X283" i="13"/>
  <c r="Y283" i="13"/>
  <c r="X284" i="13"/>
  <c r="X285" i="13"/>
  <c r="Y284" i="13"/>
  <c r="X286" i="13"/>
  <c r="Y285" i="13"/>
  <c r="X287" i="13"/>
  <c r="Y286" i="13"/>
  <c r="X288" i="13"/>
  <c r="Y287" i="13"/>
  <c r="X289" i="13"/>
  <c r="Y288" i="13"/>
  <c r="Y289" i="13"/>
  <c r="X290" i="13"/>
  <c r="Y290" i="13"/>
  <c r="X291" i="13"/>
  <c r="Y291" i="13"/>
  <c r="X292" i="13"/>
  <c r="X293" i="13"/>
  <c r="Y292" i="13"/>
  <c r="X294" i="13"/>
  <c r="Y293" i="13"/>
  <c r="Y294" i="13"/>
  <c r="X295" i="13"/>
  <c r="X296" i="13"/>
  <c r="Y295" i="13"/>
  <c r="Y296" i="13"/>
  <c r="X297" i="13"/>
  <c r="X298" i="13"/>
  <c r="Y297" i="13"/>
  <c r="X299" i="13"/>
  <c r="Y298" i="13"/>
  <c r="X300" i="13"/>
  <c r="Y299" i="13"/>
  <c r="Y300" i="13"/>
  <c r="X301" i="13"/>
  <c r="X302" i="13"/>
  <c r="Y301" i="13"/>
  <c r="X303" i="13"/>
  <c r="Y302" i="13"/>
  <c r="Y303" i="13"/>
  <c r="X304" i="13"/>
  <c r="X305" i="13"/>
  <c r="Y304" i="13"/>
  <c r="X306" i="13"/>
  <c r="Y305" i="13"/>
  <c r="X307" i="13"/>
  <c r="Y306" i="13"/>
  <c r="Y307" i="13"/>
  <c r="X308" i="13"/>
  <c r="Y308" i="13"/>
  <c r="X309" i="13"/>
  <c r="Y309" i="13"/>
  <c r="X310" i="13"/>
  <c r="Y310" i="13"/>
  <c r="X311" i="13"/>
  <c r="X312" i="13"/>
  <c r="Y311" i="13"/>
  <c r="Y312" i="13"/>
  <c r="X313" i="13"/>
  <c r="Y313" i="13"/>
  <c r="X314" i="13"/>
  <c r="X315" i="13"/>
  <c r="Y314" i="13"/>
  <c r="X316" i="13"/>
  <c r="Y315" i="13"/>
  <c r="Y316" i="13"/>
  <c r="X317" i="13"/>
  <c r="Y317" i="13"/>
  <c r="X318" i="13"/>
  <c r="X319" i="13"/>
  <c r="Y318" i="13"/>
  <c r="Y319" i="13"/>
  <c r="X320" i="13"/>
  <c r="X321" i="13"/>
  <c r="Y320" i="13"/>
  <c r="Y321" i="13"/>
  <c r="X322" i="13"/>
  <c r="Y322" i="13"/>
  <c r="X323" i="13"/>
  <c r="X324" i="13"/>
  <c r="Y323" i="13"/>
  <c r="X325" i="13"/>
  <c r="Y324" i="13"/>
  <c r="X326" i="13"/>
  <c r="Y325" i="13"/>
  <c r="Y326" i="13"/>
  <c r="X327" i="13"/>
  <c r="X328" i="13"/>
  <c r="Y327" i="13"/>
  <c r="X329" i="13"/>
  <c r="Y328" i="13"/>
  <c r="X330" i="13"/>
  <c r="Y329" i="13"/>
  <c r="X331" i="13"/>
  <c r="Y330" i="13"/>
  <c r="X332" i="13"/>
  <c r="Y331" i="13"/>
  <c r="Y332" i="13"/>
  <c r="X333" i="13"/>
  <c r="Y333" i="13"/>
  <c r="X334" i="13"/>
  <c r="Y334" i="13"/>
  <c r="X335" i="13"/>
  <c r="Y335" i="13"/>
  <c r="X336" i="13"/>
  <c r="Y336" i="13"/>
  <c r="X337" i="13"/>
  <c r="Y337" i="13"/>
  <c r="X338" i="13"/>
  <c r="X339" i="13"/>
  <c r="Y338" i="13"/>
  <c r="Y339" i="13"/>
  <c r="X340" i="13"/>
  <c r="Y340" i="13"/>
  <c r="X341" i="13"/>
  <c r="Y341" i="13"/>
  <c r="X342" i="13"/>
  <c r="X343" i="13"/>
  <c r="Y342" i="13"/>
  <c r="Y343" i="13"/>
  <c r="X344" i="13"/>
  <c r="X345" i="13"/>
  <c r="Y344" i="13"/>
  <c r="Y345" i="13"/>
  <c r="X346" i="13"/>
  <c r="X347" i="13"/>
  <c r="Y346" i="13"/>
  <c r="X348" i="13"/>
  <c r="Y347" i="13"/>
  <c r="X349" i="13"/>
  <c r="Y348" i="13"/>
  <c r="X350" i="13"/>
  <c r="Y349" i="13"/>
  <c r="X351" i="13"/>
  <c r="Y350" i="13"/>
  <c r="Y351" i="13"/>
  <c r="X352" i="13"/>
  <c r="X353" i="13"/>
  <c r="Y352" i="13"/>
  <c r="Y353" i="13"/>
  <c r="X354" i="13"/>
  <c r="X355" i="13"/>
  <c r="Y354" i="13"/>
  <c r="X356" i="13"/>
  <c r="Y355" i="13"/>
  <c r="Y356" i="13"/>
  <c r="X357" i="13"/>
  <c r="Y357" i="13"/>
  <c r="X358" i="13"/>
  <c r="Y358" i="13"/>
  <c r="X359" i="13"/>
  <c r="X360" i="13"/>
  <c r="Y359" i="13"/>
  <c r="X361" i="13"/>
  <c r="Y360" i="13"/>
  <c r="X362" i="13"/>
  <c r="Y361" i="13"/>
  <c r="Y362" i="13"/>
  <c r="X363" i="13"/>
  <c r="Y363" i="13"/>
  <c r="X364" i="13"/>
  <c r="Y364" i="13"/>
  <c r="X365" i="13"/>
  <c r="Y365" i="13"/>
  <c r="X366" i="13"/>
  <c r="Y366" i="13"/>
  <c r="X367" i="13"/>
  <c r="Y367" i="13"/>
  <c r="X368" i="13"/>
  <c r="X369" i="13"/>
  <c r="Y368" i="13"/>
  <c r="X370" i="13"/>
  <c r="Y369" i="13"/>
  <c r="X371" i="13"/>
  <c r="Y370" i="13"/>
  <c r="X372" i="13"/>
  <c r="Y371" i="13"/>
  <c r="X373" i="13"/>
  <c r="Y372" i="13"/>
  <c r="Y373" i="13"/>
  <c r="X374" i="13"/>
  <c r="X375" i="13"/>
  <c r="Y374" i="13"/>
  <c r="X376" i="13"/>
  <c r="Y375" i="13"/>
  <c r="Y376" i="13"/>
  <c r="X377" i="13"/>
  <c r="Y377" i="13"/>
  <c r="X378" i="13"/>
  <c r="X379" i="13"/>
  <c r="Y378" i="13"/>
  <c r="X380" i="13"/>
  <c r="Y379" i="13"/>
  <c r="X381" i="13"/>
  <c r="Y380" i="13"/>
  <c r="Y381" i="13"/>
  <c r="X382" i="13"/>
  <c r="X383" i="13"/>
  <c r="Y382" i="13"/>
  <c r="Y383" i="13"/>
  <c r="X384" i="13"/>
  <c r="Y384" i="13"/>
  <c r="X385" i="13"/>
  <c r="X386" i="13"/>
  <c r="Y385" i="13"/>
  <c r="X387" i="13"/>
  <c r="Y386" i="13"/>
  <c r="Y387" i="13"/>
  <c r="X388" i="13"/>
  <c r="Y388" i="13"/>
  <c r="X389" i="13"/>
  <c r="Y389" i="13"/>
  <c r="X390" i="13"/>
  <c r="X391" i="13"/>
  <c r="Y390" i="13"/>
  <c r="Y391" i="13"/>
  <c r="X392" i="13"/>
  <c r="Y392" i="13"/>
  <c r="X393" i="13"/>
  <c r="X394" i="13"/>
  <c r="Y393" i="13"/>
  <c r="Y394" i="13"/>
  <c r="X395" i="13"/>
  <c r="X396" i="13"/>
  <c r="Y395" i="13"/>
  <c r="X397" i="13"/>
  <c r="Y396" i="13"/>
  <c r="X398" i="13"/>
  <c r="Y397" i="13"/>
  <c r="X399" i="13"/>
  <c r="Y398" i="13"/>
  <c r="Y399" i="13"/>
  <c r="X400" i="13"/>
  <c r="X401" i="13"/>
  <c r="Y400" i="13"/>
  <c r="Y401" i="13"/>
  <c r="X402" i="13"/>
  <c r="X403" i="13"/>
  <c r="Y402" i="13"/>
  <c r="X404" i="13"/>
  <c r="Y403" i="13"/>
  <c r="X405" i="13"/>
  <c r="Y404" i="13"/>
  <c r="Y405" i="13"/>
  <c r="X406" i="13"/>
  <c r="X407" i="13"/>
  <c r="Y406" i="13"/>
  <c r="X408" i="13"/>
  <c r="Y407" i="13"/>
  <c r="Y408" i="13"/>
  <c r="X409" i="13"/>
  <c r="Y409" i="13"/>
  <c r="X410" i="13"/>
  <c r="Y410" i="13"/>
  <c r="X411" i="13"/>
  <c r="Y411" i="13"/>
  <c r="X412" i="13"/>
  <c r="X413" i="13"/>
  <c r="Y412" i="13"/>
  <c r="Y413" i="13"/>
  <c r="X414" i="13"/>
  <c r="X415" i="13"/>
  <c r="Y414" i="13"/>
  <c r="X416" i="13"/>
  <c r="Y415" i="13"/>
  <c r="Y416" i="13"/>
  <c r="X417" i="13"/>
  <c r="X418" i="13"/>
  <c r="Y417" i="13"/>
  <c r="X419" i="13"/>
  <c r="Y418" i="13"/>
  <c r="Y419" i="13"/>
  <c r="X420" i="13"/>
  <c r="Y420" i="13"/>
  <c r="X421" i="13"/>
  <c r="X422" i="13"/>
  <c r="Y421" i="13"/>
  <c r="X423" i="13"/>
  <c r="Y422" i="13"/>
  <c r="Y423" i="13"/>
  <c r="X424" i="13"/>
  <c r="Y424" i="13"/>
  <c r="X425" i="13"/>
  <c r="Y425" i="13"/>
  <c r="X426" i="13"/>
  <c r="Y426" i="13"/>
  <c r="X427" i="13"/>
  <c r="Y427" i="13"/>
  <c r="X428" i="13"/>
  <c r="Y428" i="13"/>
  <c r="X429" i="13"/>
  <c r="Y429" i="13"/>
  <c r="X430" i="13"/>
  <c r="Y430" i="13"/>
  <c r="X431" i="13"/>
  <c r="Y431" i="13"/>
  <c r="X432" i="13"/>
  <c r="X433" i="13"/>
  <c r="Y432" i="13"/>
  <c r="X434" i="13"/>
  <c r="Y433" i="13"/>
  <c r="Y434" i="13"/>
  <c r="X435" i="13"/>
  <c r="X436" i="13"/>
  <c r="Y435" i="13"/>
  <c r="Y436" i="13"/>
  <c r="X437" i="13"/>
  <c r="X438" i="13"/>
  <c r="Y437" i="13"/>
  <c r="X439" i="13"/>
  <c r="Y438" i="13"/>
  <c r="X440" i="13"/>
  <c r="Y439" i="13"/>
  <c r="Y440" i="13"/>
  <c r="X441" i="13"/>
  <c r="Y441" i="13"/>
  <c r="X442" i="13"/>
  <c r="X443" i="13"/>
  <c r="Y442" i="13"/>
  <c r="Y443" i="13"/>
  <c r="X444" i="13"/>
  <c r="X445" i="13"/>
  <c r="Y444" i="13"/>
  <c r="X446" i="13"/>
  <c r="Y445" i="13"/>
  <c r="X447" i="13"/>
  <c r="Y446" i="13"/>
  <c r="Y447" i="13"/>
  <c r="X448" i="13"/>
  <c r="X449" i="13"/>
  <c r="Y448" i="13"/>
  <c r="Y449" i="13"/>
  <c r="X450" i="13"/>
  <c r="Y450" i="13"/>
  <c r="X451" i="13"/>
  <c r="X452" i="13"/>
  <c r="Y451" i="13"/>
  <c r="X453" i="13"/>
  <c r="Y452" i="13"/>
  <c r="X454" i="13"/>
  <c r="Y453" i="13"/>
  <c r="Y454" i="13"/>
  <c r="X455" i="13"/>
  <c r="X456" i="13"/>
  <c r="Y455" i="13"/>
  <c r="Y456" i="13"/>
  <c r="X457" i="13"/>
  <c r="Y457" i="13"/>
  <c r="X458" i="13"/>
  <c r="X459" i="13"/>
  <c r="Y458" i="13"/>
  <c r="X460" i="13"/>
  <c r="Y459" i="13"/>
  <c r="Y460" i="13"/>
  <c r="X461" i="13"/>
  <c r="X462" i="13"/>
  <c r="Y461" i="13"/>
  <c r="X463" i="13"/>
  <c r="Y462" i="13"/>
  <c r="Y463" i="13"/>
  <c r="X464" i="13"/>
  <c r="Y464" i="13"/>
  <c r="X465" i="13"/>
  <c r="X466" i="13"/>
  <c r="Y465" i="13"/>
  <c r="X467" i="13"/>
  <c r="Y466" i="13"/>
  <c r="X468" i="13"/>
  <c r="Y467" i="13"/>
  <c r="X469" i="13"/>
  <c r="Y468" i="13"/>
  <c r="Y469" i="13"/>
  <c r="X470" i="13"/>
  <c r="Y470" i="13"/>
  <c r="X471" i="13"/>
  <c r="X472" i="13"/>
  <c r="Y471" i="13"/>
  <c r="Y472" i="13"/>
  <c r="X473" i="13"/>
  <c r="X474" i="13"/>
  <c r="Y473" i="13"/>
  <c r="X475" i="13"/>
  <c r="Y474" i="13"/>
  <c r="X476" i="13"/>
  <c r="Y475" i="13"/>
  <c r="Y476" i="13"/>
  <c r="X477" i="13"/>
  <c r="X478" i="13"/>
  <c r="Y477" i="13"/>
  <c r="X479" i="13"/>
  <c r="Y478" i="13"/>
  <c r="X480" i="13"/>
  <c r="Y479" i="13"/>
  <c r="X481" i="13"/>
  <c r="Y480" i="13"/>
  <c r="Y481" i="13"/>
  <c r="X482" i="13"/>
  <c r="X483" i="13"/>
  <c r="Y482" i="13"/>
  <c r="Y483" i="13"/>
  <c r="X484" i="13"/>
  <c r="X485" i="13"/>
  <c r="Y484" i="13"/>
  <c r="X486" i="13"/>
  <c r="Y485" i="13"/>
  <c r="X487" i="13"/>
  <c r="Y486" i="13"/>
  <c r="Y487" i="13"/>
  <c r="X488" i="13"/>
  <c r="Y488" i="13"/>
  <c r="X489" i="13"/>
  <c r="X490" i="13"/>
  <c r="Y489" i="13"/>
  <c r="Y490" i="13"/>
  <c r="X491" i="13"/>
  <c r="X492" i="13"/>
  <c r="Y491" i="13"/>
  <c r="X493" i="13"/>
  <c r="Y492" i="13"/>
  <c r="X494" i="13"/>
  <c r="Y493" i="13"/>
  <c r="Y494" i="13"/>
  <c r="X495" i="13"/>
  <c r="Y495" i="13"/>
  <c r="X496" i="13"/>
  <c r="X497" i="13"/>
  <c r="Y496" i="13"/>
  <c r="Y497" i="13"/>
  <c r="X498" i="13"/>
  <c r="Y498" i="13"/>
  <c r="X499" i="13"/>
  <c r="X500" i="13"/>
  <c r="Y499" i="13"/>
  <c r="Y500" i="13"/>
  <c r="X501" i="13"/>
  <c r="X502" i="13"/>
  <c r="Y501" i="13"/>
  <c r="X503" i="13"/>
  <c r="Y502" i="13"/>
  <c r="X504" i="13"/>
  <c r="Y503" i="13"/>
  <c r="Y504" i="13"/>
  <c r="X505" i="13"/>
  <c r="X506" i="13"/>
  <c r="Y505" i="13"/>
  <c r="X507" i="13"/>
  <c r="Y506" i="13"/>
  <c r="Y507" i="13"/>
  <c r="X508" i="13"/>
  <c r="X509" i="13"/>
  <c r="Y508" i="13"/>
  <c r="Y509" i="13"/>
  <c r="X510" i="13"/>
  <c r="X511" i="13"/>
  <c r="Y510" i="13"/>
  <c r="Y511" i="13"/>
  <c r="X512" i="13"/>
  <c r="X513" i="13"/>
  <c r="Y512" i="13"/>
  <c r="Y513" i="13"/>
  <c r="X514" i="13"/>
  <c r="Y514" i="13"/>
  <c r="X515" i="13"/>
  <c r="Y515" i="13"/>
  <c r="X516" i="13"/>
  <c r="Y516" i="13"/>
  <c r="X517" i="13"/>
  <c r="X518" i="13"/>
  <c r="Y517" i="13"/>
  <c r="X519" i="13"/>
  <c r="Y518" i="13"/>
  <c r="Y519" i="13"/>
  <c r="X520" i="13"/>
  <c r="Y520" i="13"/>
  <c r="X521" i="13"/>
  <c r="X522" i="13"/>
  <c r="Y521" i="13"/>
  <c r="X523" i="13"/>
  <c r="Y522" i="13"/>
  <c r="X524" i="13"/>
  <c r="Y523" i="13"/>
  <c r="X525" i="13"/>
  <c r="Y524" i="13"/>
  <c r="X526" i="13"/>
  <c r="Y525" i="13"/>
  <c r="Y526" i="13"/>
  <c r="X527" i="13"/>
  <c r="X528" i="13"/>
  <c r="Y527" i="13"/>
  <c r="X529" i="13"/>
  <c r="Y528" i="13"/>
  <c r="X530" i="13"/>
  <c r="Y529" i="13"/>
  <c r="X531" i="13"/>
  <c r="Y530" i="13"/>
  <c r="Y531" i="13"/>
  <c r="X532" i="13"/>
  <c r="X533" i="13"/>
  <c r="Y532" i="13"/>
  <c r="Y533" i="13"/>
  <c r="X534" i="13"/>
  <c r="Y534" i="13"/>
  <c r="X535" i="13"/>
  <c r="Y535" i="13"/>
  <c r="X536" i="13"/>
  <c r="X537" i="13"/>
  <c r="Y536" i="13"/>
  <c r="X538" i="13"/>
  <c r="Y537" i="13"/>
  <c r="X539" i="13"/>
  <c r="Y538" i="13"/>
  <c r="Y539" i="13"/>
  <c r="X540" i="13"/>
  <c r="Y540" i="13"/>
  <c r="X541" i="13"/>
  <c r="Y541" i="13"/>
  <c r="X542" i="13"/>
  <c r="X543" i="13"/>
  <c r="Y542" i="13"/>
  <c r="Y543" i="13"/>
  <c r="X544" i="13"/>
  <c r="X545" i="13"/>
  <c r="Y544" i="13"/>
  <c r="X546" i="13"/>
  <c r="Y545" i="13"/>
  <c r="X547" i="13"/>
  <c r="Y546" i="13"/>
  <c r="X548" i="13"/>
  <c r="Y547" i="13"/>
  <c r="X549" i="13"/>
  <c r="Y548" i="13"/>
  <c r="Y549" i="13"/>
  <c r="X550" i="13"/>
  <c r="X551" i="13"/>
  <c r="Y550" i="13"/>
  <c r="X552" i="13"/>
  <c r="Y551" i="13"/>
  <c r="Y552" i="13"/>
  <c r="X553" i="13"/>
  <c r="X554" i="13"/>
  <c r="Y553" i="13"/>
  <c r="Y554" i="13"/>
  <c r="X555" i="13"/>
  <c r="X556" i="13"/>
  <c r="Y555" i="13"/>
  <c r="X557" i="13"/>
  <c r="Y556" i="13"/>
  <c r="Y557" i="13"/>
  <c r="X558" i="13"/>
  <c r="Y558" i="13"/>
  <c r="X559" i="13"/>
  <c r="X560" i="13"/>
  <c r="Y559" i="13"/>
  <c r="X561" i="13"/>
  <c r="Y560" i="13"/>
  <c r="X562" i="13"/>
  <c r="Y561" i="13"/>
  <c r="X563" i="13"/>
  <c r="Y562" i="13"/>
  <c r="Y563" i="13"/>
  <c r="X564" i="13"/>
  <c r="X565" i="13"/>
  <c r="Y564" i="13"/>
  <c r="Y565" i="13"/>
  <c r="X566" i="13"/>
  <c r="Y566" i="13"/>
  <c r="X567" i="13"/>
  <c r="X568" i="13"/>
  <c r="Y567" i="13"/>
  <c r="Y568" i="13"/>
  <c r="X569" i="13"/>
  <c r="Y569" i="13"/>
  <c r="X570" i="13"/>
  <c r="X571" i="13"/>
  <c r="Y570" i="13"/>
  <c r="Y571" i="13"/>
  <c r="X572" i="13"/>
  <c r="X573" i="13"/>
  <c r="Y572" i="13"/>
  <c r="X574" i="13"/>
  <c r="Y573" i="13"/>
  <c r="X575" i="13"/>
  <c r="Y574" i="13"/>
  <c r="Y575" i="13"/>
  <c r="X576" i="13"/>
  <c r="X577" i="13"/>
  <c r="Y576" i="13"/>
  <c r="Y577" i="13"/>
  <c r="X578" i="13"/>
  <c r="X579" i="13"/>
  <c r="Y578" i="13"/>
  <c r="Y579" i="13"/>
  <c r="X580" i="13"/>
  <c r="X581" i="13"/>
  <c r="Y580" i="13"/>
  <c r="X582" i="13"/>
  <c r="Y581" i="13"/>
  <c r="Y582" i="13"/>
  <c r="X583" i="13"/>
  <c r="X584" i="13"/>
  <c r="Y583" i="13"/>
  <c r="X585" i="13"/>
  <c r="Y584" i="13"/>
  <c r="X586" i="13"/>
  <c r="Y585" i="13"/>
  <c r="Y586" i="13"/>
  <c r="X587" i="13"/>
  <c r="Y587" i="13"/>
  <c r="X588" i="13"/>
  <c r="X589" i="13"/>
  <c r="Y588" i="13"/>
  <c r="X590" i="13"/>
  <c r="Y589" i="13"/>
  <c r="X591" i="13"/>
  <c r="Y590" i="13"/>
  <c r="Y591" i="13"/>
  <c r="X592" i="13"/>
  <c r="X593" i="13"/>
  <c r="Y592" i="13"/>
  <c r="X594" i="13"/>
  <c r="Y593" i="13"/>
  <c r="Y594" i="13"/>
  <c r="X595" i="13"/>
  <c r="Y595" i="13"/>
  <c r="X596" i="13"/>
  <c r="X597" i="13"/>
  <c r="Y596" i="13"/>
  <c r="Y597" i="13"/>
  <c r="X598" i="13"/>
  <c r="Y598" i="13"/>
  <c r="X599" i="13"/>
  <c r="Y599" i="13"/>
  <c r="X600" i="13"/>
  <c r="X601" i="13"/>
  <c r="Y600" i="13"/>
  <c r="X602" i="13"/>
  <c r="Y601" i="13"/>
  <c r="Y602" i="13"/>
  <c r="X603" i="13"/>
  <c r="X604" i="13"/>
  <c r="Y603" i="13"/>
  <c r="Y604" i="13"/>
  <c r="X605" i="13"/>
  <c r="Y605" i="13"/>
  <c r="X606" i="13"/>
  <c r="Y606" i="13"/>
  <c r="X607" i="13"/>
  <c r="X608" i="13"/>
  <c r="Y607" i="13"/>
  <c r="Y608" i="13"/>
  <c r="X609" i="13"/>
  <c r="Y609" i="13"/>
  <c r="X610" i="13"/>
  <c r="Y610" i="13"/>
  <c r="X611" i="13"/>
  <c r="X612" i="13"/>
  <c r="Y611" i="13"/>
  <c r="Y612" i="13"/>
  <c r="X613" i="13"/>
  <c r="Y613" i="13"/>
  <c r="X614" i="13"/>
  <c r="Y614" i="13"/>
  <c r="X615" i="13"/>
  <c r="X616" i="13"/>
  <c r="Y615" i="13"/>
  <c r="X617" i="13"/>
  <c r="Y616" i="13"/>
  <c r="Y617" i="13"/>
  <c r="X618" i="13"/>
  <c r="X619" i="13"/>
  <c r="Y618" i="13"/>
  <c r="X620" i="13"/>
  <c r="Y619" i="13"/>
  <c r="X621" i="13"/>
  <c r="Y620" i="13"/>
  <c r="Y621" i="13"/>
  <c r="X622" i="13"/>
  <c r="X623" i="13"/>
  <c r="Y622" i="13"/>
  <c r="X624" i="13"/>
  <c r="Y623" i="13"/>
  <c r="Y624" i="13"/>
  <c r="X625" i="13"/>
  <c r="Y625" i="13"/>
  <c r="X626" i="13"/>
  <c r="Y626" i="13"/>
  <c r="X627" i="13"/>
  <c r="Y627" i="13"/>
  <c r="X628" i="13"/>
  <c r="Y628" i="13"/>
  <c r="X629" i="13"/>
  <c r="Y629" i="13"/>
  <c r="X630" i="13"/>
  <c r="Y630" i="13"/>
  <c r="X631" i="13"/>
  <c r="X632" i="13"/>
  <c r="Y631" i="13"/>
  <c r="X633" i="13"/>
  <c r="Y632" i="13"/>
  <c r="Y633" i="13"/>
  <c r="X634" i="13"/>
  <c r="X635" i="13"/>
  <c r="Y634" i="13"/>
  <c r="Y635" i="13"/>
  <c r="X636" i="13"/>
  <c r="Y636" i="13"/>
  <c r="X637" i="13"/>
  <c r="Y637" i="13"/>
  <c r="X638" i="13"/>
  <c r="X639" i="13"/>
  <c r="Y638" i="13"/>
  <c r="X640" i="13"/>
  <c r="Y639" i="13"/>
  <c r="Y640" i="13"/>
  <c r="X641" i="13"/>
  <c r="Y641" i="13"/>
  <c r="X642" i="13"/>
  <c r="X643" i="13"/>
  <c r="Y642" i="13"/>
  <c r="Y643" i="13"/>
  <c r="X644" i="13"/>
  <c r="Y644" i="13"/>
  <c r="X645" i="13"/>
  <c r="Y645" i="13"/>
  <c r="X646" i="13"/>
  <c r="Y646" i="13"/>
  <c r="X647" i="13"/>
  <c r="X648" i="13"/>
  <c r="Y647" i="13"/>
  <c r="X649" i="13"/>
  <c r="Y648" i="13"/>
  <c r="Y649" i="13"/>
  <c r="X650" i="13"/>
  <c r="Y650" i="13"/>
  <c r="X651" i="13"/>
  <c r="Y651" i="13"/>
  <c r="X652" i="13"/>
  <c r="X653" i="13"/>
  <c r="Y652" i="13"/>
  <c r="X654" i="13"/>
  <c r="Y653" i="13"/>
  <c r="X655" i="13"/>
  <c r="Y654" i="13"/>
  <c r="X656" i="13"/>
  <c r="Y655" i="13"/>
  <c r="X657" i="13"/>
  <c r="Y656" i="13"/>
  <c r="X658" i="13"/>
  <c r="Y657" i="13"/>
  <c r="X659" i="13"/>
  <c r="Y658" i="13"/>
  <c r="Y659" i="13"/>
  <c r="X660" i="13"/>
  <c r="Y660" i="13"/>
  <c r="X661" i="13"/>
  <c r="Y661" i="13"/>
  <c r="X662" i="13"/>
  <c r="X663" i="13"/>
  <c r="Y662" i="13"/>
  <c r="X664" i="13"/>
  <c r="Y663" i="13"/>
  <c r="Y664" i="13"/>
  <c r="X665" i="13"/>
  <c r="Y665" i="13"/>
  <c r="X666" i="13"/>
  <c r="Y666" i="13"/>
  <c r="X667" i="13"/>
  <c r="X668" i="13"/>
  <c r="Y667" i="13"/>
  <c r="X669" i="13"/>
  <c r="Y668" i="13"/>
  <c r="X670" i="13"/>
  <c r="Y669" i="13"/>
  <c r="X671" i="13"/>
  <c r="Y670" i="13"/>
  <c r="Y671" i="13"/>
  <c r="X672" i="13"/>
  <c r="X673" i="13"/>
  <c r="Y672" i="13"/>
  <c r="X674" i="13"/>
  <c r="Y673" i="13"/>
  <c r="Y674" i="13"/>
  <c r="X675" i="13"/>
  <c r="Y675" i="13"/>
  <c r="X676" i="13"/>
  <c r="Y676" i="13"/>
  <c r="X677" i="13"/>
  <c r="Y677" i="13"/>
  <c r="X678" i="13"/>
  <c r="X679" i="13"/>
  <c r="Y678" i="13"/>
  <c r="X680" i="13"/>
  <c r="Y679" i="13"/>
  <c r="Y680" i="13"/>
  <c r="X681" i="13"/>
  <c r="Y681" i="13"/>
  <c r="X682" i="13"/>
  <c r="Y682" i="13"/>
  <c r="X683" i="13"/>
  <c r="X684" i="13"/>
  <c r="Y683" i="13"/>
  <c r="X685" i="13"/>
  <c r="Y684" i="13"/>
  <c r="X686" i="13"/>
  <c r="Y685" i="13"/>
  <c r="Y686" i="13"/>
  <c r="X687" i="13"/>
  <c r="X688" i="13"/>
  <c r="Y687" i="13"/>
  <c r="X689" i="13"/>
  <c r="Y688" i="13"/>
  <c r="Y689" i="13"/>
  <c r="X690" i="13"/>
  <c r="Y690" i="13"/>
  <c r="X691" i="13"/>
  <c r="X692" i="13"/>
  <c r="Y691" i="13"/>
  <c r="Y692" i="13"/>
  <c r="X693" i="13"/>
  <c r="Y693" i="13"/>
  <c r="X694" i="13"/>
  <c r="Y694" i="13"/>
  <c r="X695" i="13"/>
  <c r="X696" i="13"/>
  <c r="Y695" i="13"/>
  <c r="X697" i="13"/>
  <c r="Y696" i="13"/>
  <c r="X698" i="13"/>
  <c r="Y697" i="13"/>
  <c r="X699" i="13"/>
  <c r="Y698" i="13"/>
  <c r="Y699" i="13"/>
  <c r="X700" i="13"/>
  <c r="X701" i="13"/>
  <c r="Y700" i="13"/>
  <c r="X702" i="13"/>
  <c r="Y701" i="13"/>
  <c r="Y702" i="13"/>
  <c r="X703" i="13"/>
  <c r="Y703" i="13"/>
  <c r="X704" i="13"/>
  <c r="Y704" i="13"/>
  <c r="X705" i="13"/>
  <c r="X706" i="13"/>
  <c r="Y705" i="13"/>
  <c r="X707" i="13"/>
  <c r="Y706" i="13"/>
  <c r="X708" i="13"/>
  <c r="Y707" i="13"/>
  <c r="X709" i="13"/>
  <c r="Y708" i="13"/>
  <c r="Y709" i="13"/>
  <c r="X710" i="13"/>
  <c r="Y710" i="13"/>
  <c r="X711" i="13"/>
  <c r="X712" i="13"/>
  <c r="Y711" i="13"/>
  <c r="Y712" i="13"/>
  <c r="X713" i="13"/>
  <c r="Y713" i="13"/>
  <c r="X714" i="13"/>
  <c r="Y714" i="13"/>
  <c r="X715" i="13"/>
  <c r="Y715" i="13"/>
  <c r="X716" i="13"/>
  <c r="Y716" i="13"/>
  <c r="X717" i="13"/>
  <c r="Y717" i="13"/>
  <c r="X718" i="13"/>
  <c r="X719" i="13"/>
  <c r="Y718" i="13"/>
  <c r="Y719" i="13"/>
  <c r="X720" i="13"/>
  <c r="X721" i="13"/>
  <c r="Y720" i="13"/>
  <c r="Y721" i="13"/>
  <c r="X722" i="13"/>
  <c r="X723" i="13"/>
  <c r="Y722" i="13"/>
  <c r="X724" i="13"/>
  <c r="Y723" i="13"/>
  <c r="X725" i="13"/>
  <c r="Y724" i="13"/>
  <c r="Y725" i="13"/>
  <c r="X726" i="13"/>
  <c r="Y726" i="13"/>
  <c r="X727" i="13"/>
  <c r="Y727" i="13"/>
  <c r="X728" i="13"/>
  <c r="Y728" i="13"/>
  <c r="X729" i="13"/>
  <c r="Y729" i="13"/>
  <c r="X730" i="13"/>
  <c r="Y730" i="13"/>
  <c r="X731" i="13"/>
  <c r="X732" i="13"/>
  <c r="Y731" i="13"/>
  <c r="X733" i="13"/>
  <c r="Y732" i="13"/>
  <c r="X734" i="13"/>
  <c r="Y733" i="13"/>
  <c r="Y734" i="13"/>
  <c r="X735" i="13"/>
  <c r="Y735" i="13"/>
  <c r="X736" i="13"/>
  <c r="Y736" i="13"/>
  <c r="X737" i="13"/>
  <c r="Y737" i="13"/>
  <c r="X738" i="13"/>
  <c r="Y738" i="13"/>
  <c r="X739" i="13"/>
  <c r="Y739" i="13"/>
  <c r="X740" i="13"/>
  <c r="X741" i="13"/>
  <c r="Y740" i="13"/>
  <c r="X742" i="13"/>
  <c r="Y741" i="13"/>
  <c r="X743" i="13"/>
  <c r="Y742" i="13"/>
  <c r="X744" i="13"/>
  <c r="Y743" i="13"/>
  <c r="Y744" i="13"/>
  <c r="X745" i="13"/>
  <c r="Y745" i="13"/>
  <c r="X746" i="13"/>
  <c r="X747" i="13"/>
  <c r="Y746" i="13"/>
  <c r="X748" i="13"/>
  <c r="Y747" i="13"/>
  <c r="Y748" i="13"/>
  <c r="X749" i="13"/>
  <c r="X750" i="13"/>
  <c r="Y749" i="13"/>
  <c r="Y750" i="13"/>
  <c r="X751" i="13"/>
  <c r="X752" i="13"/>
  <c r="Y751" i="13"/>
  <c r="X753" i="13"/>
  <c r="Y752" i="13"/>
  <c r="Y753" i="13"/>
  <c r="X754" i="13"/>
  <c r="Y754" i="13"/>
  <c r="X755" i="13"/>
  <c r="X756" i="13"/>
  <c r="Y755" i="13"/>
  <c r="Y756" i="13"/>
  <c r="X757" i="13"/>
  <c r="X758" i="13"/>
  <c r="Y757" i="13"/>
  <c r="Y758" i="13"/>
  <c r="X759" i="13"/>
  <c r="Y759" i="13"/>
  <c r="X760" i="13"/>
  <c r="Y760" i="13"/>
  <c r="X761" i="13"/>
  <c r="X762" i="13"/>
  <c r="Y761" i="13"/>
  <c r="X763" i="13"/>
  <c r="Y762" i="13"/>
  <c r="Y763" i="13"/>
  <c r="X764" i="13"/>
  <c r="Y764" i="13"/>
  <c r="X765" i="13"/>
  <c r="X766" i="13"/>
  <c r="Y765" i="13"/>
  <c r="Y766" i="13"/>
  <c r="X767" i="13"/>
  <c r="Y767" i="13"/>
  <c r="X768" i="13"/>
  <c r="Y768" i="13"/>
  <c r="X769" i="13"/>
  <c r="Y769" i="13"/>
  <c r="X770" i="13"/>
  <c r="X771" i="13"/>
  <c r="Y770" i="13"/>
  <c r="Y771" i="13"/>
  <c r="X772" i="13"/>
  <c r="X773" i="13"/>
  <c r="Y772" i="13"/>
  <c r="X774" i="13"/>
  <c r="Y773" i="13"/>
  <c r="Y774" i="13"/>
  <c r="X775" i="13"/>
  <c r="Y775" i="13"/>
  <c r="X776" i="13"/>
  <c r="Y776" i="13"/>
  <c r="X777" i="13"/>
  <c r="X778" i="13"/>
  <c r="Y777" i="13"/>
  <c r="X779" i="13"/>
  <c r="Y778" i="13"/>
  <c r="Y779" i="13"/>
  <c r="X780" i="13"/>
  <c r="X781" i="13"/>
  <c r="Y780" i="13"/>
  <c r="Y781" i="13"/>
  <c r="X782" i="13"/>
  <c r="Y782" i="13"/>
  <c r="X783" i="13"/>
  <c r="Y783" i="13"/>
  <c r="X784" i="13"/>
  <c r="X785" i="13"/>
  <c r="Y784" i="13"/>
  <c r="Y785" i="13"/>
  <c r="X786" i="13"/>
  <c r="Y786" i="13"/>
  <c r="X787" i="13"/>
  <c r="Y787" i="13"/>
  <c r="X788" i="13"/>
  <c r="Y788" i="13"/>
  <c r="X789" i="13"/>
  <c r="X790" i="13"/>
  <c r="Y789" i="13"/>
  <c r="X791" i="13"/>
  <c r="Y790" i="13"/>
  <c r="Y791" i="13"/>
  <c r="X792" i="13"/>
  <c r="X793" i="13"/>
  <c r="Y792" i="13"/>
  <c r="Y793" i="13"/>
  <c r="X794" i="13"/>
  <c r="Y794" i="13"/>
  <c r="X795" i="13"/>
  <c r="X796" i="13"/>
  <c r="Y795" i="13"/>
  <c r="Y796" i="13"/>
  <c r="X797" i="13"/>
  <c r="Y797" i="13"/>
  <c r="X798" i="13"/>
  <c r="X799" i="13"/>
  <c r="Y798" i="13"/>
  <c r="X800" i="13"/>
  <c r="Y799" i="13"/>
  <c r="X801" i="13"/>
  <c r="Y800" i="13"/>
  <c r="X802" i="13"/>
  <c r="Y801" i="13"/>
  <c r="X803" i="13"/>
  <c r="Y802" i="13"/>
  <c r="X804" i="13"/>
  <c r="Y803" i="13"/>
  <c r="Y804" i="13"/>
  <c r="X805" i="13"/>
  <c r="Y805" i="13"/>
  <c r="X806" i="13"/>
  <c r="X807" i="13"/>
  <c r="Y806" i="13"/>
  <c r="X808" i="13"/>
  <c r="Y807" i="13"/>
  <c r="Y808" i="13"/>
  <c r="X809" i="13"/>
  <c r="Y809" i="13"/>
  <c r="X810" i="13"/>
  <c r="Y810" i="13"/>
  <c r="X811" i="13"/>
  <c r="X812" i="13"/>
  <c r="Y811" i="13"/>
  <c r="X813" i="13"/>
  <c r="Y812" i="13"/>
  <c r="Y813" i="13"/>
  <c r="X814" i="13"/>
  <c r="X815" i="13"/>
  <c r="Y814" i="13"/>
  <c r="Y815" i="13"/>
  <c r="X816" i="13"/>
  <c r="Y816" i="13"/>
  <c r="X817" i="13"/>
  <c r="X818" i="13"/>
  <c r="Y817" i="13"/>
  <c r="X819" i="13"/>
  <c r="Y818" i="13"/>
  <c r="X820" i="13"/>
  <c r="Y819" i="13"/>
  <c r="X821" i="13"/>
  <c r="Y820" i="13"/>
  <c r="X822" i="13"/>
  <c r="Y821" i="13"/>
  <c r="Y822" i="13"/>
  <c r="X823" i="13"/>
  <c r="X824" i="13"/>
  <c r="Y823" i="13"/>
  <c r="X825" i="13"/>
  <c r="Y824" i="13"/>
  <c r="Y825" i="13"/>
  <c r="X826" i="13"/>
  <c r="Y826" i="13"/>
  <c r="X827" i="13"/>
  <c r="Y827" i="13"/>
  <c r="X828" i="13"/>
  <c r="X829" i="13"/>
  <c r="Y828" i="13"/>
  <c r="Y829" i="13"/>
  <c r="X830" i="13"/>
  <c r="X831" i="13"/>
  <c r="Y830" i="13"/>
  <c r="Y831" i="13"/>
  <c r="X832" i="13"/>
  <c r="Y832" i="13"/>
  <c r="X833" i="13"/>
  <c r="Y833" i="13"/>
  <c r="X834" i="13"/>
  <c r="Y834" i="13"/>
  <c r="X835" i="13"/>
  <c r="X836" i="13"/>
  <c r="Y835" i="13"/>
  <c r="Y836" i="13"/>
  <c r="X837" i="13"/>
  <c r="X838" i="13"/>
  <c r="Y837" i="13"/>
  <c r="Y838" i="13"/>
  <c r="X839" i="13"/>
  <c r="X840" i="13"/>
  <c r="Y839" i="13"/>
  <c r="X841" i="13"/>
  <c r="Y840" i="13"/>
  <c r="Y841" i="13"/>
  <c r="X842" i="13"/>
  <c r="X843" i="13"/>
  <c r="Y842" i="13"/>
  <c r="X844" i="13"/>
  <c r="Y843" i="13"/>
  <c r="X845" i="13"/>
  <c r="Y844" i="13"/>
  <c r="X846" i="13"/>
  <c r="Y845" i="13"/>
  <c r="X847" i="13"/>
  <c r="Y846" i="13"/>
  <c r="Y847" i="13"/>
  <c r="X848" i="13"/>
  <c r="X849" i="13"/>
  <c r="Y848" i="13"/>
  <c r="X850" i="13"/>
  <c r="Y849" i="13"/>
  <c r="X851" i="13"/>
  <c r="Y850" i="13"/>
  <c r="X852" i="13"/>
  <c r="Y851" i="13"/>
  <c r="X853" i="13"/>
  <c r="Y852" i="13"/>
  <c r="Y853" i="13"/>
  <c r="X854" i="13"/>
  <c r="Y854" i="13"/>
  <c r="X855" i="13"/>
  <c r="X856" i="13"/>
  <c r="Y855" i="13"/>
  <c r="X857" i="13"/>
  <c r="Y856" i="13"/>
  <c r="X858" i="13"/>
  <c r="Y857" i="13"/>
  <c r="X859" i="13"/>
  <c r="Y858" i="13"/>
  <c r="Y859" i="13"/>
  <c r="X860" i="13"/>
  <c r="X861" i="13"/>
  <c r="Y860" i="13"/>
  <c r="Y861" i="13"/>
  <c r="X862" i="13"/>
  <c r="Y862" i="13"/>
  <c r="X863" i="13"/>
  <c r="Y863" i="13"/>
  <c r="X864" i="13"/>
  <c r="Y864" i="13"/>
  <c r="X865" i="13"/>
  <c r="X866" i="13"/>
  <c r="Y865" i="13"/>
  <c r="X867" i="13"/>
  <c r="Y866" i="13"/>
  <c r="X868" i="13"/>
  <c r="Y867" i="13"/>
  <c r="X869" i="13"/>
  <c r="Y868" i="13"/>
  <c r="Y869" i="13"/>
  <c r="X870" i="13"/>
  <c r="Y870" i="13"/>
  <c r="X871" i="13"/>
  <c r="Y871" i="13"/>
  <c r="X872" i="13"/>
  <c r="X873" i="13"/>
  <c r="Y872" i="13"/>
  <c r="X874" i="13"/>
  <c r="Y873" i="13"/>
  <c r="X875" i="13"/>
  <c r="Y874" i="13"/>
  <c r="Y875" i="13"/>
  <c r="X876" i="13"/>
  <c r="X877" i="13"/>
  <c r="Y876" i="13"/>
  <c r="Y877" i="13"/>
  <c r="X878" i="13"/>
  <c r="X879" i="13"/>
  <c r="Y878" i="13"/>
  <c r="Y879" i="13"/>
  <c r="X880" i="13"/>
  <c r="Y880" i="13"/>
  <c r="X881" i="13"/>
  <c r="Y881" i="13"/>
  <c r="X882" i="13"/>
  <c r="X883" i="13"/>
  <c r="Y882" i="13"/>
  <c r="Y883" i="13"/>
  <c r="X884" i="13"/>
  <c r="Y884" i="13"/>
  <c r="X885" i="13"/>
  <c r="Y885" i="13"/>
  <c r="X886" i="13"/>
  <c r="X887" i="13"/>
  <c r="Y886" i="13"/>
  <c r="Y887" i="13"/>
  <c r="X888" i="13"/>
  <c r="Y888" i="13"/>
  <c r="X889" i="13"/>
  <c r="Y889" i="13"/>
  <c r="X890" i="13"/>
  <c r="X891" i="13"/>
  <c r="Y890" i="13"/>
  <c r="X892" i="13"/>
  <c r="Y891" i="13"/>
  <c r="X893" i="13"/>
  <c r="Y892" i="13"/>
  <c r="X894" i="13"/>
  <c r="Y893" i="13"/>
  <c r="X895" i="13"/>
  <c r="Y894" i="13"/>
  <c r="X896" i="13"/>
  <c r="Y895" i="13"/>
  <c r="X897" i="13"/>
  <c r="Y896" i="13"/>
  <c r="Y897" i="13"/>
  <c r="X898" i="13"/>
  <c r="X899" i="13"/>
  <c r="Y898" i="13"/>
  <c r="X900" i="13"/>
  <c r="Y899" i="13"/>
  <c r="Y900" i="13"/>
  <c r="X901" i="13"/>
  <c r="Y901" i="13"/>
  <c r="X902" i="13"/>
  <c r="Y902" i="13"/>
  <c r="X903" i="13"/>
  <c r="X904" i="13"/>
  <c r="Y903" i="13"/>
  <c r="X905" i="13"/>
  <c r="Y904" i="13"/>
  <c r="X906" i="13"/>
  <c r="Y905" i="13"/>
  <c r="X907" i="13"/>
  <c r="Y906" i="13"/>
  <c r="Y907" i="13"/>
  <c r="X908" i="13"/>
  <c r="X909" i="13"/>
  <c r="Y908" i="13"/>
  <c r="Y909" i="13"/>
  <c r="X910" i="13"/>
  <c r="X911" i="13"/>
  <c r="Y910" i="13"/>
  <c r="X912" i="13"/>
  <c r="Y911" i="13"/>
  <c r="Y912" i="13"/>
  <c r="X913" i="13"/>
  <c r="Y913" i="13"/>
  <c r="X914" i="13"/>
  <c r="Y914" i="13"/>
  <c r="X915" i="13"/>
  <c r="Y915" i="13"/>
  <c r="X916" i="13"/>
  <c r="Y916" i="13"/>
  <c r="X917" i="13"/>
  <c r="X918" i="13"/>
  <c r="Y917" i="13"/>
  <c r="X919" i="13"/>
  <c r="Y918" i="13"/>
  <c r="X920" i="13"/>
  <c r="Y919" i="13"/>
  <c r="Y920" i="13"/>
  <c r="X921" i="13"/>
  <c r="Y921" i="13"/>
  <c r="X922" i="13"/>
  <c r="Y922" i="13"/>
  <c r="X923" i="13"/>
  <c r="Y923" i="13"/>
  <c r="X924" i="13"/>
  <c r="X925" i="13"/>
  <c r="Y924" i="13"/>
  <c r="Y925" i="13"/>
  <c r="X926" i="13"/>
  <c r="Y926" i="13"/>
  <c r="X927" i="13"/>
  <c r="Y927" i="13"/>
  <c r="X928" i="13"/>
  <c r="X929" i="13"/>
  <c r="Y928" i="13"/>
  <c r="Y929" i="13"/>
  <c r="X930" i="13"/>
  <c r="Y930" i="13"/>
  <c r="X931" i="13"/>
  <c r="X932" i="13"/>
  <c r="Y931" i="13"/>
  <c r="X933" i="13"/>
  <c r="Y932" i="13"/>
  <c r="X934" i="13"/>
  <c r="Y933" i="13"/>
  <c r="X935" i="13"/>
  <c r="Y934" i="13"/>
  <c r="Y935" i="13"/>
  <c r="X936" i="13"/>
  <c r="X937" i="13"/>
  <c r="Y936" i="13"/>
  <c r="X938" i="13"/>
  <c r="Y937" i="13"/>
  <c r="X939" i="13"/>
  <c r="Y938" i="13"/>
  <c r="X940" i="13"/>
  <c r="Y939" i="13"/>
  <c r="Y940" i="13"/>
  <c r="X941" i="13"/>
  <c r="X942" i="13"/>
  <c r="Y941" i="13"/>
  <c r="Y942" i="13"/>
  <c r="X943" i="13"/>
  <c r="X944" i="13"/>
  <c r="Y943" i="13"/>
  <c r="X945" i="13"/>
  <c r="Y944" i="13"/>
  <c r="Y945" i="13"/>
  <c r="X946" i="13"/>
  <c r="X947" i="13"/>
  <c r="Y946" i="13"/>
  <c r="X948" i="13"/>
  <c r="Y947" i="13"/>
  <c r="Y948" i="13"/>
  <c r="X949" i="13"/>
  <c r="X950" i="13"/>
  <c r="Y949" i="13"/>
  <c r="Y950" i="13"/>
  <c r="X951" i="13"/>
  <c r="X952" i="13"/>
  <c r="Y951" i="13"/>
  <c r="Y952" i="13"/>
  <c r="X953" i="13"/>
  <c r="Y953" i="13"/>
  <c r="X954" i="13"/>
  <c r="X955" i="13"/>
  <c r="Y954" i="13"/>
  <c r="X956" i="13"/>
  <c r="Y955" i="13"/>
  <c r="Y956" i="13"/>
  <c r="X957" i="13"/>
  <c r="Y957" i="13"/>
  <c r="X958" i="13"/>
  <c r="X959" i="13"/>
  <c r="Y958" i="13"/>
  <c r="Y959" i="13"/>
  <c r="X960" i="13"/>
  <c r="X961" i="13"/>
  <c r="Y960" i="13"/>
  <c r="Y961" i="13"/>
  <c r="X962" i="13"/>
  <c r="Y962" i="13"/>
  <c r="X963" i="13"/>
  <c r="X964" i="13"/>
  <c r="Y963" i="13"/>
  <c r="Y964" i="13"/>
  <c r="X965" i="13"/>
  <c r="X966" i="13"/>
  <c r="Y965" i="13"/>
  <c r="X967" i="13"/>
  <c r="Y966" i="13"/>
  <c r="X968" i="13"/>
  <c r="Y967" i="13"/>
  <c r="Y968" i="13"/>
  <c r="X969" i="13"/>
  <c r="X970" i="13"/>
  <c r="Y969" i="13"/>
  <c r="Y970" i="13"/>
  <c r="X971" i="13"/>
  <c r="X972" i="13"/>
  <c r="Y971" i="13"/>
  <c r="Y972" i="13"/>
  <c r="X973" i="13"/>
  <c r="X974" i="13"/>
  <c r="Y973" i="13"/>
  <c r="Y974" i="13"/>
  <c r="X975" i="13"/>
  <c r="Y975" i="13"/>
  <c r="X976" i="13"/>
  <c r="X977" i="13"/>
  <c r="Y976" i="13"/>
  <c r="X978" i="13"/>
  <c r="Y977" i="13"/>
  <c r="Y978" i="13"/>
  <c r="X979" i="13"/>
  <c r="Y979" i="13"/>
  <c r="X980" i="13"/>
  <c r="X981" i="13"/>
  <c r="Y980" i="13"/>
  <c r="Y981" i="13"/>
  <c r="X982" i="13"/>
  <c r="Y982" i="13"/>
  <c r="X983" i="13"/>
  <c r="Y983" i="13"/>
  <c r="X984" i="13"/>
  <c r="Y984" i="13"/>
  <c r="X985" i="13"/>
  <c r="X986" i="13"/>
  <c r="Y985" i="13"/>
  <c r="X987" i="13"/>
  <c r="Y986" i="13"/>
  <c r="Y987" i="13"/>
  <c r="X988" i="13"/>
  <c r="X989" i="13"/>
  <c r="Y988" i="13"/>
  <c r="X990" i="13"/>
  <c r="Y989" i="13"/>
  <c r="X991" i="13"/>
  <c r="Y990" i="13"/>
  <c r="X992" i="13"/>
  <c r="Y991" i="13"/>
  <c r="X993" i="13"/>
  <c r="Y992" i="13"/>
  <c r="X994" i="13"/>
  <c r="Y993" i="13"/>
  <c r="X995" i="13"/>
  <c r="Y994" i="13"/>
  <c r="X996" i="13"/>
  <c r="Y995" i="13"/>
  <c r="Y996" i="13"/>
  <c r="X997" i="13"/>
  <c r="Y997" i="13"/>
  <c r="X998" i="13"/>
  <c r="Y998" i="13"/>
  <c r="X999" i="13"/>
  <c r="X1000" i="13"/>
  <c r="Y999" i="13"/>
  <c r="X1001" i="13"/>
  <c r="Y1000" i="13"/>
  <c r="X1002" i="13"/>
  <c r="Y1001" i="13"/>
  <c r="X1003" i="13"/>
  <c r="Y1002" i="13"/>
  <c r="X1004" i="13"/>
  <c r="Y1003" i="13"/>
  <c r="Y1004" i="13"/>
  <c r="X1005" i="13"/>
  <c r="Y1005" i="13"/>
  <c r="X1006" i="13"/>
  <c r="X1007" i="13"/>
  <c r="Y1006" i="13"/>
  <c r="Y1007" i="13"/>
  <c r="X1008" i="13"/>
  <c r="Y1008" i="13"/>
  <c r="X1009" i="13"/>
  <c r="X1010" i="13"/>
  <c r="Y1009" i="13"/>
  <c r="X1011" i="13"/>
  <c r="Y1010" i="13"/>
  <c r="Y1011" i="13"/>
  <c r="X1012" i="13"/>
  <c r="X1013" i="13"/>
  <c r="Y1012" i="13"/>
  <c r="Y1013" i="13"/>
  <c r="X1014" i="13"/>
  <c r="X1015" i="13"/>
  <c r="Y1014" i="13"/>
  <c r="X1016" i="13"/>
  <c r="Y1015" i="13"/>
  <c r="Y1016" i="13"/>
  <c r="X1017" i="13"/>
  <c r="Y1017" i="13"/>
  <c r="X1018" i="13"/>
  <c r="X1019" i="13"/>
  <c r="Y1018" i="13"/>
  <c r="Y1019" i="13"/>
  <c r="X1020" i="13"/>
  <c r="Y1020" i="13"/>
  <c r="X1021" i="13"/>
  <c r="Y1021" i="13"/>
  <c r="X1022" i="13"/>
  <c r="Y1022" i="13"/>
  <c r="X1023" i="13"/>
  <c r="X1024" i="13"/>
  <c r="Y1023" i="13"/>
  <c r="Y1024" i="13"/>
  <c r="X1025" i="13"/>
  <c r="X1026" i="13"/>
  <c r="Y1025" i="13"/>
  <c r="Y1026" i="13"/>
  <c r="X1027" i="13"/>
  <c r="Y1027" i="13"/>
  <c r="X1028" i="13"/>
  <c r="X1029" i="13"/>
  <c r="Y1028" i="13"/>
  <c r="Y1029" i="13"/>
  <c r="X1030" i="13"/>
  <c r="X1031" i="13"/>
  <c r="Y1030" i="13"/>
  <c r="X1032" i="13"/>
  <c r="Y1031" i="13"/>
  <c r="X1033" i="13"/>
  <c r="Y1032" i="13"/>
  <c r="Y1033" i="13"/>
  <c r="X1034" i="13"/>
  <c r="X1035" i="13"/>
  <c r="Y1034" i="13"/>
  <c r="Y1035" i="13"/>
  <c r="X1036" i="13"/>
  <c r="Y1036" i="13"/>
  <c r="X1037" i="13"/>
  <c r="X1038" i="13"/>
  <c r="Y1037" i="13"/>
  <c r="X1039" i="13"/>
  <c r="Y1038" i="13"/>
  <c r="X1040" i="13"/>
  <c r="Y1039" i="13"/>
  <c r="X1041" i="13"/>
  <c r="Y1040" i="13"/>
  <c r="X1042" i="13"/>
  <c r="Y1041" i="13"/>
  <c r="X1043" i="13"/>
  <c r="Y1042" i="13"/>
  <c r="Y1043" i="13"/>
  <c r="X1044" i="13"/>
  <c r="X1045" i="13"/>
  <c r="Y1044" i="13"/>
  <c r="X1046" i="13"/>
  <c r="Y1045" i="13"/>
  <c r="X1047" i="13"/>
  <c r="Y1046" i="13"/>
  <c r="X1048" i="13"/>
  <c r="Y1047" i="13"/>
  <c r="Y1048" i="13"/>
  <c r="X1049" i="13"/>
  <c r="Y1049" i="13"/>
  <c r="X1050" i="13"/>
  <c r="X1051" i="13"/>
  <c r="Y1050" i="13"/>
  <c r="X1052" i="13"/>
  <c r="Y1051" i="13"/>
  <c r="Y1052" i="13"/>
  <c r="X1053" i="13"/>
  <c r="Y1053" i="13"/>
  <c r="X1054" i="13"/>
  <c r="X1055" i="13"/>
  <c r="Y1054" i="13"/>
  <c r="X1056" i="13"/>
  <c r="Y1055" i="13"/>
  <c r="Y1056" i="13"/>
  <c r="X1057" i="13"/>
  <c r="X1058" i="13"/>
  <c r="Y1057" i="13"/>
  <c r="X1059" i="13"/>
  <c r="Y1058" i="13"/>
  <c r="Y1059" i="13"/>
  <c r="X1060" i="13"/>
  <c r="X1061" i="13"/>
  <c r="Y1060" i="13"/>
  <c r="X1062" i="13"/>
  <c r="Y1061" i="13"/>
  <c r="Y1062" i="13"/>
  <c r="X1063" i="13"/>
  <c r="Y1063" i="13"/>
  <c r="X1064" i="13"/>
  <c r="X1065" i="13"/>
  <c r="Y1064" i="13"/>
  <c r="Y1065" i="13"/>
  <c r="X1066" i="13"/>
  <c r="X1067" i="13"/>
  <c r="Y1066" i="13"/>
  <c r="Y1067" i="13"/>
  <c r="X1068" i="13"/>
  <c r="Y1068" i="13"/>
  <c r="X1069" i="13"/>
  <c r="Y1069" i="13"/>
  <c r="X1070" i="13"/>
  <c r="Y1070" i="13"/>
  <c r="X1071" i="13"/>
  <c r="X1072" i="13"/>
  <c r="Y1071" i="13"/>
  <c r="X1073" i="13"/>
  <c r="Y1072" i="13"/>
  <c r="X1074" i="13"/>
  <c r="Y1073" i="13"/>
  <c r="Y1074" i="13"/>
  <c r="X1075" i="13"/>
  <c r="X1076" i="13"/>
  <c r="Y1075" i="13"/>
  <c r="X1077" i="13"/>
  <c r="Y1076" i="13"/>
  <c r="X1078" i="13"/>
  <c r="Y1077" i="13"/>
  <c r="X1079" i="13"/>
  <c r="Y1078" i="13"/>
  <c r="Y1079" i="13"/>
  <c r="X1080" i="13"/>
  <c r="Y1080" i="13"/>
  <c r="X1081" i="13"/>
  <c r="X1082" i="13"/>
  <c r="Y1081" i="13"/>
  <c r="X1083" i="13"/>
  <c r="Y1082" i="13"/>
  <c r="Y1083" i="13"/>
  <c r="X1084" i="13"/>
  <c r="Y1084" i="13"/>
  <c r="X1085" i="13"/>
  <c r="Y1085" i="13"/>
  <c r="X1086" i="13"/>
  <c r="Y1086" i="13"/>
  <c r="X1087" i="13"/>
  <c r="Y1087" i="13"/>
  <c r="X1088" i="13"/>
  <c r="Y1088" i="13"/>
  <c r="X1089" i="13"/>
  <c r="X1090" i="13"/>
  <c r="Y1089" i="13"/>
  <c r="X1091" i="13"/>
  <c r="Y1090" i="13"/>
  <c r="Y1091" i="13"/>
  <c r="X1092" i="13"/>
  <c r="X1093" i="13"/>
  <c r="Y1092" i="13"/>
  <c r="X1094" i="13"/>
  <c r="Y1093" i="13"/>
  <c r="X1095" i="13"/>
  <c r="Y1094" i="13"/>
  <c r="X1096" i="13"/>
  <c r="Y1095" i="13"/>
  <c r="Y1096" i="13"/>
  <c r="X1097" i="13"/>
  <c r="Y1097" i="13"/>
  <c r="X1098" i="13"/>
  <c r="Y1098" i="13"/>
  <c r="X1099" i="13"/>
  <c r="Y1099" i="13"/>
  <c r="X1100" i="13"/>
  <c r="X1101" i="13"/>
  <c r="Y1100" i="13"/>
  <c r="X1102" i="13"/>
  <c r="Y1101" i="13"/>
  <c r="X1103" i="13"/>
  <c r="Y1102" i="13"/>
  <c r="Y1103" i="13"/>
  <c r="X1104" i="13"/>
  <c r="X1105" i="13"/>
  <c r="Y1104" i="13"/>
  <c r="X1106" i="13"/>
  <c r="Y1105" i="13"/>
  <c r="Y1106" i="13"/>
  <c r="X1107" i="13"/>
  <c r="Y1107" i="13"/>
  <c r="X1108" i="13"/>
  <c r="Y1108" i="13"/>
  <c r="X1109" i="13"/>
  <c r="X1110" i="13"/>
  <c r="Y1109" i="13"/>
  <c r="Y1110" i="13"/>
  <c r="X1111" i="13"/>
  <c r="Y1111" i="13"/>
  <c r="X1112" i="13"/>
  <c r="Y1112" i="13"/>
  <c r="X1113" i="13"/>
  <c r="Y1113" i="13"/>
  <c r="X1114" i="13"/>
  <c r="X1115" i="13"/>
  <c r="Y1114" i="13"/>
  <c r="X1116" i="13"/>
  <c r="Y1115" i="13"/>
  <c r="X1117" i="13"/>
  <c r="Y1116" i="13"/>
  <c r="X1118" i="13"/>
  <c r="Y1117" i="13"/>
  <c r="Y1118" i="13"/>
  <c r="X1119" i="13"/>
  <c r="X1120" i="13"/>
  <c r="Y1119" i="13"/>
  <c r="Y1120" i="13"/>
  <c r="X1121" i="13"/>
  <c r="X1122" i="13"/>
  <c r="Y1121" i="13"/>
  <c r="X1123" i="13"/>
  <c r="Y1122" i="13"/>
  <c r="X1124" i="13"/>
  <c r="Y1123" i="13"/>
  <c r="Y1124" i="13"/>
  <c r="X1125" i="13"/>
  <c r="X1126" i="13"/>
  <c r="Y1125" i="13"/>
  <c r="Y1126" i="13"/>
  <c r="X1127" i="13"/>
  <c r="X1128" i="13"/>
  <c r="Y1127" i="13"/>
  <c r="Y1128" i="13"/>
  <c r="X1129" i="13"/>
  <c r="Y1129" i="13"/>
  <c r="X1130" i="13"/>
  <c r="Y1130" i="13"/>
  <c r="X1131" i="13"/>
  <c r="Y1131" i="13"/>
  <c r="X1132" i="13"/>
  <c r="X1133" i="13"/>
  <c r="Y1132" i="13"/>
  <c r="Y1133" i="13"/>
  <c r="X1134" i="13"/>
  <c r="X1135" i="13"/>
  <c r="Y1134" i="13"/>
  <c r="Y1135" i="13"/>
  <c r="X1136" i="13"/>
  <c r="X1137" i="13"/>
  <c r="Y1136" i="13"/>
  <c r="X1138" i="13"/>
  <c r="Y1137" i="13"/>
  <c r="X1139" i="13"/>
  <c r="Y1138" i="13"/>
  <c r="Y1139" i="13"/>
  <c r="X1140" i="13"/>
  <c r="X1141" i="13"/>
  <c r="Y1140" i="13"/>
  <c r="Y1141" i="13"/>
  <c r="X1142" i="13"/>
  <c r="X1143" i="13"/>
  <c r="Y1142" i="13"/>
  <c r="Y1143" i="13"/>
  <c r="X1144" i="13"/>
  <c r="Y1144" i="13"/>
  <c r="X1145" i="13"/>
  <c r="Y1145" i="13"/>
  <c r="X1146" i="13"/>
  <c r="Y1146" i="13"/>
  <c r="X1147" i="13"/>
  <c r="Y1147" i="13"/>
  <c r="X1148" i="13"/>
  <c r="X1149" i="13"/>
  <c r="Y1148" i="13"/>
  <c r="Y1149" i="13"/>
  <c r="X1150" i="13"/>
  <c r="X1151" i="13"/>
  <c r="Y1150" i="13"/>
  <c r="X1152" i="13"/>
  <c r="Y1151" i="13"/>
  <c r="X1153" i="13"/>
  <c r="Y1152" i="13"/>
  <c r="X1154" i="13"/>
  <c r="Y1153" i="13"/>
  <c r="Y1154" i="13"/>
  <c r="X1155" i="13"/>
  <c r="X1156" i="13"/>
  <c r="Y1155" i="13"/>
  <c r="Y1156" i="13"/>
  <c r="X1157" i="13"/>
  <c r="Y1157" i="13"/>
  <c r="X1158" i="13"/>
  <c r="Y1158" i="13"/>
  <c r="X1159" i="13"/>
  <c r="X1160" i="13"/>
  <c r="Y1159" i="13"/>
  <c r="X1161" i="13"/>
  <c r="Y1160" i="13"/>
  <c r="Y1161" i="13"/>
  <c r="X1162" i="13"/>
  <c r="Y1162" i="13"/>
  <c r="X1163" i="13"/>
  <c r="Y1163" i="13"/>
  <c r="X1164" i="13"/>
  <c r="Y1164" i="13"/>
  <c r="X1165" i="13"/>
  <c r="Y1165" i="13"/>
  <c r="X1166" i="13"/>
  <c r="Y1166" i="13"/>
  <c r="X1167" i="13"/>
  <c r="X1168" i="13"/>
  <c r="Y1167" i="13"/>
  <c r="Y1168" i="13"/>
  <c r="X1169" i="13"/>
  <c r="Y1169" i="13"/>
  <c r="X1170" i="13"/>
  <c r="X1171" i="13"/>
  <c r="Y1170" i="13"/>
  <c r="X1172" i="13"/>
  <c r="Y1171" i="13"/>
  <c r="X1173" i="13"/>
  <c r="Y1172" i="13"/>
  <c r="Y1173" i="13"/>
  <c r="X1174" i="13"/>
  <c r="Y1174" i="13"/>
  <c r="X1175" i="13"/>
  <c r="Y1175" i="13"/>
  <c r="X1176" i="13"/>
  <c r="Y1176" i="13"/>
  <c r="X1177" i="13"/>
  <c r="Y1177" i="13"/>
  <c r="X1178" i="13"/>
  <c r="X1179" i="13"/>
  <c r="Y1178" i="13"/>
  <c r="X1180" i="13"/>
  <c r="Y1179" i="13"/>
  <c r="Y1180" i="13"/>
  <c r="X1181" i="13"/>
  <c r="X1182" i="13"/>
  <c r="Y1181" i="13"/>
  <c r="X1183" i="13"/>
  <c r="Y1182" i="13"/>
  <c r="X1184" i="13"/>
  <c r="Y1183" i="13"/>
  <c r="Y1184" i="13"/>
  <c r="X1185" i="13"/>
  <c r="X1186" i="13"/>
  <c r="Y1185" i="13"/>
  <c r="X1187" i="13"/>
  <c r="Y1186" i="13"/>
  <c r="X1188" i="13"/>
  <c r="Y1187" i="13"/>
  <c r="Y1188" i="13"/>
  <c r="X1189" i="13"/>
  <c r="X1190" i="13"/>
  <c r="Y1189" i="13"/>
  <c r="Y1190" i="13"/>
  <c r="X1191" i="13"/>
  <c r="Y1191" i="13"/>
  <c r="X1192" i="13"/>
  <c r="X1193" i="13"/>
  <c r="Y1192" i="13"/>
  <c r="X1194" i="13"/>
  <c r="Y1193" i="13"/>
  <c r="Y1194" i="13"/>
  <c r="X1195" i="13"/>
  <c r="Y1195" i="13"/>
  <c r="X1196" i="13"/>
  <c r="Y1196" i="13"/>
  <c r="X1197" i="13"/>
  <c r="Y1197" i="13"/>
  <c r="X1198" i="13"/>
  <c r="Y1198" i="13"/>
  <c r="X1199" i="13"/>
  <c r="Y1199" i="13"/>
  <c r="X1200" i="13"/>
  <c r="X1201" i="13"/>
  <c r="Y1200" i="13"/>
  <c r="Y1201" i="13"/>
  <c r="X1202" i="13"/>
  <c r="Y1202" i="13"/>
  <c r="X1203" i="13"/>
  <c r="Y1203" i="13"/>
  <c r="X1204" i="13"/>
  <c r="Y1204" i="13"/>
  <c r="X1205" i="13"/>
  <c r="X1206" i="13"/>
  <c r="Y1205" i="13"/>
  <c r="Y1206" i="13"/>
  <c r="X1207" i="13"/>
  <c r="X1208" i="13"/>
  <c r="Y1207" i="13"/>
  <c r="X1209" i="13"/>
  <c r="Y1208" i="13"/>
  <c r="Y1209" i="13"/>
  <c r="X1210" i="13"/>
  <c r="Y1210" i="13"/>
  <c r="X1211" i="13"/>
  <c r="Y1211" i="13"/>
  <c r="X1212" i="13"/>
  <c r="Y1212" i="13"/>
  <c r="X1213" i="13"/>
  <c r="X1214" i="13"/>
  <c r="Y1213" i="13"/>
  <c r="Y1214" i="13"/>
  <c r="X1215" i="13"/>
  <c r="Y1215" i="13"/>
  <c r="X1216" i="13"/>
  <c r="X1217" i="13"/>
  <c r="Y1216" i="13"/>
  <c r="Y1217" i="13"/>
  <c r="X1218" i="13"/>
  <c r="X1219" i="13"/>
  <c r="Y1218" i="13"/>
  <c r="X1220" i="13"/>
  <c r="Y1219" i="13"/>
  <c r="X1221" i="13"/>
  <c r="Y1220" i="13"/>
  <c r="Y1221" i="13"/>
  <c r="X1222" i="13"/>
  <c r="X1223" i="13"/>
  <c r="Y1222" i="13"/>
  <c r="X1224" i="13"/>
  <c r="Y1223" i="13"/>
  <c r="X1225" i="13"/>
  <c r="Y1224" i="13"/>
  <c r="Y1225" i="13"/>
  <c r="X1226" i="13"/>
  <c r="Y1226" i="13"/>
  <c r="X1227" i="13"/>
  <c r="Y1227" i="13"/>
  <c r="X1228" i="13"/>
  <c r="X1229" i="13"/>
  <c r="Y1228" i="13"/>
  <c r="Y1229" i="13"/>
  <c r="X1230" i="13"/>
  <c r="X1231" i="13"/>
  <c r="Y1230" i="13"/>
  <c r="Y1231" i="13"/>
  <c r="X1232" i="13"/>
  <c r="Y1232" i="13"/>
  <c r="X1233" i="13"/>
  <c r="X1234" i="13"/>
  <c r="Y1233" i="13"/>
  <c r="X1235" i="13"/>
  <c r="Y1234" i="13"/>
  <c r="Y1235" i="13"/>
  <c r="X1236" i="13"/>
  <c r="X1237" i="13"/>
  <c r="Y1236" i="13"/>
  <c r="Y1237" i="13"/>
  <c r="X1238" i="13"/>
  <c r="Y1238" i="13"/>
  <c r="X1239" i="13"/>
  <c r="X1240" i="13"/>
  <c r="Y1239" i="13"/>
  <c r="Y1240" i="13"/>
  <c r="X1241" i="13"/>
  <c r="X1242" i="13"/>
  <c r="Y1241" i="13"/>
  <c r="Y1242" i="13"/>
  <c r="X1243" i="13"/>
  <c r="X1244" i="13"/>
  <c r="Y1243" i="13"/>
  <c r="Y1244" i="13"/>
  <c r="X1245" i="13"/>
  <c r="Y1245" i="13"/>
  <c r="X1246" i="13"/>
  <c r="Y1246" i="13"/>
  <c r="X1247" i="13"/>
  <c r="X1248" i="13"/>
  <c r="Y1247" i="13"/>
  <c r="X1249" i="13"/>
  <c r="Y1248" i="13"/>
  <c r="X1250" i="13"/>
  <c r="Y1249" i="13"/>
  <c r="X1251" i="13"/>
  <c r="Y1250" i="13"/>
  <c r="X1252" i="13"/>
  <c r="Y1251" i="13"/>
  <c r="Y1252" i="13"/>
  <c r="X1253" i="13"/>
  <c r="Y1253" i="13"/>
  <c r="X1254" i="13"/>
  <c r="Y1254" i="13"/>
  <c r="X1255" i="13"/>
  <c r="X1256" i="13"/>
  <c r="Y1255" i="13"/>
  <c r="X1257" i="13"/>
  <c r="Y1256" i="13"/>
  <c r="Y1257" i="13"/>
  <c r="X1258" i="13"/>
  <c r="X1259" i="13"/>
  <c r="Y1258" i="13"/>
  <c r="X1260" i="13"/>
  <c r="Y1259" i="13"/>
  <c r="Y1260" i="13"/>
  <c r="X1261" i="13"/>
  <c r="X1262" i="13"/>
  <c r="Y1261" i="13"/>
  <c r="Y1262" i="13"/>
  <c r="X1263" i="13"/>
  <c r="X1264" i="13"/>
  <c r="Y1263" i="13"/>
  <c r="X1265" i="13"/>
  <c r="Y1264" i="13"/>
  <c r="X1266" i="13"/>
  <c r="Y1265" i="13"/>
  <c r="Y1266" i="13"/>
  <c r="X1267" i="13"/>
  <c r="X1268" i="13"/>
  <c r="Y1267" i="13"/>
  <c r="X1269" i="13"/>
  <c r="Y1268" i="13"/>
  <c r="Y1269" i="13"/>
  <c r="X1270" i="13"/>
  <c r="X1271" i="13"/>
  <c r="Y1270" i="13"/>
  <c r="X1272" i="13"/>
  <c r="Y1271" i="13"/>
  <c r="X1273" i="13"/>
  <c r="Y1272" i="13"/>
  <c r="Y1273" i="13"/>
  <c r="X1274" i="13"/>
  <c r="Y1274" i="13"/>
  <c r="X1275" i="13"/>
  <c r="X1276" i="13"/>
  <c r="Y1275" i="13"/>
  <c r="Y1276" i="13"/>
  <c r="X1277" i="13"/>
  <c r="Y1277" i="13"/>
  <c r="X1278" i="13"/>
  <c r="Y1278" i="13"/>
  <c r="X1279" i="13"/>
  <c r="X1280" i="13"/>
  <c r="Y1279" i="13"/>
  <c r="Y1280" i="13"/>
  <c r="X1281" i="13"/>
  <c r="Y1281" i="13"/>
  <c r="X1282" i="13"/>
  <c r="X1283" i="13"/>
  <c r="Y1282" i="13"/>
  <c r="X1284" i="13"/>
  <c r="Y1283" i="13"/>
  <c r="Y1284" i="13"/>
  <c r="X1285" i="13"/>
  <c r="X1286" i="13"/>
  <c r="Y1285" i="13"/>
  <c r="Y1286" i="13"/>
  <c r="X1287" i="13"/>
  <c r="Y1287" i="13"/>
  <c r="X1288" i="13"/>
  <c r="X1289" i="13"/>
  <c r="Y1288" i="13"/>
  <c r="Y1289" i="13"/>
  <c r="X1290" i="13"/>
  <c r="Y1290" i="13"/>
  <c r="X1291" i="13"/>
  <c r="Y1291" i="13"/>
  <c r="X1292" i="13"/>
  <c r="Y1292" i="13"/>
  <c r="X1293" i="13"/>
  <c r="X1294" i="13"/>
  <c r="Y1293" i="13"/>
  <c r="X1295" i="13"/>
  <c r="Y1294" i="13"/>
  <c r="X1296" i="13"/>
  <c r="Y1295" i="13"/>
  <c r="X1297" i="13"/>
  <c r="Y1296" i="13"/>
  <c r="Y1297" i="13"/>
  <c r="X1298" i="13"/>
  <c r="Y1298" i="13"/>
  <c r="X1299" i="13"/>
  <c r="X1300" i="13"/>
  <c r="Y1299" i="13"/>
  <c r="Y1300" i="13"/>
  <c r="X1301" i="13"/>
  <c r="X1302" i="13"/>
  <c r="Y1301" i="13"/>
  <c r="Y1302" i="13"/>
  <c r="X1303" i="13"/>
  <c r="X1304" i="13"/>
  <c r="Y1303" i="13"/>
  <c r="Y1304" i="13"/>
  <c r="X1305" i="13"/>
  <c r="Y1305" i="13"/>
  <c r="X1306" i="13"/>
  <c r="Y1306" i="13"/>
  <c r="X1307" i="13"/>
  <c r="X1308" i="13"/>
  <c r="Y1307" i="13"/>
  <c r="Y1308" i="13"/>
  <c r="X1309" i="13"/>
  <c r="Y1309" i="13"/>
  <c r="X1310" i="13"/>
  <c r="Y1310" i="13"/>
  <c r="X1311" i="13"/>
  <c r="Y1311" i="13"/>
  <c r="X1312" i="13"/>
  <c r="X1313" i="13"/>
  <c r="Y1312" i="13"/>
  <c r="X1314" i="13"/>
  <c r="Y1313" i="13"/>
  <c r="X1315" i="13"/>
  <c r="Y1314" i="13"/>
  <c r="Y1315" i="13"/>
  <c r="X1316" i="13"/>
  <c r="Y1316" i="13"/>
  <c r="X1317" i="13"/>
  <c r="X1318" i="13"/>
  <c r="Y1317" i="13"/>
  <c r="X1319" i="13"/>
  <c r="Y1318" i="13"/>
  <c r="Y1319" i="13"/>
  <c r="X1320" i="13"/>
  <c r="X1321" i="13"/>
  <c r="Y1320" i="13"/>
  <c r="Y1321" i="13"/>
  <c r="X1322" i="13"/>
  <c r="X1323" i="13"/>
  <c r="Y1322" i="13"/>
  <c r="X1324" i="13"/>
  <c r="Y1323" i="13"/>
  <c r="X1325" i="13"/>
  <c r="Y1324" i="13"/>
  <c r="X1326" i="13"/>
  <c r="Y1325" i="13"/>
  <c r="Y1326" i="13"/>
  <c r="X1327" i="13"/>
  <c r="X1328" i="13"/>
  <c r="Y1327" i="13"/>
  <c r="Y1328" i="13"/>
  <c r="X1329" i="13"/>
  <c r="Y1329" i="13"/>
  <c r="X1330" i="13"/>
  <c r="X1331" i="13"/>
  <c r="Y1330" i="13"/>
  <c r="Y1331" i="13"/>
  <c r="X1332" i="13"/>
  <c r="X1333" i="13"/>
  <c r="Y1332" i="13"/>
  <c r="Y1333" i="13"/>
  <c r="X1334" i="13"/>
  <c r="Y1334" i="13"/>
  <c r="X1335" i="13"/>
  <c r="X1336" i="13"/>
  <c r="Y1335" i="13"/>
  <c r="Y1336" i="13"/>
  <c r="X1337" i="13"/>
  <c r="Y1337" i="13"/>
  <c r="X1338" i="13"/>
  <c r="X1339" i="13"/>
  <c r="Y1338" i="13"/>
  <c r="Y1339" i="13"/>
  <c r="X1340" i="13"/>
  <c r="Y1340" i="13"/>
  <c r="X1341" i="13"/>
  <c r="Y1341" i="13"/>
  <c r="X1342" i="13"/>
  <c r="Y1342" i="13"/>
  <c r="X1343" i="13"/>
  <c r="Y1343" i="13"/>
  <c r="X1344" i="13"/>
  <c r="X1345" i="13"/>
  <c r="Y1344" i="13"/>
  <c r="Y1345" i="13"/>
  <c r="X1346" i="13"/>
  <c r="Y1346" i="13"/>
  <c r="X1347" i="13"/>
  <c r="Y1347" i="13"/>
  <c r="X1348" i="13"/>
  <c r="Y1348" i="13"/>
  <c r="X1349" i="13"/>
  <c r="Y1349" i="13"/>
  <c r="X1350" i="13"/>
  <c r="Y1350" i="13"/>
  <c r="X1351" i="13"/>
  <c r="X1352" i="13"/>
  <c r="Y1351" i="13"/>
  <c r="X1353" i="13"/>
  <c r="Y1352" i="13"/>
  <c r="X1354" i="13"/>
  <c r="Y1353" i="13"/>
  <c r="Y1354" i="13"/>
  <c r="X1355" i="13"/>
  <c r="Y1355" i="13"/>
  <c r="X1356" i="13"/>
  <c r="X1357" i="13"/>
  <c r="Y1356" i="13"/>
  <c r="X1358" i="13"/>
  <c r="Y1357" i="13"/>
  <c r="Y1358" i="13"/>
  <c r="X1359" i="13"/>
  <c r="X1360" i="13"/>
  <c r="Y1359" i="13"/>
  <c r="Y1360" i="13"/>
  <c r="X1361" i="13"/>
  <c r="X1362" i="13"/>
  <c r="Y1361" i="13"/>
  <c r="Y1362" i="13"/>
  <c r="X1363" i="13"/>
  <c r="Y1363" i="13"/>
  <c r="X1364" i="13"/>
  <c r="Y1364" i="13"/>
  <c r="X1365" i="13"/>
  <c r="Y1365" i="13"/>
  <c r="X1366" i="13"/>
  <c r="X1367" i="13"/>
  <c r="Y1366" i="13"/>
  <c r="Y1367" i="13"/>
  <c r="X1368" i="13"/>
  <c r="Y1368" i="13"/>
  <c r="X1369" i="13"/>
  <c r="Y1369" i="13"/>
  <c r="X1370" i="13"/>
  <c r="X1371" i="13"/>
  <c r="Y1370" i="13"/>
  <c r="X1372" i="13"/>
  <c r="Y1371" i="13"/>
  <c r="Y1372" i="13"/>
  <c r="X1373" i="13"/>
  <c r="Y1373" i="13"/>
  <c r="X1374" i="13"/>
  <c r="X1375" i="13"/>
  <c r="Y1374" i="13"/>
  <c r="Y1375" i="13"/>
  <c r="X1376" i="13"/>
  <c r="Y1376" i="13"/>
  <c r="X1377" i="13"/>
  <c r="Y1377" i="13"/>
  <c r="X1378" i="13"/>
  <c r="Y1378" i="13"/>
  <c r="X1379" i="13"/>
  <c r="X1380" i="13"/>
  <c r="Y1379" i="13"/>
  <c r="X1381" i="13"/>
  <c r="Y1380" i="13"/>
  <c r="X1382" i="13"/>
  <c r="Y1381" i="13"/>
  <c r="X1383" i="13"/>
  <c r="Y1382" i="13"/>
  <c r="Y1383" i="13"/>
  <c r="X1384" i="13"/>
  <c r="Y1384" i="13"/>
  <c r="X1385" i="13"/>
  <c r="X1386" i="13"/>
  <c r="Y1385" i="13"/>
  <c r="X1387" i="13"/>
  <c r="Y1386" i="13"/>
  <c r="Y1387" i="13"/>
  <c r="X1388" i="13"/>
  <c r="Y1388" i="13"/>
  <c r="X1389" i="13"/>
  <c r="X1390" i="13"/>
  <c r="Y1389" i="13"/>
  <c r="X1391" i="13"/>
  <c r="Y1390" i="13"/>
  <c r="Y1391" i="13"/>
  <c r="X1392" i="13"/>
  <c r="Y1392" i="13"/>
  <c r="X1393" i="13"/>
  <c r="X1394" i="13"/>
  <c r="Y1393" i="13"/>
  <c r="X1395" i="13"/>
  <c r="Y1394" i="13"/>
  <c r="Y1395" i="13"/>
  <c r="X1396" i="13"/>
  <c r="X1397" i="13"/>
  <c r="Y1396" i="13"/>
  <c r="X1398" i="13"/>
  <c r="Y1397" i="13"/>
  <c r="Y1398" i="13"/>
  <c r="X1399" i="13"/>
  <c r="Y1399" i="13"/>
  <c r="X1400" i="13"/>
  <c r="Y1400" i="13"/>
  <c r="X1401" i="13"/>
  <c r="X1402" i="13"/>
  <c r="Y1401" i="13"/>
  <c r="Y1402" i="13"/>
  <c r="X1403" i="13"/>
  <c r="Y1403" i="13"/>
  <c r="X1404" i="13"/>
  <c r="Y1404" i="13"/>
  <c r="X1405" i="13"/>
  <c r="Y1405" i="13"/>
  <c r="X1406" i="13"/>
  <c r="Y1406" i="13"/>
  <c r="X1407" i="13"/>
  <c r="Y1407" i="13"/>
  <c r="X1408" i="13"/>
  <c r="X1409" i="13"/>
  <c r="Y1408" i="13"/>
  <c r="X1410" i="13"/>
  <c r="Y1409" i="13"/>
  <c r="X1411" i="13"/>
  <c r="Y1410" i="13"/>
  <c r="Y1411" i="13"/>
  <c r="X1412" i="13"/>
  <c r="Y1412" i="13"/>
  <c r="X1413" i="13"/>
  <c r="Y1413" i="13"/>
  <c r="X1414" i="13"/>
  <c r="Y1414" i="13"/>
  <c r="X1415" i="13"/>
  <c r="X1416" i="13"/>
  <c r="Y1415" i="13"/>
  <c r="X1417" i="13"/>
  <c r="Y1416" i="13"/>
  <c r="Y1417" i="13"/>
  <c r="X1418" i="13"/>
  <c r="Y1418" i="13"/>
  <c r="X1419" i="13"/>
  <c r="X1420" i="13"/>
  <c r="Y1419" i="13"/>
  <c r="Y1420" i="13"/>
  <c r="X1421" i="13"/>
  <c r="Y1421" i="13"/>
  <c r="X1422" i="13"/>
  <c r="X1423" i="13"/>
  <c r="Y1422" i="13"/>
  <c r="Y1423" i="13"/>
  <c r="X1424" i="13"/>
  <c r="X1425" i="13"/>
  <c r="Y1424" i="13"/>
  <c r="Y1425" i="13"/>
  <c r="X1426" i="13"/>
  <c r="Y1426" i="13"/>
  <c r="X1427" i="13"/>
  <c r="X1428" i="13"/>
  <c r="Y1427" i="13"/>
  <c r="X1429" i="13"/>
  <c r="Y1428" i="13"/>
  <c r="Y1429" i="13"/>
  <c r="X1430" i="13"/>
  <c r="Y1430" i="13"/>
  <c r="X1431" i="13"/>
  <c r="Y1431" i="13"/>
  <c r="X1432" i="13"/>
  <c r="X1433" i="13"/>
  <c r="Y1432" i="13"/>
  <c r="X1434" i="13"/>
  <c r="Y1433" i="13"/>
  <c r="X1435" i="13"/>
  <c r="Y1434" i="13"/>
  <c r="X1436" i="13"/>
  <c r="Y1435" i="13"/>
  <c r="Y1436" i="13"/>
  <c r="X1437" i="13"/>
  <c r="X1438" i="13"/>
  <c r="Y1437" i="13"/>
  <c r="X1439" i="13"/>
  <c r="Y1438" i="13"/>
  <c r="X1440" i="13"/>
  <c r="Y1439" i="13"/>
  <c r="Y1440" i="13"/>
  <c r="X1441" i="13"/>
  <c r="Y1441" i="13"/>
  <c r="X1442" i="13"/>
  <c r="Y1442" i="13"/>
  <c r="X1443" i="13"/>
  <c r="X1444" i="13"/>
  <c r="Y1443" i="13"/>
  <c r="Y1444" i="13"/>
  <c r="X1445" i="13"/>
  <c r="Y1445" i="13"/>
  <c r="X1446" i="13"/>
  <c r="Y1446" i="13"/>
  <c r="X1447" i="13"/>
  <c r="Y1447" i="13"/>
  <c r="X1448" i="13"/>
  <c r="X1449" i="13"/>
  <c r="Y1448" i="13"/>
  <c r="X1450" i="13"/>
  <c r="Y1449" i="13"/>
  <c r="Y1450" i="13"/>
  <c r="X1451" i="13"/>
  <c r="Y1451" i="13"/>
  <c r="X1452" i="13"/>
  <c r="Y1452" i="13"/>
  <c r="X1453" i="13"/>
  <c r="Y1453" i="13"/>
  <c r="X1454" i="13"/>
  <c r="Y1454" i="13"/>
  <c r="X1455" i="13"/>
  <c r="X1456" i="13"/>
  <c r="Y1455" i="13"/>
  <c r="X1457" i="13"/>
  <c r="Y1456" i="13"/>
  <c r="Y1457" i="13"/>
  <c r="X1458" i="13"/>
  <c r="Y1458" i="13"/>
  <c r="X1459" i="13"/>
  <c r="Y1459" i="13"/>
  <c r="X1460" i="13"/>
  <c r="X1461" i="13"/>
  <c r="Y1460" i="13"/>
  <c r="X1462" i="13"/>
  <c r="Y1461" i="13"/>
  <c r="X1463" i="13"/>
  <c r="Y1462" i="13"/>
  <c r="Y1463" i="13"/>
  <c r="X1464" i="13"/>
  <c r="X1465" i="13"/>
  <c r="Y1464" i="13"/>
  <c r="X1466" i="13"/>
  <c r="Y1465" i="13"/>
  <c r="Y1466" i="13"/>
  <c r="X1467" i="13"/>
  <c r="X1468" i="13"/>
  <c r="Y1467" i="13"/>
  <c r="X1469" i="13"/>
  <c r="Y1468" i="13"/>
  <c r="Y1469" i="13"/>
  <c r="X1470" i="13"/>
  <c r="X1471" i="13"/>
  <c r="Y1470" i="13"/>
  <c r="Y1471" i="13"/>
  <c r="X1472" i="13"/>
  <c r="Y1472" i="13"/>
  <c r="X1473" i="13"/>
  <c r="X1474" i="13"/>
  <c r="Y1473" i="13"/>
  <c r="X1475" i="13"/>
  <c r="Y1474" i="13"/>
  <c r="Y1475" i="13"/>
  <c r="X1476" i="13"/>
  <c r="Y1476" i="13"/>
  <c r="X1477" i="13"/>
  <c r="X1478" i="13"/>
  <c r="Y1477" i="13"/>
  <c r="Y1478" i="13"/>
  <c r="X1479" i="13"/>
  <c r="X1480" i="13"/>
  <c r="Y1479" i="13"/>
  <c r="Y1480" i="13"/>
  <c r="X1481" i="13"/>
  <c r="X1482" i="13"/>
  <c r="Y1481" i="13"/>
  <c r="Y1482" i="13"/>
  <c r="X1483" i="13"/>
  <c r="Y1483" i="13"/>
  <c r="X1484" i="13"/>
  <c r="Y1484" i="13"/>
  <c r="X1485" i="13"/>
  <c r="X1486" i="13"/>
  <c r="Y1485" i="13"/>
  <c r="Y1486" i="13"/>
  <c r="X1487" i="13"/>
  <c r="Y1487" i="13"/>
  <c r="X1488" i="13"/>
  <c r="Y1488" i="13"/>
  <c r="X1489" i="13"/>
  <c r="Y1489" i="13"/>
  <c r="X1490" i="13"/>
  <c r="Y1490" i="13"/>
  <c r="X1491" i="13"/>
  <c r="X1492" i="13"/>
  <c r="Y1491" i="13"/>
  <c r="Y1492" i="13"/>
  <c r="X1493" i="13"/>
  <c r="X1494" i="13"/>
  <c r="Y1493" i="13"/>
  <c r="X1495" i="13"/>
  <c r="Y1494" i="13"/>
  <c r="Y1495" i="13"/>
  <c r="X1496" i="13"/>
  <c r="X1497" i="13"/>
  <c r="Y1496" i="13"/>
  <c r="X1498" i="13"/>
  <c r="Y1497" i="13"/>
  <c r="X1499" i="13"/>
  <c r="Y1498" i="13"/>
  <c r="Y1499" i="13"/>
  <c r="X1500" i="13"/>
  <c r="X1501" i="13"/>
  <c r="Y1500" i="13"/>
  <c r="X1502" i="13"/>
  <c r="Y1501" i="13"/>
  <c r="X1503" i="13"/>
  <c r="Y1502" i="13"/>
  <c r="X1504" i="13"/>
  <c r="Y1503" i="13"/>
  <c r="Y1504" i="13"/>
  <c r="X1505" i="13"/>
  <c r="Y1505" i="13"/>
  <c r="X1506" i="13"/>
  <c r="Y1506" i="13"/>
  <c r="X1507" i="13"/>
  <c r="X1508" i="13"/>
  <c r="Y1507" i="13"/>
  <c r="Y1508" i="13"/>
  <c r="X1509" i="13"/>
  <c r="X1510" i="13"/>
  <c r="Y1509" i="13"/>
  <c r="X1511" i="13"/>
  <c r="Y1510" i="13"/>
  <c r="Y1511" i="13"/>
  <c r="X1512" i="13"/>
  <c r="X1513" i="13"/>
  <c r="Y1512" i="13"/>
  <c r="X1514" i="13"/>
  <c r="Y1513" i="13"/>
  <c r="Y1514" i="13"/>
  <c r="X1515" i="13"/>
  <c r="X1516" i="13"/>
  <c r="Y1515" i="13"/>
  <c r="X1517" i="13"/>
  <c r="Y1516" i="13"/>
  <c r="Y1517" i="13"/>
  <c r="X1518" i="13"/>
  <c r="Y1518" i="13"/>
  <c r="X1519" i="13"/>
  <c r="X1520" i="13"/>
  <c r="Y1519" i="13"/>
  <c r="X1521" i="13"/>
  <c r="Y1520" i="13"/>
  <c r="Y1521" i="13"/>
  <c r="X1522" i="13"/>
  <c r="X1523" i="13"/>
  <c r="Y1522" i="13"/>
  <c r="Y1523" i="13"/>
  <c r="X1524" i="13"/>
  <c r="Y1524" i="13"/>
  <c r="X1525" i="13"/>
  <c r="X1526" i="13"/>
  <c r="Y1525" i="13"/>
  <c r="Y1526" i="13"/>
  <c r="X1527" i="13"/>
  <c r="Y1527" i="13"/>
  <c r="X1528" i="13"/>
  <c r="X1529" i="13"/>
  <c r="Y1528" i="13"/>
  <c r="Y1529" i="13"/>
  <c r="X1530" i="13"/>
  <c r="X1531" i="13"/>
  <c r="Y1530" i="13"/>
  <c r="X1532" i="13"/>
  <c r="Y1531" i="13"/>
  <c r="Y1532" i="13"/>
  <c r="X1533" i="13"/>
  <c r="Y1533" i="13"/>
  <c r="X1534" i="13"/>
  <c r="X1535" i="13"/>
  <c r="Y1534" i="13"/>
  <c r="Y1535" i="13"/>
  <c r="X1536" i="13"/>
  <c r="X1537" i="13"/>
  <c r="Y1536" i="13"/>
  <c r="Y1537" i="13"/>
  <c r="X1538" i="13"/>
  <c r="X1539" i="13"/>
  <c r="Y1538" i="13"/>
  <c r="Y1539" i="13"/>
  <c r="X1540" i="13"/>
  <c r="Y1540" i="13"/>
  <c r="X1541" i="13"/>
  <c r="Y1541" i="13"/>
  <c r="X1542" i="13"/>
  <c r="X1543" i="13"/>
  <c r="Y1542" i="13"/>
  <c r="X1544" i="13"/>
  <c r="Y1543" i="13"/>
  <c r="X1545" i="13"/>
  <c r="Y1544" i="13"/>
  <c r="Y1545" i="13"/>
  <c r="X1546" i="13"/>
  <c r="X1547" i="13"/>
  <c r="Y1546" i="13"/>
  <c r="X1548" i="13"/>
  <c r="Y1547" i="13"/>
  <c r="X1549" i="13"/>
  <c r="Y1548" i="13"/>
  <c r="Y1549" i="13"/>
  <c r="X1550" i="13"/>
  <c r="X1551" i="13"/>
  <c r="Y1550" i="13"/>
  <c r="X1552" i="13"/>
  <c r="Y1551" i="13"/>
  <c r="X1553" i="13"/>
  <c r="Y1552" i="13"/>
  <c r="X1554" i="13"/>
  <c r="Y1553" i="13"/>
  <c r="X1555" i="13"/>
  <c r="Y1554" i="13"/>
  <c r="Y1555" i="13"/>
  <c r="X1556" i="13"/>
  <c r="Y1556" i="13"/>
  <c r="X1557" i="13"/>
  <c r="X1558" i="13"/>
  <c r="Y1557" i="13"/>
  <c r="Y1558" i="13"/>
  <c r="X1559" i="13"/>
  <c r="Y1559" i="13"/>
  <c r="X1560" i="13"/>
  <c r="X1561" i="13"/>
  <c r="Y1560" i="13"/>
  <c r="Y1561" i="13"/>
  <c r="X1562" i="13"/>
  <c r="Y1562" i="13"/>
  <c r="X1563" i="13"/>
  <c r="X1564" i="13"/>
  <c r="Y1563" i="13"/>
  <c r="X1565" i="13"/>
  <c r="Y1564" i="13"/>
  <c r="X1566" i="13"/>
  <c r="Y1565" i="13"/>
  <c r="X1567" i="13"/>
  <c r="Y1566" i="13"/>
  <c r="X1568" i="13"/>
  <c r="Y1567" i="13"/>
  <c r="Y1568" i="13"/>
  <c r="X1569" i="13"/>
  <c r="X1570" i="13"/>
  <c r="Y1569" i="13"/>
  <c r="Y1570" i="13"/>
  <c r="X1571" i="13"/>
  <c r="X1572" i="13"/>
  <c r="Y1571" i="13"/>
  <c r="X1573" i="13"/>
  <c r="Y1572" i="13"/>
  <c r="X1574" i="13"/>
  <c r="Y1573" i="13"/>
  <c r="Y1574" i="13"/>
  <c r="X1575" i="13"/>
  <c r="Y1575" i="13"/>
  <c r="X1576" i="13"/>
  <c r="Y1576" i="13"/>
  <c r="X1577" i="13"/>
  <c r="X1578" i="13"/>
  <c r="Y1577" i="13"/>
  <c r="X1579" i="13"/>
  <c r="Y1578" i="13"/>
  <c r="Y1579" i="13"/>
  <c r="X1580" i="13"/>
  <c r="Y1580" i="13"/>
  <c r="X1581" i="13"/>
  <c r="Y1581" i="13"/>
  <c r="X1582" i="13"/>
  <c r="Y1582" i="13"/>
  <c r="X1583" i="13"/>
  <c r="X1584" i="13"/>
  <c r="Y1583" i="13"/>
  <c r="Y1584" i="13"/>
  <c r="X1585" i="13"/>
  <c r="X1586" i="13"/>
  <c r="Y1585" i="13"/>
  <c r="X1587" i="13"/>
  <c r="Y1586" i="13"/>
  <c r="Y1587" i="13"/>
  <c r="X1588" i="13"/>
  <c r="Y1588" i="13"/>
  <c r="X1589" i="13"/>
  <c r="X1590" i="13"/>
  <c r="Y1589" i="13"/>
  <c r="X1591" i="13"/>
  <c r="Y1590" i="13"/>
  <c r="X1592" i="13"/>
  <c r="Y1591" i="13"/>
  <c r="Y1592" i="13"/>
  <c r="X1593" i="13"/>
  <c r="X1594" i="13"/>
  <c r="Y1593" i="13"/>
  <c r="Y1594" i="13"/>
  <c r="X1595" i="13"/>
  <c r="Y1595" i="13"/>
  <c r="X1596" i="13"/>
  <c r="X1597" i="13"/>
  <c r="Y1596" i="13"/>
  <c r="X1598" i="13"/>
  <c r="Y1597" i="13"/>
  <c r="X1599" i="13"/>
  <c r="Y1598" i="13"/>
  <c r="Y1599" i="13"/>
  <c r="X1600" i="13"/>
  <c r="Y1600" i="13"/>
  <c r="X1601" i="13"/>
  <c r="Y1601" i="13"/>
  <c r="X1602" i="13"/>
  <c r="Y1602" i="13"/>
  <c r="X1603" i="13"/>
  <c r="X1604" i="13"/>
  <c r="Y1603" i="13"/>
  <c r="X1605" i="13"/>
  <c r="Y1604" i="13"/>
  <c r="X1606" i="13"/>
  <c r="Y1605" i="13"/>
  <c r="Y1606" i="13"/>
  <c r="X1607" i="13"/>
  <c r="X1608" i="13"/>
  <c r="Y1607" i="13"/>
  <c r="Y1608" i="13"/>
  <c r="X1609" i="13"/>
  <c r="Y1609" i="13"/>
  <c r="X1610" i="13"/>
  <c r="Y1610" i="13"/>
  <c r="X1611" i="13"/>
  <c r="Y1611" i="13"/>
  <c r="X1612" i="13"/>
  <c r="Y1612" i="13"/>
  <c r="X1613" i="13"/>
  <c r="X1614" i="13"/>
  <c r="Y1613" i="13"/>
  <c r="Y1614" i="13"/>
  <c r="X1615" i="13"/>
  <c r="X1616" i="13"/>
  <c r="Y1615" i="13"/>
  <c r="X1617" i="13"/>
  <c r="Y1616" i="13"/>
  <c r="Y1617" i="13"/>
  <c r="X1618" i="13"/>
  <c r="X1619" i="13"/>
  <c r="Y1618" i="13"/>
  <c r="X1620" i="13"/>
  <c r="Y1619" i="13"/>
  <c r="Y1620" i="13"/>
  <c r="X1621" i="13"/>
  <c r="Y1621" i="13"/>
  <c r="X1622" i="13"/>
  <c r="X1623" i="13"/>
  <c r="Y1622" i="13"/>
  <c r="X1624" i="13"/>
  <c r="Y1623" i="13"/>
  <c r="Y1624" i="13"/>
  <c r="X1625" i="13"/>
  <c r="X1626" i="13"/>
  <c r="Y1625" i="13"/>
  <c r="Y1626" i="13"/>
  <c r="X1627" i="13"/>
  <c r="X1628" i="13"/>
  <c r="Y1627" i="13"/>
  <c r="X1629" i="13"/>
  <c r="Y1628" i="13"/>
  <c r="Y1629" i="13"/>
  <c r="X1630" i="13"/>
  <c r="Y1630" i="13"/>
  <c r="X1631" i="13"/>
  <c r="Y1631" i="13"/>
  <c r="X1632" i="13"/>
  <c r="Y1632" i="13"/>
  <c r="X1633" i="13"/>
  <c r="X1634" i="13"/>
  <c r="Y1633" i="13"/>
  <c r="X1635" i="13"/>
  <c r="Y1634" i="13"/>
  <c r="X1636" i="13"/>
  <c r="Y1635" i="13"/>
  <c r="X1637" i="13"/>
  <c r="Y1636" i="13"/>
  <c r="Y1637" i="13"/>
  <c r="X1638" i="13"/>
  <c r="X1639" i="13"/>
  <c r="Y1638" i="13"/>
  <c r="X1640" i="13"/>
  <c r="Y1639" i="13"/>
  <c r="X1641" i="13"/>
  <c r="Y1640" i="13"/>
  <c r="Y1641" i="13"/>
  <c r="X1642" i="13"/>
  <c r="Y1642" i="13"/>
  <c r="X1643" i="13"/>
  <c r="X1644" i="13"/>
  <c r="Y1643" i="13"/>
  <c r="X1645" i="13"/>
  <c r="Y1644" i="13"/>
  <c r="X1646" i="13"/>
  <c r="Y1645" i="13"/>
  <c r="X1647" i="13"/>
  <c r="Y1646" i="13"/>
  <c r="X1648" i="13"/>
  <c r="Y1647" i="13"/>
  <c r="X1649" i="13"/>
  <c r="Y1648" i="13"/>
  <c r="Y1649" i="13"/>
  <c r="X1650" i="13"/>
  <c r="Y1650" i="13"/>
  <c r="X1651" i="13"/>
  <c r="X1652" i="13"/>
  <c r="Y1651" i="13"/>
  <c r="X1653" i="13"/>
  <c r="Y1652" i="13"/>
  <c r="X1654" i="13"/>
  <c r="Y1653" i="13"/>
  <c r="Y1654" i="13"/>
  <c r="X1655" i="13"/>
  <c r="Y1655" i="13"/>
  <c r="X1656" i="13"/>
  <c r="Y1656" i="13"/>
  <c r="X1657" i="13"/>
  <c r="Y1657" i="13"/>
  <c r="X1658" i="13"/>
  <c r="Y1658" i="13"/>
  <c r="X1659" i="13"/>
  <c r="Y1659" i="13"/>
  <c r="X1660" i="13"/>
  <c r="X1661" i="13"/>
  <c r="Y1660" i="13"/>
  <c r="X1662" i="13"/>
  <c r="Y1661" i="13"/>
  <c r="Y1662" i="13"/>
  <c r="X1663" i="13"/>
  <c r="X1664" i="13"/>
  <c r="Y1663" i="13"/>
  <c r="X1665" i="13"/>
  <c r="Y1664" i="13"/>
  <c r="X1666" i="13"/>
  <c r="Y1665" i="13"/>
  <c r="Y1666" i="13"/>
  <c r="X1667" i="13"/>
  <c r="X1668" i="13"/>
  <c r="Y1667" i="13"/>
  <c r="Y1668" i="13"/>
  <c r="X1669" i="13"/>
  <c r="Y1669" i="13"/>
  <c r="X1670" i="13"/>
  <c r="Y1670" i="13"/>
  <c r="X1671" i="13"/>
  <c r="Y1671" i="13"/>
  <c r="X1672" i="13"/>
  <c r="X1673" i="13"/>
  <c r="Y1672" i="13"/>
  <c r="Y1673" i="13"/>
  <c r="X1674" i="13"/>
  <c r="X1675" i="13"/>
  <c r="Y1674" i="13"/>
  <c r="Y1675" i="13"/>
  <c r="X1676" i="13"/>
  <c r="X1677" i="13"/>
  <c r="Y1676" i="13"/>
  <c r="X1678" i="13"/>
  <c r="Y1677" i="13"/>
  <c r="Y1678" i="13"/>
  <c r="X1679" i="13"/>
  <c r="Y1679" i="13"/>
  <c r="X1680" i="13"/>
  <c r="X1681" i="13"/>
  <c r="Y1680" i="13"/>
  <c r="X1682" i="13"/>
  <c r="Y1681" i="13"/>
  <c r="X1683" i="13"/>
  <c r="Y1682" i="13"/>
  <c r="X1684" i="13"/>
  <c r="Y1683" i="13"/>
  <c r="Y1684" i="13"/>
  <c r="X1685" i="13"/>
  <c r="X1686" i="13"/>
  <c r="Y1685" i="13"/>
  <c r="X1687" i="13"/>
  <c r="Y1686" i="13"/>
  <c r="X1688" i="13"/>
  <c r="Y1687" i="13"/>
  <c r="X1689" i="13"/>
  <c r="Y1688" i="13"/>
  <c r="X1690" i="13"/>
  <c r="Y1689" i="13"/>
  <c r="Y1690" i="13"/>
  <c r="X1691" i="13"/>
  <c r="Y1691" i="13"/>
  <c r="X1692" i="13"/>
  <c r="Y1692" i="13"/>
  <c r="X1693" i="13"/>
  <c r="Y1693" i="13"/>
  <c r="X1694" i="13"/>
  <c r="Y1694" i="13"/>
  <c r="X1695" i="13"/>
  <c r="X1696" i="13"/>
  <c r="Y1695" i="13"/>
  <c r="X1697" i="13"/>
  <c r="Y1696" i="13"/>
  <c r="X1698" i="13"/>
  <c r="Y1697" i="13"/>
  <c r="Y1698" i="13"/>
  <c r="X1699" i="13"/>
  <c r="X1700" i="13"/>
  <c r="Y1699" i="13"/>
  <c r="X1701" i="13"/>
  <c r="Y1700" i="13"/>
  <c r="Y1701" i="13"/>
  <c r="X1702" i="13"/>
  <c r="Y1702" i="13"/>
  <c r="X1703" i="13"/>
  <c r="X1704" i="13"/>
  <c r="Y1703" i="13"/>
  <c r="X1705" i="13"/>
  <c r="Y1704" i="13"/>
  <c r="X1706" i="13"/>
  <c r="Y1705" i="13"/>
  <c r="X1707" i="13"/>
  <c r="Y1706" i="13"/>
  <c r="X1708" i="13"/>
  <c r="Y1707" i="13"/>
  <c r="X1709" i="13"/>
  <c r="Y1708" i="13"/>
  <c r="Y1709" i="13"/>
  <c r="X1710" i="13"/>
  <c r="Y1710" i="13"/>
  <c r="X1711" i="13"/>
  <c r="X1712" i="13"/>
  <c r="Y1711" i="13"/>
  <c r="X1713" i="13"/>
  <c r="Y1712" i="13"/>
  <c r="X1714" i="13"/>
  <c r="Y1713" i="13"/>
  <c r="Y1714" i="13"/>
  <c r="X1715" i="13"/>
  <c r="Y1715" i="13"/>
  <c r="X1716" i="13"/>
  <c r="Y1716" i="13"/>
  <c r="X1717" i="13"/>
  <c r="X1718" i="13"/>
  <c r="Y1717" i="13"/>
  <c r="Y1718" i="13"/>
  <c r="X1719" i="13"/>
  <c r="X1720" i="13"/>
  <c r="Y1719" i="13"/>
  <c r="Y1720" i="13"/>
  <c r="X1721" i="13"/>
  <c r="Y1721" i="13"/>
  <c r="X1722" i="13"/>
  <c r="Y1722" i="13"/>
  <c r="X1723" i="13"/>
  <c r="Y1723" i="13"/>
  <c r="X1724" i="13"/>
  <c r="X1725" i="13"/>
  <c r="Y1724" i="13"/>
  <c r="X1726" i="13"/>
  <c r="Y1725" i="13"/>
  <c r="Y1726" i="13"/>
  <c r="X1727" i="13"/>
  <c r="Y1727" i="13"/>
  <c r="X1728" i="13"/>
  <c r="Y1728" i="13"/>
  <c r="X1729" i="13"/>
  <c r="X1730" i="13"/>
  <c r="Y1729" i="13"/>
  <c r="Y1730" i="13"/>
  <c r="X1731" i="13"/>
  <c r="X1732" i="13"/>
  <c r="Y1731" i="13"/>
  <c r="Y1732" i="13"/>
  <c r="X1733" i="13"/>
  <c r="Y1733" i="13"/>
  <c r="X1734" i="13"/>
  <c r="X1735" i="13"/>
  <c r="Y1734" i="13"/>
  <c r="X1736" i="13"/>
  <c r="Y1735" i="13"/>
  <c r="Y1736" i="13"/>
  <c r="X1737" i="13"/>
  <c r="X1738" i="13"/>
  <c r="Y1737" i="13"/>
  <c r="X1739" i="13"/>
  <c r="Y1738" i="13"/>
  <c r="Y1739" i="13"/>
  <c r="X1740" i="13"/>
  <c r="X1741" i="13"/>
  <c r="Y1740" i="13"/>
  <c r="X1742" i="13"/>
  <c r="Y1741" i="13"/>
  <c r="X1743" i="13"/>
  <c r="Y1742" i="13"/>
  <c r="Y1743" i="13"/>
  <c r="X1744" i="13"/>
  <c r="Y1744" i="13"/>
  <c r="X1745" i="13"/>
  <c r="X1746" i="13"/>
  <c r="Y1745" i="13"/>
  <c r="Y1746" i="13"/>
  <c r="X1747" i="13"/>
  <c r="Y1747" i="13"/>
  <c r="X1748" i="13"/>
  <c r="Y1748" i="13"/>
  <c r="X1749" i="13"/>
  <c r="X1750" i="13"/>
  <c r="Y1749" i="13"/>
  <c r="Y1750" i="13"/>
  <c r="X1751" i="13"/>
  <c r="Y1751" i="13"/>
  <c r="X1752" i="13"/>
  <c r="Y1752" i="13"/>
  <c r="X1753" i="13"/>
  <c r="X1754" i="13"/>
  <c r="Y1753" i="13"/>
  <c r="X1755" i="13"/>
  <c r="Y1754" i="13"/>
  <c r="Y1755" i="13"/>
  <c r="X1756" i="13"/>
  <c r="X1757" i="13"/>
  <c r="Y1756" i="13"/>
  <c r="Y1757" i="13"/>
  <c r="X1758" i="13"/>
  <c r="X1759" i="13"/>
  <c r="Y1758" i="13"/>
  <c r="X1760" i="13"/>
  <c r="Y1759" i="13"/>
  <c r="Y1760" i="13"/>
  <c r="X1761" i="13"/>
  <c r="Y1761" i="13"/>
  <c r="X1762" i="13"/>
  <c r="X1763" i="13"/>
  <c r="Y1762" i="13"/>
  <c r="X1764" i="13"/>
  <c r="Y1763" i="13"/>
  <c r="Y1764" i="13"/>
  <c r="X1765" i="13"/>
  <c r="X1766" i="13"/>
  <c r="Y1765" i="13"/>
  <c r="X1767" i="13"/>
  <c r="Y1766" i="13"/>
  <c r="Y1767" i="13"/>
  <c r="X1768" i="13"/>
  <c r="Y1768" i="13"/>
  <c r="X1769" i="13"/>
  <c r="Y1769" i="13"/>
  <c r="X1770" i="13"/>
  <c r="X1771" i="13"/>
  <c r="Y1770" i="13"/>
  <c r="Y1771" i="13"/>
  <c r="X1772" i="13"/>
  <c r="X1773" i="13"/>
  <c r="Y1772" i="13"/>
  <c r="Y1773" i="13"/>
  <c r="X1774" i="13"/>
  <c r="Y1774" i="13"/>
  <c r="X1775" i="13"/>
  <c r="Y1775" i="13"/>
  <c r="X1776" i="13"/>
  <c r="X1777" i="13"/>
  <c r="Y1776" i="13"/>
  <c r="Y1777" i="13"/>
  <c r="X1778" i="13"/>
  <c r="Y1778" i="13"/>
  <c r="X1779" i="13"/>
  <c r="X1780" i="13"/>
  <c r="Y1779" i="13"/>
  <c r="Y1780" i="13"/>
  <c r="X1781" i="13"/>
  <c r="Y1781" i="13"/>
  <c r="X1782" i="13"/>
  <c r="X1783" i="13"/>
  <c r="Y1782" i="13"/>
  <c r="Y1783" i="13"/>
  <c r="X1784" i="13"/>
  <c r="Y1784" i="13"/>
  <c r="X1785" i="13"/>
  <c r="Y1785" i="13"/>
  <c r="X1786" i="13"/>
  <c r="Y1786" i="13"/>
  <c r="X1787" i="13"/>
  <c r="X1788" i="13"/>
  <c r="Y1787" i="13"/>
  <c r="X1789" i="13"/>
  <c r="Y1788" i="13"/>
  <c r="X1790" i="13"/>
  <c r="Y1789" i="13"/>
  <c r="Y1790" i="13"/>
  <c r="X1791" i="13"/>
  <c r="Y1791" i="13"/>
  <c r="X1792" i="13"/>
  <c r="Y1792" i="13"/>
  <c r="X1793" i="13"/>
  <c r="X1794" i="13"/>
  <c r="Y1793" i="13"/>
  <c r="X1795" i="13"/>
  <c r="Y1794" i="13"/>
  <c r="X1796" i="13"/>
  <c r="Y1795" i="13"/>
  <c r="X1797" i="13"/>
  <c r="Y1796" i="13"/>
  <c r="Y1797" i="13"/>
  <c r="X1798" i="13"/>
  <c r="Y1798" i="13"/>
  <c r="X1799" i="13"/>
  <c r="X1800" i="13"/>
  <c r="Y1799" i="13"/>
  <c r="X1801" i="13"/>
  <c r="Y1800" i="13"/>
  <c r="Y1801" i="13"/>
  <c r="X1802" i="13"/>
  <c r="X1803" i="13"/>
  <c r="Y1802" i="13"/>
  <c r="Y1803" i="13"/>
  <c r="X1804" i="13"/>
  <c r="Y1804" i="13"/>
  <c r="X1805" i="13"/>
  <c r="Y1805" i="13"/>
  <c r="X1806" i="13"/>
  <c r="Y1806" i="13"/>
  <c r="X1807" i="13"/>
  <c r="Y1807" i="13"/>
  <c r="X1808" i="13"/>
  <c r="Y1808" i="13"/>
  <c r="X1809" i="13"/>
  <c r="X1810" i="13"/>
  <c r="Y1809" i="13"/>
  <c r="Y1810" i="13"/>
  <c r="X1811" i="13"/>
  <c r="X1812" i="13"/>
  <c r="Y1811" i="13"/>
  <c r="X1813" i="13"/>
  <c r="Y1812" i="13"/>
  <c r="X1814" i="13"/>
  <c r="Y1813" i="13"/>
  <c r="X1815" i="13"/>
  <c r="Y1814" i="13"/>
  <c r="Y1815" i="13"/>
  <c r="X1816" i="13"/>
  <c r="Y1816" i="13"/>
  <c r="X1817" i="13"/>
  <c r="X1818" i="13"/>
  <c r="Y1817" i="13"/>
  <c r="X1819" i="13"/>
  <c r="Y1818" i="13"/>
  <c r="X1820" i="13"/>
  <c r="Y1819" i="13"/>
  <c r="Y1820" i="13"/>
  <c r="X1821" i="13"/>
  <c r="X1822" i="13"/>
  <c r="Y1821" i="13"/>
  <c r="X1823" i="13"/>
  <c r="Y1822" i="13"/>
  <c r="X1824" i="13"/>
  <c r="Y1823" i="13"/>
  <c r="X1825" i="13"/>
  <c r="Y1824" i="13"/>
  <c r="Y1825" i="13"/>
  <c r="X1826" i="13"/>
  <c r="Y1826" i="13"/>
  <c r="X1827" i="13"/>
  <c r="X1828" i="13"/>
  <c r="Y1827" i="13"/>
  <c r="Y1828" i="13"/>
  <c r="X1829" i="13"/>
  <c r="X1830" i="13"/>
  <c r="Y1829" i="13"/>
  <c r="Y1830" i="13"/>
  <c r="X1831" i="13"/>
  <c r="X1832" i="13"/>
  <c r="Y1831" i="13"/>
  <c r="Y1832" i="13"/>
  <c r="X1833" i="13"/>
  <c r="Y1833" i="13"/>
  <c r="X1834" i="13"/>
  <c r="X1835" i="13"/>
  <c r="Y1834" i="13"/>
  <c r="Y1835" i="13"/>
  <c r="X1836" i="13"/>
  <c r="X1837" i="13"/>
  <c r="Y1836" i="13"/>
  <c r="X1838" i="13"/>
  <c r="Y1837" i="13"/>
  <c r="Y1838" i="13"/>
  <c r="X1839" i="13"/>
  <c r="X1840" i="13"/>
  <c r="Y1839" i="13"/>
  <c r="Y1840" i="13"/>
  <c r="X1841" i="13"/>
  <c r="X1842" i="13"/>
  <c r="Y1841" i="13"/>
  <c r="Y1842" i="13"/>
  <c r="X1843" i="13"/>
  <c r="X1844" i="13"/>
  <c r="Y1843" i="13"/>
  <c r="X1845" i="13"/>
  <c r="Y1844" i="13"/>
  <c r="Y1845" i="13"/>
  <c r="X1846" i="13"/>
  <c r="Y1846" i="13"/>
  <c r="X1847" i="13"/>
  <c r="X1848" i="13"/>
  <c r="Y1847" i="13"/>
  <c r="Y1848" i="13"/>
  <c r="X1849" i="13"/>
  <c r="X1850" i="13"/>
  <c r="Y1849" i="13"/>
  <c r="X1851" i="13"/>
  <c r="Y1850" i="13"/>
  <c r="X1852" i="13"/>
  <c r="Y1851" i="13"/>
  <c r="Y1852" i="13"/>
  <c r="X1853" i="13"/>
  <c r="X1854" i="13"/>
  <c r="Y1853" i="13"/>
  <c r="Y1854" i="13"/>
  <c r="X1855" i="13"/>
  <c r="X1856" i="13"/>
  <c r="Y1855" i="13"/>
  <c r="Y1856" i="13"/>
  <c r="X1857" i="13"/>
  <c r="Y1857" i="13"/>
  <c r="X1858" i="13"/>
  <c r="Y1858" i="13"/>
  <c r="X1859" i="13"/>
  <c r="Y1859" i="13"/>
  <c r="X1860" i="13"/>
  <c r="X1861" i="13"/>
  <c r="Y1860" i="13"/>
  <c r="X1862" i="13"/>
  <c r="Y1861" i="13"/>
  <c r="Y1862" i="13"/>
  <c r="X1863" i="13"/>
  <c r="X1864" i="13"/>
  <c r="Y1863" i="13"/>
  <c r="Y1864" i="13"/>
  <c r="X1865" i="13"/>
  <c r="X1866" i="13"/>
  <c r="Y1865" i="13"/>
  <c r="X1867" i="13"/>
  <c r="Y1866" i="13"/>
  <c r="X1868" i="13"/>
  <c r="Y1867" i="13"/>
  <c r="Y1868" i="13"/>
  <c r="X1869" i="13"/>
  <c r="X1870" i="13"/>
  <c r="Y1869" i="13"/>
  <c r="Y1870" i="13"/>
  <c r="X1871" i="13"/>
  <c r="Y1871" i="13"/>
  <c r="X1872" i="13"/>
  <c r="Y1872" i="13"/>
  <c r="X1873" i="13"/>
  <c r="X1874" i="13"/>
  <c r="Y1873" i="13"/>
  <c r="X1875" i="13"/>
  <c r="Y1874" i="13"/>
  <c r="Y1875" i="13"/>
  <c r="X1876" i="13"/>
  <c r="X1877" i="13"/>
  <c r="Y1876" i="13"/>
  <c r="Y1877" i="13"/>
  <c r="X1878" i="13"/>
  <c r="Y1878" i="13"/>
  <c r="X1879" i="13"/>
  <c r="X1880" i="13"/>
  <c r="Y1879" i="13"/>
  <c r="Y1880" i="13"/>
  <c r="X1881" i="13"/>
  <c r="X1882" i="13"/>
  <c r="Y1881" i="13"/>
  <c r="Y1882" i="13"/>
  <c r="X1883" i="13"/>
  <c r="Y1883" i="13"/>
  <c r="X1884" i="13"/>
  <c r="X1885" i="13"/>
  <c r="Y1884" i="13"/>
  <c r="Y1885" i="13"/>
  <c r="X1886" i="13"/>
  <c r="X1887" i="13"/>
  <c r="Y1886" i="13"/>
  <c r="X1888" i="13"/>
  <c r="Y1887" i="13"/>
  <c r="X1889" i="13"/>
  <c r="Y1888" i="13"/>
  <c r="Y1889" i="13"/>
  <c r="X1890" i="13"/>
  <c r="Y1890" i="13"/>
  <c r="X1891" i="13"/>
  <c r="X1892" i="13"/>
  <c r="Y1891" i="13"/>
  <c r="X1893" i="13"/>
  <c r="Y1892" i="13"/>
  <c r="X1894" i="13"/>
  <c r="Y1893" i="13"/>
  <c r="Y1894" i="13"/>
  <c r="X1895" i="13"/>
  <c r="X1896" i="13"/>
  <c r="Y1895" i="13"/>
  <c r="Y1896" i="13"/>
  <c r="X1897" i="13"/>
  <c r="Y1897" i="13"/>
  <c r="X1898" i="13"/>
  <c r="Y1898" i="13"/>
  <c r="X1899" i="13"/>
  <c r="X1900" i="13"/>
  <c r="Y1899" i="13"/>
  <c r="Y1900" i="13"/>
  <c r="X1901" i="13"/>
  <c r="Y1901" i="13"/>
  <c r="X1902" i="13"/>
  <c r="X1903" i="13"/>
  <c r="Y1902" i="13"/>
  <c r="X1904" i="13"/>
  <c r="Y1903" i="13"/>
  <c r="X1905" i="13"/>
  <c r="Y1904" i="13"/>
  <c r="Y1905" i="13"/>
  <c r="X1906" i="13"/>
  <c r="X1907" i="13"/>
  <c r="Y1906" i="13"/>
  <c r="Y1907" i="13"/>
  <c r="X1908" i="13"/>
  <c r="X1909" i="13"/>
  <c r="Y1908" i="13"/>
  <c r="X1910" i="13"/>
  <c r="Y1909" i="13"/>
  <c r="X1911" i="13"/>
  <c r="Y1910" i="13"/>
  <c r="X1912" i="13"/>
  <c r="Y1911" i="13"/>
  <c r="X1913" i="13"/>
  <c r="Y1912" i="13"/>
  <c r="Y1913" i="13"/>
  <c r="X1914" i="13"/>
  <c r="Y1914" i="13"/>
  <c r="X1915" i="13"/>
  <c r="X1916" i="13"/>
  <c r="Y1915" i="13"/>
  <c r="Y1916" i="13"/>
  <c r="X1917" i="13"/>
  <c r="Y1917" i="13"/>
  <c r="X1918" i="13"/>
  <c r="Y1918" i="13"/>
  <c r="X1919" i="13"/>
  <c r="Y1919" i="13"/>
  <c r="X1920" i="13"/>
  <c r="X1921" i="13"/>
  <c r="Y1920" i="13"/>
  <c r="X1922" i="13"/>
  <c r="Y1921" i="13"/>
  <c r="X1923" i="13"/>
  <c r="Y1922" i="13"/>
  <c r="X1924" i="13"/>
  <c r="Y1923" i="13"/>
  <c r="X1925" i="13"/>
  <c r="Y1924" i="13"/>
  <c r="Y1925" i="13"/>
  <c r="X1926" i="13"/>
  <c r="X1927" i="13"/>
  <c r="Y1926" i="13"/>
  <c r="Y1927" i="13"/>
  <c r="X1928" i="13"/>
  <c r="Y1928" i="13"/>
  <c r="X1929" i="13"/>
  <c r="X1930" i="13"/>
  <c r="Y1929" i="13"/>
  <c r="X1931" i="13"/>
  <c r="Y1930" i="13"/>
  <c r="X1932" i="13"/>
  <c r="Y1931" i="13"/>
  <c r="X1933" i="13"/>
  <c r="Y1932" i="13"/>
  <c r="X1934" i="13"/>
  <c r="Y1933" i="13"/>
  <c r="Y1934" i="13"/>
  <c r="X1935" i="13"/>
  <c r="X1936" i="13"/>
  <c r="Y1935" i="13"/>
  <c r="Y1936" i="13"/>
  <c r="X1937" i="13"/>
  <c r="X1938" i="13"/>
  <c r="Y1937" i="13"/>
  <c r="Y1938" i="13"/>
  <c r="X1939" i="13"/>
  <c r="X1940" i="13"/>
  <c r="Y1939" i="13"/>
  <c r="X1941" i="13"/>
  <c r="Y1940" i="13"/>
  <c r="X1942" i="13"/>
  <c r="Y1941" i="13"/>
  <c r="Y1942" i="13"/>
  <c r="X1943" i="13"/>
  <c r="X1944" i="13"/>
  <c r="Y1943" i="13"/>
  <c r="Y1944" i="13"/>
  <c r="X1945" i="13"/>
  <c r="X1946" i="13"/>
  <c r="Y1945" i="13"/>
  <c r="X1947" i="13"/>
  <c r="Y1946" i="13"/>
  <c r="X1948" i="13"/>
  <c r="Y1947" i="13"/>
  <c r="Y1948" i="13"/>
  <c r="X1949" i="13"/>
  <c r="X1950" i="13"/>
  <c r="Y1949" i="13"/>
  <c r="Y1950" i="13"/>
  <c r="X1951" i="13"/>
  <c r="Y1951" i="13"/>
  <c r="X1952" i="13"/>
  <c r="X1953" i="13"/>
  <c r="Y1952" i="13"/>
  <c r="X1954" i="13"/>
  <c r="Y1953" i="13"/>
  <c r="X1955" i="13"/>
  <c r="Y1954" i="13"/>
  <c r="X1956" i="13"/>
  <c r="Y1955" i="13"/>
  <c r="X1957" i="13"/>
  <c r="Y1956" i="13"/>
  <c r="X1958" i="13"/>
  <c r="Y1957" i="13"/>
  <c r="Y1958" i="13"/>
  <c r="X1959" i="13"/>
  <c r="Y1959" i="13"/>
  <c r="X1960" i="13"/>
  <c r="Y1960" i="13"/>
  <c r="X1961" i="13"/>
  <c r="X1962" i="13"/>
  <c r="Y1961" i="13"/>
  <c r="Y1962" i="13"/>
  <c r="X1963" i="13"/>
  <c r="Y1963" i="13"/>
  <c r="X1964" i="13"/>
  <c r="X1965" i="13"/>
  <c r="Y1964" i="13"/>
  <c r="X1966" i="13"/>
  <c r="Y1965" i="13"/>
  <c r="X1967" i="13"/>
  <c r="Y1966" i="13"/>
  <c r="Y1967" i="13"/>
  <c r="X1968" i="13"/>
  <c r="Y1968" i="13"/>
  <c r="X1969" i="13"/>
  <c r="X1970" i="13"/>
  <c r="Y1969" i="13"/>
  <c r="X1971" i="13"/>
  <c r="Y1970" i="13"/>
  <c r="Y1971" i="13"/>
  <c r="X1972" i="13"/>
  <c r="Y1972" i="13"/>
  <c r="X1973" i="13"/>
  <c r="X1974" i="13"/>
  <c r="Y1973" i="13"/>
  <c r="Y1974" i="13"/>
  <c r="X1975" i="13"/>
  <c r="Y1975" i="13"/>
  <c r="X1976" i="13"/>
  <c r="Y1976" i="13"/>
  <c r="X1977" i="13"/>
  <c r="X1978" i="13"/>
  <c r="Y1977" i="13"/>
  <c r="Y1978" i="13"/>
  <c r="X1979" i="13"/>
  <c r="Y1979" i="13"/>
  <c r="X1980" i="13"/>
  <c r="Y1980" i="13"/>
  <c r="X1981" i="13"/>
  <c r="Y1981" i="13"/>
  <c r="X1982" i="13"/>
  <c r="X1983" i="13"/>
  <c r="Y1982" i="13"/>
  <c r="Y1983" i="13"/>
  <c r="X1984" i="13"/>
  <c r="Y1984" i="13"/>
  <c r="X1985" i="13"/>
  <c r="Y1985" i="13"/>
  <c r="X1986" i="13"/>
  <c r="X1987" i="13"/>
  <c r="Y1986" i="13"/>
  <c r="Y1987" i="13"/>
  <c r="X1988" i="13"/>
  <c r="X1989" i="13"/>
  <c r="Y1988" i="13"/>
  <c r="X1990" i="13"/>
  <c r="Y1989" i="13"/>
  <c r="Y1990" i="13"/>
  <c r="X1991" i="13"/>
  <c r="X1992" i="13"/>
  <c r="Y1991" i="13"/>
  <c r="X1993" i="13"/>
  <c r="Y1992" i="13"/>
  <c r="X1994" i="13"/>
  <c r="Y1993" i="13"/>
  <c r="X1995" i="13"/>
  <c r="Y1994" i="13"/>
  <c r="X1996" i="13"/>
  <c r="Y1995" i="13"/>
  <c r="X1997" i="13"/>
  <c r="Y1996" i="13"/>
  <c r="Y1997" i="13"/>
  <c r="X1998" i="13"/>
  <c r="X1999" i="13"/>
  <c r="Y1998" i="13"/>
  <c r="X2000" i="13"/>
  <c r="Y1999" i="13"/>
  <c r="Y2000" i="13"/>
  <c r="X2001" i="13"/>
  <c r="X2002" i="13"/>
  <c r="Y2001" i="13"/>
  <c r="Y2002" i="13"/>
  <c r="X2003" i="13"/>
  <c r="Y2003" i="13"/>
  <c r="X2004" i="13"/>
  <c r="X2005" i="13"/>
  <c r="Y2004" i="13"/>
  <c r="Y2005" i="13"/>
  <c r="X2006" i="13"/>
  <c r="X2007" i="13"/>
  <c r="Y2006" i="13"/>
  <c r="X2008" i="13"/>
  <c r="Y2007" i="13"/>
  <c r="X2009" i="13"/>
  <c r="Y2008" i="13"/>
  <c r="X2010" i="13"/>
  <c r="Y2009" i="13"/>
  <c r="X2011" i="13"/>
  <c r="Y2010" i="13"/>
  <c r="Y2011" i="13"/>
  <c r="X2012" i="13"/>
  <c r="X2013" i="13"/>
  <c r="Y2012" i="13"/>
  <c r="X2014" i="13"/>
  <c r="Y2013" i="13"/>
  <c r="X2015" i="13"/>
  <c r="Y2014" i="13"/>
  <c r="X2016" i="13"/>
  <c r="Y2015" i="13"/>
  <c r="X2017" i="13"/>
  <c r="Y2016" i="13"/>
  <c r="X2018" i="13"/>
  <c r="Y2017" i="13"/>
  <c r="Y2018" i="13"/>
  <c r="X2019" i="13"/>
  <c r="X2020" i="13"/>
  <c r="Y2019" i="13"/>
  <c r="X2021" i="13"/>
  <c r="Y2020" i="13"/>
  <c r="Y2021" i="13"/>
  <c r="X2022" i="13"/>
  <c r="Y2022" i="13"/>
  <c r="X2023" i="13"/>
  <c r="Y2023" i="13"/>
  <c r="X2024" i="13"/>
  <c r="Y2024" i="13"/>
  <c r="X2025" i="13"/>
  <c r="X2026" i="13"/>
  <c r="Y2025" i="13"/>
  <c r="X2027" i="13"/>
  <c r="Y2026" i="13"/>
  <c r="X2028" i="13"/>
  <c r="Y2027" i="13"/>
  <c r="X2029" i="13"/>
  <c r="Y2028" i="13"/>
  <c r="Y2029" i="13"/>
  <c r="X2030" i="13"/>
  <c r="Y2030" i="13"/>
  <c r="X2031" i="13"/>
  <c r="X2032" i="13"/>
  <c r="Y2031" i="13"/>
  <c r="X2033" i="13"/>
  <c r="Y2032" i="13"/>
  <c r="X2034" i="13"/>
  <c r="Y2033" i="13"/>
  <c r="Y2034" i="13"/>
  <c r="X2035" i="13"/>
  <c r="Y2035" i="13"/>
  <c r="X2036" i="13"/>
  <c r="X2037" i="13"/>
  <c r="Y2036" i="13"/>
  <c r="Y2037" i="13"/>
  <c r="X2038" i="13"/>
  <c r="X2039" i="13"/>
  <c r="Y2038" i="13"/>
  <c r="Y2039" i="13"/>
  <c r="X2040" i="13"/>
  <c r="Y2040" i="13"/>
  <c r="X2041" i="13"/>
  <c r="X2042" i="13"/>
  <c r="Y2041" i="13"/>
  <c r="Y2042" i="13"/>
  <c r="X2043" i="13"/>
  <c r="X2044" i="13"/>
  <c r="Y2043" i="13"/>
  <c r="X2045" i="13"/>
  <c r="Y2044" i="13"/>
  <c r="Y2045" i="13"/>
  <c r="X2046" i="13"/>
  <c r="Y2046" i="13"/>
  <c r="X2047" i="13"/>
  <c r="Y2047" i="13"/>
  <c r="X2048" i="13"/>
  <c r="X2049" i="13"/>
  <c r="Y2048" i="13"/>
  <c r="X2050" i="13"/>
  <c r="Y2049" i="13"/>
  <c r="X2051" i="13"/>
  <c r="Y2050" i="13"/>
  <c r="Y2051" i="13"/>
  <c r="X2052" i="13"/>
  <c r="X2053" i="13"/>
  <c r="Y2052" i="13"/>
  <c r="Y2053" i="13"/>
  <c r="X2054" i="13"/>
  <c r="X2055" i="13"/>
  <c r="Y2054" i="13"/>
  <c r="Y2055" i="13"/>
  <c r="X2056" i="13"/>
  <c r="X2057" i="13"/>
  <c r="Y2056" i="13"/>
  <c r="Y2057" i="13"/>
  <c r="X2058" i="13"/>
  <c r="Y2058" i="13"/>
  <c r="X2059" i="13"/>
  <c r="X2060" i="13"/>
  <c r="Y2059" i="13"/>
  <c r="Y2060" i="13"/>
  <c r="X2061" i="13"/>
  <c r="X2062" i="13"/>
  <c r="Y2061" i="13"/>
  <c r="Y2062" i="13"/>
  <c r="X2063" i="13"/>
  <c r="X2064" i="13"/>
  <c r="Y2063" i="13"/>
  <c r="X2065" i="13"/>
  <c r="Y2064" i="13"/>
  <c r="Y2065" i="13"/>
  <c r="X2066" i="13"/>
  <c r="Y2066" i="13"/>
  <c r="X2067" i="13"/>
  <c r="X2068" i="13"/>
  <c r="Y2067" i="13"/>
  <c r="Y2068" i="13"/>
  <c r="X2069" i="13"/>
  <c r="Y2069" i="13"/>
  <c r="X2070" i="13"/>
  <c r="X2071" i="13"/>
  <c r="Y2070" i="13"/>
  <c r="Y2071" i="13"/>
  <c r="X2072" i="13"/>
  <c r="Y2072" i="13"/>
  <c r="X2073" i="13"/>
  <c r="Y2073" i="13"/>
  <c r="X2074" i="13"/>
  <c r="Y2074" i="13"/>
  <c r="X2075" i="13"/>
  <c r="X2076" i="13"/>
  <c r="Y2075" i="13"/>
  <c r="Y2076" i="13"/>
  <c r="X2077" i="13"/>
  <c r="X2078" i="13"/>
  <c r="Y2077" i="13"/>
  <c r="X2079" i="13"/>
  <c r="Y2078" i="13"/>
  <c r="X2080" i="13"/>
  <c r="Y2079" i="13"/>
  <c r="X2081" i="13"/>
  <c r="Y2080" i="13"/>
  <c r="Y2081" i="13"/>
  <c r="X2082" i="13"/>
  <c r="Y2082" i="13"/>
  <c r="X2083" i="13"/>
  <c r="Y2083" i="13"/>
  <c r="X2084" i="13"/>
  <c r="Y2084" i="13"/>
  <c r="X2085" i="13"/>
  <c r="Y2085" i="13"/>
  <c r="X2086" i="13"/>
  <c r="X2087" i="13"/>
  <c r="Y2086" i="13"/>
  <c r="Y2087" i="13"/>
  <c r="X2088" i="13"/>
  <c r="Y2088" i="13"/>
  <c r="X2089" i="13"/>
  <c r="Y2089" i="13"/>
  <c r="X2090" i="13"/>
  <c r="Y2090" i="13"/>
  <c r="X2091" i="13"/>
  <c r="X2092" i="13"/>
  <c r="Y2091" i="13"/>
  <c r="X2093" i="13"/>
  <c r="Y2092" i="13"/>
  <c r="X2094" i="13"/>
  <c r="Y2093" i="13"/>
  <c r="X2095" i="13"/>
  <c r="Y2094" i="13"/>
  <c r="Y2095" i="13"/>
  <c r="X2096" i="13"/>
  <c r="X2097" i="13"/>
  <c r="Y2096" i="13"/>
  <c r="X2098" i="13"/>
  <c r="Y2097" i="13"/>
  <c r="X2099" i="13"/>
  <c r="Y2098" i="13"/>
  <c r="Y2099" i="13"/>
  <c r="X2100" i="13"/>
  <c r="Y2100" i="13"/>
  <c r="X2101" i="13"/>
  <c r="X2102" i="13"/>
  <c r="Y2101" i="13"/>
  <c r="Y2102" i="13"/>
  <c r="X2103" i="13"/>
  <c r="X2104" i="13"/>
  <c r="Y2103" i="13"/>
  <c r="Y2104" i="13"/>
  <c r="X2105" i="13"/>
  <c r="Y2105" i="13"/>
  <c r="X2106" i="13"/>
  <c r="X2107" i="13"/>
  <c r="Y2106" i="13"/>
  <c r="X2108" i="13"/>
  <c r="Y2107" i="13"/>
  <c r="X2109" i="13"/>
  <c r="Y2108" i="13"/>
  <c r="X2110" i="13"/>
  <c r="Y2109" i="13"/>
  <c r="X2111" i="13"/>
  <c r="Y2110" i="13"/>
  <c r="X2112" i="13"/>
  <c r="Y2111" i="13"/>
  <c r="Y2112" i="13"/>
  <c r="X2113" i="13"/>
  <c r="X2114" i="13"/>
  <c r="Y2113" i="13"/>
  <c r="Y2114" i="13"/>
  <c r="X2115" i="13"/>
  <c r="Y2115" i="13"/>
  <c r="X2116" i="13"/>
  <c r="X2117" i="13"/>
  <c r="Y2116" i="13"/>
  <c r="Y2117" i="13"/>
  <c r="X2118" i="13"/>
  <c r="X2119" i="13"/>
  <c r="Y2118" i="13"/>
  <c r="Y2119" i="13"/>
  <c r="X2120" i="13"/>
  <c r="X2121" i="13"/>
  <c r="Y2120" i="13"/>
  <c r="Y2121" i="13"/>
  <c r="X2122" i="13"/>
  <c r="X2123" i="13"/>
  <c r="Y2122" i="13"/>
  <c r="X2124" i="13"/>
  <c r="Y2123" i="13"/>
  <c r="X2125" i="13"/>
  <c r="Y2124" i="13"/>
  <c r="X2126" i="13"/>
  <c r="Y2125" i="13"/>
  <c r="Y2126" i="13"/>
  <c r="X2127" i="13"/>
  <c r="Y2127" i="13"/>
  <c r="X2128" i="13"/>
  <c r="X2129" i="13"/>
  <c r="Y2128" i="13"/>
  <c r="X2130" i="13"/>
  <c r="Y2129" i="13"/>
  <c r="X2131" i="13"/>
  <c r="Y2130" i="13"/>
  <c r="Y2131" i="13"/>
  <c r="X2132" i="13"/>
  <c r="Y2132" i="13"/>
  <c r="X2133" i="13"/>
  <c r="Y2133" i="13"/>
  <c r="X2134" i="13"/>
  <c r="Y2134" i="13"/>
  <c r="X2135" i="13"/>
  <c r="X2136" i="13"/>
  <c r="Y2135" i="13"/>
  <c r="X2137" i="13"/>
  <c r="Y2136" i="13"/>
  <c r="Y2137" i="13"/>
  <c r="X2138" i="13"/>
  <c r="Y2138" i="13"/>
  <c r="X2139" i="13"/>
  <c r="Y2139" i="13"/>
  <c r="X2140" i="13"/>
  <c r="Y2140" i="13"/>
  <c r="X2141" i="13"/>
  <c r="X2142" i="13"/>
  <c r="Y2141" i="13"/>
  <c r="X2143" i="13"/>
  <c r="Y2142" i="13"/>
  <c r="Y2143" i="13"/>
  <c r="X2144" i="13"/>
  <c r="Y2144" i="13"/>
  <c r="X2145" i="13"/>
  <c r="X2146" i="13"/>
  <c r="Y2145" i="13"/>
  <c r="X2147" i="13"/>
  <c r="Y2146" i="13"/>
  <c r="Y2147" i="13"/>
  <c r="X2148" i="13"/>
  <c r="Y2148" i="13"/>
  <c r="X2149" i="13"/>
  <c r="Y2149" i="13"/>
  <c r="X2150" i="13"/>
  <c r="Y2150" i="13"/>
  <c r="X2151" i="13"/>
  <c r="X2152" i="13"/>
  <c r="Y2151" i="13"/>
  <c r="X2153" i="13"/>
  <c r="Y2152" i="13"/>
  <c r="X2154" i="13"/>
  <c r="Y2153" i="13"/>
  <c r="X2155" i="13"/>
  <c r="Y2154" i="13"/>
  <c r="Y2155" i="13"/>
  <c r="X2156" i="13"/>
  <c r="Y2156" i="13"/>
  <c r="X2157" i="13"/>
  <c r="X2158" i="13"/>
  <c r="Y2157" i="13"/>
  <c r="X2159" i="13"/>
  <c r="Y2158" i="13"/>
  <c r="X2160" i="13"/>
  <c r="Y2159" i="13"/>
  <c r="Y2160" i="13"/>
  <c r="X2161" i="13"/>
  <c r="X2162" i="13"/>
  <c r="Y2161" i="13"/>
  <c r="Y2162" i="13"/>
  <c r="X2163" i="13"/>
  <c r="Y2163" i="13"/>
  <c r="X2164" i="13"/>
  <c r="X2165" i="13"/>
  <c r="Y2164" i="13"/>
  <c r="Y2165" i="13"/>
  <c r="X2166" i="13"/>
  <c r="X2167" i="13"/>
  <c r="Y2166" i="13"/>
  <c r="Y2167" i="13"/>
  <c r="X2168" i="13"/>
  <c r="X2169" i="13"/>
  <c r="Y2168" i="13"/>
  <c r="X2170" i="13"/>
  <c r="Y2169" i="13"/>
  <c r="Y2170" i="13"/>
  <c r="X2171" i="13"/>
  <c r="X2172" i="13"/>
  <c r="Y2171" i="13"/>
  <c r="X2173" i="13"/>
  <c r="Y2172" i="13"/>
  <c r="Y2173" i="13"/>
  <c r="X2174" i="13"/>
  <c r="X2175" i="13"/>
  <c r="Y2174" i="13"/>
  <c r="X2176" i="13"/>
  <c r="Y2175" i="13"/>
  <c r="X2177" i="13"/>
  <c r="Y2176" i="13"/>
  <c r="Y2177" i="13"/>
  <c r="X2178" i="13"/>
  <c r="X2179" i="13"/>
  <c r="Y2178" i="13"/>
  <c r="Y2179" i="13"/>
  <c r="X2180" i="13"/>
  <c r="X2181" i="13"/>
  <c r="Y2180" i="13"/>
  <c r="X2182" i="13"/>
  <c r="Y2181" i="13"/>
  <c r="X2183" i="13"/>
  <c r="Y2182" i="13"/>
  <c r="Y2183" i="13"/>
  <c r="X2184" i="13"/>
  <c r="Y2184" i="13"/>
  <c r="X2185" i="13"/>
  <c r="Y2185" i="13"/>
  <c r="X2186" i="13"/>
  <c r="X2187" i="13"/>
  <c r="Y2186" i="13"/>
  <c r="X2188" i="13"/>
  <c r="Y2187" i="13"/>
  <c r="Y2188" i="13"/>
  <c r="X2189" i="13"/>
  <c r="Y2189" i="13"/>
  <c r="X2190" i="13"/>
  <c r="X2191" i="13"/>
  <c r="Y2190" i="13"/>
  <c r="X2192" i="13"/>
  <c r="Y2191" i="13"/>
  <c r="Y2192" i="13"/>
  <c r="X2193" i="13"/>
  <c r="Y2193" i="13"/>
  <c r="X2194" i="13"/>
  <c r="X2195" i="13"/>
  <c r="Y2194" i="13"/>
  <c r="Y2195" i="13"/>
  <c r="X2196" i="13"/>
  <c r="X2197" i="13"/>
  <c r="Y2196" i="13"/>
  <c r="X2198" i="13"/>
  <c r="Y2197" i="13"/>
  <c r="Y2198" i="13"/>
  <c r="X2199" i="13"/>
  <c r="X2200" i="13"/>
  <c r="Y2199" i="13"/>
  <c r="Y2200" i="13"/>
  <c r="X2201" i="13"/>
  <c r="Y2201" i="13"/>
  <c r="X2202" i="13"/>
  <c r="X2203" i="13"/>
  <c r="Y2202" i="13"/>
  <c r="X2204" i="13"/>
  <c r="Y2203" i="13"/>
  <c r="X2205" i="13"/>
  <c r="Y2204" i="13"/>
  <c r="Y2205" i="13"/>
  <c r="X2206" i="13"/>
  <c r="Y2206" i="13"/>
  <c r="X2207" i="13"/>
  <c r="X2208" i="13"/>
  <c r="Y2207" i="13"/>
  <c r="X2209" i="13"/>
  <c r="Y2208" i="13"/>
  <c r="X2210" i="13"/>
  <c r="Y2209" i="13"/>
  <c r="Y2210" i="13"/>
  <c r="X2211" i="13"/>
  <c r="Y2211" i="13"/>
  <c r="X2212" i="13"/>
  <c r="Y2212" i="13"/>
  <c r="X2213" i="13"/>
  <c r="X2214" i="13"/>
  <c r="Y2213" i="13"/>
  <c r="X2215" i="13"/>
  <c r="Y2214" i="13"/>
  <c r="X2216" i="13"/>
  <c r="Y2215" i="13"/>
  <c r="Y2216" i="13"/>
  <c r="X2217" i="13"/>
  <c r="Y2217" i="13"/>
  <c r="X2218" i="13"/>
  <c r="Y2218" i="13"/>
  <c r="X2219" i="13"/>
  <c r="Y2219" i="13"/>
  <c r="X2220" i="13"/>
  <c r="Y2220" i="13"/>
  <c r="X2221" i="13"/>
  <c r="X2222" i="13"/>
  <c r="Y2221" i="13"/>
  <c r="X2223" i="13"/>
  <c r="Y2222" i="13"/>
  <c r="Y2223" i="13"/>
  <c r="X2224" i="13"/>
  <c r="X2225" i="13"/>
  <c r="Y2224" i="13"/>
  <c r="Y2225" i="13"/>
  <c r="X2226" i="13"/>
  <c r="X2227" i="13"/>
  <c r="Y2226" i="13"/>
  <c r="Y2227" i="13"/>
  <c r="X2228" i="13"/>
  <c r="X2229" i="13"/>
  <c r="Y2228" i="13"/>
  <c r="Y2229" i="13"/>
  <c r="X2230" i="13"/>
  <c r="Y2230" i="13"/>
  <c r="X2231" i="13"/>
  <c r="Y2231" i="13"/>
  <c r="X2232" i="13"/>
  <c r="Y2232" i="13"/>
  <c r="X2233" i="13"/>
  <c r="X2234" i="13"/>
  <c r="Y2233" i="13"/>
  <c r="X2235" i="13"/>
  <c r="Y2234" i="13"/>
  <c r="X2236" i="13"/>
  <c r="Y2235" i="13"/>
  <c r="Y2236" i="13"/>
  <c r="X2237" i="13"/>
  <c r="Y2237" i="13"/>
  <c r="X2238" i="13"/>
  <c r="X2239" i="13"/>
  <c r="Y2238" i="13"/>
  <c r="X2240" i="13"/>
  <c r="Y2239" i="13"/>
  <c r="Y2240" i="13"/>
  <c r="X2241" i="13"/>
  <c r="X2242" i="13"/>
  <c r="Y2241" i="13"/>
  <c r="X2243" i="13"/>
  <c r="Y2242" i="13"/>
  <c r="X2244" i="13"/>
  <c r="Y2243" i="13"/>
  <c r="X2245" i="13"/>
  <c r="Y2244" i="13"/>
  <c r="X2246" i="13"/>
  <c r="Y2245" i="13"/>
  <c r="X2247" i="13"/>
  <c r="Y2246" i="13"/>
  <c r="X2248" i="13"/>
  <c r="Y2247" i="13"/>
  <c r="X2249" i="13"/>
  <c r="Y2248" i="13"/>
  <c r="Y2249" i="13"/>
  <c r="X2250" i="13"/>
  <c r="X2251" i="13"/>
  <c r="Y2250" i="13"/>
  <c r="Y2251" i="13"/>
  <c r="X2252" i="13"/>
  <c r="X2253" i="13"/>
  <c r="Y2252" i="13"/>
  <c r="Y2253" i="13"/>
  <c r="X2254" i="13"/>
  <c r="X2255" i="13"/>
  <c r="Y2254" i="13"/>
  <c r="X2256" i="13"/>
  <c r="Y2255" i="13"/>
  <c r="X2257" i="13"/>
  <c r="Y2256" i="13"/>
  <c r="Y2257" i="13"/>
  <c r="X2258" i="13"/>
  <c r="X2259" i="13"/>
  <c r="Y2258" i="13"/>
  <c r="Y2259" i="13"/>
  <c r="X2260" i="13"/>
  <c r="X2261" i="13"/>
  <c r="Y2260" i="13"/>
  <c r="X2262" i="13"/>
  <c r="Y2261" i="13"/>
  <c r="X2263" i="13"/>
  <c r="Y2262" i="13"/>
  <c r="Y2263" i="13"/>
  <c r="X2264" i="13"/>
  <c r="X2265" i="13"/>
  <c r="Y2264" i="13"/>
  <c r="X2266" i="13"/>
  <c r="Y2265" i="13"/>
  <c r="X2267" i="13"/>
  <c r="Y2266" i="13"/>
  <c r="X2268" i="13"/>
  <c r="Y2267" i="13"/>
  <c r="Y2268" i="13"/>
  <c r="X2269" i="13"/>
  <c r="Y2269" i="13"/>
  <c r="X2270" i="13"/>
  <c r="Y2270" i="13"/>
  <c r="X2271" i="13"/>
  <c r="Y2271" i="13"/>
  <c r="X2272" i="13"/>
  <c r="X2273" i="13"/>
  <c r="Y2272" i="13"/>
  <c r="X2274" i="13"/>
  <c r="Y2273" i="13"/>
  <c r="X2275" i="13"/>
  <c r="Y2274" i="13"/>
  <c r="Y2275" i="13"/>
  <c r="X2276" i="13"/>
  <c r="X2277" i="13"/>
  <c r="Y2276" i="13"/>
  <c r="X2278" i="13"/>
  <c r="Y2277" i="13"/>
  <c r="Y2278" i="13"/>
  <c r="X2279" i="13"/>
  <c r="X2280" i="13"/>
  <c r="Y2279" i="13"/>
  <c r="X2281" i="13"/>
  <c r="Y2280" i="13"/>
  <c r="Y2281" i="13"/>
  <c r="X2282" i="13"/>
  <c r="Y2282" i="13"/>
  <c r="X2283" i="13"/>
  <c r="Y2283" i="13"/>
  <c r="X2284" i="13"/>
  <c r="Y2284" i="13"/>
  <c r="X2285" i="13"/>
  <c r="X2286" i="13"/>
  <c r="Y2285" i="13"/>
  <c r="X2287" i="13"/>
  <c r="Y2286" i="13"/>
  <c r="X2288" i="13"/>
  <c r="Y2287" i="13"/>
  <c r="X2289" i="13"/>
  <c r="Y2288" i="13"/>
  <c r="Y2289" i="13"/>
  <c r="X2290" i="13"/>
  <c r="Y2290" i="13"/>
  <c r="X2291" i="13"/>
  <c r="Y2291" i="13"/>
  <c r="X2292" i="13"/>
  <c r="X2293" i="13"/>
  <c r="Y2292" i="13"/>
  <c r="Y2293" i="13"/>
  <c r="X2294" i="13"/>
  <c r="X2295" i="13"/>
  <c r="Y2294" i="13"/>
  <c r="X2296" i="13"/>
  <c r="Y2295" i="13"/>
  <c r="X2297" i="13"/>
  <c r="Y2296" i="13"/>
  <c r="X2298" i="13"/>
  <c r="Y2297" i="13"/>
  <c r="Y2298" i="13"/>
  <c r="X2299" i="13"/>
  <c r="X2300" i="13"/>
  <c r="Y2299" i="13"/>
  <c r="Y2300" i="13"/>
  <c r="X2301" i="13"/>
  <c r="Y2301" i="13"/>
  <c r="X2302" i="13"/>
  <c r="X2303" i="13"/>
  <c r="Y2302" i="13"/>
  <c r="X2304" i="13"/>
  <c r="Y2303" i="13"/>
  <c r="X2305" i="13"/>
  <c r="Y2304" i="13"/>
  <c r="X2306" i="13"/>
  <c r="Y2305" i="13"/>
  <c r="Y2306" i="13"/>
  <c r="X2307" i="13"/>
  <c r="Y2307" i="13"/>
  <c r="X2308" i="13"/>
  <c r="X2309" i="13"/>
  <c r="Y2308" i="13"/>
  <c r="X2310" i="13"/>
  <c r="Y2309" i="13"/>
  <c r="X2311" i="13"/>
  <c r="Y2310" i="13"/>
  <c r="X2312" i="13"/>
  <c r="Y2311" i="13"/>
  <c r="Y2312" i="13"/>
  <c r="X2313" i="13"/>
  <c r="Y2313" i="13"/>
  <c r="X2314" i="13"/>
  <c r="Y2314" i="13"/>
  <c r="X2315" i="13"/>
  <c r="X2316" i="13"/>
  <c r="Y2315" i="13"/>
  <c r="X2317" i="13"/>
  <c r="Y2316" i="13"/>
  <c r="Y2317" i="13"/>
  <c r="X2318" i="13"/>
  <c r="Y2318" i="13"/>
  <c r="X2319" i="13"/>
  <c r="X2320" i="13"/>
  <c r="Y2319" i="13"/>
  <c r="Y2320" i="13"/>
  <c r="X2321" i="13"/>
  <c r="Y2321" i="13"/>
  <c r="X2322" i="13"/>
  <c r="Y2322" i="13"/>
  <c r="X2323" i="13"/>
  <c r="X2324" i="13"/>
  <c r="Y2323" i="13"/>
  <c r="X2325" i="13"/>
  <c r="Y2324" i="13"/>
  <c r="Y2325" i="13"/>
  <c r="X2326" i="13"/>
  <c r="X2327" i="13"/>
  <c r="Y2326" i="13"/>
  <c r="X2328" i="13"/>
  <c r="Y2327" i="13"/>
  <c r="Y2328" i="13"/>
  <c r="X2329" i="13"/>
  <c r="X2330" i="13"/>
  <c r="Y2329" i="13"/>
  <c r="Y2330" i="13"/>
  <c r="X2331" i="13"/>
  <c r="Y2331" i="13"/>
  <c r="X2332" i="13"/>
  <c r="X2333" i="13"/>
  <c r="Y2332" i="13"/>
  <c r="Y2333" i="13"/>
  <c r="X2334" i="13"/>
  <c r="Y2334" i="13"/>
  <c r="X2335" i="13"/>
  <c r="Y2335" i="13"/>
  <c r="X2336" i="13"/>
  <c r="X2337" i="13"/>
  <c r="Y2336" i="13"/>
  <c r="X2338" i="13"/>
  <c r="Y2337" i="13"/>
  <c r="Y2338" i="13"/>
  <c r="X2339" i="13"/>
  <c r="X2340" i="13"/>
  <c r="Y2339" i="13"/>
  <c r="Y2340" i="13"/>
  <c r="X2341" i="13"/>
  <c r="Y2341" i="13"/>
  <c r="X2342" i="13"/>
  <c r="Y2342" i="13"/>
  <c r="X2343" i="13"/>
  <c r="Y2343" i="13"/>
  <c r="X2344" i="13"/>
  <c r="X2345" i="13"/>
  <c r="Y2344" i="13"/>
  <c r="X2346" i="13"/>
  <c r="Y2345" i="13"/>
  <c r="Y2346" i="13"/>
  <c r="X2347" i="13"/>
  <c r="X2348" i="13"/>
  <c r="Y2347" i="13"/>
  <c r="X2349" i="13"/>
  <c r="Y2348" i="13"/>
  <c r="X2350" i="13"/>
  <c r="Y2349" i="13"/>
  <c r="X2351" i="13"/>
  <c r="Y2350" i="13"/>
  <c r="Y2351" i="13"/>
  <c r="X2352" i="13"/>
  <c r="Y2352" i="13"/>
  <c r="X2353" i="13"/>
  <c r="Y2353" i="13"/>
  <c r="X2354" i="13"/>
  <c r="X2355" i="13"/>
  <c r="Y2354" i="13"/>
  <c r="Y2355" i="13"/>
  <c r="X2356" i="13"/>
  <c r="X2357" i="13"/>
  <c r="Y2356" i="13"/>
  <c r="Y2357" i="13"/>
  <c r="X2358" i="13"/>
  <c r="Y2358" i="13"/>
  <c r="X2359" i="13"/>
  <c r="Y2359" i="13"/>
  <c r="X2360" i="13"/>
  <c r="Y2360" i="13"/>
  <c r="X2361" i="13"/>
  <c r="Y2361" i="13"/>
  <c r="X2362" i="13"/>
  <c r="Y2362" i="13"/>
  <c r="X2363" i="13"/>
  <c r="X2364" i="13"/>
  <c r="Y2363" i="13"/>
  <c r="X2365" i="13"/>
  <c r="Y2364" i="13"/>
  <c r="X2366" i="13"/>
  <c r="Y2365" i="13"/>
  <c r="Y2366" i="13"/>
  <c r="X2367" i="13"/>
  <c r="X2368" i="13"/>
  <c r="Y2367" i="13"/>
  <c r="X2369" i="13"/>
  <c r="Y2368" i="13"/>
  <c r="Y2369" i="13"/>
  <c r="X2370" i="13"/>
  <c r="Y2370" i="13"/>
  <c r="X2371" i="13"/>
  <c r="Y2371" i="13"/>
  <c r="X2372" i="13"/>
  <c r="X2373" i="13"/>
  <c r="Y2372" i="13"/>
  <c r="Y2373" i="13"/>
  <c r="X2374" i="13"/>
  <c r="X2375" i="13"/>
  <c r="Y2374" i="13"/>
  <c r="Y2375" i="13"/>
  <c r="X2376" i="13"/>
  <c r="Y2376" i="13"/>
  <c r="X2377" i="13"/>
  <c r="Y2377" i="13"/>
  <c r="X2378" i="13"/>
  <c r="X2379" i="13"/>
  <c r="Y2378" i="13"/>
  <c r="X2380" i="13"/>
  <c r="Y2379" i="13"/>
  <c r="X2381" i="13"/>
  <c r="Y2380" i="13"/>
  <c r="Y2381" i="13"/>
  <c r="X2382" i="13"/>
  <c r="Y2382" i="13"/>
  <c r="X2383" i="13"/>
  <c r="Y2383" i="13"/>
  <c r="X2384" i="13"/>
  <c r="Y2384" i="13"/>
  <c r="X2385" i="13"/>
  <c r="Y2385" i="13"/>
  <c r="X2386" i="13"/>
  <c r="Y2386" i="13"/>
  <c r="X2387" i="13"/>
  <c r="Y2387" i="13"/>
  <c r="X2388" i="13"/>
  <c r="Y2388" i="13"/>
  <c r="X2389" i="13"/>
  <c r="X2390" i="13"/>
  <c r="Y2389" i="13"/>
  <c r="X2391" i="13"/>
  <c r="Y2390" i="13"/>
  <c r="Y2391" i="13"/>
  <c r="X2392" i="13"/>
  <c r="Y2392" i="13"/>
  <c r="X2393" i="13"/>
  <c r="Y2393" i="13"/>
  <c r="X2394" i="13"/>
  <c r="Y2394" i="13"/>
  <c r="X2395" i="13"/>
  <c r="X2396" i="13"/>
  <c r="Y2395" i="13"/>
  <c r="X2397" i="13"/>
  <c r="Y2396" i="13"/>
  <c r="Y2397" i="13"/>
  <c r="X2398" i="13"/>
  <c r="Y2398" i="13"/>
  <c r="X2399" i="13"/>
  <c r="Y2399" i="13"/>
  <c r="X2400" i="13"/>
  <c r="Y2400" i="13"/>
  <c r="X2401" i="13"/>
  <c r="Y2401" i="13"/>
  <c r="X2402" i="13"/>
  <c r="X2403" i="13"/>
  <c r="Y2402" i="13"/>
  <c r="X2404" i="13"/>
  <c r="Y2403" i="13"/>
  <c r="X2405" i="13"/>
  <c r="Y2404" i="13"/>
  <c r="Y2405" i="13"/>
  <c r="X2406" i="13"/>
  <c r="X2407" i="13"/>
  <c r="Y2406" i="13"/>
  <c r="X2408" i="13"/>
  <c r="Y2407" i="13"/>
  <c r="X2409" i="13"/>
  <c r="Y2408" i="13"/>
  <c r="X2410" i="13"/>
  <c r="Y2409" i="13"/>
  <c r="X2411" i="13"/>
  <c r="Y2410" i="13"/>
  <c r="X2412" i="13"/>
  <c r="Y2411" i="13"/>
  <c r="Y2412" i="13"/>
  <c r="X2413" i="13"/>
  <c r="X2414" i="13"/>
  <c r="Y2413" i="13"/>
  <c r="X2415" i="13"/>
  <c r="Y2414" i="13"/>
  <c r="X2416" i="13"/>
  <c r="Y2415" i="13"/>
  <c r="X2417" i="13"/>
  <c r="Y2416" i="13"/>
  <c r="X2418" i="13"/>
  <c r="Y2417" i="13"/>
  <c r="X2419" i="13"/>
  <c r="Y2418" i="13"/>
  <c r="Y2419" i="13"/>
  <c r="X2420" i="13"/>
  <c r="X2421" i="13"/>
  <c r="Y2420" i="13"/>
  <c r="X2422" i="13"/>
  <c r="Y2421" i="13"/>
  <c r="Y2422" i="13"/>
  <c r="X2423" i="13"/>
  <c r="Y2423" i="13"/>
  <c r="X2424" i="13"/>
  <c r="X2425" i="13"/>
  <c r="Y2424" i="13"/>
  <c r="X2426" i="13"/>
  <c r="Y2425" i="13"/>
  <c r="X2427" i="13"/>
  <c r="Y2426" i="13"/>
  <c r="X2428" i="13"/>
  <c r="Y2427" i="13"/>
  <c r="X2429" i="13"/>
  <c r="Y2428" i="13"/>
  <c r="X2430" i="13"/>
  <c r="Y2429" i="13"/>
  <c r="Y2430" i="13"/>
  <c r="X2431" i="13"/>
  <c r="X2432" i="13"/>
  <c r="Y2431" i="13"/>
  <c r="Y2432" i="13"/>
  <c r="X2433" i="13"/>
  <c r="Y2433" i="13"/>
  <c r="X2434" i="13"/>
  <c r="X2435" i="13"/>
  <c r="Y2434" i="13"/>
  <c r="Y2435" i="13"/>
  <c r="X2436" i="13"/>
  <c r="X2437" i="13"/>
  <c r="Y2436" i="13"/>
  <c r="X2438" i="13"/>
  <c r="Y2437" i="13"/>
  <c r="Y2438" i="13"/>
  <c r="X2439" i="13"/>
  <c r="X2440" i="13"/>
  <c r="Y2439" i="13"/>
  <c r="X2441" i="13"/>
  <c r="Y2440" i="13"/>
  <c r="X2442" i="13"/>
  <c r="Y2441" i="13"/>
  <c r="Y2442" i="13"/>
  <c r="X2443" i="13"/>
  <c r="X2444" i="13"/>
  <c r="Y2443" i="13"/>
  <c r="Y2444" i="13"/>
  <c r="X2445" i="13"/>
  <c r="X2446" i="13"/>
  <c r="Y2445" i="13"/>
  <c r="Y2446" i="13"/>
  <c r="X2447" i="13"/>
  <c r="X2448" i="13"/>
  <c r="Y2447" i="13"/>
  <c r="X2449" i="13"/>
  <c r="Y2448" i="13"/>
  <c r="X2450" i="13"/>
  <c r="Y2449" i="13"/>
  <c r="Y2450" i="13"/>
  <c r="X2451" i="13"/>
  <c r="Y2451" i="13"/>
  <c r="X2452" i="13"/>
  <c r="X2453" i="13"/>
  <c r="Y2452" i="13"/>
  <c r="X2454" i="13"/>
  <c r="Y2453" i="13"/>
  <c r="Y2454" i="13"/>
  <c r="X2455" i="13"/>
  <c r="Y2455" i="13"/>
  <c r="X2456" i="13"/>
  <c r="Y2456" i="13"/>
  <c r="X2457" i="13"/>
  <c r="Y2457" i="13"/>
  <c r="X2458" i="13"/>
  <c r="Y2458" i="13"/>
  <c r="X2459" i="13"/>
  <c r="Y2459" i="13"/>
  <c r="X2460" i="13"/>
  <c r="X2461" i="13"/>
  <c r="Y2460" i="13"/>
  <c r="Y2461" i="13"/>
  <c r="X2462" i="13"/>
  <c r="Y2462" i="13"/>
  <c r="X2463" i="13"/>
  <c r="Y2463" i="13"/>
  <c r="X2464" i="13"/>
  <c r="X2465" i="13"/>
  <c r="Y2464" i="13"/>
  <c r="X2466" i="13"/>
  <c r="Y2465" i="13"/>
  <c r="Y2466" i="13"/>
  <c r="X2467" i="13"/>
  <c r="X2468" i="13"/>
  <c r="Y2467" i="13"/>
  <c r="X2469" i="13"/>
  <c r="Y2468" i="13"/>
  <c r="Y2469" i="13"/>
  <c r="X2470" i="13"/>
  <c r="Y2470" i="13"/>
  <c r="X2471" i="13"/>
  <c r="X2472" i="13"/>
  <c r="Y2471" i="13"/>
  <c r="Y2472" i="13"/>
  <c r="X2473" i="13"/>
  <c r="Y2473" i="13"/>
  <c r="X2474" i="13"/>
  <c r="X2475" i="13"/>
  <c r="Y2474" i="13"/>
  <c r="X2476" i="13"/>
  <c r="Y2475" i="13"/>
  <c r="X2477" i="13"/>
  <c r="Y2476" i="13"/>
  <c r="X2478" i="13"/>
  <c r="Y2477" i="13"/>
  <c r="Y2478" i="13"/>
  <c r="X2479" i="13"/>
  <c r="X2480" i="13"/>
  <c r="Y2479" i="13"/>
  <c r="X2481" i="13"/>
  <c r="Y2480" i="13"/>
  <c r="Y2481" i="13"/>
  <c r="X2482" i="13"/>
  <c r="X2483" i="13"/>
  <c r="Y2482" i="13"/>
  <c r="X2484" i="13"/>
  <c r="Y2483" i="13"/>
  <c r="X2485" i="13"/>
  <c r="Y2484" i="13"/>
  <c r="Y2485" i="13"/>
  <c r="X2486" i="13"/>
  <c r="X2487" i="13"/>
  <c r="Y2486" i="13"/>
  <c r="Y2487" i="13"/>
  <c r="X2488" i="13"/>
  <c r="Y2488" i="13"/>
  <c r="X2489" i="13"/>
  <c r="X2490" i="13"/>
  <c r="Y2489" i="13"/>
  <c r="Y2490" i="13"/>
  <c r="X2491" i="13"/>
  <c r="X2492" i="13"/>
  <c r="Y2491" i="13"/>
  <c r="X2493" i="13"/>
  <c r="Y2492" i="13"/>
  <c r="X2494" i="13"/>
  <c r="Y2493" i="13"/>
  <c r="Y2494" i="13"/>
  <c r="X2495" i="13"/>
  <c r="Y2495" i="13"/>
  <c r="X2496" i="13"/>
  <c r="Y2496" i="13"/>
  <c r="X2497" i="13"/>
  <c r="X2498" i="13"/>
  <c r="Y2497" i="13"/>
  <c r="X2499" i="13"/>
  <c r="Y2498" i="13"/>
  <c r="Y2499" i="13"/>
  <c r="X2500" i="13"/>
  <c r="X2501" i="13"/>
  <c r="Y2500" i="13"/>
  <c r="Y2501" i="13"/>
  <c r="X2502" i="13"/>
  <c r="X2503" i="13"/>
  <c r="Y2502" i="13"/>
  <c r="Y2503" i="13"/>
  <c r="X2504" i="13"/>
  <c r="X2505" i="13"/>
  <c r="Y2504" i="13"/>
  <c r="Y2505" i="13"/>
  <c r="X2506" i="13"/>
  <c r="Y2506" i="13"/>
  <c r="X2507" i="13"/>
  <c r="Y2507" i="13"/>
  <c r="X2508" i="13"/>
  <c r="X2509" i="13"/>
  <c r="Y2508" i="13"/>
  <c r="Y2509" i="13"/>
  <c r="X2510" i="13"/>
  <c r="X2511" i="13"/>
  <c r="Y2510" i="13"/>
  <c r="Y2511" i="13"/>
  <c r="X2512" i="13"/>
  <c r="X2513" i="13"/>
  <c r="Y2512" i="13"/>
  <c r="Y2513" i="13"/>
  <c r="X2514" i="13"/>
  <c r="Y2514" i="13"/>
  <c r="X2515" i="13"/>
  <c r="Y2515" i="13"/>
  <c r="X2516" i="13"/>
  <c r="X2517" i="13"/>
  <c r="Y2516" i="13"/>
  <c r="Y2517" i="13"/>
  <c r="X2518" i="13"/>
  <c r="X2519" i="13"/>
  <c r="Y2518" i="13"/>
  <c r="X2520" i="13"/>
  <c r="Y2519" i="13"/>
  <c r="X2521" i="13"/>
  <c r="Y2520" i="13"/>
  <c r="Y2521" i="13"/>
  <c r="X2522" i="13"/>
  <c r="X2523" i="13"/>
  <c r="Y2522" i="13"/>
  <c r="Y2523" i="13"/>
  <c r="X2524" i="13"/>
  <c r="X2525" i="13"/>
  <c r="Y2524" i="13"/>
  <c r="Y2525" i="13"/>
  <c r="X2526" i="13"/>
  <c r="X2527" i="13"/>
  <c r="Y2526" i="13"/>
  <c r="X2528" i="13"/>
  <c r="Y2527" i="13"/>
  <c r="X2529" i="13"/>
  <c r="Y2528" i="13"/>
  <c r="X2530" i="13"/>
  <c r="Y2529" i="13"/>
  <c r="X2531" i="13"/>
  <c r="Y2530" i="13"/>
  <c r="X2532" i="13"/>
  <c r="Y2531" i="13"/>
  <c r="X2533" i="13"/>
  <c r="Y2532" i="13"/>
  <c r="X2534" i="13"/>
  <c r="Y2533" i="13"/>
  <c r="X2535" i="13"/>
  <c r="Y2534" i="13"/>
  <c r="Y2535" i="13"/>
  <c r="X2536" i="13"/>
  <c r="Y2536" i="13"/>
  <c r="X2537" i="13"/>
  <c r="X2538" i="13"/>
  <c r="Y2537" i="13"/>
  <c r="X2539" i="13"/>
  <c r="Y2538" i="13"/>
  <c r="X2540" i="13"/>
  <c r="Y2539" i="13"/>
  <c r="Y2540" i="13"/>
  <c r="X2541" i="13"/>
  <c r="X2542" i="13"/>
  <c r="Y2541" i="13"/>
  <c r="Y2542" i="13"/>
  <c r="X2543" i="13"/>
  <c r="X2544" i="13"/>
  <c r="Y2543" i="13"/>
  <c r="X2545" i="13"/>
  <c r="Y2544" i="13"/>
  <c r="Y2545" i="13"/>
  <c r="X2546" i="13"/>
  <c r="Y2546" i="13"/>
  <c r="X2547" i="13"/>
  <c r="Y2547" i="13"/>
  <c r="X2548" i="13"/>
  <c r="X2549" i="13"/>
  <c r="Y2548" i="13"/>
  <c r="X2550" i="13"/>
  <c r="Y2549" i="13"/>
  <c r="Y2550" i="13"/>
  <c r="X2551" i="13"/>
  <c r="X2552" i="13"/>
  <c r="Y2551" i="13"/>
  <c r="X2553" i="13"/>
  <c r="Y2552" i="13"/>
  <c r="X2554" i="13"/>
  <c r="Y2553" i="13"/>
  <c r="X2555" i="13"/>
  <c r="Y2554" i="13"/>
  <c r="Y2555" i="13"/>
  <c r="X2556" i="13"/>
  <c r="Y2556" i="13"/>
  <c r="X2557" i="13"/>
  <c r="X2558" i="13"/>
  <c r="Y2557" i="13"/>
  <c r="X2559" i="13"/>
  <c r="Y2558" i="13"/>
  <c r="X2560" i="13"/>
  <c r="Y2559" i="13"/>
  <c r="Y2560" i="13"/>
  <c r="X2561" i="13"/>
  <c r="Y2561" i="13"/>
  <c r="X2562" i="13"/>
  <c r="X2563" i="13"/>
  <c r="Y2562" i="13"/>
  <c r="X2564" i="13"/>
  <c r="Y2563" i="13"/>
  <c r="X2565" i="13"/>
  <c r="Y2564" i="13"/>
  <c r="Y2565" i="13"/>
  <c r="X2566" i="13"/>
  <c r="Y2566" i="13"/>
  <c r="X2567" i="13"/>
  <c r="X2568" i="13"/>
  <c r="Y2567" i="13"/>
  <c r="X2569" i="13"/>
  <c r="Y2568" i="13"/>
  <c r="Y2569" i="13"/>
  <c r="X2570" i="13"/>
  <c r="Y2570" i="13"/>
  <c r="X2571" i="13"/>
  <c r="X2572" i="13"/>
  <c r="Y2571" i="13"/>
  <c r="X2573" i="13"/>
  <c r="Y2572" i="13"/>
  <c r="Y2573" i="13"/>
  <c r="X2574" i="13"/>
  <c r="X2575" i="13"/>
  <c r="Y2574" i="13"/>
  <c r="Y2575" i="13"/>
  <c r="X2576" i="13"/>
  <c r="X2577" i="13"/>
  <c r="Y2576" i="13"/>
  <c r="Y2577" i="13"/>
  <c r="X2578" i="13"/>
  <c r="X2579" i="13"/>
  <c r="Y2578" i="13"/>
  <c r="X2580" i="13"/>
  <c r="Y2579" i="13"/>
  <c r="X2581" i="13"/>
  <c r="Y2580" i="13"/>
  <c r="X2582" i="13"/>
  <c r="Y2581" i="13"/>
  <c r="Y2582" i="13"/>
  <c r="X2583" i="13"/>
  <c r="Y2583" i="13"/>
  <c r="X2584" i="13"/>
  <c r="X2585" i="13"/>
  <c r="Y2584" i="13"/>
  <c r="X2586" i="13"/>
  <c r="Y2585" i="13"/>
  <c r="Y2586" i="13"/>
  <c r="X2587" i="13"/>
  <c r="X2588" i="13"/>
  <c r="Y2587" i="13"/>
  <c r="Y2588" i="13"/>
  <c r="X2589" i="13"/>
  <c r="X2590" i="13"/>
  <c r="Y2589" i="13"/>
  <c r="X2591" i="13"/>
  <c r="Y2590" i="13"/>
  <c r="Y2591" i="13"/>
  <c r="X2592" i="13"/>
  <c r="Y2592" i="13"/>
  <c r="X2593" i="13"/>
  <c r="Y2593" i="13"/>
  <c r="X2594" i="13"/>
  <c r="X2595" i="13"/>
  <c r="Y2594" i="13"/>
  <c r="X2596" i="13"/>
  <c r="Y2595" i="13"/>
  <c r="Y2596" i="13"/>
  <c r="X2597" i="13"/>
  <c r="Y2597" i="13"/>
  <c r="X2598" i="13"/>
  <c r="X2599" i="13"/>
  <c r="Y2598" i="13"/>
  <c r="Y2599" i="13"/>
  <c r="X2600" i="13"/>
  <c r="Y2600" i="13"/>
  <c r="X2601" i="13"/>
  <c r="Y2601" i="13"/>
  <c r="X2602" i="13"/>
  <c r="Y2602" i="13"/>
  <c r="X2603" i="13"/>
  <c r="Y2603" i="13"/>
  <c r="X2604" i="13"/>
  <c r="X2605" i="13"/>
  <c r="Y2604" i="13"/>
  <c r="Y2605" i="13"/>
  <c r="X2606" i="13"/>
  <c r="Y2606" i="13"/>
  <c r="X2607" i="13"/>
  <c r="X2608" i="13"/>
  <c r="Y2607" i="13"/>
  <c r="Y2608" i="13"/>
  <c r="X2609" i="13"/>
  <c r="Y2609" i="13"/>
  <c r="X2610" i="13"/>
  <c r="X2611" i="13"/>
  <c r="Y2610" i="13"/>
  <c r="Y2611" i="13"/>
  <c r="X2612" i="13"/>
  <c r="Y2612" i="13"/>
  <c r="X2613" i="13"/>
  <c r="X2614" i="13"/>
  <c r="Y2613" i="13"/>
  <c r="Y2614" i="13"/>
  <c r="X2615" i="13"/>
  <c r="X2616" i="13"/>
  <c r="Y2615" i="13"/>
  <c r="Y2616" i="13"/>
  <c r="X2617" i="13"/>
  <c r="Y2617" i="13"/>
  <c r="X2618" i="13"/>
  <c r="Y2618" i="13"/>
  <c r="X2619" i="13"/>
  <c r="X2620" i="13"/>
  <c r="Y2619" i="13"/>
  <c r="Y2620" i="13"/>
  <c r="X2621" i="13"/>
  <c r="X2622" i="13"/>
  <c r="Y2621" i="13"/>
  <c r="X2623" i="13"/>
  <c r="Y2622" i="13"/>
  <c r="Y2623" i="13"/>
  <c r="X2624" i="13"/>
  <c r="X2625" i="13"/>
  <c r="Y2624" i="13"/>
  <c r="X2626" i="13"/>
  <c r="Y2625" i="13"/>
  <c r="Y2626" i="13"/>
  <c r="X2627" i="13"/>
  <c r="Y2627" i="13"/>
  <c r="X2628" i="13"/>
  <c r="Y2628" i="13"/>
  <c r="X2629" i="13"/>
  <c r="Y2629" i="13"/>
  <c r="X2630" i="13"/>
  <c r="X2631" i="13"/>
  <c r="Y2630" i="13"/>
  <c r="Y2631" i="13"/>
  <c r="X2632" i="13"/>
  <c r="Y2632" i="13"/>
  <c r="X2633" i="13"/>
  <c r="X2634" i="13"/>
  <c r="Y2633" i="13"/>
  <c r="X2635" i="13"/>
  <c r="Y2634" i="13"/>
  <c r="Y2635" i="13"/>
  <c r="X2636" i="13"/>
  <c r="Y2636" i="13"/>
  <c r="X2637" i="13"/>
  <c r="Y2637" i="13"/>
  <c r="X2638" i="13"/>
  <c r="X2639" i="13"/>
  <c r="Y2638" i="13"/>
  <c r="X2640" i="13"/>
  <c r="Y2639" i="13"/>
  <c r="X2641" i="13"/>
  <c r="Y2640" i="13"/>
  <c r="Y2641" i="13"/>
  <c r="X2642" i="13"/>
  <c r="Y2642" i="13"/>
  <c r="X2643" i="13"/>
  <c r="X2644" i="13"/>
  <c r="Y2643" i="13"/>
  <c r="Y2644" i="13"/>
  <c r="X2645" i="13"/>
  <c r="X2646" i="13"/>
  <c r="Y2645" i="13"/>
  <c r="X2647" i="13"/>
  <c r="Y2646" i="13"/>
  <c r="Y2647" i="13"/>
  <c r="X2648" i="13"/>
  <c r="X2649" i="13"/>
  <c r="Y2648" i="13"/>
  <c r="X2650" i="13"/>
  <c r="Y2649" i="13"/>
  <c r="Y2650" i="13"/>
  <c r="X2651" i="13"/>
  <c r="Y2651" i="13"/>
  <c r="X2652" i="13"/>
  <c r="X2653" i="13"/>
  <c r="Y2652" i="13"/>
  <c r="Y2653" i="13"/>
  <c r="X2654" i="13"/>
  <c r="Y2654" i="13"/>
  <c r="X2655" i="13"/>
  <c r="X2656" i="13"/>
  <c r="Y2655" i="13"/>
  <c r="X2657" i="13"/>
  <c r="Y2656" i="13"/>
  <c r="Y2657" i="13"/>
  <c r="X2658" i="13"/>
  <c r="X2659" i="13"/>
  <c r="Y2658" i="13"/>
  <c r="Y2659" i="13"/>
  <c r="X2660" i="13"/>
  <c r="X2661" i="13"/>
  <c r="Y2660" i="13"/>
  <c r="X2662" i="13"/>
  <c r="Y2661" i="13"/>
  <c r="X2663" i="13"/>
  <c r="Y2662" i="13"/>
  <c r="X2664" i="13"/>
  <c r="Y2663" i="13"/>
  <c r="X2665" i="13"/>
  <c r="Y2664" i="13"/>
  <c r="X2666" i="13"/>
  <c r="Y2665" i="13"/>
  <c r="X2667" i="13"/>
  <c r="Y2666" i="13"/>
  <c r="Y2667" i="13"/>
  <c r="X2668" i="13"/>
  <c r="X2669" i="13"/>
  <c r="Y2668" i="13"/>
  <c r="X2670" i="13"/>
  <c r="Y2669" i="13"/>
  <c r="X2671" i="13"/>
  <c r="Y2670" i="13"/>
  <c r="X2672" i="13"/>
  <c r="Y2671" i="13"/>
  <c r="Y2672" i="13"/>
  <c r="X2673" i="13"/>
  <c r="X2674" i="13"/>
  <c r="Y2673" i="13"/>
  <c r="Y2674" i="13"/>
  <c r="X2675" i="13"/>
  <c r="Y2675" i="13"/>
  <c r="X2676" i="13"/>
  <c r="Y2676" i="13"/>
  <c r="X2677" i="13"/>
  <c r="Y2677" i="13"/>
  <c r="X2678" i="13"/>
  <c r="Y2678" i="13"/>
  <c r="X2679" i="13"/>
  <c r="Y2679" i="13"/>
  <c r="X2680" i="13"/>
  <c r="Y2680" i="13"/>
  <c r="X2681" i="13"/>
  <c r="X2682" i="13"/>
  <c r="Y2681" i="13"/>
  <c r="Y2682" i="13"/>
  <c r="X2683" i="13"/>
  <c r="Y2683" i="13"/>
  <c r="X2684" i="13"/>
  <c r="X2685" i="13"/>
  <c r="Y2684" i="13"/>
  <c r="Y2685" i="13"/>
  <c r="X2686" i="13"/>
  <c r="Y2686" i="13"/>
  <c r="X2687" i="13"/>
  <c r="X2688" i="13"/>
  <c r="Y2687" i="13"/>
  <c r="X2689" i="13"/>
  <c r="Y2688" i="13"/>
  <c r="X2690" i="13"/>
  <c r="Y2689" i="13"/>
  <c r="Y2690" i="13"/>
  <c r="X2691" i="13"/>
  <c r="Y2691" i="13"/>
  <c r="X2692" i="13"/>
  <c r="X2693" i="13"/>
  <c r="Y2692" i="13"/>
  <c r="X2694" i="13"/>
  <c r="Y2693" i="13"/>
  <c r="X2695" i="13"/>
  <c r="Y2694" i="13"/>
  <c r="X2696" i="13"/>
  <c r="Y2695" i="13"/>
  <c r="X2697" i="13"/>
  <c r="Y2696" i="13"/>
  <c r="X2698" i="13"/>
  <c r="Y2697" i="13"/>
  <c r="Y2698" i="13"/>
  <c r="X2699" i="13"/>
  <c r="X2700" i="13"/>
  <c r="Y2699" i="13"/>
  <c r="X2701" i="13"/>
  <c r="Y2700" i="13"/>
  <c r="X2702" i="13"/>
  <c r="Y2701" i="13"/>
  <c r="Y2702" i="13"/>
  <c r="X2703" i="13"/>
  <c r="X2704" i="13"/>
  <c r="Y2703" i="13"/>
  <c r="Y2704" i="13"/>
  <c r="X2705" i="13"/>
  <c r="X2706" i="13"/>
  <c r="Y2705" i="13"/>
  <c r="X2707" i="13"/>
  <c r="Y2706" i="13"/>
  <c r="Y2707" i="13"/>
  <c r="X2708" i="13"/>
  <c r="Y2708" i="13"/>
  <c r="X2709" i="13"/>
  <c r="Y2709" i="13"/>
  <c r="X2710" i="13"/>
  <c r="Y2710" i="13"/>
  <c r="X2711" i="13"/>
  <c r="Y2711" i="13"/>
  <c r="X2712" i="13"/>
  <c r="X2713" i="13"/>
  <c r="Y2712" i="13"/>
  <c r="Y2713" i="13"/>
  <c r="X2714" i="13"/>
  <c r="Y2714" i="13"/>
  <c r="X2715" i="13"/>
  <c r="Y2715" i="13"/>
  <c r="X2716" i="13"/>
  <c r="X2717" i="13"/>
  <c r="Y2716" i="13"/>
  <c r="X2718" i="13"/>
  <c r="Y2717" i="13"/>
  <c r="Y2718" i="13"/>
  <c r="X2719" i="13"/>
  <c r="Y2719" i="13"/>
  <c r="X2720" i="13"/>
  <c r="X2721" i="13"/>
  <c r="Y2720" i="13"/>
  <c r="Y2721" i="13"/>
  <c r="X2722" i="13"/>
  <c r="X2723" i="13"/>
  <c r="Y2722" i="13"/>
  <c r="X2724" i="13"/>
  <c r="Y2723" i="13"/>
  <c r="Y2724" i="13"/>
  <c r="X2725" i="13"/>
  <c r="Y2725" i="13"/>
  <c r="X2726" i="13"/>
  <c r="Y2726" i="13"/>
  <c r="X2727" i="13"/>
  <c r="Y2727" i="13"/>
  <c r="X2728" i="13"/>
  <c r="X2729" i="13"/>
  <c r="Y2728" i="13"/>
  <c r="X2730" i="13"/>
  <c r="Y2729" i="13"/>
  <c r="X2731" i="13"/>
  <c r="Y2730" i="13"/>
  <c r="X2732" i="13"/>
  <c r="Y2731" i="13"/>
  <c r="X2733" i="13"/>
  <c r="Y2732" i="13"/>
  <c r="X2734" i="13"/>
  <c r="Y2733" i="13"/>
  <c r="Y2734" i="13"/>
  <c r="X2735" i="13"/>
  <c r="Y2735" i="13"/>
  <c r="X2736" i="13"/>
  <c r="Y2736" i="13"/>
  <c r="X2737" i="13"/>
  <c r="X2738" i="13"/>
  <c r="Y2737" i="13"/>
  <c r="Y2738" i="13"/>
  <c r="X2739" i="13"/>
  <c r="X2740" i="13"/>
  <c r="Y2739" i="13"/>
  <c r="X2741" i="13"/>
  <c r="Y2740" i="13"/>
  <c r="Y2741" i="13"/>
  <c r="X2742" i="13"/>
  <c r="Y2742" i="13"/>
  <c r="X2743" i="13"/>
  <c r="Y2743" i="13"/>
  <c r="X2744" i="13"/>
  <c r="Y2744" i="13"/>
  <c r="X2745" i="13"/>
  <c r="Y2745" i="13"/>
  <c r="X2746" i="13"/>
  <c r="X2747" i="13"/>
  <c r="Y2746" i="13"/>
  <c r="Y2747" i="13"/>
  <c r="X2748" i="13"/>
  <c r="Y2748" i="13"/>
  <c r="X2749" i="13"/>
  <c r="Y2749" i="13"/>
  <c r="X2750" i="13"/>
  <c r="X2751" i="13"/>
  <c r="Y2750" i="13"/>
  <c r="X2752" i="13"/>
  <c r="Y2751" i="13"/>
  <c r="X2753" i="13"/>
  <c r="Y2752" i="13"/>
  <c r="Y2753" i="13"/>
  <c r="X2754" i="13"/>
  <c r="X2755" i="13"/>
  <c r="Y2754" i="13"/>
  <c r="Y2755" i="13"/>
  <c r="X2756" i="13"/>
  <c r="Y2756" i="13"/>
  <c r="X2757" i="13"/>
  <c r="Y2757" i="13"/>
  <c r="X2758" i="13"/>
  <c r="X2759" i="13"/>
  <c r="Y2758" i="13"/>
  <c r="X2760" i="13"/>
  <c r="Y2759" i="13"/>
  <c r="Y2760" i="13"/>
  <c r="X2761" i="13"/>
  <c r="Y2761" i="13"/>
  <c r="X2762" i="13"/>
  <c r="X2763" i="13"/>
  <c r="Y2762" i="13"/>
  <c r="X2764" i="13"/>
  <c r="Y2763" i="13"/>
  <c r="X2765" i="13"/>
  <c r="Y2764" i="13"/>
  <c r="Y2765" i="13"/>
  <c r="X2766" i="13"/>
  <c r="X2767" i="13"/>
  <c r="Y2766" i="13"/>
  <c r="Y2767" i="13"/>
  <c r="X2768" i="13"/>
  <c r="Y2768" i="13"/>
  <c r="X2769" i="13"/>
  <c r="X2770" i="13"/>
  <c r="Y2769" i="13"/>
  <c r="X2771" i="13"/>
  <c r="Y2770" i="13"/>
  <c r="Y2771" i="13"/>
  <c r="X2772" i="13"/>
  <c r="X2773" i="13"/>
  <c r="Y2772" i="13"/>
  <c r="Y2773" i="13"/>
  <c r="X2774" i="13"/>
  <c r="X2775" i="13"/>
  <c r="Y2774" i="13"/>
  <c r="Y2775" i="13"/>
  <c r="X2776" i="13"/>
  <c r="Y2776" i="13"/>
  <c r="X2777" i="13"/>
  <c r="Y2777" i="13"/>
  <c r="X2778" i="13"/>
  <c r="Y2778" i="13"/>
  <c r="X2779" i="13"/>
  <c r="Y2779" i="13"/>
  <c r="X2780" i="13"/>
  <c r="X2781" i="13"/>
  <c r="Y2780" i="13"/>
  <c r="X2782" i="13"/>
  <c r="Y2781" i="13"/>
  <c r="Y2782" i="13"/>
  <c r="X2783" i="13"/>
  <c r="Y2783" i="13"/>
  <c r="X2784" i="13"/>
  <c r="Y2784" i="13"/>
  <c r="X2785" i="13"/>
  <c r="X2786" i="13"/>
  <c r="Y2785" i="13"/>
  <c r="Y2786" i="13"/>
  <c r="X2787" i="13"/>
  <c r="Y2787" i="13"/>
  <c r="X2788" i="13"/>
  <c r="Y2788" i="13"/>
  <c r="X2789" i="13"/>
  <c r="Y2789" i="13"/>
  <c r="X2790" i="13"/>
  <c r="X2791" i="13"/>
  <c r="Y2790" i="13"/>
  <c r="Y2791" i="13"/>
  <c r="X2792" i="13"/>
  <c r="Y2792" i="13"/>
  <c r="X2793" i="13"/>
  <c r="Y2793" i="13"/>
  <c r="X2794" i="13"/>
  <c r="X2795" i="13"/>
  <c r="Y2794" i="13"/>
  <c r="Y2795" i="13"/>
  <c r="X2796" i="13"/>
  <c r="X2797" i="13"/>
  <c r="Y2796" i="13"/>
  <c r="Y2797" i="13"/>
  <c r="X2798" i="13"/>
  <c r="Y2798" i="13"/>
  <c r="X2799" i="13"/>
  <c r="X2800" i="13"/>
  <c r="Y2799" i="13"/>
  <c r="Y2800" i="13"/>
  <c r="X2801" i="13"/>
  <c r="X2802" i="13"/>
  <c r="Y2801" i="13"/>
  <c r="X2803" i="13"/>
  <c r="Y2802" i="13"/>
  <c r="Y2803" i="13"/>
  <c r="X2804" i="13"/>
  <c r="Y2804" i="13"/>
  <c r="X2805" i="13"/>
  <c r="Y2805" i="13"/>
  <c r="X2806" i="13"/>
  <c r="X2807" i="13"/>
  <c r="Y2806" i="13"/>
  <c r="X2808" i="13"/>
  <c r="Y2807" i="13"/>
  <c r="Y2808" i="13"/>
  <c r="X2809" i="13"/>
  <c r="X2810" i="13"/>
  <c r="Y2809" i="13"/>
  <c r="Y2810" i="13"/>
  <c r="X2811" i="13"/>
  <c r="X2812" i="13"/>
  <c r="Y2811" i="13"/>
  <c r="Y2812" i="13"/>
  <c r="X2813" i="13"/>
  <c r="Y2813" i="13"/>
  <c r="X2814" i="13"/>
  <c r="Y2814" i="13"/>
  <c r="X2815" i="13"/>
  <c r="X2816" i="13"/>
  <c r="Y2815" i="13"/>
  <c r="Y2816" i="13"/>
  <c r="X2817" i="13"/>
  <c r="X2818" i="13"/>
  <c r="Y2817" i="13"/>
  <c r="Y2818" i="13"/>
  <c r="X2819" i="13"/>
  <c r="Y2819" i="13"/>
  <c r="X2820" i="13"/>
  <c r="X2821" i="13"/>
  <c r="Y2820" i="13"/>
  <c r="X2822" i="13"/>
  <c r="Y2821" i="13"/>
  <c r="Y2822" i="13"/>
  <c r="X2823" i="13"/>
  <c r="X2824" i="13"/>
  <c r="Y2823" i="13"/>
  <c r="X2825" i="13"/>
  <c r="Y2824" i="13"/>
  <c r="Y2825" i="13"/>
  <c r="X2826" i="13"/>
  <c r="Y2826" i="13"/>
  <c r="X2827" i="13"/>
  <c r="Y2827" i="13"/>
  <c r="X2828" i="13"/>
  <c r="X2829" i="13"/>
  <c r="Y2828" i="13"/>
  <c r="X2830" i="13"/>
  <c r="Y2829" i="13"/>
  <c r="X2831" i="13"/>
  <c r="Y2830" i="13"/>
  <c r="Y2831" i="13"/>
  <c r="X2832" i="13"/>
  <c r="Y2832" i="13"/>
  <c r="X2833" i="13"/>
  <c r="X2834" i="13"/>
  <c r="Y2833" i="13"/>
  <c r="Y2834" i="13"/>
  <c r="X2835" i="13"/>
  <c r="X2836" i="13"/>
  <c r="Y2835" i="13"/>
  <c r="X2837" i="13"/>
  <c r="Y2836" i="13"/>
  <c r="Y2837" i="13"/>
  <c r="X2838" i="13"/>
  <c r="X2839" i="13"/>
  <c r="Y2838" i="13"/>
  <c r="Y2839" i="13"/>
  <c r="X2840" i="13"/>
  <c r="X2841" i="13"/>
  <c r="Y2840" i="13"/>
  <c r="X2842" i="13"/>
  <c r="Y2841" i="13"/>
  <c r="Y2842" i="13"/>
  <c r="X2843" i="13"/>
  <c r="X2844" i="13"/>
  <c r="Y2843" i="13"/>
  <c r="X2845" i="13"/>
  <c r="Y2844" i="13"/>
  <c r="X2846" i="13"/>
  <c r="Y2845" i="13"/>
  <c r="Y2846" i="13"/>
  <c r="X2847" i="13"/>
  <c r="X2848" i="13"/>
  <c r="Y2847" i="13"/>
  <c r="Y2848" i="13"/>
  <c r="X2849" i="13"/>
  <c r="X2850" i="13"/>
  <c r="Y2849" i="13"/>
  <c r="X2851" i="13"/>
  <c r="Y2850" i="13"/>
  <c r="X2852" i="13"/>
  <c r="Y2851" i="13"/>
  <c r="X2853" i="13"/>
  <c r="Y2852" i="13"/>
  <c r="Y2853" i="13"/>
  <c r="X2854" i="13"/>
  <c r="X2855" i="13"/>
  <c r="Y2854" i="13"/>
  <c r="X2856" i="13"/>
  <c r="Y2855" i="13"/>
  <c r="X2857" i="13"/>
  <c r="Y2856" i="13"/>
  <c r="Y2857" i="13"/>
  <c r="X2858" i="13"/>
  <c r="Y2858" i="13"/>
  <c r="X2859" i="13"/>
  <c r="Y2859" i="13"/>
  <c r="X2860" i="13"/>
  <c r="Y2860" i="13"/>
  <c r="X2861" i="13"/>
  <c r="Y2861" i="13"/>
  <c r="X2862" i="13"/>
  <c r="X2863" i="13"/>
  <c r="Y2862" i="13"/>
  <c r="Y2863" i="13"/>
  <c r="X2864" i="13"/>
  <c r="X2865" i="13"/>
  <c r="Y2864" i="13"/>
  <c r="Y2865" i="13"/>
  <c r="X2866" i="13"/>
  <c r="X2867" i="13"/>
  <c r="Y2866" i="13"/>
  <c r="X2868" i="13"/>
  <c r="Y2867" i="13"/>
  <c r="Y2868" i="13"/>
  <c r="X2869" i="13"/>
  <c r="Y2869" i="13"/>
  <c r="X2870" i="13"/>
  <c r="X2871" i="13"/>
  <c r="Y2870" i="13"/>
  <c r="Y2871" i="13"/>
  <c r="X2872" i="13"/>
  <c r="X2873" i="13"/>
  <c r="Y2872" i="13"/>
  <c r="X2874" i="13"/>
  <c r="Y2873" i="13"/>
  <c r="X2875" i="13"/>
  <c r="Y2874" i="13"/>
  <c r="Y2875" i="13"/>
  <c r="X2876" i="13"/>
  <c r="Y2876" i="13"/>
  <c r="X2877" i="13"/>
  <c r="Y2877" i="13"/>
  <c r="X2878" i="13"/>
  <c r="Y2878" i="13"/>
  <c r="X2879" i="13"/>
  <c r="X2880" i="13"/>
  <c r="Y2879" i="13"/>
  <c r="X2881" i="13"/>
  <c r="Y2880" i="13"/>
  <c r="Y2881" i="13"/>
  <c r="X2882" i="13"/>
  <c r="X2883" i="13"/>
  <c r="Y2882" i="13"/>
  <c r="X2884" i="13"/>
  <c r="Y2883" i="13"/>
  <c r="Y2884" i="13"/>
  <c r="X2885" i="13"/>
  <c r="Y2885" i="13"/>
  <c r="X2886" i="13"/>
  <c r="X2887" i="13"/>
  <c r="Y2886" i="13"/>
  <c r="X2888" i="13"/>
  <c r="Y2887" i="13"/>
  <c r="Y2888" i="13"/>
  <c r="X2889" i="13"/>
  <c r="X2890" i="13"/>
  <c r="Y2889" i="13"/>
  <c r="X2891" i="13"/>
  <c r="Y2890" i="13"/>
  <c r="Y2891" i="13"/>
  <c r="X2892" i="13"/>
  <c r="Y2892" i="13"/>
  <c r="X2893" i="13"/>
  <c r="X2894" i="13"/>
  <c r="Y2893" i="13"/>
  <c r="X2895" i="13"/>
  <c r="Y2894" i="13"/>
  <c r="X2896" i="13"/>
  <c r="Y2895" i="13"/>
  <c r="X2897" i="13"/>
  <c r="Y2896" i="13"/>
  <c r="X2898" i="13"/>
  <c r="Y2897" i="13"/>
  <c r="Y2898" i="13"/>
  <c r="X2899" i="13"/>
  <c r="X2900" i="13"/>
  <c r="Y2899" i="13"/>
  <c r="Y2900" i="13"/>
  <c r="X2901" i="13"/>
  <c r="X2902" i="13"/>
  <c r="Y2901" i="13"/>
  <c r="X2903" i="13"/>
  <c r="Y2902" i="13"/>
  <c r="X2904" i="13"/>
  <c r="Y2903" i="13"/>
  <c r="Y2904" i="13"/>
  <c r="X2905" i="13"/>
  <c r="X2906" i="13"/>
  <c r="Y2905" i="13"/>
  <c r="Y2906" i="13"/>
  <c r="X2907" i="13"/>
  <c r="Y2907" i="13"/>
  <c r="X2908" i="13"/>
  <c r="X2909" i="13"/>
  <c r="Y2908" i="13"/>
  <c r="Y2909" i="13"/>
  <c r="X2910" i="13"/>
  <c r="Y2910" i="13"/>
  <c r="X2911" i="13"/>
  <c r="X2912" i="13"/>
  <c r="Y2911" i="13"/>
  <c r="X2913" i="13"/>
  <c r="Y2912" i="13"/>
  <c r="X2914" i="13"/>
  <c r="Y2913" i="13"/>
  <c r="Y2914" i="13"/>
  <c r="X2915" i="13"/>
  <c r="Y2915" i="13"/>
  <c r="X2916" i="13"/>
  <c r="Y2916" i="13"/>
  <c r="X2917" i="13"/>
  <c r="X2918" i="13"/>
  <c r="Y2917" i="13"/>
  <c r="X2919" i="13"/>
  <c r="Y2918" i="13"/>
  <c r="X2920" i="13"/>
  <c r="Y2919" i="13"/>
  <c r="Y2920" i="13"/>
  <c r="X2921" i="13"/>
  <c r="X2922" i="13"/>
  <c r="Y2921" i="13"/>
  <c r="X2923" i="13"/>
  <c r="Y2922" i="13"/>
  <c r="X2924" i="13"/>
  <c r="Y2923" i="13"/>
  <c r="X2925" i="13"/>
  <c r="Y2924" i="13"/>
  <c r="Y2925" i="13"/>
  <c r="X2926" i="13"/>
  <c r="Y2926" i="13"/>
  <c r="X2927" i="13"/>
  <c r="X2928" i="13"/>
  <c r="Y2927" i="13"/>
  <c r="X2929" i="13"/>
  <c r="Y2928" i="13"/>
  <c r="Y2929" i="13"/>
  <c r="X2930" i="13"/>
  <c r="X2931" i="13"/>
  <c r="Y2930" i="13"/>
  <c r="X2932" i="13"/>
  <c r="Y2931" i="13"/>
  <c r="Y2932" i="13"/>
  <c r="X2933" i="13"/>
  <c r="Y2933" i="13"/>
  <c r="X2934" i="13"/>
  <c r="X2935" i="13"/>
  <c r="Y2934" i="13"/>
  <c r="Y2935" i="13"/>
  <c r="X2936" i="13"/>
  <c r="X2937" i="13"/>
  <c r="Y2936" i="13"/>
  <c r="X2938" i="13"/>
  <c r="Y2937" i="13"/>
  <c r="Y2938" i="13"/>
  <c r="X2939" i="13"/>
  <c r="Y2939" i="13"/>
  <c r="X2940" i="13"/>
  <c r="Y2940" i="13"/>
  <c r="X2941" i="13"/>
  <c r="Y2941" i="13"/>
  <c r="X2942" i="13"/>
  <c r="Y2942" i="13"/>
  <c r="X2943" i="13"/>
  <c r="Y2943" i="13"/>
  <c r="X2944" i="13"/>
  <c r="X2945" i="13"/>
  <c r="Y2944" i="13"/>
  <c r="Y2945" i="13"/>
  <c r="X2946" i="13"/>
  <c r="Y2946" i="13"/>
  <c r="X2947" i="13"/>
  <c r="X2948" i="13"/>
  <c r="Y2947" i="13"/>
  <c r="Y2948" i="13"/>
  <c r="X2949" i="13"/>
  <c r="X2950" i="13"/>
  <c r="Y2949" i="13"/>
  <c r="Y2950" i="13"/>
  <c r="X2951" i="13"/>
  <c r="X2952" i="13"/>
  <c r="Y2951" i="13"/>
  <c r="Y2952" i="13"/>
  <c r="X2953" i="13"/>
  <c r="X2954" i="13"/>
  <c r="Y2953" i="13"/>
  <c r="Y2954" i="13"/>
  <c r="X2955" i="13"/>
  <c r="Y2955" i="13"/>
  <c r="X2956" i="13"/>
  <c r="Y2956" i="13"/>
  <c r="X2957" i="13"/>
  <c r="X2958" i="13"/>
  <c r="Y2957" i="13"/>
  <c r="X2959" i="13"/>
  <c r="Y2958" i="13"/>
  <c r="X2960" i="13"/>
  <c r="Y2959" i="13"/>
  <c r="X2961" i="13"/>
  <c r="Y2960" i="13"/>
  <c r="Y2961" i="13"/>
  <c r="X2962" i="13"/>
  <c r="Y2962" i="13"/>
  <c r="X2963" i="13"/>
  <c r="X2964" i="13"/>
  <c r="Y2963" i="13"/>
  <c r="Y2964" i="13"/>
  <c r="X2965" i="13"/>
  <c r="X2966" i="13"/>
  <c r="Y2965" i="13"/>
  <c r="X2967" i="13"/>
  <c r="Y2966" i="13"/>
  <c r="Y2967" i="13"/>
  <c r="X2968" i="13"/>
  <c r="X2969" i="13"/>
  <c r="Y2968" i="13"/>
  <c r="X2970" i="13"/>
  <c r="Y2969" i="13"/>
  <c r="Y2970" i="13"/>
  <c r="X2971" i="13"/>
  <c r="Y2971" i="13"/>
  <c r="X2972" i="13"/>
  <c r="Y2972" i="13"/>
  <c r="X2973" i="13"/>
  <c r="X2974" i="13"/>
  <c r="Y2973" i="13"/>
  <c r="Y2974" i="13"/>
  <c r="X2975" i="13"/>
  <c r="X2976" i="13"/>
  <c r="Y2975" i="13"/>
  <c r="Y2976" i="13"/>
  <c r="X2977" i="13"/>
  <c r="X2978" i="13"/>
  <c r="Y2977" i="13"/>
  <c r="X2979" i="13"/>
  <c r="Y2978" i="13"/>
  <c r="Y2979" i="13"/>
  <c r="X2980" i="13"/>
  <c r="X2981" i="13"/>
  <c r="Y2980" i="13"/>
  <c r="Y2981" i="13"/>
  <c r="X2982" i="13"/>
  <c r="Y2982" i="13"/>
  <c r="X2983" i="13"/>
  <c r="Y2983" i="13"/>
  <c r="X2984" i="13"/>
  <c r="X2985" i="13"/>
  <c r="Y2984" i="13"/>
  <c r="X2986" i="13"/>
  <c r="Y2985" i="13"/>
  <c r="Y2986" i="13"/>
  <c r="X2987" i="13"/>
  <c r="Y2987" i="13"/>
  <c r="X2988" i="13"/>
  <c r="X2989" i="13"/>
  <c r="Y2988" i="13"/>
  <c r="Y2989" i="13"/>
  <c r="X2990" i="13"/>
  <c r="X2991" i="13"/>
  <c r="Y2990" i="13"/>
  <c r="X2992" i="13"/>
  <c r="Y2991" i="13"/>
  <c r="Y2992" i="13"/>
  <c r="X2993" i="13"/>
  <c r="X2994" i="13"/>
  <c r="Y2993" i="13"/>
  <c r="Y2994" i="13"/>
  <c r="X2995" i="13"/>
  <c r="X2996" i="13"/>
  <c r="Y2995" i="13"/>
  <c r="X2997" i="13"/>
  <c r="Y2996" i="13"/>
  <c r="X2998" i="13"/>
  <c r="Y2997" i="13"/>
  <c r="X2999" i="13"/>
  <c r="Y2998" i="13"/>
  <c r="X3000" i="13"/>
  <c r="Y2999" i="13"/>
  <c r="X3001" i="13"/>
  <c r="Y3000" i="13"/>
  <c r="Y3001" i="13"/>
  <c r="X3002" i="13"/>
  <c r="X3003" i="13"/>
  <c r="Y3002" i="13"/>
  <c r="X3004" i="13"/>
  <c r="Y3003" i="13"/>
  <c r="Y3004" i="13"/>
  <c r="X3005" i="13"/>
  <c r="X3006" i="13"/>
  <c r="Y3005" i="13"/>
  <c r="X3007" i="13"/>
  <c r="Y3006" i="13"/>
  <c r="X3008" i="13"/>
  <c r="Y3007" i="13"/>
  <c r="Y3008" i="13"/>
  <c r="X3009" i="13"/>
  <c r="X3010" i="13"/>
  <c r="Y3009" i="13"/>
  <c r="X3011" i="13"/>
  <c r="Y3010" i="13"/>
  <c r="Y3011" i="13"/>
  <c r="X3012" i="13"/>
  <c r="X3013" i="13"/>
  <c r="Y3012" i="13"/>
  <c r="Y3013" i="13"/>
  <c r="X3014" i="13"/>
  <c r="X3015" i="13"/>
  <c r="Y3014" i="13"/>
  <c r="X3016" i="13"/>
  <c r="Y3015" i="13"/>
  <c r="X3017" i="13"/>
  <c r="Y3016" i="13"/>
  <c r="Y3017" i="13"/>
  <c r="X3018" i="13"/>
  <c r="X3019" i="13"/>
  <c r="Y3018" i="13"/>
  <c r="X3020" i="13"/>
  <c r="Y3019" i="13"/>
  <c r="Y3020" i="13"/>
  <c r="X3021" i="13"/>
  <c r="X3022" i="13"/>
  <c r="Y3021" i="13"/>
  <c r="X3023" i="13"/>
  <c r="Y3022" i="13"/>
  <c r="X3024" i="13"/>
  <c r="Y3023" i="13"/>
  <c r="Y3024" i="13"/>
  <c r="X3025" i="13"/>
  <c r="Y3025" i="13"/>
  <c r="X3026" i="13"/>
  <c r="X3027" i="13"/>
  <c r="Y3026" i="13"/>
  <c r="Y3027" i="13"/>
  <c r="X3028" i="13"/>
  <c r="Y3028" i="13"/>
  <c r="X3029" i="13"/>
  <c r="X3030" i="13"/>
  <c r="Y3029" i="13"/>
  <c r="X3031" i="13"/>
  <c r="Y3030" i="13"/>
  <c r="Y3031" i="13"/>
  <c r="X3032" i="13"/>
  <c r="X3033" i="13"/>
  <c r="Y3032" i="13"/>
  <c r="X3034" i="13"/>
  <c r="Y3033" i="13"/>
  <c r="X3035" i="13"/>
  <c r="Y3034" i="13"/>
  <c r="X3036" i="13"/>
  <c r="Y3035" i="13"/>
  <c r="X3037" i="13"/>
  <c r="Y3036" i="13"/>
  <c r="X3038" i="13"/>
  <c r="Y3037" i="13"/>
  <c r="Y3038" i="13"/>
  <c r="X3039" i="13"/>
  <c r="Y3039" i="13"/>
  <c r="X3040" i="13"/>
  <c r="X3041" i="13"/>
  <c r="Y3040" i="13"/>
  <c r="Y3041" i="13"/>
  <c r="X3042" i="13"/>
  <c r="Y3042" i="13"/>
  <c r="X3043" i="13"/>
  <c r="X3044" i="13"/>
  <c r="Y3043" i="13"/>
  <c r="Y3044" i="13"/>
  <c r="X3045" i="13"/>
  <c r="Y3045" i="13"/>
  <c r="X3046" i="13"/>
  <c r="X3047" i="13"/>
  <c r="Y3046" i="13"/>
  <c r="Y3047" i="13"/>
  <c r="X3048" i="13"/>
  <c r="Y3048" i="13"/>
  <c r="X3049" i="13"/>
  <c r="Y3049" i="13"/>
  <c r="X3050" i="13"/>
  <c r="X3051" i="13"/>
  <c r="Y3050" i="13"/>
  <c r="Y3051" i="13"/>
  <c r="X3052" i="13"/>
  <c r="Y3052" i="13"/>
  <c r="X3053" i="13"/>
  <c r="Y3053" i="13"/>
  <c r="X3054" i="13"/>
  <c r="X3055" i="13"/>
  <c r="Y3054" i="13"/>
  <c r="X3056" i="13"/>
  <c r="Y3055" i="13"/>
  <c r="X3057" i="13"/>
  <c r="Y3056" i="13"/>
  <c r="Y3057" i="13"/>
  <c r="X3058" i="13"/>
  <c r="X3059" i="13"/>
  <c r="Y3058" i="13"/>
  <c r="Y3059" i="13"/>
  <c r="X3060" i="13"/>
  <c r="Y3060" i="13"/>
  <c r="X3061" i="13"/>
  <c r="Y3061" i="13"/>
  <c r="X3062" i="13"/>
  <c r="X3063" i="13"/>
  <c r="Y3062" i="13"/>
  <c r="Y3063" i="13"/>
  <c r="X3064" i="13"/>
  <c r="Y3064" i="13"/>
  <c r="X3065" i="13"/>
  <c r="X3066" i="13"/>
  <c r="Y3065" i="13"/>
  <c r="X3067" i="13"/>
  <c r="Y3066" i="13"/>
  <c r="X3068" i="13"/>
  <c r="Y3067" i="13"/>
  <c r="Y3068" i="13"/>
  <c r="X3069" i="13"/>
  <c r="X3070" i="13"/>
  <c r="Y3069" i="13"/>
  <c r="X3071" i="13"/>
  <c r="Y3070" i="13"/>
  <c r="Y3071" i="13"/>
  <c r="X3072" i="13"/>
  <c r="X3073" i="13"/>
  <c r="Y3072" i="13"/>
  <c r="X3074" i="13"/>
  <c r="Y3073" i="13"/>
  <c r="Y3074" i="13"/>
  <c r="X3075" i="13"/>
  <c r="X3076" i="13"/>
  <c r="Y3075" i="13"/>
  <c r="X3077" i="13"/>
  <c r="Y3076" i="13"/>
  <c r="Y3077" i="13"/>
  <c r="X3078" i="13"/>
  <c r="Y3078" i="13"/>
  <c r="X3079" i="13"/>
  <c r="X3080" i="13"/>
  <c r="Y3079" i="13"/>
  <c r="Y3080" i="13"/>
  <c r="X3081" i="13"/>
  <c r="Y3081" i="13"/>
  <c r="X3082" i="13"/>
  <c r="X3083" i="13"/>
  <c r="Y3082" i="13"/>
  <c r="Y3083" i="13"/>
  <c r="X3084" i="13"/>
  <c r="Y3084" i="13"/>
  <c r="X3085" i="13"/>
  <c r="Y3085" i="13"/>
  <c r="X3086" i="13"/>
  <c r="Y3086" i="13"/>
  <c r="X3087" i="13"/>
  <c r="Y3087" i="13"/>
  <c r="X3088" i="13"/>
  <c r="X3089" i="13"/>
  <c r="Y3088" i="13"/>
  <c r="Y3089" i="13"/>
  <c r="X3090" i="13"/>
  <c r="Y3090" i="13"/>
  <c r="X3091" i="13"/>
  <c r="Y3091" i="13"/>
  <c r="X3092" i="13"/>
  <c r="X3093" i="13"/>
  <c r="Y3092" i="13"/>
  <c r="Y3093" i="13"/>
  <c r="X3094" i="13"/>
  <c r="X3095" i="13"/>
  <c r="Y3094" i="13"/>
  <c r="Y3095" i="13"/>
  <c r="X3096" i="13"/>
  <c r="Y3096" i="13"/>
  <c r="X3097" i="13"/>
  <c r="Y3097" i="13"/>
  <c r="X3098" i="13"/>
  <c r="Y3098" i="13"/>
  <c r="X3099" i="13"/>
  <c r="X3100" i="13"/>
  <c r="Y3099" i="13"/>
  <c r="Y3100" i="13"/>
  <c r="X3101" i="13"/>
  <c r="X3102" i="13"/>
  <c r="Y3101" i="13"/>
  <c r="X3103" i="13"/>
  <c r="Y3102" i="13"/>
  <c r="Y3103" i="13"/>
  <c r="X3104" i="13"/>
  <c r="X3105" i="13"/>
  <c r="Y3104" i="13"/>
  <c r="X3106" i="13"/>
  <c r="Y3105" i="13"/>
  <c r="X3107" i="13"/>
  <c r="Y3106" i="13"/>
  <c r="Y3107" i="13"/>
  <c r="X3108" i="13"/>
  <c r="Y3108" i="13"/>
  <c r="X3109" i="13"/>
  <c r="Y3109" i="13"/>
  <c r="X3110" i="13"/>
  <c r="X3111" i="13"/>
  <c r="Y3110" i="13"/>
  <c r="Y3111" i="13"/>
  <c r="X3112" i="13"/>
  <c r="Y3112" i="13"/>
  <c r="X3113" i="13"/>
  <c r="X3114" i="13"/>
  <c r="Y3113" i="13"/>
  <c r="X3115" i="13"/>
  <c r="Y3114" i="13"/>
  <c r="X3116" i="13"/>
  <c r="Y3115" i="13"/>
  <c r="X3117" i="13"/>
  <c r="Y3116" i="13"/>
  <c r="Y3117" i="13"/>
  <c r="X3118" i="13"/>
  <c r="X3119" i="13"/>
  <c r="Y3118" i="13"/>
  <c r="X3120" i="13"/>
  <c r="Y3119" i="13"/>
  <c r="X3121" i="13"/>
  <c r="Y3120" i="13"/>
  <c r="X3122" i="13"/>
  <c r="Y3121" i="13"/>
  <c r="Y3122" i="13"/>
  <c r="X3123" i="13"/>
  <c r="Y3123" i="13"/>
  <c r="X3124" i="13"/>
  <c r="X3125" i="13"/>
  <c r="Y3124" i="13"/>
  <c r="X3126" i="13"/>
  <c r="Y3125" i="13"/>
  <c r="X3127" i="13"/>
  <c r="Y3126" i="13"/>
  <c r="Y3127" i="13"/>
  <c r="X3128" i="13"/>
  <c r="Y3128" i="13"/>
  <c r="X3129" i="13"/>
  <c r="X3130" i="13"/>
  <c r="Y3129" i="13"/>
  <c r="X3131" i="13"/>
  <c r="Y3130" i="13"/>
  <c r="Y3131" i="13"/>
  <c r="X3132" i="13"/>
  <c r="Y3132" i="13"/>
  <c r="X3133" i="13"/>
  <c r="X3134" i="13"/>
  <c r="Y3133" i="13"/>
  <c r="X3135" i="13"/>
  <c r="Y3134" i="13"/>
  <c r="X3136" i="13"/>
  <c r="Y3135" i="13"/>
  <c r="X3137" i="13"/>
  <c r="Y3136" i="13"/>
  <c r="Y3137" i="13"/>
  <c r="X3138" i="13"/>
  <c r="Y3138" i="13"/>
  <c r="X3139" i="13"/>
  <c r="Y3139" i="13"/>
  <c r="X3140" i="13"/>
  <c r="X3141" i="13"/>
  <c r="Y3140" i="13"/>
  <c r="Y3141" i="13"/>
  <c r="X3142" i="13"/>
  <c r="X3143" i="13"/>
  <c r="Y3142" i="13"/>
  <c r="Y3143" i="13"/>
  <c r="X3144" i="13"/>
  <c r="X3145" i="13"/>
  <c r="Y3144" i="13"/>
  <c r="Y3145" i="13"/>
  <c r="X3146" i="13"/>
  <c r="Y3146" i="13"/>
  <c r="X3147" i="13"/>
  <c r="X3148" i="13"/>
  <c r="Y3147" i="13"/>
  <c r="Y3148" i="13"/>
  <c r="X3149" i="13"/>
  <c r="X3150" i="13"/>
  <c r="Y3149" i="13"/>
  <c r="Y3150" i="13"/>
  <c r="X3151" i="13"/>
  <c r="X3152" i="13"/>
  <c r="Y3151" i="13"/>
  <c r="X3153" i="13"/>
  <c r="Y3152" i="13"/>
  <c r="X3154" i="13"/>
  <c r="Y3153" i="13"/>
  <c r="Y3154" i="13"/>
  <c r="X3155" i="13"/>
  <c r="Y3155" i="13"/>
  <c r="X3156" i="13"/>
  <c r="X3157" i="13"/>
  <c r="Y3156" i="13"/>
  <c r="Y3157" i="13"/>
  <c r="X3158" i="13"/>
  <c r="X3159" i="13"/>
  <c r="Y3158" i="13"/>
  <c r="X3160" i="13"/>
  <c r="Y3159" i="13"/>
  <c r="Y3160" i="13"/>
  <c r="X3161" i="13"/>
  <c r="X3162" i="13"/>
  <c r="Y3161" i="13"/>
  <c r="Y3162" i="13"/>
  <c r="X3163" i="13"/>
  <c r="X3164" i="13"/>
  <c r="Y3163" i="13"/>
  <c r="X3165" i="13"/>
  <c r="Y3164" i="13"/>
  <c r="Y3165" i="13"/>
  <c r="X3166" i="13"/>
  <c r="X3167" i="13"/>
  <c r="Y3166" i="13"/>
  <c r="X3168" i="13"/>
  <c r="Y3167" i="13"/>
  <c r="X3169" i="13"/>
  <c r="Y3168" i="13"/>
  <c r="Y3169" i="13"/>
  <c r="X3170" i="13"/>
  <c r="Y3170" i="13"/>
  <c r="X3171" i="13"/>
  <c r="X3172" i="13"/>
  <c r="Y3171" i="13"/>
  <c r="Y3172" i="13"/>
  <c r="X3173" i="13"/>
  <c r="Y3173" i="13"/>
  <c r="X3174" i="13"/>
  <c r="Y3174" i="13"/>
  <c r="X3175" i="13"/>
  <c r="X3176" i="13"/>
  <c r="Y3175" i="13"/>
  <c r="X3177" i="13"/>
  <c r="Y3176" i="13"/>
  <c r="X3178" i="13"/>
  <c r="Y3177" i="13"/>
  <c r="X3179" i="13"/>
  <c r="Y3178" i="13"/>
  <c r="X3180" i="13"/>
  <c r="Y3179" i="13"/>
  <c r="Y3180" i="13"/>
  <c r="X3181" i="13"/>
  <c r="X3182" i="13"/>
  <c r="Y3181" i="13"/>
  <c r="X3183" i="13"/>
  <c r="Y3182" i="13"/>
  <c r="Y3183" i="13"/>
  <c r="X3184" i="13"/>
  <c r="Y3184" i="13"/>
  <c r="X3185" i="13"/>
  <c r="X3186" i="13"/>
  <c r="Y3185" i="13"/>
  <c r="Y3186" i="13"/>
  <c r="X3187" i="13"/>
  <c r="X3188" i="13"/>
  <c r="Y3187" i="13"/>
  <c r="Y3188" i="13"/>
  <c r="X3189" i="13"/>
  <c r="Y3189" i="13"/>
  <c r="X3190" i="13"/>
  <c r="X3191" i="13"/>
  <c r="Y3190" i="13"/>
  <c r="Y3191" i="13"/>
  <c r="X3192" i="13"/>
  <c r="Y3192" i="13"/>
  <c r="X3193" i="13"/>
  <c r="X3194" i="13"/>
  <c r="Y3193" i="13"/>
  <c r="X3195" i="13"/>
  <c r="Y3194" i="13"/>
  <c r="Y3195" i="13"/>
  <c r="X3196" i="13"/>
  <c r="X3197" i="13"/>
  <c r="Y3196" i="13"/>
  <c r="Y3197" i="13"/>
  <c r="X3198" i="13"/>
  <c r="Y3198" i="13"/>
  <c r="X3199" i="13"/>
  <c r="Y3199" i="13"/>
  <c r="X3200" i="13"/>
  <c r="Y3200" i="13"/>
  <c r="X3201" i="13"/>
  <c r="Y3201" i="13"/>
  <c r="X3202" i="13"/>
  <c r="X3203" i="13"/>
  <c r="Y3202" i="13"/>
  <c r="X3204" i="13"/>
  <c r="Y3203" i="13"/>
  <c r="Y3204" i="13"/>
  <c r="X3205" i="13"/>
  <c r="Y3205" i="13"/>
  <c r="X3206" i="13"/>
  <c r="X3207" i="13"/>
  <c r="Y3206" i="13"/>
  <c r="X3208" i="13"/>
  <c r="Y3207" i="13"/>
  <c r="X3209" i="13"/>
  <c r="Y3208" i="13"/>
  <c r="X3210" i="13"/>
  <c r="Y3209" i="13"/>
  <c r="X3211" i="13"/>
  <c r="Y3210" i="13"/>
  <c r="Y3211" i="13"/>
  <c r="X3212" i="13"/>
  <c r="Y3212" i="13"/>
  <c r="X3213" i="13"/>
  <c r="Y3213" i="13"/>
  <c r="X3214" i="13"/>
  <c r="X3215" i="13"/>
  <c r="Y3214" i="13"/>
  <c r="Y3215" i="13"/>
  <c r="X3216" i="13"/>
  <c r="X3217" i="13"/>
  <c r="Y3216" i="13"/>
  <c r="X3218" i="13"/>
  <c r="Y3217" i="13"/>
  <c r="Y3218" i="13"/>
  <c r="X3219" i="13"/>
  <c r="X3220" i="13"/>
  <c r="Y3219" i="13"/>
  <c r="Y3220" i="13"/>
  <c r="X3221" i="13"/>
  <c r="Y3221" i="13"/>
  <c r="X3222" i="13"/>
  <c r="Y3222" i="13"/>
  <c r="X3223" i="13"/>
  <c r="Y3223" i="13"/>
  <c r="X3224" i="13"/>
  <c r="Y3224" i="13"/>
  <c r="X3225" i="13"/>
  <c r="Y3225" i="13"/>
  <c r="X3226" i="13"/>
  <c r="X3227" i="13"/>
  <c r="Y3226" i="13"/>
  <c r="Y3227" i="13"/>
  <c r="X3228" i="13"/>
  <c r="X3229" i="13"/>
  <c r="Y3228" i="13"/>
  <c r="Y3229" i="13"/>
  <c r="X3230" i="13"/>
  <c r="X3231" i="13"/>
  <c r="Y3230" i="13"/>
  <c r="X3232" i="13"/>
  <c r="Y3231" i="13"/>
  <c r="Y3232" i="13"/>
  <c r="X3233" i="13"/>
  <c r="Y3233" i="13"/>
  <c r="X3234" i="13"/>
  <c r="Y3234" i="13"/>
  <c r="X3235" i="13"/>
  <c r="Y3235" i="13"/>
  <c r="X3236" i="13"/>
  <c r="Y3236" i="13"/>
  <c r="X3237" i="13"/>
  <c r="X3238" i="13"/>
  <c r="Y3237" i="13"/>
  <c r="Y3238" i="13"/>
  <c r="X3239" i="13"/>
  <c r="X3240" i="13"/>
  <c r="Y3239" i="13"/>
  <c r="Y3240" i="13"/>
  <c r="X3241" i="13"/>
  <c r="X3242" i="13"/>
  <c r="Y3241" i="13"/>
  <c r="Y3242" i="13"/>
  <c r="X3243" i="13"/>
  <c r="X3244" i="13"/>
  <c r="Y3243" i="13"/>
  <c r="Y3244" i="13"/>
  <c r="X3245" i="13"/>
  <c r="Y3245" i="13"/>
  <c r="X3246" i="13"/>
  <c r="X3247" i="13"/>
  <c r="Y3246" i="13"/>
  <c r="X3248" i="13"/>
  <c r="Y3247" i="13"/>
  <c r="X3249" i="13"/>
  <c r="Y3248" i="13"/>
  <c r="X3250" i="13"/>
  <c r="Y3249" i="13"/>
  <c r="X3251" i="13"/>
  <c r="Y3250" i="13"/>
  <c r="X3252" i="13"/>
  <c r="Y3251" i="13"/>
  <c r="Y3252" i="13"/>
  <c r="X3253" i="13"/>
  <c r="Y3253" i="13"/>
  <c r="X3254" i="13"/>
  <c r="X3255" i="13"/>
  <c r="Y3254" i="13"/>
  <c r="X3256" i="13"/>
  <c r="Y3255" i="13"/>
  <c r="X3257" i="13"/>
  <c r="Y3256" i="13"/>
  <c r="Y3257" i="13"/>
  <c r="X3258" i="13"/>
  <c r="Y3258" i="13"/>
  <c r="X3259" i="13"/>
  <c r="X3260" i="13"/>
  <c r="Y3259" i="13"/>
  <c r="Y3260" i="13"/>
  <c r="X3261" i="13"/>
  <c r="Y3261" i="13"/>
  <c r="X3262" i="13"/>
  <c r="Y3262" i="13"/>
  <c r="X3263" i="13"/>
  <c r="X3264" i="13"/>
  <c r="Y3263" i="13"/>
  <c r="X3265" i="13"/>
  <c r="Y3264" i="13"/>
  <c r="X3266" i="13"/>
  <c r="Y3265" i="13"/>
  <c r="X3267" i="13"/>
  <c r="Y3266" i="13"/>
  <c r="Y3267" i="13"/>
  <c r="X3268" i="13"/>
  <c r="X3269" i="13"/>
  <c r="Y3268" i="13"/>
  <c r="Y3269" i="13"/>
  <c r="X3270" i="13"/>
  <c r="X3271" i="13"/>
  <c r="Y3270" i="13"/>
  <c r="Y3271" i="13"/>
  <c r="X3272" i="13"/>
  <c r="Y3272" i="13"/>
  <c r="X3273" i="13"/>
  <c r="X3274" i="13"/>
  <c r="Y3273" i="13"/>
  <c r="Y3274" i="13"/>
  <c r="X3275" i="13"/>
  <c r="X3276" i="13"/>
  <c r="Y3275" i="13"/>
  <c r="X3277" i="13"/>
  <c r="Y3276" i="13"/>
  <c r="Y3277" i="13"/>
  <c r="X3278" i="13"/>
  <c r="Y3278" i="13"/>
  <c r="X3279" i="13"/>
  <c r="X3280" i="13"/>
  <c r="Y3279" i="13"/>
  <c r="X3281" i="13"/>
  <c r="Y3280" i="13"/>
  <c r="Y3281" i="13"/>
  <c r="X3282" i="13"/>
  <c r="X3283" i="13"/>
  <c r="Y3282" i="13"/>
  <c r="Y3283" i="13"/>
  <c r="X3284" i="13"/>
  <c r="X3285" i="13"/>
  <c r="Y3284" i="13"/>
  <c r="Y3285" i="13"/>
  <c r="X3286" i="13"/>
  <c r="X3287" i="13"/>
  <c r="Y3286" i="13"/>
  <c r="X3288" i="13"/>
  <c r="Y3287" i="13"/>
  <c r="Y3288" i="13"/>
  <c r="X3289" i="13"/>
  <c r="Y3289" i="13"/>
  <c r="X3290" i="13"/>
  <c r="Y3290" i="13"/>
  <c r="X3291" i="13"/>
  <c r="Y3291" i="13"/>
  <c r="X3292" i="13"/>
  <c r="Y3292" i="13"/>
  <c r="X3293" i="13"/>
  <c r="X3294" i="13"/>
  <c r="Y3293" i="13"/>
  <c r="X3295" i="13"/>
  <c r="Y3294" i="13"/>
  <c r="X3296" i="13"/>
  <c r="Y3295" i="13"/>
  <c r="X3297" i="13"/>
  <c r="Y3296" i="13"/>
  <c r="X3298" i="13"/>
  <c r="Y3297" i="13"/>
  <c r="Y3298" i="13"/>
  <c r="X3299" i="13"/>
  <c r="Y3299" i="13"/>
  <c r="X3300" i="13"/>
  <c r="Y3300" i="13"/>
  <c r="X3301" i="13"/>
  <c r="X3302" i="13"/>
  <c r="Y3301" i="13"/>
  <c r="X3303" i="13"/>
  <c r="Y3302" i="13"/>
  <c r="X3304" i="13"/>
  <c r="Y3303" i="13"/>
  <c r="Y3304" i="13"/>
  <c r="X3305" i="13"/>
  <c r="X3306" i="13"/>
  <c r="Y3305" i="13"/>
  <c r="Y3306" i="13"/>
  <c r="X3307" i="13"/>
  <c r="X3308" i="13"/>
  <c r="Y3307" i="13"/>
  <c r="Y3308" i="13"/>
  <c r="X3309" i="13"/>
  <c r="X3310" i="13"/>
  <c r="Y3309" i="13"/>
  <c r="Y3310" i="13"/>
  <c r="X3311" i="13"/>
  <c r="X3312" i="13"/>
  <c r="Y3311" i="13"/>
  <c r="X3313" i="13"/>
  <c r="Y3312" i="13"/>
  <c r="Y3313" i="13"/>
  <c r="X3314" i="13"/>
  <c r="Y3314" i="13"/>
  <c r="X3315" i="13"/>
  <c r="Y3315" i="13"/>
  <c r="X3316" i="13"/>
  <c r="Y3316" i="13"/>
  <c r="X3317" i="13"/>
  <c r="Y3317" i="13"/>
  <c r="X3318" i="13"/>
  <c r="Y3318" i="13"/>
  <c r="X3319" i="13"/>
  <c r="Y3319" i="13"/>
  <c r="X3320" i="13"/>
  <c r="X3321" i="13"/>
  <c r="Y3320" i="13"/>
  <c r="X3322" i="13"/>
  <c r="Y3321" i="13"/>
  <c r="Y3322" i="13"/>
  <c r="X3323" i="13"/>
  <c r="Y3323" i="13"/>
  <c r="X3324" i="13"/>
  <c r="Y3324" i="13"/>
  <c r="X3325" i="13"/>
  <c r="Y3325" i="13"/>
  <c r="X3326" i="13"/>
  <c r="X3327" i="13"/>
  <c r="Y3326" i="13"/>
  <c r="Y3327" i="13"/>
  <c r="X3328" i="13"/>
  <c r="X3329" i="13"/>
  <c r="Y3328" i="13"/>
  <c r="X3330" i="13"/>
  <c r="Y3329" i="13"/>
  <c r="Y3330" i="13"/>
  <c r="X3331" i="13"/>
  <c r="X3332" i="13"/>
  <c r="Y3331" i="13"/>
  <c r="Y3332" i="13"/>
  <c r="X3333" i="13"/>
  <c r="Y3333" i="13"/>
  <c r="X3334" i="13"/>
  <c r="Y3334" i="13"/>
  <c r="X3335" i="13"/>
  <c r="Y3335" i="13"/>
  <c r="X3336" i="13"/>
  <c r="X3337" i="13"/>
  <c r="Y3336" i="13"/>
  <c r="X3338" i="13"/>
  <c r="Y3337" i="13"/>
  <c r="Y3338" i="13"/>
  <c r="X3339" i="13"/>
  <c r="X3340" i="13"/>
  <c r="Y3339" i="13"/>
  <c r="X3341" i="13"/>
  <c r="Y3340" i="13"/>
  <c r="Y3341" i="13"/>
  <c r="X3342" i="13"/>
  <c r="X3343" i="13"/>
  <c r="Y3342" i="13"/>
  <c r="Y3343" i="13"/>
  <c r="X3344" i="13"/>
  <c r="Y3344" i="13"/>
  <c r="X3345" i="13"/>
  <c r="X3346" i="13"/>
  <c r="Y3345" i="13"/>
  <c r="X3347" i="13"/>
  <c r="Y3346" i="13"/>
  <c r="Y3347" i="13"/>
  <c r="X3348" i="13"/>
  <c r="Y3348" i="13"/>
  <c r="X3349" i="13"/>
  <c r="X3350" i="13"/>
  <c r="Y3349" i="13"/>
  <c r="Y3350" i="13"/>
  <c r="X3351" i="13"/>
  <c r="X3352" i="13"/>
  <c r="Y3351" i="13"/>
  <c r="Y3352" i="13"/>
  <c r="X3353" i="13"/>
  <c r="Y3353" i="13"/>
  <c r="X3354" i="13"/>
  <c r="Y3354" i="13"/>
  <c r="X3355" i="13"/>
  <c r="Y3355" i="13"/>
  <c r="X3356" i="13"/>
  <c r="X3357" i="13"/>
  <c r="Y3356" i="13"/>
  <c r="X3358" i="13"/>
  <c r="Y3357" i="13"/>
  <c r="X3359" i="13"/>
  <c r="Y3358" i="13"/>
  <c r="X3360" i="13"/>
  <c r="Y3359" i="13"/>
  <c r="X3361" i="13"/>
  <c r="Y3360" i="13"/>
  <c r="Y3361" i="13"/>
  <c r="X3362" i="13"/>
  <c r="Y3362" i="13"/>
  <c r="X3363" i="13"/>
  <c r="Y3363" i="13"/>
  <c r="X3364" i="13"/>
  <c r="X3365" i="13"/>
  <c r="Y3364" i="13"/>
  <c r="Y3365" i="13"/>
  <c r="X3366" i="13"/>
  <c r="Y3366" i="13"/>
  <c r="X3367" i="13"/>
  <c r="X3368" i="13"/>
  <c r="Y3367" i="13"/>
  <c r="Y3368" i="13"/>
  <c r="X3369" i="13"/>
  <c r="X3370" i="13"/>
  <c r="Y3369" i="13"/>
  <c r="X3371" i="13"/>
  <c r="Y3370" i="13"/>
  <c r="Y3371" i="13"/>
  <c r="X3372" i="13"/>
  <c r="Y3372" i="13"/>
  <c r="X3373" i="13"/>
  <c r="Y3373" i="13"/>
  <c r="X3374" i="13"/>
  <c r="Y3374" i="13"/>
  <c r="X3375" i="13"/>
  <c r="X3376" i="13"/>
  <c r="Y3375" i="13"/>
  <c r="X3377" i="13"/>
  <c r="Y3376" i="13"/>
  <c r="Y3377" i="13"/>
  <c r="X3378" i="13"/>
  <c r="Y3378" i="13"/>
  <c r="X3379" i="13"/>
  <c r="Y3379" i="13"/>
  <c r="X3380" i="13"/>
  <c r="Y3380" i="13"/>
  <c r="X3381" i="13"/>
  <c r="X3382" i="13"/>
  <c r="Y3381" i="13"/>
  <c r="X3383" i="13"/>
  <c r="Y3382" i="13"/>
  <c r="Y3383" i="13"/>
  <c r="X3384" i="13"/>
  <c r="Y3384" i="13"/>
  <c r="X3385" i="13"/>
  <c r="Y3385" i="13"/>
  <c r="X3386" i="13"/>
  <c r="X3387" i="13"/>
  <c r="Y3386" i="13"/>
  <c r="Y3387" i="13"/>
  <c r="X3388" i="13"/>
  <c r="Y3388" i="13"/>
  <c r="X3389" i="13"/>
  <c r="X3390" i="13"/>
  <c r="Y3389" i="13"/>
  <c r="X3391" i="13"/>
  <c r="Y3390" i="13"/>
  <c r="Y3391" i="13"/>
  <c r="X3392" i="13"/>
  <c r="Y3392" i="13"/>
  <c r="X3393" i="13"/>
  <c r="Y3393" i="13"/>
  <c r="X3394" i="13"/>
  <c r="X3395" i="13"/>
  <c r="Y3394" i="13"/>
  <c r="X3396" i="13"/>
  <c r="Y3395" i="13"/>
  <c r="Y3396" i="13"/>
  <c r="X3397" i="13"/>
  <c r="X3398" i="13"/>
  <c r="Y3397" i="13"/>
  <c r="X3399" i="13"/>
  <c r="Y3398" i="13"/>
  <c r="X3400" i="13"/>
  <c r="Y3399" i="13"/>
  <c r="Y3400" i="13"/>
  <c r="X3401" i="13"/>
  <c r="X3402" i="13"/>
  <c r="Y3401" i="13"/>
  <c r="X3403" i="13"/>
  <c r="Y3402" i="13"/>
  <c r="Y3403" i="13"/>
  <c r="X3404" i="13"/>
  <c r="Y3404" i="13"/>
  <c r="X3405" i="13"/>
  <c r="X3406" i="13"/>
  <c r="Y3405" i="13"/>
  <c r="X3407" i="13"/>
  <c r="Y3406" i="13"/>
  <c r="Y3407" i="13"/>
  <c r="X3408" i="13"/>
  <c r="X3409" i="13"/>
  <c r="Y3408" i="13"/>
  <c r="X3410" i="13"/>
  <c r="Y3409" i="13"/>
  <c r="Y3410" i="13"/>
  <c r="X3411" i="13"/>
  <c r="X3412" i="13"/>
  <c r="Y3411" i="13"/>
  <c r="X3413" i="13"/>
  <c r="Y3412" i="13"/>
  <c r="X3414" i="13"/>
  <c r="Y3413" i="13"/>
  <c r="X3415" i="13"/>
  <c r="Y3414" i="13"/>
  <c r="Y3415" i="13"/>
  <c r="X3416" i="13"/>
  <c r="Y3416" i="13"/>
  <c r="X3417" i="13"/>
  <c r="Y3417" i="13"/>
  <c r="X3418" i="13"/>
  <c r="X3419" i="13"/>
  <c r="Y3418" i="13"/>
  <c r="X3420" i="13"/>
  <c r="Y3419" i="13"/>
  <c r="X3421" i="13"/>
  <c r="Y3420" i="13"/>
  <c r="X3422" i="13"/>
  <c r="Y3421" i="13"/>
  <c r="X3423" i="13"/>
  <c r="Y3422" i="13"/>
  <c r="X3424" i="13"/>
  <c r="Y3423" i="13"/>
  <c r="Y3424" i="13"/>
  <c r="X3425" i="13"/>
  <c r="Y3425" i="13"/>
  <c r="X3426" i="13"/>
  <c r="Y3426" i="13"/>
  <c r="X3427" i="13"/>
  <c r="Y3427" i="13"/>
  <c r="X3428" i="13"/>
  <c r="Y3428" i="13"/>
  <c r="X3429" i="13"/>
  <c r="X3430" i="13"/>
  <c r="Y3429" i="13"/>
  <c r="Y3430" i="13"/>
  <c r="X3431" i="13"/>
  <c r="Y3431" i="13"/>
  <c r="X3432" i="13"/>
  <c r="X3433" i="13"/>
  <c r="Y3432" i="13"/>
  <c r="X3434" i="13"/>
  <c r="Y3433" i="13"/>
  <c r="X3435" i="13"/>
  <c r="Y3434" i="13"/>
  <c r="Y3435" i="13"/>
  <c r="X3436" i="13"/>
  <c r="X3437" i="13"/>
  <c r="Y3436" i="13"/>
  <c r="Y3437" i="13"/>
  <c r="X3438" i="13"/>
  <c r="Y3438" i="13"/>
  <c r="X3439" i="13"/>
  <c r="X3440" i="13"/>
  <c r="Y3439" i="13"/>
  <c r="Y3440" i="13"/>
  <c r="X3441" i="13"/>
  <c r="X3442" i="13"/>
  <c r="Y3441" i="13"/>
  <c r="Y3442" i="13"/>
  <c r="X3443" i="13"/>
  <c r="X3444" i="13"/>
  <c r="Y3443" i="13"/>
  <c r="X3445" i="13"/>
  <c r="Y3444" i="13"/>
  <c r="X3446" i="13"/>
  <c r="Y3445" i="13"/>
  <c r="X3447" i="13"/>
  <c r="Y3446" i="13"/>
  <c r="X3448" i="13"/>
  <c r="Y3447" i="13"/>
  <c r="X3449" i="13"/>
  <c r="Y3448" i="13"/>
  <c r="X3450" i="13"/>
  <c r="Y3449" i="13"/>
  <c r="Y3450" i="13"/>
  <c r="X3451" i="13"/>
  <c r="Y3451" i="13"/>
  <c r="X3452" i="13"/>
  <c r="X3453" i="13"/>
  <c r="Y3452" i="13"/>
  <c r="X3454" i="13"/>
  <c r="Y3453" i="13"/>
  <c r="Y3454" i="13"/>
  <c r="X3455" i="13"/>
  <c r="Y3455" i="13"/>
  <c r="X3456" i="13"/>
  <c r="Y3456" i="13"/>
  <c r="X3457" i="13"/>
  <c r="Y3457" i="13"/>
  <c r="X3458" i="13"/>
  <c r="X3459" i="13"/>
  <c r="Y3458" i="13"/>
  <c r="X3460" i="13"/>
  <c r="Y3459" i="13"/>
  <c r="Y3460" i="13"/>
  <c r="X3461" i="13"/>
  <c r="X3462" i="13"/>
  <c r="Y3461" i="13"/>
  <c r="X3463" i="13"/>
  <c r="Y3462" i="13"/>
  <c r="Y3463" i="13"/>
  <c r="X3464" i="13"/>
  <c r="Y3464" i="13"/>
  <c r="X3465" i="13"/>
  <c r="Y3465" i="13"/>
  <c r="X3466" i="13"/>
  <c r="Y3466" i="13"/>
  <c r="X3467" i="13"/>
  <c r="X3468" i="13"/>
  <c r="Y3467" i="13"/>
  <c r="X3469" i="13"/>
  <c r="Y3468" i="13"/>
  <c r="Y3469" i="13"/>
  <c r="X3470" i="13"/>
  <c r="X3471" i="13"/>
  <c r="Y3470" i="13"/>
  <c r="X3472" i="13"/>
  <c r="Y3471" i="13"/>
  <c r="X3473" i="13"/>
  <c r="Y3472" i="13"/>
  <c r="X3474" i="13"/>
  <c r="Y3473" i="13"/>
  <c r="X3475" i="13"/>
  <c r="Y3474" i="13"/>
  <c r="X3476" i="13"/>
  <c r="Y3475" i="13"/>
  <c r="Y3476" i="13"/>
  <c r="X3477" i="13"/>
  <c r="X3478" i="13"/>
  <c r="Y3477" i="13"/>
  <c r="X3479" i="13"/>
  <c r="Y3478" i="13"/>
  <c r="X3480" i="13"/>
  <c r="Y3479" i="13"/>
  <c r="X3481" i="13"/>
  <c r="Y3480" i="13"/>
  <c r="X3482" i="13"/>
  <c r="Y3481" i="13"/>
  <c r="X3483" i="13"/>
  <c r="Y3482" i="13"/>
  <c r="Y3483" i="13"/>
  <c r="X3484" i="13"/>
  <c r="X3485" i="13"/>
  <c r="Y3484" i="13"/>
  <c r="Y3485" i="13"/>
  <c r="X3486" i="13"/>
  <c r="Y3486" i="13"/>
  <c r="X3487" i="13"/>
  <c r="Y3487" i="13"/>
  <c r="X3488" i="13"/>
  <c r="Y3488" i="13"/>
  <c r="X3489" i="13"/>
  <c r="Y3489" i="13"/>
  <c r="X3490" i="13"/>
  <c r="Y3490" i="13"/>
  <c r="X3491" i="13"/>
  <c r="Y3491" i="13"/>
  <c r="X3492" i="13"/>
  <c r="X3493" i="13"/>
  <c r="Y3492" i="13"/>
  <c r="X3494" i="13"/>
  <c r="Y3493" i="13"/>
  <c r="X3495" i="13"/>
  <c r="Y3494" i="13"/>
  <c r="Y3495" i="13"/>
  <c r="X3496" i="13"/>
  <c r="Y3496" i="13"/>
  <c r="X3497" i="13"/>
  <c r="X3498" i="13"/>
  <c r="Y3497" i="13"/>
  <c r="X3499" i="13"/>
  <c r="Y3498" i="13"/>
  <c r="Y3499" i="13"/>
  <c r="X3500" i="13"/>
  <c r="X3501" i="13"/>
  <c r="Y3500" i="13"/>
  <c r="X3502" i="13"/>
  <c r="Y3501" i="13"/>
  <c r="X3503" i="13"/>
  <c r="Y3502" i="13"/>
  <c r="X3504" i="13"/>
  <c r="Y3503" i="13"/>
  <c r="Y3504" i="13"/>
  <c r="X3505" i="13"/>
  <c r="X3506" i="13"/>
  <c r="Y3505" i="13"/>
  <c r="Y3506" i="13"/>
  <c r="X3507" i="13"/>
  <c r="X3508" i="13"/>
  <c r="Y3507" i="13"/>
  <c r="Y3508" i="13"/>
  <c r="X3509" i="13"/>
  <c r="X3510" i="13"/>
  <c r="Y3509" i="13"/>
  <c r="X3511" i="13"/>
  <c r="Y3510" i="13"/>
  <c r="X3512" i="13"/>
  <c r="Y3511" i="13"/>
  <c r="X3513" i="13"/>
  <c r="Y3512" i="13"/>
  <c r="X3514" i="13"/>
  <c r="Y3513" i="13"/>
  <c r="X3515" i="13"/>
  <c r="Y3514" i="13"/>
  <c r="X3516" i="13"/>
  <c r="Y3515" i="13"/>
  <c r="Y3516" i="13"/>
  <c r="X3517" i="13"/>
  <c r="X3518" i="13"/>
  <c r="Y3517" i="13"/>
  <c r="Y3518" i="13"/>
  <c r="X3519" i="13"/>
  <c r="X3520" i="13"/>
  <c r="Y3519" i="13"/>
  <c r="Y3520" i="13"/>
  <c r="X3521" i="13"/>
  <c r="Y3521" i="13"/>
  <c r="X3522" i="13"/>
  <c r="Y3522" i="13"/>
  <c r="X3523" i="13"/>
  <c r="X3524" i="13"/>
  <c r="Y3523" i="13"/>
  <c r="Y3524" i="13"/>
  <c r="X3525" i="13"/>
  <c r="X3526" i="13"/>
  <c r="Y3525" i="13"/>
  <c r="Y3526" i="13"/>
  <c r="X3527" i="13"/>
  <c r="X3528" i="13"/>
  <c r="Y3527" i="13"/>
  <c r="X3529" i="13"/>
  <c r="Y3528" i="13"/>
  <c r="Y3529" i="13"/>
  <c r="X3530" i="13"/>
  <c r="Y3530" i="13"/>
  <c r="X3531" i="13"/>
  <c r="X3532" i="13"/>
  <c r="Y3531" i="13"/>
  <c r="X3533" i="13"/>
  <c r="Y3532" i="13"/>
  <c r="X3534" i="13"/>
  <c r="Y3533" i="13"/>
  <c r="Y3534" i="13"/>
  <c r="X3535" i="13"/>
  <c r="X3536" i="13"/>
  <c r="Y3535" i="13"/>
  <c r="X3537" i="13"/>
  <c r="Y3536" i="13"/>
  <c r="Y3537" i="13"/>
  <c r="X3538" i="13"/>
  <c r="Y3538" i="13"/>
  <c r="X3539" i="13"/>
  <c r="X3540" i="13"/>
  <c r="Y3539" i="13"/>
  <c r="X3541" i="13"/>
  <c r="Y3540" i="13"/>
  <c r="X3542" i="13"/>
  <c r="Y3541" i="13"/>
  <c r="X3543" i="13"/>
  <c r="Y3542" i="13"/>
  <c r="Y3543" i="13"/>
  <c r="X3544" i="13"/>
  <c r="Y3544" i="13"/>
  <c r="X3545" i="13"/>
  <c r="Y3545" i="13"/>
  <c r="X3546" i="13"/>
  <c r="X3547" i="13"/>
  <c r="Y3546" i="13"/>
  <c r="X3548" i="13"/>
  <c r="Y3547" i="13"/>
  <c r="Y3548" i="13"/>
  <c r="X3549" i="13"/>
  <c r="X3550" i="13"/>
  <c r="Y3549" i="13"/>
  <c r="X3551" i="13"/>
  <c r="Y3550" i="13"/>
  <c r="X3552" i="13"/>
  <c r="Y3551" i="13"/>
  <c r="Z19" i="13" a="1"/>
  <c r="Y3552" i="13"/>
  <c r="Z1309" i="13" l="1"/>
  <c r="Z2783" i="13"/>
  <c r="Z3502" i="13"/>
  <c r="Z1973" i="13"/>
  <c r="Z255" i="13"/>
  <c r="Z2093" i="13"/>
  <c r="Z715" i="13"/>
  <c r="Z1457" i="13"/>
  <c r="Z340" i="13"/>
  <c r="Z1267" i="13"/>
  <c r="Z311" i="13"/>
  <c r="Z3387" i="13"/>
  <c r="Z1827" i="13"/>
  <c r="Z2120" i="13"/>
  <c r="Z1444" i="13"/>
  <c r="Z2463" i="13"/>
  <c r="Z1667" i="13"/>
  <c r="Z1487" i="13"/>
  <c r="Z2143" i="13"/>
  <c r="Z543" i="13"/>
  <c r="Z2627" i="13"/>
  <c r="Z73" i="13"/>
  <c r="Z413" i="13"/>
  <c r="Z306" i="13"/>
  <c r="Z2654" i="13"/>
  <c r="Z519" i="13"/>
  <c r="Z2058" i="13"/>
  <c r="Z379" i="13"/>
  <c r="Z3218" i="13"/>
  <c r="Z2929" i="13"/>
  <c r="Z1255" i="13"/>
  <c r="Z3486" i="13"/>
  <c r="Z1360" i="13"/>
  <c r="Z1305" i="13"/>
  <c r="Z1319" i="13"/>
  <c r="Z2222" i="13"/>
  <c r="Z2949" i="13"/>
  <c r="Z43" i="13"/>
  <c r="Z462" i="13"/>
  <c r="Z2955" i="13"/>
  <c r="Z269" i="13"/>
  <c r="Z2041" i="13"/>
  <c r="Z3225" i="13"/>
  <c r="Z1758" i="13"/>
  <c r="Z2576" i="13"/>
  <c r="Z1092" i="13"/>
  <c r="Z3020" i="13"/>
  <c r="Z1284" i="13"/>
  <c r="Z3518" i="13"/>
  <c r="Z2865" i="13"/>
  <c r="Z2933" i="13"/>
  <c r="Z2376" i="13"/>
  <c r="Z181" i="13"/>
  <c r="Z277" i="13"/>
  <c r="Z2197" i="13"/>
  <c r="Z1777" i="13"/>
  <c r="Z1232" i="13"/>
  <c r="Z2575" i="13"/>
  <c r="Z2388" i="13"/>
  <c r="Z1285" i="13"/>
  <c r="Z824" i="13"/>
  <c r="Z983" i="13"/>
  <c r="Z2610" i="13"/>
  <c r="Z2364" i="13"/>
  <c r="Z1572" i="13"/>
  <c r="Z568" i="13"/>
  <c r="Z3110" i="13"/>
  <c r="Z882" i="13"/>
  <c r="Z2328" i="13"/>
  <c r="Z309" i="13"/>
  <c r="Z2547" i="13"/>
  <c r="Z821" i="13"/>
  <c r="Z604" i="13"/>
  <c r="Z1225" i="13"/>
  <c r="Z1726" i="13"/>
  <c r="Z1974" i="13"/>
  <c r="Z2089" i="13"/>
  <c r="Z1504" i="13"/>
  <c r="Z795" i="13"/>
  <c r="Z3219" i="13"/>
  <c r="Z1670" i="13"/>
  <c r="Z3112" i="13"/>
  <c r="Z1581" i="13"/>
  <c r="Z1547" i="13"/>
  <c r="Z2521" i="13"/>
  <c r="Z1175" i="13"/>
  <c r="Z3195" i="13"/>
  <c r="Z1184" i="13"/>
  <c r="Z3307" i="13"/>
  <c r="Z3513" i="13"/>
  <c r="Z2035" i="13"/>
  <c r="Z2183" i="13"/>
  <c r="Z2355" i="13"/>
  <c r="Z81" i="13"/>
  <c r="Z2773" i="13"/>
  <c r="Z1535" i="13"/>
  <c r="Z907" i="13"/>
  <c r="Z2483" i="13"/>
  <c r="Z1295" i="13"/>
  <c r="Z1992" i="13"/>
  <c r="Z3452" i="13"/>
  <c r="Z1428" i="13"/>
  <c r="Z3424" i="13"/>
  <c r="Z2669" i="13"/>
  <c r="Z946" i="13"/>
  <c r="Z447" i="13"/>
  <c r="Z1481" i="13"/>
  <c r="Z3206" i="13"/>
  <c r="Z3253" i="13"/>
  <c r="Z2618" i="13"/>
  <c r="Z2869" i="13"/>
  <c r="Z343" i="13"/>
  <c r="Z2861" i="13"/>
  <c r="Z2883" i="13"/>
  <c r="Z1948" i="13"/>
  <c r="Z2603" i="13"/>
  <c r="Z1895" i="13"/>
  <c r="Z2758" i="13"/>
  <c r="Z2447" i="13"/>
  <c r="Z2826" i="13"/>
  <c r="Z1565" i="13"/>
  <c r="Z1064" i="13"/>
  <c r="Z3435" i="13"/>
  <c r="Z895" i="13"/>
  <c r="Z1521" i="13"/>
  <c r="Z1343" i="13"/>
  <c r="Z1545" i="13"/>
  <c r="Z64" i="13"/>
  <c r="Z745" i="13"/>
  <c r="Z1729" i="13"/>
  <c r="Z405" i="13"/>
  <c r="Z2875" i="13"/>
  <c r="Z3169" i="13"/>
  <c r="Z3176" i="13"/>
  <c r="Z354" i="13"/>
  <c r="Z3285" i="13"/>
  <c r="Z1848" i="13"/>
  <c r="Z1015" i="13"/>
  <c r="Z1083" i="13"/>
  <c r="Z2048" i="13"/>
  <c r="Z640" i="13"/>
  <c r="Z29" i="13"/>
  <c r="Z192" i="13"/>
  <c r="Z3187" i="13"/>
  <c r="Z1786" i="13"/>
  <c r="Z1780" i="13"/>
  <c r="Z2807" i="13"/>
  <c r="Z1693" i="13"/>
  <c r="Z2139" i="13"/>
  <c r="Z1223" i="13"/>
  <c r="Z2156" i="13"/>
  <c r="Z2401" i="13"/>
  <c r="Z912" i="13"/>
  <c r="Z820" i="13"/>
  <c r="Z2198" i="13"/>
  <c r="Z204" i="13"/>
  <c r="Z581" i="13"/>
  <c r="Z474" i="13"/>
  <c r="Z1566" i="13"/>
  <c r="Z1325" i="13"/>
  <c r="Z1649" i="13"/>
  <c r="Z267" i="13"/>
  <c r="Z2944" i="13"/>
  <c r="Z1383" i="13"/>
  <c r="Z3453" i="13"/>
  <c r="Z3314" i="13"/>
  <c r="Z2782" i="13"/>
  <c r="Z1234" i="13"/>
  <c r="Z636" i="13"/>
  <c r="Z109" i="13"/>
  <c r="Z2471" i="13"/>
  <c r="Z196" i="13"/>
  <c r="Z855" i="13"/>
  <c r="Z2010" i="13"/>
  <c r="Z1894" i="13"/>
  <c r="Z963" i="13"/>
  <c r="Z3512" i="13"/>
  <c r="Z1406" i="13"/>
  <c r="Z1812" i="13"/>
  <c r="Z2281" i="13"/>
  <c r="Z164" i="13"/>
  <c r="Z1976" i="13"/>
  <c r="Z960" i="13"/>
  <c r="Z1099" i="13"/>
  <c r="Z506" i="13"/>
  <c r="Z1850" i="13"/>
  <c r="Z662" i="13"/>
  <c r="Z137" i="13"/>
  <c r="Z1942" i="13"/>
  <c r="Z3095" i="13"/>
  <c r="Z3372" i="13"/>
  <c r="Z752" i="13"/>
  <c r="Z3381" i="13"/>
  <c r="Z470" i="13"/>
  <c r="Z557" i="13"/>
  <c r="Z928" i="13"/>
  <c r="Z3226" i="13"/>
  <c r="Z1158" i="13"/>
  <c r="Z3146" i="13"/>
  <c r="Z2680" i="13"/>
  <c r="Z755" i="13"/>
  <c r="Z1918" i="13"/>
  <c r="Z371" i="13"/>
  <c r="Z2507" i="13"/>
  <c r="Z2835" i="13"/>
  <c r="Z3046" i="13"/>
  <c r="Z2766" i="13"/>
  <c r="Z3543" i="13"/>
  <c r="Z813" i="13"/>
  <c r="Z3138" i="13"/>
  <c r="Z1049" i="13"/>
  <c r="Z89" i="13"/>
  <c r="Z1925" i="13"/>
  <c r="Z718" i="13"/>
  <c r="Z3371" i="13"/>
  <c r="Z3537" i="13"/>
  <c r="Z504" i="13"/>
  <c r="Z1607" i="13"/>
  <c r="Z2645" i="13"/>
  <c r="Z1270" i="13"/>
  <c r="Z1329" i="13"/>
  <c r="Z2578" i="13"/>
  <c r="Z360" i="13"/>
  <c r="Z260" i="13"/>
  <c r="Z1841" i="13"/>
  <c r="Z1321" i="13"/>
  <c r="Z1713" i="13"/>
  <c r="Z1708" i="13"/>
  <c r="Z300" i="13"/>
  <c r="Z127" i="13"/>
  <c r="Z2472" i="13"/>
  <c r="Z2804" i="13"/>
  <c r="Z2190" i="13"/>
  <c r="Z1441" i="13"/>
  <c r="Z2800" i="13"/>
  <c r="Z3414" i="13"/>
  <c r="Z2427" i="13"/>
  <c r="Z3077" i="13"/>
  <c r="Z1762" i="13"/>
  <c r="Z3025" i="13"/>
  <c r="Z1760" i="13"/>
  <c r="Z1219" i="13"/>
  <c r="Z2733" i="13"/>
  <c r="Z1674" i="13"/>
  <c r="Z3137" i="13"/>
  <c r="Z104" i="13"/>
  <c r="Z2760" i="13"/>
  <c r="Z1879" i="13"/>
  <c r="Z2175" i="13"/>
  <c r="Z374" i="13"/>
  <c r="Z3385" i="13"/>
  <c r="Z3235" i="13"/>
  <c r="Z2106" i="13"/>
  <c r="Z638" i="13"/>
  <c r="Z3361" i="13"/>
  <c r="Z2588" i="13"/>
  <c r="Z361" i="13"/>
  <c r="Z34" i="13"/>
  <c r="Z2906" i="13"/>
  <c r="Z417" i="13"/>
  <c r="Z1983" i="13"/>
  <c r="Z1560" i="13"/>
  <c r="Z3057" i="13"/>
  <c r="Z816" i="13"/>
  <c r="Z1473" i="13"/>
  <c r="Z841" i="13"/>
  <c r="Z1510" i="13"/>
  <c r="Z185" i="13"/>
  <c r="Z1135" i="13"/>
  <c r="Z1896" i="13"/>
  <c r="Z2215" i="13"/>
  <c r="Z2019" i="13"/>
  <c r="Z803" i="13"/>
  <c r="Z2876" i="13"/>
  <c r="Z2762" i="13"/>
  <c r="Z1181" i="13"/>
  <c r="Z2852" i="13"/>
  <c r="Z2616" i="13"/>
  <c r="Z1408" i="13"/>
  <c r="Z684" i="13"/>
  <c r="Z1366" i="13"/>
  <c r="Z336" i="13"/>
  <c r="Z788" i="13"/>
  <c r="Z424" i="13"/>
  <c r="Z3420" i="13"/>
  <c r="Z3177" i="13"/>
  <c r="Z418" i="13"/>
  <c r="Z864" i="13"/>
  <c r="Z3492" i="13"/>
  <c r="Z849" i="13"/>
  <c r="Z2533" i="13"/>
  <c r="Z297" i="13"/>
  <c r="Z3012" i="13"/>
  <c r="Z900" i="13"/>
  <c r="Z2611" i="13"/>
  <c r="Z586" i="13"/>
  <c r="Z881" i="13"/>
  <c r="Z2484" i="13"/>
  <c r="Z2209" i="13"/>
  <c r="Z921" i="13"/>
  <c r="Z742" i="13"/>
  <c r="Z1440" i="13"/>
  <c r="Z409" i="13"/>
  <c r="Z603" i="13"/>
  <c r="Z2287" i="13"/>
  <c r="Z434" i="13"/>
  <c r="Z757" i="13"/>
  <c r="Z569" i="13"/>
  <c r="Z1438" i="13"/>
  <c r="Z2352" i="13"/>
  <c r="Z24" i="13"/>
  <c r="Z69" i="13"/>
  <c r="Z88" i="13"/>
  <c r="Z2895" i="13"/>
  <c r="Z1701" i="13"/>
  <c r="Z1306" i="13"/>
  <c r="Z554" i="13"/>
  <c r="Z2843" i="13"/>
  <c r="Z1923" i="13"/>
  <c r="Z2348" i="13"/>
  <c r="Z780" i="13"/>
  <c r="Z313" i="13"/>
  <c r="Z1774" i="13"/>
  <c r="Z1209" i="13"/>
  <c r="Z1133" i="13"/>
  <c r="Z2378" i="13"/>
  <c r="Z3386" i="13"/>
  <c r="Z3495" i="13"/>
  <c r="Z1054" i="13"/>
  <c r="Z2626" i="13"/>
  <c r="Z768" i="13"/>
  <c r="Z2986" i="13"/>
  <c r="Z878" i="13"/>
  <c r="Z2070" i="13"/>
  <c r="Z516" i="13"/>
  <c r="Z1723" i="13"/>
  <c r="Z1523" i="13"/>
  <c r="Z1710" i="13"/>
  <c r="Z1439" i="13"/>
  <c r="Z1897" i="13"/>
  <c r="Z566" i="13"/>
  <c r="Z3015" i="13"/>
  <c r="Z1243" i="13"/>
  <c r="Z3511" i="13"/>
  <c r="Z1421" i="13"/>
  <c r="Z3154" i="13"/>
  <c r="Z3343" i="13"/>
  <c r="Z1452" i="13"/>
  <c r="Z2596" i="13"/>
  <c r="Z2331" i="13"/>
  <c r="Z3027" i="13"/>
  <c r="Z2737" i="13"/>
  <c r="Z3383" i="13"/>
  <c r="Z146" i="13"/>
  <c r="Z3078" i="13"/>
  <c r="Z2252" i="13"/>
  <c r="Z1188" i="13"/>
  <c r="Z158" i="13"/>
  <c r="Z3491" i="13"/>
  <c r="Z2599" i="13"/>
  <c r="Z292" i="13"/>
  <c r="Z1018" i="13"/>
  <c r="Z2186" i="13"/>
  <c r="Z531" i="13"/>
  <c r="Z85" i="13"/>
  <c r="Z962" i="13"/>
  <c r="Z236" i="13"/>
  <c r="Z3210" i="13"/>
  <c r="Z3514" i="13"/>
  <c r="Z716" i="13"/>
  <c r="Z2141" i="13"/>
  <c r="Z39" i="13"/>
  <c r="Z2684" i="13"/>
  <c r="Z1580" i="13"/>
  <c r="Z950" i="13"/>
  <c r="Z2043" i="13"/>
  <c r="Z2289" i="13"/>
  <c r="Z786" i="13"/>
  <c r="Z2868" i="13"/>
  <c r="Z596" i="13"/>
  <c r="Z2208" i="13"/>
  <c r="Z352" i="13"/>
  <c r="Z628" i="13"/>
  <c r="Z3323" i="13"/>
  <c r="Z1268" i="13"/>
  <c r="Z2553" i="13"/>
  <c r="Z3119" i="13"/>
  <c r="Z2316" i="13"/>
  <c r="Z1276" i="13"/>
  <c r="Z2458" i="13"/>
  <c r="Z225" i="13"/>
  <c r="Z1578" i="13"/>
  <c r="Z2508" i="13"/>
  <c r="Z3412" i="13"/>
  <c r="Z2700" i="13"/>
  <c r="Z2085" i="13"/>
  <c r="Z167" i="13"/>
  <c r="Z1617" i="13"/>
  <c r="Z385" i="13"/>
  <c r="Z293" i="13"/>
  <c r="Z2330" i="13"/>
  <c r="Z2250" i="13"/>
  <c r="Z3221" i="13"/>
  <c r="Z2006" i="13"/>
  <c r="Z2060" i="13"/>
  <c r="Z871" i="13"/>
  <c r="Z2891" i="13"/>
  <c r="Z2216" i="13"/>
  <c r="Z1614" i="13"/>
  <c r="Z1616" i="13"/>
  <c r="Z2745" i="13"/>
  <c r="Z124" i="13"/>
  <c r="Z2855" i="13"/>
  <c r="Z954" i="13"/>
  <c r="Z1141" i="13"/>
  <c r="Z622" i="13"/>
  <c r="Z2065" i="13"/>
  <c r="Z3236" i="13"/>
  <c r="Z1401" i="13"/>
  <c r="Z2424" i="13"/>
  <c r="Z3322" i="13"/>
  <c r="Z2914" i="13"/>
  <c r="Z3121" i="13"/>
  <c r="Z1221" i="13"/>
  <c r="Z1620" i="13"/>
  <c r="Z905" i="13"/>
  <c r="Z764" i="13"/>
  <c r="Z3507" i="13"/>
  <c r="Z728" i="13"/>
  <c r="Z3291" i="13"/>
  <c r="Z1134" i="13"/>
  <c r="Z1425" i="13"/>
  <c r="Z2269" i="13"/>
  <c r="Z2322" i="13"/>
  <c r="Z1881" i="13"/>
  <c r="Z2752" i="13"/>
  <c r="Z1543" i="13"/>
  <c r="Z1655" i="13"/>
  <c r="Z1533" i="13"/>
  <c r="Z2791" i="13"/>
  <c r="Z3344" i="13"/>
  <c r="Z739" i="13"/>
  <c r="Z2581" i="13"/>
  <c r="Z2750" i="13"/>
  <c r="Z366" i="13"/>
  <c r="Z3139" i="13"/>
  <c r="Z597" i="13"/>
  <c r="Z2018" i="13"/>
  <c r="Z326" i="13"/>
  <c r="Z1750" i="13"/>
  <c r="Z2844" i="13"/>
  <c r="Z2952" i="13"/>
  <c r="Z1692" i="13"/>
  <c r="Z2605" i="13"/>
  <c r="Z404" i="13"/>
  <c r="Z1363" i="13"/>
  <c r="Z1506" i="13"/>
  <c r="Z1705" i="13"/>
  <c r="Z2954" i="13"/>
  <c r="Z1224" i="13"/>
  <c r="Z3147" i="13"/>
  <c r="Z1222" i="13"/>
  <c r="Z3429" i="13"/>
  <c r="Z415" i="13"/>
  <c r="Z949" i="13"/>
  <c r="Z1344" i="13"/>
  <c r="Z3539" i="13"/>
  <c r="Z2020" i="13"/>
  <c r="Z1069" i="13"/>
  <c r="Z3269" i="13"/>
  <c r="Z1453" i="13"/>
  <c r="Z2644" i="13"/>
  <c r="Z3241" i="13"/>
  <c r="Z798" i="13"/>
  <c r="Z1098" i="13"/>
  <c r="Z3085" i="13"/>
  <c r="Z114" i="13"/>
  <c r="Z2702" i="13"/>
  <c r="Z1254" i="13"/>
  <c r="Z2349" i="13"/>
  <c r="Z1538" i="13"/>
  <c r="Z1078" i="13"/>
  <c r="Z1179" i="13"/>
  <c r="Z537" i="13"/>
  <c r="Z129" i="13"/>
  <c r="Z2991" i="13"/>
  <c r="Z1834" i="13"/>
  <c r="Z3551" i="13"/>
  <c r="Z2548" i="13"/>
  <c r="Z2726" i="13"/>
  <c r="Z1590" i="13"/>
  <c r="Z2719" i="13"/>
  <c r="Z1950" i="13"/>
  <c r="Z2725" i="13"/>
  <c r="Z74" i="13"/>
  <c r="Z351" i="13"/>
  <c r="Z3062" i="13"/>
  <c r="Z3374" i="13"/>
  <c r="Z1129" i="13"/>
  <c r="Z3038" i="13"/>
  <c r="Z1949" i="13"/>
  <c r="Z2768" i="13"/>
  <c r="Z2158" i="13"/>
  <c r="Z1001" i="13"/>
  <c r="Z3320" i="13"/>
  <c r="Z3271" i="13"/>
  <c r="Z1853" i="13"/>
  <c r="Z1420" i="13"/>
  <c r="Z1369" i="13"/>
  <c r="Z1492" i="13"/>
  <c r="Z3473" i="13"/>
  <c r="Z2439" i="13"/>
  <c r="Z1584" i="13"/>
  <c r="Z2974" i="13"/>
  <c r="Z258" i="13"/>
  <c r="Z766" i="13"/>
  <c r="Z2524" i="13"/>
  <c r="Z1825" i="13"/>
  <c r="Z481" i="13"/>
  <c r="Z906" i="13"/>
  <c r="Z3398" i="13"/>
  <c r="Z2877" i="13"/>
  <c r="Z2228" i="13"/>
  <c r="Z2622" i="13"/>
  <c r="Z2091" i="13"/>
  <c r="Z2922" i="13"/>
  <c r="Z183" i="13"/>
  <c r="Z2159" i="13"/>
  <c r="Z547" i="13"/>
  <c r="Z1888" i="13"/>
  <c r="Z937" i="13"/>
  <c r="Z2537" i="13"/>
  <c r="Z2114" i="13"/>
  <c r="Z1501" i="13"/>
  <c r="Z2716" i="13"/>
  <c r="Z920" i="13"/>
  <c r="Z1742" i="13"/>
  <c r="Z772" i="13"/>
  <c r="Z1871" i="13"/>
  <c r="Z2204" i="13"/>
  <c r="Z2670" i="13"/>
  <c r="Z1910" i="13"/>
  <c r="Z2511" i="13"/>
  <c r="Z2332" i="13"/>
  <c r="Z1906" i="13"/>
  <c r="Z3443" i="13"/>
  <c r="Z1236" i="13"/>
  <c r="Z3004" i="13"/>
  <c r="Z2234" i="13"/>
  <c r="Z2931" i="13"/>
  <c r="Z619" i="13"/>
  <c r="Z419" i="13"/>
  <c r="Z2926" i="13"/>
  <c r="Z3244" i="13"/>
  <c r="Z2936" i="13"/>
  <c r="Z1286" i="13"/>
  <c r="Z1717" i="13"/>
  <c r="Z2811" i="13"/>
  <c r="Z2701" i="13"/>
  <c r="Z2697" i="13"/>
  <c r="Z3296" i="13"/>
  <c r="Z1711" i="13"/>
  <c r="Z3497" i="13"/>
  <c r="Z1476" i="13"/>
  <c r="Z2637" i="13"/>
  <c r="Z168" i="13"/>
  <c r="Z1790" i="13"/>
  <c r="Z879" i="13"/>
  <c r="Z2917" i="13"/>
  <c r="Z2522" i="13"/>
  <c r="Z327" i="13"/>
  <c r="Z2224" i="13"/>
  <c r="Z2988" i="13"/>
  <c r="Z3032" i="13"/>
  <c r="Z3054" i="13"/>
  <c r="Z3160" i="13"/>
  <c r="Z1186" i="13"/>
  <c r="Z2809" i="13"/>
  <c r="Z3017" i="13"/>
  <c r="Z1023" i="13"/>
  <c r="Z2723" i="13"/>
  <c r="Z2406" i="13"/>
  <c r="Z624" i="13"/>
  <c r="Z3365" i="13"/>
  <c r="Z152" i="13"/>
  <c r="Z95" i="13"/>
  <c r="Z212" i="13"/>
  <c r="Z3194" i="13"/>
  <c r="Z1646" i="13"/>
  <c r="Z1169" i="13"/>
  <c r="Z570" i="13"/>
  <c r="Z191" i="13"/>
  <c r="Z544" i="13"/>
  <c r="Z3370" i="13"/>
  <c r="Z2299" i="13"/>
  <c r="Z2090" i="13"/>
  <c r="Z2646" i="13"/>
  <c r="Z2801" i="13"/>
  <c r="Z315" i="13"/>
  <c r="Z2235" i="13"/>
  <c r="Z2964" i="13"/>
  <c r="Z3274" i="13"/>
  <c r="Z2335" i="13"/>
  <c r="Z1014" i="13"/>
  <c r="Z2657" i="13"/>
  <c r="Z3129" i="13"/>
  <c r="Z3474" i="13"/>
  <c r="Z887" i="13"/>
  <c r="Z1822" i="13"/>
  <c r="Z3061" i="13"/>
  <c r="Z748" i="13"/>
  <c r="Z839" i="13"/>
  <c r="Z2071" i="13"/>
  <c r="Z2953" i="13"/>
  <c r="Z3446" i="13"/>
  <c r="Z3477" i="13"/>
  <c r="Z652" i="13"/>
  <c r="Z1624" i="13"/>
  <c r="Z2633" i="13"/>
  <c r="Z2519" i="13"/>
  <c r="Z2162" i="13"/>
  <c r="Z3302" i="13"/>
  <c r="Z2482" i="13"/>
  <c r="Z301" i="13"/>
  <c r="Z1355" i="13"/>
  <c r="Z2864" i="13"/>
  <c r="Z903" i="13"/>
  <c r="Z19" i="13"/>
  <c r="Z2001" i="13"/>
  <c r="Z2227" i="13"/>
  <c r="Z672" i="13"/>
  <c r="Z2497" i="13"/>
  <c r="Z433" i="13"/>
  <c r="Z2166" i="13"/>
  <c r="Z2087" i="13"/>
  <c r="Z456" i="13"/>
  <c r="Z2226" i="13"/>
  <c r="Z245" i="13"/>
  <c r="Z375" i="13"/>
  <c r="Z2277" i="13"/>
  <c r="Z3199" i="13"/>
  <c r="Z170" i="13"/>
  <c r="Z3076" i="13"/>
  <c r="Z539" i="13"/>
  <c r="Z3395" i="13"/>
  <c r="Z1691" i="13"/>
  <c r="Z1996" i="13"/>
  <c r="Z403" i="13"/>
  <c r="Z2517" i="13"/>
  <c r="Z694" i="13"/>
  <c r="Z998" i="13"/>
  <c r="Z701" i="13"/>
  <c r="Z21" i="13"/>
  <c r="Z1551" i="13"/>
  <c r="Z3011" i="13"/>
  <c r="Z33" i="13"/>
  <c r="Z609" i="13"/>
  <c r="Z2959" i="13"/>
  <c r="Z3525" i="13"/>
  <c r="Z890" i="13"/>
  <c r="Z1770" i="13"/>
  <c r="Z642" i="13"/>
  <c r="Z2320" i="13"/>
  <c r="Z3406" i="13"/>
  <c r="Z2567" i="13"/>
  <c r="Z2419" i="13"/>
  <c r="Z1104" i="13"/>
  <c r="Z2097" i="13"/>
  <c r="Z2921" i="13"/>
  <c r="Z620" i="13"/>
  <c r="Z2421" i="13"/>
  <c r="Z2727" i="13"/>
  <c r="Z2744" i="13"/>
  <c r="Z520" i="13"/>
  <c r="Z1043" i="13"/>
  <c r="Z356" i="13"/>
  <c r="Z2842" i="13"/>
  <c r="Z3171" i="13"/>
  <c r="Z457" i="13"/>
  <c r="Z20" i="13"/>
  <c r="Z441" i="13"/>
  <c r="Z2850" i="13"/>
  <c r="Z1682" i="13"/>
  <c r="Z431" i="13"/>
  <c r="Z446" i="13"/>
  <c r="Z3136" i="13"/>
  <c r="Z3140" i="13"/>
  <c r="Z724" i="13"/>
  <c r="Z2884" i="13"/>
  <c r="Z1486" i="13"/>
  <c r="Z1047" i="13"/>
  <c r="Z746" i="13"/>
  <c r="Z964" i="13"/>
  <c r="Z184" i="13"/>
  <c r="Z2314" i="13"/>
  <c r="Z2179" i="13"/>
  <c r="Z125" i="13"/>
  <c r="Z2552" i="13"/>
  <c r="Z2720" i="13"/>
  <c r="Z2181" i="13"/>
  <c r="Z1961" i="13"/>
  <c r="Z443" i="13"/>
  <c r="Z1028" i="13"/>
  <c r="Z2652" i="13"/>
  <c r="Z908" i="13"/>
  <c r="Z283" i="13"/>
  <c r="Z3030" i="13"/>
  <c r="Z1362" i="13"/>
  <c r="Z1297" i="13"/>
  <c r="Z220" i="13"/>
  <c r="Z931" i="13"/>
  <c r="Z2672" i="13"/>
  <c r="Z83" i="13"/>
  <c r="Z1659" i="13"/>
  <c r="Z938" i="13"/>
  <c r="Z1339" i="13"/>
  <c r="Z2736" i="13"/>
  <c r="Z940" i="13"/>
  <c r="Z3524" i="13"/>
  <c r="Z1207" i="13"/>
  <c r="Z496" i="13"/>
  <c r="Z3047" i="13"/>
  <c r="Z627" i="13"/>
  <c r="Z1603" i="13"/>
  <c r="Z886" i="13"/>
  <c r="Z3499" i="13"/>
  <c r="Z2896" i="13"/>
  <c r="Z1348" i="13"/>
  <c r="Z850" i="13"/>
  <c r="Z1509" i="13"/>
  <c r="Z1633" i="13"/>
  <c r="Z2784" i="13"/>
  <c r="Z845" i="13"/>
  <c r="Z847" i="13"/>
  <c r="Z863" i="13"/>
  <c r="Z1606" i="13"/>
  <c r="Z1485" i="13"/>
  <c r="Z2898" i="13"/>
  <c r="Z984" i="13"/>
  <c r="Z188" i="13"/>
  <c r="Z3352" i="13"/>
  <c r="Z2540" i="13"/>
  <c r="Z3407" i="13"/>
  <c r="Z3167" i="13"/>
  <c r="Z2679" i="13"/>
  <c r="Z1035" i="13"/>
  <c r="Z1461" i="13"/>
  <c r="Z2066" i="13"/>
  <c r="Z965" i="13"/>
  <c r="Z885" i="13"/>
  <c r="Z2639" i="13"/>
  <c r="Z2928" i="13"/>
  <c r="Z1805" i="13"/>
  <c r="Z3292" i="13"/>
  <c r="Z2902" i="13"/>
  <c r="Z3519" i="13"/>
  <c r="Z2425" i="13"/>
  <c r="Z756" i="13"/>
  <c r="Z2291" i="13"/>
  <c r="Z2392" i="13"/>
  <c r="Z2860" i="13"/>
  <c r="Z3331" i="13"/>
  <c r="Z148" i="13"/>
  <c r="Z1280" i="13"/>
  <c r="Z257" i="13"/>
  <c r="Z3142" i="13"/>
  <c r="Z3399" i="13"/>
  <c r="Z30" i="13"/>
  <c r="Z2423" i="13"/>
  <c r="Z3006" i="13"/>
  <c r="Z2391" i="13"/>
  <c r="Z26" i="13"/>
  <c r="Z112" i="13"/>
  <c r="Z1508" i="13"/>
  <c r="Z1771" i="13"/>
  <c r="Z1153" i="13"/>
  <c r="Z2566" i="13"/>
  <c r="Z323" i="13"/>
  <c r="Z2405" i="13"/>
  <c r="Z2145" i="13"/>
  <c r="Z3029" i="13"/>
  <c r="Z2008" i="13"/>
  <c r="Z2531" i="13"/>
  <c r="Z1725" i="13"/>
  <c r="Z202" i="13"/>
  <c r="Z314" i="13"/>
  <c r="Z1202" i="13"/>
  <c r="Z2015" i="13"/>
  <c r="Z3442" i="13"/>
  <c r="Z2408" i="13"/>
  <c r="Z2951" i="13"/>
  <c r="Z687" i="13"/>
  <c r="Z1945" i="13"/>
  <c r="Z799" i="13"/>
  <c r="Z550" i="13"/>
  <c r="Z2440" i="13"/>
  <c r="Z2084" i="13"/>
  <c r="Z110" i="13"/>
  <c r="Z1264" i="13"/>
  <c r="Z2438" i="13"/>
  <c r="Z866" i="13"/>
  <c r="Z1558" i="13"/>
  <c r="Z737" i="13"/>
  <c r="Z473" i="13"/>
  <c r="Z3336" i="13"/>
  <c r="Z1863" i="13"/>
  <c r="Z2315" i="13"/>
  <c r="Z3436" i="13"/>
  <c r="Z490" i="13"/>
  <c r="Z1399" i="13"/>
  <c r="Z3090" i="13"/>
  <c r="Z1623" i="13"/>
  <c r="Z2028" i="13"/>
  <c r="Z291" i="13"/>
  <c r="Z3549" i="13"/>
  <c r="Z1472" i="13"/>
  <c r="Z78" i="13"/>
  <c r="Z1493" i="13"/>
  <c r="Z406" i="13"/>
  <c r="Z435" i="13"/>
  <c r="Z320" i="13"/>
  <c r="Z2178" i="13"/>
  <c r="Z2930" i="13"/>
  <c r="Z1987" i="13"/>
  <c r="Z455" i="13"/>
  <c r="Z305" i="13"/>
  <c r="Z94" i="13"/>
  <c r="Z2337" i="13"/>
  <c r="Z2530" i="13"/>
  <c r="Z511" i="13"/>
  <c r="Z3402" i="13"/>
  <c r="Z154" i="13"/>
  <c r="Z3416" i="13"/>
  <c r="Z2871" i="13"/>
  <c r="Z2374" i="13"/>
  <c r="Z2437" i="13"/>
  <c r="Z199" i="13"/>
  <c r="Z875" i="13"/>
  <c r="Z3328" i="13"/>
  <c r="Z99" i="13"/>
  <c r="Z2241" i="13"/>
  <c r="Z2516" i="13"/>
  <c r="Z1592" i="13"/>
  <c r="Z725" i="13"/>
  <c r="Z2947" i="13"/>
  <c r="Z1730" i="13"/>
  <c r="Z2239" i="13"/>
  <c r="Z556" i="13"/>
  <c r="Z647" i="13"/>
  <c r="Z1292" i="13"/>
  <c r="Z2771" i="13"/>
  <c r="Z580" i="13"/>
  <c r="Z1704" i="13"/>
  <c r="Z1115" i="13"/>
  <c r="Z2529" i="13"/>
  <c r="Z3276" i="13"/>
  <c r="Z3170" i="13"/>
  <c r="Z732" i="13"/>
  <c r="Z852" i="13"/>
  <c r="Z1009" i="13"/>
  <c r="Z2598" i="13"/>
  <c r="Z587" i="13"/>
  <c r="Z2390" i="13"/>
  <c r="Z450" i="13"/>
  <c r="Z1177" i="13"/>
  <c r="Z2761" i="13"/>
  <c r="Z608" i="13"/>
  <c r="Z1943" i="13"/>
  <c r="Z922" i="13"/>
  <c r="Z2879" i="13"/>
  <c r="Z526" i="13"/>
  <c r="Z2307" i="13"/>
  <c r="Z762" i="13"/>
  <c r="Z479" i="13"/>
  <c r="Z3105" i="13"/>
  <c r="Z342" i="13"/>
  <c r="Z2956" i="13"/>
  <c r="Z594" i="13"/>
  <c r="Z1127" i="13"/>
  <c r="Z1997" i="13"/>
  <c r="Z2265" i="13"/>
  <c r="Z2829" i="13"/>
  <c r="Z3165" i="13"/>
  <c r="Z3394" i="13"/>
  <c r="Z2802" i="13"/>
  <c r="Z659" i="13"/>
  <c r="Z2996" i="13"/>
  <c r="Z3534" i="13"/>
  <c r="Z3308" i="13"/>
  <c r="Z401" i="13"/>
  <c r="Z979" i="13"/>
  <c r="Z1409" i="13"/>
  <c r="Z1006" i="13"/>
  <c r="Z2683" i="13"/>
  <c r="Z2965" i="13"/>
  <c r="Z1931" i="13"/>
  <c r="Z3438" i="13"/>
  <c r="Z3317" i="13"/>
  <c r="Z1361" i="13"/>
  <c r="Z3300" i="13"/>
  <c r="Z1170" i="13"/>
  <c r="Z1542" i="13"/>
  <c r="Z3461" i="13"/>
  <c r="Z1904" i="13"/>
  <c r="Z390" i="13"/>
  <c r="Z2614" i="13"/>
  <c r="Z3503" i="13"/>
  <c r="Z2870" i="13"/>
  <c r="Z2565" i="13"/>
  <c r="Z1277" i="13"/>
  <c r="Z2661" i="13"/>
  <c r="Z1027" i="13"/>
  <c r="Z312" i="13"/>
  <c r="Z1024" i="13"/>
  <c r="Z35" i="13"/>
  <c r="Z1898" i="13"/>
  <c r="Z1298" i="13"/>
  <c r="Z295" i="13"/>
  <c r="Z2908" i="13"/>
  <c r="Z3079" i="13"/>
  <c r="Z143" i="13"/>
  <c r="Z485" i="13"/>
  <c r="Z2278" i="13"/>
  <c r="Z454" i="13"/>
  <c r="Z981" i="13"/>
  <c r="Z1733" i="13"/>
  <c r="Z216" i="13"/>
  <c r="Z1365" i="13"/>
  <c r="Z252" i="13"/>
  <c r="Z3024" i="13"/>
  <c r="Z1154" i="13"/>
  <c r="Z2135" i="13"/>
  <c r="Z2137" i="13"/>
  <c r="Z1388" i="13"/>
  <c r="Z165" i="13"/>
  <c r="Z536" i="13"/>
  <c r="Z2909" i="13"/>
  <c r="Z1784" i="13"/>
  <c r="Z2656" i="13"/>
  <c r="Z2191" i="13"/>
  <c r="Z3068" i="13"/>
  <c r="Z2444" i="13"/>
  <c r="Z1921" i="13"/>
  <c r="Z818" i="13"/>
  <c r="Z1634" i="13"/>
  <c r="Z1107" i="13"/>
  <c r="Z643" i="13"/>
  <c r="Z2742" i="13"/>
  <c r="Z1978" i="13"/>
  <c r="Z2882" i="13"/>
  <c r="Z2182" i="13"/>
  <c r="Z432" i="13"/>
  <c r="Z264" i="13"/>
  <c r="Z2417" i="13"/>
  <c r="Z1261" i="13"/>
  <c r="Z1969" i="13"/>
  <c r="Z1823" i="13"/>
  <c r="Z2111" i="13"/>
  <c r="Z2799" i="13"/>
  <c r="Z2512" i="13"/>
  <c r="Z790" i="13"/>
  <c r="Z1350" i="13"/>
  <c r="Z692" i="13"/>
  <c r="Z2715" i="13"/>
  <c r="Z294" i="13"/>
  <c r="Z3093" i="13"/>
  <c r="Z1055" i="13"/>
  <c r="Z3087" i="13"/>
  <c r="Z660" i="13"/>
  <c r="Z3456" i="13"/>
  <c r="Z808" i="13"/>
  <c r="Z846" i="13"/>
  <c r="Z1265" i="13"/>
  <c r="Z2242" i="13"/>
  <c r="Z2273" i="13"/>
  <c r="Z3151" i="13"/>
  <c r="Z3303" i="13"/>
  <c r="Z532" i="13"/>
  <c r="Z1174" i="13"/>
  <c r="Z2029" i="13"/>
  <c r="Z2160" i="13"/>
  <c r="Z3064" i="13"/>
  <c r="Z2979" i="13"/>
  <c r="Z325" i="13"/>
  <c r="Z3297" i="13"/>
  <c r="Z2468" i="13"/>
  <c r="Z2184" i="13"/>
  <c r="Z3243" i="13"/>
  <c r="Z400" i="13"/>
  <c r="Z1964" i="13"/>
  <c r="Z1749" i="13"/>
  <c r="Z1392" i="13"/>
  <c r="Z1671" i="13"/>
  <c r="Z3220" i="13"/>
  <c r="Z436" i="13"/>
  <c r="Z140" i="13"/>
  <c r="Z482" i="13"/>
  <c r="Z3345" i="13"/>
  <c r="Z3264" i="13"/>
  <c r="Z3070" i="13"/>
  <c r="Z1798" i="13"/>
  <c r="Z528" i="13"/>
  <c r="Z1757" i="13"/>
  <c r="Z3197" i="13"/>
  <c r="Z1797" i="13"/>
  <c r="Z2324" i="13"/>
  <c r="Z201" i="13"/>
  <c r="Z1675" i="13"/>
  <c r="Z2717" i="13"/>
  <c r="Z445" i="13"/>
  <c r="Z2779" i="13"/>
  <c r="Z3433" i="13"/>
  <c r="Z1342" i="13"/>
  <c r="Z2061" i="13"/>
  <c r="Z2958" i="13"/>
  <c r="Z31" i="13"/>
  <c r="Z1137" i="13"/>
  <c r="Z1773" i="13"/>
  <c r="Z1554" i="13"/>
  <c r="Z1304" i="13"/>
  <c r="Z3384" i="13"/>
  <c r="Z3102" i="13"/>
  <c r="Z2095" i="13"/>
  <c r="Z3150" i="13"/>
  <c r="Z957" i="13"/>
  <c r="Z2144" i="13"/>
  <c r="Z546" i="13"/>
  <c r="Z611" i="13"/>
  <c r="Z2630" i="13"/>
  <c r="Z256" i="13"/>
  <c r="Z771" i="13"/>
  <c r="Z3214" i="13"/>
  <c r="Z1681" i="13"/>
  <c r="Z437" i="13"/>
  <c r="Z1166" i="13"/>
  <c r="Z1072" i="13"/>
  <c r="Z1553" i="13"/>
  <c r="Z3066" i="13"/>
  <c r="Z2244" i="13"/>
  <c r="Z79" i="13"/>
  <c r="Z2984" i="13"/>
  <c r="Z3353" i="13"/>
  <c r="Z3540" i="13"/>
  <c r="Z2847" i="13"/>
  <c r="Z1968" i="13"/>
  <c r="Z240" i="13"/>
  <c r="Z2755" i="13"/>
  <c r="Z1741" i="13"/>
  <c r="Z689" i="13"/>
  <c r="Z999" i="13"/>
  <c r="Z2455" i="13"/>
  <c r="Z2501" i="13"/>
  <c r="Z784" i="13"/>
  <c r="Z3515" i="13"/>
  <c r="Z735" i="13"/>
  <c r="Z1938" i="13"/>
  <c r="Z1302" i="13"/>
  <c r="Z318" i="13"/>
  <c r="Z685" i="13"/>
  <c r="Z391" i="13"/>
  <c r="Z3252" i="13"/>
  <c r="Z364" i="13"/>
  <c r="Z1591" i="13"/>
  <c r="Z3179" i="13"/>
  <c r="Z3430" i="13"/>
  <c r="Z3123" i="13"/>
  <c r="Z2450" i="13"/>
  <c r="Z989" i="13"/>
  <c r="Z1088" i="13"/>
  <c r="Z3010" i="13"/>
  <c r="Z942" i="13"/>
  <c r="Z3239" i="13"/>
  <c r="Z1051" i="13"/>
  <c r="Z1118" i="13"/>
  <c r="Z3045" i="13"/>
  <c r="Z2562" i="13"/>
  <c r="Z1293" i="13"/>
  <c r="Z876" i="13"/>
  <c r="Z1462" i="13"/>
  <c r="Z1176" i="13"/>
  <c r="Z3067" i="13"/>
  <c r="Z22" i="13"/>
  <c r="Z3203" i="13"/>
  <c r="Z2308" i="13"/>
  <c r="Z3542" i="13"/>
  <c r="Z2892" i="13"/>
  <c r="Z2828" i="13"/>
  <c r="Z387" i="13"/>
  <c r="Z1746" i="13"/>
  <c r="Z1025" i="13"/>
  <c r="Z2749" i="13"/>
  <c r="Z2794" i="13"/>
  <c r="Z791" i="13"/>
  <c r="Z1241" i="13"/>
  <c r="Z1173" i="13"/>
  <c r="Z67" i="13"/>
  <c r="Z894" i="13"/>
  <c r="Z1076" i="13"/>
  <c r="Z1548" i="13"/>
  <c r="Z1516" i="13"/>
  <c r="Z860" i="13"/>
  <c r="Z1226" i="13"/>
  <c r="Z2400" i="13"/>
  <c r="Z1010" i="13"/>
  <c r="Z1703" i="13"/>
  <c r="Z2457" i="13"/>
  <c r="Z237" i="13"/>
  <c r="Z239" i="13"/>
  <c r="Z416" i="13"/>
  <c r="Z348" i="13"/>
  <c r="Z2491" i="13"/>
  <c r="Z1012" i="13"/>
  <c r="Z2382" i="13"/>
  <c r="Z776" i="13"/>
  <c r="Z3346" i="13"/>
  <c r="Z449" i="13"/>
  <c r="Z231" i="13"/>
  <c r="Z219" i="13"/>
  <c r="Z1101" i="13"/>
  <c r="Z3048" i="13"/>
  <c r="Z402" i="13"/>
  <c r="Z3449" i="13"/>
  <c r="Z749" i="13"/>
  <c r="Z274" i="13"/>
  <c r="Z1789" i="13"/>
  <c r="Z1912" i="13"/>
  <c r="Z711" i="13"/>
  <c r="Z3026" i="13"/>
  <c r="Z307" i="13"/>
  <c r="Z2034" i="13"/>
  <c r="Z299" i="13"/>
  <c r="Z1239" i="13"/>
  <c r="Z1410" i="13"/>
  <c r="Z2155" i="13"/>
  <c r="Z426" i="13"/>
  <c r="Z2621" i="13"/>
  <c r="Z1752" i="13"/>
  <c r="Z2212" i="13"/>
  <c r="Z2147" i="13"/>
  <c r="Z2210" i="13"/>
  <c r="Z2990" i="13"/>
  <c r="Z2886" i="13"/>
  <c r="Z861" i="13"/>
  <c r="Z2474" i="13"/>
  <c r="Z1605" i="13"/>
  <c r="Z1136" i="13"/>
  <c r="Z2023" i="13"/>
  <c r="Z500" i="13"/>
  <c r="Z1661" i="13"/>
  <c r="Z988" i="13"/>
  <c r="Z593" i="13"/>
  <c r="Z704" i="13"/>
  <c r="Z2042" i="13"/>
  <c r="Z634" i="13"/>
  <c r="Z1249" i="13"/>
  <c r="Z2845" i="13"/>
  <c r="Z2635" i="13"/>
  <c r="Z365" i="13"/>
  <c r="Z856" i="13"/>
  <c r="Z1785" i="13"/>
  <c r="Z1042" i="13"/>
  <c r="Z1245" i="13"/>
  <c r="Z1495" i="13"/>
  <c r="Z3363" i="13"/>
  <c r="Z198" i="13"/>
  <c r="Z3153" i="13"/>
  <c r="Z2577" i="13"/>
  <c r="Z2798" i="13"/>
  <c r="Z281" i="13"/>
  <c r="Z1947" i="13"/>
  <c r="Z3234" i="13"/>
  <c r="Z1106" i="13"/>
  <c r="Z2292" i="13"/>
  <c r="Z1540" i="13"/>
  <c r="Z2109" i="13"/>
  <c r="Z514" i="13"/>
  <c r="Z330" i="13"/>
  <c r="Z1986" i="13"/>
  <c r="Z2648" i="13"/>
  <c r="Z46" i="13"/>
  <c r="Z308" i="13"/>
  <c r="Z2718" i="13"/>
  <c r="Z916" i="13"/>
  <c r="Z576" i="13"/>
  <c r="Z2339" i="13"/>
  <c r="Z2536" i="13"/>
  <c r="Z40" i="13"/>
  <c r="Z1349" i="13"/>
  <c r="Z3278" i="13"/>
  <c r="Z1090" i="13"/>
  <c r="Z1611" i="13"/>
  <c r="Z781" i="13"/>
  <c r="Z767" i="13"/>
  <c r="Z410" i="13"/>
  <c r="Z2441" i="13"/>
  <c r="Z867" i="13"/>
  <c r="Z3480" i="13"/>
  <c r="Z2690" i="13"/>
  <c r="Z492" i="13"/>
  <c r="Z1995" i="13"/>
  <c r="Z1562" i="13"/>
  <c r="Z2063" i="13"/>
  <c r="Z77" i="13"/>
  <c r="Z1629" i="13"/>
  <c r="Z2121" i="13"/>
  <c r="Z2220" i="13"/>
  <c r="Z1865" i="13"/>
  <c r="Z2052" i="13"/>
  <c r="Z2666" i="13"/>
  <c r="Z1817" i="13"/>
  <c r="Z3351" i="13"/>
  <c r="Z1627" i="13"/>
  <c r="Z2461" i="13"/>
  <c r="Z3390" i="13"/>
  <c r="Z2721" i="13"/>
  <c r="Z2270" i="13"/>
  <c r="Z2912" i="13"/>
  <c r="Z792" i="13"/>
  <c r="Z472" i="13"/>
  <c r="Z3552" i="13"/>
  <c r="Z3509" i="13"/>
  <c r="Z632" i="13"/>
  <c r="Z117" i="13"/>
  <c r="Z1768" i="13"/>
  <c r="Z1926" i="13"/>
  <c r="Z3463" i="13"/>
  <c r="Z3287" i="13"/>
  <c r="Z3050" i="13"/>
  <c r="Z935" i="13"/>
  <c r="Z990" i="13"/>
  <c r="Z678" i="13"/>
  <c r="Z3254" i="13"/>
  <c r="Z3326" i="13"/>
  <c r="Z1436" i="13"/>
  <c r="Z2384" i="13"/>
  <c r="Z412" i="13"/>
  <c r="Z2851" i="13"/>
  <c r="Z3531" i="13"/>
  <c r="Z2810" i="13"/>
  <c r="Z2205" i="13"/>
  <c r="Z1846" i="13"/>
  <c r="Z3003" i="13"/>
  <c r="Z2346" i="13"/>
  <c r="Z3293" i="13"/>
  <c r="Z1308" i="13"/>
  <c r="Z87" i="13"/>
  <c r="Z2617" i="13"/>
  <c r="Z2796" i="13"/>
  <c r="Z37" i="13"/>
  <c r="Z584" i="13"/>
  <c r="Z2972" i="13"/>
  <c r="Z3118" i="13"/>
  <c r="Z2583" i="13"/>
  <c r="Z616" i="13"/>
  <c r="Z572" i="13"/>
  <c r="Z1699" i="13"/>
  <c r="Z444" i="13"/>
  <c r="Z3063" i="13"/>
  <c r="Z2480" i="13"/>
  <c r="Z376" i="13"/>
  <c r="Z2738" i="13"/>
  <c r="Z1071" i="13"/>
  <c r="Z1505" i="13"/>
  <c r="Z1331" i="13"/>
  <c r="Z3356" i="13"/>
  <c r="Z925" i="13"/>
  <c r="Z172" i="13"/>
  <c r="Z631" i="13"/>
  <c r="Z3099" i="13"/>
  <c r="Z618" i="13"/>
  <c r="Z1466" i="13"/>
  <c r="Z1291" i="13"/>
  <c r="Z2490" i="13"/>
  <c r="Z1301" i="13"/>
  <c r="Z1615" i="13"/>
  <c r="Z2568" i="13"/>
  <c r="Z1477" i="13"/>
  <c r="Z213" i="13"/>
  <c r="Z2607" i="13"/>
  <c r="Z1724" i="13"/>
  <c r="Z1963" i="13"/>
  <c r="Z2397" i="13"/>
  <c r="Z2634" i="13"/>
  <c r="Z2601" i="13"/>
  <c r="Z2838" i="13"/>
  <c r="Z1981" i="13"/>
  <c r="Z1936" i="13"/>
  <c r="Z145" i="13"/>
  <c r="Z3544" i="13"/>
  <c r="Z2413" i="13"/>
  <c r="Z2148" i="13"/>
  <c r="Z2815" i="13"/>
  <c r="Z1588" i="13"/>
  <c r="Z2231" i="13"/>
  <c r="Z657" i="13"/>
  <c r="Z3290" i="13"/>
  <c r="Z1491" i="13"/>
  <c r="Z290" i="13"/>
  <c r="Z1113" i="13"/>
  <c r="Z3158" i="13"/>
  <c r="Z1796" i="13"/>
  <c r="Z1163" i="13"/>
  <c r="Z995" i="13"/>
  <c r="Z1140" i="13"/>
  <c r="Z1901" i="13"/>
  <c r="Z1405" i="13"/>
  <c r="Z2941" i="13"/>
  <c r="Z1555" i="13"/>
  <c r="Z2509" i="13"/>
  <c r="Z2213" i="13"/>
  <c r="Z2218" i="13"/>
  <c r="Z893" i="13"/>
  <c r="Z3000" i="13"/>
  <c r="Z2124" i="13"/>
  <c r="Z666" i="13"/>
  <c r="Z1519" i="13"/>
  <c r="Z478" i="13"/>
  <c r="Z585" i="13"/>
  <c r="Z1653" i="13"/>
  <c r="Z3186" i="13"/>
  <c r="Z1609" i="13"/>
  <c r="Z1103" i="13"/>
  <c r="Z3337" i="13"/>
  <c r="Z2469" i="13"/>
  <c r="Z3145" i="13"/>
  <c r="Z3441" i="13"/>
  <c r="Z388" i="13"/>
  <c r="Z2834" i="13"/>
  <c r="Z463" i="13"/>
  <c r="Z3113" i="13"/>
  <c r="Z1161" i="13"/>
  <c r="Z2112" i="13"/>
  <c r="Z224" i="13"/>
  <c r="Z1498" i="13"/>
  <c r="Z637" i="13"/>
  <c r="Z1564" i="13"/>
  <c r="Z696" i="13"/>
  <c r="Z705" i="13"/>
  <c r="Z814" i="13"/>
  <c r="Z386" i="13"/>
  <c r="Z770" i="13"/>
  <c r="Z3198" i="13"/>
  <c r="Z2983" i="13"/>
  <c r="Z1073" i="13"/>
  <c r="Z1843" i="13"/>
  <c r="Z2122" i="13"/>
  <c r="Z2295" i="13"/>
  <c r="Z502" i="13"/>
  <c r="Z3526" i="13"/>
  <c r="Z2961" i="13"/>
  <c r="Z2030" i="13"/>
  <c r="Z1247" i="13"/>
  <c r="Z1132" i="13"/>
  <c r="Z1694" i="13"/>
  <c r="Z665" i="13"/>
  <c r="Z3115" i="13"/>
  <c r="Z827" i="13"/>
  <c r="Z747" i="13"/>
  <c r="Z2816" i="13"/>
  <c r="Z1273" i="13"/>
  <c r="Z1753" i="13"/>
  <c r="Z836" i="13"/>
  <c r="Z2336" i="13"/>
  <c r="Z1935" i="13"/>
  <c r="Z3501" i="13"/>
  <c r="Z1045" i="13"/>
  <c r="Z3162" i="13"/>
  <c r="Z359" i="13"/>
  <c r="Z869" i="13"/>
  <c r="Z1679" i="13"/>
  <c r="Z2492" i="13"/>
  <c r="Z2257" i="13"/>
  <c r="Z1488" i="13"/>
  <c r="Z2854" i="13"/>
  <c r="Z3228" i="13"/>
  <c r="Z840" i="13"/>
  <c r="Z2650" i="13"/>
  <c r="Z1131" i="13"/>
  <c r="Z2288" i="13"/>
  <c r="Z3375" i="13"/>
  <c r="Z1483" i="13"/>
  <c r="Z1657" i="13"/>
  <c r="Z2167" i="13"/>
  <c r="Z2367" i="13"/>
  <c r="Z3541" i="13"/>
  <c r="Z2513" i="13"/>
  <c r="Z3223" i="13"/>
  <c r="Z378" i="13"/>
  <c r="Z1062" i="13"/>
  <c r="Z1427" i="13"/>
  <c r="Z2327" i="13"/>
  <c r="Z1826" i="13"/>
  <c r="Z2825" i="13"/>
  <c r="Z1373" i="13"/>
  <c r="Z2329" i="13"/>
  <c r="Z53" i="13"/>
  <c r="Z731" i="13"/>
  <c r="Z2284" i="13"/>
  <c r="Z1089" i="13"/>
  <c r="Z3432" i="13"/>
  <c r="Z2268" i="13"/>
  <c r="Z1842" i="13"/>
  <c r="Z2016" i="13"/>
  <c r="Z955" i="13"/>
  <c r="Z2904" i="13"/>
  <c r="Z2478" i="13"/>
  <c r="Z565" i="13"/>
  <c r="Z186" i="13"/>
  <c r="Z241" i="13"/>
  <c r="Z1557" i="13"/>
  <c r="Z2714" i="13"/>
  <c r="Z3201" i="13"/>
  <c r="Z1070" i="13"/>
  <c r="Z1532" i="13"/>
  <c r="Z1518" i="13"/>
  <c r="Z3222" i="13"/>
  <c r="Z1645" i="13"/>
  <c r="Z1326" i="13"/>
  <c r="Z442" i="13"/>
  <c r="Z246" i="13"/>
  <c r="Z2068" i="13"/>
  <c r="Z2503" i="13"/>
  <c r="Z2889" i="13"/>
  <c r="Z3212" i="13"/>
  <c r="Z1159" i="13"/>
  <c r="Z2275" i="13"/>
  <c r="Z1448" i="13"/>
  <c r="Z3339" i="13"/>
  <c r="Z1991" i="13"/>
  <c r="Z215" i="13"/>
  <c r="Z2827" i="13"/>
  <c r="Z453" i="13"/>
  <c r="Z1962" i="13"/>
  <c r="Z992" i="13"/>
  <c r="Z1496" i="13"/>
  <c r="Z2303" i="13"/>
  <c r="Z1371" i="13"/>
  <c r="Z1769" i="13"/>
  <c r="Z1990" i="13"/>
  <c r="Z996" i="13"/>
  <c r="Z3419" i="13"/>
  <c r="Z3516" i="13"/>
  <c r="Z1052" i="13"/>
  <c r="Z3088" i="13"/>
  <c r="Z1114" i="13"/>
  <c r="Z333" i="13"/>
  <c r="Z1080" i="13"/>
  <c r="Z1618" i="13"/>
  <c r="Z2506" i="13"/>
  <c r="Z1413" i="13"/>
  <c r="Z2938" i="13"/>
  <c r="Z3298" i="13"/>
  <c r="Z3487" i="13"/>
  <c r="Z3279" i="13"/>
  <c r="Z207" i="13"/>
  <c r="Z686" i="13"/>
  <c r="Z2434" i="13"/>
  <c r="Z1676" i="13"/>
  <c r="Z888" i="13"/>
  <c r="Z205" i="13"/>
  <c r="Z697" i="13"/>
  <c r="Z1320" i="13"/>
  <c r="Z275" i="13"/>
  <c r="Z2445" i="13"/>
  <c r="Z2573" i="13"/>
  <c r="Z571" i="13"/>
  <c r="Z1550" i="13"/>
  <c r="Z1451" i="13"/>
  <c r="Z398" i="13"/>
  <c r="Z1480" i="13"/>
  <c r="Z1573" i="13"/>
  <c r="Z461" i="13"/>
  <c r="Z2848" i="13"/>
  <c r="Z3009" i="13"/>
  <c r="Z1672" i="13"/>
  <c r="Z57" i="13"/>
  <c r="Z1345" i="13"/>
  <c r="Z2173" i="13"/>
  <c r="Z2993" i="13"/>
  <c r="Z512" i="13"/>
  <c r="Z1908" i="13"/>
  <c r="Z2323" i="13"/>
  <c r="Z2582" i="13"/>
  <c r="Z1322" i="13"/>
  <c r="Z285" i="13"/>
  <c r="Z1437" i="13"/>
  <c r="Z3315" i="13"/>
  <c r="Z3107" i="13"/>
  <c r="Z897" i="13"/>
  <c r="Z1077" i="13"/>
  <c r="Z1147" i="13"/>
  <c r="Z2539" i="13"/>
  <c r="Z2728" i="13"/>
  <c r="Z3181" i="13"/>
  <c r="Z1954" i="13"/>
  <c r="Z3125" i="13"/>
  <c r="Z2569" i="13"/>
  <c r="Z645" i="13"/>
  <c r="Z3313" i="13"/>
  <c r="Z1206" i="13"/>
  <c r="Z2333" i="13"/>
  <c r="Z2366" i="13"/>
  <c r="Z1359" i="13"/>
  <c r="Z1868" i="13"/>
  <c r="Z2069" i="13"/>
  <c r="Z1658" i="13"/>
  <c r="Z2402" i="13"/>
  <c r="Z3369" i="13"/>
  <c r="Z2692" i="13"/>
  <c r="Z287" i="13"/>
  <c r="Z2600" i="13"/>
  <c r="Z958" i="13"/>
  <c r="Z62" i="13"/>
  <c r="Z782" i="13"/>
  <c r="Z2571" i="13"/>
  <c r="Z2194" i="13"/>
  <c r="Z27" i="13"/>
  <c r="Z3530" i="13"/>
  <c r="Z552" i="13"/>
  <c r="Z3364" i="13"/>
  <c r="Z3517" i="13"/>
  <c r="Z175" i="13"/>
  <c r="Z2104" i="13"/>
  <c r="Z1353" i="13"/>
  <c r="Z1622" i="13"/>
  <c r="Z2713" i="13"/>
  <c r="Z2712" i="13"/>
  <c r="Z1585" i="13"/>
  <c r="Z1751" i="13"/>
  <c r="Z1122" i="13"/>
  <c r="Z218" i="13"/>
  <c r="Z3200" i="13"/>
  <c r="Z3413" i="13"/>
  <c r="Z765" i="13"/>
  <c r="Z2753" i="13"/>
  <c r="Z699" i="13"/>
  <c r="Z253" i="13"/>
  <c r="Z2748" i="13"/>
  <c r="Z2326" i="13"/>
  <c r="Z1544" i="13"/>
  <c r="Z2662" i="13"/>
  <c r="Z2910" i="13"/>
  <c r="Z3392" i="13"/>
  <c r="Z2297" i="13"/>
  <c r="Z2282" i="13"/>
  <c r="Z408" i="13"/>
  <c r="Z3400" i="13"/>
  <c r="Z2128" i="13"/>
  <c r="Z1830" i="13"/>
  <c r="Z3409" i="13"/>
  <c r="Z82" i="13"/>
  <c r="Z1075" i="13"/>
  <c r="Z1040" i="13"/>
  <c r="Z1419" i="13"/>
  <c r="Z317" i="13"/>
  <c r="Z1164" i="13"/>
  <c r="Z2283" i="13"/>
  <c r="Z1972" i="13"/>
  <c r="Z2377" i="13"/>
  <c r="Z2254" i="13"/>
  <c r="Z2557" i="13"/>
  <c r="Z936" i="13"/>
  <c r="Z3182" i="13"/>
  <c r="Z1537" i="13"/>
  <c r="Z103" i="13"/>
  <c r="Z2412" i="13"/>
  <c r="Z3532" i="13"/>
  <c r="Z2769" i="13"/>
  <c r="Z3166" i="13"/>
  <c r="Z952" i="13"/>
  <c r="Z334" i="13"/>
  <c r="Z1402" i="13"/>
  <c r="Z2353" i="13"/>
  <c r="Z3250" i="13"/>
  <c r="Z843" i="13"/>
  <c r="Z2430" i="13"/>
  <c r="Z3458" i="13"/>
  <c r="Z3494" i="13"/>
  <c r="Z2449" i="13"/>
  <c r="Z1731" i="13"/>
  <c r="Z2668" i="13"/>
  <c r="Z3178" i="13"/>
  <c r="Z646" i="13"/>
  <c r="Z3504" i="13"/>
  <c r="Z626" i="13"/>
  <c r="Z2394" i="13"/>
  <c r="Z249" i="13"/>
  <c r="Z3205" i="13"/>
  <c r="Z1856" i="13"/>
  <c r="Z2409" i="13"/>
  <c r="Z425" i="13"/>
  <c r="Z2775" i="13"/>
  <c r="Z353" i="13"/>
  <c r="Z2785" i="13"/>
  <c r="Z497" i="13"/>
  <c r="Z75" i="13"/>
  <c r="Z1582" i="13"/>
  <c r="Z3472" i="13"/>
  <c r="Z42" i="13"/>
  <c r="Z641" i="13"/>
  <c r="Z2579" i="13"/>
  <c r="Z2101" i="13"/>
  <c r="Z1156" i="13"/>
  <c r="Z1269" i="13"/>
  <c r="Z3327" i="13"/>
  <c r="Z892" i="13"/>
  <c r="Z119" i="13"/>
  <c r="Z951" i="13"/>
  <c r="Z809" i="13"/>
  <c r="Z2051" i="13"/>
  <c r="Z2253" i="13"/>
  <c r="Z1941" i="13"/>
  <c r="Z2676" i="13"/>
  <c r="Z2833" i="13"/>
  <c r="Z614" i="13"/>
  <c r="Z2169" i="13"/>
  <c r="Z2708" i="13"/>
  <c r="Z3251" i="13"/>
  <c r="Z3548" i="13"/>
  <c r="Z61" i="13"/>
  <c r="Z2535" i="13"/>
  <c r="Z1340" i="13"/>
  <c r="Z166" i="13"/>
  <c r="Z1637" i="13"/>
  <c r="Z3044" i="13"/>
  <c r="Z2334" i="13"/>
  <c r="Z703" i="13"/>
  <c r="Z2134" i="13"/>
  <c r="Z2395" i="13"/>
  <c r="Z178" i="13"/>
  <c r="Z801" i="13"/>
  <c r="Z439" i="13"/>
  <c r="Z3340" i="13"/>
  <c r="Z1046" i="13"/>
  <c r="Z1956" i="13"/>
  <c r="Z1686" i="13"/>
  <c r="Z2655" i="13"/>
  <c r="Z2296" i="13"/>
  <c r="Z1095" i="13"/>
  <c r="Z2788" i="13"/>
  <c r="Z2176" i="13"/>
  <c r="Z197" i="13"/>
  <c r="Z595" i="13"/>
  <c r="Z1016" i="13"/>
  <c r="Z2496" i="13"/>
  <c r="Z1915" i="13"/>
  <c r="Z1205" i="13"/>
  <c r="Z1398" i="13"/>
  <c r="Z3126" i="13"/>
  <c r="Z1766" i="13"/>
  <c r="Z1884" i="13"/>
  <c r="Z1397" i="13"/>
  <c r="Z123" i="13"/>
  <c r="Z2057" i="13"/>
  <c r="Z1874" i="13"/>
  <c r="Z3533" i="13"/>
  <c r="Z898" i="13"/>
  <c r="Z523" i="13"/>
  <c r="Z2448" i="13"/>
  <c r="Z48" i="13"/>
  <c r="Z3496" i="13"/>
  <c r="Z3330" i="13"/>
  <c r="Z1197" i="13"/>
  <c r="Z2591" i="13"/>
  <c r="Z2411" i="13"/>
  <c r="Z2459" i="13"/>
  <c r="Z3425" i="13"/>
  <c r="Z193" i="13"/>
  <c r="Z1259" i="13"/>
  <c r="Z562" i="13"/>
  <c r="Z1233" i="13"/>
  <c r="Z2585" i="13"/>
  <c r="Z1289" i="13"/>
  <c r="Z1252" i="13"/>
  <c r="Z2806" i="13"/>
  <c r="Z1576" i="13"/>
  <c r="Z2981" i="13"/>
  <c r="Z2079" i="13"/>
  <c r="Z1058" i="13"/>
  <c r="Z3227" i="13"/>
  <c r="Z2970" i="13"/>
  <c r="Z235" i="13"/>
  <c r="Z1807" i="13"/>
  <c r="Z800" i="13"/>
  <c r="Z2154" i="13"/>
  <c r="Z1814" i="13"/>
  <c r="Z1385" i="13"/>
  <c r="Z3065" i="13"/>
  <c r="Z2995" i="13"/>
  <c r="Z2146" i="13"/>
  <c r="Z997" i="13"/>
  <c r="Z100" i="13"/>
  <c r="Z3411" i="13"/>
  <c r="Z2606" i="13"/>
  <c r="Z1736" i="13"/>
  <c r="Z1193" i="13"/>
  <c r="Z2948" i="13"/>
  <c r="Z1735" i="13"/>
  <c r="Z1469" i="13"/>
  <c r="Z1167" i="13"/>
  <c r="Z3039" i="13"/>
  <c r="Z1953" i="13"/>
  <c r="Z1927" i="13"/>
  <c r="Z1287" i="13"/>
  <c r="Z2830" i="13"/>
  <c r="Z899" i="13"/>
  <c r="Z2059" i="13"/>
  <c r="Z259" i="13"/>
  <c r="Z3301" i="13"/>
  <c r="Z217" i="13"/>
  <c r="Z2795" i="13"/>
  <c r="Z2195" i="13"/>
  <c r="Z3232" i="13"/>
  <c r="Z651" i="13"/>
  <c r="Z529" i="13"/>
  <c r="Z3319" i="13"/>
  <c r="Z613" i="13"/>
  <c r="Z2454" i="13"/>
  <c r="Z1500" i="13"/>
  <c r="Z3295" i="13"/>
  <c r="Z1971" i="13"/>
  <c r="Z1958" i="13"/>
  <c r="Z2264" i="13"/>
  <c r="Z1346" i="13"/>
  <c r="Z3348" i="13"/>
  <c r="Z877" i="13"/>
  <c r="Z122" i="13"/>
  <c r="Z3148" i="13"/>
  <c r="Z713" i="13"/>
  <c r="Z835" i="13"/>
  <c r="Z1116" i="13"/>
  <c r="Z2602" i="13"/>
  <c r="Z1274" i="13"/>
  <c r="Z1279" i="13"/>
  <c r="Z2960" i="13"/>
  <c r="Z1804" i="13"/>
  <c r="Z1586" i="13"/>
  <c r="Z430" i="13"/>
  <c r="Z1497" i="13"/>
  <c r="Z2044" i="13"/>
  <c r="Z2258" i="13"/>
  <c r="Z3245" i="13"/>
  <c r="Z3188" i="13"/>
  <c r="Z2574" i="13"/>
  <c r="Z880" i="13"/>
  <c r="Z2211" i="13"/>
  <c r="Z2874" i="13"/>
  <c r="Z1524" i="13"/>
  <c r="Z2298" i="13"/>
  <c r="Z3312" i="13"/>
  <c r="Z1799" i="13"/>
  <c r="Z3482" i="13"/>
  <c r="Z3508" i="13"/>
  <c r="Z2219" i="13"/>
  <c r="Z3260" i="13"/>
  <c r="Z1761" i="13"/>
  <c r="Z1932" i="13"/>
  <c r="Z1357" i="13"/>
  <c r="Z2433" i="13"/>
  <c r="Z3168" i="13"/>
  <c r="Z1759" i="13"/>
  <c r="Z2499" i="13"/>
  <c r="Z2897" i="13"/>
  <c r="Z173" i="13"/>
  <c r="Z3334" i="13"/>
  <c r="Z615" i="13"/>
  <c r="Z3321" i="13"/>
  <c r="Z2318" i="13"/>
  <c r="Z1570" i="13"/>
  <c r="Z115" i="13"/>
  <c r="Z1626" i="13"/>
  <c r="Z2428" i="13"/>
  <c r="Z978" i="13"/>
  <c r="Z1354" i="13"/>
  <c r="Z97" i="13"/>
  <c r="Z2477" i="13"/>
  <c r="Z363" i="13"/>
  <c r="Z1662" i="13"/>
  <c r="Z2207" i="13"/>
  <c r="Z70" i="13"/>
  <c r="Z2780" i="13"/>
  <c r="Z729" i="13"/>
  <c r="Z3427" i="13"/>
  <c r="Z2370" i="13"/>
  <c r="Z3055" i="13"/>
  <c r="Z1638" i="13"/>
  <c r="Z1079" i="13"/>
  <c r="Z588" i="13"/>
  <c r="Z475" i="13"/>
  <c r="Z420" i="13"/>
  <c r="Z2026" i="13"/>
  <c r="Z1831" i="13"/>
  <c r="Z1808" i="13"/>
  <c r="Z2900" i="13"/>
  <c r="Z558" i="13"/>
  <c r="Z2526" i="13"/>
  <c r="Z675" i="13"/>
  <c r="Z679" i="13"/>
  <c r="Z726" i="13"/>
  <c r="Z953" i="13"/>
  <c r="Z3082" i="13"/>
  <c r="Z2778" i="13"/>
  <c r="Z753" i="13"/>
  <c r="Z639" i="13"/>
  <c r="Z1464" i="13"/>
  <c r="Z3485" i="13"/>
  <c r="Z1599" i="13"/>
  <c r="Z3357" i="13"/>
  <c r="Z483" i="13"/>
  <c r="Z2623" i="13"/>
  <c r="Z2857" i="13"/>
  <c r="Z583" i="13"/>
  <c r="Z2246" i="13"/>
  <c r="Z1314" i="13"/>
  <c r="Z209" i="13"/>
  <c r="Z2997" i="13"/>
  <c r="Z2206" i="13"/>
  <c r="Z1640" i="13"/>
  <c r="Z2174" i="13"/>
  <c r="Z2343" i="13"/>
  <c r="Z555" i="13"/>
  <c r="Z1199" i="13"/>
  <c r="Z2978" i="13"/>
  <c r="Z339" i="13"/>
  <c r="Z1666" i="13"/>
  <c r="Z1526" i="13"/>
  <c r="Z2098" i="13"/>
  <c r="Z3454" i="13"/>
  <c r="Z3418" i="13"/>
  <c r="Z2888" i="13"/>
  <c r="Z2767" i="13"/>
  <c r="Z1740" i="13"/>
  <c r="Z3263" i="13"/>
  <c r="Z2587" i="13"/>
  <c r="Z3349" i="13"/>
  <c r="Z1852" i="13"/>
  <c r="Z3261" i="13"/>
  <c r="Z324" i="13"/>
  <c r="Z3368" i="13"/>
  <c r="Z2340" i="13"/>
  <c r="Z268" i="13"/>
  <c r="Z754" i="13"/>
  <c r="Z3475" i="13"/>
  <c r="Z3408" i="13"/>
  <c r="Z811" i="13"/>
  <c r="Z590" i="13"/>
  <c r="Z2660" i="13"/>
  <c r="Z469" i="13"/>
  <c r="Z2641" i="13"/>
  <c r="Z279" i="13"/>
  <c r="Z384" i="13"/>
  <c r="Z1587" i="13"/>
  <c r="Z1333" i="13"/>
  <c r="Z284" i="13"/>
  <c r="Z355" i="13"/>
  <c r="Z2746" i="13"/>
  <c r="Z2649" i="13"/>
  <c r="Z2831" i="13"/>
  <c r="Z2077" i="13"/>
  <c r="Z2939" i="13"/>
  <c r="Z789" i="13"/>
  <c r="Z465" i="13"/>
  <c r="Z2136" i="13"/>
  <c r="Z2047" i="13"/>
  <c r="Z1246" i="13"/>
  <c r="Z397" i="13"/>
  <c r="Z1257" i="13"/>
  <c r="Z1338" i="13"/>
  <c r="Z1178" i="13"/>
  <c r="Z2793" i="13"/>
  <c r="Z3421" i="13"/>
  <c r="Z1372" i="13"/>
  <c r="Z3457" i="13"/>
  <c r="Z2894" i="13"/>
  <c r="Z2138" i="13"/>
  <c r="Z1110" i="13"/>
  <c r="Z1096" i="13"/>
  <c r="Z3002" i="13"/>
  <c r="Z2504" i="13"/>
  <c r="Z1235" i="13"/>
  <c r="Z868" i="13"/>
  <c r="Z3294" i="13"/>
  <c r="Z2971" i="13"/>
  <c r="Z93" i="13"/>
  <c r="Z3359" i="13"/>
  <c r="Z280" i="13"/>
  <c r="Z2885" i="13"/>
  <c r="Z32" i="13"/>
  <c r="Z2100" i="13"/>
  <c r="Z141" i="13"/>
  <c r="Z195" i="13"/>
  <c r="Z3460" i="13"/>
  <c r="Z661" i="13"/>
  <c r="Z972" i="13"/>
  <c r="Z3520" i="13"/>
  <c r="Z598" i="13"/>
  <c r="Z2919" i="13"/>
  <c r="Z1684" i="13"/>
  <c r="Z221" i="13"/>
  <c r="Z243" i="13"/>
  <c r="Z1876" i="13"/>
  <c r="Z708" i="13"/>
  <c r="Z2486" i="13"/>
  <c r="Z702" i="13"/>
  <c r="Z1200" i="13"/>
  <c r="Z23" i="13"/>
  <c r="Z2584" i="13"/>
  <c r="Z3347" i="13"/>
  <c r="Z2304" i="13"/>
  <c r="Z763" i="13"/>
  <c r="Z2678" i="13"/>
  <c r="Z1792" i="13"/>
  <c r="Z607" i="13"/>
  <c r="Z3311" i="13"/>
  <c r="Z2272" i="13"/>
  <c r="Z621" i="13"/>
  <c r="Z480" i="13"/>
  <c r="Z2651" i="13"/>
  <c r="Z2950" i="13"/>
  <c r="Z2369" i="13"/>
  <c r="Z2659" i="13"/>
  <c r="Z247" i="13"/>
  <c r="Z3080" i="13"/>
  <c r="Z1911" i="13"/>
  <c r="Z2199" i="13"/>
  <c r="Z902" i="13"/>
  <c r="Z1198" i="13"/>
  <c r="Z2342" i="13"/>
  <c r="Z994" i="13"/>
  <c r="Z2999" i="13"/>
  <c r="Z2858" i="13"/>
  <c r="Z2361" i="13"/>
  <c r="Z2344" i="13"/>
  <c r="Z1889" i="13"/>
  <c r="Z2462" i="13"/>
  <c r="Z1738" i="13"/>
  <c r="Z3255" i="13"/>
  <c r="Z60" i="13"/>
  <c r="Z2009" i="13"/>
  <c r="Z706" i="13"/>
  <c r="Z3084" i="13"/>
  <c r="Z2636" i="13"/>
  <c r="Z2312" i="13"/>
  <c r="Z2233" i="13"/>
  <c r="Z194" i="13"/>
  <c r="Z1567" i="13"/>
  <c r="Z2759" i="13"/>
  <c r="Z2365" i="13"/>
  <c r="Z157" i="13"/>
  <c r="Z1146" i="13"/>
  <c r="Z2846" i="13"/>
  <c r="Z740" i="13"/>
  <c r="Z1041" i="13"/>
  <c r="Z2642" i="13"/>
  <c r="Z806" i="13"/>
  <c r="Z2414" i="13"/>
  <c r="Z2410" i="13"/>
  <c r="Z917" i="13"/>
  <c r="Z1240" i="13"/>
  <c r="Z2609" i="13"/>
  <c r="Z2544" i="13"/>
  <c r="Z2859" i="13"/>
  <c r="Z1836" i="13"/>
  <c r="Z179" i="13"/>
  <c r="Z655" i="13"/>
  <c r="Z2525" i="13"/>
  <c r="Z1801" i="13"/>
  <c r="Z50" i="13"/>
  <c r="Z1593" i="13"/>
  <c r="Z760" i="13"/>
  <c r="Z2415" i="13"/>
  <c r="Z261" i="13"/>
  <c r="Z2705" i="13"/>
  <c r="Z1494" i="13"/>
  <c r="Z2075" i="13"/>
  <c r="Z3316" i="13"/>
  <c r="Z2913" i="13"/>
  <c r="Z2259" i="13"/>
  <c r="Z3488" i="13"/>
  <c r="Z393" i="13"/>
  <c r="Z1654" i="13"/>
  <c r="Z3202" i="13"/>
  <c r="Z2386" i="13"/>
  <c r="Z3215" i="13"/>
  <c r="Z1685" i="13"/>
  <c r="Z1412" i="13"/>
  <c r="Z276" i="13"/>
  <c r="Z1541" i="13"/>
  <c r="Z1689" i="13"/>
  <c r="Z1747" i="13"/>
  <c r="Z736" i="13"/>
  <c r="Z975" i="13"/>
  <c r="Z1087" i="13"/>
  <c r="Z673" i="13"/>
  <c r="Z1832" i="13"/>
  <c r="Z874" i="13"/>
  <c r="Z362" i="13"/>
  <c r="Z1275" i="13"/>
  <c r="Z1630" i="13"/>
  <c r="Z1467" i="13"/>
  <c r="Z49" i="13"/>
  <c r="Z3041" i="13"/>
  <c r="Z599" i="13"/>
  <c r="Z1031" i="13"/>
  <c r="Z2739" i="13"/>
  <c r="Z3310" i="13"/>
  <c r="Z1644" i="13"/>
  <c r="Z3111" i="13"/>
  <c r="Z985" i="13"/>
  <c r="Z1665" i="13"/>
  <c r="Z2256" i="13"/>
  <c r="Z263" i="13"/>
  <c r="Z548" i="13"/>
  <c r="Z3229" i="13"/>
  <c r="Z545" i="13"/>
  <c r="Z135" i="13"/>
  <c r="Z1196" i="13"/>
  <c r="Z1824" i="13"/>
  <c r="Z3116" i="13"/>
  <c r="Z52" i="13"/>
  <c r="Z1903" i="13"/>
  <c r="Z222" i="13"/>
  <c r="Z1445" i="13"/>
  <c r="Z2546" i="13"/>
  <c r="Z3042" i="13"/>
  <c r="Z2192" i="13"/>
  <c r="Z549" i="13"/>
  <c r="Z2027" i="13"/>
  <c r="Z1877" i="13"/>
  <c r="Z2221" i="13"/>
  <c r="Z948" i="13"/>
  <c r="Z3439" i="13"/>
  <c r="Z2372" i="13"/>
  <c r="Z923" i="13"/>
  <c r="Z187" i="13"/>
  <c r="Z1128" i="13"/>
  <c r="Z3550" i="13"/>
  <c r="Z2022" i="13"/>
  <c r="Z2751" i="13"/>
  <c r="Z530" i="13"/>
  <c r="Z1883" i="13"/>
  <c r="Z553" i="13"/>
  <c r="Z3282" i="13"/>
  <c r="Z1351" i="13"/>
  <c r="Z2319" i="13"/>
  <c r="Z1053" i="13"/>
  <c r="Z3505" i="13"/>
  <c r="Z1621" i="13"/>
  <c r="Z392" i="13"/>
  <c r="Z1011" i="13"/>
  <c r="Z1984" i="13"/>
  <c r="Z2271" i="13"/>
  <c r="Z349" i="13"/>
  <c r="Z778" i="13"/>
  <c r="Z3237" i="13"/>
  <c r="Z3196" i="13"/>
  <c r="Z2647" i="13"/>
  <c r="Z1426" i="13"/>
  <c r="Z3484" i="13"/>
  <c r="Z2261" i="13"/>
  <c r="Z2005" i="13"/>
  <c r="Z1312" i="13"/>
  <c r="Z605" i="13"/>
  <c r="Z1625" i="13"/>
  <c r="Z1216" i="13"/>
  <c r="Z2171" i="13"/>
  <c r="Z579" i="13"/>
  <c r="Z1108" i="13"/>
  <c r="Z2279" i="13"/>
  <c r="Z1238" i="13"/>
  <c r="Z2777" i="13"/>
  <c r="Z1085" i="13"/>
  <c r="Z2073" i="13"/>
  <c r="Z1390" i="13"/>
  <c r="Z551" i="13"/>
  <c r="Z2706" i="13"/>
  <c r="Z2236" i="13"/>
  <c r="Z3493" i="13"/>
  <c r="Z1038" i="13"/>
  <c r="Z2549" i="13"/>
  <c r="Z1668" i="13"/>
  <c r="Z142" i="13"/>
  <c r="Z1391" i="13"/>
  <c r="Z2792" i="13"/>
  <c r="Z3360" i="13"/>
  <c r="Z623" i="13"/>
  <c r="Z1756" i="13"/>
  <c r="Z1375" i="13"/>
  <c r="Z779" i="13"/>
  <c r="Z2820" i="13"/>
  <c r="Z805" i="13"/>
  <c r="Z1105" i="13"/>
  <c r="Z344" i="13"/>
  <c r="Z1539" i="13"/>
  <c r="Z1294" i="13"/>
  <c r="Z3333" i="13"/>
  <c r="Z1111" i="13"/>
  <c r="Z1130" i="13"/>
  <c r="Z2523" i="13"/>
  <c r="Z1866" i="13"/>
  <c r="Z1086" i="13"/>
  <c r="Z2230" i="13"/>
  <c r="Z1370" i="13"/>
  <c r="Z477" i="13"/>
  <c r="Z1815" i="13"/>
  <c r="Z810" i="13"/>
  <c r="Z991" i="13"/>
  <c r="Z3545" i="13"/>
  <c r="Z1256" i="13"/>
  <c r="Z1367" i="13"/>
  <c r="Z630" i="13"/>
  <c r="Z1229" i="13"/>
  <c r="Z2083" i="13"/>
  <c r="Z427" i="13"/>
  <c r="Z3380" i="13"/>
  <c r="Z229" i="13"/>
  <c r="Z1656" i="13"/>
  <c r="Z321" i="13"/>
  <c r="Z2682" i="13"/>
  <c r="Z1946" i="13"/>
  <c r="Z2040" i="13"/>
  <c r="Z830" i="13"/>
  <c r="Z2115" i="13"/>
  <c r="Z3204" i="13"/>
  <c r="Z1356" i="13"/>
  <c r="Z1680" i="13"/>
  <c r="Z2667" i="13"/>
  <c r="Z873" i="13"/>
  <c r="Z2732" i="13"/>
  <c r="Z1563" i="13"/>
  <c r="Z2880" i="13"/>
  <c r="Z1434" i="13"/>
  <c r="Z3074" i="13"/>
  <c r="Z825" i="13"/>
  <c r="Z106" i="13"/>
  <c r="Z1081" i="13"/>
  <c r="Z3521" i="13"/>
  <c r="Z3309" i="13"/>
  <c r="Z1318" i="13"/>
  <c r="Z1998" i="13"/>
  <c r="Z2056" i="13"/>
  <c r="Z650" i="13"/>
  <c r="Z2013" i="13"/>
  <c r="Z1559" i="13"/>
  <c r="Z471" i="13"/>
  <c r="Z3114" i="13"/>
  <c r="Z563" i="13"/>
  <c r="Z1940" i="13"/>
  <c r="Z1112" i="13"/>
  <c r="Z1854" i="13"/>
  <c r="Z51" i="13"/>
  <c r="Z1720" i="13"/>
  <c r="Z2488" i="13"/>
  <c r="Z854" i="13"/>
  <c r="Z2399" i="13"/>
  <c r="Z2188" i="13"/>
  <c r="Z238" i="13"/>
  <c r="Z1142" i="13"/>
  <c r="Z3098" i="13"/>
  <c r="Z2589" i="13"/>
  <c r="Z2554" i="13"/>
  <c r="Z913" i="13"/>
  <c r="Z2619" i="13"/>
  <c r="Z848" i="13"/>
  <c r="Z1571" i="13"/>
  <c r="Z3481" i="13"/>
  <c r="Z1005" i="13"/>
  <c r="Z1004" i="13"/>
  <c r="Z751" i="13"/>
  <c r="Z1066" i="13"/>
  <c r="Z2442" i="13"/>
  <c r="Z2452" i="13"/>
  <c r="Z1418" i="13"/>
  <c r="Z1944" i="13"/>
  <c r="Z242" i="13"/>
  <c r="Z2362" i="13"/>
  <c r="Z721" i="13"/>
  <c r="Z1806" i="13"/>
  <c r="Z394" i="13"/>
  <c r="Z1855" i="13"/>
  <c r="Z2229" i="13"/>
  <c r="Z3529" i="13"/>
  <c r="Z3459" i="13"/>
  <c r="Z961" i="13"/>
  <c r="Z2422" i="13"/>
  <c r="Z3388" i="13"/>
  <c r="Z1260" i="13"/>
  <c r="Z3391" i="13"/>
  <c r="Z28" i="13"/>
  <c r="Z2817" i="13"/>
  <c r="Z1368" i="13"/>
  <c r="Z1847" i="13"/>
  <c r="Z1124" i="13"/>
  <c r="Z3028" i="13"/>
  <c r="Z1813" i="13"/>
  <c r="Z2786" i="13"/>
  <c r="Z1220" i="13"/>
  <c r="Z758" i="13"/>
  <c r="Z2153" i="13"/>
  <c r="Z1763" i="13"/>
  <c r="Z727" i="13"/>
  <c r="Z785" i="13"/>
  <c r="Z3191" i="13"/>
  <c r="Z2498" i="13"/>
  <c r="Z2631" i="13"/>
  <c r="Z2703" i="13"/>
  <c r="Z730" i="13"/>
  <c r="Z1552" i="13"/>
  <c r="Z2470" i="13"/>
  <c r="Z2920" i="13"/>
  <c r="Z1778" i="13"/>
  <c r="Z1718" i="13"/>
  <c r="Z1905" i="13"/>
  <c r="Z2696" i="13"/>
  <c r="Z2033" i="13"/>
  <c r="Z2055" i="13"/>
  <c r="Z2841" i="13"/>
  <c r="Z2163" i="13"/>
  <c r="Z1382" i="13"/>
  <c r="Z139" i="13"/>
  <c r="Z2356" i="13"/>
  <c r="Z1503" i="13"/>
  <c r="Z1589" i="13"/>
  <c r="Z741" i="13"/>
  <c r="Z2429" i="13"/>
  <c r="Z1332" i="13"/>
  <c r="Z1056" i="13"/>
  <c r="Z817" i="13"/>
  <c r="Z535" i="13"/>
  <c r="Z986" i="13"/>
  <c r="Z3464" i="13"/>
  <c r="Z2764" i="13"/>
  <c r="Z3318" i="13"/>
  <c r="Z3325" i="13"/>
  <c r="Z2088" i="13"/>
  <c r="Z1271" i="13"/>
  <c r="Z3083" i="13"/>
  <c r="Z2887" i="13"/>
  <c r="Z3052" i="13"/>
  <c r="Z1248" i="13"/>
  <c r="Z138" i="13"/>
  <c r="Z1123" i="13"/>
  <c r="Z2805" i="13"/>
  <c r="Z2756" i="13"/>
  <c r="Z71" i="13"/>
  <c r="Z180" i="13"/>
  <c r="Z1061" i="13"/>
  <c r="Z939" i="13"/>
  <c r="Z1583" i="13"/>
  <c r="Z733" i="13"/>
  <c r="Z2290" i="13"/>
  <c r="Z399" i="13"/>
  <c r="Z3081" i="13"/>
  <c r="Z1044" i="13"/>
  <c r="Z2017" i="13"/>
  <c r="Z3500" i="13"/>
  <c r="Z1821" i="13"/>
  <c r="Z1376" i="13"/>
  <c r="Z487" i="13"/>
  <c r="Z1569" i="13"/>
  <c r="Z1507" i="13"/>
  <c r="Z3377" i="13"/>
  <c r="Z2608" i="13"/>
  <c r="Z2119" i="13"/>
  <c r="Z1381" i="13"/>
  <c r="Z2385" i="13"/>
  <c r="Z1162" i="13"/>
  <c r="Z3069" i="13"/>
  <c r="Z600" i="13"/>
  <c r="Z578" i="13"/>
  <c r="Z66" i="13"/>
  <c r="Z1781" i="13"/>
  <c r="Z1093" i="13"/>
  <c r="Z2350" i="13"/>
  <c r="Z1429" i="13"/>
  <c r="Z1514" i="13"/>
  <c r="Z2966" i="13"/>
  <c r="Z1478" i="13"/>
  <c r="Z2383" i="13"/>
  <c r="Z1577" i="13"/>
  <c r="Z2704" i="13"/>
  <c r="Z208" i="13"/>
  <c r="Z832" i="13"/>
  <c r="Z132" i="13"/>
  <c r="Z710" i="13"/>
  <c r="Z1652" i="13"/>
  <c r="Z2551" i="13"/>
  <c r="Z2371" i="13"/>
  <c r="Z2493" i="13"/>
  <c r="Z2967" i="13"/>
  <c r="Z3005" i="13"/>
  <c r="Z1734" i="13"/>
  <c r="Z2628" i="13"/>
  <c r="Z1977" i="13"/>
  <c r="Z2563" i="13"/>
  <c r="Z3367" i="13"/>
  <c r="Z1020" i="13"/>
  <c r="Z3073" i="13"/>
  <c r="Z1490" i="13"/>
  <c r="Z346" i="13"/>
  <c r="Z1411" i="13"/>
  <c r="Z1059" i="13"/>
  <c r="Z691" i="13"/>
  <c r="Z171" i="13"/>
  <c r="Z2276" i="13"/>
  <c r="Z1527" i="13"/>
  <c r="Z3479" i="13"/>
  <c r="Z2086" i="13"/>
  <c r="Z1102" i="13"/>
  <c r="Z1873" i="13"/>
  <c r="Z1993" i="13"/>
  <c r="Z1893" i="13"/>
  <c r="Z2901" i="13"/>
  <c r="Z1190" i="13"/>
  <c r="Z3217" i="13"/>
  <c r="Z683" i="13"/>
  <c r="Z658" i="13"/>
  <c r="Z1050" i="13"/>
  <c r="Z2306" i="13"/>
  <c r="Z2203" i="13"/>
  <c r="Z1067" i="13"/>
  <c r="Z1203" i="13"/>
  <c r="Z3266" i="13"/>
  <c r="Z1982" i="13"/>
  <c r="Z2538" i="13"/>
  <c r="Z926" i="13"/>
  <c r="Z1985" i="13"/>
  <c r="Z458" i="13"/>
  <c r="Z2311" i="13"/>
  <c r="Z2054" i="13"/>
  <c r="Z1952" i="13"/>
  <c r="Z1458" i="13"/>
  <c r="Z1374" i="13"/>
  <c r="Z1636" i="13"/>
  <c r="Z1048" i="13"/>
  <c r="Z2285" i="13"/>
  <c r="Z1631" i="13"/>
  <c r="Z3288" i="13"/>
  <c r="Z113" i="13"/>
  <c r="Z674" i="13"/>
  <c r="Z1857" i="13"/>
  <c r="Z1719" i="13"/>
  <c r="Z58" i="13"/>
  <c r="Z36" i="13"/>
  <c r="Z1937" i="13"/>
  <c r="Z1891" i="13"/>
  <c r="Z3506" i="13"/>
  <c r="Z468" i="13"/>
  <c r="Z3426" i="13"/>
  <c r="Z2489" i="13"/>
  <c r="Z2757" i="13"/>
  <c r="Z3284" i="13"/>
  <c r="Z1424" i="13"/>
  <c r="Z3094" i="13"/>
  <c r="Z3478" i="13"/>
  <c r="Z501" i="13"/>
  <c r="Z1125" i="13"/>
  <c r="Z838" i="13"/>
  <c r="Z2543" i="13"/>
  <c r="Z2998" i="13"/>
  <c r="Z714" i="13"/>
  <c r="Z3144" i="13"/>
  <c r="Z1648" i="13"/>
  <c r="Z2172" i="13"/>
  <c r="Z1955" i="13"/>
  <c r="Z1602" i="13"/>
  <c r="Z1443" i="13"/>
  <c r="Z1395" i="13"/>
  <c r="Z2357" i="13"/>
  <c r="Z2823" i="13"/>
  <c r="Z2263" i="13"/>
  <c r="Z2046" i="13"/>
  <c r="Z380" i="13"/>
  <c r="Z3096" i="13"/>
  <c r="Z3104" i="13"/>
  <c r="Z2161" i="13"/>
  <c r="Z2570" i="13"/>
  <c r="Z513" i="13"/>
  <c r="Z3091" i="13"/>
  <c r="Z796" i="13"/>
  <c r="Z1328" i="13"/>
  <c r="Z759" i="13"/>
  <c r="Z3183" i="13"/>
  <c r="Z1755" i="13"/>
  <c r="Z2564" i="13"/>
  <c r="Z2117" i="13"/>
  <c r="Z2643" i="13"/>
  <c r="Z232" i="13"/>
  <c r="Z564" i="13"/>
  <c r="Z2293" i="13"/>
  <c r="Z2560" i="13"/>
  <c r="Z929" i="13"/>
  <c r="Z904" i="13"/>
  <c r="Z2824" i="13"/>
  <c r="Z1120" i="13"/>
  <c r="Z3163" i="13"/>
  <c r="Z3135" i="13"/>
  <c r="Z2945" i="13"/>
  <c r="Z1579" i="13"/>
  <c r="Z918" i="13"/>
  <c r="Z1899" i="13"/>
  <c r="Z3265" i="13"/>
  <c r="Z3538" i="13"/>
  <c r="Z3108" i="13"/>
  <c r="Z956" i="13"/>
  <c r="Z2038" i="13"/>
  <c r="Z2987" i="13"/>
  <c r="Z1227" i="13"/>
  <c r="Z153" i="13"/>
  <c r="Z226" i="13"/>
  <c r="Z1160" i="13"/>
  <c r="Z2754" i="13"/>
  <c r="Z1384" i="13"/>
  <c r="Z1698" i="13"/>
  <c r="Z2131" i="13"/>
  <c r="Z3417" i="13"/>
  <c r="Z959" i="13"/>
  <c r="Z1317" i="13"/>
  <c r="Z2102" i="13"/>
  <c r="Z787" i="13"/>
  <c r="Z2867" i="13"/>
  <c r="Z3397" i="13"/>
  <c r="Z2255" i="13"/>
  <c r="Z3149" i="13"/>
  <c r="Z1988" i="13"/>
  <c r="Z2460" i="13"/>
  <c r="Z2994" i="13"/>
  <c r="Z3299" i="13"/>
  <c r="Z2698" i="13"/>
  <c r="Z2133" i="13"/>
  <c r="Z2432" i="13"/>
  <c r="Z1100" i="13"/>
  <c r="Z2123" i="13"/>
  <c r="Z2722" i="13"/>
  <c r="Z1155" i="13"/>
  <c r="Z2435" i="13"/>
  <c r="Z2942" i="13"/>
  <c r="Z2774" i="13"/>
  <c r="Z2789" i="13"/>
  <c r="Z1887" i="13"/>
  <c r="Z2381" i="13"/>
  <c r="Z872" i="13"/>
  <c r="Z159" i="13"/>
  <c r="Z915" i="13"/>
  <c r="Z1172" i="13"/>
  <c r="Z302" i="13"/>
  <c r="Z1600" i="13"/>
  <c r="Z1316" i="13"/>
  <c r="Z134" i="13"/>
  <c r="Z3451" i="13"/>
  <c r="Z945" i="13"/>
  <c r="Z244" i="13"/>
  <c r="Z3350" i="13"/>
  <c r="Z829" i="13"/>
  <c r="Z304" i="13"/>
  <c r="Z1017" i="13"/>
  <c r="Z1442" i="13"/>
  <c r="Z1513" i="13"/>
  <c r="Z2629" i="13"/>
  <c r="Z3175" i="13"/>
  <c r="Z149" i="13"/>
  <c r="Z1683" i="13"/>
  <c r="Z377" i="13"/>
  <c r="Z1303" i="13"/>
  <c r="Z2149" i="13"/>
  <c r="Z1536" i="13"/>
  <c r="Z1300" i="13"/>
  <c r="Z2164" i="13"/>
  <c r="Z1744" i="13"/>
  <c r="Z3157" i="13"/>
  <c r="Z1335" i="13"/>
  <c r="Z2505" i="13"/>
  <c r="Z2305" i="13"/>
  <c r="Z541" i="13"/>
  <c r="Z265" i="13"/>
  <c r="Z2866" i="13"/>
  <c r="Z2572" i="13"/>
  <c r="Z3240" i="13"/>
  <c r="Z3071" i="13"/>
  <c r="Z2632" i="13"/>
  <c r="Z494" i="13"/>
  <c r="Z2481" i="13"/>
  <c r="Z1989" i="13"/>
  <c r="Z3431" i="13"/>
  <c r="Z2039" i="13"/>
  <c r="Z2379" i="13"/>
  <c r="Z1595" i="13"/>
  <c r="Z1930" i="13"/>
  <c r="Z2294" i="13"/>
  <c r="Z2232" i="13"/>
  <c r="Z1151" i="13"/>
  <c r="Z2031" i="13"/>
  <c r="Z3289" i="13"/>
  <c r="Z2094" i="13"/>
  <c r="Z2317" i="13"/>
  <c r="Z1678" i="13"/>
  <c r="Z3489" i="13"/>
  <c r="Z2074" i="13"/>
  <c r="Z2416" i="13"/>
  <c r="Z3467" i="13"/>
  <c r="Z862" i="13"/>
  <c r="Z664" i="13"/>
  <c r="Z2515" i="13"/>
  <c r="Z3306" i="13"/>
  <c r="Z633" i="13"/>
  <c r="Z1022" i="13"/>
  <c r="Z2520" i="13"/>
  <c r="Z2185" i="13"/>
  <c r="Z2049" i="13"/>
  <c r="Z2937" i="13"/>
  <c r="Z414" i="13"/>
  <c r="Z690" i="13"/>
  <c r="Z2142" i="13"/>
  <c r="Z1632" i="13"/>
  <c r="Z507" i="13"/>
  <c r="Z2604" i="13"/>
  <c r="Z1475" i="13"/>
  <c r="Z932" i="13"/>
  <c r="Z1869" i="13"/>
  <c r="Z2240" i="13"/>
  <c r="Z2911" i="13"/>
  <c r="Z1965" i="13"/>
  <c r="Z228" i="13"/>
  <c r="Z3190" i="13"/>
  <c r="Z1068" i="13"/>
  <c r="Z3037" i="13"/>
  <c r="Z1242" i="13"/>
  <c r="Z1074" i="13"/>
  <c r="Z1882" i="13"/>
  <c r="Z1423" i="13"/>
  <c r="Z522" i="13"/>
  <c r="Z1664" i="13"/>
  <c r="Z577" i="13"/>
  <c r="Z2247" i="13"/>
  <c r="Z2707" i="13"/>
  <c r="Z1446" i="13"/>
  <c r="Z3272" i="13"/>
  <c r="Z851" i="13"/>
  <c r="Z3415" i="13"/>
  <c r="Z1820" i="13"/>
  <c r="Z3270" i="13"/>
  <c r="Z1924" i="13"/>
  <c r="Z1695" i="13"/>
  <c r="Z464" i="13"/>
  <c r="Z977" i="13"/>
  <c r="Z1210" i="13"/>
  <c r="Z858" i="13"/>
  <c r="Z1479" i="13"/>
  <c r="Z567" i="13"/>
  <c r="Z582" i="13"/>
  <c r="Z1063" i="13"/>
  <c r="Z927" i="13"/>
  <c r="Z1966" i="13"/>
  <c r="Z2615" i="13"/>
  <c r="Z1447" i="13"/>
  <c r="Z3043" i="13"/>
  <c r="Z2924" i="13"/>
  <c r="Z1800" i="13"/>
  <c r="Z2286" i="13"/>
  <c r="Z41" i="13"/>
  <c r="Z3058" i="13"/>
  <c r="Z2151" i="13"/>
  <c r="Z2426" i="13"/>
  <c r="Z717" i="13"/>
  <c r="Z3100" i="13"/>
  <c r="Z489" i="13"/>
  <c r="Z610" i="13"/>
  <c r="Z2373" i="13"/>
  <c r="Z2689" i="13"/>
  <c r="Z3159" i="13"/>
  <c r="Z3127" i="13"/>
  <c r="Z2747" i="13"/>
  <c r="Z3106" i="13"/>
  <c r="Z3238" i="13"/>
  <c r="Z833" i="13"/>
  <c r="Z160" i="13"/>
  <c r="Z2420" i="13"/>
  <c r="Z2963" i="13"/>
  <c r="Z1258" i="13"/>
  <c r="Z2822" i="13"/>
  <c r="Z1690" i="13"/>
  <c r="Z505" i="13"/>
  <c r="Z328" i="13"/>
  <c r="Z2238" i="13"/>
  <c r="Z3440" i="13"/>
  <c r="Z612" i="13"/>
  <c r="Z1082" i="13"/>
  <c r="Z2673" i="13"/>
  <c r="Z1517" i="13"/>
  <c r="Z1794" i="13"/>
  <c r="Z1546" i="13"/>
  <c r="Z980" i="13"/>
  <c r="Z538" i="13"/>
  <c r="Z1324" i="13"/>
  <c r="Z2387" i="13"/>
  <c r="Z3246" i="13"/>
  <c r="Z589" i="13"/>
  <c r="Z1994" i="13"/>
  <c r="Z476" i="13"/>
  <c r="Z3389" i="13"/>
  <c r="Z1628" i="13"/>
  <c r="Z282" i="13"/>
  <c r="Z2078" i="13"/>
  <c r="Z777" i="13"/>
  <c r="Z2665" i="13"/>
  <c r="Z3248" i="13"/>
  <c r="Z1449" i="13"/>
  <c r="Z1386" i="13"/>
  <c r="Z2741" i="13"/>
  <c r="Z2354" i="13"/>
  <c r="Z1561" i="13"/>
  <c r="Z671" i="13"/>
  <c r="Z1187" i="13"/>
  <c r="Z2248" i="13"/>
  <c r="Z466" i="13"/>
  <c r="Z3462" i="13"/>
  <c r="Z1610" i="13"/>
  <c r="Z3468" i="13"/>
  <c r="Z2763" i="13"/>
  <c r="Z3164" i="13"/>
  <c r="Z842" i="13"/>
  <c r="Z373" i="13"/>
  <c r="Z45" i="13"/>
  <c r="Z695" i="13"/>
  <c r="Z1677" i="13"/>
  <c r="Z891" i="13"/>
  <c r="Z2545" i="13"/>
  <c r="Z1660" i="13"/>
  <c r="Z2878" i="13"/>
  <c r="Z3161" i="13"/>
  <c r="Z1036" i="13"/>
  <c r="Z1803" i="13"/>
  <c r="Z1765" i="13"/>
  <c r="Z1341" i="13"/>
  <c r="Z1957" i="13"/>
  <c r="Z1845" i="13"/>
  <c r="Z63" i="13"/>
  <c r="Z3283" i="13"/>
  <c r="Z3378" i="13"/>
  <c r="Z3192" i="13"/>
  <c r="Z2620" i="13"/>
  <c r="Z488" i="13"/>
  <c r="Z575" i="13"/>
  <c r="Z438" i="13"/>
  <c r="Z1364" i="13"/>
  <c r="Z55" i="13"/>
  <c r="Z700" i="13"/>
  <c r="Z1404" i="13"/>
  <c r="Z3450" i="13"/>
  <c r="Z1714" i="13"/>
  <c r="Z347" i="13"/>
  <c r="Z266" i="13"/>
  <c r="Z933" i="13"/>
  <c r="Z3022" i="13"/>
  <c r="Z2280" i="13"/>
  <c r="Z1212" i="13"/>
  <c r="Z1149" i="13"/>
  <c r="Z357" i="13"/>
  <c r="Z518" i="13"/>
  <c r="Z2555" i="13"/>
  <c r="Z1417" i="13"/>
  <c r="Z1639" i="13"/>
  <c r="Z3355" i="13"/>
  <c r="Z2674" i="13"/>
  <c r="Z2821" i="13"/>
  <c r="Z826" i="13"/>
  <c r="Z2345" i="13"/>
  <c r="Z1960" i="13"/>
  <c r="Z2389" i="13"/>
  <c r="Z2032" i="13"/>
  <c r="Z151" i="13"/>
  <c r="Z3172" i="13"/>
  <c r="Z542" i="13"/>
  <c r="Z2473" i="13"/>
  <c r="Z3354" i="13"/>
  <c r="Z2687" i="13"/>
  <c r="Z2977" i="13"/>
  <c r="Z744" i="13"/>
  <c r="Z656" i="13"/>
  <c r="Z1194" i="13"/>
  <c r="Z919" i="13"/>
  <c r="Z934" i="13"/>
  <c r="Z2818" i="13"/>
  <c r="Z3332" i="13"/>
  <c r="Z834" i="13"/>
  <c r="Z370" i="13"/>
  <c r="Z2969" i="13"/>
  <c r="Z1697" i="13"/>
  <c r="Z2024" i="13"/>
  <c r="Z1663" i="13"/>
  <c r="Z1520" i="13"/>
  <c r="Z1909" i="13"/>
  <c r="Z1892" i="13"/>
  <c r="Z2899" i="13"/>
  <c r="Z2007" i="13"/>
  <c r="Z1802" i="13"/>
  <c r="Z2790" i="13"/>
  <c r="Z722" i="13"/>
  <c r="Z491" i="13"/>
  <c r="Z1032" i="13"/>
  <c r="Z3035" i="13"/>
  <c r="Z1594" i="13"/>
  <c r="Z629" i="13"/>
  <c r="Z2881" i="13"/>
  <c r="Z1531" i="13"/>
  <c r="Z3405" i="13"/>
  <c r="Z322" i="13"/>
  <c r="Z517" i="13"/>
  <c r="Z1191" i="13"/>
  <c r="Z2597" i="13"/>
  <c r="Z2025" i="13"/>
  <c r="Z350" i="13"/>
  <c r="Z3335" i="13"/>
  <c r="Z601" i="13"/>
  <c r="Z2418" i="13"/>
  <c r="Z2321" i="13"/>
  <c r="Z65" i="13"/>
  <c r="Z1034" i="13"/>
  <c r="Z2502" i="13"/>
  <c r="Z3019" i="13"/>
  <c r="Z1094" i="13"/>
  <c r="Z1934" i="13"/>
  <c r="Z162" i="13"/>
  <c r="Z59" i="13"/>
  <c r="Z1647" i="13"/>
  <c r="Z440" i="13"/>
  <c r="Z3141" i="13"/>
  <c r="Z2849" i="13"/>
  <c r="Z2118" i="13"/>
  <c r="Z1145" i="13"/>
  <c r="Z254" i="13"/>
  <c r="Z2710" i="13"/>
  <c r="Z719" i="13"/>
  <c r="Z3423" i="13"/>
  <c r="Z2695" i="13"/>
  <c r="Z974" i="13"/>
  <c r="Z1358" i="13"/>
  <c r="Z3007" i="13"/>
  <c r="Z1117" i="13"/>
  <c r="Z648" i="13"/>
  <c r="Z2338" i="13"/>
  <c r="Z859" i="13"/>
  <c r="Z1967" i="13"/>
  <c r="Z3342" i="13"/>
  <c r="Z1019" i="13"/>
  <c r="Z3031" i="13"/>
  <c r="Z345" i="13"/>
  <c r="Z1396" i="13"/>
  <c r="Z2976" i="13"/>
  <c r="Z3109" i="13"/>
  <c r="Z3155" i="13"/>
  <c r="Z2200" i="13"/>
  <c r="Z130" i="13"/>
  <c r="Z1829" i="13"/>
  <c r="Z3152" i="13"/>
  <c r="Z1783" i="13"/>
  <c r="Z3193" i="13"/>
  <c r="Z3189" i="13"/>
  <c r="Z3465" i="13"/>
  <c r="Z2004" i="13"/>
  <c r="Z1743" i="13"/>
  <c r="Z2985" i="13"/>
  <c r="Z3280" i="13"/>
  <c r="Z823" i="13"/>
  <c r="Z2476" i="13"/>
  <c r="Z1157" i="13"/>
  <c r="Z84" i="13"/>
  <c r="Z1282" i="13"/>
  <c r="Z1515" i="13"/>
  <c r="Z1474" i="13"/>
  <c r="Z1810" i="13"/>
  <c r="Z2915" i="13"/>
  <c r="Z617" i="13"/>
  <c r="Z574" i="13"/>
  <c r="Z3120" i="13"/>
  <c r="Z2300" i="13"/>
  <c r="Z286" i="13"/>
  <c r="Z2223" i="13"/>
  <c r="Z2592" i="13"/>
  <c r="Z155" i="13"/>
  <c r="Z383" i="13"/>
  <c r="Z2464" i="13"/>
  <c r="Z1728" i="13"/>
  <c r="Z773" i="13"/>
  <c r="Z1455" i="13"/>
  <c r="Z2640" i="13"/>
  <c r="Z761" i="13"/>
  <c r="Z709" i="13"/>
  <c r="Z368" i="13"/>
  <c r="Z98" i="13"/>
  <c r="Z2832" i="13"/>
  <c r="Z54" i="13"/>
  <c r="Z2150" i="13"/>
  <c r="Z3273" i="13"/>
  <c r="Z2772" i="13"/>
  <c r="Z681" i="13"/>
  <c r="Z2398" i="13"/>
  <c r="Z1084" i="13"/>
  <c r="Z682" i="13"/>
  <c r="Z2962" i="13"/>
  <c r="Z1378" i="13"/>
  <c r="Z3133" i="13"/>
  <c r="Z844" i="13"/>
  <c r="Z3523" i="13"/>
  <c r="Z2658" i="13"/>
  <c r="Z1228" i="13"/>
  <c r="Z944" i="13"/>
  <c r="Z2975" i="13"/>
  <c r="Z3275" i="13"/>
  <c r="Z1337" i="13"/>
  <c r="Z1568" i="13"/>
  <c r="Z524" i="13"/>
  <c r="Z337" i="13"/>
  <c r="Z924" i="13"/>
  <c r="Z1522" i="13"/>
  <c r="Z750" i="13"/>
  <c r="Z2193" i="13"/>
  <c r="Z3124" i="13"/>
  <c r="Z3072" i="13"/>
  <c r="Z2099" i="13"/>
  <c r="Z2803" i="13"/>
  <c r="Z2556" i="13"/>
  <c r="Z591" i="13"/>
  <c r="Z2375" i="13"/>
  <c r="Z3174" i="13"/>
  <c r="Z2731" i="13"/>
  <c r="Z1737" i="13"/>
  <c r="Z667" i="13"/>
  <c r="Z743" i="13"/>
  <c r="Z3230" i="13"/>
  <c r="Z2453" i="13"/>
  <c r="Z3455" i="13"/>
  <c r="Z3304" i="13"/>
  <c r="Z372" i="13"/>
  <c r="Z1795" i="13"/>
  <c r="Z677" i="13"/>
  <c r="Z3023" i="13"/>
  <c r="Z3286" i="13"/>
  <c r="Z1917" i="13"/>
  <c r="Z2067" i="13"/>
  <c r="Z1979" i="13"/>
  <c r="Z227" i="13"/>
  <c r="Z1920" i="13"/>
  <c r="Z2743" i="13"/>
  <c r="Z248" i="13"/>
  <c r="Z1060" i="13"/>
  <c r="Z1835" i="13"/>
  <c r="Z3143" i="13"/>
  <c r="Z1512" i="13"/>
  <c r="Z428" i="13"/>
  <c r="Z395" i="13"/>
  <c r="Z910" i="13"/>
  <c r="Z182" i="13"/>
  <c r="Z105" i="13"/>
  <c r="Z1144" i="13"/>
  <c r="Z3366" i="13"/>
  <c r="Z3393" i="13"/>
  <c r="Z3060" i="13"/>
  <c r="Z2262" i="13"/>
  <c r="Z2776" i="13"/>
  <c r="Z3445" i="13"/>
  <c r="Z2113" i="13"/>
  <c r="Z2837" i="13"/>
  <c r="Z3257" i="13"/>
  <c r="Z2586" i="13"/>
  <c r="Z2436" i="13"/>
  <c r="Z1263" i="13"/>
  <c r="Z2021" i="13"/>
  <c r="Z812" i="13"/>
  <c r="Z819" i="13"/>
  <c r="Z2103" i="13"/>
  <c r="Z2446" i="13"/>
  <c r="Z1377" i="13"/>
  <c r="Z1528" i="13"/>
  <c r="Z1862" i="13"/>
  <c r="Z1250" i="13"/>
  <c r="Z1864" i="13"/>
  <c r="Z828" i="13"/>
  <c r="Z837" i="13"/>
  <c r="Z3341" i="13"/>
  <c r="Z1251" i="13"/>
  <c r="Z3466" i="13"/>
  <c r="Z1288" i="13"/>
  <c r="Z2393" i="13"/>
  <c r="Z2347" i="13"/>
  <c r="Z289" i="13"/>
  <c r="Z3207" i="13"/>
  <c r="Z2593" i="13"/>
  <c r="Z2653" i="13"/>
  <c r="Z234" i="13"/>
  <c r="Z1754" i="13"/>
  <c r="Z68" i="13"/>
  <c r="Z1183" i="13"/>
  <c r="Z3382" i="13"/>
  <c r="Z2989" i="13"/>
  <c r="Z211" i="13"/>
  <c r="Z807" i="13"/>
  <c r="Z2595" i="13"/>
  <c r="Z3471" i="13"/>
  <c r="Z1431" i="13"/>
  <c r="Z1463" i="13"/>
  <c r="Z271" i="13"/>
  <c r="Z1608" i="13"/>
  <c r="Z1721" i="13"/>
  <c r="Z3130" i="13"/>
  <c r="Z3131" i="13"/>
  <c r="Z2129" i="13"/>
  <c r="Z230" i="13"/>
  <c r="Z332" i="13"/>
  <c r="Z973" i="13"/>
  <c r="Z2853" i="13"/>
  <c r="Z2836" i="13"/>
  <c r="Z1459" i="13"/>
  <c r="Z3216" i="13"/>
  <c r="Z2528" i="13"/>
  <c r="Z1916" i="13"/>
  <c r="Z1601" i="13"/>
  <c r="Z2559" i="13"/>
  <c r="Z3422" i="13"/>
  <c r="Z2935" i="13"/>
  <c r="Z2973" i="13"/>
  <c r="Z2808" i="13"/>
  <c r="Z189" i="13"/>
  <c r="Z1470" i="13"/>
  <c r="Z1430" i="13"/>
  <c r="Z2011" i="13"/>
  <c r="Z2968" i="13"/>
  <c r="Z3128" i="13"/>
  <c r="Z1171" i="13"/>
  <c r="Z2132" i="13"/>
  <c r="Z723" i="13"/>
  <c r="Z1185" i="13"/>
  <c r="Z2814" i="13"/>
  <c r="Z2341" i="13"/>
  <c r="Z2260" i="13"/>
  <c r="Z3013" i="13"/>
  <c r="Z2201" i="13"/>
  <c r="Z635" i="13"/>
  <c r="Z2214" i="13"/>
  <c r="Z3305" i="13"/>
  <c r="Z1393" i="13"/>
  <c r="Z1231" i="13"/>
  <c r="Z484" i="13"/>
  <c r="Z2225" i="13"/>
  <c r="Z56" i="13"/>
  <c r="Z1727" i="13"/>
  <c r="Z272" i="13"/>
  <c r="Z2456" i="13"/>
  <c r="Z1218" i="13"/>
  <c r="Z606" i="13"/>
  <c r="Z3324" i="13"/>
  <c r="Z2358" i="13"/>
  <c r="Z1787" i="13"/>
  <c r="Z676" i="13"/>
  <c r="Z2781" i="13"/>
  <c r="Z815" i="13"/>
  <c r="Z2638" i="13"/>
  <c r="Z1867" i="13"/>
  <c r="Z2925" i="13"/>
  <c r="Z251" i="13"/>
  <c r="Z1435" i="13"/>
  <c r="Z460" i="13"/>
  <c r="Z38" i="13"/>
  <c r="Z86" i="13"/>
  <c r="Z2907" i="13"/>
  <c r="Z2180" i="13"/>
  <c r="Z2165" i="13"/>
  <c r="Z1499" i="13"/>
  <c r="Z2407" i="13"/>
  <c r="Z133" i="13"/>
  <c r="Z1922" i="13"/>
  <c r="Z1456" i="13"/>
  <c r="Z126" i="13"/>
  <c r="Z2110" i="13"/>
  <c r="Z2243" i="13"/>
  <c r="Z3016" i="13"/>
  <c r="Z797" i="13"/>
  <c r="Z1902" i="13"/>
  <c r="Z1556" i="13"/>
  <c r="Z3224" i="13"/>
  <c r="Z147" i="13"/>
  <c r="Z2475" i="13"/>
  <c r="Z1002" i="13"/>
  <c r="Z1860" i="13"/>
  <c r="Z2196" i="13"/>
  <c r="Z2485" i="13"/>
  <c r="Z1919" i="13"/>
  <c r="Z884" i="13"/>
  <c r="Z382" i="13"/>
  <c r="Z451" i="13"/>
  <c r="Z2946" i="13"/>
  <c r="Z1650" i="13"/>
  <c r="Z1933" i="13"/>
  <c r="Z508" i="13"/>
  <c r="Z2467" i="13"/>
  <c r="Z1315" i="13"/>
  <c r="Z2126" i="13"/>
  <c r="Z1702" i="13"/>
  <c r="Z2082" i="13"/>
  <c r="Z969" i="13"/>
  <c r="Z2080" i="13"/>
  <c r="Z1278" i="13"/>
  <c r="Z2267" i="13"/>
  <c r="Z1432" i="13"/>
  <c r="Z3434" i="13"/>
  <c r="Z1732" i="13"/>
  <c r="Z2872" i="13"/>
  <c r="Z2612" i="13"/>
  <c r="Z1379" i="13"/>
  <c r="Z2380" i="13"/>
  <c r="Z3267" i="13"/>
  <c r="Z3184" i="13"/>
  <c r="Z540" i="13"/>
  <c r="Z2980" i="13"/>
  <c r="Z509" i="13"/>
  <c r="Z2064" i="13"/>
  <c r="Z1840" i="13"/>
  <c r="Z1313" i="13"/>
  <c r="Z774" i="13"/>
  <c r="Z2624" i="13"/>
  <c r="Z1575" i="13"/>
  <c r="Z1266" i="13"/>
  <c r="Z1415" i="13"/>
  <c r="Z1999" i="13"/>
  <c r="Z3156" i="13"/>
  <c r="Z144" i="13"/>
  <c r="Z498" i="13"/>
  <c r="Z560" i="13"/>
  <c r="Z72" i="13"/>
  <c r="Z1975" i="13"/>
  <c r="Z1327" i="13"/>
  <c r="Z1168" i="13"/>
  <c r="Z896" i="13"/>
  <c r="Z2932" i="13"/>
  <c r="Z3547" i="13"/>
  <c r="Z2923" i="13"/>
  <c r="Z2534" i="13"/>
  <c r="Z1534" i="13"/>
  <c r="Z1296" i="13"/>
  <c r="Z2189" i="13"/>
  <c r="Z3498" i="13"/>
  <c r="Z2693" i="13"/>
  <c r="Z1613" i="13"/>
  <c r="Z3014" i="13"/>
  <c r="Z1914" i="13"/>
  <c r="Z1635" i="13"/>
  <c r="Z338" i="13"/>
  <c r="Z2274" i="13"/>
  <c r="Z1788" i="13"/>
  <c r="Z987" i="13"/>
  <c r="Z1484" i="13"/>
  <c r="Z210" i="13"/>
  <c r="Z493" i="13"/>
  <c r="Z794" i="13"/>
  <c r="Z1407" i="13"/>
  <c r="Z2487" i="13"/>
  <c r="Z1244" i="13"/>
  <c r="Z1433" i="13"/>
  <c r="Z2309" i="13"/>
  <c r="Z2237" i="13"/>
  <c r="Z649" i="13"/>
  <c r="Z1951" i="13"/>
  <c r="Z331" i="13"/>
  <c r="Z90" i="13"/>
  <c r="Z2729" i="13"/>
  <c r="Z1065" i="13"/>
  <c r="Z3249" i="13"/>
  <c r="Z2681" i="13"/>
  <c r="Z2107" i="13"/>
  <c r="Z3376" i="13"/>
  <c r="Z2251" i="13"/>
  <c r="Z2000" i="13"/>
  <c r="Z533" i="13"/>
  <c r="Z1139" i="13"/>
  <c r="Z2527" i="13"/>
  <c r="Z1237" i="13"/>
  <c r="Z2940" i="13"/>
  <c r="Z2905" i="13"/>
  <c r="Z1748" i="13"/>
  <c r="Z96" i="13"/>
  <c r="Z1669" i="13"/>
  <c r="Z1818" i="13"/>
  <c r="Z644" i="13"/>
  <c r="Z3444" i="13"/>
  <c r="Z968" i="13"/>
  <c r="Z3089" i="13"/>
  <c r="Z1394" i="13"/>
  <c r="Z452" i="13"/>
  <c r="Z2053" i="13"/>
  <c r="Z335" i="13"/>
  <c r="Z3448" i="13"/>
  <c r="Z1851" i="13"/>
  <c r="Z3247" i="13"/>
  <c r="Z3522" i="13"/>
  <c r="Z169" i="13"/>
  <c r="Z2152" i="13"/>
  <c r="Z2125" i="13"/>
  <c r="Z1109" i="13"/>
  <c r="Z2580" i="13"/>
  <c r="Z3362" i="13"/>
  <c r="Z2671" i="13"/>
  <c r="Z1138" i="13"/>
  <c r="Z2443" i="13"/>
  <c r="Z2957" i="13"/>
  <c r="Z1959" i="13"/>
  <c r="Z136" i="13"/>
  <c r="Z853" i="13"/>
  <c r="Z329" i="13"/>
  <c r="Z2532" i="13"/>
  <c r="Z2363" i="13"/>
  <c r="Z1290" i="13"/>
  <c r="Z693" i="13"/>
  <c r="Z358" i="13"/>
  <c r="Z3033" i="13"/>
  <c r="Z669" i="13"/>
  <c r="Z2734" i="13"/>
  <c r="Z1180" i="13"/>
  <c r="Z1211" i="13"/>
  <c r="Z1460" i="13"/>
  <c r="Z2217" i="13"/>
  <c r="Z278" i="13"/>
  <c r="Z1352" i="13"/>
  <c r="Z131" i="13"/>
  <c r="Z930" i="13"/>
  <c r="Z1745" i="13"/>
  <c r="Z1928" i="13"/>
  <c r="Z150" i="13"/>
  <c r="Z107" i="13"/>
  <c r="Z3379" i="13"/>
  <c r="Z76" i="13"/>
  <c r="Z1204" i="13"/>
  <c r="Z101" i="13"/>
  <c r="Z3470" i="13"/>
  <c r="Z2890" i="13"/>
  <c r="Z2730" i="13"/>
  <c r="Z1143" i="13"/>
  <c r="Z982" i="13"/>
  <c r="Z3281" i="13"/>
  <c r="Z3231" i="13"/>
  <c r="Z971" i="13"/>
  <c r="Z2170" i="13"/>
  <c r="Z1839" i="13"/>
  <c r="Z206" i="13"/>
  <c r="Z943" i="13"/>
  <c r="Z2916" i="13"/>
  <c r="Z2325" i="13"/>
  <c r="Z2168" i="13"/>
  <c r="Z3437" i="13"/>
  <c r="Z1549" i="13"/>
  <c r="Z1715" i="13"/>
  <c r="Z1307" i="13"/>
  <c r="Z2313" i="13"/>
  <c r="Z91" i="13"/>
  <c r="Z250" i="13"/>
  <c r="Z976" i="13"/>
  <c r="Z775" i="13"/>
  <c r="Z769" i="13"/>
  <c r="Z499" i="13"/>
  <c r="Z1454" i="13"/>
  <c r="Z1809" i="13"/>
  <c r="Z573" i="13"/>
  <c r="Z3051" i="13"/>
  <c r="Z1400" i="13"/>
  <c r="Z1833" i="13"/>
  <c r="Z2359" i="13"/>
  <c r="Z422" i="13"/>
  <c r="Z1465" i="13"/>
  <c r="Z734" i="13"/>
  <c r="Z1838" i="13"/>
  <c r="Z525" i="13"/>
  <c r="Z2541" i="13"/>
  <c r="Z2787" i="13"/>
  <c r="Z3056" i="13"/>
  <c r="Z2688" i="13"/>
  <c r="Z2812" i="13"/>
  <c r="Z3053" i="13"/>
  <c r="Z1299" i="13"/>
  <c r="Z1150" i="13"/>
  <c r="Z2863" i="13"/>
  <c r="Z1039" i="13"/>
  <c r="Z1819" i="13"/>
  <c r="Z1008" i="13"/>
  <c r="Z2982" i="13"/>
  <c r="Z2302" i="13"/>
  <c r="Z2127" i="13"/>
  <c r="Z1026" i="13"/>
  <c r="Z1387" i="13"/>
  <c r="Z2840" i="13"/>
  <c r="Z2862" i="13"/>
  <c r="Z1013" i="13"/>
  <c r="Z1182" i="13"/>
  <c r="Z1272" i="13"/>
  <c r="Z2050" i="13"/>
  <c r="Z407" i="13"/>
  <c r="Z25" i="13"/>
  <c r="Z2699" i="13"/>
  <c r="Z1970" i="13"/>
  <c r="Z3476" i="13"/>
  <c r="Z1323" i="13"/>
  <c r="Z1165" i="13"/>
  <c r="Z2663" i="13"/>
  <c r="Z1913" i="13"/>
  <c r="Z1511" i="13"/>
  <c r="Z2403" i="13"/>
  <c r="Z1886" i="13"/>
  <c r="Z3447" i="13"/>
  <c r="Z720" i="13"/>
  <c r="Z467" i="13"/>
  <c r="Z889" i="13"/>
  <c r="Z3329" i="13"/>
  <c r="Z1980" i="13"/>
  <c r="Z3101" i="13"/>
  <c r="Z1712" i="13"/>
  <c r="Z3490" i="13"/>
  <c r="Z1782" i="13"/>
  <c r="Z2495" i="13"/>
  <c r="Z1643" i="13"/>
  <c r="Z1330" i="13"/>
  <c r="Z3404" i="13"/>
  <c r="Z316" i="13"/>
  <c r="Z262" i="13"/>
  <c r="Z1414" i="13"/>
  <c r="Z2694" i="13"/>
  <c r="Z2431" i="13"/>
  <c r="Z233" i="13"/>
  <c r="Z1604" i="13"/>
  <c r="Z1870" i="13"/>
  <c r="Z3546" i="13"/>
  <c r="Z128" i="13"/>
  <c r="Z707" i="13"/>
  <c r="Z2561" i="13"/>
  <c r="Z870" i="13"/>
  <c r="Z2675" i="13"/>
  <c r="Z1057" i="13"/>
  <c r="Z2797" i="13"/>
  <c r="Z1776" i="13"/>
  <c r="Z1878" i="13"/>
  <c r="Z92" i="13"/>
  <c r="Z1003" i="13"/>
  <c r="Z2140" i="13"/>
  <c r="Z521" i="13"/>
  <c r="Z108" i="13"/>
  <c r="Z2245" i="13"/>
  <c r="Z3132" i="13"/>
  <c r="Z909" i="13"/>
  <c r="Z2514" i="13"/>
  <c r="Z2157" i="13"/>
  <c r="Z3173" i="13"/>
  <c r="Z1900" i="13"/>
  <c r="Z2813" i="13"/>
  <c r="Z883" i="13"/>
  <c r="Z1192" i="13"/>
  <c r="Z2594" i="13"/>
  <c r="Z2202" i="13"/>
  <c r="Z3059" i="13"/>
  <c r="Z3097" i="13"/>
  <c r="Z303" i="13"/>
  <c r="Z967" i="13"/>
  <c r="Z1189" i="13"/>
  <c r="Z2590" i="13"/>
  <c r="Z1875" i="13"/>
  <c r="Z3180" i="13"/>
  <c r="Z654" i="13"/>
  <c r="Z223" i="13"/>
  <c r="Z3086" i="13"/>
  <c r="Z3208" i="13"/>
  <c r="Z1641" i="13"/>
  <c r="Z319" i="13"/>
  <c r="Z3483" i="13"/>
  <c r="Z3510" i="13"/>
  <c r="Z296" i="13"/>
  <c r="Z1696" i="13"/>
  <c r="Z2918" i="13"/>
  <c r="Z970" i="13"/>
  <c r="Z459" i="13"/>
  <c r="Z3527" i="13"/>
  <c r="Z1811" i="13"/>
  <c r="Z495" i="13"/>
  <c r="Z3256" i="13"/>
  <c r="Z341" i="13"/>
  <c r="Z3075" i="13"/>
  <c r="Z1907" i="13"/>
  <c r="Z288" i="13"/>
  <c r="Z2677" i="13"/>
  <c r="Z3049" i="13"/>
  <c r="Z1281" i="13"/>
  <c r="Z1213" i="13"/>
  <c r="Z712" i="13"/>
  <c r="Z1403" i="13"/>
  <c r="Z602" i="13"/>
  <c r="Z3469" i="13"/>
  <c r="Z2466" i="13"/>
  <c r="Z1772" i="13"/>
  <c r="Z1091" i="13"/>
  <c r="Z3268" i="13"/>
  <c r="Z1097" i="13"/>
  <c r="Z1021" i="13"/>
  <c r="Z273" i="13"/>
  <c r="Z3134" i="13"/>
  <c r="Z966" i="13"/>
  <c r="Z1709" i="13"/>
  <c r="Z1033" i="13"/>
  <c r="Z2500" i="13"/>
  <c r="Z901" i="13"/>
  <c r="Z1574" i="13"/>
  <c r="Z2351" i="13"/>
  <c r="Z3428" i="13"/>
  <c r="Z1529" i="13"/>
  <c r="Z1416" i="13"/>
  <c r="Z2451" i="13"/>
  <c r="Z3358" i="13"/>
  <c r="Z2613" i="13"/>
  <c r="Z3034" i="13"/>
  <c r="Z1215" i="13"/>
  <c r="Z1837" i="13"/>
  <c r="Z3536" i="13"/>
  <c r="Z1422" i="13"/>
  <c r="Z2266" i="13"/>
  <c r="Z515" i="13"/>
  <c r="Z3213" i="13"/>
  <c r="Z3233" i="13"/>
  <c r="Z2711" i="13"/>
  <c r="Z2510" i="13"/>
  <c r="Z3018" i="13"/>
  <c r="Z1651" i="13"/>
  <c r="Z561" i="13"/>
  <c r="Z1037" i="13"/>
  <c r="Z2542" i="13"/>
  <c r="Z156" i="13"/>
  <c r="Z3122" i="13"/>
  <c r="Z559" i="13"/>
  <c r="Z270" i="13"/>
  <c r="Z1739" i="13"/>
  <c r="Z865" i="13"/>
  <c r="Z3396" i="13"/>
  <c r="Z527" i="13"/>
  <c r="Z1152" i="13"/>
  <c r="Z411" i="13"/>
  <c r="Z2518" i="13"/>
  <c r="Z396" i="13"/>
  <c r="Z3401" i="13"/>
  <c r="Z2494" i="13"/>
  <c r="Z1880" i="13"/>
  <c r="Z1939" i="13"/>
  <c r="Z3185" i="13"/>
  <c r="Z3373" i="13"/>
  <c r="Z2893" i="13"/>
  <c r="Z822" i="13"/>
  <c r="Z1706" i="13"/>
  <c r="Z1828" i="13"/>
  <c r="Z2072" i="13"/>
  <c r="Z2550" i="13"/>
  <c r="Z680" i="13"/>
  <c r="Z1859" i="13"/>
  <c r="Z2856" i="13"/>
  <c r="Z688" i="13"/>
  <c r="Z3338" i="13"/>
  <c r="Z1598" i="13"/>
  <c r="Z2664" i="13"/>
  <c r="Z1262" i="13"/>
  <c r="Z369" i="13"/>
  <c r="Z3259" i="13"/>
  <c r="Z176" i="13"/>
  <c r="Z914" i="13"/>
  <c r="Z1816" i="13"/>
  <c r="Z831" i="13"/>
  <c r="Z1030" i="13"/>
  <c r="Z2130" i="13"/>
  <c r="Z200" i="13"/>
  <c r="Z1468" i="13"/>
  <c r="Z1310" i="13"/>
  <c r="Z203" i="13"/>
  <c r="Z2558" i="13"/>
  <c r="Z793" i="13"/>
  <c r="Z2479" i="13"/>
  <c r="Z1253" i="13"/>
  <c r="Z2062" i="13"/>
  <c r="Z1208" i="13"/>
  <c r="Z2770" i="13"/>
  <c r="Z941" i="13"/>
  <c r="Z2360" i="13"/>
  <c r="Z3262" i="13"/>
  <c r="Z423" i="13"/>
  <c r="Z3021" i="13"/>
  <c r="Z1767" i="13"/>
  <c r="Z1489" i="13"/>
  <c r="Z2081" i="13"/>
  <c r="Z389" i="13"/>
  <c r="Z3258" i="13"/>
  <c r="Z2724" i="13"/>
  <c r="Z1849" i="13"/>
  <c r="Z3277" i="13"/>
  <c r="Z1612" i="13"/>
  <c r="Z2187" i="13"/>
  <c r="Z2368" i="13"/>
  <c r="Z993" i="13"/>
  <c r="Z190" i="13"/>
  <c r="Z2819" i="13"/>
  <c r="Z448" i="13"/>
  <c r="Z1700" i="13"/>
  <c r="Z1722" i="13"/>
  <c r="Z1861" i="13"/>
  <c r="Z1885" i="13"/>
  <c r="Z2012" i="13"/>
  <c r="Z3001" i="13"/>
  <c r="Z3528" i="13"/>
  <c r="Z2873" i="13"/>
  <c r="Z1791" i="13"/>
  <c r="Z3040" i="13"/>
  <c r="Z783" i="13"/>
  <c r="Z1642" i="13"/>
  <c r="Z1121" i="13"/>
  <c r="Z1000" i="13"/>
  <c r="Z1707" i="13"/>
  <c r="Z2076" i="13"/>
  <c r="Z2092" i="13"/>
  <c r="Z503" i="13"/>
  <c r="Z1126" i="13"/>
  <c r="Z1119" i="13"/>
  <c r="Z2002" i="13"/>
  <c r="Z298" i="13"/>
  <c r="Z3008" i="13"/>
  <c r="Z1230" i="13"/>
  <c r="Z1201" i="13"/>
  <c r="Z1334" i="13"/>
  <c r="Z2404" i="13"/>
  <c r="Z3117" i="13"/>
  <c r="Z214" i="13"/>
  <c r="Z2685" i="13"/>
  <c r="Z47" i="13"/>
  <c r="Z421" i="13"/>
  <c r="Z3403" i="13"/>
  <c r="Z118" i="13"/>
  <c r="Z2691" i="13"/>
  <c r="Z804" i="13"/>
  <c r="Z1673" i="13"/>
  <c r="Z1793" i="13"/>
  <c r="Z1596" i="13"/>
  <c r="Z2037" i="13"/>
  <c r="Z1597" i="13"/>
  <c r="Z1471" i="13"/>
  <c r="Z1890" i="13"/>
  <c r="Z2934" i="13"/>
  <c r="Z510" i="13"/>
  <c r="Z3410" i="13"/>
  <c r="Z2396" i="13"/>
  <c r="Z2116" i="13"/>
  <c r="Z2045" i="13"/>
  <c r="Z3211" i="13"/>
  <c r="Z161" i="13"/>
  <c r="Z2465" i="13"/>
  <c r="Z2740" i="13"/>
  <c r="Z102" i="13"/>
  <c r="Z2903" i="13"/>
  <c r="Z1619" i="13"/>
  <c r="Z1482" i="13"/>
  <c r="Z625" i="13"/>
  <c r="Z2839" i="13"/>
  <c r="Z381" i="13"/>
  <c r="Z592" i="13"/>
  <c r="Z367" i="13"/>
  <c r="Z2003" i="13"/>
  <c r="Z111" i="13"/>
  <c r="Z1764" i="13"/>
  <c r="Z1872" i="13"/>
  <c r="Z698" i="13"/>
  <c r="Z738" i="13"/>
  <c r="Z1779" i="13"/>
  <c r="Z2249" i="13"/>
  <c r="Z3103" i="13"/>
  <c r="Z1283" i="13"/>
  <c r="Z1336" i="13"/>
  <c r="Z1029" i="13"/>
  <c r="Z2310" i="13"/>
  <c r="Z44" i="13"/>
  <c r="Z2014" i="13"/>
  <c r="Z2625" i="13"/>
  <c r="Z2686" i="13"/>
  <c r="Z1311" i="13"/>
  <c r="Z653" i="13"/>
  <c r="Z1450" i="13"/>
  <c r="Z2943" i="13"/>
  <c r="Z1217" i="13"/>
  <c r="Z3535" i="13"/>
  <c r="Z120" i="13"/>
  <c r="Z2927" i="13"/>
  <c r="Z1844" i="13"/>
  <c r="Z857" i="13"/>
  <c r="Z668" i="13"/>
  <c r="Z2765" i="13"/>
  <c r="Z486" i="13"/>
  <c r="Z1688" i="13"/>
  <c r="Z2735" i="13"/>
  <c r="Z2301" i="13"/>
  <c r="Z1389" i="13"/>
  <c r="Z947" i="13"/>
  <c r="Z911" i="13"/>
  <c r="Z1858" i="13"/>
  <c r="Z2177" i="13"/>
  <c r="Z1687" i="13"/>
  <c r="Z1530" i="13"/>
  <c r="Z310" i="13"/>
  <c r="Z2105" i="13"/>
  <c r="Z429" i="13"/>
  <c r="Z1148" i="13"/>
  <c r="Z1929" i="13"/>
  <c r="Z3092" i="13"/>
  <c r="Z1775" i="13"/>
  <c r="Z2036" i="13"/>
  <c r="Z663" i="13"/>
  <c r="Z802" i="13"/>
  <c r="Z116" i="13"/>
  <c r="Z1502" i="13"/>
  <c r="Z1214" i="13"/>
  <c r="Z174" i="13"/>
  <c r="Z177" i="13"/>
  <c r="Z80" i="13"/>
  <c r="Z2108" i="13"/>
  <c r="Z670" i="13"/>
  <c r="Z3209" i="13"/>
  <c r="Z2992" i="13"/>
  <c r="Z3036" i="13"/>
  <c r="Z1195" i="13"/>
  <c r="Z1007" i="13"/>
  <c r="Z121" i="13"/>
  <c r="Z1380" i="13"/>
  <c r="Z3242" i="13"/>
  <c r="Z534" i="13"/>
  <c r="Z2096" i="13"/>
  <c r="Z1716" i="13"/>
  <c r="Z1525" i="13"/>
  <c r="Z163" i="13"/>
  <c r="Z2709" i="13"/>
  <c r="Z1347" i="13"/>
  <c r="Y36" i="13"/>
  <c r="Y35" i="13"/>
  <c r="AA19" i="13" s="1" a="1"/>
  <c r="AA1092" i="13" l="1"/>
  <c r="AA468" i="13"/>
  <c r="AA304" i="13"/>
  <c r="AA3509" i="13"/>
  <c r="AA474" i="13"/>
  <c r="AA104" i="13"/>
  <c r="AA969" i="13"/>
  <c r="AA2368" i="13"/>
  <c r="AA2759" i="13"/>
  <c r="AA131" i="13"/>
  <c r="AA956" i="13"/>
  <c r="AA2740" i="13"/>
  <c r="AA456" i="13"/>
  <c r="AA40" i="13"/>
  <c r="AA2768" i="13"/>
  <c r="AA256" i="13"/>
  <c r="AA419" i="13"/>
  <c r="AA151" i="13"/>
  <c r="AA2377" i="13"/>
  <c r="AA749" i="13"/>
  <c r="AA981" i="13"/>
  <c r="AA1560" i="13"/>
  <c r="AA945" i="13"/>
  <c r="AA2921" i="13"/>
  <c r="AA2960" i="13"/>
  <c r="AA3180" i="13"/>
  <c r="AA2312" i="13"/>
  <c r="AA3211" i="13"/>
  <c r="AA1903" i="13"/>
  <c r="AA1412" i="13"/>
  <c r="AA338" i="13"/>
  <c r="AA774" i="13"/>
  <c r="AA2453" i="13"/>
  <c r="AA1653" i="13"/>
  <c r="AA2457" i="13"/>
  <c r="AA1137" i="13"/>
  <c r="AA1538" i="13"/>
  <c r="AA590" i="13"/>
  <c r="AA2102" i="13"/>
  <c r="AA1817" i="13"/>
  <c r="AA864" i="13"/>
  <c r="AA53" i="13"/>
  <c r="AA1893" i="13"/>
  <c r="AA2005" i="13"/>
  <c r="AA60" i="13"/>
  <c r="AA907" i="13"/>
  <c r="AA1102" i="13"/>
  <c r="AA2534" i="13"/>
  <c r="AA2288" i="13"/>
  <c r="AA929" i="13"/>
  <c r="AA869" i="13"/>
  <c r="AA3012" i="13"/>
  <c r="AA2065" i="13"/>
  <c r="AA3131" i="13"/>
  <c r="AA1758" i="13"/>
  <c r="AA3041" i="13"/>
  <c r="AA2443" i="13"/>
  <c r="AA881" i="13"/>
  <c r="AA2529" i="13"/>
  <c r="AA1266" i="13"/>
  <c r="AA632" i="13"/>
  <c r="AA1019" i="13"/>
  <c r="AA3045" i="13"/>
  <c r="AA2808" i="13"/>
  <c r="AA1009" i="13"/>
  <c r="AA849" i="13"/>
  <c r="AA1677" i="13"/>
  <c r="AA2695" i="13"/>
  <c r="AA2000" i="13"/>
  <c r="AA158" i="13"/>
  <c r="AA1763" i="13"/>
  <c r="AA175" i="13"/>
  <c r="AA2972" i="13"/>
  <c r="AA1079" i="13"/>
  <c r="AA2953" i="13"/>
  <c r="AA63" i="13"/>
  <c r="AA775" i="13"/>
  <c r="AA2290" i="13"/>
  <c r="AA2122" i="13"/>
  <c r="AA1621" i="13"/>
  <c r="AA568" i="13"/>
  <c r="AA3011" i="13"/>
  <c r="AA3479" i="13"/>
  <c r="AA3160" i="13"/>
  <c r="AA1641" i="13"/>
  <c r="AA296" i="13"/>
  <c r="AA3350" i="13"/>
  <c r="AA574" i="13"/>
  <c r="AA786" i="13"/>
  <c r="AA2447" i="13"/>
  <c r="AA1166" i="13"/>
  <c r="AA2061" i="13"/>
  <c r="AA1180" i="13"/>
  <c r="AA450" i="13"/>
  <c r="AA3407" i="13"/>
  <c r="AA3184" i="13"/>
  <c r="AA3423" i="13"/>
  <c r="AA696" i="13"/>
  <c r="AA1143" i="13"/>
  <c r="AA3220" i="13"/>
  <c r="AA3313" i="13"/>
  <c r="AA3142" i="13"/>
  <c r="AA2089" i="13"/>
  <c r="AA2250" i="13"/>
  <c r="AA3037" i="13"/>
  <c r="AA3121" i="13"/>
  <c r="AA752" i="13"/>
  <c r="AA2981" i="13"/>
  <c r="AA351" i="13"/>
  <c r="AA438" i="13"/>
  <c r="AA157" i="13"/>
  <c r="AA2422" i="13"/>
  <c r="AA2298" i="13"/>
  <c r="AA2258" i="13"/>
  <c r="AA2309" i="13"/>
  <c r="AA1618" i="13"/>
  <c r="AA1037" i="13"/>
  <c r="AA1864" i="13"/>
  <c r="AA1737" i="13"/>
  <c r="AA348" i="13"/>
  <c r="AA3115" i="13"/>
  <c r="AA1259" i="13"/>
  <c r="AA835" i="13"/>
  <c r="AA673" i="13"/>
  <c r="AA1228" i="13"/>
  <c r="AA1876" i="13"/>
  <c r="AA1789" i="13"/>
  <c r="AA231" i="13"/>
  <c r="AA3333" i="13"/>
  <c r="AA1341" i="13"/>
  <c r="AA3552" i="13"/>
  <c r="AA3418" i="13"/>
  <c r="AA629" i="13"/>
  <c r="AA3331" i="13"/>
  <c r="AA990" i="13"/>
  <c r="AA2244" i="13"/>
  <c r="AA2779" i="13"/>
  <c r="AA2078" i="13"/>
  <c r="AA3334" i="13"/>
  <c r="AA2334" i="13"/>
  <c r="AA2723" i="13"/>
  <c r="AA2301" i="13"/>
  <c r="AA721" i="13"/>
  <c r="AA2670" i="13"/>
  <c r="AA2015" i="13"/>
  <c r="AA3201" i="13"/>
  <c r="AA1423" i="13"/>
  <c r="AA79" i="13"/>
  <c r="AA3215" i="13"/>
  <c r="AA2828" i="13"/>
  <c r="AA1672" i="13"/>
  <c r="AA1544" i="13"/>
  <c r="AA1123" i="13"/>
  <c r="AA371" i="13"/>
  <c r="AA2162" i="13"/>
  <c r="AA880" i="13"/>
  <c r="AA3029" i="13"/>
  <c r="AA2277" i="13"/>
  <c r="AA1129" i="13"/>
  <c r="AA1229" i="13"/>
  <c r="AA1299" i="13"/>
  <c r="AA1852" i="13"/>
  <c r="AA2726" i="13"/>
  <c r="AA1583" i="13"/>
  <c r="AA2321" i="13"/>
  <c r="AA2766" i="13"/>
  <c r="AA2897" i="13"/>
  <c r="AA1780" i="13"/>
  <c r="AA526" i="13"/>
  <c r="AA2372" i="13"/>
  <c r="AA2018" i="13"/>
  <c r="AA2634" i="13"/>
  <c r="AA3548" i="13"/>
  <c r="AA3080" i="13"/>
  <c r="AA3088" i="13"/>
  <c r="AA1822" i="13"/>
  <c r="AA707" i="13"/>
  <c r="AA552" i="13"/>
  <c r="AA1352" i="13"/>
  <c r="AA963" i="13"/>
  <c r="AA1167" i="13"/>
  <c r="AA2207" i="13"/>
  <c r="AA1676" i="13"/>
  <c r="AA1106" i="13"/>
  <c r="AA1823" i="13"/>
  <c r="AA2931" i="13"/>
  <c r="AA2560" i="13"/>
  <c r="AA1083" i="13"/>
  <c r="AA3251" i="13"/>
  <c r="AA1886" i="13"/>
  <c r="AA2689" i="13"/>
  <c r="AA1872" i="13"/>
  <c r="AA2263" i="13"/>
  <c r="AA2125" i="13"/>
  <c r="AA3007" i="13"/>
  <c r="AA2373" i="13"/>
  <c r="AA1592" i="13"/>
  <c r="AA332" i="13"/>
  <c r="AA1910" i="13"/>
  <c r="AA1699" i="13"/>
  <c r="AA2584" i="13"/>
  <c r="AA694" i="13"/>
  <c r="AA3196" i="13"/>
  <c r="AA3205" i="13"/>
  <c r="AA1237" i="13"/>
  <c r="AA128" i="13"/>
  <c r="AA221" i="13"/>
  <c r="AA543" i="13"/>
  <c r="AA3412" i="13"/>
  <c r="AA1470" i="13"/>
  <c r="AA3408" i="13"/>
  <c r="AA2985" i="13"/>
  <c r="AA3081" i="13"/>
  <c r="AA2892" i="13"/>
  <c r="AA2143" i="13"/>
  <c r="AA1089" i="13"/>
  <c r="AA123" i="13"/>
  <c r="AA3337" i="13"/>
  <c r="AA393" i="13"/>
  <c r="AA535" i="13"/>
  <c r="AA314" i="13"/>
  <c r="AA3392" i="13"/>
  <c r="AA1716" i="13"/>
  <c r="AA491" i="13"/>
  <c r="AA88" i="13"/>
  <c r="AA2591" i="13"/>
  <c r="AA2137" i="13"/>
  <c r="AA2196" i="13"/>
  <c r="AA3154" i="13"/>
  <c r="AA3166" i="13"/>
  <c r="AA1957" i="13"/>
  <c r="AA302" i="13"/>
  <c r="AA1902" i="13"/>
  <c r="AA2414" i="13"/>
  <c r="AA764" i="13"/>
  <c r="AA1804" i="13"/>
  <c r="AA470" i="13"/>
  <c r="AA163" i="13"/>
  <c r="AA2749" i="13"/>
  <c r="AA662" i="13"/>
  <c r="AA1586" i="13"/>
  <c r="AA2009" i="13"/>
  <c r="AA475" i="13"/>
  <c r="AA1919" i="13"/>
  <c r="AA1580" i="13"/>
  <c r="AA1447" i="13"/>
  <c r="AA1363" i="13"/>
  <c r="AA834" i="13"/>
  <c r="AA3225" i="13"/>
  <c r="AA1847" i="13"/>
  <c r="AA2473" i="13"/>
  <c r="AA1445" i="13"/>
  <c r="AA3069" i="13"/>
  <c r="AA1094" i="13"/>
  <c r="AA2510" i="13"/>
  <c r="AA133" i="13"/>
  <c r="AA606" i="13"/>
  <c r="AA818" i="13"/>
  <c r="AA1932" i="13"/>
  <c r="AA1232" i="13"/>
  <c r="AA1646" i="13"/>
  <c r="AA1671" i="13"/>
  <c r="AA3428" i="13"/>
  <c r="AA379" i="13"/>
  <c r="AA155" i="13"/>
  <c r="AA1156" i="13"/>
  <c r="AA1446" i="13"/>
  <c r="AA390" i="13"/>
  <c r="AA1329" i="13"/>
  <c r="AA459" i="13"/>
  <c r="AA444" i="13"/>
  <c r="AA515" i="13"/>
  <c r="AA1234" i="13"/>
  <c r="AA3406" i="13"/>
  <c r="AA1940" i="13"/>
  <c r="AA1420" i="13"/>
  <c r="AA479" i="13"/>
  <c r="AA2247" i="13"/>
  <c r="AA3473" i="13"/>
  <c r="AA648" i="13"/>
  <c r="AA377" i="13"/>
  <c r="AA286" i="13"/>
  <c r="AA2044" i="13"/>
  <c r="AA383" i="13"/>
  <c r="AA3138" i="13"/>
  <c r="AA3439" i="13"/>
  <c r="AA3132" i="13"/>
  <c r="AA2847" i="13"/>
  <c r="AA1632" i="13"/>
  <c r="AA3200" i="13"/>
  <c r="AA863" i="13"/>
  <c r="AA2708" i="13"/>
  <c r="AA1269" i="13"/>
  <c r="AA2354" i="13"/>
  <c r="AA127" i="13"/>
  <c r="AA591" i="13"/>
  <c r="AA2043" i="13"/>
  <c r="AA3315" i="13"/>
  <c r="AA1530" i="13"/>
  <c r="AA1117" i="13"/>
  <c r="AA445" i="13"/>
  <c r="AA3101" i="13"/>
  <c r="AA3182" i="13"/>
  <c r="AA29" i="13"/>
  <c r="AA1969" i="13"/>
  <c r="AA1878" i="13"/>
  <c r="AA3399" i="13"/>
  <c r="AA1756" i="13"/>
  <c r="AA1248" i="13"/>
  <c r="AA3208" i="13"/>
  <c r="AA699" i="13"/>
  <c r="AA2307" i="13"/>
  <c r="AA447" i="13"/>
  <c r="AA1113" i="13"/>
  <c r="AA3276" i="13"/>
  <c r="AA2819" i="13"/>
  <c r="AA1807" i="13"/>
  <c r="AA2383" i="13"/>
  <c r="AA747" i="13"/>
  <c r="AA761" i="13"/>
  <c r="AA2853" i="13"/>
  <c r="AA61" i="13"/>
  <c r="AA2586" i="13"/>
  <c r="AA1373" i="13"/>
  <c r="AA860" i="13"/>
  <c r="AA2871" i="13"/>
  <c r="AA139" i="13"/>
  <c r="AA1732" i="13"/>
  <c r="AA3335" i="13"/>
  <c r="AA1434" i="13"/>
  <c r="AA2463" i="13"/>
  <c r="AA1718" i="13"/>
  <c r="AA402" i="13"/>
  <c r="AA3296" i="13"/>
  <c r="AA1361" i="13"/>
  <c r="AA3433" i="13"/>
  <c r="AA1388" i="13"/>
  <c r="AA2486" i="13"/>
  <c r="AA1812" i="13"/>
  <c r="AA623" i="13"/>
  <c r="AA3383" i="13"/>
  <c r="AA991" i="13"/>
  <c r="AA740" i="13"/>
  <c r="AA2086" i="13"/>
  <c r="AA2407" i="13"/>
  <c r="AA2355" i="13"/>
  <c r="AA168" i="13"/>
  <c r="AA2174" i="13"/>
  <c r="AA822" i="13"/>
  <c r="AA3327" i="13"/>
  <c r="AA416" i="13"/>
  <c r="AA1238" i="13"/>
  <c r="AA3226" i="13"/>
  <c r="AA2614" i="13"/>
  <c r="AA1392" i="13"/>
  <c r="AA812" i="13"/>
  <c r="AA498" i="13"/>
  <c r="AA2617" i="13"/>
  <c r="AA856" i="13"/>
  <c r="AA1110" i="13"/>
  <c r="AA1478" i="13"/>
  <c r="AA638" i="13"/>
  <c r="AA2190" i="13"/>
  <c r="AA854" i="13"/>
  <c r="AA2136" i="13"/>
  <c r="AA974" i="13"/>
  <c r="AA1857" i="13"/>
  <c r="AA272" i="13"/>
  <c r="AA2935" i="13"/>
  <c r="AA1344" i="13"/>
  <c r="AA1397" i="13"/>
  <c r="AA3480" i="13"/>
  <c r="AA2559" i="13"/>
  <c r="AA1848" i="13"/>
  <c r="AA922" i="13"/>
  <c r="AA3468" i="13"/>
  <c r="AA376" i="13"/>
  <c r="AA3542" i="13"/>
  <c r="AA3393" i="13"/>
  <c r="AA1371" i="13"/>
  <c r="AA1931" i="13"/>
  <c r="AA2796" i="13"/>
  <c r="AA1498" i="13"/>
  <c r="AA1362" i="13"/>
  <c r="AA3376" i="13"/>
  <c r="AA2156" i="13"/>
  <c r="AA2898" i="13"/>
  <c r="AA2942" i="13"/>
  <c r="AA695" i="13"/>
  <c r="AA1541" i="13"/>
  <c r="AA2177" i="13"/>
  <c r="AA1648" i="13"/>
  <c r="AA3157" i="13"/>
  <c r="AA2262" i="13"/>
  <c r="AA3427" i="13"/>
  <c r="AA1733" i="13"/>
  <c r="AA1605" i="13"/>
  <c r="AA2451" i="13"/>
  <c r="AA465" i="13"/>
  <c r="AA2725" i="13"/>
  <c r="AA3375" i="13"/>
  <c r="AA1479" i="13"/>
  <c r="AA2121" i="13"/>
  <c r="AA690" i="13"/>
  <c r="AA2479" i="13"/>
  <c r="AA1178" i="13"/>
  <c r="AA3280" i="13"/>
  <c r="AA1107" i="13"/>
  <c r="AA670" i="13"/>
  <c r="AA1994" i="13"/>
  <c r="AA1485" i="13"/>
  <c r="AA1161" i="13"/>
  <c r="AA3438" i="13"/>
  <c r="AA2852" i="13"/>
  <c r="AA953" i="13"/>
  <c r="AA2550" i="13"/>
  <c r="AA865" i="13"/>
  <c r="AA692" i="13"/>
  <c r="AA72" i="13"/>
  <c r="AA1004" i="13"/>
  <c r="AA1441" i="13"/>
  <c r="AA2874" i="13"/>
  <c r="AA3425" i="13"/>
  <c r="AA2131" i="13"/>
  <c r="AA1816" i="13"/>
  <c r="AA2380" i="13"/>
  <c r="AA2050" i="13"/>
  <c r="AA102" i="13"/>
  <c r="AA531" i="13"/>
  <c r="AA1608" i="13"/>
  <c r="AA948" i="13"/>
  <c r="AA2340" i="13"/>
  <c r="AA52" i="13"/>
  <c r="AA659" i="13"/>
  <c r="AA2933" i="13"/>
  <c r="AA832" i="13"/>
  <c r="AA1870" i="13"/>
  <c r="AA808" i="13"/>
  <c r="AA1304" i="13"/>
  <c r="AA3096" i="13"/>
  <c r="AA3009" i="13"/>
  <c r="AA2758" i="13"/>
  <c r="AA1564" i="13"/>
  <c r="AA201" i="13"/>
  <c r="AA3485" i="13"/>
  <c r="AA3231" i="13"/>
  <c r="AA1375" i="13"/>
  <c r="AA653" i="13"/>
  <c r="AA3342" i="13"/>
  <c r="AA484" i="13"/>
  <c r="AA1755" i="13"/>
  <c r="AA1620" i="13"/>
  <c r="AA1884" i="13"/>
  <c r="AA2930" i="13"/>
  <c r="AA417" i="13"/>
  <c r="AA1918" i="13"/>
  <c r="AA2929" i="13"/>
  <c r="AA206" i="13"/>
  <c r="AA1542" i="13"/>
  <c r="AA1042" i="13"/>
  <c r="AA514" i="13"/>
  <c r="AA2636" i="13"/>
  <c r="AA2964" i="13"/>
  <c r="AA1192" i="13"/>
  <c r="AA657" i="13"/>
  <c r="AA1629" i="13"/>
  <c r="AA1050" i="13"/>
  <c r="AA868" i="13"/>
  <c r="AA1841" i="13"/>
  <c r="AA1833" i="13"/>
  <c r="AA360" i="13"/>
  <c r="AA455" i="13"/>
  <c r="AA2923" i="13"/>
  <c r="AA404" i="13"/>
  <c r="AA2484" i="13"/>
  <c r="AA392" i="13"/>
  <c r="AA3044" i="13"/>
  <c r="AA170" i="13"/>
  <c r="AA283" i="13"/>
  <c r="AA1999" i="13"/>
  <c r="AA1506" i="13"/>
  <c r="AA1010" i="13"/>
  <c r="AA1314" i="13"/>
  <c r="AA2115" i="13"/>
  <c r="AA2406" i="13"/>
  <c r="AA1136" i="13"/>
  <c r="AA3086" i="13"/>
  <c r="AA1354" i="13"/>
  <c r="AA717" i="13"/>
  <c r="AA544" i="13"/>
  <c r="AA3197" i="13"/>
  <c r="AA2977" i="13"/>
  <c r="AA1935" i="13"/>
  <c r="AA2392" i="13"/>
  <c r="AA3256" i="13"/>
  <c r="AA3187" i="13"/>
  <c r="AA926" i="13"/>
  <c r="AA541" i="13"/>
  <c r="AA1546" i="13"/>
  <c r="AA674" i="13"/>
  <c r="AA2924" i="13"/>
  <c r="AA1751" i="13"/>
  <c r="AA2003" i="13"/>
  <c r="AA249" i="13"/>
  <c r="AA2466" i="13"/>
  <c r="AA1972" i="13"/>
  <c r="AA741" i="13"/>
  <c r="AA3165" i="13"/>
  <c r="AA2744" i="13"/>
  <c r="AA1012" i="13"/>
  <c r="AA3175" i="13"/>
  <c r="AA1637" i="13"/>
  <c r="AA3222" i="13"/>
  <c r="AA1501" i="13"/>
  <c r="AA2007" i="13"/>
  <c r="AA1654" i="13"/>
  <c r="AA1359" i="13"/>
  <c r="AA3176" i="13"/>
  <c r="AA2561" i="13"/>
  <c r="AA313" i="13"/>
  <c r="AA2776" i="13"/>
  <c r="AA1317" i="13"/>
  <c r="AA2124" i="13"/>
  <c r="AA433" i="13"/>
  <c r="AA2135" i="13"/>
  <c r="AA3116" i="13"/>
  <c r="AA2696" i="13"/>
  <c r="AA1674" i="13"/>
  <c r="AA1762" i="13"/>
  <c r="AA346" i="13"/>
  <c r="AA2221" i="13"/>
  <c r="AA2743" i="13"/>
  <c r="AA1002" i="13"/>
  <c r="AA1896" i="13"/>
  <c r="AA1665" i="13"/>
  <c r="AA3127" i="13"/>
  <c r="AA1066" i="13"/>
  <c r="AA1321" i="13"/>
  <c r="AA2800" i="13"/>
  <c r="AA3004" i="13"/>
  <c r="AA3389" i="13"/>
  <c r="AA731" i="13"/>
  <c r="AA476" i="13"/>
  <c r="AA2329" i="13"/>
  <c r="AA2261" i="13"/>
  <c r="AA3195" i="13"/>
  <c r="AA119" i="13"/>
  <c r="AA342" i="13"/>
  <c r="AA1712" i="13"/>
  <c r="AA281" i="13"/>
  <c r="AA933" i="13"/>
  <c r="AA2163" i="13"/>
  <c r="AA3135" i="13"/>
  <c r="AA841" i="13"/>
  <c r="AA113" i="13"/>
  <c r="AA851" i="13"/>
  <c r="AA1235" i="13"/>
  <c r="AA2094" i="13"/>
  <c r="AA336" i="13"/>
  <c r="AA120" i="13"/>
  <c r="AA2176" i="13"/>
  <c r="AA3271" i="13"/>
  <c r="AA3519" i="13"/>
  <c r="AA1577" i="13"/>
  <c r="AA210" i="13"/>
  <c r="AA1711" i="13"/>
  <c r="AA872" i="13"/>
  <c r="AA1024" i="13"/>
  <c r="AA2639" i="13"/>
  <c r="AA683" i="13"/>
  <c r="AA2188" i="13"/>
  <c r="AA2747" i="13"/>
  <c r="AA2011" i="13"/>
  <c r="AA1326" i="13"/>
  <c r="AA1311" i="13"/>
  <c r="AA1492" i="13"/>
  <c r="AA1690" i="13"/>
  <c r="AA718" i="13"/>
  <c r="AA1023" i="13"/>
  <c r="AA519" i="13"/>
  <c r="AA2531" i="13"/>
  <c r="AA1514" i="13"/>
  <c r="AA989" i="13"/>
  <c r="AA2366" i="13"/>
  <c r="AA3365" i="13"/>
  <c r="AA282" i="13"/>
  <c r="AA59" i="13"/>
  <c r="AA3455" i="13"/>
  <c r="AA739" i="13"/>
  <c r="AA318" i="13"/>
  <c r="AA2666" i="13"/>
  <c r="AA765" i="13"/>
  <c r="AA1330" i="13"/>
  <c r="AA1348" i="13"/>
  <c r="AA149" i="13"/>
  <c r="AA2254" i="13"/>
  <c r="AA733" i="13"/>
  <c r="AA2440" i="13"/>
  <c r="AA298" i="13"/>
  <c r="AA196" i="13"/>
  <c r="AA2537" i="13"/>
  <c r="AA1000" i="13"/>
  <c r="AA1640" i="13"/>
  <c r="AA1127" i="13"/>
  <c r="AA944" i="13"/>
  <c r="AA3533" i="13"/>
  <c r="AA1731" i="13"/>
  <c r="AA902" i="13"/>
  <c r="AA2785" i="13"/>
  <c r="AA2058" i="13"/>
  <c r="AA2338" i="13"/>
  <c r="AA1493" i="13"/>
  <c r="AA429" i="13"/>
  <c r="AA1366" i="13"/>
  <c r="AA244" i="13"/>
  <c r="AA1714" i="13"/>
  <c r="AA2185" i="13"/>
  <c r="AA2215" i="13"/>
  <c r="AA2028" i="13"/>
  <c r="AA3379" i="13"/>
  <c r="AA2476" i="13"/>
  <c r="AA115" i="13"/>
  <c r="AA1011" i="13"/>
  <c r="AA3243" i="13"/>
  <c r="AA1909" i="13"/>
  <c r="AA1430" i="13"/>
  <c r="AA2722" i="13"/>
  <c r="AA2653" i="13"/>
  <c r="AA3317" i="13"/>
  <c r="AA3019" i="13"/>
  <c r="AA2145" i="13"/>
  <c r="AA3192" i="13"/>
  <c r="AA2336" i="13"/>
  <c r="AA1194" i="13"/>
  <c r="AA2458" i="13"/>
  <c r="AA1130" i="13"/>
  <c r="AA2601" i="13"/>
  <c r="AA901" i="13"/>
  <c r="AA2719" i="13"/>
  <c r="AA3001" i="13"/>
  <c r="AA117" i="13"/>
  <c r="AA1537" i="13"/>
  <c r="AA3114" i="13"/>
  <c r="AA1487" i="13"/>
  <c r="AA2117" i="13"/>
  <c r="AA1031" i="13"/>
  <c r="AA2551" i="13"/>
  <c r="AA411" i="13"/>
  <c r="AA3064" i="13"/>
  <c r="AA2786" i="13"/>
  <c r="AA3253" i="13"/>
  <c r="AA3305" i="13"/>
  <c r="AA2068" i="13"/>
  <c r="AA2757" i="13"/>
  <c r="AA2734" i="13"/>
  <c r="AA533" i="13"/>
  <c r="AA2918" i="13"/>
  <c r="AA957" i="13"/>
  <c r="AA2471" i="13"/>
  <c r="AA1331" i="13"/>
  <c r="AA518" i="13"/>
  <c r="AA2599" i="13"/>
  <c r="AA67" i="13"/>
  <c r="AA2841" i="13"/>
  <c r="AA525" i="13"/>
  <c r="AA1174" i="13"/>
  <c r="AA1921" i="13"/>
  <c r="AA3378" i="13"/>
  <c r="AA1214" i="13"/>
  <c r="AA1173" i="13"/>
  <c r="AA3209" i="13"/>
  <c r="AA2845" i="13"/>
  <c r="AA3316" i="13"/>
  <c r="AA1261" i="13"/>
  <c r="AA861" i="13"/>
  <c r="AA3229" i="13"/>
  <c r="AA2572" i="13"/>
  <c r="AA1509" i="13"/>
  <c r="AA2987" i="13"/>
  <c r="AA3463" i="13"/>
  <c r="AA1510" i="13"/>
  <c r="AA1929" i="13"/>
  <c r="AA2096" i="13"/>
  <c r="AA2421" i="13"/>
  <c r="AA1801" i="13"/>
  <c r="AA843" i="13"/>
  <c r="AA1176" i="13"/>
  <c r="AA2054" i="13"/>
  <c r="AA3396" i="13"/>
  <c r="AA1027" i="13"/>
  <c r="AA1612" i="13"/>
  <c r="AA461" i="13"/>
  <c r="AA488" i="13"/>
  <c r="AA1016" i="13"/>
  <c r="AA904" i="13"/>
  <c r="AA1186" i="13"/>
  <c r="AA545" i="13"/>
  <c r="AA3149" i="13"/>
  <c r="AA2027" i="13"/>
  <c r="AA633" i="13"/>
  <c r="AA1719" i="13"/>
  <c r="AA251" i="13"/>
  <c r="AA2581" i="13"/>
  <c r="AA1766" i="13"/>
  <c r="AA2112" i="13"/>
  <c r="AA2703" i="13"/>
  <c r="AA589" i="13"/>
  <c r="AA1578" i="13"/>
  <c r="AA567" i="13"/>
  <c r="AA1360" i="13"/>
  <c r="AA2649" i="13"/>
  <c r="AA22" i="13"/>
  <c r="AA971" i="13"/>
  <c r="AA1720" i="13"/>
  <c r="AA395" i="13"/>
  <c r="AA329" i="13"/>
  <c r="AA2829" i="13"/>
  <c r="AA2716" i="13"/>
  <c r="AA153" i="13"/>
  <c r="AA1111" i="13"/>
  <c r="AA1230" i="13"/>
  <c r="AA2824" i="13"/>
  <c r="AA2543" i="13"/>
  <c r="AA641" i="13"/>
  <c r="AA1158" i="13"/>
  <c r="AA424" i="13"/>
  <c r="AA2402" i="13"/>
  <c r="AA3263" i="13"/>
  <c r="AA2400" i="13"/>
  <c r="AA3292" i="13"/>
  <c r="AA2576" i="13"/>
  <c r="AA154" i="13"/>
  <c r="AA1819" i="13"/>
  <c r="AA2514" i="13"/>
  <c r="AA618" i="13"/>
  <c r="AA349" i="13"/>
  <c r="AA2230" i="13"/>
  <c r="AA328" i="13"/>
  <c r="AA217" i="13"/>
  <c r="AA2557" i="13"/>
  <c r="AA2912" i="13"/>
  <c r="AA38" i="13"/>
  <c r="AA878" i="13"/>
  <c r="AA814" i="13"/>
  <c r="AA3488" i="13"/>
  <c r="AA3298" i="13"/>
  <c r="AA2160" i="13"/>
  <c r="AA2624" i="13"/>
  <c r="AA1014" i="13"/>
  <c r="AA1103" i="13"/>
  <c r="AA2849" i="13"/>
  <c r="AA2787" i="13"/>
  <c r="AA1706" i="13"/>
  <c r="AA2821" i="13"/>
  <c r="AA156" i="13"/>
  <c r="AA916" i="13"/>
  <c r="AA1258" i="13"/>
  <c r="AA3183" i="13"/>
  <c r="AA2788" i="13"/>
  <c r="AA2573" i="13"/>
  <c r="AA1065" i="13"/>
  <c r="AA952" i="13"/>
  <c r="AA972" i="13"/>
  <c r="AA2842" i="13"/>
  <c r="AA921" i="13"/>
  <c r="AA141" i="13"/>
  <c r="AA1491" i="13"/>
  <c r="AA2017" i="13"/>
  <c r="AA2544" i="13"/>
  <c r="AA1187" i="13"/>
  <c r="AA2968" i="13"/>
  <c r="AA1623" i="13"/>
  <c r="AA472" i="13"/>
  <c r="AA77" i="13"/>
  <c r="AA3490" i="13"/>
  <c r="AA3046" i="13"/>
  <c r="AA2274" i="13"/>
  <c r="AA31" i="13"/>
  <c r="AA2049" i="13"/>
  <c r="AA689" i="13"/>
  <c r="AA3084" i="13"/>
  <c r="AA2894" i="13"/>
  <c r="AA1691" i="13"/>
  <c r="AA3058" i="13"/>
  <c r="AA1213" i="13"/>
  <c r="AA2070" i="13"/>
  <c r="AA2219" i="13"/>
  <c r="AA3244" i="13"/>
  <c r="AA2861" i="13"/>
  <c r="AA914" i="13"/>
  <c r="AA2619" i="13"/>
  <c r="AA1477" i="13"/>
  <c r="AA2193" i="13"/>
  <c r="AA369" i="13"/>
  <c r="AA3057" i="13"/>
  <c r="AA1274" i="13"/>
  <c r="AA1785" i="13"/>
  <c r="AA1150" i="13"/>
  <c r="AA1471" i="13"/>
  <c r="AA2140" i="13"/>
  <c r="AA504" i="13"/>
  <c r="AA2091" i="13"/>
  <c r="AA2718" i="13"/>
  <c r="AA2751" i="13"/>
  <c r="AA700" i="13"/>
  <c r="AA1777" i="13"/>
  <c r="AA1795" i="13"/>
  <c r="AA2971" i="13"/>
  <c r="AA2756" i="13"/>
  <c r="AA3309" i="13"/>
  <c r="AA604" i="13"/>
  <c r="AA2732" i="13"/>
  <c r="AA2399" i="13"/>
  <c r="AA1962" i="13"/>
  <c r="AA3129" i="13"/>
  <c r="AA1836" i="13"/>
  <c r="AA2026" i="13"/>
  <c r="AA1243" i="13"/>
  <c r="AA1351" i="13"/>
  <c r="AA3454" i="13"/>
  <c r="AA1547" i="13"/>
  <c r="AA1775" i="13"/>
  <c r="AA2535" i="13"/>
  <c r="AA3448" i="13"/>
  <c r="AA1682" i="13"/>
  <c r="AA64" i="13"/>
  <c r="AA2830" i="13"/>
  <c r="AA233" i="13"/>
  <c r="AA136" i="13"/>
  <c r="AA1310" i="13"/>
  <c r="AA3349" i="13"/>
  <c r="AA1231" i="13"/>
  <c r="AA1252" i="13"/>
  <c r="AA2287" i="13"/>
  <c r="AA1769" i="13"/>
  <c r="AA364" i="13"/>
  <c r="AA1109" i="13"/>
  <c r="AA891" i="13"/>
  <c r="AA2218" i="13"/>
  <c r="AA3513" i="13"/>
  <c r="AA2638" i="13"/>
  <c r="AA2324" i="13"/>
  <c r="AA3283" i="13"/>
  <c r="AA2378" i="13"/>
  <c r="AA2571" i="13"/>
  <c r="AA165" i="13"/>
  <c r="AA930" i="13"/>
  <c r="AA3070" i="13"/>
  <c r="AA3401" i="13"/>
  <c r="AA1576" i="13"/>
  <c r="AA1861" i="13"/>
  <c r="AA148" i="13"/>
  <c r="AA1421" i="13"/>
  <c r="AA783" i="13"/>
  <c r="AA655" i="13"/>
  <c r="AA1633" i="13"/>
  <c r="AA778" i="13"/>
  <c r="AA2512" i="13"/>
  <c r="AA2801" i="13"/>
  <c r="AA2565" i="13"/>
  <c r="AA3042" i="13"/>
  <c r="AA3547" i="13"/>
  <c r="AA784" i="13"/>
  <c r="AA2266" i="13"/>
  <c r="AA1381" i="13"/>
  <c r="AA2505" i="13"/>
  <c r="AA1860" i="13"/>
  <c r="AA505" i="13"/>
  <c r="AA3538" i="13"/>
  <c r="AA1293" i="13"/>
  <c r="AA3239" i="13"/>
  <c r="AA1688" i="13"/>
  <c r="AA950" i="13"/>
  <c r="AA2194" i="13"/>
  <c r="AA1702" i="13"/>
  <c r="AA1095" i="13"/>
  <c r="AA135" i="13"/>
  <c r="AA2088" i="13"/>
  <c r="AA3189" i="13"/>
  <c r="AA3269" i="13"/>
  <c r="AA3282" i="13"/>
  <c r="AA2487" i="13"/>
  <c r="AA246" i="13"/>
  <c r="AA3016" i="13"/>
  <c r="AA398" i="13"/>
  <c r="AA2345" i="13"/>
  <c r="AA742" i="13"/>
  <c r="AA1039" i="13"/>
  <c r="AA1624" i="13"/>
  <c r="AA1086" i="13"/>
  <c r="AA3451" i="13"/>
  <c r="AA2420" i="13"/>
  <c r="AA1619" i="13"/>
  <c r="AA344" i="13"/>
  <c r="AA2369" i="13"/>
  <c r="AA2682" i="13"/>
  <c r="AA935" i="13"/>
  <c r="AA2937" i="13"/>
  <c r="AA985" i="13"/>
  <c r="AA3060" i="13"/>
  <c r="AA2812" i="13"/>
  <c r="AA1892" i="13"/>
  <c r="AA1074" i="13"/>
  <c r="AA3499" i="13"/>
  <c r="AA1658" i="13"/>
  <c r="AA171" i="13"/>
  <c r="AA428" i="13"/>
  <c r="AA1625" i="13"/>
  <c r="AA1736" i="13"/>
  <c r="AA337" i="13"/>
  <c r="AA819" i="13"/>
  <c r="AA2425" i="13"/>
  <c r="AA1115" i="13"/>
  <c r="AA2951" i="13"/>
  <c r="AA3188" i="13"/>
  <c r="AA1223" i="13"/>
  <c r="AA1062" i="13"/>
  <c r="AA650" i="13"/>
  <c r="AA3410" i="13"/>
  <c r="AA2654" i="13"/>
  <c r="AA734" i="13"/>
  <c r="AA247" i="13"/>
  <c r="AA2433" i="13"/>
  <c r="AA1998" i="13"/>
  <c r="AA3190" i="13"/>
  <c r="AA1596" i="13"/>
  <c r="AA2753" i="13"/>
  <c r="AA242" i="13"/>
  <c r="AA2546" i="13"/>
  <c r="AA3051" i="13"/>
  <c r="AA1791" i="13"/>
  <c r="AA108" i="13"/>
  <c r="AA197" i="13"/>
  <c r="AA253" i="13"/>
  <c r="AA1048" i="13"/>
  <c r="AA1076" i="13"/>
  <c r="AA2637" i="13"/>
  <c r="AA1327" i="13"/>
  <c r="AA2956" i="13"/>
  <c r="AA875" i="13"/>
  <c r="AA2910" i="13"/>
  <c r="AA507" i="13"/>
  <c r="AA2187" i="13"/>
  <c r="AA1727" i="13"/>
  <c r="AA787" i="13"/>
  <c r="AA924" i="13"/>
  <c r="AA3506" i="13"/>
  <c r="AA664" i="13"/>
  <c r="AA2426" i="13"/>
  <c r="AA3167" i="13"/>
  <c r="AA1082" i="13"/>
  <c r="AA2408" i="13"/>
  <c r="AA373" i="13"/>
  <c r="AA1768" i="13"/>
  <c r="AA3430" i="13"/>
  <c r="AA1063" i="13"/>
  <c r="AA3173" i="13"/>
  <c r="AA2833" i="13"/>
  <c r="AA1606" i="13"/>
  <c r="AA2075" i="13"/>
  <c r="AA2773" i="13"/>
  <c r="AA1898" i="13"/>
  <c r="AA3185" i="13"/>
  <c r="AA2764" i="13"/>
  <c r="AA2506" i="13"/>
  <c r="AA1558" i="13"/>
  <c r="AA1306" i="13"/>
  <c r="AA199" i="13"/>
  <c r="AA2509" i="13"/>
  <c r="AA3151" i="13"/>
  <c r="AA223" i="13"/>
  <c r="AA2686" i="13"/>
  <c r="AA1734" i="13"/>
  <c r="AA1568" i="13"/>
  <c r="AA2495" i="13"/>
  <c r="AA2076" i="13"/>
  <c r="AA3223" i="13"/>
  <c r="AA1986" i="13"/>
  <c r="AA3431" i="13"/>
  <c r="AA2600" i="13"/>
  <c r="AA3405" i="13"/>
  <c r="AA2650" i="13"/>
  <c r="AA1997" i="13"/>
  <c r="AA255" i="13"/>
  <c r="AA1328" i="13"/>
  <c r="AA2765" i="13"/>
  <c r="AA903" i="13"/>
  <c r="AA546" i="13"/>
  <c r="AA1729" i="13"/>
  <c r="AA553" i="13"/>
  <c r="AA2862" i="13"/>
  <c r="AA3550" i="13"/>
  <c r="AA1566" i="13"/>
  <c r="AA415" i="13"/>
  <c r="AA997" i="13"/>
  <c r="AA3424" i="13"/>
  <c r="AA2804" i="13"/>
  <c r="AA777" i="13"/>
  <c r="AA57" i="13"/>
  <c r="AA1835" i="13"/>
  <c r="AA2909" i="13"/>
  <c r="AA1135" i="13"/>
  <c r="AA549" i="13"/>
  <c r="AA2393" i="13"/>
  <c r="AA1241" i="13"/>
  <c r="AA1313" i="13"/>
  <c r="AA382" i="13"/>
  <c r="AA1507" i="13"/>
  <c r="AA2310" i="13"/>
  <c r="AA2492" i="13"/>
  <c r="AA172" i="13"/>
  <c r="AA1193" i="13"/>
  <c r="AA1195" i="13"/>
  <c r="AA3284" i="13"/>
  <c r="AA1887" i="13"/>
  <c r="AA1185" i="13"/>
  <c r="AA847" i="13"/>
  <c r="AA3440" i="13"/>
  <c r="AA994" i="13"/>
  <c r="AA2690" i="13"/>
  <c r="AA1216" i="13"/>
  <c r="AA2677" i="13"/>
  <c r="AA3202" i="13"/>
  <c r="AA2952" i="13"/>
  <c r="AA3366" i="13"/>
  <c r="AA2991" i="13"/>
  <c r="AA1849" i="13"/>
  <c r="AA2119" i="13"/>
  <c r="AA2568" i="13"/>
  <c r="AA2618" i="13"/>
  <c r="AA2651" i="13"/>
  <c r="AA2361" i="13"/>
  <c r="AA2700" i="13"/>
  <c r="AA1569" i="13"/>
  <c r="AA466" i="13"/>
  <c r="AA1517" i="13"/>
  <c r="AA1163" i="13"/>
  <c r="AA292" i="13"/>
  <c r="AA1915" i="13"/>
  <c r="AA2381" i="13"/>
  <c r="AA2326" i="13"/>
  <c r="AA2613" i="13"/>
  <c r="AA3494" i="13"/>
  <c r="AA831" i="13"/>
  <c r="AA1838" i="13"/>
  <c r="AA185" i="13"/>
  <c r="AA3515" i="13"/>
  <c r="AA209" i="13"/>
  <c r="AA3404" i="13"/>
  <c r="AA1067" i="13"/>
  <c r="AA2545" i="13"/>
  <c r="AA3018" i="13"/>
  <c r="AA3319" i="13"/>
  <c r="AA503" i="13"/>
  <c r="AA3514" i="13"/>
  <c r="AA2775" i="13"/>
  <c r="AA1757" i="13"/>
  <c r="AA2919" i="13"/>
  <c r="AA2730" i="13"/>
  <c r="AA42" i="13"/>
  <c r="AA2524" i="13"/>
  <c r="AA410" i="13"/>
  <c r="AA2673" i="13"/>
  <c r="AA3541" i="13"/>
  <c r="AA3543" i="13"/>
  <c r="AA3312" i="13"/>
  <c r="AA1956" i="13"/>
  <c r="AA582" i="13"/>
  <c r="AA3095" i="13"/>
  <c r="AA1200" i="13"/>
  <c r="AA321" i="13"/>
  <c r="AA2738" i="13"/>
  <c r="AA1369" i="13"/>
  <c r="AA1790" i="13"/>
  <c r="AA3461" i="13"/>
  <c r="AA2857" i="13"/>
  <c r="AA1590" i="13"/>
  <c r="AA538" i="13"/>
  <c r="AA3170" i="13"/>
  <c r="AA569" i="13"/>
  <c r="AA1948" i="13"/>
  <c r="AA267" i="13"/>
  <c r="AA1044" i="13"/>
  <c r="AA3297" i="13"/>
  <c r="AA2698" i="13"/>
  <c r="AA162" i="13"/>
  <c r="AA2212" i="13"/>
  <c r="AA855" i="13"/>
  <c r="AA724" i="13"/>
  <c r="AA2949" i="13"/>
  <c r="AA1539" i="13"/>
  <c r="AA2811" i="13"/>
  <c r="AA2259" i="13"/>
  <c r="AA190" i="13"/>
  <c r="AA2034" i="13"/>
  <c r="AA1413" i="13"/>
  <c r="AA241" i="13"/>
  <c r="AA2031" i="13"/>
  <c r="AA3416" i="13"/>
  <c r="AA3171" i="13"/>
  <c r="AA2855" i="13"/>
  <c r="AA1976" i="13"/>
  <c r="AA2645" i="13"/>
  <c r="AA1552" i="13"/>
  <c r="AA2667" i="13"/>
  <c r="AA1104" i="13"/>
  <c r="AA1659" i="13"/>
  <c r="AA2905" i="13"/>
  <c r="AA1279" i="13"/>
  <c r="AA2823" i="13"/>
  <c r="AA2220" i="13"/>
  <c r="AA992" i="13"/>
  <c r="AA3372" i="13"/>
  <c r="AA975" i="13"/>
  <c r="AA2563" i="13"/>
  <c r="AA767" i="13"/>
  <c r="AA3306" i="13"/>
  <c r="AA1828" i="13"/>
  <c r="AA1794" i="13"/>
  <c r="AA467" i="13"/>
  <c r="AA658" i="13"/>
  <c r="AA3456" i="13"/>
  <c r="AA290" i="13"/>
  <c r="AA3124" i="13"/>
  <c r="AA573" i="13"/>
  <c r="AA813" i="13"/>
  <c r="AA3344" i="13"/>
  <c r="AA3047" i="13"/>
  <c r="AA1466" i="13"/>
  <c r="AA2901" i="13"/>
  <c r="AA2099" i="13"/>
  <c r="AA736" i="13"/>
  <c r="AA3259" i="13"/>
  <c r="AA3377" i="13"/>
  <c r="AA1132" i="13"/>
  <c r="AA1923" i="13"/>
  <c r="AA1842" i="13"/>
  <c r="AA770" i="13"/>
  <c r="AA1088" i="13"/>
  <c r="AA846" i="13"/>
  <c r="AA387" i="13"/>
  <c r="AA2151" i="13"/>
  <c r="AA2470" i="13"/>
  <c r="AA1705" i="13"/>
  <c r="AA2020" i="13"/>
  <c r="AA804" i="13"/>
  <c r="AA3526" i="13"/>
  <c r="AA2092" i="13"/>
  <c r="AA2527" i="13"/>
  <c r="AA3422" i="13"/>
  <c r="AA112" i="13"/>
  <c r="AA2364" i="13"/>
  <c r="AA3034" i="13"/>
  <c r="AA3475" i="13"/>
  <c r="AA266" i="13"/>
  <c r="AA3355" i="13"/>
  <c r="AA2347" i="13"/>
  <c r="AA2394" i="13"/>
  <c r="AA3353" i="13"/>
  <c r="AA2333" i="13"/>
  <c r="AA1521" i="13"/>
  <c r="AA2199" i="13"/>
  <c r="AA180" i="13"/>
  <c r="AA2169" i="13"/>
  <c r="AA462" i="13"/>
  <c r="AA517" i="13"/>
  <c r="AA457" i="13"/>
  <c r="AA663" i="13"/>
  <c r="AA2959" i="13"/>
  <c r="AA1376" i="13"/>
  <c r="AA2273" i="13"/>
  <c r="AA396" i="13"/>
  <c r="AA277" i="13"/>
  <c r="AA93" i="13"/>
  <c r="AA2652" i="13"/>
  <c r="AA1440" i="13"/>
  <c r="AA594" i="13"/>
  <c r="AA702" i="13"/>
  <c r="AA2982" i="13"/>
  <c r="AA3285" i="13"/>
  <c r="AA1128" i="13"/>
  <c r="AA1452" i="13"/>
  <c r="AA2356" i="13"/>
  <c r="AA407" i="13"/>
  <c r="AA2454" i="13"/>
  <c r="AA809" i="13"/>
  <c r="AA797" i="13"/>
  <c r="AA229" i="13"/>
  <c r="AA1752" i="13"/>
  <c r="AA550" i="13"/>
  <c r="AA2147" i="13"/>
  <c r="AA1202" i="13"/>
  <c r="AA2281" i="13"/>
  <c r="AA2216" i="13"/>
  <c r="AA1385" i="13"/>
  <c r="AA1265" i="13"/>
  <c r="AA2085" i="13"/>
  <c r="AA2053" i="13"/>
  <c r="AA385" i="13"/>
  <c r="AA1442" i="13"/>
  <c r="AA1404" i="13"/>
  <c r="AA1988" i="13"/>
  <c r="AA1034" i="13"/>
  <c r="AA2350" i="13"/>
  <c r="AA1799" i="13"/>
  <c r="AA833" i="13"/>
  <c r="AA340" i="13"/>
  <c r="AA2084" i="13"/>
  <c r="AA2127" i="13"/>
  <c r="AA2358" i="13"/>
  <c r="AA3395" i="13"/>
  <c r="AA2699" i="13"/>
  <c r="AA906" i="13"/>
  <c r="AA693" i="13"/>
  <c r="AA1387" i="13"/>
  <c r="AA500" i="13"/>
  <c r="AA2731" i="13"/>
  <c r="AA3146" i="13"/>
  <c r="AA2752" i="13"/>
  <c r="AA2294" i="13"/>
  <c r="AA3352" i="13"/>
  <c r="AA3288" i="13"/>
  <c r="AA101" i="13"/>
  <c r="AA626" i="13"/>
  <c r="AA2056" i="13"/>
  <c r="AA443" i="13"/>
  <c r="AA489" i="13"/>
  <c r="AA2995" i="13"/>
  <c r="AA1585" i="13"/>
  <c r="AA3128" i="13"/>
  <c r="AA760" i="13"/>
  <c r="AA258" i="13"/>
  <c r="AA1096" i="13"/>
  <c r="AA2669" i="13"/>
  <c r="AA2692" i="13"/>
  <c r="AA2398" i="13"/>
  <c r="AA824" i="13"/>
  <c r="AA1786" i="13"/>
  <c r="AA3212" i="13"/>
  <c r="AA357" i="13"/>
  <c r="AA3156" i="13"/>
  <c r="AA3219" i="13"/>
  <c r="AA3402" i="13"/>
  <c r="AA1226" i="13"/>
  <c r="AA109" i="13"/>
  <c r="AA912" i="13"/>
  <c r="AA2577" i="13"/>
  <c r="AA3272" i="13"/>
  <c r="AA2197" i="13"/>
  <c r="AA1636" i="13"/>
  <c r="AA1291" i="13"/>
  <c r="AA2969" i="13"/>
  <c r="AA2818" i="13"/>
  <c r="AA347" i="13"/>
  <c r="AA1928" i="13"/>
  <c r="AA2664" i="13"/>
  <c r="AA2569" i="13"/>
  <c r="AA3172" i="13"/>
  <c r="AA3273" i="13"/>
  <c r="AA745" i="13"/>
  <c r="AA2481" i="13"/>
  <c r="AA1017" i="13"/>
  <c r="AA900" i="13"/>
  <c r="AA2688" i="13"/>
  <c r="AA947" i="13"/>
  <c r="AA2661" i="13"/>
  <c r="AA2083" i="13"/>
  <c r="AA1483" i="13"/>
  <c r="AA3122" i="13"/>
  <c r="AA2554" i="13"/>
  <c r="AA483" i="13"/>
  <c r="AA496" i="13"/>
  <c r="AA1287" i="13"/>
  <c r="AA712" i="13"/>
  <c r="AA646" i="13"/>
  <c r="AA2234" i="13"/>
  <c r="AA2339" i="13"/>
  <c r="AA1007" i="13"/>
  <c r="AA584" i="13"/>
  <c r="AA3158" i="13"/>
  <c r="AA1631" i="13"/>
  <c r="AA3274" i="13"/>
  <c r="AA2418" i="13"/>
  <c r="AA3516" i="13"/>
  <c r="AA2317" i="13"/>
  <c r="AA1951" i="13"/>
  <c r="AA1934" i="13"/>
  <c r="AA2541" i="13"/>
  <c r="AA2430" i="13"/>
  <c r="AA1897" i="13"/>
  <c r="AA228" i="13"/>
  <c r="AA2594" i="13"/>
  <c r="AA2556" i="13"/>
  <c r="AA3446" i="13"/>
  <c r="AA2306" i="13"/>
  <c r="AA2111" i="13"/>
  <c r="AA3136" i="13"/>
  <c r="AA2999" i="13"/>
  <c r="AA130" i="13"/>
  <c r="AA2875" i="13"/>
  <c r="AA420" i="13"/>
  <c r="AA942" i="13"/>
  <c r="AA3177" i="13"/>
  <c r="AA1347" i="13"/>
  <c r="AA1335" i="13"/>
  <c r="AA2217" i="13"/>
  <c r="AA3104" i="13"/>
  <c r="AA1515" i="13"/>
  <c r="AA2010" i="13"/>
  <c r="AA225" i="13"/>
  <c r="AA70" i="13"/>
  <c r="AA2233" i="13"/>
  <c r="AA1032" i="13"/>
  <c r="AA226" i="13"/>
  <c r="AA1406" i="13"/>
  <c r="AA1743" i="13"/>
  <c r="AA2455" i="13"/>
  <c r="AA425" i="13"/>
  <c r="AA1145" i="13"/>
  <c r="AA2245" i="13"/>
  <c r="AA2884" i="13"/>
  <c r="AA1302" i="13"/>
  <c r="AA2004" i="13"/>
  <c r="AA1242" i="13"/>
  <c r="AA1760" i="13"/>
  <c r="AA2467" i="13"/>
  <c r="AA2792" i="13"/>
  <c r="AA1681" i="13"/>
  <c r="AA2367" i="13"/>
  <c r="AA3013" i="13"/>
  <c r="AA982" i="13"/>
  <c r="AA2448" i="13"/>
  <c r="AA3502" i="13"/>
  <c r="AA3491" i="13"/>
  <c r="AA867" i="13"/>
  <c r="AA263" i="13"/>
  <c r="AA2947" i="13"/>
  <c r="AA2742" i="13"/>
  <c r="AA2478" i="13"/>
  <c r="AA2468" i="13"/>
  <c r="AA1281" i="13"/>
  <c r="AA537" i="13"/>
  <c r="AA2275" i="13"/>
  <c r="AA2622" i="13"/>
  <c r="AA1022" i="13"/>
  <c r="AA1157" i="13"/>
  <c r="AA2564" i="13"/>
  <c r="AA1837" i="13"/>
  <c r="AA2647" i="13"/>
  <c r="AA3532" i="13"/>
  <c r="AA2946" i="13"/>
  <c r="AA1298" i="13"/>
  <c r="AA3224" i="13"/>
  <c r="AA2589" i="13"/>
  <c r="AA1527" i="13"/>
  <c r="AA999" i="13"/>
  <c r="AA1035" i="13"/>
  <c r="AA560" i="13"/>
  <c r="AA3512" i="13"/>
  <c r="AA3294" i="13"/>
  <c r="AA2707" i="13"/>
  <c r="AA2882" i="13"/>
  <c r="AA2067" i="13"/>
  <c r="AA330" i="13"/>
  <c r="AA1300" i="13"/>
  <c r="AA1085" i="13"/>
  <c r="AA324" i="13"/>
  <c r="AA1292" i="13"/>
  <c r="AA2441" i="13"/>
  <c r="AA2179" i="13"/>
  <c r="AA73" i="13"/>
  <c r="AA2442" i="13"/>
  <c r="AA1987" i="13"/>
  <c r="AA3137" i="13"/>
  <c r="AA710" i="13"/>
  <c r="AA2522" i="13"/>
  <c r="AA2886" i="13"/>
  <c r="AA2323" i="13"/>
  <c r="AA3287" i="13"/>
  <c r="AA2539" i="13"/>
  <c r="AA2444" i="13"/>
  <c r="AA1958" i="13"/>
  <c r="AA2198" i="13"/>
  <c r="AA1701" i="13"/>
  <c r="AA2547" i="13"/>
  <c r="AA836" i="13"/>
  <c r="AA1451" i="13"/>
  <c r="AA230" i="13"/>
  <c r="AA3248" i="13"/>
  <c r="AA2236" i="13"/>
  <c r="AA19" i="13"/>
  <c r="AA829" i="13"/>
  <c r="AA375" i="13"/>
  <c r="AA2204" i="13"/>
  <c r="AA114" i="13"/>
  <c r="AA2943" i="13"/>
  <c r="AA596" i="13"/>
  <c r="AA3364" i="13"/>
  <c r="AA1207" i="13"/>
  <c r="AA3346" i="13"/>
  <c r="AA381" i="13"/>
  <c r="AA2322" i="13"/>
  <c r="AA2926" i="13"/>
  <c r="AA722" i="13"/>
  <c r="AA911" i="13"/>
  <c r="AA1512" i="13"/>
  <c r="AA2908" i="13"/>
  <c r="AA506" i="13"/>
  <c r="AA1184" i="13"/>
  <c r="AA307" i="13"/>
  <c r="AA1598" i="13"/>
  <c r="AA279" i="13"/>
  <c r="AA2270" i="13"/>
  <c r="AA2762" i="13"/>
  <c r="AA178" i="13"/>
  <c r="AA619" i="13"/>
  <c r="AA2549" i="13"/>
  <c r="AA811" i="13"/>
  <c r="AA2648" i="13"/>
  <c r="AA2646" i="13"/>
  <c r="AA2255" i="13"/>
  <c r="AA65" i="13"/>
  <c r="AA2295" i="13"/>
  <c r="AA3262" i="13"/>
  <c r="AA1064" i="13"/>
  <c r="AA1482" i="13"/>
  <c r="AA2724" i="13"/>
  <c r="AA2436" i="13"/>
  <c r="AA358" i="13"/>
  <c r="AA3441" i="13"/>
  <c r="AA1707" i="13"/>
  <c r="AA2881" i="13"/>
  <c r="AA1294" i="13"/>
  <c r="AA987" i="13"/>
  <c r="AA414" i="13"/>
  <c r="AA1402" i="13"/>
  <c r="AA961" i="13"/>
  <c r="AA2867" i="13"/>
  <c r="AA1845" i="13"/>
  <c r="AA366" i="13"/>
  <c r="AA2039" i="13"/>
  <c r="AA3076" i="13"/>
  <c r="AA2459" i="13"/>
  <c r="AA2172" i="13"/>
  <c r="AA2827" i="13"/>
  <c r="AA2507" i="13"/>
  <c r="AA1203" i="13"/>
  <c r="AA2605" i="13"/>
  <c r="AA1793" i="13"/>
  <c r="AA755" i="13"/>
  <c r="AA2859" i="13"/>
  <c r="AA3476" i="13"/>
  <c r="AA334" i="13"/>
  <c r="AA3242" i="13"/>
  <c r="AA1551" i="13"/>
  <c r="AA1459" i="13"/>
  <c r="AA746" i="13"/>
  <c r="AA174" i="13"/>
  <c r="AA2403" i="13"/>
  <c r="AA1800" i="13"/>
  <c r="AA839" i="13"/>
  <c r="AA1309" i="13"/>
  <c r="AA2337" i="13"/>
  <c r="AA3027" i="13"/>
  <c r="AA1334" i="13"/>
  <c r="AA1427" i="13"/>
  <c r="AA1390" i="13"/>
  <c r="AA3145" i="13"/>
  <c r="AA2064" i="13"/>
  <c r="AA2097" i="13"/>
  <c r="AA1422" i="13"/>
  <c r="AA1754" i="13"/>
  <c r="AA3501" i="13"/>
  <c r="AA1040" i="13"/>
  <c r="AA1601" i="13"/>
  <c r="AA949" i="13"/>
  <c r="AA2984" i="13"/>
  <c r="AA1930" i="13"/>
  <c r="AA2144" i="13"/>
  <c r="AA1114" i="13"/>
  <c r="AA936" i="13"/>
  <c r="AA3390" i="13"/>
  <c r="AA240" i="13"/>
  <c r="AA2242" i="13"/>
  <c r="AA3382" i="13"/>
  <c r="AA2680" i="13"/>
  <c r="AA2532" i="13"/>
  <c r="AA2932" i="13"/>
  <c r="AA2705" i="13"/>
  <c r="AA2074" i="13"/>
  <c r="AA2431" i="13"/>
  <c r="AA2681" i="13"/>
  <c r="AA2810" i="13"/>
  <c r="AA3321" i="13"/>
  <c r="AA1097" i="13"/>
  <c r="AA794" i="13"/>
  <c r="AA909" i="13"/>
  <c r="AA495" i="13"/>
  <c r="AA1708" i="13"/>
  <c r="AA2578" i="13"/>
  <c r="AA3429" i="13"/>
  <c r="AA620" i="13"/>
  <c r="AA1761" i="13"/>
  <c r="AA820" i="13"/>
  <c r="AA3517" i="13"/>
  <c r="AA1198" i="13"/>
  <c r="AA1268" i="13"/>
  <c r="AA1080" i="13"/>
  <c r="AA862" i="13"/>
  <c r="AA1647" i="13"/>
  <c r="AA876" i="13"/>
  <c r="AA1602" i="13"/>
  <c r="AA1264" i="13"/>
  <c r="AA3338" i="13"/>
  <c r="AA300" i="13"/>
  <c r="AA1056" i="13"/>
  <c r="AA3336" i="13"/>
  <c r="AA1408" i="13"/>
  <c r="AA3417" i="13"/>
  <c r="AA2794" i="13"/>
  <c r="AA2890" i="13"/>
  <c r="AA2907" i="13"/>
  <c r="AA2469" i="13"/>
  <c r="AA2496" i="13"/>
  <c r="AA2595" i="13"/>
  <c r="AA2517" i="13"/>
  <c r="AA2139" i="13"/>
  <c r="AA2348" i="13"/>
  <c r="AA389" i="13"/>
  <c r="AA2279" i="13"/>
  <c r="AA1426" i="13"/>
  <c r="AA2502" i="13"/>
  <c r="AA436" i="13"/>
  <c r="AA2016" i="13"/>
  <c r="AA3291" i="13"/>
  <c r="AA1051" i="13"/>
  <c r="AA74" i="13"/>
  <c r="AA1221" i="13"/>
  <c r="AA1325" i="13"/>
  <c r="AA631" i="13"/>
  <c r="AA671" i="13"/>
  <c r="AA86" i="13"/>
  <c r="AA1365" i="13"/>
  <c r="AA2917" i="13"/>
  <c r="AA1572" i="13"/>
  <c r="AA1357" i="13"/>
  <c r="AA2511" i="13"/>
  <c r="AA431" i="13"/>
  <c r="AA1380" i="13"/>
  <c r="AA218" i="13"/>
  <c r="AA129" i="13"/>
  <c r="AA2157" i="13"/>
  <c r="AA1049" i="13"/>
  <c r="AA1250" i="13"/>
  <c r="AA976" i="13"/>
  <c r="AA837" i="13"/>
  <c r="AA3235" i="13"/>
  <c r="AA1982" i="13"/>
  <c r="AA1984" i="13"/>
  <c r="AA1155" i="13"/>
  <c r="AA262" i="13"/>
  <c r="AA2585" i="13"/>
  <c r="AA2655" i="13"/>
  <c r="AA2832" i="13"/>
  <c r="AA996" i="13"/>
  <c r="AA1778" i="13"/>
  <c r="AA3293" i="13"/>
  <c r="AA1945" i="13"/>
  <c r="AA84" i="13"/>
  <c r="AA2989" i="13"/>
  <c r="AA2846" i="13"/>
  <c r="AA2103" i="13"/>
  <c r="AA3437" i="13"/>
  <c r="AA1319" i="13"/>
  <c r="AA145" i="13"/>
  <c r="AA1164" i="13"/>
  <c r="AA738" i="13"/>
  <c r="AA610" i="13"/>
  <c r="AA1528" i="13"/>
  <c r="AA2472" i="13"/>
  <c r="AA2494" i="13"/>
  <c r="AA1869" i="13"/>
  <c r="AA3087" i="13"/>
  <c r="AA2516" i="13"/>
  <c r="AA1989" i="13"/>
  <c r="AA1662" i="13"/>
  <c r="AA667" i="13"/>
  <c r="AA3035" i="13"/>
  <c r="AA3508" i="13"/>
  <c r="AA1353" i="13"/>
  <c r="AA2939" i="13"/>
  <c r="AA105" i="13"/>
  <c r="AA1949" i="13"/>
  <c r="AA3505" i="13"/>
  <c r="AA3529" i="13"/>
  <c r="AA555" i="13"/>
  <c r="AA703" i="13"/>
  <c r="AA1008" i="13"/>
  <c r="AA1399" i="13"/>
  <c r="AA3245" i="13"/>
  <c r="AA3141" i="13"/>
  <c r="AA2419" i="13"/>
  <c r="AA1057" i="13"/>
  <c r="AA2224" i="13"/>
  <c r="AA1779" i="13"/>
  <c r="AA1308" i="13"/>
  <c r="AA3036" i="13"/>
  <c r="AA161" i="13"/>
  <c r="AA1574" i="13"/>
  <c r="AA3228" i="13"/>
  <c r="AA2285" i="13"/>
  <c r="AA2401" i="13"/>
  <c r="AA3056" i="13"/>
  <c r="AA3207" i="13"/>
  <c r="AA1867" i="13"/>
  <c r="AA1907" i="13"/>
  <c r="AA2371" i="13"/>
  <c r="AA1112" i="13"/>
  <c r="AA2954" i="13"/>
  <c r="AA216" i="13"/>
  <c r="AA3025" i="13"/>
  <c r="AA2518" i="13"/>
  <c r="AA523" i="13"/>
  <c r="AA728" i="13"/>
  <c r="AA1162" i="13"/>
  <c r="AA494" i="13"/>
  <c r="AA2040" i="13"/>
  <c r="AA1894" i="13"/>
  <c r="AA1488" i="13"/>
  <c r="AA2462" i="13"/>
  <c r="AA2352" i="13"/>
  <c r="AA2906" i="13"/>
  <c r="AA3496" i="13"/>
  <c r="AA2891" i="13"/>
  <c r="AA2793" i="13"/>
  <c r="AA3039" i="13"/>
  <c r="AA597" i="13"/>
  <c r="AA2240" i="13"/>
  <c r="AA3014" i="13"/>
  <c r="AA1645" i="13"/>
  <c r="AA354" i="13"/>
  <c r="AA1604" i="13"/>
  <c r="AA1926" i="13"/>
  <c r="AA1407" i="13"/>
  <c r="AA2346" i="13"/>
  <c r="AA125" i="13"/>
  <c r="AA1455" i="13"/>
  <c r="AA565" i="13"/>
  <c r="AA1100" i="13"/>
  <c r="AA442" i="13"/>
  <c r="AA32" i="13"/>
  <c r="AA2404" i="13"/>
  <c r="AA2888" i="13"/>
  <c r="AA2783" i="13"/>
  <c r="AA595" i="13"/>
  <c r="AA729" i="13"/>
  <c r="AA481" i="13"/>
  <c r="AA2363" i="13"/>
  <c r="AA3260" i="13"/>
  <c r="AA668" i="13"/>
  <c r="AA2562" i="13"/>
  <c r="AA3159" i="13"/>
  <c r="AA788" i="13"/>
  <c r="AA3380" i="13"/>
  <c r="AA3495" i="13"/>
  <c r="AA124" i="13"/>
  <c r="AA427" i="13"/>
  <c r="AA1941" i="13"/>
  <c r="AA762" i="13"/>
  <c r="AA2225" i="13"/>
  <c r="AA235" i="13"/>
  <c r="AA3257" i="13"/>
  <c r="AA527" i="13"/>
  <c r="AA3048" i="13"/>
  <c r="AA732" i="13"/>
  <c r="AA1494" i="13"/>
  <c r="AA365" i="13"/>
  <c r="AA2911" i="13"/>
  <c r="AA1609" i="13"/>
  <c r="AA1567" i="13"/>
  <c r="AA2167" i="13"/>
  <c r="AA782" i="13"/>
  <c r="AA2158" i="13"/>
  <c r="AA1175" i="13"/>
  <c r="AA3179" i="13"/>
  <c r="AA2149" i="13"/>
  <c r="AA607" i="13"/>
  <c r="AA477" i="13"/>
  <c r="AA2503" i="13"/>
  <c r="AA1289" i="13"/>
  <c r="AA1047" i="13"/>
  <c r="AA2711" i="13"/>
  <c r="AA3255" i="13"/>
  <c r="AA2208" i="13"/>
  <c r="AA2528" i="13"/>
  <c r="AA2660" i="13"/>
  <c r="AA795" i="13"/>
  <c r="AA2772" i="13"/>
  <c r="AA1297" i="13"/>
  <c r="AA453" i="13"/>
  <c r="AA1151" i="13"/>
  <c r="AA1513" i="13"/>
  <c r="AA2795" i="13"/>
  <c r="AA91" i="13"/>
  <c r="AA890" i="13"/>
  <c r="AA211" i="13"/>
  <c r="AA2189" i="13"/>
  <c r="AA3472" i="13"/>
  <c r="AA2635" i="13"/>
  <c r="AA1429" i="13"/>
  <c r="AA1600" i="13"/>
  <c r="AA1038" i="13"/>
  <c r="AA3250" i="13"/>
  <c r="AA2693" i="13"/>
  <c r="AA2047" i="13"/>
  <c r="AA2123" i="13"/>
  <c r="AA2108" i="13"/>
  <c r="AA628" i="13"/>
  <c r="AA799" i="13"/>
  <c r="AA2880" i="13"/>
  <c r="AA803" i="13"/>
  <c r="AA2080" i="13"/>
  <c r="AA2435" i="13"/>
  <c r="AA1561" i="13"/>
  <c r="AA1840" i="13"/>
  <c r="AA2831" i="13"/>
  <c r="AA1741" i="13"/>
  <c r="AA3460" i="13"/>
  <c r="AA2465" i="13"/>
  <c r="AA1908" i="13"/>
  <c r="AA3551" i="13"/>
  <c r="AA451" i="13"/>
  <c r="AA3486" i="13"/>
  <c r="AA1520" i="13"/>
  <c r="AA1212" i="13"/>
  <c r="AA1963" i="13"/>
  <c r="AA2437" i="13"/>
  <c r="AA1656" i="13"/>
  <c r="AA1821" i="13"/>
  <c r="AA2498" i="13"/>
  <c r="AA501" i="13"/>
  <c r="AA1526" i="13"/>
  <c r="AA1006" i="13"/>
  <c r="AA1591" i="13"/>
  <c r="AA1432" i="13"/>
  <c r="AA3394" i="13"/>
  <c r="AA1575" i="13"/>
  <c r="AA3106" i="13"/>
  <c r="AA3162" i="13"/>
  <c r="AA3388" i="13"/>
  <c r="AA917" i="13"/>
  <c r="AA3363" i="13"/>
  <c r="AA1937" i="13"/>
  <c r="AA2658" i="13"/>
  <c r="AA2778" i="13"/>
  <c r="AA2607" i="13"/>
  <c r="AA3358" i="13"/>
  <c r="AA3267" i="13"/>
  <c r="AA2975" i="13"/>
  <c r="AA2477" i="13"/>
  <c r="AA1355" i="13"/>
  <c r="AA895" i="13"/>
  <c r="AA2736" i="13"/>
  <c r="AA1787" i="13"/>
  <c r="AA3075" i="13"/>
  <c r="AA1809" i="13"/>
  <c r="AA2130" i="13"/>
  <c r="AA2445" i="13"/>
  <c r="AA3434" i="13"/>
  <c r="AA2396" i="13"/>
  <c r="AA2710" i="13"/>
  <c r="AA635" i="13"/>
  <c r="AA978" i="13"/>
  <c r="AA384" i="13"/>
  <c r="AA1753" i="13"/>
  <c r="AA62" i="13"/>
  <c r="AA3339" i="13"/>
  <c r="AA2449" i="13"/>
  <c r="AA1393" i="13"/>
  <c r="AA1398" i="13"/>
  <c r="AA2002" i="13"/>
  <c r="AA3530" i="13"/>
  <c r="AA3481" i="13"/>
  <c r="AA3465" i="13"/>
  <c r="AA870" i="13"/>
  <c r="AA2114" i="13"/>
  <c r="AA1386" i="13"/>
  <c r="AA1679" i="13"/>
  <c r="AA3055" i="13"/>
  <c r="AA2060" i="13"/>
  <c r="AA309" i="13"/>
  <c r="AA1424" i="13"/>
  <c r="AA1464" i="13"/>
  <c r="AA58" i="13"/>
  <c r="AA1217" i="13"/>
  <c r="AA1796" i="13"/>
  <c r="AA2166" i="13"/>
  <c r="AA1626" i="13"/>
  <c r="AA1374" i="13"/>
  <c r="AA1571" i="13"/>
  <c r="AA3261" i="13"/>
  <c r="AA2257" i="13"/>
  <c r="AA71" i="13"/>
  <c r="AA3301" i="13"/>
  <c r="AA315" i="13"/>
  <c r="AA3266" i="13"/>
  <c r="AA918" i="13"/>
  <c r="AA1704" i="13"/>
  <c r="AA1550" i="13"/>
  <c r="AA910" i="13"/>
  <c r="AA571" i="13"/>
  <c r="AA3420" i="13"/>
  <c r="AA2391" i="13"/>
  <c r="AA2896" i="13"/>
  <c r="AA754" i="13"/>
  <c r="AA893" i="13"/>
  <c r="AA1154" i="13"/>
  <c r="AA1005" i="13"/>
  <c r="AA3164" i="13"/>
  <c r="AA1177" i="13"/>
  <c r="AA1808" i="13"/>
  <c r="AA2694" i="13"/>
  <c r="AA3091" i="13"/>
  <c r="AA1776" i="13"/>
  <c r="AA2834" i="13"/>
  <c r="AA3240" i="13"/>
  <c r="AA3323" i="13"/>
  <c r="AA708" i="13"/>
  <c r="AA810" i="13"/>
  <c r="AA1992" i="13"/>
  <c r="AA92" i="13"/>
  <c r="AA2702" i="13"/>
  <c r="AA2045" i="13"/>
  <c r="AA1750" i="13"/>
  <c r="AA1410" i="13"/>
  <c r="AA3374" i="13"/>
  <c r="AA3444" i="13"/>
  <c r="AA2335" i="13"/>
  <c r="AA1687" i="13"/>
  <c r="AA1078" i="13"/>
  <c r="AA625" i="13"/>
  <c r="AA2450" i="13"/>
  <c r="AA1453" i="13"/>
  <c r="AA2382" i="13"/>
  <c r="AA580" i="13"/>
  <c r="AA1401" i="13"/>
  <c r="AA1652" i="13"/>
  <c r="AA2868" i="13"/>
  <c r="AA297" i="13"/>
  <c r="AA1912" i="13"/>
  <c r="AA2583" i="13"/>
  <c r="AA2558" i="13"/>
  <c r="AA886" i="13"/>
  <c r="AA1788" i="13"/>
  <c r="AA1183" i="13"/>
  <c r="AA600" i="13"/>
  <c r="AA2899" i="13"/>
  <c r="AA1904" i="13"/>
  <c r="AA1364" i="13"/>
  <c r="AA927" i="13"/>
  <c r="AA1025" i="13"/>
  <c r="AA192" i="13"/>
  <c r="AA418" i="13"/>
  <c r="AA3053" i="13"/>
  <c r="AA400" i="13"/>
  <c r="AA613" i="13"/>
  <c r="AA169" i="13"/>
  <c r="AA3006" i="13"/>
  <c r="AA511" i="13"/>
  <c r="AA3492" i="13"/>
  <c r="AA306" i="13"/>
  <c r="AA3510" i="13"/>
  <c r="AA1614" i="13"/>
  <c r="AA1693" i="13"/>
  <c r="AA1449" i="13"/>
  <c r="AA2816" i="13"/>
  <c r="AA1315" i="13"/>
  <c r="AA220" i="13"/>
  <c r="AA2235" i="13"/>
  <c r="AA1431" i="13"/>
  <c r="AA1276" i="13"/>
  <c r="AA763" i="13"/>
  <c r="AA2165" i="13"/>
  <c r="AA1181" i="13"/>
  <c r="AA651" i="13"/>
  <c r="AA2593" i="13"/>
  <c r="AA2209" i="13"/>
  <c r="AA3445" i="13"/>
  <c r="AA2838" i="13"/>
  <c r="AA2155" i="13"/>
  <c r="AA1378" i="13"/>
  <c r="AA686" i="13"/>
  <c r="AA3134" i="13"/>
  <c r="AA1899" i="13"/>
  <c r="AA2916" i="13"/>
  <c r="AA2672" i="13"/>
  <c r="AA2807" i="13"/>
  <c r="AA1871" i="13"/>
  <c r="AA1474" i="13"/>
  <c r="AA509" i="13"/>
  <c r="AA259" i="13"/>
  <c r="AA3326" i="13"/>
  <c r="AA2684" i="13"/>
  <c r="AA2186" i="13"/>
  <c r="AA3213" i="13"/>
  <c r="AA2895" i="13"/>
  <c r="AA1722" i="13"/>
  <c r="AA1593" i="13"/>
  <c r="AA1419" i="13"/>
  <c r="AA2480" i="13"/>
  <c r="AA1774" i="13"/>
  <c r="AA2791" i="13"/>
  <c r="AA2375" i="13"/>
  <c r="AA341" i="13"/>
  <c r="AA913" i="13"/>
  <c r="AA1664" i="13"/>
  <c r="AA871" i="13"/>
  <c r="AA1454" i="13"/>
  <c r="AA1018" i="13"/>
  <c r="AA2530" i="13"/>
  <c r="AA252" i="13"/>
  <c r="AA408" i="13"/>
  <c r="AA785" i="13"/>
  <c r="AA146" i="13"/>
  <c r="AA3233" i="13"/>
  <c r="AA3324" i="13"/>
  <c r="AA1660" i="13"/>
  <c r="AA219" i="13"/>
  <c r="AA1394" i="13"/>
  <c r="AA2990" i="13"/>
  <c r="AA2138" i="13"/>
  <c r="AA2387" i="13"/>
  <c r="AA68" i="13"/>
  <c r="AA1570" i="13"/>
  <c r="AA1830" i="13"/>
  <c r="AA2945" i="13"/>
  <c r="AA675" i="13"/>
  <c r="AA561" i="13"/>
  <c r="AA2733" i="13"/>
  <c r="AA557" i="13"/>
  <c r="AA758" i="13"/>
  <c r="AA1249" i="13"/>
  <c r="AA823" i="13"/>
  <c r="AA448" i="13"/>
  <c r="AA2248" i="13"/>
  <c r="AA3050" i="13"/>
  <c r="AA3216" i="13"/>
  <c r="AA56" i="13"/>
  <c r="AA1723" i="13"/>
  <c r="AA144" i="13"/>
  <c r="AA2291" i="13"/>
  <c r="AA3133" i="13"/>
  <c r="AA536" i="13"/>
  <c r="AA2870" i="13"/>
  <c r="AA2349" i="13"/>
  <c r="AA335" i="13"/>
  <c r="AA652" i="13"/>
  <c r="AA2300" i="13"/>
  <c r="AA2709" i="13"/>
  <c r="AA363" i="13"/>
  <c r="AA993" i="13"/>
  <c r="AA2246" i="13"/>
  <c r="AA983" i="13"/>
  <c r="AA678" i="13"/>
  <c r="AA1475" i="13"/>
  <c r="AA30" i="13"/>
  <c r="AA801" i="13"/>
  <c r="AA3140" i="13"/>
  <c r="AA1473" i="13"/>
  <c r="AA1888" i="13"/>
  <c r="AA730" i="13"/>
  <c r="AA2141" i="13"/>
  <c r="AA3017" i="13"/>
  <c r="AA140" i="13"/>
  <c r="AA1336" i="13"/>
  <c r="AA2456" i="13"/>
  <c r="AA954" i="13"/>
  <c r="AA2720" i="13"/>
  <c r="AA2822" i="13"/>
  <c r="AA1295" i="13"/>
  <c r="AA3061" i="13"/>
  <c r="AA2100" i="13"/>
  <c r="AA323" i="13"/>
  <c r="AA2087" i="13"/>
  <c r="AA1555" i="13"/>
  <c r="AA138" i="13"/>
  <c r="AA1680" i="13"/>
  <c r="AA1589" i="13"/>
  <c r="AA3249" i="13"/>
  <c r="AA2958" i="13"/>
  <c r="AA2566" i="13"/>
  <c r="AA2021" i="13"/>
  <c r="AA542" i="13"/>
  <c r="AA3281" i="13"/>
  <c r="AA1191" i="13"/>
  <c r="AA2817" i="13"/>
  <c r="AA1783" i="13"/>
  <c r="AA2553" i="13"/>
  <c r="AA1943" i="13"/>
  <c r="AA2536" i="13"/>
  <c r="AA1668" i="13"/>
  <c r="AA520" i="13"/>
  <c r="AA3148" i="13"/>
  <c r="AA2781" i="13"/>
  <c r="AA2782" i="13"/>
  <c r="AA792" i="13"/>
  <c r="AA1961" i="13"/>
  <c r="AA1938" i="13"/>
  <c r="AA723" i="13"/>
  <c r="AA1695" i="13"/>
  <c r="AA2485" i="13"/>
  <c r="AA3534" i="13"/>
  <c r="AA1244" i="13"/>
  <c r="AA1209" i="13"/>
  <c r="AA1535" i="13"/>
  <c r="AA2142" i="13"/>
  <c r="AA2552" i="13"/>
  <c r="AA202" i="13"/>
  <c r="AA925" i="13"/>
  <c r="AA524" i="13"/>
  <c r="AA1839" i="13"/>
  <c r="AA1372" i="13"/>
  <c r="AA1463" i="13"/>
  <c r="AA3477" i="13"/>
  <c r="AA1368" i="13"/>
  <c r="AA642" i="13"/>
  <c r="AA3449" i="13"/>
  <c r="AA1615" i="13"/>
  <c r="AA877" i="13"/>
  <c r="AA3206" i="13"/>
  <c r="AA1400" i="13"/>
  <c r="AA1523" i="13"/>
  <c r="AA2748" i="13"/>
  <c r="AA973" i="13"/>
  <c r="AA3107" i="13"/>
  <c r="AA2873" i="13"/>
  <c r="AA1204" i="13"/>
  <c r="AA2132" i="13"/>
  <c r="AA2642" i="13"/>
  <c r="AA2460" i="13"/>
  <c r="AA682" i="13"/>
  <c r="AA3289" i="13"/>
  <c r="AA554" i="13"/>
  <c r="AA3010" i="13"/>
  <c r="AA3227" i="13"/>
  <c r="AA2597" i="13"/>
  <c r="AA460" i="13"/>
  <c r="AA1881" i="13"/>
  <c r="AA2388" i="13"/>
  <c r="AA3130" i="13"/>
  <c r="AA727" i="13"/>
  <c r="AA1169" i="13"/>
  <c r="AA2183" i="13"/>
  <c r="AA134" i="13"/>
  <c r="AA2877" i="13"/>
  <c r="AA1529" i="13"/>
  <c r="AA238" i="13"/>
  <c r="AA1208" i="13"/>
  <c r="AA898" i="13"/>
  <c r="AA1312" i="13"/>
  <c r="AA1036" i="13"/>
  <c r="AA359" i="13"/>
  <c r="AA1825" i="13"/>
  <c r="AA1925" i="13"/>
  <c r="AA1532" i="13"/>
  <c r="AA2515" i="13"/>
  <c r="AA709" i="13"/>
  <c r="AA3527" i="13"/>
  <c r="AA905" i="13"/>
  <c r="AA2760" i="13"/>
  <c r="AA1285" i="13"/>
  <c r="AA1210" i="13"/>
  <c r="AA2575" i="13"/>
  <c r="AA1536" i="13"/>
  <c r="AA1771" i="13"/>
  <c r="AA1013" i="13"/>
  <c r="AA1834" i="13"/>
  <c r="AA454" i="13"/>
  <c r="AA2029" i="13"/>
  <c r="AA2315" i="13"/>
  <c r="AA166" i="13"/>
  <c r="AA1858" i="13"/>
  <c r="AA2048" i="13"/>
  <c r="AA3459" i="13"/>
  <c r="AA773" i="13"/>
  <c r="AA1433" i="13"/>
  <c r="AA1345" i="13"/>
  <c r="AA1144" i="13"/>
  <c r="AA352" i="13"/>
  <c r="AA3361" i="13"/>
  <c r="AA687" i="13"/>
  <c r="AA46" i="13"/>
  <c r="AA257" i="13"/>
  <c r="AA45" i="13"/>
  <c r="AA440" i="13"/>
  <c r="AA1947" i="13"/>
  <c r="AA1495" i="13"/>
  <c r="AA159" i="13"/>
  <c r="AA800" i="13"/>
  <c r="AA1417" i="13"/>
  <c r="AA2384" i="13"/>
  <c r="AA896" i="13"/>
  <c r="AA1029" i="13"/>
  <c r="AA2615" i="13"/>
  <c r="AA353" i="13"/>
  <c r="AA232" i="13"/>
  <c r="AA1448" i="13"/>
  <c r="AA2627" i="13"/>
  <c r="AA413" i="13"/>
  <c r="AA1356" i="13"/>
  <c r="AA3097" i="13"/>
  <c r="AA85" i="13"/>
  <c r="AA508" i="13"/>
  <c r="AA1749" i="13"/>
  <c r="AA1882" i="13"/>
  <c r="AA1974" i="13"/>
  <c r="AA3119" i="13"/>
  <c r="AA2415" i="13"/>
  <c r="AA716" i="13"/>
  <c r="AA562" i="13"/>
  <c r="AA2685" i="13"/>
  <c r="AA1689" i="13"/>
  <c r="AA3343" i="13"/>
  <c r="AA3030" i="13"/>
  <c r="AA2171" i="13"/>
  <c r="AA1370" i="13"/>
  <c r="AA3367" i="13"/>
  <c r="AA1924" i="13"/>
  <c r="AA1219" i="13"/>
  <c r="AA532" i="13"/>
  <c r="AA3252" i="13"/>
  <c r="AA103" i="13"/>
  <c r="AA198" i="13"/>
  <c r="AA1045" i="13"/>
  <c r="AA34" i="13"/>
  <c r="AA1391" i="13"/>
  <c r="AA1120" i="13"/>
  <c r="AA2903" i="13"/>
  <c r="AA3360" i="13"/>
  <c r="AA1458" i="13"/>
  <c r="AA1686" i="13"/>
  <c r="AA2012" i="13"/>
  <c r="AA603" i="13"/>
  <c r="AA1282" i="13"/>
  <c r="AA2090" i="13"/>
  <c r="AA1721" i="13"/>
  <c r="AA1428" i="13"/>
  <c r="AA497" i="13"/>
  <c r="AA2032" i="13"/>
  <c r="AA2603" i="13"/>
  <c r="AA608" i="13"/>
  <c r="AA1782" i="13"/>
  <c r="AA919" i="13"/>
  <c r="AA485" i="13"/>
  <c r="AA1846" i="13"/>
  <c r="AA2620" i="13"/>
  <c r="AA1553" i="13"/>
  <c r="AA3295" i="13"/>
  <c r="AA478" i="13"/>
  <c r="AA1855" i="13"/>
  <c r="AA2164" i="13"/>
  <c r="AA368" i="13"/>
  <c r="AA2851" i="13"/>
  <c r="AA2316" i="13"/>
  <c r="AA915" i="13"/>
  <c r="AA2997" i="13"/>
  <c r="AA2293" i="13"/>
  <c r="AA2030" i="13"/>
  <c r="AA1942" i="13"/>
  <c r="AA3278" i="13"/>
  <c r="AA1927" i="13"/>
  <c r="AA789" i="13"/>
  <c r="AA2013" i="13"/>
  <c r="AA106" i="13"/>
  <c r="AA2770" i="13"/>
  <c r="AA2311" i="13"/>
  <c r="AA714" i="13"/>
  <c r="AA2223" i="13"/>
  <c r="AA1425" i="13"/>
  <c r="AA1977" i="13"/>
  <c r="AA3504" i="13"/>
  <c r="AA2994" i="13"/>
  <c r="AA2519" i="13"/>
  <c r="AA1068" i="13"/>
  <c r="AA1811" i="13"/>
  <c r="AA2066" i="13"/>
  <c r="AA1270" i="13"/>
  <c r="AA726" i="13"/>
  <c r="AA339" i="13"/>
  <c r="AA1883" i="13"/>
  <c r="AA2844" i="13"/>
  <c r="AA2360" i="13"/>
  <c r="AA2938" i="13"/>
  <c r="AA1121" i="13"/>
  <c r="AA1549" i="13"/>
  <c r="AA43" i="13"/>
  <c r="AA2249" i="13"/>
  <c r="AA2913" i="13"/>
  <c r="AA3470" i="13"/>
  <c r="AA3341" i="13"/>
  <c r="AA1140" i="13"/>
  <c r="AA204" i="13"/>
  <c r="AA2222" i="13"/>
  <c r="AA181" i="13"/>
  <c r="AA1277" i="13"/>
  <c r="AA2107" i="13"/>
  <c r="AA3511" i="13"/>
  <c r="AA2024" i="13"/>
  <c r="AA2200" i="13"/>
  <c r="AA2761" i="13"/>
  <c r="AA1853" i="13"/>
  <c r="AA3409" i="13"/>
  <c r="AA2483" i="13"/>
  <c r="AA275" i="13"/>
  <c r="AA3111" i="13"/>
  <c r="AA2286" i="13"/>
  <c r="AA3083" i="13"/>
  <c r="AA2641" i="13"/>
  <c r="AA24" i="13"/>
  <c r="AA556" i="13"/>
  <c r="AA3329" i="13"/>
  <c r="AA310" i="13"/>
  <c r="AA449" i="13"/>
  <c r="AA2729" i="13"/>
  <c r="AA3054" i="13"/>
  <c r="AA1260" i="13"/>
  <c r="AA883" i="13"/>
  <c r="AA2790" i="13"/>
  <c r="AA1978" i="13"/>
  <c r="AA894" i="13"/>
  <c r="AA1245" i="13"/>
  <c r="AA319" i="13"/>
  <c r="AA2965" i="13"/>
  <c r="AA3544" i="13"/>
  <c r="AA2305" i="13"/>
  <c r="AA98" i="13"/>
  <c r="AA2069" i="13"/>
  <c r="AA1480" i="13"/>
  <c r="AA3082" i="13"/>
  <c r="AA3092" i="13"/>
  <c r="AA2630" i="13"/>
  <c r="AA1303" i="13"/>
  <c r="AA3330" i="13"/>
  <c r="AA1324" i="13"/>
  <c r="AA331" i="13"/>
  <c r="AA1098" i="13"/>
  <c r="AA980" i="13"/>
  <c r="AA1280" i="13"/>
  <c r="AA3232" i="13"/>
  <c r="AA2228" i="13"/>
  <c r="AA1844" i="13"/>
  <c r="AA2211" i="13"/>
  <c r="AA1462" i="13"/>
  <c r="AA672" i="13"/>
  <c r="AA2866" i="13"/>
  <c r="AA2704" i="13"/>
  <c r="AA2978" i="13"/>
  <c r="AA1745" i="13"/>
  <c r="AA2120" i="13"/>
  <c r="AA2153" i="13"/>
  <c r="AA3217" i="13"/>
  <c r="AA2741" i="13"/>
  <c r="AA592" i="13"/>
  <c r="AA1239" i="13"/>
  <c r="AA968" i="13"/>
  <c r="AA200" i="13"/>
  <c r="AA1052" i="13"/>
  <c r="AA2168" i="13"/>
  <c r="AA679" i="13"/>
  <c r="AA2278" i="13"/>
  <c r="AA2416" i="13"/>
  <c r="AA208" i="13"/>
  <c r="AA2839" i="13"/>
  <c r="AA2717" i="13"/>
  <c r="AA1465" i="13"/>
  <c r="AA2848" i="13"/>
  <c r="AA3275" i="13"/>
  <c r="AA960" i="13"/>
  <c r="AA2439" i="13"/>
  <c r="AA2955" i="13"/>
  <c r="AA299" i="13"/>
  <c r="AA951" i="13"/>
  <c r="AA1058" i="13"/>
  <c r="AA1700" i="13"/>
  <c r="AA3125" i="13"/>
  <c r="AA1170" i="13"/>
  <c r="AA3443" i="13"/>
  <c r="AA261" i="13"/>
  <c r="AA1438" i="13"/>
  <c r="AA2475" i="13"/>
  <c r="AA3386" i="13"/>
  <c r="AA1028" i="13"/>
  <c r="AA388" i="13"/>
  <c r="AA1511" i="13"/>
  <c r="AA3258" i="13"/>
  <c r="AA2780" i="13"/>
  <c r="AA2201" i="13"/>
  <c r="AA2712" i="13"/>
  <c r="AA2885" i="13"/>
  <c r="AA1832" i="13"/>
  <c r="AA3370" i="13"/>
  <c r="AA2542" i="13"/>
  <c r="AA1389" i="13"/>
  <c r="AA2843" i="13"/>
  <c r="AA2022" i="13"/>
  <c r="AA3381" i="13"/>
  <c r="AA2213" i="13"/>
  <c r="AA293" i="13"/>
  <c r="AA3005" i="13"/>
  <c r="AA3241" i="13"/>
  <c r="AA3286" i="13"/>
  <c r="AA1147" i="13"/>
  <c r="AA374" i="13"/>
  <c r="AA1450" i="13"/>
  <c r="AA3214" i="13"/>
  <c r="AA194" i="13"/>
  <c r="AA3482" i="13"/>
  <c r="AA2308" i="13"/>
  <c r="AA2073" i="13"/>
  <c r="AA2915" i="13"/>
  <c r="AA3474" i="13"/>
  <c r="AA23" i="13"/>
  <c r="AA2152" i="13"/>
  <c r="AA943" i="13"/>
  <c r="AA1959" i="13"/>
  <c r="AA2071" i="13"/>
  <c r="AA322" i="13"/>
  <c r="AA2996" i="13"/>
  <c r="AA691" i="13"/>
  <c r="AA3518" i="13"/>
  <c r="AA1436" i="13"/>
  <c r="AA2192" i="13"/>
  <c r="AA2567" i="13"/>
  <c r="AA2626" i="13"/>
  <c r="AA793" i="13"/>
  <c r="AA2037" i="13"/>
  <c r="AA1666" i="13"/>
  <c r="AA35" i="13"/>
  <c r="AA1914" i="13"/>
  <c r="AA1516" i="13"/>
  <c r="AA26" i="13"/>
  <c r="AA2226" i="13"/>
  <c r="AA649" i="13"/>
  <c r="AA1343" i="13"/>
  <c r="AA3487" i="13"/>
  <c r="AA1996" i="13"/>
  <c r="AA2353" i="13"/>
  <c r="AA3040" i="13"/>
  <c r="AA1814" i="13"/>
  <c r="AA186" i="13"/>
  <c r="AA350" i="13"/>
  <c r="AA558" i="13"/>
  <c r="AA2452" i="13"/>
  <c r="AA3085" i="13"/>
  <c r="AA899" i="13"/>
  <c r="AA852" i="13"/>
  <c r="AA3033" i="13"/>
  <c r="AA624" i="13"/>
  <c r="AA2256" i="13"/>
  <c r="AA2860" i="13"/>
  <c r="AA931" i="13"/>
  <c r="AA423" i="13"/>
  <c r="AA1599" i="13"/>
  <c r="AA2914" i="13"/>
  <c r="AA547" i="13"/>
  <c r="AA3290" i="13"/>
  <c r="AA54" i="13"/>
  <c r="AA882" i="13"/>
  <c r="AA874" i="13"/>
  <c r="AA2239" i="13"/>
  <c r="AA3432" i="13"/>
  <c r="AA1165" i="13"/>
  <c r="AA955" i="13"/>
  <c r="AA1950" i="13"/>
  <c r="AA3065" i="13"/>
  <c r="AA2150" i="13"/>
  <c r="AA2754" i="13"/>
  <c r="AA1642" i="13"/>
  <c r="AA3120" i="13"/>
  <c r="AA1101" i="13"/>
  <c r="AA1806" i="13"/>
  <c r="AA1643" i="13"/>
  <c r="AA287" i="13"/>
  <c r="AA602" i="13"/>
  <c r="AA759" i="13"/>
  <c r="AA967" i="13"/>
  <c r="AA2320" i="13"/>
  <c r="AA2826" i="13"/>
  <c r="AA2663" i="13"/>
  <c r="AA2520" i="13"/>
  <c r="AA1041" i="13"/>
  <c r="AA2331" i="13"/>
  <c r="AA1257" i="13"/>
  <c r="AA1891" i="13"/>
  <c r="AA48" i="13"/>
  <c r="AA2820" i="13"/>
  <c r="AA1267" i="13"/>
  <c r="AA781" i="13"/>
  <c r="AA1863" i="13"/>
  <c r="AA2587" i="13"/>
  <c r="AA586" i="13"/>
  <c r="AA780" i="13"/>
  <c r="AA1673" i="13"/>
  <c r="AA2229" i="13"/>
  <c r="AA2988" i="13"/>
  <c r="AA66" i="13"/>
  <c r="AA435" i="13"/>
  <c r="AA2175" i="13"/>
  <c r="AA3043" i="13"/>
  <c r="AA1595" i="13"/>
  <c r="AA772" i="13"/>
  <c r="AA1500" i="13"/>
  <c r="AA1730" i="13"/>
  <c r="AA2671" i="13"/>
  <c r="AA2271" i="13"/>
  <c r="AA2604" i="13"/>
  <c r="AA1240" i="13"/>
  <c r="AA1415" i="13"/>
  <c r="AA463" i="13"/>
  <c r="AA1827" i="13"/>
  <c r="AA37" i="13"/>
  <c r="AA3204" i="13"/>
  <c r="AA1854" i="13"/>
  <c r="AA2232" i="13"/>
  <c r="AA3462" i="13"/>
  <c r="AA265" i="13"/>
  <c r="AA3199" i="13"/>
  <c r="AA41" i="13"/>
  <c r="AA984" i="13"/>
  <c r="AA271" i="13"/>
  <c r="AA2771" i="13"/>
  <c r="AA3153" i="13"/>
  <c r="AA1944" i="13"/>
  <c r="AA3398" i="13"/>
  <c r="AA1256" i="13"/>
  <c r="AA1843" i="13"/>
  <c r="AA254" i="13"/>
  <c r="AA1337" i="13"/>
  <c r="AA1540" i="13"/>
  <c r="AA1001" i="13"/>
  <c r="AA268" i="13"/>
  <c r="AA3003" i="13"/>
  <c r="AA36" i="13"/>
  <c r="AA2813" i="13"/>
  <c r="AA2106" i="13"/>
  <c r="AA2282" i="13"/>
  <c r="AA2362" i="13"/>
  <c r="AA2427" i="13"/>
  <c r="AA490" i="13"/>
  <c r="AA1613" i="13"/>
  <c r="AA2206" i="13"/>
  <c r="AA1824" i="13"/>
  <c r="AA1179" i="13"/>
  <c r="AA2837" i="13"/>
  <c r="AA1543" i="13"/>
  <c r="AA3403" i="13"/>
  <c r="AA575" i="13"/>
  <c r="AA1554" i="13"/>
  <c r="AA2410" i="13"/>
  <c r="AA2344" i="13"/>
  <c r="AA2840" i="13"/>
  <c r="AA3320" i="13"/>
  <c r="AA2797" i="13"/>
  <c r="AA452" i="13"/>
  <c r="AA1072" i="13"/>
  <c r="AA1278" i="13"/>
  <c r="AA2691" i="13"/>
  <c r="AA2173" i="13"/>
  <c r="AA1081" i="13"/>
  <c r="AA1634" i="13"/>
  <c r="AA237" i="13"/>
  <c r="AA2986" i="13"/>
  <c r="AA866" i="13"/>
  <c r="AA1255" i="13"/>
  <c r="AA966" i="13"/>
  <c r="AA838" i="13"/>
  <c r="AA1759" i="13"/>
  <c r="AA1149" i="13"/>
  <c r="AA2265" i="13"/>
  <c r="AA2633" i="13"/>
  <c r="AA720" i="13"/>
  <c r="AA464" i="13"/>
  <c r="AA2205" i="13"/>
  <c r="AA51" i="13"/>
  <c r="AA1979" i="13"/>
  <c r="AA3236" i="13"/>
  <c r="AA39" i="13"/>
  <c r="AA285" i="13"/>
  <c r="AA844" i="13"/>
  <c r="AA2490" i="13"/>
  <c r="AA1020" i="13"/>
  <c r="AA1030" i="13"/>
  <c r="AA394" i="13"/>
  <c r="AA2297" i="13"/>
  <c r="AA3191" i="13"/>
  <c r="AA521" i="13"/>
  <c r="AA1171" i="13"/>
  <c r="AA611" i="13"/>
  <c r="AA2128" i="13"/>
  <c r="AA1717" i="13"/>
  <c r="AA234" i="13"/>
  <c r="AA1301" i="13"/>
  <c r="AA698" i="13"/>
  <c r="AA1581" i="13"/>
  <c r="AA2657" i="13"/>
  <c r="AA1565" i="13"/>
  <c r="AA1126" i="13"/>
  <c r="AA2159" i="13"/>
  <c r="AA857" i="13"/>
  <c r="AA1043" i="13"/>
  <c r="AA2606" i="13"/>
  <c r="AA3421" i="13"/>
  <c r="AA3387" i="13"/>
  <c r="AA940" i="13"/>
  <c r="AA3523" i="13"/>
  <c r="AA1805" i="13"/>
  <c r="AA317" i="13"/>
  <c r="AA189" i="13"/>
  <c r="AA1284" i="13"/>
  <c r="AA593" i="13"/>
  <c r="AA2395" i="13"/>
  <c r="AA1877" i="13"/>
  <c r="AA372" i="13"/>
  <c r="AA3549" i="13"/>
  <c r="AA986" i="13"/>
  <c r="AA1579" i="13"/>
  <c r="AA815" i="13"/>
  <c r="AA2019" i="13"/>
  <c r="AA3028" i="13"/>
  <c r="AA97" i="13"/>
  <c r="AA49" i="13"/>
  <c r="AA430" i="13"/>
  <c r="AA2963" i="13"/>
  <c r="AA848" i="13"/>
  <c r="AA1573" i="13"/>
  <c r="AA2665" i="13"/>
  <c r="AA627" i="13"/>
  <c r="AA78" i="13"/>
  <c r="AA1545" i="13"/>
  <c r="AA3325" i="13"/>
  <c r="AA2887" i="13"/>
  <c r="AA184" i="13"/>
  <c r="AA2038" i="13"/>
  <c r="AA588" i="13"/>
  <c r="AA510" i="13"/>
  <c r="AA3354" i="13"/>
  <c r="AA1296" i="13"/>
  <c r="AA1087" i="13"/>
  <c r="AA137" i="13"/>
  <c r="AA2461" i="13"/>
  <c r="AA3507" i="13"/>
  <c r="AA1531" i="13"/>
  <c r="AA577" i="13"/>
  <c r="AA20" i="13"/>
  <c r="AA1868" i="13"/>
  <c r="AA3413" i="13"/>
  <c r="AA1288" i="13"/>
  <c r="AA719" i="13"/>
  <c r="AA1713" i="13"/>
  <c r="AA2950" i="13"/>
  <c r="AA224" i="13"/>
  <c r="AA3071" i="13"/>
  <c r="AA1273" i="13"/>
  <c r="AA1597" i="13"/>
  <c r="AA362" i="13"/>
  <c r="AA1059" i="13"/>
  <c r="AA1913" i="13"/>
  <c r="AA2113" i="13"/>
  <c r="AA1657" i="13"/>
  <c r="AA748" i="13"/>
  <c r="AA2397" i="13"/>
  <c r="AA2970" i="13"/>
  <c r="AA182" i="13"/>
  <c r="AA842" i="13"/>
  <c r="AA530" i="13"/>
  <c r="AA654" i="13"/>
  <c r="AA1781" i="13"/>
  <c r="AA1396" i="13"/>
  <c r="AA90" i="13"/>
  <c r="AA295" i="13"/>
  <c r="AA1735" i="13"/>
  <c r="AA2101" i="13"/>
  <c r="AA2079" i="13"/>
  <c r="AA3181" i="13"/>
  <c r="AA391" i="13"/>
  <c r="AA2365" i="13"/>
  <c r="AA1563" i="13"/>
  <c r="AA2676" i="13"/>
  <c r="AA656" i="13"/>
  <c r="AA434" i="13"/>
  <c r="AA3067" i="13"/>
  <c r="AA1895" i="13"/>
  <c r="AA680" i="13"/>
  <c r="AA805" i="13"/>
  <c r="AA1644" i="13"/>
  <c r="AA47" i="13"/>
  <c r="AA116" i="13"/>
  <c r="AA1990" i="13"/>
  <c r="AA3161" i="13"/>
  <c r="AA1655" i="13"/>
  <c r="AA2292" i="13"/>
  <c r="AA2858" i="13"/>
  <c r="AA3066" i="13"/>
  <c r="AA27" i="13"/>
  <c r="AA959" i="13"/>
  <c r="AA2042" i="13"/>
  <c r="AA1797" i="13"/>
  <c r="AA3497" i="13"/>
  <c r="AA2799" i="13"/>
  <c r="AA3246" i="13"/>
  <c r="AA2170" i="13"/>
  <c r="AA25" i="13"/>
  <c r="AA1968" i="13"/>
  <c r="AA1504" i="13"/>
  <c r="AA1798" i="13"/>
  <c r="AA1767" i="13"/>
  <c r="AA1525" i="13"/>
  <c r="AA1141" i="13"/>
  <c r="AA3314" i="13"/>
  <c r="AA326" i="13"/>
  <c r="AA205" i="13"/>
  <c r="AA757" i="13"/>
  <c r="AA1865" i="13"/>
  <c r="AA1073" i="13"/>
  <c r="AA2928" i="13"/>
  <c r="AA2267" i="13"/>
  <c r="AA2835" i="13"/>
  <c r="AA1263" i="13"/>
  <c r="AA486" i="13"/>
  <c r="AA3524" i="13"/>
  <c r="AA3238" i="13"/>
  <c r="AA2385" i="13"/>
  <c r="AA1971" i="13"/>
  <c r="AA1403" i="13"/>
  <c r="AA3113" i="13"/>
  <c r="AA469" i="13"/>
  <c r="AA1159" i="13"/>
  <c r="AA1033" i="13"/>
  <c r="AA274" i="13"/>
  <c r="AA639" i="13"/>
  <c r="AA3304" i="13"/>
  <c r="AA2998" i="13"/>
  <c r="AA1379" i="13"/>
  <c r="AA248" i="13"/>
  <c r="AA1476" i="13"/>
  <c r="AA44" i="13"/>
  <c r="AA3308" i="13"/>
  <c r="AA432" i="13"/>
  <c r="AA2623" i="13"/>
  <c r="AA2504" i="13"/>
  <c r="AA2253" i="13"/>
  <c r="AA2289" i="13"/>
  <c r="AA1060" i="13"/>
  <c r="AA776" i="13"/>
  <c r="AA2146" i="13"/>
  <c r="AA1061" i="13"/>
  <c r="AA176" i="13"/>
  <c r="AA1108" i="13"/>
  <c r="AA2602" i="13"/>
  <c r="AA1246" i="13"/>
  <c r="AA3002" i="13"/>
  <c r="AA1866" i="13"/>
  <c r="AA3322" i="13"/>
  <c r="AA1340" i="13"/>
  <c r="AA1490" i="13"/>
  <c r="AA386" i="13"/>
  <c r="AA1557" i="13"/>
  <c r="AA2590" i="13"/>
  <c r="AA132" i="13"/>
  <c r="AA1588" i="13"/>
  <c r="AA1770" i="13"/>
  <c r="AA227" i="13"/>
  <c r="AA1953" i="13"/>
  <c r="AA2621" i="13"/>
  <c r="AA397" i="13"/>
  <c r="AA3546" i="13"/>
  <c r="AA1384" i="13"/>
  <c r="AA2098" i="13"/>
  <c r="AA845" i="13"/>
  <c r="AA126" i="13"/>
  <c r="AA2609" i="13"/>
  <c r="AA3102" i="13"/>
  <c r="AA1981" i="13"/>
  <c r="AA355" i="13"/>
  <c r="AA1803" i="13"/>
  <c r="AA3311" i="13"/>
  <c r="AA3059" i="13"/>
  <c r="AA1991" i="13"/>
  <c r="AA1439" i="13"/>
  <c r="AA2927" i="13"/>
  <c r="AA566" i="13"/>
  <c r="AA3098" i="13"/>
  <c r="AA1253" i="13"/>
  <c r="AA1922" i="13"/>
  <c r="AA195" i="13"/>
  <c r="AA516" i="13"/>
  <c r="AA2283" i="13"/>
  <c r="AA1667" i="13"/>
  <c r="AA1862" i="13"/>
  <c r="AA412" i="13"/>
  <c r="AA1502" i="13"/>
  <c r="AA1829" i="13"/>
  <c r="AA1142" i="13"/>
  <c r="AA1152" i="13"/>
  <c r="AA3152" i="13"/>
  <c r="AA1740" i="13"/>
  <c r="AA3467" i="13"/>
  <c r="AA441" i="13"/>
  <c r="AA790" i="13"/>
  <c r="AA766" i="13"/>
  <c r="AA1820" i="13"/>
  <c r="AA3072" i="13"/>
  <c r="AA356" i="13"/>
  <c r="AA1118" i="13"/>
  <c r="AA325" i="13"/>
  <c r="AA2302" i="13"/>
  <c r="AA152" i="13"/>
  <c r="AA2856" i="13"/>
  <c r="AA2214" i="13"/>
  <c r="AA1744" i="13"/>
  <c r="AA853" i="13"/>
  <c r="AA3397" i="13"/>
  <c r="AA1960" i="13"/>
  <c r="AA1197" i="13"/>
  <c r="AA1966" i="13"/>
  <c r="AA2735" i="13"/>
  <c r="AA142" i="13"/>
  <c r="AA273" i="13"/>
  <c r="AA87" i="13"/>
  <c r="AA370" i="13"/>
  <c r="AA769" i="13"/>
  <c r="AA2499" i="13"/>
  <c r="AA367" i="13"/>
  <c r="AA294" i="13"/>
  <c r="AA1456" i="13"/>
  <c r="AA2774" i="13"/>
  <c r="AA830" i="13"/>
  <c r="AA1772" i="13"/>
  <c r="AA585" i="13"/>
  <c r="AA859" i="13"/>
  <c r="AA1220" i="13"/>
  <c r="AA2582" i="13"/>
  <c r="AA563" i="13"/>
  <c r="AA343" i="13"/>
  <c r="AA2446" i="13"/>
  <c r="AA2814" i="13"/>
  <c r="AA2825" i="13"/>
  <c r="AA409" i="13"/>
  <c r="AA1467" i="13"/>
  <c r="AA2588" i="13"/>
  <c r="AA3436" i="13"/>
  <c r="AA2051" i="13"/>
  <c r="AA2104" i="13"/>
  <c r="AA1332" i="13"/>
  <c r="AA1669" i="13"/>
  <c r="AA2423" i="13"/>
  <c r="AA2675" i="13"/>
  <c r="AA2438" i="13"/>
  <c r="AA1484" i="13"/>
  <c r="AA1182" i="13"/>
  <c r="AA492" i="13"/>
  <c r="AA1630" i="13"/>
  <c r="AA3303" i="13"/>
  <c r="AA665" i="13"/>
  <c r="AA826" i="13"/>
  <c r="AA1069" i="13"/>
  <c r="AA95" i="13"/>
  <c r="AA1562" i="13"/>
  <c r="AA260" i="13"/>
  <c r="AA2330" i="13"/>
  <c r="AA3218" i="13"/>
  <c r="AA3340" i="13"/>
  <c r="AA796" i="13"/>
  <c r="AA1831" i="13"/>
  <c r="AA2374" i="13"/>
  <c r="AA1472" i="13"/>
  <c r="AA1382" i="13"/>
  <c r="AA28" i="13"/>
  <c r="AA1784" i="13"/>
  <c r="AA970" i="13"/>
  <c r="AA3265" i="13"/>
  <c r="AA2992" i="13"/>
  <c r="AA203" i="13"/>
  <c r="AA1339" i="13"/>
  <c r="AA3457" i="13"/>
  <c r="AA2052" i="13"/>
  <c r="AA1468" i="13"/>
  <c r="AA2979" i="13"/>
  <c r="AA2006" i="13"/>
  <c r="AA779" i="13"/>
  <c r="AA1318" i="13"/>
  <c r="AA2041" i="13"/>
  <c r="AA1627" i="13"/>
  <c r="AA2269" i="13"/>
  <c r="AA1222" i="13"/>
  <c r="AA1054" i="13"/>
  <c r="AA2325" i="13"/>
  <c r="AA2596" i="13"/>
  <c r="AA2184" i="13"/>
  <c r="AA887" i="13"/>
  <c r="AA2739" i="13"/>
  <c r="AA3471" i="13"/>
  <c r="AA578" i="13"/>
  <c r="AA2854" i="13"/>
  <c r="AA3500" i="13"/>
  <c r="AA458" i="13"/>
  <c r="AA701" i="13"/>
  <c r="AA1678" i="13"/>
  <c r="AA2210" i="13"/>
  <c r="AA1885" i="13"/>
  <c r="AA2488" i="13"/>
  <c r="AA3362" i="13"/>
  <c r="AA2464" i="13"/>
  <c r="AA1649" i="13"/>
  <c r="AA614" i="13"/>
  <c r="AA2428" i="13"/>
  <c r="AA1973" i="13"/>
  <c r="AA243" i="13"/>
  <c r="AA2059" i="13"/>
  <c r="AA2046" i="13"/>
  <c r="AA3347" i="13"/>
  <c r="AA3385" i="13"/>
  <c r="AA3484" i="13"/>
  <c r="AA1964" i="13"/>
  <c r="AA3400" i="13"/>
  <c r="AA2628" i="13"/>
  <c r="AA2889" i="13"/>
  <c r="AA1437" i="13"/>
  <c r="AA3237" i="13"/>
  <c r="AA2608" i="13"/>
  <c r="AA2640" i="13"/>
  <c r="AA3540" i="13"/>
  <c r="AA2268" i="13"/>
  <c r="AA3498" i="13"/>
  <c r="AA2715" i="13"/>
  <c r="AA3099" i="13"/>
  <c r="AA3203" i="13"/>
  <c r="AA1071" i="13"/>
  <c r="AA2432" i="13"/>
  <c r="AA2238" i="13"/>
  <c r="AA179" i="13"/>
  <c r="AA3270" i="13"/>
  <c r="AA2659" i="13"/>
  <c r="AA743" i="13"/>
  <c r="AA2191" i="13"/>
  <c r="AA1651" i="13"/>
  <c r="AA2025" i="13"/>
  <c r="AA480" i="13"/>
  <c r="AA617" i="13"/>
  <c r="AA828" i="13"/>
  <c r="AA288" i="13"/>
  <c r="AA207" i="13"/>
  <c r="AA2548" i="13"/>
  <c r="AA107" i="13"/>
  <c r="AA817" i="13"/>
  <c r="AA3351" i="13"/>
  <c r="AA2683" i="13"/>
  <c r="AA3464" i="13"/>
  <c r="AA2976" i="13"/>
  <c r="AA2434" i="13"/>
  <c r="AA681" i="13"/>
  <c r="AA1196" i="13"/>
  <c r="AA2941" i="13"/>
  <c r="AA1685" i="13"/>
  <c r="AA2202" i="13"/>
  <c r="AA3466" i="13"/>
  <c r="AA81" i="13"/>
  <c r="AA264" i="13"/>
  <c r="AA2260" i="13"/>
  <c r="AA1247" i="13"/>
  <c r="AA2109" i="13"/>
  <c r="AA1021" i="13"/>
  <c r="AA3537" i="13"/>
  <c r="AA946" i="13"/>
  <c r="AA1134" i="13"/>
  <c r="AA3483" i="13"/>
  <c r="AA908" i="13"/>
  <c r="AA1211" i="13"/>
  <c r="AA245" i="13"/>
  <c r="AA2806" i="13"/>
  <c r="AA1322" i="13"/>
  <c r="AA2936" i="13"/>
  <c r="AA939" i="13"/>
  <c r="AA2332" i="13"/>
  <c r="AA2033" i="13"/>
  <c r="AA3150" i="13"/>
  <c r="AA99" i="13"/>
  <c r="AA80" i="13"/>
  <c r="AA2227" i="13"/>
  <c r="AA2745" i="13"/>
  <c r="AA2570" i="13"/>
  <c r="AA3277" i="13"/>
  <c r="AA1725" i="13"/>
  <c r="AA239" i="13"/>
  <c r="AA704" i="13"/>
  <c r="AA1764" i="13"/>
  <c r="AA964" i="13"/>
  <c r="AA3090" i="13"/>
  <c r="AA1349" i="13"/>
  <c r="AA2643" i="13"/>
  <c r="AA2252" i="13"/>
  <c r="AA640" i="13"/>
  <c r="AA187" i="13"/>
  <c r="AA2980" i="13"/>
  <c r="AA1077" i="13"/>
  <c r="AA2379" i="13"/>
  <c r="AA3531" i="13"/>
  <c r="AA110" i="13"/>
  <c r="AA3062" i="13"/>
  <c r="AA2679" i="13"/>
  <c r="AA1443" i="13"/>
  <c r="AA771" i="13"/>
  <c r="AA1556" i="13"/>
  <c r="AA305" i="13"/>
  <c r="AA276" i="13"/>
  <c r="AA2182" i="13"/>
  <c r="AA2579" i="13"/>
  <c r="AA744" i="13"/>
  <c r="AA2357" i="13"/>
  <c r="AA576" i="13"/>
  <c r="AA615" i="13"/>
  <c r="AA1603" i="13"/>
  <c r="AA2973" i="13"/>
  <c r="AA250" i="13"/>
  <c r="AA958" i="13"/>
  <c r="AA2429" i="13"/>
  <c r="AA1460" i="13"/>
  <c r="AA2390" i="13"/>
  <c r="AA2893" i="13"/>
  <c r="AA579" i="13"/>
  <c r="AA1980" i="13"/>
  <c r="AA3458" i="13"/>
  <c r="AA1594" i="13"/>
  <c r="AA2148" i="13"/>
  <c r="AA2008" i="13"/>
  <c r="AA2876" i="13"/>
  <c r="AA2746" i="13"/>
  <c r="AA1367" i="13"/>
  <c r="AA2944" i="13"/>
  <c r="AA308" i="13"/>
  <c r="AA3522" i="13"/>
  <c r="AA570" i="13"/>
  <c r="AA1548" i="13"/>
  <c r="AA2303" i="13"/>
  <c r="AA3008" i="13"/>
  <c r="AA1358" i="13"/>
  <c r="AA3174" i="13"/>
  <c r="AA2409" i="13"/>
  <c r="AA3168" i="13"/>
  <c r="AA2525" i="13"/>
  <c r="AA3155" i="13"/>
  <c r="AA1587" i="13"/>
  <c r="AA941" i="13"/>
  <c r="AA791" i="13"/>
  <c r="AA3031" i="13"/>
  <c r="AA1519" i="13"/>
  <c r="AA1815" i="13"/>
  <c r="AA1703" i="13"/>
  <c r="AA605" i="13"/>
  <c r="AA2284" i="13"/>
  <c r="AA1748" i="13"/>
  <c r="AA2523" i="13"/>
  <c r="AA3000" i="13"/>
  <c r="AA622" i="13"/>
  <c r="AA2526" i="13"/>
  <c r="AA1275" i="13"/>
  <c r="AA2574" i="13"/>
  <c r="AA2631" i="13"/>
  <c r="AA1607" i="13"/>
  <c r="AA2721" i="13"/>
  <c r="AA1802" i="13"/>
  <c r="AA512" i="13"/>
  <c r="AA2815" i="13"/>
  <c r="AA3221" i="13"/>
  <c r="AA3453" i="13"/>
  <c r="AA3178" i="13"/>
  <c r="AA1333" i="13"/>
  <c r="AA1046" i="13"/>
  <c r="AA2966" i="13"/>
  <c r="AA643" i="13"/>
  <c r="AA1697" i="13"/>
  <c r="AA2116" i="13"/>
  <c r="AA3023" i="13"/>
  <c r="AA1650" i="13"/>
  <c r="AA1272" i="13"/>
  <c r="AA534" i="13"/>
  <c r="AA2678" i="13"/>
  <c r="AA1661" i="13"/>
  <c r="AA3198" i="13"/>
  <c r="AA1610" i="13"/>
  <c r="AA2863" i="13"/>
  <c r="AA2195" i="13"/>
  <c r="AA2767" i="13"/>
  <c r="AA3068" i="13"/>
  <c r="AA399" i="13"/>
  <c r="AA2001" i="13"/>
  <c r="AA1505" i="13"/>
  <c r="AA737" i="13"/>
  <c r="AA3373" i="13"/>
  <c r="AA1093" i="13"/>
  <c r="AA3356" i="13"/>
  <c r="AA1747" i="13"/>
  <c r="AA1522" i="13"/>
  <c r="AA1416" i="13"/>
  <c r="AA2961" i="13"/>
  <c r="AA2181" i="13"/>
  <c r="AA2508" i="13"/>
  <c r="AA598" i="13"/>
  <c r="AA446" i="13"/>
  <c r="AA1469" i="13"/>
  <c r="AA2993" i="13"/>
  <c r="AA1965" i="13"/>
  <c r="AA3414" i="13"/>
  <c r="AA1055" i="13"/>
  <c r="AA988" i="13"/>
  <c r="AA1911" i="13"/>
  <c r="AA361" i="13"/>
  <c r="AA2203" i="13"/>
  <c r="AA645" i="13"/>
  <c r="AA3368" i="13"/>
  <c r="AA2272" i="13"/>
  <c r="AA1409" i="13"/>
  <c r="AA1091" i="13"/>
  <c r="AA437" i="13"/>
  <c r="AA1742" i="13"/>
  <c r="AA583" i="13"/>
  <c r="AA1906" i="13"/>
  <c r="AA2879" i="13"/>
  <c r="AA1970" i="13"/>
  <c r="AA3020" i="13"/>
  <c r="AA3139" i="13"/>
  <c r="AA75" i="13"/>
  <c r="AA1131" i="13"/>
  <c r="AA3264" i="13"/>
  <c r="AA850" i="13"/>
  <c r="AA1875" i="13"/>
  <c r="AA3369" i="13"/>
  <c r="AA1497" i="13"/>
  <c r="AA3539" i="13"/>
  <c r="AA1254" i="13"/>
  <c r="AA2957" i="13"/>
  <c r="AA2948" i="13"/>
  <c r="AA1190" i="13"/>
  <c r="AA616" i="13"/>
  <c r="AA2798" i="13"/>
  <c r="AA2865" i="13"/>
  <c r="AA2327" i="13"/>
  <c r="AA2940" i="13"/>
  <c r="AA1350" i="13"/>
  <c r="AA3478" i="13"/>
  <c r="AA2769" i="13"/>
  <c r="AA1262" i="13"/>
  <c r="AA3411" i="13"/>
  <c r="AA3348" i="13"/>
  <c r="AA96" i="13"/>
  <c r="AA1227" i="13"/>
  <c r="AA121" i="13"/>
  <c r="AA3100" i="13"/>
  <c r="AA666" i="13"/>
  <c r="AA2129" i="13"/>
  <c r="AA1224" i="13"/>
  <c r="AA1508" i="13"/>
  <c r="AA2412" i="13"/>
  <c r="AA3371" i="13"/>
  <c r="AA499" i="13"/>
  <c r="AA884" i="13"/>
  <c r="AA2328" i="13"/>
  <c r="AA2370" i="13"/>
  <c r="AA3049" i="13"/>
  <c r="AA1307" i="13"/>
  <c r="AA147" i="13"/>
  <c r="AA378" i="13"/>
  <c r="AA1199" i="13"/>
  <c r="AA1890" i="13"/>
  <c r="AA83" i="13"/>
  <c r="AA3074" i="13"/>
  <c r="AA2386" i="13"/>
  <c r="AA572" i="13"/>
  <c r="AA1954" i="13"/>
  <c r="AA2231" i="13"/>
  <c r="AA2318" i="13"/>
  <c r="AA1946" i="13"/>
  <c r="AA2105" i="13"/>
  <c r="AA2095" i="13"/>
  <c r="AA280" i="13"/>
  <c r="AA965" i="13"/>
  <c r="AA1122" i="13"/>
  <c r="AA214" i="13"/>
  <c r="AA2934" i="13"/>
  <c r="AA979" i="13"/>
  <c r="AA2632" i="13"/>
  <c r="AA143" i="13"/>
  <c r="AA278" i="13"/>
  <c r="AA1851" i="13"/>
  <c r="AA3052" i="13"/>
  <c r="AA1320" i="13"/>
  <c r="AA684" i="13"/>
  <c r="AA1534" i="13"/>
  <c r="AA1773" i="13"/>
  <c r="AA2063" i="13"/>
  <c r="AA713" i="13"/>
  <c r="AA1524" i="13"/>
  <c r="AA2687" i="13"/>
  <c r="AA2629" i="13"/>
  <c r="AA1105" i="13"/>
  <c r="AA1765" i="13"/>
  <c r="AA3328" i="13"/>
  <c r="AA2341" i="13"/>
  <c r="AA111" i="13"/>
  <c r="AA269" i="13"/>
  <c r="AA889" i="13"/>
  <c r="AA2714" i="13"/>
  <c r="AA3310" i="13"/>
  <c r="AA1739" i="13"/>
  <c r="AA183" i="13"/>
  <c r="AA3143" i="13"/>
  <c r="AA303" i="13"/>
  <c r="AA1611" i="13"/>
  <c r="AA1070" i="13"/>
  <c r="AA2763" i="13"/>
  <c r="AA311" i="13"/>
  <c r="AA3503" i="13"/>
  <c r="AA3193" i="13"/>
  <c r="AA1481" i="13"/>
  <c r="AA284" i="13"/>
  <c r="AA1683" i="13"/>
  <c r="AA1236" i="13"/>
  <c r="AA3520" i="13"/>
  <c r="AA934" i="13"/>
  <c r="AA661" i="13"/>
  <c r="AA1053" i="13"/>
  <c r="AA1692" i="13"/>
  <c r="AA3210" i="13"/>
  <c r="AA2243" i="13"/>
  <c r="AA1670" i="13"/>
  <c r="AA2777" i="13"/>
  <c r="AA1983" i="13"/>
  <c r="AA439" i="13"/>
  <c r="AA816" i="13"/>
  <c r="AA621" i="13"/>
  <c r="AA1638" i="13"/>
  <c r="AA1694" i="13"/>
  <c r="AA2864" i="13"/>
  <c r="AA2376" i="13"/>
  <c r="AA587" i="13"/>
  <c r="AA1153" i="13"/>
  <c r="AA1146" i="13"/>
  <c r="AA2313" i="13"/>
  <c r="AA2405" i="13"/>
  <c r="AA559" i="13"/>
  <c r="AA3452" i="13"/>
  <c r="AA3254" i="13"/>
  <c r="AA715" i="13"/>
  <c r="AA897" i="13"/>
  <c r="AA2662" i="13"/>
  <c r="AA630" i="13"/>
  <c r="AA2389" i="13"/>
  <c r="AA1901" i="13"/>
  <c r="AA3426" i="13"/>
  <c r="AA426" i="13"/>
  <c r="AA669" i="13"/>
  <c r="AA2134" i="13"/>
  <c r="AA1628" i="13"/>
  <c r="AA3525" i="13"/>
  <c r="AA1582" i="13"/>
  <c r="AA2489" i="13"/>
  <c r="AA401" i="13"/>
  <c r="AA873" i="13"/>
  <c r="AA806" i="13"/>
  <c r="AA3247" i="13"/>
  <c r="AA3089" i="13"/>
  <c r="AA938" i="13"/>
  <c r="AA2610" i="13"/>
  <c r="AA540" i="13"/>
  <c r="AA2656" i="13"/>
  <c r="AA756" i="13"/>
  <c r="AA3268" i="13"/>
  <c r="AA2737" i="13"/>
  <c r="AA164" i="13"/>
  <c r="AA312" i="13"/>
  <c r="AA3230" i="13"/>
  <c r="AA1518" i="13"/>
  <c r="AA2802" i="13"/>
  <c r="AA1215" i="13"/>
  <c r="AA1003" i="13"/>
  <c r="AA1075" i="13"/>
  <c r="AA2023" i="13"/>
  <c r="AA539" i="13"/>
  <c r="AA1826" i="13"/>
  <c r="AA3536" i="13"/>
  <c r="AA1696" i="13"/>
  <c r="AA3112" i="13"/>
  <c r="AA2755" i="13"/>
  <c r="AA33" i="13"/>
  <c r="AA1172" i="13"/>
  <c r="AA3357" i="13"/>
  <c r="AA1850" i="13"/>
  <c r="AA327" i="13"/>
  <c r="AA471" i="13"/>
  <c r="AA706" i="13"/>
  <c r="AA3345" i="13"/>
  <c r="AA1283" i="13"/>
  <c r="AA1879" i="13"/>
  <c r="AA1489" i="13"/>
  <c r="AA1635" i="13"/>
  <c r="AA3169" i="13"/>
  <c r="AA301" i="13"/>
  <c r="AA236" i="13"/>
  <c r="AA1684" i="13"/>
  <c r="AA825" i="13"/>
  <c r="AA3118" i="13"/>
  <c r="AA2359" i="13"/>
  <c r="AA636" i="13"/>
  <c r="AA21" i="13"/>
  <c r="AA2351" i="13"/>
  <c r="AA677" i="13"/>
  <c r="AA1936" i="13"/>
  <c r="AA2342" i="13"/>
  <c r="AA3079" i="13"/>
  <c r="AA2082" i="13"/>
  <c r="AA2836" i="13"/>
  <c r="AA118" i="13"/>
  <c r="AA1499" i="13"/>
  <c r="AA2482" i="13"/>
  <c r="AA725" i="13"/>
  <c r="AA2280" i="13"/>
  <c r="AA1138" i="13"/>
  <c r="AA1967" i="13"/>
  <c r="AA735" i="13"/>
  <c r="AA932" i="13"/>
  <c r="AA2417" i="13"/>
  <c r="AA1726" i="13"/>
  <c r="AA2902" i="13"/>
  <c r="AA1168" i="13"/>
  <c r="AA3094" i="13"/>
  <c r="AA1617" i="13"/>
  <c r="AA711" i="13"/>
  <c r="AA1616" i="13"/>
  <c r="AA1873" i="13"/>
  <c r="AA609" i="13"/>
  <c r="AA581" i="13"/>
  <c r="AA316" i="13"/>
  <c r="AA406" i="13"/>
  <c r="AA3535" i="13"/>
  <c r="AA2750" i="13"/>
  <c r="AA840" i="13"/>
  <c r="AA89" i="13"/>
  <c r="AA885" i="13"/>
  <c r="AA1533" i="13"/>
  <c r="AA1993" i="13"/>
  <c r="AA482" i="13"/>
  <c r="AA1411" i="13"/>
  <c r="AA1698" i="13"/>
  <c r="AA1015" i="13"/>
  <c r="AA2668" i="13"/>
  <c r="AA2727" i="13"/>
  <c r="AA1746" i="13"/>
  <c r="AA333" i="13"/>
  <c r="AA647" i="13"/>
  <c r="AA751" i="13"/>
  <c r="AA2803" i="13"/>
  <c r="AA1859" i="13"/>
  <c r="AA3024" i="13"/>
  <c r="AA688" i="13"/>
  <c r="AA1955" i="13"/>
  <c r="AA1813" i="13"/>
  <c r="AA1622" i="13"/>
  <c r="AA167" i="13"/>
  <c r="AA2612" i="13"/>
  <c r="AA637" i="13"/>
  <c r="AA1026" i="13"/>
  <c r="AA928" i="13"/>
  <c r="AA2497" i="13"/>
  <c r="AA1271" i="13"/>
  <c r="AA94" i="13"/>
  <c r="AA2540" i="13"/>
  <c r="AA1975" i="13"/>
  <c r="AA160" i="13"/>
  <c r="AA215" i="13"/>
  <c r="AA599" i="13"/>
  <c r="AA2110" i="13"/>
  <c r="AA3021" i="13"/>
  <c r="AA3469" i="13"/>
  <c r="AA2644" i="13"/>
  <c r="AA320" i="13"/>
  <c r="AA2805" i="13"/>
  <c r="AA2057" i="13"/>
  <c r="AA76" i="13"/>
  <c r="AA1461" i="13"/>
  <c r="AA2413" i="13"/>
  <c r="AA2872" i="13"/>
  <c r="AA213" i="13"/>
  <c r="AA3123" i="13"/>
  <c r="AA2178" i="13"/>
  <c r="AA937" i="13"/>
  <c r="AA212" i="13"/>
  <c r="AA3299" i="13"/>
  <c r="AA2900" i="13"/>
  <c r="AA1188" i="13"/>
  <c r="AA1486" i="13"/>
  <c r="AA1905" i="13"/>
  <c r="AA2077" i="13"/>
  <c r="AA177" i="13"/>
  <c r="AA2296" i="13"/>
  <c r="AA122" i="13"/>
  <c r="AA1201" i="13"/>
  <c r="AA528" i="13"/>
  <c r="AA2491" i="13"/>
  <c r="AA3318" i="13"/>
  <c r="AA1709" i="13"/>
  <c r="AA2883" i="13"/>
  <c r="AA1346" i="13"/>
  <c r="AA2180" i="13"/>
  <c r="AA548" i="13"/>
  <c r="AA564" i="13"/>
  <c r="AA2411" i="13"/>
  <c r="AA2161" i="13"/>
  <c r="AA3447" i="13"/>
  <c r="AA1206" i="13"/>
  <c r="AA2625" i="13"/>
  <c r="AA1290" i="13"/>
  <c r="AA2126" i="13"/>
  <c r="AA270" i="13"/>
  <c r="AA529" i="13"/>
  <c r="AA1286" i="13"/>
  <c r="AA1225" i="13"/>
  <c r="AA3302" i="13"/>
  <c r="AA2789" i="13"/>
  <c r="AA1818" i="13"/>
  <c r="AA2521" i="13"/>
  <c r="AA3419" i="13"/>
  <c r="AA3032" i="13"/>
  <c r="AA3234" i="13"/>
  <c r="AA3528" i="13"/>
  <c r="AA1889" i="13"/>
  <c r="AA750" i="13"/>
  <c r="AA644" i="13"/>
  <c r="AA3063" i="13"/>
  <c r="AA3300" i="13"/>
  <c r="AA3442" i="13"/>
  <c r="AA998" i="13"/>
  <c r="AA1856" i="13"/>
  <c r="AA2904" i="13"/>
  <c r="AA291" i="13"/>
  <c r="AA676" i="13"/>
  <c r="AA82" i="13"/>
  <c r="AA768" i="13"/>
  <c r="AA1316" i="13"/>
  <c r="AA1342" i="13"/>
  <c r="AA1985" i="13"/>
  <c r="AA3493" i="13"/>
  <c r="AA601" i="13"/>
  <c r="AA2784" i="13"/>
  <c r="AA858" i="13"/>
  <c r="AA3435" i="13"/>
  <c r="AA1205" i="13"/>
  <c r="AA3279" i="13"/>
  <c r="AA888" i="13"/>
  <c r="AA923" i="13"/>
  <c r="AA3022" i="13"/>
  <c r="AA2555" i="13"/>
  <c r="AA513" i="13"/>
  <c r="AA1160" i="13"/>
  <c r="AA2922" i="13"/>
  <c r="AA2878" i="13"/>
  <c r="AA3073" i="13"/>
  <c r="AA2920" i="13"/>
  <c r="AA100" i="13"/>
  <c r="AA3384" i="13"/>
  <c r="AA1148" i="13"/>
  <c r="AA191" i="13"/>
  <c r="AA892" i="13"/>
  <c r="AA2809" i="13"/>
  <c r="AA1663" i="13"/>
  <c r="AA55" i="13"/>
  <c r="AA1639" i="13"/>
  <c r="AA2133" i="13"/>
  <c r="AA2062" i="13"/>
  <c r="AA827" i="13"/>
  <c r="AA50" i="13"/>
  <c r="AA3307" i="13"/>
  <c r="AA3521" i="13"/>
  <c r="AA1880" i="13"/>
  <c r="AA1395" i="13"/>
  <c r="AA2319" i="13"/>
  <c r="AA1559" i="13"/>
  <c r="AA1125" i="13"/>
  <c r="AA1952" i="13"/>
  <c r="AA2674" i="13"/>
  <c r="AA522" i="13"/>
  <c r="AA3117" i="13"/>
  <c r="AA2251" i="13"/>
  <c r="AA3105" i="13"/>
  <c r="AA1084" i="13"/>
  <c r="AA2983" i="13"/>
  <c r="AA1383" i="13"/>
  <c r="AA1916" i="13"/>
  <c r="AA2533" i="13"/>
  <c r="AA2093" i="13"/>
  <c r="AA1218" i="13"/>
  <c r="AA1405" i="13"/>
  <c r="AA995" i="13"/>
  <c r="AA1099" i="13"/>
  <c r="AA1139" i="13"/>
  <c r="AA807" i="13"/>
  <c r="AA1338" i="13"/>
  <c r="AA487" i="13"/>
  <c r="AA3077" i="13"/>
  <c r="AA2501" i="13"/>
  <c r="AA69" i="13"/>
  <c r="AA493" i="13"/>
  <c r="AA1444" i="13"/>
  <c r="AA473" i="13"/>
  <c r="AA1323" i="13"/>
  <c r="AA1792" i="13"/>
  <c r="AA2580" i="13"/>
  <c r="AA1116" i="13"/>
  <c r="AA2701" i="13"/>
  <c r="AA3545" i="13"/>
  <c r="AA2538" i="13"/>
  <c r="AA1810" i="13"/>
  <c r="AA222" i="13"/>
  <c r="AA3103" i="13"/>
  <c r="AA660" i="13"/>
  <c r="AA634" i="13"/>
  <c r="AA3163" i="13"/>
  <c r="AA2869" i="13"/>
  <c r="AA405" i="13"/>
  <c r="AA2237" i="13"/>
  <c r="AA3110" i="13"/>
  <c r="AA2474" i="13"/>
  <c r="AA2713" i="13"/>
  <c r="AA2081" i="13"/>
  <c r="AA3015" i="13"/>
  <c r="AA502" i="13"/>
  <c r="AA1710" i="13"/>
  <c r="AA3391" i="13"/>
  <c r="AA1917" i="13"/>
  <c r="AA2598" i="13"/>
  <c r="AA1738" i="13"/>
  <c r="AA1251" i="13"/>
  <c r="AA753" i="13"/>
  <c r="AA697" i="13"/>
  <c r="AA3109" i="13"/>
  <c r="AA3415" i="13"/>
  <c r="AA422" i="13"/>
  <c r="AA1457" i="13"/>
  <c r="AA1414" i="13"/>
  <c r="AA380" i="13"/>
  <c r="AA421" i="13"/>
  <c r="AA289" i="13"/>
  <c r="AA2072" i="13"/>
  <c r="AA403" i="13"/>
  <c r="AA1189" i="13"/>
  <c r="AA2616" i="13"/>
  <c r="AA2850" i="13"/>
  <c r="AA1124" i="13"/>
  <c r="AA3359" i="13"/>
  <c r="AA3038" i="13"/>
  <c r="AA2154" i="13"/>
  <c r="AA2967" i="13"/>
  <c r="AA1724" i="13"/>
  <c r="AA3078" i="13"/>
  <c r="AA1675" i="13"/>
  <c r="AA2118" i="13"/>
  <c r="AA3186" i="13"/>
  <c r="AA3194" i="13"/>
  <c r="AA2055" i="13"/>
  <c r="AA2974" i="13"/>
  <c r="AA1119" i="13"/>
  <c r="AA2264" i="13"/>
  <c r="AA3147" i="13"/>
  <c r="AA2241" i="13"/>
  <c r="AA1995" i="13"/>
  <c r="AA1377" i="13"/>
  <c r="AA2036" i="13"/>
  <c r="AA1133" i="13"/>
  <c r="AA879" i="13"/>
  <c r="AA551" i="13"/>
  <c r="AA802" i="13"/>
  <c r="AA2513" i="13"/>
  <c r="AA2962" i="13"/>
  <c r="AA1305" i="13"/>
  <c r="AA1090" i="13"/>
  <c r="AA705" i="13"/>
  <c r="AA2314" i="13"/>
  <c r="AA920" i="13"/>
  <c r="AA193" i="13"/>
  <c r="AA150" i="13"/>
  <c r="AA612" i="13"/>
  <c r="AA1435" i="13"/>
  <c r="AA173" i="13"/>
  <c r="AA3026" i="13"/>
  <c r="AA798" i="13"/>
  <c r="AA3093" i="13"/>
  <c r="AA2697" i="13"/>
  <c r="AA2925" i="13"/>
  <c r="AA2611" i="13"/>
  <c r="AA3332" i="13"/>
  <c r="AA1939" i="13"/>
  <c r="AA188" i="13"/>
  <c r="AA685" i="13"/>
  <c r="AA821" i="13"/>
  <c r="AA2592" i="13"/>
  <c r="AA2728" i="13"/>
  <c r="AA2706" i="13"/>
  <c r="AA3489" i="13"/>
  <c r="AA2500" i="13"/>
  <c r="AA2014" i="13"/>
  <c r="AA3108" i="13"/>
  <c r="AA1874" i="13"/>
  <c r="AA2304" i="13"/>
  <c r="AA2493" i="13"/>
  <c r="AA2424" i="13"/>
  <c r="AA2299" i="13"/>
  <c r="AA1920" i="13"/>
  <c r="AA2343" i="13"/>
  <c r="AA345" i="13"/>
  <c r="AA3450" i="13"/>
  <c r="AA1900" i="13"/>
  <c r="AA1503" i="13"/>
  <c r="AA977" i="13"/>
  <c r="AA1418" i="13"/>
  <c r="AA1233" i="13"/>
  <c r="AA2035" i="13"/>
  <c r="AA1496" i="13"/>
  <c r="AA3144" i="13"/>
  <c r="AA2276" i="13"/>
  <c r="AA1715" i="13"/>
  <c r="AA3126" i="13"/>
  <c r="AA1728" i="13"/>
  <c r="AA962" i="13"/>
  <c r="AA1933" i="13"/>
  <c r="AA1584" i="13"/>
  <c r="J11" i="13" l="1"/>
  <c r="J13" i="13"/>
  <c r="K7" i="13"/>
  <c r="J7" i="13"/>
  <c r="J14" i="13"/>
  <c r="K11" i="13"/>
  <c r="K5" i="13"/>
  <c r="K12" i="13"/>
  <c r="K3" i="13"/>
  <c r="K6" i="13"/>
  <c r="J3" i="13"/>
  <c r="J10" i="13"/>
  <c r="J6" i="13"/>
  <c r="K13" i="13"/>
  <c r="J5" i="13"/>
  <c r="K14" i="13"/>
  <c r="K10" i="13"/>
  <c r="J12" i="13"/>
  <c r="K4" i="13"/>
  <c r="J4" i="13"/>
  <c r="K15" i="13"/>
  <c r="J15" i="13"/>
  <c r="J8" i="13"/>
  <c r="K8" i="13"/>
  <c r="K16" i="13"/>
  <c r="J9" i="13"/>
  <c r="K9" i="13"/>
  <c r="J16" i="13"/>
  <c r="G9" i="13"/>
  <c r="G12" i="13"/>
  <c r="H6" i="13"/>
  <c r="G13" i="13"/>
  <c r="H8" i="13"/>
  <c r="H14" i="13"/>
  <c r="H12" i="13"/>
  <c r="I12" i="13"/>
  <c r="H5" i="13"/>
  <c r="G5" i="13"/>
  <c r="I5" i="13"/>
  <c r="H11" i="13"/>
  <c r="G11" i="13"/>
  <c r="I11" i="13"/>
  <c r="G16" i="13"/>
  <c r="H16" i="13"/>
  <c r="I16" i="13"/>
  <c r="H10" i="13"/>
  <c r="G10" i="13"/>
  <c r="I10" i="13"/>
  <c r="H3" i="13"/>
  <c r="G3" i="13"/>
  <c r="I3" i="13"/>
  <c r="H13" i="13"/>
  <c r="I13" i="13"/>
  <c r="G6" i="13"/>
  <c r="G7" i="13"/>
  <c r="G8" i="13"/>
  <c r="G15" i="13"/>
  <c r="G14" i="13"/>
  <c r="G4" i="13"/>
  <c r="H9" i="13"/>
  <c r="H4" i="13"/>
  <c r="I4" i="13"/>
  <c r="H7" i="13"/>
  <c r="I7" i="13"/>
  <c r="H15" i="13"/>
  <c r="I15" i="13"/>
  <c r="I6" i="13"/>
  <c r="I9" i="13"/>
  <c r="I14" i="13"/>
  <c r="I8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<sst xmlns="http://schemas.openxmlformats.org/spreadsheetml/2006/main" count="334" uniqueCount="146">
  <si>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</si>
  <si>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</si>
  <si>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</si>
  <si>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</si>
  <si>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</si>
  <si>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</si>
  <si>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</si>
  <si>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</si>
  <si>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</si>
  <si>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</si>
  <si>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</si>
  <si>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</si>
  <si>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</si>
  <si>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</si>
  <si>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</si>
  <si>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</si>
  <si>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</si>
  <si>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</si>
  <si>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</si>
  <si>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</si>
  <si>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</si>
  <si>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</si>
  <si>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</si>
  <si>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</si>
  <si>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</si>
  <si>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</si>
  <si>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</si>
  <si>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</si>
  <si>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</si>
  <si>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</si>
  <si>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</si>
  <si>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</si>
  <si>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</si>
  <si>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</si>
  <si>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</si>
  <si>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</si>
  <si>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</si>
  <si>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</si>
  <si>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</si>
  <si>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</si>
  <si>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</si>
  <si>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</si>
  <si>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</si>
  <si>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</si>
  <si>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</si>
  <si>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</si>
  <si>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</si>
  <si>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</si>
  <si>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</si>
  <si>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</si>
  <si>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</si>
  <si>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</si>
  <si>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</si>
  <si>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</si>
  <si>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</si>
  <si>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</si>
  <si>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</si>
  <si>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</si>
  <si>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</si>
  <si>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</si>
  <si>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</si>
  <si>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</si>
  <si>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</si>
  <si>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</si>
  <si>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</si>
  <si>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</si>
  <si>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</si>
  <si>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</si>
  <si>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</si>
  <si>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</si>
  <si>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</si>
  <si>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</si>
  <si>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</si>
  <si>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</si>
  <si>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</si>
  <si>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</si>
  <si>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</si>
  <si>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</si>
  <si>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</si>
  <si>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</si>
  <si>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</si>
  <si>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</si>
  <si>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</si>
  <si>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</si>
  <si>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</si>
  <si>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</si>
  <si>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</si>
  <si>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</si>
  <si>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</si>
  <si>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</si>
  <si>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</si>
  <si>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</si>
  <si>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</si>
  <si>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</si>
  <si>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</si>
  <si>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</si>
  <si>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</si>
  <si>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</si>
  <si>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</si>
  <si>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</si>
  <si>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</si>
  <si>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</si>
  <si>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</si>
  <si>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</si>
  <si>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</si>
  <si>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</si>
  <si>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</si>
  <si>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</si>
  <si>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</si>
  <si>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</si>
  <si>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</si>
  <si>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</si>
  <si>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</si>
  <si>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</si>
  <si>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</si>
  <si>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</si>
  <si>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IMM</t>
  </si>
  <si>
    <t>tenor</t>
  </si>
  <si>
    <t>fix days</t>
  </si>
  <si>
    <t>calendar</t>
  </si>
  <si>
    <t>bdc</t>
  </si>
  <si>
    <t>eom</t>
  </si>
  <si>
    <t>dc</t>
  </si>
  <si>
    <t>SM</t>
  </si>
  <si>
    <t>Instruments Selected</t>
  </si>
  <si>
    <t>SN</t>
  </si>
  <si>
    <t>SW</t>
  </si>
  <si>
    <t>2W</t>
  </si>
  <si>
    <t>3W</t>
  </si>
  <si>
    <t>Following</t>
  </si>
  <si>
    <t>Length of the curve</t>
  </si>
  <si>
    <t>Futures Type</t>
  </si>
  <si>
    <t>Futures Code</t>
  </si>
  <si>
    <t>Futures Date</t>
  </si>
  <si>
    <t>Settl Days</t>
  </si>
  <si>
    <t>Fwd Start</t>
  </si>
  <si>
    <t>0D</t>
  </si>
  <si>
    <t xml:space="preserve"> </t>
  </si>
  <si>
    <t>SEK</t>
  </si>
  <si>
    <t>Sweden</t>
  </si>
  <si>
    <t>ibor</t>
  </si>
  <si>
    <t>Actual/360</t>
  </si>
  <si>
    <t>AB</t>
  </si>
  <si>
    <t>3S</t>
  </si>
  <si>
    <t>Annual</t>
  </si>
  <si>
    <t>IMM Mkt 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</si>
</sst>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_-* #,##0.00_-;\-* #,##0.00_-;_-* &quot;-&quot;??_-;_-@_-"/>
    <numFmt numFmtId="165" formatCode="ddd\,\ d\-mmm\-yyyy"/>
    <numFmt numFmtId="166" formatCode="0.0000%"/>
    <numFmt numFmtId="167" formatCode="0.0000"/>
    <numFmt numFmtId="168" formatCode="0.000000000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ddd\,\ dd\-mmm\-yyyy"/>
    <numFmt numFmtId="178" formatCode="[$-F800]dddd\,\ mmmm\ dd\,\ yyyy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9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4" fontId="7" fillId="0" borderId="0"/>
    <xf numFmtId="175" fontId="8" fillId="9" borderId="0">
      <alignment horizontal="center" vertical="center"/>
    </xf>
    <xf numFmtId="176" fontId="6" fillId="0" borderId="0" applyFont="0" applyFill="0" applyBorder="0" applyAlignment="0" applyProtection="0"/>
    <xf numFmtId="176" fontId="6" fillId="0" borderId="0" applyFont="0" applyFill="0" applyBorder="0" applyAlignment="0" applyProtection="0"/>
    <xf numFmtId="0" fontId="5" fillId="0" borderId="0"/>
    <xf numFmtId="0" fontId="9" fillId="0" borderId="0"/>
    <xf numFmtId="0" fontId="10" fillId="0" borderId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8" fillId="0" borderId="0" applyFont="0" applyFill="0" applyBorder="0" applyAlignment="0" applyProtection="0"/>
  </cellStyleXfs>
  <cellXfs count="265">
    <xf numFmtId="0" fontId="0" fillId="0" borderId="0" xfId="0"/>
    <xf numFmtId="0" fontId="12" fillId="0" borderId="0" xfId="1" applyFont="1"/>
    <xf numFmtId="0" fontId="11" fillId="3" borderId="23" xfId="1" applyFont="1" applyFill="1" applyBorder="1" applyAlignment="1">
      <alignment horizontal="center" vertical="center" wrapText="1"/>
    </xf>
    <xf numFmtId="0" fontId="11" fillId="3" borderId="22" xfId="1" applyFont="1" applyFill="1" applyBorder="1" applyAlignment="1">
      <alignment horizontal="center" vertical="center" wrapText="1"/>
    </xf>
    <xf numFmtId="0" fontId="11" fillId="3" borderId="21" xfId="1" applyFont="1" applyFill="1" applyBorder="1" applyAlignment="1">
      <alignment horizontal="center" vertical="center" wrapText="1"/>
    </xf>
    <xf numFmtId="168" fontId="12" fillId="0" borderId="0" xfId="1" applyNumberFormat="1" applyFont="1"/>
    <xf numFmtId="0" fontId="11" fillId="5" borderId="20" xfId="1" applyFont="1" applyFill="1" applyBorder="1" applyAlignment="1">
      <alignment horizontal="right"/>
    </xf>
    <xf numFmtId="3" fontId="12" fillId="6" borderId="19" xfId="1" applyNumberFormat="1" applyFont="1" applyFill="1" applyBorder="1" applyAlignment="1">
      <alignment horizontal="center"/>
    </xf>
    <xf numFmtId="0" fontId="12" fillId="2" borderId="16" xfId="1" applyFont="1" applyFill="1" applyBorder="1" applyAlignment="1"/>
    <xf numFmtId="166" fontId="12" fillId="2" borderId="0" xfId="1" applyNumberFormat="1" applyFont="1" applyFill="1" applyBorder="1" applyAlignment="1"/>
    <xf numFmtId="10" fontId="12" fillId="0" borderId="0" xfId="1" applyNumberFormat="1" applyFont="1"/>
    <xf numFmtId="0" fontId="11" fillId="5" borderId="18" xfId="1" applyFont="1" applyFill="1" applyBorder="1" applyAlignment="1">
      <alignment horizontal="right"/>
    </xf>
    <xf numFmtId="3" fontId="12" fillId="6" borderId="17" xfId="1" applyNumberFormat="1" applyFont="1" applyFill="1" applyBorder="1" applyAlignment="1">
      <alignment horizontal="center"/>
    </xf>
    <xf numFmtId="0" fontId="12" fillId="6" borderId="17" xfId="1" applyFont="1" applyFill="1" applyBorder="1" applyAlignment="1">
      <alignment horizontal="center"/>
    </xf>
    <xf numFmtId="14" fontId="12" fillId="0" borderId="0" xfId="1" applyNumberFormat="1" applyFont="1"/>
    <xf numFmtId="0" fontId="12" fillId="2" borderId="14" xfId="1" applyFont="1" applyFill="1" applyBorder="1" applyAlignment="1"/>
    <xf numFmtId="166" fontId="12" fillId="2" borderId="13" xfId="1" applyNumberFormat="1" applyFont="1" applyFill="1" applyBorder="1" applyAlignment="1"/>
    <xf numFmtId="0" fontId="12" fillId="0" borderId="0" xfId="1" applyFont="1" applyAlignment="1">
      <alignment horizontal="left"/>
    </xf>
    <xf numFmtId="177" fontId="12" fillId="2" borderId="0" xfId="1" applyNumberFormat="1" applyFont="1" applyFill="1" applyBorder="1" applyAlignment="1"/>
    <xf numFmtId="177" fontId="12" fillId="2" borderId="15" xfId="1" applyNumberFormat="1" applyFont="1" applyFill="1" applyBorder="1" applyAlignment="1"/>
    <xf numFmtId="177" fontId="12" fillId="2" borderId="13" xfId="1" applyNumberFormat="1" applyFont="1" applyFill="1" applyBorder="1" applyAlignment="1"/>
    <xf numFmtId="177" fontId="12" fillId="2" borderId="12" xfId="1" applyNumberFormat="1" applyFont="1" applyFill="1" applyBorder="1" applyAlignment="1"/>
    <xf numFmtId="177" fontId="12" fillId="0" borderId="0" xfId="1" applyNumberFormat="1" applyFont="1" applyAlignment="1">
      <alignment horizontal="left"/>
    </xf>
    <xf numFmtId="0" fontId="12" fillId="2" borderId="0" xfId="1" applyFont="1" applyFill="1" applyBorder="1" applyAlignment="1">
      <alignment horizontal="center"/>
    </xf>
    <xf numFmtId="166" fontId="12" fillId="0" borderId="0" xfId="1" applyNumberFormat="1" applyFont="1"/>
    <xf numFmtId="0" fontId="12" fillId="2" borderId="16" xfId="1" applyFont="1" applyFill="1" applyBorder="1"/>
    <xf numFmtId="0" fontId="12" fillId="2" borderId="0" xfId="1" applyFont="1" applyFill="1" applyBorder="1"/>
    <xf numFmtId="0" fontId="12" fillId="0" borderId="0" xfId="1" applyFont="1" applyAlignment="1">
      <alignment horizontal="center"/>
    </xf>
    <xf numFmtId="0" fontId="12" fillId="2" borderId="15" xfId="1" applyFont="1" applyFill="1" applyBorder="1"/>
    <xf numFmtId="0" fontId="14" fillId="0" borderId="0" xfId="1" applyFont="1"/>
    <xf numFmtId="0" fontId="12" fillId="2" borderId="16" xfId="1" applyFont="1" applyFill="1" applyBorder="1" applyAlignment="1">
      <alignment horizontal="center"/>
    </xf>
    <xf numFmtId="0" fontId="11" fillId="2" borderId="9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/>
    </xf>
    <xf numFmtId="0" fontId="12" fillId="4" borderId="10" xfId="1" applyNumberFormat="1" applyFont="1" applyFill="1" applyBorder="1" applyAlignment="1" applyProtection="1">
      <alignment horizontal="center" vertical="center"/>
    </xf>
    <xf numFmtId="0" fontId="13" fillId="4" borderId="9" xfId="1" applyNumberFormat="1" applyFont="1" applyFill="1" applyBorder="1" applyAlignment="1" applyProtection="1">
      <alignment horizontal="left" vertical="center"/>
    </xf>
    <xf numFmtId="0" fontId="12" fillId="2" borderId="3" xfId="1" applyFont="1" applyFill="1" applyBorder="1" applyAlignment="1">
      <alignment horizontal="left"/>
    </xf>
    <xf numFmtId="173" fontId="12" fillId="8" borderId="26" xfId="1" applyNumberFormat="1" applyFont="1" applyFill="1" applyBorder="1" applyAlignment="1">
      <alignment horizontal="left"/>
    </xf>
    <xf numFmtId="0" fontId="12" fillId="2" borderId="14" xfId="1" applyFont="1" applyFill="1" applyBorder="1"/>
    <xf numFmtId="0" fontId="12" fillId="2" borderId="13" xfId="1" applyFont="1" applyFill="1" applyBorder="1"/>
    <xf numFmtId="0" fontId="12" fillId="2" borderId="12" xfId="1" applyFont="1" applyFill="1" applyBorder="1"/>
    <xf numFmtId="0" fontId="16" fillId="2" borderId="0" xfId="1" applyFont="1" applyFill="1" applyBorder="1"/>
    <xf numFmtId="0" fontId="12" fillId="2" borderId="0" xfId="1" applyFont="1" applyFill="1" applyAlignment="1">
      <alignment horizontal="center"/>
    </xf>
    <xf numFmtId="0" fontId="12" fillId="2" borderId="0" xfId="1" applyFont="1" applyFill="1"/>
    <xf numFmtId="0" fontId="14" fillId="0" borderId="0" xfId="1" quotePrefix="1" applyFont="1"/>
    <xf numFmtId="0" fontId="11" fillId="2" borderId="11" xfId="1" applyFont="1" applyFill="1" applyBorder="1" applyAlignment="1">
      <alignment horizontal="center" vertical="center" wrapText="1"/>
    </xf>
    <xf numFmtId="0" fontId="17" fillId="2" borderId="16" xfId="1" applyFont="1" applyFill="1" applyBorder="1"/>
    <xf numFmtId="0" fontId="12" fillId="2" borderId="26" xfId="1" applyFont="1" applyFill="1" applyBorder="1" applyAlignment="1">
      <alignment horizontal="center"/>
    </xf>
    <xf numFmtId="0" fontId="12" fillId="2" borderId="3" xfId="2" applyNumberFormat="1" applyFont="1" applyFill="1" applyBorder="1" applyAlignment="1">
      <alignment horizontal="left"/>
    </xf>
    <xf numFmtId="172" fontId="14" fillId="0" borderId="0" xfId="1" applyNumberFormat="1" applyFont="1"/>
    <xf numFmtId="0" fontId="17" fillId="2" borderId="14" xfId="1" applyFont="1" applyFill="1" applyBorder="1"/>
    <xf numFmtId="0" fontId="17" fillId="2" borderId="13" xfId="1" applyFont="1" applyFill="1" applyBorder="1"/>
    <xf numFmtId="0" fontId="16" fillId="2" borderId="15" xfId="1" applyFont="1" applyFill="1" applyBorder="1"/>
    <xf numFmtId="0" fontId="15" fillId="2" borderId="9" xfId="1" applyFont="1" applyFill="1" applyBorder="1" applyAlignment="1">
      <alignment horizontal="left" vertical="center"/>
    </xf>
    <xf numFmtId="0" fontId="12" fillId="4" borderId="9" xfId="1" applyNumberFormat="1" applyFont="1" applyFill="1" applyBorder="1" applyAlignment="1" applyProtection="1">
      <alignment horizontal="center" vertical="center"/>
    </xf>
    <xf numFmtId="0" fontId="12" fillId="4" borderId="9" xfId="1" applyNumberFormat="1" applyFont="1" applyFill="1" applyBorder="1" applyAlignment="1" applyProtection="1">
      <alignment horizontal="left" vertical="center"/>
    </xf>
    <xf numFmtId="0" fontId="12" fillId="2" borderId="9" xfId="1" applyFont="1" applyFill="1" applyBorder="1"/>
    <xf numFmtId="172" fontId="13" fillId="4" borderId="9" xfId="1" applyNumberFormat="1" applyFont="1" applyFill="1" applyBorder="1" applyAlignment="1" applyProtection="1">
      <alignment horizontal="left"/>
    </xf>
    <xf numFmtId="0" fontId="12" fillId="2" borderId="26" xfId="1" applyNumberFormat="1" applyFont="1" applyFill="1" applyBorder="1" applyAlignment="1">
      <alignment horizontal="left"/>
    </xf>
    <xf numFmtId="0" fontId="12" fillId="0" borderId="26" xfId="2" applyNumberFormat="1" applyFont="1" applyFill="1" applyBorder="1" applyAlignment="1">
      <alignment horizontal="center"/>
    </xf>
    <xf numFmtId="0" fontId="11" fillId="3" borderId="25" xfId="1" applyFont="1" applyFill="1" applyBorder="1" applyAlignment="1">
      <alignment horizontal="center" vertical="center" wrapText="1"/>
    </xf>
    <xf numFmtId="0" fontId="0" fillId="0" borderId="0" xfId="0"/>
    <xf numFmtId="0" fontId="12" fillId="0" borderId="0" xfId="1" applyFont="1"/>
    <xf numFmtId="0" fontId="12" fillId="0" borderId="0" xfId="1" applyFont="1" applyAlignment="1">
      <alignment horizontal="left"/>
    </xf>
    <xf numFmtId="165" fontId="12" fillId="2" borderId="1" xfId="1" applyNumberFormat="1" applyFont="1" applyFill="1" applyBorder="1" applyAlignment="1">
      <alignment horizontal="right"/>
    </xf>
    <xf numFmtId="165" fontId="12" fillId="2" borderId="2" xfId="1" applyNumberFormat="1" applyFont="1" applyFill="1" applyBorder="1" applyAlignment="1">
      <alignment horizontal="right"/>
    </xf>
    <xf numFmtId="0" fontId="12" fillId="2" borderId="2" xfId="1" applyFont="1" applyFill="1" applyBorder="1" applyAlignment="1">
      <alignment horizontal="center"/>
    </xf>
    <xf numFmtId="166" fontId="12" fillId="2" borderId="2" xfId="2" applyNumberFormat="1" applyFont="1" applyFill="1" applyBorder="1" applyAlignment="1">
      <alignment horizontal="right"/>
    </xf>
    <xf numFmtId="0" fontId="12" fillId="2" borderId="2" xfId="1" applyFont="1" applyFill="1" applyBorder="1" applyAlignment="1">
      <alignment horizontal="left"/>
    </xf>
    <xf numFmtId="165" fontId="12" fillId="2" borderId="4" xfId="1" applyNumberFormat="1" applyFont="1" applyFill="1" applyBorder="1" applyAlignment="1">
      <alignment horizontal="right"/>
    </xf>
    <xf numFmtId="165" fontId="12" fillId="2" borderId="0" xfId="1" applyNumberFormat="1" applyFont="1" applyFill="1" applyBorder="1" applyAlignment="1">
      <alignment horizontal="right"/>
    </xf>
    <xf numFmtId="0" fontId="12" fillId="2" borderId="0" xfId="1" applyFont="1" applyFill="1" applyBorder="1" applyAlignment="1">
      <alignment horizontal="center"/>
    </xf>
    <xf numFmtId="166" fontId="12" fillId="2" borderId="0" xfId="2" applyNumberFormat="1" applyFont="1" applyFill="1" applyBorder="1" applyAlignment="1">
      <alignment horizontal="right"/>
    </xf>
    <xf numFmtId="0" fontId="12" fillId="2" borderId="0" xfId="1" applyFont="1" applyFill="1" applyBorder="1" applyAlignment="1">
      <alignment horizontal="left"/>
    </xf>
    <xf numFmtId="165" fontId="12" fillId="2" borderId="6" xfId="1" applyNumberFormat="1" applyFont="1" applyFill="1" applyBorder="1" applyAlignment="1">
      <alignment horizontal="right"/>
    </xf>
    <xf numFmtId="165" fontId="12" fillId="2" borderId="7" xfId="1" applyNumberFormat="1" applyFont="1" applyFill="1" applyBorder="1" applyAlignment="1">
      <alignment horizontal="right"/>
    </xf>
    <xf numFmtId="0" fontId="12" fillId="2" borderId="7" xfId="1" applyFont="1" applyFill="1" applyBorder="1" applyAlignment="1">
      <alignment horizontal="center"/>
    </xf>
    <xf numFmtId="166" fontId="12" fillId="2" borderId="7" xfId="2" applyNumberFormat="1" applyFont="1" applyFill="1" applyBorder="1" applyAlignment="1">
      <alignment horizontal="right"/>
    </xf>
    <xf numFmtId="0" fontId="12" fillId="2" borderId="7" xfId="1" applyFont="1" applyFill="1" applyBorder="1" applyAlignment="1">
      <alignment horizontal="left"/>
    </xf>
    <xf numFmtId="167" fontId="12" fillId="2" borderId="0" xfId="1" applyNumberFormat="1" applyFont="1" applyFill="1" applyBorder="1" applyAlignment="1">
      <alignment horizontal="right"/>
    </xf>
    <xf numFmtId="0" fontId="11" fillId="3" borderId="9" xfId="1" applyFont="1" applyFill="1" applyBorder="1" applyAlignment="1">
      <alignment horizontal="center" vertical="center" wrapText="1"/>
    </xf>
    <xf numFmtId="0" fontId="21" fillId="0" borderId="0" xfId="0" applyFont="1"/>
    <xf numFmtId="0" fontId="11" fillId="12" borderId="34" xfId="1" applyFont="1" applyFill="1" applyBorder="1" applyAlignment="1">
      <alignment horizontal="center"/>
    </xf>
    <xf numFmtId="0" fontId="12" fillId="0" borderId="0" xfId="1" applyFont="1" applyAlignment="1">
      <alignment horizontal="right"/>
    </xf>
    <xf numFmtId="0" fontId="12" fillId="0" borderId="34" xfId="1" applyFont="1" applyBorder="1" applyAlignment="1">
      <alignment horizontal="center"/>
    </xf>
    <xf numFmtId="0" fontId="11" fillId="12" borderId="30" xfId="1" applyFont="1" applyFill="1" applyBorder="1" applyAlignment="1">
      <alignment horizontal="centerContinuous"/>
    </xf>
    <xf numFmtId="0" fontId="11" fillId="12" borderId="31" xfId="1" applyFont="1" applyFill="1" applyBorder="1" applyAlignment="1">
      <alignment horizontal="centerContinuous"/>
    </xf>
    <xf numFmtId="0" fontId="11" fillId="12" borderId="29" xfId="1" applyFont="1" applyFill="1" applyBorder="1" applyAlignment="1">
      <alignment horizontal="centerContinuous"/>
    </xf>
    <xf numFmtId="0" fontId="11" fillId="12" borderId="25" xfId="1" applyFont="1" applyFill="1" applyBorder="1" applyAlignment="1">
      <alignment horizontal="centerContinuous"/>
    </xf>
    <xf numFmtId="0" fontId="11" fillId="12" borderId="35" xfId="1" applyFont="1" applyFill="1" applyBorder="1" applyAlignment="1">
      <alignment horizontal="centerContinuous"/>
    </xf>
    <xf numFmtId="0" fontId="11" fillId="13" borderId="35" xfId="1" applyFont="1" applyFill="1" applyBorder="1" applyAlignment="1">
      <alignment horizontal="center"/>
    </xf>
    <xf numFmtId="0" fontId="12" fillId="11" borderId="27" xfId="1" applyFont="1" applyFill="1" applyBorder="1"/>
    <xf numFmtId="178" fontId="12" fillId="0" borderId="0" xfId="1" applyNumberFormat="1" applyFont="1"/>
    <xf numFmtId="0" fontId="11" fillId="13" borderId="0" xfId="1" applyFont="1" applyFill="1" applyBorder="1" applyAlignment="1">
      <alignment horizontal="center" vertical="center"/>
    </xf>
    <xf numFmtId="0" fontId="11" fillId="12" borderId="30" xfId="1" applyFont="1" applyFill="1" applyBorder="1" applyAlignment="1">
      <alignment horizontal="center"/>
    </xf>
    <xf numFmtId="0" fontId="11" fillId="12" borderId="31" xfId="1" applyFont="1" applyFill="1" applyBorder="1" applyAlignment="1">
      <alignment horizontal="center"/>
    </xf>
    <xf numFmtId="0" fontId="12" fillId="0" borderId="0" xfId="1" applyFont="1" applyAlignment="1"/>
    <xf numFmtId="0" fontId="12" fillId="0" borderId="7" xfId="1" applyFont="1" applyBorder="1" applyAlignment="1">
      <alignment horizontal="center" vertical="center"/>
    </xf>
    <xf numFmtId="0" fontId="11" fillId="12" borderId="25" xfId="1" applyFont="1" applyFill="1" applyBorder="1" applyAlignment="1">
      <alignment horizontal="center"/>
    </xf>
    <xf numFmtId="0" fontId="11" fillId="12" borderId="32" xfId="1" applyFont="1" applyFill="1" applyBorder="1" applyAlignment="1">
      <alignment horizontal="center"/>
    </xf>
    <xf numFmtId="0" fontId="11" fillId="12" borderId="32" xfId="1" applyFont="1" applyFill="1" applyBorder="1" applyAlignment="1">
      <alignment horizontal="center" vertical="center"/>
    </xf>
    <xf numFmtId="0" fontId="11" fillId="12" borderId="24" xfId="1" applyFont="1" applyFill="1" applyBorder="1" applyAlignment="1">
      <alignment horizontal="center" vertical="center"/>
    </xf>
    <xf numFmtId="177" fontId="12" fillId="0" borderId="0" xfId="1" applyNumberFormat="1" applyFont="1" applyBorder="1"/>
    <xf numFmtId="166" fontId="12" fillId="0" borderId="15" xfId="2" quotePrefix="1" applyNumberFormat="1" applyFont="1" applyBorder="1" applyAlignment="1"/>
    <xf numFmtId="0" fontId="12" fillId="0" borderId="16" xfId="1" applyFont="1" applyBorder="1"/>
    <xf numFmtId="177" fontId="12" fillId="0" borderId="0" xfId="1" applyNumberFormat="1" applyFont="1" applyBorder="1" applyAlignment="1"/>
    <xf numFmtId="166" fontId="12" fillId="0" borderId="0" xfId="2" quotePrefix="1" applyNumberFormat="1" applyFont="1" applyBorder="1" applyAlignment="1"/>
    <xf numFmtId="166" fontId="12" fillId="0" borderId="13" xfId="2" quotePrefix="1" applyNumberFormat="1" applyFont="1" applyBorder="1" applyAlignment="1"/>
    <xf numFmtId="166" fontId="12" fillId="0" borderId="12" xfId="2" quotePrefix="1" applyNumberFormat="1" applyFont="1" applyBorder="1" applyAlignment="1"/>
    <xf numFmtId="177" fontId="12" fillId="0" borderId="13" xfId="1" applyNumberFormat="1" applyFont="1" applyBorder="1"/>
    <xf numFmtId="0" fontId="11" fillId="12" borderId="29" xfId="1" applyFont="1" applyFill="1" applyBorder="1" applyAlignment="1">
      <alignment horizontal="center"/>
    </xf>
    <xf numFmtId="0" fontId="12" fillId="0" borderId="0" xfId="1" applyFont="1" applyBorder="1"/>
    <xf numFmtId="166" fontId="12" fillId="0" borderId="0" xfId="2" applyNumberFormat="1" applyFont="1"/>
    <xf numFmtId="166" fontId="12" fillId="0" borderId="0" xfId="1" applyNumberFormat="1" applyFont="1" applyBorder="1"/>
    <xf numFmtId="166" fontId="22" fillId="0" borderId="16" xfId="2" applyNumberFormat="1" applyFont="1" applyBorder="1"/>
    <xf numFmtId="0" fontId="12" fillId="0" borderId="14" xfId="1" applyFont="1" applyBorder="1"/>
    <xf numFmtId="177" fontId="12" fillId="0" borderId="13" xfId="1" applyNumberFormat="1" applyFont="1" applyBorder="1" applyAlignment="1"/>
    <xf numFmtId="0" fontId="11" fillId="12" borderId="32" xfId="1" applyFont="1" applyFill="1" applyBorder="1" applyAlignment="1">
      <alignment horizontal="centerContinuous"/>
    </xf>
    <xf numFmtId="0" fontId="11" fillId="13" borderId="38" xfId="1" applyFont="1" applyFill="1" applyBorder="1" applyAlignment="1">
      <alignment horizontal="center"/>
    </xf>
    <xf numFmtId="0" fontId="11" fillId="13" borderId="39" xfId="1" applyFont="1" applyFill="1" applyBorder="1" applyAlignment="1">
      <alignment horizontal="center"/>
    </xf>
    <xf numFmtId="0" fontId="11" fillId="13" borderId="40" xfId="1" applyFont="1" applyFill="1" applyBorder="1" applyAlignment="1">
      <alignment horizontal="center"/>
    </xf>
    <xf numFmtId="0" fontId="12" fillId="14" borderId="16" xfId="1" applyFont="1" applyFill="1" applyBorder="1" applyAlignment="1">
      <alignment vertical="center"/>
    </xf>
    <xf numFmtId="0" fontId="12" fillId="14" borderId="36" xfId="1" applyFont="1" applyFill="1" applyBorder="1"/>
    <xf numFmtId="177" fontId="12" fillId="14" borderId="27" xfId="1" applyNumberFormat="1" applyFont="1" applyFill="1" applyBorder="1"/>
    <xf numFmtId="0" fontId="21" fillId="0" borderId="16" xfId="0" applyFont="1" applyBorder="1"/>
    <xf numFmtId="0" fontId="11" fillId="12" borderId="31" xfId="1" applyFont="1" applyFill="1" applyBorder="1" applyAlignment="1">
      <alignment horizontal="center" vertical="center"/>
    </xf>
    <xf numFmtId="166" fontId="12" fillId="0" borderId="15" xfId="1" applyNumberFormat="1" applyFont="1" applyBorder="1" applyAlignment="1">
      <alignment horizontal="right"/>
    </xf>
    <xf numFmtId="0" fontId="21" fillId="14" borderId="0" xfId="0" applyFont="1" applyFill="1"/>
    <xf numFmtId="0" fontId="12" fillId="14" borderId="30" xfId="1" applyFont="1" applyFill="1" applyBorder="1"/>
    <xf numFmtId="0" fontId="12" fillId="14" borderId="38" xfId="1" applyFont="1" applyFill="1" applyBorder="1"/>
    <xf numFmtId="177" fontId="12" fillId="14" borderId="39" xfId="1" applyNumberFormat="1" applyFont="1" applyFill="1" applyBorder="1"/>
    <xf numFmtId="0" fontId="12" fillId="11" borderId="39" xfId="1" applyFont="1" applyFill="1" applyBorder="1"/>
    <xf numFmtId="0" fontId="12" fillId="0" borderId="32" xfId="1" applyFont="1" applyBorder="1"/>
    <xf numFmtId="0" fontId="12" fillId="0" borderId="31" xfId="1" applyFont="1" applyBorder="1" applyAlignment="1">
      <alignment horizontal="right"/>
    </xf>
    <xf numFmtId="0" fontId="12" fillId="14" borderId="16" xfId="1" applyFont="1" applyFill="1" applyBorder="1"/>
    <xf numFmtId="0" fontId="12" fillId="0" borderId="31" xfId="1" applyFont="1" applyBorder="1"/>
    <xf numFmtId="0" fontId="21" fillId="0" borderId="31" xfId="0" applyFont="1" applyBorder="1"/>
    <xf numFmtId="0" fontId="12" fillId="14" borderId="37" xfId="1" applyNumberFormat="1" applyFont="1" applyFill="1" applyBorder="1"/>
    <xf numFmtId="9" fontId="12" fillId="14" borderId="36" xfId="1" applyNumberFormat="1" applyFont="1" applyFill="1" applyBorder="1"/>
    <xf numFmtId="10" fontId="12" fillId="14" borderId="27" xfId="1" applyNumberFormat="1" applyFont="1" applyFill="1" applyBorder="1"/>
    <xf numFmtId="10" fontId="12" fillId="14" borderId="37" xfId="1" applyNumberFormat="1" applyFont="1" applyFill="1" applyBorder="1"/>
    <xf numFmtId="0" fontId="12" fillId="14" borderId="40" xfId="1" applyFont="1" applyFill="1" applyBorder="1"/>
    <xf numFmtId="9" fontId="12" fillId="14" borderId="38" xfId="1" applyNumberFormat="1" applyFont="1" applyFill="1" applyBorder="1"/>
    <xf numFmtId="10" fontId="12" fillId="14" borderId="39" xfId="1" applyNumberFormat="1" applyFont="1" applyFill="1" applyBorder="1"/>
    <xf numFmtId="10" fontId="12" fillId="14" borderId="40" xfId="1" applyNumberFormat="1" applyFont="1" applyFill="1" applyBorder="1"/>
    <xf numFmtId="10" fontId="12" fillId="0" borderId="0" xfId="1" applyNumberFormat="1" applyFont="1"/>
    <xf numFmtId="167" fontId="12" fillId="2" borderId="7" xfId="1" applyNumberFormat="1" applyFont="1" applyFill="1" applyBorder="1" applyAlignment="1">
      <alignment horizontal="right"/>
    </xf>
    <xf numFmtId="0" fontId="12" fillId="2" borderId="5" xfId="1" applyFont="1" applyFill="1" applyBorder="1" applyAlignment="1">
      <alignment horizontal="left"/>
    </xf>
    <xf numFmtId="0" fontId="12" fillId="2" borderId="8" xfId="1" applyFont="1" applyFill="1" applyBorder="1" applyAlignment="1">
      <alignment horizontal="left"/>
    </xf>
    <xf numFmtId="0" fontId="12" fillId="2" borderId="3" xfId="1" applyFont="1" applyFill="1" applyBorder="1" applyAlignment="1">
      <alignment horizontal="center"/>
    </xf>
    <xf numFmtId="0" fontId="12" fillId="0" borderId="31" xfId="1" applyFont="1" applyBorder="1" applyAlignment="1">
      <alignment horizontal="left"/>
    </xf>
    <xf numFmtId="167" fontId="12" fillId="0" borderId="0" xfId="1" applyNumberFormat="1" applyFont="1" applyBorder="1"/>
    <xf numFmtId="167" fontId="12" fillId="0" borderId="15" xfId="1" applyNumberFormat="1" applyFont="1" applyBorder="1"/>
    <xf numFmtId="167" fontId="22" fillId="0" borderId="0" xfId="2" applyNumberFormat="1" applyFont="1" applyBorder="1"/>
    <xf numFmtId="0" fontId="12" fillId="0" borderId="34" xfId="1" applyFont="1" applyBorder="1" applyAlignment="1">
      <alignment horizontal="center"/>
    </xf>
    <xf numFmtId="0" fontId="11" fillId="12" borderId="35" xfId="1" applyFont="1" applyFill="1" applyBorder="1" applyAlignment="1">
      <alignment horizontal="center" wrapText="1"/>
    </xf>
    <xf numFmtId="15" fontId="12" fillId="2" borderId="3" xfId="1" applyNumberFormat="1" applyFont="1" applyFill="1" applyBorder="1" applyAlignment="1">
      <alignment horizontal="center"/>
    </xf>
    <xf numFmtId="0" fontId="12" fillId="2" borderId="26" xfId="1" applyNumberFormat="1" applyFont="1" applyFill="1" applyBorder="1" applyAlignment="1">
      <alignment horizontal="center"/>
    </xf>
    <xf numFmtId="0" fontId="12" fillId="10" borderId="0" xfId="3" applyFont="1" applyFill="1"/>
    <xf numFmtId="0" fontId="12" fillId="10" borderId="33" xfId="3" applyFont="1" applyFill="1" applyBorder="1"/>
    <xf numFmtId="0" fontId="12" fillId="2" borderId="16" xfId="3" applyFont="1" applyFill="1" applyBorder="1"/>
    <xf numFmtId="0" fontId="11" fillId="2" borderId="0" xfId="3" applyFont="1" applyFill="1" applyBorder="1"/>
    <xf numFmtId="0" fontId="12" fillId="2" borderId="0" xfId="3" applyFont="1" applyFill="1" applyBorder="1"/>
    <xf numFmtId="0" fontId="12" fillId="5" borderId="28" xfId="3" applyFont="1" applyFill="1" applyBorder="1"/>
    <xf numFmtId="0" fontId="12" fillId="2" borderId="28" xfId="1" applyFont="1" applyFill="1" applyBorder="1" applyAlignment="1">
      <alignment horizontal="center"/>
    </xf>
    <xf numFmtId="0" fontId="12" fillId="5" borderId="9" xfId="1" applyNumberFormat="1" applyFont="1" applyFill="1" applyBorder="1"/>
    <xf numFmtId="171" fontId="12" fillId="4" borderId="10" xfId="1" applyNumberFormat="1" applyFont="1" applyFill="1" applyBorder="1" applyAlignment="1" applyProtection="1">
      <alignment horizontal="center"/>
    </xf>
    <xf numFmtId="15" fontId="12" fillId="2" borderId="15" xfId="1" applyNumberFormat="1" applyFont="1" applyFill="1" applyBorder="1"/>
    <xf numFmtId="0" fontId="12" fillId="5" borderId="27" xfId="3" applyFont="1" applyFill="1" applyBorder="1"/>
    <xf numFmtId="0" fontId="12" fillId="2" borderId="4" xfId="1" applyFont="1" applyFill="1" applyBorder="1" applyAlignment="1">
      <alignment horizontal="center"/>
    </xf>
    <xf numFmtId="171" fontId="12" fillId="4" borderId="10" xfId="1" quotePrefix="1" applyNumberFormat="1" applyFont="1" applyFill="1" applyBorder="1" applyAlignment="1" applyProtection="1">
      <alignment horizontal="left"/>
    </xf>
    <xf numFmtId="171" fontId="12" fillId="4" borderId="10" xfId="1" quotePrefix="1" applyNumberFormat="1" applyFont="1" applyFill="1" applyBorder="1" applyAlignment="1" applyProtection="1">
      <alignment horizontal="center"/>
    </xf>
    <xf numFmtId="0" fontId="12" fillId="10" borderId="0" xfId="10" applyFont="1" applyFill="1"/>
    <xf numFmtId="0" fontId="12" fillId="5" borderId="27" xfId="1" applyFont="1" applyFill="1" applyBorder="1"/>
    <xf numFmtId="171" fontId="12" fillId="2" borderId="4" xfId="1" applyNumberFormat="1" applyFont="1" applyFill="1" applyBorder="1" applyAlignment="1">
      <alignment horizontal="center"/>
    </xf>
    <xf numFmtId="0" fontId="12" fillId="5" borderId="9" xfId="1" applyFont="1" applyFill="1" applyBorder="1"/>
    <xf numFmtId="0" fontId="12" fillId="5" borderId="26" xfId="1" applyFont="1" applyFill="1" applyBorder="1"/>
    <xf numFmtId="0" fontId="12" fillId="2" borderId="1" xfId="1" applyFont="1" applyFill="1" applyBorder="1" applyAlignment="1">
      <alignment horizontal="center"/>
    </xf>
    <xf numFmtId="169" fontId="12" fillId="2" borderId="0" xfId="3" applyNumberFormat="1" applyFont="1" applyFill="1" applyBorder="1" applyAlignment="1">
      <alignment horizontal="center"/>
    </xf>
    <xf numFmtId="0" fontId="11" fillId="5" borderId="28" xfId="1" applyFont="1" applyFill="1" applyBorder="1" applyAlignment="1">
      <alignment horizontal="right"/>
    </xf>
    <xf numFmtId="170" fontId="12" fillId="4" borderId="6" xfId="1" quotePrefix="1" applyNumberFormat="1" applyFont="1" applyFill="1" applyBorder="1" applyAlignment="1">
      <alignment horizontal="center"/>
    </xf>
    <xf numFmtId="0" fontId="11" fillId="5" borderId="26" xfId="1" applyFont="1" applyFill="1" applyBorder="1" applyAlignment="1">
      <alignment horizontal="right"/>
    </xf>
    <xf numFmtId="1" fontId="13" fillId="4" borderId="1" xfId="1" applyNumberFormat="1" applyFont="1" applyFill="1" applyBorder="1" applyAlignment="1">
      <alignment horizontal="left"/>
    </xf>
    <xf numFmtId="170" fontId="12" fillId="6" borderId="6" xfId="1" applyNumberFormat="1" applyFont="1" applyFill="1" applyBorder="1" applyAlignment="1">
      <alignment horizontal="center"/>
    </xf>
    <xf numFmtId="0" fontId="11" fillId="5" borderId="27" xfId="1" applyFont="1" applyFill="1" applyBorder="1" applyAlignment="1">
      <alignment horizontal="right"/>
    </xf>
    <xf numFmtId="3" fontId="12" fillId="6" borderId="4" xfId="1" applyNumberFormat="1" applyFont="1" applyFill="1" applyBorder="1" applyAlignment="1">
      <alignment horizontal="center"/>
    </xf>
    <xf numFmtId="0" fontId="12" fillId="2" borderId="27" xfId="3" applyFont="1" applyFill="1" applyBorder="1" applyAlignment="1">
      <alignment horizontal="center"/>
    </xf>
    <xf numFmtId="0" fontId="12" fillId="2" borderId="4" xfId="3" applyFont="1" applyFill="1" applyBorder="1" applyAlignment="1">
      <alignment horizontal="center"/>
    </xf>
    <xf numFmtId="11" fontId="12" fillId="6" borderId="4" xfId="1" applyNumberFormat="1" applyFont="1" applyFill="1" applyBorder="1" applyAlignment="1">
      <alignment horizontal="center"/>
    </xf>
    <xf numFmtId="0" fontId="12" fillId="6" borderId="4" xfId="1" applyFont="1" applyFill="1" applyBorder="1" applyAlignment="1">
      <alignment horizontal="center"/>
    </xf>
    <xf numFmtId="0" fontId="12" fillId="6" borderId="1" xfId="1" applyFont="1" applyFill="1" applyBorder="1" applyAlignment="1">
      <alignment horizontal="center"/>
    </xf>
    <xf numFmtId="165" fontId="12" fillId="2" borderId="28" xfId="1" applyNumberFormat="1" applyFont="1" applyFill="1" applyBorder="1" applyAlignment="1">
      <alignment horizontal="right"/>
    </xf>
    <xf numFmtId="168" fontId="12" fillId="2" borderId="6" xfId="1" applyNumberFormat="1" applyFont="1" applyFill="1" applyBorder="1" applyAlignment="1">
      <alignment horizontal="center"/>
    </xf>
    <xf numFmtId="165" fontId="12" fillId="2" borderId="27" xfId="1" applyNumberFormat="1" applyFont="1" applyFill="1" applyBorder="1" applyAlignment="1">
      <alignment horizontal="right"/>
    </xf>
    <xf numFmtId="0" fontId="12" fillId="10" borderId="15" xfId="3" applyFont="1" applyFill="1" applyBorder="1"/>
    <xf numFmtId="0" fontId="12" fillId="2" borderId="4" xfId="1" applyFont="1" applyFill="1" applyBorder="1" applyAlignment="1">
      <alignment horizontal="left"/>
    </xf>
    <xf numFmtId="177" fontId="12" fillId="2" borderId="26" xfId="1" applyNumberFormat="1" applyFont="1" applyFill="1" applyBorder="1" applyAlignment="1">
      <alignment horizontal="right"/>
    </xf>
    <xf numFmtId="177" fontId="12" fillId="2" borderId="7" xfId="1" applyNumberFormat="1" applyFont="1" applyFill="1" applyBorder="1" applyAlignment="1">
      <alignment horizontal="right"/>
    </xf>
    <xf numFmtId="0" fontId="12" fillId="10" borderId="31" xfId="3" applyFont="1" applyFill="1" applyBorder="1"/>
    <xf numFmtId="0" fontId="12" fillId="7" borderId="25" xfId="3" applyFont="1" applyFill="1" applyBorder="1" applyAlignment="1">
      <alignment horizontal="centerContinuous"/>
    </xf>
    <xf numFmtId="0" fontId="12" fillId="7" borderId="32" xfId="3" applyFont="1" applyFill="1" applyBorder="1" applyAlignment="1">
      <alignment horizontal="centerContinuous"/>
    </xf>
    <xf numFmtId="0" fontId="12" fillId="7" borderId="24" xfId="3" applyFont="1" applyFill="1" applyBorder="1" applyAlignment="1">
      <alignment horizontal="centerContinuous"/>
    </xf>
    <xf numFmtId="0" fontId="12" fillId="2" borderId="28" xfId="3" applyFont="1" applyFill="1" applyBorder="1" applyAlignment="1">
      <alignment horizontal="center" vertical="center"/>
    </xf>
    <xf numFmtId="0" fontId="12" fillId="2" borderId="28" xfId="1" applyFont="1" applyFill="1" applyBorder="1" applyAlignment="1">
      <alignment horizontal="left"/>
    </xf>
    <xf numFmtId="173" fontId="12" fillId="8" borderId="28" xfId="1" applyNumberFormat="1" applyFont="1" applyFill="1" applyBorder="1" applyAlignment="1">
      <alignment horizontal="left"/>
    </xf>
    <xf numFmtId="0" fontId="12" fillId="2" borderId="28" xfId="1" applyNumberFormat="1" applyFont="1" applyFill="1" applyBorder="1" applyAlignment="1">
      <alignment horizontal="left"/>
    </xf>
    <xf numFmtId="172" fontId="13" fillId="4" borderId="28" xfId="1" applyNumberFormat="1" applyFont="1" applyFill="1" applyBorder="1" applyAlignment="1" applyProtection="1">
      <alignment horizontal="left"/>
    </xf>
    <xf numFmtId="0" fontId="12" fillId="2" borderId="27" xfId="1" applyFont="1" applyFill="1" applyBorder="1" applyAlignment="1">
      <alignment horizontal="center"/>
    </xf>
    <xf numFmtId="0" fontId="12" fillId="2" borderId="27" xfId="1" applyFont="1" applyFill="1" applyBorder="1" applyAlignment="1">
      <alignment horizontal="left"/>
    </xf>
    <xf numFmtId="173" fontId="12" fillId="8" borderId="27" xfId="1" applyNumberFormat="1" applyFont="1" applyFill="1" applyBorder="1" applyAlignment="1">
      <alignment horizontal="left"/>
    </xf>
    <xf numFmtId="0" fontId="12" fillId="2" borderId="27" xfId="1" applyNumberFormat="1" applyFont="1" applyFill="1" applyBorder="1" applyAlignment="1">
      <alignment horizontal="left"/>
    </xf>
    <xf numFmtId="172" fontId="13" fillId="4" borderId="27" xfId="1" applyNumberFormat="1" applyFont="1" applyFill="1" applyBorder="1" applyAlignment="1" applyProtection="1">
      <alignment horizontal="left"/>
    </xf>
    <xf numFmtId="0" fontId="12" fillId="2" borderId="26" xfId="1" applyFont="1" applyFill="1" applyBorder="1" applyAlignment="1">
      <alignment horizontal="left"/>
    </xf>
    <xf numFmtId="172" fontId="13" fillId="4" borderId="26" xfId="1" applyNumberFormat="1" applyFont="1" applyFill="1" applyBorder="1" applyAlignment="1" applyProtection="1">
      <alignment horizontal="left"/>
    </xf>
    <xf numFmtId="0" fontId="12" fillId="2" borderId="8" xfId="1" applyFont="1" applyFill="1" applyBorder="1" applyAlignment="1">
      <alignment horizontal="center"/>
    </xf>
    <xf numFmtId="15" fontId="12" fillId="2" borderId="8" xfId="1" applyNumberFormat="1" applyFont="1" applyFill="1" applyBorder="1" applyAlignment="1">
      <alignment horizontal="center"/>
    </xf>
    <xf numFmtId="0" fontId="12" fillId="2" borderId="8" xfId="2" applyNumberFormat="1" applyFont="1" applyFill="1" applyBorder="1" applyAlignment="1">
      <alignment horizontal="left"/>
    </xf>
    <xf numFmtId="173" fontId="12" fillId="2" borderId="28" xfId="2" applyNumberFormat="1" applyFont="1" applyFill="1" applyBorder="1" applyAlignment="1">
      <alignment horizontal="center"/>
    </xf>
    <xf numFmtId="172" fontId="13" fillId="4" borderId="6" xfId="1" applyNumberFormat="1" applyFont="1" applyFill="1" applyBorder="1" applyAlignment="1" applyProtection="1">
      <alignment horizontal="left"/>
    </xf>
    <xf numFmtId="0" fontId="12" fillId="2" borderId="5" xfId="1" applyFont="1" applyFill="1" applyBorder="1" applyAlignment="1">
      <alignment horizontal="center"/>
    </xf>
    <xf numFmtId="15" fontId="12" fillId="2" borderId="5" xfId="1" applyNumberFormat="1" applyFont="1" applyFill="1" applyBorder="1" applyAlignment="1">
      <alignment horizontal="center"/>
    </xf>
    <xf numFmtId="0" fontId="12" fillId="2" borderId="5" xfId="2" applyNumberFormat="1" applyFont="1" applyFill="1" applyBorder="1" applyAlignment="1">
      <alignment horizontal="left"/>
    </xf>
    <xf numFmtId="173" fontId="12" fillId="2" borderId="27" xfId="2" applyNumberFormat="1" applyFont="1" applyFill="1" applyBorder="1" applyAlignment="1">
      <alignment horizontal="center"/>
    </xf>
    <xf numFmtId="172" fontId="13" fillId="4" borderId="4" xfId="1" applyNumberFormat="1" applyFont="1" applyFill="1" applyBorder="1" applyAlignment="1" applyProtection="1">
      <alignment horizontal="left"/>
    </xf>
    <xf numFmtId="173" fontId="12" fillId="2" borderId="26" xfId="2" applyNumberFormat="1" applyFont="1" applyFill="1" applyBorder="1" applyAlignment="1">
      <alignment horizontal="center"/>
    </xf>
    <xf numFmtId="172" fontId="13" fillId="4" borderId="1" xfId="1" applyNumberFormat="1" applyFont="1" applyFill="1" applyBorder="1" applyAlignment="1" applyProtection="1">
      <alignment horizontal="left"/>
    </xf>
    <xf numFmtId="166" fontId="12" fillId="2" borderId="8" xfId="2" applyNumberFormat="1" applyFont="1" applyFill="1" applyBorder="1" applyAlignment="1">
      <alignment horizontal="center"/>
    </xf>
    <xf numFmtId="166" fontId="12" fillId="2" borderId="5" xfId="2" applyNumberFormat="1" applyFont="1" applyFill="1" applyBorder="1" applyAlignment="1">
      <alignment horizontal="center"/>
    </xf>
    <xf numFmtId="166" fontId="12" fillId="2" borderId="3" xfId="2" applyNumberFormat="1" applyFont="1" applyFill="1" applyBorder="1" applyAlignment="1">
      <alignment horizontal="center"/>
    </xf>
    <xf numFmtId="0" fontId="12" fillId="4" borderId="28" xfId="1" applyNumberFormat="1" applyFont="1" applyFill="1" applyBorder="1" applyAlignment="1" applyProtection="1">
      <alignment horizontal="left" vertical="center"/>
    </xf>
    <xf numFmtId="0" fontId="12" fillId="4" borderId="27" xfId="1" applyNumberFormat="1" applyFont="1" applyFill="1" applyBorder="1" applyAlignment="1" applyProtection="1">
      <alignment horizontal="left" vertical="center"/>
    </xf>
    <xf numFmtId="0" fontId="12" fillId="2" borderId="27" xfId="1" applyNumberFormat="1" applyFont="1" applyFill="1" applyBorder="1" applyAlignment="1">
      <alignment horizontal="center"/>
    </xf>
    <xf numFmtId="0" fontId="12" fillId="0" borderId="27" xfId="2" applyNumberFormat="1" applyFont="1" applyFill="1" applyBorder="1" applyAlignment="1">
      <alignment horizontal="center"/>
    </xf>
    <xf numFmtId="166" fontId="12" fillId="2" borderId="27" xfId="1" applyNumberFormat="1" applyFont="1" applyFill="1" applyBorder="1" applyAlignment="1"/>
    <xf numFmtId="0" fontId="12" fillId="2" borderId="27" xfId="1" applyNumberFormat="1" applyFont="1" applyFill="1" applyBorder="1" applyAlignment="1"/>
    <xf numFmtId="166" fontId="12" fillId="2" borderId="26" xfId="1" applyNumberFormat="1" applyFont="1" applyFill="1" applyBorder="1" applyAlignment="1"/>
    <xf numFmtId="0" fontId="12" fillId="2" borderId="26" xfId="1" applyNumberFormat="1" applyFont="1" applyFill="1" applyBorder="1" applyAlignment="1"/>
    <xf numFmtId="0" fontId="12" fillId="4" borderId="26" xfId="1" applyNumberFormat="1" applyFont="1" applyFill="1" applyBorder="1" applyAlignment="1" applyProtection="1">
      <alignment horizontal="left" vertical="center"/>
    </xf>
    <xf numFmtId="0" fontId="12" fillId="2" borderId="28" xfId="1" applyNumberFormat="1" applyFont="1" applyFill="1" applyBorder="1" applyAlignment="1">
      <alignment horizontal="center"/>
    </xf>
    <xf numFmtId="0" fontId="12" fillId="0" borderId="28" xfId="2" applyNumberFormat="1" applyFont="1" applyFill="1" applyBorder="1" applyAlignment="1">
      <alignment horizontal="center"/>
    </xf>
    <xf numFmtId="166" fontId="12" fillId="2" borderId="28" xfId="1" applyNumberFormat="1" applyFont="1" applyFill="1" applyBorder="1" applyAlignment="1"/>
    <xf numFmtId="0" fontId="12" fillId="2" borderId="28" xfId="1" applyNumberFormat="1" applyFont="1" applyFill="1" applyBorder="1" applyAlignment="1"/>
    <xf numFmtId="166" fontId="22" fillId="0" borderId="0" xfId="2" applyNumberFormat="1" applyFont="1" applyBorder="1"/>
    <xf numFmtId="0" fontId="12" fillId="0" borderId="42" xfId="1" applyFont="1" applyBorder="1"/>
    <xf numFmtId="0" fontId="12" fillId="0" borderId="41" xfId="1" applyFont="1" applyBorder="1"/>
    <xf numFmtId="0" fontId="21" fillId="0" borderId="14" xfId="0" applyFont="1" applyBorder="1"/>
    <xf numFmtId="166" fontId="12" fillId="0" borderId="0" xfId="2" quotePrefix="1" applyNumberFormat="1" applyFont="1" applyBorder="1" applyAlignment="1">
      <alignment horizontal="center"/>
    </xf>
    <xf numFmtId="167" fontId="12" fillId="0" borderId="13" xfId="1" applyNumberFormat="1" applyFont="1" applyBorder="1"/>
    <xf numFmtId="166" fontId="12" fillId="0" borderId="13" xfId="2" quotePrefix="1" applyNumberFormat="1" applyFont="1" applyBorder="1" applyAlignment="1">
      <alignment horizontal="center"/>
    </xf>
    <xf numFmtId="167" fontId="12" fillId="0" borderId="12" xfId="1" applyNumberFormat="1" applyFont="1" applyBorder="1"/>
    <xf numFmtId="177" fontId="12" fillId="0" borderId="0" xfId="1" applyNumberFormat="1" applyFont="1"/>
    <xf numFmtId="164" fontId="12" fillId="0" borderId="0" xfId="1" applyNumberFormat="1" applyFont="1"/>
    <xf numFmtId="3" fontId="12" fillId="0" borderId="0" xfId="1" applyNumberFormat="1" applyFont="1"/>
    <xf numFmtId="0" fontId="12" fillId="0" borderId="0" xfId="1" applyNumberFormat="1" applyFont="1"/>
    <xf numFmtId="167" fontId="12" fillId="0" borderId="0" xfId="1" applyNumberFormat="1" applyFont="1"/>
    <xf numFmtId="9" fontId="12" fillId="0" borderId="0" xfId="1" applyNumberFormat="1" applyFont="1"/>
    <xf numFmtId="0" fontId="12" fillId="0" borderId="0" xfId="1" applyFont="1" applyAlignment="1">
      <alignment horizontal="center" vertical="center" wrapText="1"/>
    </xf>
    <xf numFmtId="177" fontId="12" fillId="0" borderId="0" xfId="1" applyNumberFormat="1" applyFont="1" applyAlignment="1">
      <alignment horizontal="center" vertical="center" wrapText="1"/>
    </xf>
    <xf numFmtId="164" fontId="12" fillId="0" borderId="0" xfId="1" applyNumberFormat="1" applyFont="1" applyAlignment="1">
      <alignment horizontal="center" vertical="center" wrapText="1"/>
    </xf>
    <xf numFmtId="3" fontId="12" fillId="0" borderId="0" xfId="1" applyNumberFormat="1" applyFont="1" applyAlignment="1">
      <alignment horizontal="center" vertical="center" wrapText="1"/>
    </xf>
    <xf numFmtId="0" fontId="12" fillId="0" borderId="0" xfId="1" applyNumberFormat="1" applyFont="1" applyAlignment="1">
      <alignment horizontal="center" vertical="center" wrapText="1"/>
    </xf>
    <xf numFmtId="167" fontId="12" fillId="0" borderId="0" xfId="1" applyNumberFormat="1" applyFont="1" applyAlignment="1">
      <alignment horizontal="center" vertical="center" wrapText="1"/>
    </xf>
    <xf numFmtId="166" fontId="12" fillId="0" borderId="0" xfId="1" applyNumberFormat="1" applyFont="1" applyAlignment="1">
      <alignment horizontal="center" vertical="center" wrapText="1"/>
    </xf>
    <xf numFmtId="9" fontId="12" fillId="0" borderId="0" xfId="1" applyNumberFormat="1" applyFont="1" applyAlignment="1">
      <alignment horizontal="center" vertical="center" wrapText="1"/>
    </xf>
    <xf numFmtId="0" fontId="11" fillId="3" borderId="25" xfId="1" applyFont="1" applyFill="1" applyBorder="1" applyAlignment="1">
      <alignment horizontal="center" vertical="center" wrapText="1"/>
    </xf>
    <xf numFmtId="0" fontId="11" fillId="3" borderId="24" xfId="1" applyFont="1" applyFill="1" applyBorder="1" applyAlignment="1">
      <alignment horizontal="center" vertical="center" wrapText="1"/>
    </xf>
  </cellXfs>
  <cellStyles count="19">
    <cellStyle name="Comma 2" xfId="18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5"/>
    <cellStyle name="Normal_SwaptionATMVols" xfId="3"/>
    <cellStyle name="Normal_SwaptionATMVols 2" xfId="10"/>
    <cellStyle name="Normale_AZIONI" xfId="6"/>
    <cellStyle name="Percent 2" xfId="2"/>
    <cellStyle name="Percent 2 2" xfId="16"/>
    <cellStyle name="Percent 2 2 2" xfId="17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42276</c:v>
                </c:pt>
                <c:pt idx="1">
                  <c:v>42277</c:v>
                </c:pt>
                <c:pt idx="2">
                  <c:v>42278</c:v>
                </c:pt>
                <c:pt idx="3">
                  <c:v>42279</c:v>
                </c:pt>
                <c:pt idx="4">
                  <c:v>42282</c:v>
                </c:pt>
                <c:pt idx="5">
                  <c:v>42283</c:v>
                </c:pt>
                <c:pt idx="6">
                  <c:v>42284</c:v>
                </c:pt>
                <c:pt idx="7">
                  <c:v>42285</c:v>
                </c:pt>
                <c:pt idx="8">
                  <c:v>42286</c:v>
                </c:pt>
                <c:pt idx="9">
                  <c:v>42289</c:v>
                </c:pt>
                <c:pt idx="10">
                  <c:v>42290</c:v>
                </c:pt>
                <c:pt idx="11">
                  <c:v>42291</c:v>
                </c:pt>
                <c:pt idx="12">
                  <c:v>42292</c:v>
                </c:pt>
                <c:pt idx="13">
                  <c:v>42293</c:v>
                </c:pt>
                <c:pt idx="14">
                  <c:v>42296</c:v>
                </c:pt>
                <c:pt idx="15">
                  <c:v>42297</c:v>
                </c:pt>
                <c:pt idx="16">
                  <c:v>42298</c:v>
                </c:pt>
                <c:pt idx="17">
                  <c:v>42299</c:v>
                </c:pt>
                <c:pt idx="18">
                  <c:v>42300</c:v>
                </c:pt>
                <c:pt idx="19">
                  <c:v>42303</c:v>
                </c:pt>
                <c:pt idx="20">
                  <c:v>42304</c:v>
                </c:pt>
                <c:pt idx="21">
                  <c:v>42305</c:v>
                </c:pt>
                <c:pt idx="22">
                  <c:v>42306</c:v>
                </c:pt>
                <c:pt idx="23">
                  <c:v>42307</c:v>
                </c:pt>
                <c:pt idx="24">
                  <c:v>42310</c:v>
                </c:pt>
                <c:pt idx="25">
                  <c:v>42311</c:v>
                </c:pt>
                <c:pt idx="26">
                  <c:v>42312</c:v>
                </c:pt>
                <c:pt idx="27">
                  <c:v>42313</c:v>
                </c:pt>
                <c:pt idx="28">
                  <c:v>42314</c:v>
                </c:pt>
                <c:pt idx="29">
                  <c:v>42317</c:v>
                </c:pt>
                <c:pt idx="30">
                  <c:v>42318</c:v>
                </c:pt>
                <c:pt idx="31">
                  <c:v>42319</c:v>
                </c:pt>
                <c:pt idx="32">
                  <c:v>42320</c:v>
                </c:pt>
                <c:pt idx="33">
                  <c:v>42321</c:v>
                </c:pt>
                <c:pt idx="34">
                  <c:v>42324</c:v>
                </c:pt>
                <c:pt idx="35">
                  <c:v>42325</c:v>
                </c:pt>
                <c:pt idx="36">
                  <c:v>42326</c:v>
                </c:pt>
                <c:pt idx="37">
                  <c:v>42327</c:v>
                </c:pt>
                <c:pt idx="38">
                  <c:v>42328</c:v>
                </c:pt>
                <c:pt idx="39">
                  <c:v>42331</c:v>
                </c:pt>
                <c:pt idx="40">
                  <c:v>42332</c:v>
                </c:pt>
                <c:pt idx="41">
                  <c:v>42333</c:v>
                </c:pt>
                <c:pt idx="42">
                  <c:v>42334</c:v>
                </c:pt>
                <c:pt idx="43">
                  <c:v>42335</c:v>
                </c:pt>
                <c:pt idx="44">
                  <c:v>42338</c:v>
                </c:pt>
                <c:pt idx="45">
                  <c:v>42339</c:v>
                </c:pt>
                <c:pt idx="46">
                  <c:v>42340</c:v>
                </c:pt>
                <c:pt idx="47">
                  <c:v>42341</c:v>
                </c:pt>
                <c:pt idx="48">
                  <c:v>42342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42352</c:v>
                </c:pt>
                <c:pt idx="55">
                  <c:v>42353</c:v>
                </c:pt>
                <c:pt idx="56">
                  <c:v>42354</c:v>
                </c:pt>
                <c:pt idx="57">
                  <c:v>42355</c:v>
                </c:pt>
                <c:pt idx="58">
                  <c:v>42356</c:v>
                </c:pt>
                <c:pt idx="59">
                  <c:v>42359</c:v>
                </c:pt>
                <c:pt idx="60">
                  <c:v>42360</c:v>
                </c:pt>
                <c:pt idx="61">
                  <c:v>42361</c:v>
                </c:pt>
                <c:pt idx="62">
                  <c:v>42366</c:v>
                </c:pt>
                <c:pt idx="63">
                  <c:v>42367</c:v>
                </c:pt>
                <c:pt idx="64">
                  <c:v>42368</c:v>
                </c:pt>
                <c:pt idx="65">
                  <c:v>42373</c:v>
                </c:pt>
                <c:pt idx="66">
                  <c:v>42374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42496</c:v>
                </c:pt>
                <c:pt idx="151">
                  <c:v>42499</c:v>
                </c:pt>
                <c:pt idx="152">
                  <c:v>42500</c:v>
                </c:pt>
                <c:pt idx="153">
                  <c:v>42501</c:v>
                </c:pt>
                <c:pt idx="154">
                  <c:v>42502</c:v>
                </c:pt>
                <c:pt idx="155">
                  <c:v>42503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42520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42548</c:v>
                </c:pt>
                <c:pt idx="185">
                  <c:v>42549</c:v>
                </c:pt>
                <c:pt idx="186">
                  <c:v>42550</c:v>
                </c:pt>
                <c:pt idx="187">
                  <c:v>42551</c:v>
                </c:pt>
                <c:pt idx="188">
                  <c:v>42552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42593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42611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42646</c:v>
                </c:pt>
                <c:pt idx="255">
                  <c:v>42647</c:v>
                </c:pt>
                <c:pt idx="256">
                  <c:v>42648</c:v>
                </c:pt>
                <c:pt idx="257">
                  <c:v>42649</c:v>
                </c:pt>
                <c:pt idx="258">
                  <c:v>42650</c:v>
                </c:pt>
                <c:pt idx="259">
                  <c:v>42653</c:v>
                </c:pt>
                <c:pt idx="260">
                  <c:v>42654</c:v>
                </c:pt>
                <c:pt idx="261">
                  <c:v>42655</c:v>
                </c:pt>
                <c:pt idx="262">
                  <c:v>42656</c:v>
                </c:pt>
                <c:pt idx="263">
                  <c:v>42657</c:v>
                </c:pt>
                <c:pt idx="264">
                  <c:v>42660</c:v>
                </c:pt>
                <c:pt idx="265">
                  <c:v>42661</c:v>
                </c:pt>
                <c:pt idx="266">
                  <c:v>42662</c:v>
                </c:pt>
                <c:pt idx="267">
                  <c:v>42663</c:v>
                </c:pt>
                <c:pt idx="268">
                  <c:v>42664</c:v>
                </c:pt>
                <c:pt idx="269">
                  <c:v>42667</c:v>
                </c:pt>
                <c:pt idx="270">
                  <c:v>42668</c:v>
                </c:pt>
                <c:pt idx="271">
                  <c:v>42669</c:v>
                </c:pt>
                <c:pt idx="272">
                  <c:v>42670</c:v>
                </c:pt>
                <c:pt idx="273">
                  <c:v>42671</c:v>
                </c:pt>
                <c:pt idx="274">
                  <c:v>42674</c:v>
                </c:pt>
                <c:pt idx="275">
                  <c:v>42675</c:v>
                </c:pt>
                <c:pt idx="276">
                  <c:v>42676</c:v>
                </c:pt>
                <c:pt idx="277">
                  <c:v>42677</c:v>
                </c:pt>
                <c:pt idx="278">
                  <c:v>42678</c:v>
                </c:pt>
                <c:pt idx="279">
                  <c:v>42681</c:v>
                </c:pt>
                <c:pt idx="280">
                  <c:v>42682</c:v>
                </c:pt>
                <c:pt idx="281">
                  <c:v>42683</c:v>
                </c:pt>
                <c:pt idx="282">
                  <c:v>42684</c:v>
                </c:pt>
                <c:pt idx="283">
                  <c:v>42685</c:v>
                </c:pt>
                <c:pt idx="284">
                  <c:v>42688</c:v>
                </c:pt>
                <c:pt idx="285">
                  <c:v>42689</c:v>
                </c:pt>
                <c:pt idx="286">
                  <c:v>42690</c:v>
                </c:pt>
                <c:pt idx="287">
                  <c:v>42691</c:v>
                </c:pt>
                <c:pt idx="288">
                  <c:v>42692</c:v>
                </c:pt>
                <c:pt idx="289">
                  <c:v>42695</c:v>
                </c:pt>
                <c:pt idx="290">
                  <c:v>42696</c:v>
                </c:pt>
                <c:pt idx="291">
                  <c:v>42697</c:v>
                </c:pt>
                <c:pt idx="292">
                  <c:v>42698</c:v>
                </c:pt>
                <c:pt idx="293">
                  <c:v>42699</c:v>
                </c:pt>
                <c:pt idx="294">
                  <c:v>42702</c:v>
                </c:pt>
                <c:pt idx="295">
                  <c:v>42703</c:v>
                </c:pt>
                <c:pt idx="296">
                  <c:v>42704</c:v>
                </c:pt>
                <c:pt idx="297">
                  <c:v>42705</c:v>
                </c:pt>
                <c:pt idx="298">
                  <c:v>42706</c:v>
                </c:pt>
                <c:pt idx="299">
                  <c:v>42709</c:v>
                </c:pt>
                <c:pt idx="300">
                  <c:v>42710</c:v>
                </c:pt>
                <c:pt idx="301">
                  <c:v>42711</c:v>
                </c:pt>
                <c:pt idx="302">
                  <c:v>42712</c:v>
                </c:pt>
                <c:pt idx="303">
                  <c:v>42713</c:v>
                </c:pt>
                <c:pt idx="304">
                  <c:v>42716</c:v>
                </c:pt>
                <c:pt idx="305">
                  <c:v>42717</c:v>
                </c:pt>
                <c:pt idx="306">
                  <c:v>42718</c:v>
                </c:pt>
                <c:pt idx="307">
                  <c:v>42719</c:v>
                </c:pt>
                <c:pt idx="308">
                  <c:v>42720</c:v>
                </c:pt>
                <c:pt idx="309">
                  <c:v>42723</c:v>
                </c:pt>
                <c:pt idx="310">
                  <c:v>42724</c:v>
                </c:pt>
                <c:pt idx="311">
                  <c:v>42725</c:v>
                </c:pt>
                <c:pt idx="312">
                  <c:v>42726</c:v>
                </c:pt>
                <c:pt idx="313">
                  <c:v>42727</c:v>
                </c:pt>
                <c:pt idx="314">
                  <c:v>42731</c:v>
                </c:pt>
                <c:pt idx="315">
                  <c:v>42732</c:v>
                </c:pt>
                <c:pt idx="316">
                  <c:v>42733</c:v>
                </c:pt>
                <c:pt idx="317">
                  <c:v>42734</c:v>
                </c:pt>
                <c:pt idx="318">
                  <c:v>42737</c:v>
                </c:pt>
                <c:pt idx="319">
                  <c:v>42738</c:v>
                </c:pt>
                <c:pt idx="320">
                  <c:v>42739</c:v>
                </c:pt>
                <c:pt idx="321">
                  <c:v>42740</c:v>
                </c:pt>
                <c:pt idx="322">
                  <c:v>42744</c:v>
                </c:pt>
                <c:pt idx="323">
                  <c:v>42745</c:v>
                </c:pt>
                <c:pt idx="324">
                  <c:v>42746</c:v>
                </c:pt>
                <c:pt idx="325">
                  <c:v>42747</c:v>
                </c:pt>
                <c:pt idx="326">
                  <c:v>42748</c:v>
                </c:pt>
                <c:pt idx="327">
                  <c:v>42751</c:v>
                </c:pt>
                <c:pt idx="328">
                  <c:v>42752</c:v>
                </c:pt>
                <c:pt idx="329">
                  <c:v>42753</c:v>
                </c:pt>
                <c:pt idx="330">
                  <c:v>42754</c:v>
                </c:pt>
                <c:pt idx="331">
                  <c:v>42755</c:v>
                </c:pt>
                <c:pt idx="332">
                  <c:v>42758</c:v>
                </c:pt>
                <c:pt idx="333">
                  <c:v>42759</c:v>
                </c:pt>
                <c:pt idx="334">
                  <c:v>42760</c:v>
                </c:pt>
                <c:pt idx="335">
                  <c:v>42761</c:v>
                </c:pt>
                <c:pt idx="336">
                  <c:v>42762</c:v>
                </c:pt>
                <c:pt idx="337">
                  <c:v>42765</c:v>
                </c:pt>
                <c:pt idx="338">
                  <c:v>42766</c:v>
                </c:pt>
                <c:pt idx="339">
                  <c:v>42767</c:v>
                </c:pt>
                <c:pt idx="340">
                  <c:v>42768</c:v>
                </c:pt>
                <c:pt idx="341">
                  <c:v>42769</c:v>
                </c:pt>
                <c:pt idx="342">
                  <c:v>42772</c:v>
                </c:pt>
                <c:pt idx="343">
                  <c:v>42773</c:v>
                </c:pt>
                <c:pt idx="344">
                  <c:v>42774</c:v>
                </c:pt>
                <c:pt idx="345">
                  <c:v>42775</c:v>
                </c:pt>
                <c:pt idx="346">
                  <c:v>42776</c:v>
                </c:pt>
                <c:pt idx="347">
                  <c:v>42779</c:v>
                </c:pt>
                <c:pt idx="348">
                  <c:v>42780</c:v>
                </c:pt>
                <c:pt idx="349">
                  <c:v>42781</c:v>
                </c:pt>
                <c:pt idx="350">
                  <c:v>42782</c:v>
                </c:pt>
                <c:pt idx="351">
                  <c:v>42783</c:v>
                </c:pt>
                <c:pt idx="352">
                  <c:v>42786</c:v>
                </c:pt>
                <c:pt idx="353">
                  <c:v>42787</c:v>
                </c:pt>
                <c:pt idx="354">
                  <c:v>42788</c:v>
                </c:pt>
                <c:pt idx="355">
                  <c:v>42789</c:v>
                </c:pt>
                <c:pt idx="356">
                  <c:v>42790</c:v>
                </c:pt>
                <c:pt idx="357">
                  <c:v>42793</c:v>
                </c:pt>
                <c:pt idx="358">
                  <c:v>42794</c:v>
                </c:pt>
                <c:pt idx="359">
                  <c:v>42795</c:v>
                </c:pt>
                <c:pt idx="360">
                  <c:v>42796</c:v>
                </c:pt>
                <c:pt idx="361">
                  <c:v>42797</c:v>
                </c:pt>
                <c:pt idx="362">
                  <c:v>42800</c:v>
                </c:pt>
                <c:pt idx="363">
                  <c:v>42801</c:v>
                </c:pt>
                <c:pt idx="364">
                  <c:v>42802</c:v>
                </c:pt>
                <c:pt idx="365">
                  <c:v>42803</c:v>
                </c:pt>
                <c:pt idx="366">
                  <c:v>42804</c:v>
                </c:pt>
                <c:pt idx="367">
                  <c:v>42807</c:v>
                </c:pt>
                <c:pt idx="368">
                  <c:v>42808</c:v>
                </c:pt>
                <c:pt idx="369">
                  <c:v>42809</c:v>
                </c:pt>
                <c:pt idx="370">
                  <c:v>42810</c:v>
                </c:pt>
                <c:pt idx="371">
                  <c:v>42811</c:v>
                </c:pt>
                <c:pt idx="372">
                  <c:v>42814</c:v>
                </c:pt>
                <c:pt idx="373">
                  <c:v>42815</c:v>
                </c:pt>
                <c:pt idx="374">
                  <c:v>42816</c:v>
                </c:pt>
                <c:pt idx="375">
                  <c:v>42817</c:v>
                </c:pt>
                <c:pt idx="376">
                  <c:v>42818</c:v>
                </c:pt>
                <c:pt idx="377">
                  <c:v>42821</c:v>
                </c:pt>
                <c:pt idx="378">
                  <c:v>42822</c:v>
                </c:pt>
                <c:pt idx="379">
                  <c:v>42823</c:v>
                </c:pt>
                <c:pt idx="380">
                  <c:v>42824</c:v>
                </c:pt>
                <c:pt idx="381">
                  <c:v>42825</c:v>
                </c:pt>
                <c:pt idx="382">
                  <c:v>42828</c:v>
                </c:pt>
                <c:pt idx="383">
                  <c:v>42829</c:v>
                </c:pt>
                <c:pt idx="384">
                  <c:v>42830</c:v>
                </c:pt>
                <c:pt idx="385">
                  <c:v>42831</c:v>
                </c:pt>
                <c:pt idx="386">
                  <c:v>42832</c:v>
                </c:pt>
                <c:pt idx="387">
                  <c:v>42835</c:v>
                </c:pt>
                <c:pt idx="388">
                  <c:v>42836</c:v>
                </c:pt>
                <c:pt idx="389">
                  <c:v>42837</c:v>
                </c:pt>
                <c:pt idx="390">
                  <c:v>42838</c:v>
                </c:pt>
                <c:pt idx="391">
                  <c:v>42843</c:v>
                </c:pt>
                <c:pt idx="392">
                  <c:v>42844</c:v>
                </c:pt>
                <c:pt idx="393">
                  <c:v>42845</c:v>
                </c:pt>
                <c:pt idx="394">
                  <c:v>42846</c:v>
                </c:pt>
                <c:pt idx="395">
                  <c:v>42849</c:v>
                </c:pt>
                <c:pt idx="396">
                  <c:v>42850</c:v>
                </c:pt>
                <c:pt idx="397">
                  <c:v>42851</c:v>
                </c:pt>
                <c:pt idx="398">
                  <c:v>42852</c:v>
                </c:pt>
                <c:pt idx="399">
                  <c:v>42853</c:v>
                </c:pt>
                <c:pt idx="400">
                  <c:v>42857</c:v>
                </c:pt>
                <c:pt idx="401">
                  <c:v>42858</c:v>
                </c:pt>
                <c:pt idx="402">
                  <c:v>42859</c:v>
                </c:pt>
                <c:pt idx="403">
                  <c:v>42860</c:v>
                </c:pt>
                <c:pt idx="404">
                  <c:v>42863</c:v>
                </c:pt>
                <c:pt idx="405">
                  <c:v>42864</c:v>
                </c:pt>
                <c:pt idx="406">
                  <c:v>42865</c:v>
                </c:pt>
                <c:pt idx="407">
                  <c:v>42866</c:v>
                </c:pt>
                <c:pt idx="408">
                  <c:v>42867</c:v>
                </c:pt>
                <c:pt idx="409">
                  <c:v>42870</c:v>
                </c:pt>
                <c:pt idx="410">
                  <c:v>42871</c:v>
                </c:pt>
                <c:pt idx="411">
                  <c:v>42872</c:v>
                </c:pt>
                <c:pt idx="412">
                  <c:v>42873</c:v>
                </c:pt>
                <c:pt idx="413">
                  <c:v>42874</c:v>
                </c:pt>
                <c:pt idx="414">
                  <c:v>42877</c:v>
                </c:pt>
                <c:pt idx="415">
                  <c:v>42878</c:v>
                </c:pt>
                <c:pt idx="416">
                  <c:v>42879</c:v>
                </c:pt>
                <c:pt idx="417">
                  <c:v>42881</c:v>
                </c:pt>
                <c:pt idx="418">
                  <c:v>42884</c:v>
                </c:pt>
                <c:pt idx="419">
                  <c:v>42885</c:v>
                </c:pt>
                <c:pt idx="420">
                  <c:v>42886</c:v>
                </c:pt>
                <c:pt idx="421">
                  <c:v>42887</c:v>
                </c:pt>
                <c:pt idx="422">
                  <c:v>42888</c:v>
                </c:pt>
                <c:pt idx="423">
                  <c:v>42892</c:v>
                </c:pt>
                <c:pt idx="424">
                  <c:v>42893</c:v>
                </c:pt>
                <c:pt idx="425">
                  <c:v>42894</c:v>
                </c:pt>
                <c:pt idx="426">
                  <c:v>42895</c:v>
                </c:pt>
                <c:pt idx="427">
                  <c:v>42898</c:v>
                </c:pt>
                <c:pt idx="428">
                  <c:v>42899</c:v>
                </c:pt>
                <c:pt idx="429">
                  <c:v>42900</c:v>
                </c:pt>
                <c:pt idx="430">
                  <c:v>42901</c:v>
                </c:pt>
                <c:pt idx="431">
                  <c:v>42902</c:v>
                </c:pt>
                <c:pt idx="432">
                  <c:v>42905</c:v>
                </c:pt>
                <c:pt idx="433">
                  <c:v>42906</c:v>
                </c:pt>
                <c:pt idx="434">
                  <c:v>42907</c:v>
                </c:pt>
                <c:pt idx="435">
                  <c:v>42908</c:v>
                </c:pt>
                <c:pt idx="436">
                  <c:v>42912</c:v>
                </c:pt>
                <c:pt idx="437">
                  <c:v>42913</c:v>
                </c:pt>
                <c:pt idx="438">
                  <c:v>42914</c:v>
                </c:pt>
                <c:pt idx="439">
                  <c:v>42915</c:v>
                </c:pt>
                <c:pt idx="440">
                  <c:v>42916</c:v>
                </c:pt>
                <c:pt idx="441">
                  <c:v>42919</c:v>
                </c:pt>
                <c:pt idx="442">
                  <c:v>42920</c:v>
                </c:pt>
                <c:pt idx="443">
                  <c:v>42921</c:v>
                </c:pt>
                <c:pt idx="444">
                  <c:v>42922</c:v>
                </c:pt>
                <c:pt idx="445">
                  <c:v>42923</c:v>
                </c:pt>
                <c:pt idx="446">
                  <c:v>42926</c:v>
                </c:pt>
                <c:pt idx="447">
                  <c:v>42927</c:v>
                </c:pt>
                <c:pt idx="448">
                  <c:v>42928</c:v>
                </c:pt>
                <c:pt idx="449">
                  <c:v>42929</c:v>
                </c:pt>
                <c:pt idx="450">
                  <c:v>42930</c:v>
                </c:pt>
                <c:pt idx="451">
                  <c:v>42933</c:v>
                </c:pt>
                <c:pt idx="452">
                  <c:v>42934</c:v>
                </c:pt>
                <c:pt idx="453">
                  <c:v>42935</c:v>
                </c:pt>
                <c:pt idx="454">
                  <c:v>42936</c:v>
                </c:pt>
                <c:pt idx="455">
                  <c:v>42937</c:v>
                </c:pt>
                <c:pt idx="456">
                  <c:v>42940</c:v>
                </c:pt>
                <c:pt idx="457">
                  <c:v>42941</c:v>
                </c:pt>
                <c:pt idx="458">
                  <c:v>42942</c:v>
                </c:pt>
                <c:pt idx="459">
                  <c:v>42943</c:v>
                </c:pt>
                <c:pt idx="460">
                  <c:v>42944</c:v>
                </c:pt>
                <c:pt idx="461">
                  <c:v>42947</c:v>
                </c:pt>
                <c:pt idx="462">
                  <c:v>42948</c:v>
                </c:pt>
                <c:pt idx="463">
                  <c:v>42949</c:v>
                </c:pt>
                <c:pt idx="464">
                  <c:v>42950</c:v>
                </c:pt>
                <c:pt idx="465">
                  <c:v>42951</c:v>
                </c:pt>
                <c:pt idx="466">
                  <c:v>42954</c:v>
                </c:pt>
                <c:pt idx="467">
                  <c:v>42955</c:v>
                </c:pt>
                <c:pt idx="468">
                  <c:v>42956</c:v>
                </c:pt>
                <c:pt idx="469">
                  <c:v>42957</c:v>
                </c:pt>
                <c:pt idx="470">
                  <c:v>42958</c:v>
                </c:pt>
                <c:pt idx="471">
                  <c:v>42961</c:v>
                </c:pt>
                <c:pt idx="472">
                  <c:v>42962</c:v>
                </c:pt>
                <c:pt idx="473">
                  <c:v>42963</c:v>
                </c:pt>
                <c:pt idx="474">
                  <c:v>42964</c:v>
                </c:pt>
                <c:pt idx="475">
                  <c:v>42965</c:v>
                </c:pt>
                <c:pt idx="476">
                  <c:v>42968</c:v>
                </c:pt>
                <c:pt idx="477">
                  <c:v>42969</c:v>
                </c:pt>
                <c:pt idx="478">
                  <c:v>42970</c:v>
                </c:pt>
                <c:pt idx="479">
                  <c:v>42971</c:v>
                </c:pt>
                <c:pt idx="480">
                  <c:v>42972</c:v>
                </c:pt>
                <c:pt idx="481">
                  <c:v>42975</c:v>
                </c:pt>
                <c:pt idx="482">
                  <c:v>42976</c:v>
                </c:pt>
                <c:pt idx="483">
                  <c:v>42977</c:v>
                </c:pt>
                <c:pt idx="484">
                  <c:v>42978</c:v>
                </c:pt>
                <c:pt idx="485">
                  <c:v>42979</c:v>
                </c:pt>
                <c:pt idx="486">
                  <c:v>42982</c:v>
                </c:pt>
                <c:pt idx="487">
                  <c:v>42983</c:v>
                </c:pt>
                <c:pt idx="488">
                  <c:v>42984</c:v>
                </c:pt>
                <c:pt idx="489">
                  <c:v>42985</c:v>
                </c:pt>
                <c:pt idx="490">
                  <c:v>42986</c:v>
                </c:pt>
                <c:pt idx="491">
                  <c:v>42989</c:v>
                </c:pt>
                <c:pt idx="492">
                  <c:v>42990</c:v>
                </c:pt>
                <c:pt idx="493">
                  <c:v>42991</c:v>
                </c:pt>
                <c:pt idx="494">
                  <c:v>42992</c:v>
                </c:pt>
                <c:pt idx="495">
                  <c:v>42993</c:v>
                </c:pt>
                <c:pt idx="496">
                  <c:v>42996</c:v>
                </c:pt>
                <c:pt idx="497">
                  <c:v>42997</c:v>
                </c:pt>
                <c:pt idx="498">
                  <c:v>42998</c:v>
                </c:pt>
                <c:pt idx="499">
                  <c:v>42999</c:v>
                </c:pt>
                <c:pt idx="500">
                  <c:v>43000</c:v>
                </c:pt>
                <c:pt idx="501">
                  <c:v>43003</c:v>
                </c:pt>
                <c:pt idx="502">
                  <c:v>43004</c:v>
                </c:pt>
                <c:pt idx="503">
                  <c:v>43005</c:v>
                </c:pt>
                <c:pt idx="504">
                  <c:v>43006</c:v>
                </c:pt>
                <c:pt idx="505">
                  <c:v>43007</c:v>
                </c:pt>
                <c:pt idx="506">
                  <c:v>43010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43097</c:v>
                </c:pt>
                <c:pt idx="528">
                  <c:v>43103</c:v>
                </c:pt>
                <c:pt idx="529">
                  <c:v>43109</c:v>
                </c:pt>
                <c:pt idx="530">
                  <c:v>43116</c:v>
                </c:pt>
                <c:pt idx="531">
                  <c:v>43123</c:v>
                </c:pt>
                <c:pt idx="532">
                  <c:v>43130</c:v>
                </c:pt>
                <c:pt idx="533">
                  <c:v>43137</c:v>
                </c:pt>
                <c:pt idx="534">
                  <c:v>43144</c:v>
                </c:pt>
                <c:pt idx="535">
                  <c:v>43151</c:v>
                </c:pt>
                <c:pt idx="536">
                  <c:v>43158</c:v>
                </c:pt>
                <c:pt idx="537">
                  <c:v>43165</c:v>
                </c:pt>
                <c:pt idx="538">
                  <c:v>43172</c:v>
                </c:pt>
                <c:pt idx="539">
                  <c:v>43179</c:v>
                </c:pt>
                <c:pt idx="540">
                  <c:v>43186</c:v>
                </c:pt>
                <c:pt idx="541">
                  <c:v>43195</c:v>
                </c:pt>
                <c:pt idx="542">
                  <c:v>43202</c:v>
                </c:pt>
                <c:pt idx="543">
                  <c:v>43209</c:v>
                </c:pt>
                <c:pt idx="544">
                  <c:v>43216</c:v>
                </c:pt>
                <c:pt idx="545">
                  <c:v>43224</c:v>
                </c:pt>
                <c:pt idx="546">
                  <c:v>43234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43276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43427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43467</c:v>
                </c:pt>
                <c:pt idx="580">
                  <c:v>43472</c:v>
                </c:pt>
                <c:pt idx="581">
                  <c:v>43479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43507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43584</c:v>
                </c:pt>
                <c:pt idx="597">
                  <c:v>43591</c:v>
                </c:pt>
                <c:pt idx="598">
                  <c:v>43598</c:v>
                </c:pt>
                <c:pt idx="599">
                  <c:v>43605</c:v>
                </c:pt>
                <c:pt idx="600">
                  <c:v>43612</c:v>
                </c:pt>
                <c:pt idx="601">
                  <c:v>43620</c:v>
                </c:pt>
                <c:pt idx="602">
                  <c:v>43628</c:v>
                </c:pt>
                <c:pt idx="603">
                  <c:v>43634</c:v>
                </c:pt>
                <c:pt idx="604">
                  <c:v>43642</c:v>
                </c:pt>
                <c:pt idx="605">
                  <c:v>43649</c:v>
                </c:pt>
                <c:pt idx="606">
                  <c:v>43656</c:v>
                </c:pt>
                <c:pt idx="607">
                  <c:v>43663</c:v>
                </c:pt>
                <c:pt idx="608">
                  <c:v>43670</c:v>
                </c:pt>
                <c:pt idx="609">
                  <c:v>43677</c:v>
                </c:pt>
                <c:pt idx="610">
                  <c:v>43684</c:v>
                </c:pt>
                <c:pt idx="611">
                  <c:v>43691</c:v>
                </c:pt>
                <c:pt idx="612">
                  <c:v>43698</c:v>
                </c:pt>
                <c:pt idx="613">
                  <c:v>43705</c:v>
                </c:pt>
                <c:pt idx="614">
                  <c:v>43712</c:v>
                </c:pt>
                <c:pt idx="615">
                  <c:v>43719</c:v>
                </c:pt>
                <c:pt idx="616">
                  <c:v>43726</c:v>
                </c:pt>
                <c:pt idx="617">
                  <c:v>43733</c:v>
                </c:pt>
                <c:pt idx="618">
                  <c:v>43740</c:v>
                </c:pt>
                <c:pt idx="619">
                  <c:v>43747</c:v>
                </c:pt>
                <c:pt idx="620">
                  <c:v>43754</c:v>
                </c:pt>
                <c:pt idx="621">
                  <c:v>43761</c:v>
                </c:pt>
                <c:pt idx="622">
                  <c:v>43768</c:v>
                </c:pt>
                <c:pt idx="623">
                  <c:v>43775</c:v>
                </c:pt>
                <c:pt idx="624">
                  <c:v>43782</c:v>
                </c:pt>
                <c:pt idx="625">
                  <c:v>43789</c:v>
                </c:pt>
                <c:pt idx="626">
                  <c:v>43796</c:v>
                </c:pt>
                <c:pt idx="627">
                  <c:v>43803</c:v>
                </c:pt>
                <c:pt idx="628">
                  <c:v>43810</c:v>
                </c:pt>
                <c:pt idx="629">
                  <c:v>43817</c:v>
                </c:pt>
                <c:pt idx="630">
                  <c:v>43829</c:v>
                </c:pt>
                <c:pt idx="631">
                  <c:v>43833</c:v>
                </c:pt>
                <c:pt idx="632">
                  <c:v>43839</c:v>
                </c:pt>
                <c:pt idx="633">
                  <c:v>43846</c:v>
                </c:pt>
                <c:pt idx="634">
                  <c:v>43853</c:v>
                </c:pt>
                <c:pt idx="635">
                  <c:v>43860</c:v>
                </c:pt>
                <c:pt idx="636">
                  <c:v>43867</c:v>
                </c:pt>
                <c:pt idx="637">
                  <c:v>43874</c:v>
                </c:pt>
                <c:pt idx="638">
                  <c:v>43881</c:v>
                </c:pt>
                <c:pt idx="639">
                  <c:v>43888</c:v>
                </c:pt>
                <c:pt idx="640">
                  <c:v>43895</c:v>
                </c:pt>
                <c:pt idx="641">
                  <c:v>43902</c:v>
                </c:pt>
                <c:pt idx="642">
                  <c:v>43909</c:v>
                </c:pt>
                <c:pt idx="643">
                  <c:v>43916</c:v>
                </c:pt>
                <c:pt idx="644">
                  <c:v>43923</c:v>
                </c:pt>
                <c:pt idx="645">
                  <c:v>43930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43973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44193</c:v>
                </c:pt>
                <c:pt idx="683">
                  <c:v>44200</c:v>
                </c:pt>
                <c:pt idx="684">
                  <c:v>44204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44238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44315</c:v>
                </c:pt>
                <c:pt idx="701">
                  <c:v>44322</c:v>
                </c:pt>
                <c:pt idx="702">
                  <c:v>44330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44462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44553</c:v>
                </c:pt>
                <c:pt idx="735">
                  <c:v>44560</c:v>
                </c:pt>
                <c:pt idx="736">
                  <c:v>44568</c:v>
                </c:pt>
                <c:pt idx="737">
                  <c:v>44574</c:v>
                </c:pt>
                <c:pt idx="738">
                  <c:v>44581</c:v>
                </c:pt>
                <c:pt idx="739">
                  <c:v>44588</c:v>
                </c:pt>
                <c:pt idx="740">
                  <c:v>44595</c:v>
                </c:pt>
                <c:pt idx="741">
                  <c:v>44602</c:v>
                </c:pt>
                <c:pt idx="742">
                  <c:v>44609</c:v>
                </c:pt>
                <c:pt idx="743">
                  <c:v>44616</c:v>
                </c:pt>
                <c:pt idx="744">
                  <c:v>44623</c:v>
                </c:pt>
                <c:pt idx="745">
                  <c:v>44630</c:v>
                </c:pt>
                <c:pt idx="746">
                  <c:v>44637</c:v>
                </c:pt>
                <c:pt idx="747">
                  <c:v>44644</c:v>
                </c:pt>
                <c:pt idx="748">
                  <c:v>44651</c:v>
                </c:pt>
                <c:pt idx="749">
                  <c:v>44658</c:v>
                </c:pt>
                <c:pt idx="750">
                  <c:v>44665</c:v>
                </c:pt>
                <c:pt idx="751">
                  <c:v>44672</c:v>
                </c:pt>
                <c:pt idx="752">
                  <c:v>44679</c:v>
                </c:pt>
                <c:pt idx="753">
                  <c:v>44686</c:v>
                </c:pt>
                <c:pt idx="754">
                  <c:v>44693</c:v>
                </c:pt>
                <c:pt idx="755">
                  <c:v>44700</c:v>
                </c:pt>
                <c:pt idx="756">
                  <c:v>44708</c:v>
                </c:pt>
                <c:pt idx="757">
                  <c:v>44714</c:v>
                </c:pt>
                <c:pt idx="758">
                  <c:v>44721</c:v>
                </c:pt>
                <c:pt idx="759">
                  <c:v>44728</c:v>
                </c:pt>
                <c:pt idx="760">
                  <c:v>44735</c:v>
                </c:pt>
                <c:pt idx="761">
                  <c:v>44742</c:v>
                </c:pt>
                <c:pt idx="762">
                  <c:v>44749</c:v>
                </c:pt>
                <c:pt idx="763">
                  <c:v>44756</c:v>
                </c:pt>
                <c:pt idx="764">
                  <c:v>44763</c:v>
                </c:pt>
                <c:pt idx="765">
                  <c:v>44770</c:v>
                </c:pt>
                <c:pt idx="766">
                  <c:v>44777</c:v>
                </c:pt>
                <c:pt idx="767">
                  <c:v>44784</c:v>
                </c:pt>
                <c:pt idx="768">
                  <c:v>44791</c:v>
                </c:pt>
                <c:pt idx="769">
                  <c:v>44798</c:v>
                </c:pt>
                <c:pt idx="770">
                  <c:v>44805</c:v>
                </c:pt>
                <c:pt idx="771">
                  <c:v>44812</c:v>
                </c:pt>
                <c:pt idx="772">
                  <c:v>44819</c:v>
                </c:pt>
                <c:pt idx="773">
                  <c:v>44826</c:v>
                </c:pt>
                <c:pt idx="774">
                  <c:v>44833</c:v>
                </c:pt>
                <c:pt idx="775">
                  <c:v>44840</c:v>
                </c:pt>
                <c:pt idx="776">
                  <c:v>44847</c:v>
                </c:pt>
                <c:pt idx="777">
                  <c:v>44854</c:v>
                </c:pt>
                <c:pt idx="778">
                  <c:v>44861</c:v>
                </c:pt>
                <c:pt idx="779">
                  <c:v>44868</c:v>
                </c:pt>
                <c:pt idx="780">
                  <c:v>44875</c:v>
                </c:pt>
                <c:pt idx="781">
                  <c:v>44882</c:v>
                </c:pt>
                <c:pt idx="782">
                  <c:v>44889</c:v>
                </c:pt>
                <c:pt idx="783">
                  <c:v>44896</c:v>
                </c:pt>
                <c:pt idx="784">
                  <c:v>44903</c:v>
                </c:pt>
                <c:pt idx="785">
                  <c:v>44910</c:v>
                </c:pt>
                <c:pt idx="786">
                  <c:v>44917</c:v>
                </c:pt>
                <c:pt idx="787">
                  <c:v>44924</c:v>
                </c:pt>
                <c:pt idx="788">
                  <c:v>44931</c:v>
                </c:pt>
                <c:pt idx="789">
                  <c:v>44938</c:v>
                </c:pt>
                <c:pt idx="790">
                  <c:v>44945</c:v>
                </c:pt>
                <c:pt idx="791">
                  <c:v>44952</c:v>
                </c:pt>
                <c:pt idx="792">
                  <c:v>44959</c:v>
                </c:pt>
                <c:pt idx="793">
                  <c:v>44966</c:v>
                </c:pt>
                <c:pt idx="794">
                  <c:v>44973</c:v>
                </c:pt>
                <c:pt idx="795">
                  <c:v>44980</c:v>
                </c:pt>
                <c:pt idx="796">
                  <c:v>44987</c:v>
                </c:pt>
                <c:pt idx="797">
                  <c:v>44994</c:v>
                </c:pt>
                <c:pt idx="798">
                  <c:v>45001</c:v>
                </c:pt>
                <c:pt idx="799">
                  <c:v>45008</c:v>
                </c:pt>
                <c:pt idx="800">
                  <c:v>45015</c:v>
                </c:pt>
                <c:pt idx="801">
                  <c:v>45022</c:v>
                </c:pt>
                <c:pt idx="802">
                  <c:v>45029</c:v>
                </c:pt>
                <c:pt idx="803">
                  <c:v>45036</c:v>
                </c:pt>
                <c:pt idx="804">
                  <c:v>45043</c:v>
                </c:pt>
                <c:pt idx="805">
                  <c:v>45050</c:v>
                </c:pt>
                <c:pt idx="806">
                  <c:v>45057</c:v>
                </c:pt>
                <c:pt idx="807">
                  <c:v>45065</c:v>
                </c:pt>
                <c:pt idx="808">
                  <c:v>45071</c:v>
                </c:pt>
                <c:pt idx="809">
                  <c:v>45078</c:v>
                </c:pt>
                <c:pt idx="810">
                  <c:v>45085</c:v>
                </c:pt>
                <c:pt idx="811">
                  <c:v>45092</c:v>
                </c:pt>
                <c:pt idx="812">
                  <c:v>45099</c:v>
                </c:pt>
                <c:pt idx="813">
                  <c:v>45106</c:v>
                </c:pt>
                <c:pt idx="814">
                  <c:v>45113</c:v>
                </c:pt>
                <c:pt idx="815">
                  <c:v>45120</c:v>
                </c:pt>
                <c:pt idx="816">
                  <c:v>45127</c:v>
                </c:pt>
                <c:pt idx="817">
                  <c:v>45134</c:v>
                </c:pt>
                <c:pt idx="818">
                  <c:v>45141</c:v>
                </c:pt>
                <c:pt idx="819">
                  <c:v>45148</c:v>
                </c:pt>
                <c:pt idx="820">
                  <c:v>45155</c:v>
                </c:pt>
                <c:pt idx="821">
                  <c:v>45162</c:v>
                </c:pt>
                <c:pt idx="822">
                  <c:v>45169</c:v>
                </c:pt>
                <c:pt idx="823">
                  <c:v>45176</c:v>
                </c:pt>
                <c:pt idx="824">
                  <c:v>45183</c:v>
                </c:pt>
                <c:pt idx="825">
                  <c:v>45190</c:v>
                </c:pt>
                <c:pt idx="826">
                  <c:v>45197</c:v>
                </c:pt>
                <c:pt idx="827">
                  <c:v>45204</c:v>
                </c:pt>
                <c:pt idx="828">
                  <c:v>45211</c:v>
                </c:pt>
                <c:pt idx="829">
                  <c:v>45218</c:v>
                </c:pt>
                <c:pt idx="830">
                  <c:v>45225</c:v>
                </c:pt>
                <c:pt idx="831">
                  <c:v>45232</c:v>
                </c:pt>
                <c:pt idx="832">
                  <c:v>45239</c:v>
                </c:pt>
                <c:pt idx="833">
                  <c:v>45246</c:v>
                </c:pt>
                <c:pt idx="834">
                  <c:v>45253</c:v>
                </c:pt>
                <c:pt idx="835">
                  <c:v>45260</c:v>
                </c:pt>
                <c:pt idx="836">
                  <c:v>45267</c:v>
                </c:pt>
                <c:pt idx="837">
                  <c:v>45274</c:v>
                </c:pt>
                <c:pt idx="838">
                  <c:v>45281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45418</c:v>
                </c:pt>
                <c:pt idx="858">
                  <c:v>45426</c:v>
                </c:pt>
                <c:pt idx="859">
                  <c:v>45434</c:v>
                </c:pt>
                <c:pt idx="860">
                  <c:v>45440</c:v>
                </c:pt>
                <c:pt idx="861">
                  <c:v>45447</c:v>
                </c:pt>
                <c:pt idx="862">
                  <c:v>45454</c:v>
                </c:pt>
                <c:pt idx="863">
                  <c:v>45461</c:v>
                </c:pt>
                <c:pt idx="864">
                  <c:v>45469</c:v>
                </c:pt>
                <c:pt idx="865">
                  <c:v>45476</c:v>
                </c:pt>
                <c:pt idx="866">
                  <c:v>45483</c:v>
                </c:pt>
                <c:pt idx="867">
                  <c:v>45490</c:v>
                </c:pt>
                <c:pt idx="868">
                  <c:v>45497</c:v>
                </c:pt>
                <c:pt idx="869">
                  <c:v>45504</c:v>
                </c:pt>
                <c:pt idx="870">
                  <c:v>45511</c:v>
                </c:pt>
                <c:pt idx="871">
                  <c:v>45518</c:v>
                </c:pt>
                <c:pt idx="872">
                  <c:v>45525</c:v>
                </c:pt>
                <c:pt idx="873">
                  <c:v>45532</c:v>
                </c:pt>
                <c:pt idx="874">
                  <c:v>45539</c:v>
                </c:pt>
                <c:pt idx="875">
                  <c:v>45546</c:v>
                </c:pt>
                <c:pt idx="876">
                  <c:v>45553</c:v>
                </c:pt>
                <c:pt idx="877">
                  <c:v>45560</c:v>
                </c:pt>
                <c:pt idx="878">
                  <c:v>45567</c:v>
                </c:pt>
                <c:pt idx="879">
                  <c:v>45574</c:v>
                </c:pt>
                <c:pt idx="880">
                  <c:v>45581</c:v>
                </c:pt>
                <c:pt idx="881">
                  <c:v>45588</c:v>
                </c:pt>
                <c:pt idx="882">
                  <c:v>45595</c:v>
                </c:pt>
                <c:pt idx="883">
                  <c:v>45602</c:v>
                </c:pt>
                <c:pt idx="884">
                  <c:v>45609</c:v>
                </c:pt>
                <c:pt idx="885">
                  <c:v>45616</c:v>
                </c:pt>
                <c:pt idx="886">
                  <c:v>45623</c:v>
                </c:pt>
                <c:pt idx="887">
                  <c:v>45630</c:v>
                </c:pt>
                <c:pt idx="888">
                  <c:v>45637</c:v>
                </c:pt>
                <c:pt idx="889">
                  <c:v>45644</c:v>
                </c:pt>
                <c:pt idx="890">
                  <c:v>45656</c:v>
                </c:pt>
                <c:pt idx="891">
                  <c:v>45660</c:v>
                </c:pt>
                <c:pt idx="892">
                  <c:v>45666</c:v>
                </c:pt>
                <c:pt idx="893">
                  <c:v>45673</c:v>
                </c:pt>
                <c:pt idx="894">
                  <c:v>45680</c:v>
                </c:pt>
                <c:pt idx="895">
                  <c:v>45687</c:v>
                </c:pt>
                <c:pt idx="896">
                  <c:v>45694</c:v>
                </c:pt>
                <c:pt idx="897">
                  <c:v>45701</c:v>
                </c:pt>
                <c:pt idx="898">
                  <c:v>45708</c:v>
                </c:pt>
                <c:pt idx="899">
                  <c:v>45715</c:v>
                </c:pt>
                <c:pt idx="900">
                  <c:v>45722</c:v>
                </c:pt>
                <c:pt idx="901">
                  <c:v>45729</c:v>
                </c:pt>
                <c:pt idx="902">
                  <c:v>45736</c:v>
                </c:pt>
                <c:pt idx="903">
                  <c:v>45743</c:v>
                </c:pt>
                <c:pt idx="904">
                  <c:v>45750</c:v>
                </c:pt>
                <c:pt idx="905">
                  <c:v>45757</c:v>
                </c:pt>
                <c:pt idx="906">
                  <c:v>45764</c:v>
                </c:pt>
                <c:pt idx="907">
                  <c:v>45771</c:v>
                </c:pt>
                <c:pt idx="908">
                  <c:v>45779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45807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46021</c:v>
                </c:pt>
                <c:pt idx="943">
                  <c:v>46027</c:v>
                </c:pt>
                <c:pt idx="944">
                  <c:v>46031</c:v>
                </c:pt>
                <c:pt idx="945">
                  <c:v>46038</c:v>
                </c:pt>
                <c:pt idx="946">
                  <c:v>46045</c:v>
                </c:pt>
                <c:pt idx="947">
                  <c:v>46052</c:v>
                </c:pt>
                <c:pt idx="948">
                  <c:v>46059</c:v>
                </c:pt>
                <c:pt idx="949">
                  <c:v>46066</c:v>
                </c:pt>
                <c:pt idx="950">
                  <c:v>46073</c:v>
                </c:pt>
                <c:pt idx="951">
                  <c:v>46080</c:v>
                </c:pt>
                <c:pt idx="952">
                  <c:v>46087</c:v>
                </c:pt>
                <c:pt idx="953">
                  <c:v>46094</c:v>
                </c:pt>
                <c:pt idx="954">
                  <c:v>46101</c:v>
                </c:pt>
                <c:pt idx="955">
                  <c:v>46108</c:v>
                </c:pt>
                <c:pt idx="956">
                  <c:v>46119</c:v>
                </c:pt>
                <c:pt idx="957">
                  <c:v>46122</c:v>
                </c:pt>
                <c:pt idx="958">
                  <c:v>46129</c:v>
                </c:pt>
                <c:pt idx="959">
                  <c:v>46136</c:v>
                </c:pt>
                <c:pt idx="960">
                  <c:v>46146</c:v>
                </c:pt>
                <c:pt idx="961">
                  <c:v>46150</c:v>
                </c:pt>
                <c:pt idx="962">
                  <c:v>46160</c:v>
                </c:pt>
                <c:pt idx="963">
                  <c:v>46164</c:v>
                </c:pt>
                <c:pt idx="964">
                  <c:v>46171</c:v>
                </c:pt>
                <c:pt idx="965">
                  <c:v>46178</c:v>
                </c:pt>
                <c:pt idx="966">
                  <c:v>46185</c:v>
                </c:pt>
                <c:pt idx="967">
                  <c:v>46195</c:v>
                </c:pt>
                <c:pt idx="968">
                  <c:v>46199</c:v>
                </c:pt>
                <c:pt idx="969">
                  <c:v>46206</c:v>
                </c:pt>
                <c:pt idx="970">
                  <c:v>46213</c:v>
                </c:pt>
                <c:pt idx="971">
                  <c:v>46220</c:v>
                </c:pt>
                <c:pt idx="972">
                  <c:v>46227</c:v>
                </c:pt>
                <c:pt idx="973">
                  <c:v>46234</c:v>
                </c:pt>
                <c:pt idx="974">
                  <c:v>46241</c:v>
                </c:pt>
                <c:pt idx="975">
                  <c:v>46248</c:v>
                </c:pt>
                <c:pt idx="976">
                  <c:v>46255</c:v>
                </c:pt>
                <c:pt idx="977">
                  <c:v>46262</c:v>
                </c:pt>
                <c:pt idx="978">
                  <c:v>46269</c:v>
                </c:pt>
                <c:pt idx="979">
                  <c:v>46276</c:v>
                </c:pt>
                <c:pt idx="980">
                  <c:v>46283</c:v>
                </c:pt>
                <c:pt idx="981">
                  <c:v>46290</c:v>
                </c:pt>
                <c:pt idx="982">
                  <c:v>46297</c:v>
                </c:pt>
                <c:pt idx="983">
                  <c:v>46304</c:v>
                </c:pt>
                <c:pt idx="984">
                  <c:v>46311</c:v>
                </c:pt>
                <c:pt idx="985">
                  <c:v>46318</c:v>
                </c:pt>
                <c:pt idx="986">
                  <c:v>46325</c:v>
                </c:pt>
                <c:pt idx="987">
                  <c:v>46332</c:v>
                </c:pt>
                <c:pt idx="988">
                  <c:v>46339</c:v>
                </c:pt>
                <c:pt idx="989">
                  <c:v>46346</c:v>
                </c:pt>
                <c:pt idx="990">
                  <c:v>46353</c:v>
                </c:pt>
                <c:pt idx="991">
                  <c:v>46360</c:v>
                </c:pt>
                <c:pt idx="992">
                  <c:v>46367</c:v>
                </c:pt>
                <c:pt idx="993">
                  <c:v>46374</c:v>
                </c:pt>
                <c:pt idx="994">
                  <c:v>46385</c:v>
                </c:pt>
                <c:pt idx="995">
                  <c:v>46392</c:v>
                </c:pt>
                <c:pt idx="996">
                  <c:v>46398</c:v>
                </c:pt>
                <c:pt idx="997">
                  <c:v>46405</c:v>
                </c:pt>
                <c:pt idx="998">
                  <c:v>46412</c:v>
                </c:pt>
                <c:pt idx="999">
                  <c:v>46419</c:v>
                </c:pt>
                <c:pt idx="1000">
                  <c:v>46426</c:v>
                </c:pt>
                <c:pt idx="1001">
                  <c:v>46433</c:v>
                </c:pt>
                <c:pt idx="1002">
                  <c:v>46440</c:v>
                </c:pt>
                <c:pt idx="1003">
                  <c:v>46447</c:v>
                </c:pt>
                <c:pt idx="1004">
                  <c:v>46454</c:v>
                </c:pt>
                <c:pt idx="1005">
                  <c:v>46461</c:v>
                </c:pt>
                <c:pt idx="1006">
                  <c:v>46468</c:v>
                </c:pt>
                <c:pt idx="1007">
                  <c:v>46477</c:v>
                </c:pt>
                <c:pt idx="1008">
                  <c:v>46482</c:v>
                </c:pt>
                <c:pt idx="1009">
                  <c:v>46489</c:v>
                </c:pt>
                <c:pt idx="1010">
                  <c:v>46496</c:v>
                </c:pt>
                <c:pt idx="1011">
                  <c:v>46503</c:v>
                </c:pt>
                <c:pt idx="1012">
                  <c:v>46510</c:v>
                </c:pt>
                <c:pt idx="1013">
                  <c:v>46518</c:v>
                </c:pt>
                <c:pt idx="1014">
                  <c:v>46526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46568</c:v>
                </c:pt>
                <c:pt idx="1021">
                  <c:v>46575</c:v>
                </c:pt>
                <c:pt idx="1022">
                  <c:v>46582</c:v>
                </c:pt>
                <c:pt idx="1023">
                  <c:v>46589</c:v>
                </c:pt>
                <c:pt idx="1024">
                  <c:v>46596</c:v>
                </c:pt>
                <c:pt idx="1025">
                  <c:v>46603</c:v>
                </c:pt>
                <c:pt idx="1026">
                  <c:v>46610</c:v>
                </c:pt>
                <c:pt idx="1027">
                  <c:v>46617</c:v>
                </c:pt>
                <c:pt idx="1028">
                  <c:v>46624</c:v>
                </c:pt>
                <c:pt idx="1029">
                  <c:v>46631</c:v>
                </c:pt>
                <c:pt idx="1030">
                  <c:v>46638</c:v>
                </c:pt>
                <c:pt idx="1031">
                  <c:v>46645</c:v>
                </c:pt>
                <c:pt idx="1032">
                  <c:v>46652</c:v>
                </c:pt>
                <c:pt idx="1033">
                  <c:v>46659</c:v>
                </c:pt>
                <c:pt idx="1034">
                  <c:v>46666</c:v>
                </c:pt>
                <c:pt idx="1035">
                  <c:v>46673</c:v>
                </c:pt>
                <c:pt idx="1036">
                  <c:v>46680</c:v>
                </c:pt>
                <c:pt idx="1037">
                  <c:v>46687</c:v>
                </c:pt>
                <c:pt idx="1038">
                  <c:v>46694</c:v>
                </c:pt>
                <c:pt idx="1039">
                  <c:v>46701</c:v>
                </c:pt>
                <c:pt idx="1040">
                  <c:v>46708</c:v>
                </c:pt>
                <c:pt idx="1041">
                  <c:v>46715</c:v>
                </c:pt>
                <c:pt idx="1042">
                  <c:v>46722</c:v>
                </c:pt>
                <c:pt idx="1043">
                  <c:v>46729</c:v>
                </c:pt>
                <c:pt idx="1044">
                  <c:v>46736</c:v>
                </c:pt>
                <c:pt idx="1045">
                  <c:v>46743</c:v>
                </c:pt>
                <c:pt idx="1046">
                  <c:v>46750</c:v>
                </c:pt>
                <c:pt idx="1047">
                  <c:v>46757</c:v>
                </c:pt>
                <c:pt idx="1048">
                  <c:v>46764</c:v>
                </c:pt>
                <c:pt idx="1049">
                  <c:v>46771</c:v>
                </c:pt>
                <c:pt idx="1050">
                  <c:v>46778</c:v>
                </c:pt>
                <c:pt idx="1051">
                  <c:v>46785</c:v>
                </c:pt>
                <c:pt idx="1052">
                  <c:v>46792</c:v>
                </c:pt>
                <c:pt idx="1053">
                  <c:v>46799</c:v>
                </c:pt>
                <c:pt idx="1054">
                  <c:v>46806</c:v>
                </c:pt>
                <c:pt idx="1055">
                  <c:v>46813</c:v>
                </c:pt>
                <c:pt idx="1056">
                  <c:v>46820</c:v>
                </c:pt>
                <c:pt idx="1057">
                  <c:v>46827</c:v>
                </c:pt>
                <c:pt idx="1058">
                  <c:v>46834</c:v>
                </c:pt>
                <c:pt idx="1059">
                  <c:v>46841</c:v>
                </c:pt>
                <c:pt idx="1060">
                  <c:v>46848</c:v>
                </c:pt>
                <c:pt idx="1061">
                  <c:v>46855</c:v>
                </c:pt>
                <c:pt idx="1062">
                  <c:v>46863</c:v>
                </c:pt>
                <c:pt idx="1063">
                  <c:v>46870</c:v>
                </c:pt>
                <c:pt idx="1064">
                  <c:v>46877</c:v>
                </c:pt>
                <c:pt idx="1065">
                  <c:v>46884</c:v>
                </c:pt>
                <c:pt idx="1066">
                  <c:v>46891</c:v>
                </c:pt>
                <c:pt idx="1067">
                  <c:v>46899</c:v>
                </c:pt>
                <c:pt idx="1068">
                  <c:v>46905</c:v>
                </c:pt>
                <c:pt idx="1069">
                  <c:v>46912</c:v>
                </c:pt>
                <c:pt idx="1070">
                  <c:v>46919</c:v>
                </c:pt>
                <c:pt idx="1071">
                  <c:v>46926</c:v>
                </c:pt>
                <c:pt idx="1072">
                  <c:v>46933</c:v>
                </c:pt>
                <c:pt idx="1073">
                  <c:v>46940</c:v>
                </c:pt>
                <c:pt idx="1074">
                  <c:v>46947</c:v>
                </c:pt>
                <c:pt idx="1075">
                  <c:v>46954</c:v>
                </c:pt>
                <c:pt idx="1076">
                  <c:v>46961</c:v>
                </c:pt>
                <c:pt idx="1077">
                  <c:v>46968</c:v>
                </c:pt>
                <c:pt idx="1078">
                  <c:v>46975</c:v>
                </c:pt>
                <c:pt idx="1079">
                  <c:v>46982</c:v>
                </c:pt>
                <c:pt idx="1080">
                  <c:v>46989</c:v>
                </c:pt>
                <c:pt idx="1081">
                  <c:v>46996</c:v>
                </c:pt>
                <c:pt idx="1082">
                  <c:v>47003</c:v>
                </c:pt>
                <c:pt idx="1083">
                  <c:v>47010</c:v>
                </c:pt>
                <c:pt idx="1084">
                  <c:v>47017</c:v>
                </c:pt>
                <c:pt idx="1085">
                  <c:v>47024</c:v>
                </c:pt>
                <c:pt idx="1086">
                  <c:v>47031</c:v>
                </c:pt>
                <c:pt idx="1087">
                  <c:v>47038</c:v>
                </c:pt>
                <c:pt idx="1088">
                  <c:v>47045</c:v>
                </c:pt>
                <c:pt idx="1089">
                  <c:v>47052</c:v>
                </c:pt>
                <c:pt idx="1090">
                  <c:v>47059</c:v>
                </c:pt>
                <c:pt idx="1091">
                  <c:v>47066</c:v>
                </c:pt>
                <c:pt idx="1092">
                  <c:v>47073</c:v>
                </c:pt>
                <c:pt idx="1093">
                  <c:v>47080</c:v>
                </c:pt>
                <c:pt idx="1094">
                  <c:v>47087</c:v>
                </c:pt>
                <c:pt idx="1095">
                  <c:v>47094</c:v>
                </c:pt>
                <c:pt idx="1096">
                  <c:v>47101</c:v>
                </c:pt>
                <c:pt idx="1097">
                  <c:v>47108</c:v>
                </c:pt>
                <c:pt idx="1098">
                  <c:v>47116</c:v>
                </c:pt>
                <c:pt idx="1099">
                  <c:v>47123</c:v>
                </c:pt>
                <c:pt idx="1100">
                  <c:v>47130</c:v>
                </c:pt>
                <c:pt idx="1101">
                  <c:v>47137</c:v>
                </c:pt>
                <c:pt idx="1102">
                  <c:v>47144</c:v>
                </c:pt>
                <c:pt idx="1103">
                  <c:v>47151</c:v>
                </c:pt>
                <c:pt idx="1104">
                  <c:v>47158</c:v>
                </c:pt>
                <c:pt idx="1105">
                  <c:v>47165</c:v>
                </c:pt>
                <c:pt idx="1106">
                  <c:v>47172</c:v>
                </c:pt>
                <c:pt idx="1107">
                  <c:v>47179</c:v>
                </c:pt>
                <c:pt idx="1108">
                  <c:v>47186</c:v>
                </c:pt>
                <c:pt idx="1109">
                  <c:v>47193</c:v>
                </c:pt>
                <c:pt idx="1110">
                  <c:v>47200</c:v>
                </c:pt>
                <c:pt idx="1111">
                  <c:v>47211</c:v>
                </c:pt>
                <c:pt idx="1112">
                  <c:v>47214</c:v>
                </c:pt>
                <c:pt idx="1113">
                  <c:v>47221</c:v>
                </c:pt>
                <c:pt idx="1114">
                  <c:v>47228</c:v>
                </c:pt>
                <c:pt idx="1115">
                  <c:v>47235</c:v>
                </c:pt>
                <c:pt idx="1116">
                  <c:v>47242</c:v>
                </c:pt>
                <c:pt idx="1117">
                  <c:v>47252</c:v>
                </c:pt>
                <c:pt idx="1118">
                  <c:v>47256</c:v>
                </c:pt>
                <c:pt idx="1119">
                  <c:v>47263</c:v>
                </c:pt>
                <c:pt idx="1120">
                  <c:v>47270</c:v>
                </c:pt>
                <c:pt idx="1121">
                  <c:v>47277</c:v>
                </c:pt>
                <c:pt idx="1122">
                  <c:v>47284</c:v>
                </c:pt>
                <c:pt idx="1123">
                  <c:v>47294</c:v>
                </c:pt>
                <c:pt idx="1124">
                  <c:v>47298</c:v>
                </c:pt>
                <c:pt idx="1125">
                  <c:v>47305</c:v>
                </c:pt>
                <c:pt idx="1126">
                  <c:v>47312</c:v>
                </c:pt>
                <c:pt idx="1127">
                  <c:v>47319</c:v>
                </c:pt>
                <c:pt idx="1128">
                  <c:v>47326</c:v>
                </c:pt>
                <c:pt idx="1129">
                  <c:v>47333</c:v>
                </c:pt>
                <c:pt idx="1130">
                  <c:v>47340</c:v>
                </c:pt>
                <c:pt idx="1131">
                  <c:v>47347</c:v>
                </c:pt>
                <c:pt idx="1132">
                  <c:v>47354</c:v>
                </c:pt>
                <c:pt idx="1133">
                  <c:v>47361</c:v>
                </c:pt>
                <c:pt idx="1134">
                  <c:v>47368</c:v>
                </c:pt>
                <c:pt idx="1135">
                  <c:v>47375</c:v>
                </c:pt>
                <c:pt idx="1136">
                  <c:v>47382</c:v>
                </c:pt>
                <c:pt idx="1137">
                  <c:v>47389</c:v>
                </c:pt>
                <c:pt idx="1138">
                  <c:v>47396</c:v>
                </c:pt>
                <c:pt idx="1139">
                  <c:v>47403</c:v>
                </c:pt>
                <c:pt idx="1140">
                  <c:v>47410</c:v>
                </c:pt>
                <c:pt idx="1141">
                  <c:v>47417</c:v>
                </c:pt>
                <c:pt idx="1142">
                  <c:v>47424</c:v>
                </c:pt>
                <c:pt idx="1143">
                  <c:v>47431</c:v>
                </c:pt>
                <c:pt idx="1144">
                  <c:v>47438</c:v>
                </c:pt>
                <c:pt idx="1145">
                  <c:v>47445</c:v>
                </c:pt>
                <c:pt idx="1146">
                  <c:v>47452</c:v>
                </c:pt>
                <c:pt idx="1147">
                  <c:v>47459</c:v>
                </c:pt>
                <c:pt idx="1148">
                  <c:v>47466</c:v>
                </c:pt>
                <c:pt idx="1149">
                  <c:v>47473</c:v>
                </c:pt>
                <c:pt idx="1150">
                  <c:v>47485</c:v>
                </c:pt>
                <c:pt idx="1151">
                  <c:v>47490</c:v>
                </c:pt>
                <c:pt idx="1152">
                  <c:v>47497</c:v>
                </c:pt>
                <c:pt idx="1153">
                  <c:v>47504</c:v>
                </c:pt>
                <c:pt idx="1154">
                  <c:v>47511</c:v>
                </c:pt>
                <c:pt idx="1155">
                  <c:v>47518</c:v>
                </c:pt>
                <c:pt idx="1156">
                  <c:v>47525</c:v>
                </c:pt>
                <c:pt idx="1157">
                  <c:v>47532</c:v>
                </c:pt>
                <c:pt idx="1158">
                  <c:v>47539</c:v>
                </c:pt>
                <c:pt idx="1159">
                  <c:v>47546</c:v>
                </c:pt>
                <c:pt idx="1160">
                  <c:v>47553</c:v>
                </c:pt>
                <c:pt idx="1161">
                  <c:v>47560</c:v>
                </c:pt>
                <c:pt idx="1162">
                  <c:v>47567</c:v>
                </c:pt>
                <c:pt idx="1163">
                  <c:v>47574</c:v>
                </c:pt>
                <c:pt idx="1164">
                  <c:v>47581</c:v>
                </c:pt>
                <c:pt idx="1165">
                  <c:v>47588</c:v>
                </c:pt>
                <c:pt idx="1166">
                  <c:v>47597</c:v>
                </c:pt>
                <c:pt idx="1167">
                  <c:v>47602</c:v>
                </c:pt>
                <c:pt idx="1168">
                  <c:v>47609</c:v>
                </c:pt>
                <c:pt idx="1169">
                  <c:v>47616</c:v>
                </c:pt>
                <c:pt idx="1170">
                  <c:v>47623</c:v>
                </c:pt>
                <c:pt idx="1171">
                  <c:v>47630</c:v>
                </c:pt>
                <c:pt idx="1172">
                  <c:v>47638</c:v>
                </c:pt>
                <c:pt idx="1173">
                  <c:v>47646</c:v>
                </c:pt>
                <c:pt idx="1174">
                  <c:v>47652</c:v>
                </c:pt>
                <c:pt idx="1175">
                  <c:v>47660</c:v>
                </c:pt>
                <c:pt idx="1176">
                  <c:v>47667</c:v>
                </c:pt>
                <c:pt idx="1177">
                  <c:v>47674</c:v>
                </c:pt>
                <c:pt idx="1178">
                  <c:v>47681</c:v>
                </c:pt>
                <c:pt idx="1179">
                  <c:v>47688</c:v>
                </c:pt>
                <c:pt idx="1180">
                  <c:v>47695</c:v>
                </c:pt>
                <c:pt idx="1181">
                  <c:v>47702</c:v>
                </c:pt>
                <c:pt idx="1182">
                  <c:v>47709</c:v>
                </c:pt>
                <c:pt idx="1183">
                  <c:v>47716</c:v>
                </c:pt>
                <c:pt idx="1184">
                  <c:v>47723</c:v>
                </c:pt>
                <c:pt idx="1185">
                  <c:v>47730</c:v>
                </c:pt>
                <c:pt idx="1186">
                  <c:v>47737</c:v>
                </c:pt>
                <c:pt idx="1187">
                  <c:v>47744</c:v>
                </c:pt>
                <c:pt idx="1188">
                  <c:v>47751</c:v>
                </c:pt>
                <c:pt idx="1189">
                  <c:v>47758</c:v>
                </c:pt>
                <c:pt idx="1190">
                  <c:v>47765</c:v>
                </c:pt>
                <c:pt idx="1191">
                  <c:v>47772</c:v>
                </c:pt>
                <c:pt idx="1192">
                  <c:v>47779</c:v>
                </c:pt>
                <c:pt idx="1193">
                  <c:v>47786</c:v>
                </c:pt>
                <c:pt idx="1194">
                  <c:v>47793</c:v>
                </c:pt>
                <c:pt idx="1195">
                  <c:v>47800</c:v>
                </c:pt>
                <c:pt idx="1196">
                  <c:v>47807</c:v>
                </c:pt>
                <c:pt idx="1197">
                  <c:v>47814</c:v>
                </c:pt>
                <c:pt idx="1198">
                  <c:v>47821</c:v>
                </c:pt>
                <c:pt idx="1199">
                  <c:v>47828</c:v>
                </c:pt>
                <c:pt idx="1200">
                  <c:v>47835</c:v>
                </c:pt>
                <c:pt idx="1201">
                  <c:v>47847</c:v>
                </c:pt>
                <c:pt idx="1202">
                  <c:v>47851</c:v>
                </c:pt>
                <c:pt idx="1203">
                  <c:v>47857</c:v>
                </c:pt>
                <c:pt idx="1204">
                  <c:v>47864</c:v>
                </c:pt>
                <c:pt idx="1205">
                  <c:v>47871</c:v>
                </c:pt>
                <c:pt idx="1206">
                  <c:v>47878</c:v>
                </c:pt>
                <c:pt idx="1207">
                  <c:v>47885</c:v>
                </c:pt>
                <c:pt idx="1208">
                  <c:v>47892</c:v>
                </c:pt>
                <c:pt idx="1209">
                  <c:v>47899</c:v>
                </c:pt>
                <c:pt idx="1210">
                  <c:v>47906</c:v>
                </c:pt>
                <c:pt idx="1211">
                  <c:v>47913</c:v>
                </c:pt>
                <c:pt idx="1212">
                  <c:v>47920</c:v>
                </c:pt>
                <c:pt idx="1213">
                  <c:v>47927</c:v>
                </c:pt>
                <c:pt idx="1214">
                  <c:v>47934</c:v>
                </c:pt>
                <c:pt idx="1215">
                  <c:v>47941</c:v>
                </c:pt>
                <c:pt idx="1216">
                  <c:v>47948</c:v>
                </c:pt>
                <c:pt idx="1217">
                  <c:v>47955</c:v>
                </c:pt>
                <c:pt idx="1218">
                  <c:v>47962</c:v>
                </c:pt>
                <c:pt idx="1219">
                  <c:v>47970</c:v>
                </c:pt>
                <c:pt idx="1220">
                  <c:v>47976</c:v>
                </c:pt>
                <c:pt idx="1221">
                  <c:v>47983</c:v>
                </c:pt>
                <c:pt idx="1222">
                  <c:v>47991</c:v>
                </c:pt>
                <c:pt idx="1223">
                  <c:v>47997</c:v>
                </c:pt>
                <c:pt idx="1224">
                  <c:v>48004</c:v>
                </c:pt>
                <c:pt idx="1225">
                  <c:v>48011</c:v>
                </c:pt>
                <c:pt idx="1226">
                  <c:v>48018</c:v>
                </c:pt>
                <c:pt idx="1227">
                  <c:v>48025</c:v>
                </c:pt>
                <c:pt idx="1228">
                  <c:v>48032</c:v>
                </c:pt>
                <c:pt idx="1229">
                  <c:v>48039</c:v>
                </c:pt>
                <c:pt idx="1230">
                  <c:v>48046</c:v>
                </c:pt>
                <c:pt idx="1231">
                  <c:v>48053</c:v>
                </c:pt>
                <c:pt idx="1232">
                  <c:v>48060</c:v>
                </c:pt>
                <c:pt idx="1233">
                  <c:v>48067</c:v>
                </c:pt>
                <c:pt idx="1234">
                  <c:v>48074</c:v>
                </c:pt>
                <c:pt idx="1235">
                  <c:v>48081</c:v>
                </c:pt>
                <c:pt idx="1236">
                  <c:v>48088</c:v>
                </c:pt>
                <c:pt idx="1237">
                  <c:v>48095</c:v>
                </c:pt>
                <c:pt idx="1238">
                  <c:v>48102</c:v>
                </c:pt>
                <c:pt idx="1239">
                  <c:v>48109</c:v>
                </c:pt>
                <c:pt idx="1240">
                  <c:v>48116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48212</c:v>
                </c:pt>
                <c:pt idx="1254">
                  <c:v>48218</c:v>
                </c:pt>
                <c:pt idx="1255">
                  <c:v>48222</c:v>
                </c:pt>
                <c:pt idx="1256">
                  <c:v>48229</c:v>
                </c:pt>
                <c:pt idx="1257">
                  <c:v>48236</c:v>
                </c:pt>
                <c:pt idx="1258">
                  <c:v>48243</c:v>
                </c:pt>
                <c:pt idx="1259">
                  <c:v>48250</c:v>
                </c:pt>
                <c:pt idx="1260">
                  <c:v>48257</c:v>
                </c:pt>
                <c:pt idx="1261">
                  <c:v>48264</c:v>
                </c:pt>
                <c:pt idx="1262">
                  <c:v>48271</c:v>
                </c:pt>
                <c:pt idx="1263">
                  <c:v>48278</c:v>
                </c:pt>
                <c:pt idx="1264">
                  <c:v>48285</c:v>
                </c:pt>
                <c:pt idx="1265">
                  <c:v>48292</c:v>
                </c:pt>
                <c:pt idx="1266">
                  <c:v>48303</c:v>
                </c:pt>
                <c:pt idx="1267">
                  <c:v>48306</c:v>
                </c:pt>
                <c:pt idx="1268">
                  <c:v>48313</c:v>
                </c:pt>
                <c:pt idx="1269">
                  <c:v>48320</c:v>
                </c:pt>
                <c:pt idx="1270">
                  <c:v>48327</c:v>
                </c:pt>
                <c:pt idx="1271">
                  <c:v>48334</c:v>
                </c:pt>
                <c:pt idx="1272">
                  <c:v>48344</c:v>
                </c:pt>
                <c:pt idx="1273">
                  <c:v>48348</c:v>
                </c:pt>
                <c:pt idx="1274">
                  <c:v>48355</c:v>
                </c:pt>
                <c:pt idx="1275">
                  <c:v>48362</c:v>
                </c:pt>
                <c:pt idx="1276">
                  <c:v>48369</c:v>
                </c:pt>
                <c:pt idx="1277">
                  <c:v>48376</c:v>
                </c:pt>
                <c:pt idx="1278">
                  <c:v>48383</c:v>
                </c:pt>
                <c:pt idx="1279">
                  <c:v>48393</c:v>
                </c:pt>
                <c:pt idx="1280">
                  <c:v>48397</c:v>
                </c:pt>
                <c:pt idx="1281">
                  <c:v>48404</c:v>
                </c:pt>
                <c:pt idx="1282">
                  <c:v>48411</c:v>
                </c:pt>
                <c:pt idx="1283">
                  <c:v>48418</c:v>
                </c:pt>
                <c:pt idx="1284">
                  <c:v>48425</c:v>
                </c:pt>
                <c:pt idx="1285">
                  <c:v>48432</c:v>
                </c:pt>
                <c:pt idx="1286">
                  <c:v>48439</c:v>
                </c:pt>
                <c:pt idx="1287">
                  <c:v>48446</c:v>
                </c:pt>
                <c:pt idx="1288">
                  <c:v>48453</c:v>
                </c:pt>
                <c:pt idx="1289">
                  <c:v>48460</c:v>
                </c:pt>
                <c:pt idx="1290">
                  <c:v>48467</c:v>
                </c:pt>
                <c:pt idx="1291">
                  <c:v>48474</c:v>
                </c:pt>
                <c:pt idx="1292">
                  <c:v>48481</c:v>
                </c:pt>
                <c:pt idx="1293">
                  <c:v>48488</c:v>
                </c:pt>
                <c:pt idx="1294">
                  <c:v>48495</c:v>
                </c:pt>
                <c:pt idx="1295">
                  <c:v>48502</c:v>
                </c:pt>
                <c:pt idx="1296">
                  <c:v>48509</c:v>
                </c:pt>
                <c:pt idx="1297">
                  <c:v>48516</c:v>
                </c:pt>
                <c:pt idx="1298">
                  <c:v>48523</c:v>
                </c:pt>
                <c:pt idx="1299">
                  <c:v>48530</c:v>
                </c:pt>
                <c:pt idx="1300">
                  <c:v>48537</c:v>
                </c:pt>
                <c:pt idx="1301">
                  <c:v>48544</c:v>
                </c:pt>
                <c:pt idx="1302">
                  <c:v>48551</c:v>
                </c:pt>
                <c:pt idx="1303">
                  <c:v>48558</c:v>
                </c:pt>
                <c:pt idx="1304">
                  <c:v>48565</c:v>
                </c:pt>
                <c:pt idx="1305">
                  <c:v>48575</c:v>
                </c:pt>
                <c:pt idx="1306">
                  <c:v>48582</c:v>
                </c:pt>
                <c:pt idx="1307">
                  <c:v>48589</c:v>
                </c:pt>
                <c:pt idx="1308">
                  <c:v>48593</c:v>
                </c:pt>
                <c:pt idx="1309">
                  <c:v>48600</c:v>
                </c:pt>
                <c:pt idx="1310">
                  <c:v>48607</c:v>
                </c:pt>
                <c:pt idx="1311">
                  <c:v>48614</c:v>
                </c:pt>
                <c:pt idx="1312">
                  <c:v>48621</c:v>
                </c:pt>
                <c:pt idx="1313">
                  <c:v>48628</c:v>
                </c:pt>
                <c:pt idx="1314">
                  <c:v>48635</c:v>
                </c:pt>
                <c:pt idx="1315">
                  <c:v>48642</c:v>
                </c:pt>
                <c:pt idx="1316">
                  <c:v>48649</c:v>
                </c:pt>
                <c:pt idx="1317">
                  <c:v>48656</c:v>
                </c:pt>
                <c:pt idx="1318">
                  <c:v>48663</c:v>
                </c:pt>
                <c:pt idx="1319">
                  <c:v>48670</c:v>
                </c:pt>
                <c:pt idx="1320">
                  <c:v>48677</c:v>
                </c:pt>
                <c:pt idx="1321">
                  <c:v>48688</c:v>
                </c:pt>
                <c:pt idx="1322">
                  <c:v>48691</c:v>
                </c:pt>
                <c:pt idx="1323">
                  <c:v>48698</c:v>
                </c:pt>
                <c:pt idx="1324">
                  <c:v>48705</c:v>
                </c:pt>
                <c:pt idx="1325">
                  <c:v>48712</c:v>
                </c:pt>
                <c:pt idx="1326">
                  <c:v>48719</c:v>
                </c:pt>
                <c:pt idx="1327">
                  <c:v>48729</c:v>
                </c:pt>
                <c:pt idx="1328">
                  <c:v>48733</c:v>
                </c:pt>
                <c:pt idx="1329">
                  <c:v>48740</c:v>
                </c:pt>
                <c:pt idx="1330">
                  <c:v>48747</c:v>
                </c:pt>
                <c:pt idx="1331">
                  <c:v>48757</c:v>
                </c:pt>
                <c:pt idx="1332">
                  <c:v>48761</c:v>
                </c:pt>
                <c:pt idx="1333">
                  <c:v>48768</c:v>
                </c:pt>
                <c:pt idx="1334">
                  <c:v>48775</c:v>
                </c:pt>
                <c:pt idx="1335">
                  <c:v>48782</c:v>
                </c:pt>
                <c:pt idx="1336">
                  <c:v>48789</c:v>
                </c:pt>
                <c:pt idx="1337">
                  <c:v>48796</c:v>
                </c:pt>
                <c:pt idx="1338">
                  <c:v>48803</c:v>
                </c:pt>
                <c:pt idx="1339">
                  <c:v>48810</c:v>
                </c:pt>
                <c:pt idx="1340">
                  <c:v>48817</c:v>
                </c:pt>
                <c:pt idx="1341">
                  <c:v>48824</c:v>
                </c:pt>
                <c:pt idx="1342">
                  <c:v>48831</c:v>
                </c:pt>
                <c:pt idx="1343">
                  <c:v>48838</c:v>
                </c:pt>
                <c:pt idx="1344">
                  <c:v>48845</c:v>
                </c:pt>
                <c:pt idx="1345">
                  <c:v>48852</c:v>
                </c:pt>
                <c:pt idx="1346">
                  <c:v>48859</c:v>
                </c:pt>
                <c:pt idx="1347">
                  <c:v>48866</c:v>
                </c:pt>
                <c:pt idx="1348">
                  <c:v>48873</c:v>
                </c:pt>
                <c:pt idx="1349">
                  <c:v>48880</c:v>
                </c:pt>
                <c:pt idx="1350">
                  <c:v>48887</c:v>
                </c:pt>
                <c:pt idx="1351">
                  <c:v>48894</c:v>
                </c:pt>
                <c:pt idx="1352">
                  <c:v>48901</c:v>
                </c:pt>
                <c:pt idx="1353">
                  <c:v>48908</c:v>
                </c:pt>
                <c:pt idx="1354">
                  <c:v>48915</c:v>
                </c:pt>
                <c:pt idx="1355">
                  <c:v>48922</c:v>
                </c:pt>
                <c:pt idx="1356">
                  <c:v>48929</c:v>
                </c:pt>
                <c:pt idx="1357">
                  <c:v>48936</c:v>
                </c:pt>
                <c:pt idx="1358">
                  <c:v>48943</c:v>
                </c:pt>
                <c:pt idx="1359">
                  <c:v>48953</c:v>
                </c:pt>
                <c:pt idx="1360">
                  <c:v>48957</c:v>
                </c:pt>
                <c:pt idx="1361">
                  <c:v>48964</c:v>
                </c:pt>
                <c:pt idx="1362">
                  <c:v>48971</c:v>
                </c:pt>
                <c:pt idx="1363">
                  <c:v>48978</c:v>
                </c:pt>
                <c:pt idx="1364">
                  <c:v>48985</c:v>
                </c:pt>
                <c:pt idx="1365">
                  <c:v>48992</c:v>
                </c:pt>
                <c:pt idx="1366">
                  <c:v>48999</c:v>
                </c:pt>
                <c:pt idx="1367">
                  <c:v>49006</c:v>
                </c:pt>
                <c:pt idx="1368">
                  <c:v>49013</c:v>
                </c:pt>
                <c:pt idx="1369">
                  <c:v>49020</c:v>
                </c:pt>
                <c:pt idx="1370">
                  <c:v>49027</c:v>
                </c:pt>
                <c:pt idx="1371">
                  <c:v>49034</c:v>
                </c:pt>
                <c:pt idx="1372">
                  <c:v>49045</c:v>
                </c:pt>
                <c:pt idx="1373">
                  <c:v>49048</c:v>
                </c:pt>
                <c:pt idx="1374">
                  <c:v>49055</c:v>
                </c:pt>
                <c:pt idx="1375">
                  <c:v>49062</c:v>
                </c:pt>
                <c:pt idx="1376">
                  <c:v>49069</c:v>
                </c:pt>
                <c:pt idx="1377">
                  <c:v>49076</c:v>
                </c:pt>
                <c:pt idx="1378">
                  <c:v>49086</c:v>
                </c:pt>
                <c:pt idx="1379">
                  <c:v>49090</c:v>
                </c:pt>
                <c:pt idx="1380">
                  <c:v>49097</c:v>
                </c:pt>
                <c:pt idx="1381">
                  <c:v>49104</c:v>
                </c:pt>
                <c:pt idx="1382">
                  <c:v>49111</c:v>
                </c:pt>
                <c:pt idx="1383">
                  <c:v>49121</c:v>
                </c:pt>
                <c:pt idx="1384">
                  <c:v>49125</c:v>
                </c:pt>
                <c:pt idx="1385">
                  <c:v>49132</c:v>
                </c:pt>
                <c:pt idx="1386">
                  <c:v>49139</c:v>
                </c:pt>
                <c:pt idx="1387">
                  <c:v>49146</c:v>
                </c:pt>
                <c:pt idx="1388">
                  <c:v>49153</c:v>
                </c:pt>
                <c:pt idx="1389">
                  <c:v>49160</c:v>
                </c:pt>
                <c:pt idx="1390">
                  <c:v>49167</c:v>
                </c:pt>
                <c:pt idx="1391">
                  <c:v>49174</c:v>
                </c:pt>
                <c:pt idx="1392">
                  <c:v>49181</c:v>
                </c:pt>
                <c:pt idx="1393">
                  <c:v>49188</c:v>
                </c:pt>
                <c:pt idx="1394">
                  <c:v>49195</c:v>
                </c:pt>
                <c:pt idx="1395">
                  <c:v>49202</c:v>
                </c:pt>
                <c:pt idx="1396">
                  <c:v>49209</c:v>
                </c:pt>
                <c:pt idx="1397">
                  <c:v>49216</c:v>
                </c:pt>
                <c:pt idx="1398">
                  <c:v>49223</c:v>
                </c:pt>
                <c:pt idx="1399">
                  <c:v>49230</c:v>
                </c:pt>
                <c:pt idx="1400">
                  <c:v>49237</c:v>
                </c:pt>
                <c:pt idx="1401">
                  <c:v>49244</c:v>
                </c:pt>
                <c:pt idx="1402">
                  <c:v>49251</c:v>
                </c:pt>
                <c:pt idx="1403">
                  <c:v>49258</c:v>
                </c:pt>
                <c:pt idx="1404">
                  <c:v>49265</c:v>
                </c:pt>
                <c:pt idx="1405">
                  <c:v>49272</c:v>
                </c:pt>
                <c:pt idx="1406">
                  <c:v>49279</c:v>
                </c:pt>
                <c:pt idx="1407">
                  <c:v>49286</c:v>
                </c:pt>
                <c:pt idx="1408">
                  <c:v>49293</c:v>
                </c:pt>
                <c:pt idx="1409">
                  <c:v>49300</c:v>
                </c:pt>
                <c:pt idx="1410">
                  <c:v>49307</c:v>
                </c:pt>
                <c:pt idx="1411">
                  <c:v>49314</c:v>
                </c:pt>
                <c:pt idx="1412">
                  <c:v>49321</c:v>
                </c:pt>
                <c:pt idx="1413">
                  <c:v>49328</c:v>
                </c:pt>
                <c:pt idx="1414">
                  <c:v>49335</c:v>
                </c:pt>
                <c:pt idx="1415">
                  <c:v>49342</c:v>
                </c:pt>
                <c:pt idx="1416">
                  <c:v>49349</c:v>
                </c:pt>
                <c:pt idx="1417">
                  <c:v>49356</c:v>
                </c:pt>
                <c:pt idx="1418">
                  <c:v>49363</c:v>
                </c:pt>
                <c:pt idx="1419">
                  <c:v>49370</c:v>
                </c:pt>
                <c:pt idx="1420">
                  <c:v>49377</c:v>
                </c:pt>
                <c:pt idx="1421">
                  <c:v>49384</c:v>
                </c:pt>
                <c:pt idx="1422">
                  <c:v>49395</c:v>
                </c:pt>
                <c:pt idx="1423">
                  <c:v>49398</c:v>
                </c:pt>
                <c:pt idx="1424">
                  <c:v>49405</c:v>
                </c:pt>
                <c:pt idx="1425">
                  <c:v>49412</c:v>
                </c:pt>
                <c:pt idx="1426">
                  <c:v>49419</c:v>
                </c:pt>
                <c:pt idx="1427">
                  <c:v>49426</c:v>
                </c:pt>
                <c:pt idx="1428">
                  <c:v>49436</c:v>
                </c:pt>
                <c:pt idx="1429">
                  <c:v>49440</c:v>
                </c:pt>
                <c:pt idx="1430">
                  <c:v>49447</c:v>
                </c:pt>
                <c:pt idx="1431">
                  <c:v>49454</c:v>
                </c:pt>
                <c:pt idx="1432">
                  <c:v>49461</c:v>
                </c:pt>
                <c:pt idx="1433">
                  <c:v>49468</c:v>
                </c:pt>
                <c:pt idx="1434">
                  <c:v>49475</c:v>
                </c:pt>
                <c:pt idx="1435">
                  <c:v>49485</c:v>
                </c:pt>
                <c:pt idx="1436">
                  <c:v>49489</c:v>
                </c:pt>
                <c:pt idx="1437">
                  <c:v>49496</c:v>
                </c:pt>
                <c:pt idx="1438">
                  <c:v>49503</c:v>
                </c:pt>
                <c:pt idx="1439">
                  <c:v>49510</c:v>
                </c:pt>
                <c:pt idx="1440">
                  <c:v>49517</c:v>
                </c:pt>
                <c:pt idx="1441">
                  <c:v>49524</c:v>
                </c:pt>
                <c:pt idx="1442">
                  <c:v>49531</c:v>
                </c:pt>
                <c:pt idx="1443">
                  <c:v>49538</c:v>
                </c:pt>
                <c:pt idx="1444">
                  <c:v>49545</c:v>
                </c:pt>
                <c:pt idx="1445">
                  <c:v>49552</c:v>
                </c:pt>
                <c:pt idx="1446">
                  <c:v>49559</c:v>
                </c:pt>
                <c:pt idx="1447">
                  <c:v>49566</c:v>
                </c:pt>
                <c:pt idx="1448">
                  <c:v>49573</c:v>
                </c:pt>
                <c:pt idx="1449">
                  <c:v>49580</c:v>
                </c:pt>
                <c:pt idx="1450">
                  <c:v>49587</c:v>
                </c:pt>
                <c:pt idx="1451">
                  <c:v>49594</c:v>
                </c:pt>
                <c:pt idx="1452">
                  <c:v>49601</c:v>
                </c:pt>
                <c:pt idx="1453">
                  <c:v>49608</c:v>
                </c:pt>
                <c:pt idx="1454">
                  <c:v>49615</c:v>
                </c:pt>
                <c:pt idx="1455">
                  <c:v>49622</c:v>
                </c:pt>
                <c:pt idx="1456">
                  <c:v>49629</c:v>
                </c:pt>
                <c:pt idx="1457">
                  <c:v>49636</c:v>
                </c:pt>
                <c:pt idx="1458">
                  <c:v>49643</c:v>
                </c:pt>
                <c:pt idx="1459">
                  <c:v>49650</c:v>
                </c:pt>
                <c:pt idx="1460">
                  <c:v>49657</c:v>
                </c:pt>
                <c:pt idx="1461">
                  <c:v>49664</c:v>
                </c:pt>
                <c:pt idx="1462">
                  <c:v>49676</c:v>
                </c:pt>
                <c:pt idx="1463">
                  <c:v>49681</c:v>
                </c:pt>
                <c:pt idx="1464">
                  <c:v>49688</c:v>
                </c:pt>
                <c:pt idx="1465">
                  <c:v>49695</c:v>
                </c:pt>
                <c:pt idx="1466">
                  <c:v>49702</c:v>
                </c:pt>
                <c:pt idx="1467">
                  <c:v>49709</c:v>
                </c:pt>
                <c:pt idx="1468">
                  <c:v>49716</c:v>
                </c:pt>
                <c:pt idx="1469">
                  <c:v>49723</c:v>
                </c:pt>
                <c:pt idx="1470">
                  <c:v>49730</c:v>
                </c:pt>
                <c:pt idx="1471">
                  <c:v>49737</c:v>
                </c:pt>
                <c:pt idx="1472">
                  <c:v>49744</c:v>
                </c:pt>
                <c:pt idx="1473">
                  <c:v>49751</c:v>
                </c:pt>
                <c:pt idx="1474">
                  <c:v>49758</c:v>
                </c:pt>
                <c:pt idx="1475">
                  <c:v>49765</c:v>
                </c:pt>
                <c:pt idx="1476">
                  <c:v>49772</c:v>
                </c:pt>
                <c:pt idx="1477">
                  <c:v>49781</c:v>
                </c:pt>
                <c:pt idx="1478">
                  <c:v>49786</c:v>
                </c:pt>
                <c:pt idx="1479">
                  <c:v>49793</c:v>
                </c:pt>
                <c:pt idx="1480">
                  <c:v>49801</c:v>
                </c:pt>
                <c:pt idx="1481">
                  <c:v>49808</c:v>
                </c:pt>
                <c:pt idx="1482">
                  <c:v>49815</c:v>
                </c:pt>
                <c:pt idx="1483">
                  <c:v>49822</c:v>
                </c:pt>
                <c:pt idx="1484">
                  <c:v>49830</c:v>
                </c:pt>
                <c:pt idx="1485">
                  <c:v>49836</c:v>
                </c:pt>
                <c:pt idx="1486">
                  <c:v>49843</c:v>
                </c:pt>
                <c:pt idx="1487">
                  <c:v>49851</c:v>
                </c:pt>
                <c:pt idx="1488">
                  <c:v>49858</c:v>
                </c:pt>
                <c:pt idx="1489">
                  <c:v>49865</c:v>
                </c:pt>
                <c:pt idx="1490">
                  <c:v>49872</c:v>
                </c:pt>
                <c:pt idx="1491">
                  <c:v>49879</c:v>
                </c:pt>
                <c:pt idx="1492">
                  <c:v>49886</c:v>
                </c:pt>
                <c:pt idx="1493">
                  <c:v>49893</c:v>
                </c:pt>
                <c:pt idx="1494">
                  <c:v>49900</c:v>
                </c:pt>
                <c:pt idx="1495">
                  <c:v>49907</c:v>
                </c:pt>
                <c:pt idx="1496">
                  <c:v>49914</c:v>
                </c:pt>
                <c:pt idx="1497">
                  <c:v>49921</c:v>
                </c:pt>
                <c:pt idx="1498">
                  <c:v>49928</c:v>
                </c:pt>
                <c:pt idx="1499">
                  <c:v>49935</c:v>
                </c:pt>
                <c:pt idx="1500">
                  <c:v>49942</c:v>
                </c:pt>
                <c:pt idx="1501">
                  <c:v>49949</c:v>
                </c:pt>
                <c:pt idx="1502">
                  <c:v>49956</c:v>
                </c:pt>
                <c:pt idx="1503">
                  <c:v>49963</c:v>
                </c:pt>
                <c:pt idx="1504">
                  <c:v>49970</c:v>
                </c:pt>
                <c:pt idx="1505">
                  <c:v>49977</c:v>
                </c:pt>
                <c:pt idx="1506">
                  <c:v>49984</c:v>
                </c:pt>
                <c:pt idx="1507">
                  <c:v>49991</c:v>
                </c:pt>
                <c:pt idx="1508">
                  <c:v>49998</c:v>
                </c:pt>
                <c:pt idx="1509">
                  <c:v>50005</c:v>
                </c:pt>
                <c:pt idx="1510">
                  <c:v>50012</c:v>
                </c:pt>
                <c:pt idx="1511">
                  <c:v>50019</c:v>
                </c:pt>
                <c:pt idx="1512">
                  <c:v>50026</c:v>
                </c:pt>
                <c:pt idx="1513">
                  <c:v>50038</c:v>
                </c:pt>
                <c:pt idx="1514">
                  <c:v>50042</c:v>
                </c:pt>
                <c:pt idx="1515">
                  <c:v>50048</c:v>
                </c:pt>
                <c:pt idx="1516">
                  <c:v>50054</c:v>
                </c:pt>
                <c:pt idx="1517">
                  <c:v>50061</c:v>
                </c:pt>
                <c:pt idx="1518">
                  <c:v>50068</c:v>
                </c:pt>
                <c:pt idx="1519">
                  <c:v>50075</c:v>
                </c:pt>
                <c:pt idx="1520">
                  <c:v>50082</c:v>
                </c:pt>
                <c:pt idx="1521">
                  <c:v>50089</c:v>
                </c:pt>
                <c:pt idx="1522">
                  <c:v>50096</c:v>
                </c:pt>
                <c:pt idx="1523">
                  <c:v>50103</c:v>
                </c:pt>
                <c:pt idx="1524">
                  <c:v>50110</c:v>
                </c:pt>
                <c:pt idx="1525">
                  <c:v>50117</c:v>
                </c:pt>
                <c:pt idx="1526">
                  <c:v>50124</c:v>
                </c:pt>
                <c:pt idx="1527">
                  <c:v>50131</c:v>
                </c:pt>
                <c:pt idx="1528">
                  <c:v>50139</c:v>
                </c:pt>
                <c:pt idx="1529">
                  <c:v>50146</c:v>
                </c:pt>
                <c:pt idx="1530">
                  <c:v>50153</c:v>
                </c:pt>
                <c:pt idx="1531">
                  <c:v>50160</c:v>
                </c:pt>
                <c:pt idx="1532">
                  <c:v>50167</c:v>
                </c:pt>
                <c:pt idx="1533">
                  <c:v>50175</c:v>
                </c:pt>
                <c:pt idx="1534">
                  <c:v>50181</c:v>
                </c:pt>
                <c:pt idx="1535">
                  <c:v>50188</c:v>
                </c:pt>
                <c:pt idx="1536">
                  <c:v>50195</c:v>
                </c:pt>
                <c:pt idx="1537">
                  <c:v>50202</c:v>
                </c:pt>
                <c:pt idx="1538">
                  <c:v>50209</c:v>
                </c:pt>
                <c:pt idx="1539">
                  <c:v>50216</c:v>
                </c:pt>
                <c:pt idx="1540">
                  <c:v>50223</c:v>
                </c:pt>
                <c:pt idx="1541">
                  <c:v>50230</c:v>
                </c:pt>
                <c:pt idx="1542">
                  <c:v>50237</c:v>
                </c:pt>
                <c:pt idx="1543">
                  <c:v>50244</c:v>
                </c:pt>
                <c:pt idx="1544">
                  <c:v>50251</c:v>
                </c:pt>
                <c:pt idx="1545">
                  <c:v>50258</c:v>
                </c:pt>
                <c:pt idx="1546">
                  <c:v>50265</c:v>
                </c:pt>
                <c:pt idx="1547">
                  <c:v>50272</c:v>
                </c:pt>
                <c:pt idx="1548">
                  <c:v>50279</c:v>
                </c:pt>
                <c:pt idx="1549">
                  <c:v>50286</c:v>
                </c:pt>
                <c:pt idx="1550">
                  <c:v>50293</c:v>
                </c:pt>
                <c:pt idx="1551">
                  <c:v>50300</c:v>
                </c:pt>
                <c:pt idx="1552">
                  <c:v>50307</c:v>
                </c:pt>
                <c:pt idx="1553">
                  <c:v>50314</c:v>
                </c:pt>
                <c:pt idx="1554">
                  <c:v>50321</c:v>
                </c:pt>
                <c:pt idx="1555">
                  <c:v>50328</c:v>
                </c:pt>
                <c:pt idx="1556">
                  <c:v>50335</c:v>
                </c:pt>
                <c:pt idx="1557">
                  <c:v>50342</c:v>
                </c:pt>
                <c:pt idx="1558">
                  <c:v>50349</c:v>
                </c:pt>
                <c:pt idx="1559">
                  <c:v>50356</c:v>
                </c:pt>
                <c:pt idx="1560">
                  <c:v>50363</c:v>
                </c:pt>
                <c:pt idx="1561">
                  <c:v>50370</c:v>
                </c:pt>
                <c:pt idx="1562">
                  <c:v>50377</c:v>
                </c:pt>
                <c:pt idx="1563">
                  <c:v>50384</c:v>
                </c:pt>
                <c:pt idx="1564">
                  <c:v>50391</c:v>
                </c:pt>
                <c:pt idx="1565">
                  <c:v>50402</c:v>
                </c:pt>
                <c:pt idx="1566">
                  <c:v>50409</c:v>
                </c:pt>
                <c:pt idx="1567">
                  <c:v>50413</c:v>
                </c:pt>
                <c:pt idx="1568">
                  <c:v>50419</c:v>
                </c:pt>
                <c:pt idx="1569">
                  <c:v>50426</c:v>
                </c:pt>
                <c:pt idx="1570">
                  <c:v>50433</c:v>
                </c:pt>
                <c:pt idx="1571">
                  <c:v>50440</c:v>
                </c:pt>
                <c:pt idx="1572">
                  <c:v>50447</c:v>
                </c:pt>
                <c:pt idx="1573">
                  <c:v>50454</c:v>
                </c:pt>
                <c:pt idx="1574">
                  <c:v>50461</c:v>
                </c:pt>
                <c:pt idx="1575">
                  <c:v>50468</c:v>
                </c:pt>
                <c:pt idx="1576">
                  <c:v>50475</c:v>
                </c:pt>
                <c:pt idx="1577">
                  <c:v>50482</c:v>
                </c:pt>
                <c:pt idx="1578">
                  <c:v>50489</c:v>
                </c:pt>
                <c:pt idx="1579">
                  <c:v>50496</c:v>
                </c:pt>
                <c:pt idx="1580">
                  <c:v>50503</c:v>
                </c:pt>
                <c:pt idx="1581">
                  <c:v>50510</c:v>
                </c:pt>
                <c:pt idx="1582">
                  <c:v>50517</c:v>
                </c:pt>
                <c:pt idx="1583">
                  <c:v>50524</c:v>
                </c:pt>
                <c:pt idx="1584">
                  <c:v>50531</c:v>
                </c:pt>
                <c:pt idx="1585">
                  <c:v>50538</c:v>
                </c:pt>
                <c:pt idx="1586">
                  <c:v>50545</c:v>
                </c:pt>
                <c:pt idx="1587">
                  <c:v>50552</c:v>
                </c:pt>
                <c:pt idx="1588">
                  <c:v>50560</c:v>
                </c:pt>
                <c:pt idx="1589">
                  <c:v>50566</c:v>
                </c:pt>
                <c:pt idx="1590">
                  <c:v>50573</c:v>
                </c:pt>
                <c:pt idx="1591">
                  <c:v>50580</c:v>
                </c:pt>
                <c:pt idx="1592">
                  <c:v>50587</c:v>
                </c:pt>
                <c:pt idx="1593">
                  <c:v>50594</c:v>
                </c:pt>
                <c:pt idx="1594">
                  <c:v>50601</c:v>
                </c:pt>
                <c:pt idx="1595">
                  <c:v>50608</c:v>
                </c:pt>
                <c:pt idx="1596">
                  <c:v>50615</c:v>
                </c:pt>
                <c:pt idx="1597">
                  <c:v>50622</c:v>
                </c:pt>
                <c:pt idx="1598">
                  <c:v>50629</c:v>
                </c:pt>
                <c:pt idx="1599">
                  <c:v>50636</c:v>
                </c:pt>
                <c:pt idx="1600">
                  <c:v>50643</c:v>
                </c:pt>
                <c:pt idx="1601">
                  <c:v>50650</c:v>
                </c:pt>
                <c:pt idx="1602">
                  <c:v>50657</c:v>
                </c:pt>
                <c:pt idx="1603">
                  <c:v>50664</c:v>
                </c:pt>
                <c:pt idx="1604">
                  <c:v>50671</c:v>
                </c:pt>
                <c:pt idx="1605">
                  <c:v>50678</c:v>
                </c:pt>
                <c:pt idx="1606">
                  <c:v>50685</c:v>
                </c:pt>
                <c:pt idx="1607">
                  <c:v>50692</c:v>
                </c:pt>
                <c:pt idx="1608">
                  <c:v>50699</c:v>
                </c:pt>
                <c:pt idx="1609">
                  <c:v>50706</c:v>
                </c:pt>
                <c:pt idx="1610">
                  <c:v>50713</c:v>
                </c:pt>
                <c:pt idx="1611">
                  <c:v>50720</c:v>
                </c:pt>
                <c:pt idx="1612">
                  <c:v>50727</c:v>
                </c:pt>
                <c:pt idx="1613">
                  <c:v>50734</c:v>
                </c:pt>
                <c:pt idx="1614">
                  <c:v>50741</c:v>
                </c:pt>
                <c:pt idx="1615">
                  <c:v>50748</c:v>
                </c:pt>
                <c:pt idx="1616">
                  <c:v>50755</c:v>
                </c:pt>
                <c:pt idx="1617">
                  <c:v>50762</c:v>
                </c:pt>
                <c:pt idx="1618">
                  <c:v>50769</c:v>
                </c:pt>
                <c:pt idx="1619">
                  <c:v>50777</c:v>
                </c:pt>
                <c:pt idx="1620">
                  <c:v>50783</c:v>
                </c:pt>
                <c:pt idx="1621">
                  <c:v>50790</c:v>
                </c:pt>
                <c:pt idx="1622">
                  <c:v>50797</c:v>
                </c:pt>
                <c:pt idx="1623">
                  <c:v>50804</c:v>
                </c:pt>
                <c:pt idx="1624">
                  <c:v>50811</c:v>
                </c:pt>
                <c:pt idx="1625">
                  <c:v>50818</c:v>
                </c:pt>
                <c:pt idx="1626">
                  <c:v>50825</c:v>
                </c:pt>
                <c:pt idx="1627">
                  <c:v>50832</c:v>
                </c:pt>
                <c:pt idx="1628">
                  <c:v>50839</c:v>
                </c:pt>
                <c:pt idx="1629">
                  <c:v>50846</c:v>
                </c:pt>
                <c:pt idx="1630">
                  <c:v>50853</c:v>
                </c:pt>
                <c:pt idx="1631">
                  <c:v>50860</c:v>
                </c:pt>
                <c:pt idx="1632">
                  <c:v>50867</c:v>
                </c:pt>
                <c:pt idx="1633">
                  <c:v>50874</c:v>
                </c:pt>
                <c:pt idx="1634">
                  <c:v>50881</c:v>
                </c:pt>
                <c:pt idx="1635">
                  <c:v>50888</c:v>
                </c:pt>
                <c:pt idx="1636">
                  <c:v>50895</c:v>
                </c:pt>
                <c:pt idx="1637">
                  <c:v>50902</c:v>
                </c:pt>
                <c:pt idx="1638">
                  <c:v>50910</c:v>
                </c:pt>
                <c:pt idx="1639">
                  <c:v>50916</c:v>
                </c:pt>
                <c:pt idx="1640">
                  <c:v>50923</c:v>
                </c:pt>
                <c:pt idx="1641">
                  <c:v>50930</c:v>
                </c:pt>
                <c:pt idx="1642">
                  <c:v>50937</c:v>
                </c:pt>
                <c:pt idx="1643">
                  <c:v>50944</c:v>
                </c:pt>
                <c:pt idx="1644">
                  <c:v>50951</c:v>
                </c:pt>
                <c:pt idx="1645">
                  <c:v>50958</c:v>
                </c:pt>
                <c:pt idx="1646">
                  <c:v>50965</c:v>
                </c:pt>
                <c:pt idx="1647">
                  <c:v>50972</c:v>
                </c:pt>
                <c:pt idx="1648">
                  <c:v>50979</c:v>
                </c:pt>
                <c:pt idx="1649">
                  <c:v>50986</c:v>
                </c:pt>
                <c:pt idx="1650">
                  <c:v>50993</c:v>
                </c:pt>
                <c:pt idx="1651">
                  <c:v>51000</c:v>
                </c:pt>
                <c:pt idx="1652">
                  <c:v>51007</c:v>
                </c:pt>
                <c:pt idx="1653">
                  <c:v>51014</c:v>
                </c:pt>
                <c:pt idx="1654">
                  <c:v>51021</c:v>
                </c:pt>
                <c:pt idx="1655">
                  <c:v>51028</c:v>
                </c:pt>
                <c:pt idx="1656">
                  <c:v>51035</c:v>
                </c:pt>
                <c:pt idx="1657">
                  <c:v>51042</c:v>
                </c:pt>
                <c:pt idx="1658">
                  <c:v>51049</c:v>
                </c:pt>
                <c:pt idx="1659">
                  <c:v>51056</c:v>
                </c:pt>
                <c:pt idx="1660">
                  <c:v>51063</c:v>
                </c:pt>
                <c:pt idx="1661">
                  <c:v>51070</c:v>
                </c:pt>
                <c:pt idx="1662">
                  <c:v>51077</c:v>
                </c:pt>
                <c:pt idx="1663">
                  <c:v>51084</c:v>
                </c:pt>
                <c:pt idx="1664">
                  <c:v>51091</c:v>
                </c:pt>
                <c:pt idx="1665">
                  <c:v>51098</c:v>
                </c:pt>
                <c:pt idx="1666">
                  <c:v>51105</c:v>
                </c:pt>
                <c:pt idx="1667">
                  <c:v>51112</c:v>
                </c:pt>
                <c:pt idx="1668">
                  <c:v>51119</c:v>
                </c:pt>
                <c:pt idx="1669">
                  <c:v>51126</c:v>
                </c:pt>
                <c:pt idx="1670">
                  <c:v>51133</c:v>
                </c:pt>
                <c:pt idx="1671">
                  <c:v>51140</c:v>
                </c:pt>
                <c:pt idx="1672">
                  <c:v>51147</c:v>
                </c:pt>
                <c:pt idx="1673">
                  <c:v>51154</c:v>
                </c:pt>
                <c:pt idx="1674">
                  <c:v>51161</c:v>
                </c:pt>
                <c:pt idx="1675">
                  <c:v>51168</c:v>
                </c:pt>
                <c:pt idx="1676">
                  <c:v>51175</c:v>
                </c:pt>
                <c:pt idx="1677">
                  <c:v>51182</c:v>
                </c:pt>
                <c:pt idx="1678">
                  <c:v>51189</c:v>
                </c:pt>
                <c:pt idx="1679">
                  <c:v>51196</c:v>
                </c:pt>
                <c:pt idx="1680">
                  <c:v>51203</c:v>
                </c:pt>
                <c:pt idx="1681">
                  <c:v>51210</c:v>
                </c:pt>
                <c:pt idx="1682">
                  <c:v>51217</c:v>
                </c:pt>
                <c:pt idx="1683">
                  <c:v>51224</c:v>
                </c:pt>
                <c:pt idx="1684">
                  <c:v>51231</c:v>
                </c:pt>
                <c:pt idx="1685">
                  <c:v>51238</c:v>
                </c:pt>
                <c:pt idx="1686">
                  <c:v>51245</c:v>
                </c:pt>
                <c:pt idx="1687">
                  <c:v>51252</c:v>
                </c:pt>
                <c:pt idx="1688">
                  <c:v>51260</c:v>
                </c:pt>
                <c:pt idx="1689">
                  <c:v>51270</c:v>
                </c:pt>
                <c:pt idx="1690">
                  <c:v>51274</c:v>
                </c:pt>
                <c:pt idx="1691">
                  <c:v>51281</c:v>
                </c:pt>
                <c:pt idx="1692">
                  <c:v>51288</c:v>
                </c:pt>
                <c:pt idx="1693">
                  <c:v>51295</c:v>
                </c:pt>
                <c:pt idx="1694">
                  <c:v>51302</c:v>
                </c:pt>
                <c:pt idx="1695">
                  <c:v>51312</c:v>
                </c:pt>
                <c:pt idx="1696">
                  <c:v>51316</c:v>
                </c:pt>
                <c:pt idx="1697">
                  <c:v>51323</c:v>
                </c:pt>
                <c:pt idx="1698">
                  <c:v>51330</c:v>
                </c:pt>
                <c:pt idx="1699">
                  <c:v>51337</c:v>
                </c:pt>
                <c:pt idx="1700">
                  <c:v>51344</c:v>
                </c:pt>
                <c:pt idx="1701">
                  <c:v>51351</c:v>
                </c:pt>
                <c:pt idx="1702">
                  <c:v>51358</c:v>
                </c:pt>
                <c:pt idx="1703">
                  <c:v>51365</c:v>
                </c:pt>
                <c:pt idx="1704">
                  <c:v>51372</c:v>
                </c:pt>
                <c:pt idx="1705">
                  <c:v>51379</c:v>
                </c:pt>
                <c:pt idx="1706">
                  <c:v>51386</c:v>
                </c:pt>
                <c:pt idx="1707">
                  <c:v>51393</c:v>
                </c:pt>
                <c:pt idx="1708">
                  <c:v>51400</c:v>
                </c:pt>
                <c:pt idx="1709">
                  <c:v>51407</c:v>
                </c:pt>
                <c:pt idx="1710">
                  <c:v>51414</c:v>
                </c:pt>
                <c:pt idx="1711">
                  <c:v>51421</c:v>
                </c:pt>
                <c:pt idx="1712">
                  <c:v>51428</c:v>
                </c:pt>
                <c:pt idx="1713">
                  <c:v>51435</c:v>
                </c:pt>
                <c:pt idx="1714">
                  <c:v>51442</c:v>
                </c:pt>
                <c:pt idx="1715">
                  <c:v>51449</c:v>
                </c:pt>
                <c:pt idx="1716">
                  <c:v>51456</c:v>
                </c:pt>
                <c:pt idx="1717">
                  <c:v>51463</c:v>
                </c:pt>
                <c:pt idx="1718">
                  <c:v>51470</c:v>
                </c:pt>
                <c:pt idx="1719">
                  <c:v>51477</c:v>
                </c:pt>
                <c:pt idx="1720">
                  <c:v>51484</c:v>
                </c:pt>
                <c:pt idx="1721">
                  <c:v>51491</c:v>
                </c:pt>
                <c:pt idx="1722">
                  <c:v>51503</c:v>
                </c:pt>
                <c:pt idx="1723">
                  <c:v>51508</c:v>
                </c:pt>
                <c:pt idx="1724">
                  <c:v>51515</c:v>
                </c:pt>
                <c:pt idx="1725">
                  <c:v>51522</c:v>
                </c:pt>
                <c:pt idx="1726">
                  <c:v>51529</c:v>
                </c:pt>
                <c:pt idx="1727">
                  <c:v>51536</c:v>
                </c:pt>
                <c:pt idx="1728">
                  <c:v>51543</c:v>
                </c:pt>
                <c:pt idx="1729">
                  <c:v>51550</c:v>
                </c:pt>
                <c:pt idx="1730">
                  <c:v>51557</c:v>
                </c:pt>
                <c:pt idx="1731">
                  <c:v>51564</c:v>
                </c:pt>
                <c:pt idx="1732">
                  <c:v>51571</c:v>
                </c:pt>
                <c:pt idx="1733">
                  <c:v>51578</c:v>
                </c:pt>
                <c:pt idx="1734">
                  <c:v>51585</c:v>
                </c:pt>
                <c:pt idx="1735">
                  <c:v>51592</c:v>
                </c:pt>
                <c:pt idx="1736">
                  <c:v>51599</c:v>
                </c:pt>
                <c:pt idx="1737">
                  <c:v>51606</c:v>
                </c:pt>
                <c:pt idx="1738">
                  <c:v>51615</c:v>
                </c:pt>
                <c:pt idx="1739">
                  <c:v>51620</c:v>
                </c:pt>
                <c:pt idx="1740">
                  <c:v>51627</c:v>
                </c:pt>
                <c:pt idx="1741">
                  <c:v>51634</c:v>
                </c:pt>
                <c:pt idx="1742">
                  <c:v>51641</c:v>
                </c:pt>
                <c:pt idx="1743">
                  <c:v>51648</c:v>
                </c:pt>
                <c:pt idx="1744">
                  <c:v>51656</c:v>
                </c:pt>
                <c:pt idx="1745">
                  <c:v>51664</c:v>
                </c:pt>
                <c:pt idx="1746">
                  <c:v>51670</c:v>
                </c:pt>
                <c:pt idx="1747">
                  <c:v>51678</c:v>
                </c:pt>
                <c:pt idx="1748">
                  <c:v>51685</c:v>
                </c:pt>
                <c:pt idx="1749">
                  <c:v>51692</c:v>
                </c:pt>
                <c:pt idx="1750">
                  <c:v>51699</c:v>
                </c:pt>
                <c:pt idx="1751">
                  <c:v>51706</c:v>
                </c:pt>
                <c:pt idx="1752">
                  <c:v>51713</c:v>
                </c:pt>
                <c:pt idx="1753">
                  <c:v>51720</c:v>
                </c:pt>
                <c:pt idx="1754">
                  <c:v>51727</c:v>
                </c:pt>
                <c:pt idx="1755">
                  <c:v>51734</c:v>
                </c:pt>
                <c:pt idx="1756">
                  <c:v>51741</c:v>
                </c:pt>
                <c:pt idx="1757">
                  <c:v>51748</c:v>
                </c:pt>
                <c:pt idx="1758">
                  <c:v>51755</c:v>
                </c:pt>
                <c:pt idx="1759">
                  <c:v>51762</c:v>
                </c:pt>
                <c:pt idx="1760">
                  <c:v>51769</c:v>
                </c:pt>
                <c:pt idx="1761">
                  <c:v>51776</c:v>
                </c:pt>
                <c:pt idx="1762">
                  <c:v>51783</c:v>
                </c:pt>
                <c:pt idx="1763">
                  <c:v>51790</c:v>
                </c:pt>
                <c:pt idx="1764">
                  <c:v>51797</c:v>
                </c:pt>
                <c:pt idx="1765">
                  <c:v>51804</c:v>
                </c:pt>
                <c:pt idx="1766">
                  <c:v>51811</c:v>
                </c:pt>
                <c:pt idx="1767">
                  <c:v>51818</c:v>
                </c:pt>
                <c:pt idx="1768">
                  <c:v>51825</c:v>
                </c:pt>
                <c:pt idx="1769">
                  <c:v>51832</c:v>
                </c:pt>
                <c:pt idx="1770">
                  <c:v>51839</c:v>
                </c:pt>
                <c:pt idx="1771">
                  <c:v>51846</c:v>
                </c:pt>
                <c:pt idx="1772">
                  <c:v>51853</c:v>
                </c:pt>
                <c:pt idx="1773">
                  <c:v>51865</c:v>
                </c:pt>
                <c:pt idx="1774">
                  <c:v>51869</c:v>
                </c:pt>
                <c:pt idx="1775">
                  <c:v>51875</c:v>
                </c:pt>
                <c:pt idx="1776">
                  <c:v>51882</c:v>
                </c:pt>
                <c:pt idx="1777">
                  <c:v>51889</c:v>
                </c:pt>
                <c:pt idx="1778">
                  <c:v>51896</c:v>
                </c:pt>
                <c:pt idx="1779">
                  <c:v>51903</c:v>
                </c:pt>
                <c:pt idx="1780">
                  <c:v>51910</c:v>
                </c:pt>
                <c:pt idx="1781">
                  <c:v>51917</c:v>
                </c:pt>
                <c:pt idx="1782">
                  <c:v>51924</c:v>
                </c:pt>
                <c:pt idx="1783">
                  <c:v>51931</c:v>
                </c:pt>
                <c:pt idx="1784">
                  <c:v>51938</c:v>
                </c:pt>
                <c:pt idx="1785">
                  <c:v>51945</c:v>
                </c:pt>
                <c:pt idx="1786">
                  <c:v>51952</c:v>
                </c:pt>
                <c:pt idx="1787">
                  <c:v>51959</c:v>
                </c:pt>
                <c:pt idx="1788">
                  <c:v>51966</c:v>
                </c:pt>
                <c:pt idx="1789">
                  <c:v>51973</c:v>
                </c:pt>
                <c:pt idx="1790">
                  <c:v>51980</c:v>
                </c:pt>
                <c:pt idx="1791">
                  <c:v>51988</c:v>
                </c:pt>
                <c:pt idx="1792">
                  <c:v>51994</c:v>
                </c:pt>
                <c:pt idx="1793">
                  <c:v>52002</c:v>
                </c:pt>
                <c:pt idx="1794">
                  <c:v>52008</c:v>
                </c:pt>
                <c:pt idx="1795">
                  <c:v>52015</c:v>
                </c:pt>
                <c:pt idx="1796">
                  <c:v>52022</c:v>
                </c:pt>
                <c:pt idx="1797">
                  <c:v>52029</c:v>
                </c:pt>
                <c:pt idx="1798">
                  <c:v>52036</c:v>
                </c:pt>
                <c:pt idx="1799">
                  <c:v>52043</c:v>
                </c:pt>
                <c:pt idx="1800">
                  <c:v>52050</c:v>
                </c:pt>
                <c:pt idx="1801">
                  <c:v>52057</c:v>
                </c:pt>
                <c:pt idx="1802">
                  <c:v>52064</c:v>
                </c:pt>
                <c:pt idx="1803">
                  <c:v>52071</c:v>
                </c:pt>
                <c:pt idx="1804">
                  <c:v>52078</c:v>
                </c:pt>
                <c:pt idx="1805">
                  <c:v>52085</c:v>
                </c:pt>
                <c:pt idx="1806">
                  <c:v>52092</c:v>
                </c:pt>
                <c:pt idx="1807">
                  <c:v>52099</c:v>
                </c:pt>
                <c:pt idx="1808">
                  <c:v>52106</c:v>
                </c:pt>
                <c:pt idx="1809">
                  <c:v>52113</c:v>
                </c:pt>
                <c:pt idx="1810">
                  <c:v>52120</c:v>
                </c:pt>
                <c:pt idx="1811">
                  <c:v>52127</c:v>
                </c:pt>
                <c:pt idx="1812">
                  <c:v>52134</c:v>
                </c:pt>
                <c:pt idx="1813">
                  <c:v>52141</c:v>
                </c:pt>
                <c:pt idx="1814">
                  <c:v>52148</c:v>
                </c:pt>
                <c:pt idx="1815">
                  <c:v>52155</c:v>
                </c:pt>
                <c:pt idx="1816">
                  <c:v>52162</c:v>
                </c:pt>
                <c:pt idx="1817">
                  <c:v>52169</c:v>
                </c:pt>
                <c:pt idx="1818">
                  <c:v>52176</c:v>
                </c:pt>
                <c:pt idx="1819">
                  <c:v>52183</c:v>
                </c:pt>
                <c:pt idx="1820">
                  <c:v>52190</c:v>
                </c:pt>
                <c:pt idx="1821">
                  <c:v>52197</c:v>
                </c:pt>
                <c:pt idx="1822">
                  <c:v>52204</c:v>
                </c:pt>
                <c:pt idx="1823">
                  <c:v>52211</c:v>
                </c:pt>
                <c:pt idx="1824">
                  <c:v>52218</c:v>
                </c:pt>
                <c:pt idx="1825">
                  <c:v>52230</c:v>
                </c:pt>
                <c:pt idx="1826">
                  <c:v>52236</c:v>
                </c:pt>
                <c:pt idx="1827">
                  <c:v>52240</c:v>
                </c:pt>
                <c:pt idx="1828">
                  <c:v>52247</c:v>
                </c:pt>
                <c:pt idx="1829">
                  <c:v>52254</c:v>
                </c:pt>
                <c:pt idx="1830">
                  <c:v>52261</c:v>
                </c:pt>
                <c:pt idx="1831">
                  <c:v>52268</c:v>
                </c:pt>
                <c:pt idx="1832">
                  <c:v>52275</c:v>
                </c:pt>
                <c:pt idx="1833">
                  <c:v>52282</c:v>
                </c:pt>
                <c:pt idx="1834">
                  <c:v>52289</c:v>
                </c:pt>
                <c:pt idx="1835">
                  <c:v>52296</c:v>
                </c:pt>
                <c:pt idx="1836">
                  <c:v>52303</c:v>
                </c:pt>
                <c:pt idx="1837">
                  <c:v>52310</c:v>
                </c:pt>
                <c:pt idx="1838">
                  <c:v>52321</c:v>
                </c:pt>
                <c:pt idx="1839">
                  <c:v>52324</c:v>
                </c:pt>
                <c:pt idx="1840">
                  <c:v>52331</c:v>
                </c:pt>
                <c:pt idx="1841">
                  <c:v>52338</c:v>
                </c:pt>
                <c:pt idx="1842">
                  <c:v>52345</c:v>
                </c:pt>
                <c:pt idx="1843">
                  <c:v>52355</c:v>
                </c:pt>
                <c:pt idx="1844">
                  <c:v>52362</c:v>
                </c:pt>
                <c:pt idx="1845">
                  <c:v>52366</c:v>
                </c:pt>
                <c:pt idx="1846">
                  <c:v>52373</c:v>
                </c:pt>
                <c:pt idx="1847">
                  <c:v>52380</c:v>
                </c:pt>
                <c:pt idx="1848">
                  <c:v>52387</c:v>
                </c:pt>
                <c:pt idx="1849">
                  <c:v>52394</c:v>
                </c:pt>
                <c:pt idx="1850">
                  <c:v>52404</c:v>
                </c:pt>
                <c:pt idx="1851">
                  <c:v>52408</c:v>
                </c:pt>
                <c:pt idx="1852">
                  <c:v>52415</c:v>
                </c:pt>
                <c:pt idx="1853">
                  <c:v>52422</c:v>
                </c:pt>
                <c:pt idx="1854">
                  <c:v>52429</c:v>
                </c:pt>
                <c:pt idx="1855">
                  <c:v>52436</c:v>
                </c:pt>
                <c:pt idx="1856">
                  <c:v>52443</c:v>
                </c:pt>
                <c:pt idx="1857">
                  <c:v>52450</c:v>
                </c:pt>
                <c:pt idx="1858">
                  <c:v>52457</c:v>
                </c:pt>
                <c:pt idx="1859">
                  <c:v>52464</c:v>
                </c:pt>
                <c:pt idx="1860">
                  <c:v>52471</c:v>
                </c:pt>
                <c:pt idx="1861">
                  <c:v>52478</c:v>
                </c:pt>
                <c:pt idx="1862">
                  <c:v>52485</c:v>
                </c:pt>
                <c:pt idx="1863">
                  <c:v>52492</c:v>
                </c:pt>
                <c:pt idx="1864">
                  <c:v>52499</c:v>
                </c:pt>
                <c:pt idx="1865">
                  <c:v>52506</c:v>
                </c:pt>
                <c:pt idx="1866">
                  <c:v>52513</c:v>
                </c:pt>
                <c:pt idx="1867">
                  <c:v>52520</c:v>
                </c:pt>
                <c:pt idx="1868">
                  <c:v>52527</c:v>
                </c:pt>
                <c:pt idx="1869">
                  <c:v>52534</c:v>
                </c:pt>
                <c:pt idx="1870">
                  <c:v>52541</c:v>
                </c:pt>
                <c:pt idx="1871">
                  <c:v>52548</c:v>
                </c:pt>
                <c:pt idx="1872">
                  <c:v>52555</c:v>
                </c:pt>
                <c:pt idx="1873">
                  <c:v>52562</c:v>
                </c:pt>
                <c:pt idx="1874">
                  <c:v>52569</c:v>
                </c:pt>
                <c:pt idx="1875">
                  <c:v>52576</c:v>
                </c:pt>
                <c:pt idx="1876">
                  <c:v>52583</c:v>
                </c:pt>
                <c:pt idx="1877">
                  <c:v>52594</c:v>
                </c:pt>
                <c:pt idx="1878">
                  <c:v>52601</c:v>
                </c:pt>
                <c:pt idx="1879">
                  <c:v>52607</c:v>
                </c:pt>
                <c:pt idx="1880">
                  <c:v>52614</c:v>
                </c:pt>
                <c:pt idx="1881">
                  <c:v>52621</c:v>
                </c:pt>
                <c:pt idx="1882">
                  <c:v>52628</c:v>
                </c:pt>
                <c:pt idx="1883">
                  <c:v>52635</c:v>
                </c:pt>
                <c:pt idx="1884">
                  <c:v>52642</c:v>
                </c:pt>
                <c:pt idx="1885">
                  <c:v>52649</c:v>
                </c:pt>
                <c:pt idx="1886">
                  <c:v>52656</c:v>
                </c:pt>
                <c:pt idx="1887">
                  <c:v>52663</c:v>
                </c:pt>
                <c:pt idx="1888">
                  <c:v>52670</c:v>
                </c:pt>
                <c:pt idx="1889">
                  <c:v>52677</c:v>
                </c:pt>
                <c:pt idx="1890">
                  <c:v>52684</c:v>
                </c:pt>
                <c:pt idx="1891">
                  <c:v>52691</c:v>
                </c:pt>
                <c:pt idx="1892">
                  <c:v>52698</c:v>
                </c:pt>
                <c:pt idx="1893">
                  <c:v>52707</c:v>
                </c:pt>
                <c:pt idx="1894">
                  <c:v>52712</c:v>
                </c:pt>
                <c:pt idx="1895">
                  <c:v>52719</c:v>
                </c:pt>
                <c:pt idx="1896">
                  <c:v>52726</c:v>
                </c:pt>
                <c:pt idx="1897">
                  <c:v>52733</c:v>
                </c:pt>
                <c:pt idx="1898">
                  <c:v>52740</c:v>
                </c:pt>
                <c:pt idx="1899">
                  <c:v>52748</c:v>
                </c:pt>
                <c:pt idx="1900">
                  <c:v>52756</c:v>
                </c:pt>
                <c:pt idx="1901">
                  <c:v>52762</c:v>
                </c:pt>
                <c:pt idx="1902">
                  <c:v>52769</c:v>
                </c:pt>
                <c:pt idx="1903">
                  <c:v>52777</c:v>
                </c:pt>
                <c:pt idx="1904">
                  <c:v>52784</c:v>
                </c:pt>
                <c:pt idx="1905">
                  <c:v>52791</c:v>
                </c:pt>
                <c:pt idx="1906">
                  <c:v>52798</c:v>
                </c:pt>
                <c:pt idx="1907">
                  <c:v>52805</c:v>
                </c:pt>
                <c:pt idx="1908">
                  <c:v>52812</c:v>
                </c:pt>
                <c:pt idx="1909">
                  <c:v>52819</c:v>
                </c:pt>
                <c:pt idx="1910">
                  <c:v>52826</c:v>
                </c:pt>
                <c:pt idx="1911">
                  <c:v>52833</c:v>
                </c:pt>
                <c:pt idx="1912">
                  <c:v>52840</c:v>
                </c:pt>
                <c:pt idx="1913">
                  <c:v>52847</c:v>
                </c:pt>
                <c:pt idx="1914">
                  <c:v>52854</c:v>
                </c:pt>
                <c:pt idx="1915">
                  <c:v>52861</c:v>
                </c:pt>
                <c:pt idx="1916">
                  <c:v>52868</c:v>
                </c:pt>
                <c:pt idx="1917">
                  <c:v>52875</c:v>
                </c:pt>
                <c:pt idx="1918">
                  <c:v>52882</c:v>
                </c:pt>
                <c:pt idx="1919">
                  <c:v>52889</c:v>
                </c:pt>
                <c:pt idx="1920">
                  <c:v>52896</c:v>
                </c:pt>
                <c:pt idx="1921">
                  <c:v>52903</c:v>
                </c:pt>
                <c:pt idx="1922">
                  <c:v>52910</c:v>
                </c:pt>
                <c:pt idx="1923">
                  <c:v>52917</c:v>
                </c:pt>
                <c:pt idx="1924">
                  <c:v>52924</c:v>
                </c:pt>
                <c:pt idx="1925">
                  <c:v>52931</c:v>
                </c:pt>
                <c:pt idx="1926">
                  <c:v>52938</c:v>
                </c:pt>
                <c:pt idx="1927">
                  <c:v>52945</c:v>
                </c:pt>
                <c:pt idx="1928">
                  <c:v>52952</c:v>
                </c:pt>
                <c:pt idx="1929">
                  <c:v>52960</c:v>
                </c:pt>
                <c:pt idx="1930">
                  <c:v>52967</c:v>
                </c:pt>
                <c:pt idx="1931">
                  <c:v>52974</c:v>
                </c:pt>
                <c:pt idx="1932">
                  <c:v>52981</c:v>
                </c:pt>
                <c:pt idx="1933">
                  <c:v>52988</c:v>
                </c:pt>
                <c:pt idx="1934">
                  <c:v>52995</c:v>
                </c:pt>
                <c:pt idx="1935">
                  <c:v>53002</c:v>
                </c:pt>
                <c:pt idx="1936">
                  <c:v>53009</c:v>
                </c:pt>
                <c:pt idx="1937">
                  <c:v>53016</c:v>
                </c:pt>
                <c:pt idx="1938">
                  <c:v>53023</c:v>
                </c:pt>
                <c:pt idx="1939">
                  <c:v>53030</c:v>
                </c:pt>
                <c:pt idx="1940">
                  <c:v>53037</c:v>
                </c:pt>
                <c:pt idx="1941">
                  <c:v>53044</c:v>
                </c:pt>
                <c:pt idx="1942">
                  <c:v>53051</c:v>
                </c:pt>
                <c:pt idx="1943">
                  <c:v>53058</c:v>
                </c:pt>
                <c:pt idx="1944">
                  <c:v>53065</c:v>
                </c:pt>
                <c:pt idx="1945">
                  <c:v>53072</c:v>
                </c:pt>
                <c:pt idx="1946">
                  <c:v>53079</c:v>
                </c:pt>
                <c:pt idx="1947">
                  <c:v>53086</c:v>
                </c:pt>
                <c:pt idx="1948">
                  <c:v>53093</c:v>
                </c:pt>
                <c:pt idx="1949">
                  <c:v>53101</c:v>
                </c:pt>
                <c:pt idx="1950">
                  <c:v>53107</c:v>
                </c:pt>
                <c:pt idx="1951">
                  <c:v>53114</c:v>
                </c:pt>
                <c:pt idx="1952">
                  <c:v>53121</c:v>
                </c:pt>
                <c:pt idx="1953">
                  <c:v>53128</c:v>
                </c:pt>
                <c:pt idx="1954">
                  <c:v>53135</c:v>
                </c:pt>
                <c:pt idx="1955">
                  <c:v>53142</c:v>
                </c:pt>
                <c:pt idx="1956">
                  <c:v>53149</c:v>
                </c:pt>
                <c:pt idx="1957">
                  <c:v>53156</c:v>
                </c:pt>
                <c:pt idx="1958">
                  <c:v>53163</c:v>
                </c:pt>
                <c:pt idx="1959">
                  <c:v>53170</c:v>
                </c:pt>
                <c:pt idx="1960">
                  <c:v>53177</c:v>
                </c:pt>
                <c:pt idx="1961">
                  <c:v>53184</c:v>
                </c:pt>
                <c:pt idx="1962">
                  <c:v>53191</c:v>
                </c:pt>
                <c:pt idx="1963">
                  <c:v>53198</c:v>
                </c:pt>
                <c:pt idx="1964">
                  <c:v>53205</c:v>
                </c:pt>
                <c:pt idx="1965">
                  <c:v>53212</c:v>
                </c:pt>
                <c:pt idx="1966">
                  <c:v>53219</c:v>
                </c:pt>
                <c:pt idx="1967">
                  <c:v>53226</c:v>
                </c:pt>
                <c:pt idx="1968">
                  <c:v>53233</c:v>
                </c:pt>
                <c:pt idx="1969">
                  <c:v>53240</c:v>
                </c:pt>
                <c:pt idx="1970">
                  <c:v>53247</c:v>
                </c:pt>
                <c:pt idx="1971">
                  <c:v>53254</c:v>
                </c:pt>
                <c:pt idx="1972">
                  <c:v>53261</c:v>
                </c:pt>
                <c:pt idx="1973">
                  <c:v>53268</c:v>
                </c:pt>
                <c:pt idx="1974">
                  <c:v>53275</c:v>
                </c:pt>
                <c:pt idx="1975">
                  <c:v>53282</c:v>
                </c:pt>
                <c:pt idx="1976">
                  <c:v>53289</c:v>
                </c:pt>
                <c:pt idx="1977">
                  <c:v>53296</c:v>
                </c:pt>
                <c:pt idx="1978">
                  <c:v>53303</c:v>
                </c:pt>
                <c:pt idx="1979">
                  <c:v>53310</c:v>
                </c:pt>
                <c:pt idx="1980">
                  <c:v>53317</c:v>
                </c:pt>
                <c:pt idx="1981">
                  <c:v>53325</c:v>
                </c:pt>
                <c:pt idx="1982">
                  <c:v>53332</c:v>
                </c:pt>
                <c:pt idx="1983">
                  <c:v>53339</c:v>
                </c:pt>
                <c:pt idx="1984">
                  <c:v>53346</c:v>
                </c:pt>
                <c:pt idx="1985">
                  <c:v>53353</c:v>
                </c:pt>
                <c:pt idx="1986">
                  <c:v>53360</c:v>
                </c:pt>
                <c:pt idx="1987">
                  <c:v>53367</c:v>
                </c:pt>
                <c:pt idx="1988">
                  <c:v>53374</c:v>
                </c:pt>
                <c:pt idx="1989">
                  <c:v>53381</c:v>
                </c:pt>
                <c:pt idx="1990">
                  <c:v>53388</c:v>
                </c:pt>
                <c:pt idx="1991">
                  <c:v>53395</c:v>
                </c:pt>
                <c:pt idx="1992">
                  <c:v>53402</c:v>
                </c:pt>
                <c:pt idx="1993">
                  <c:v>53413</c:v>
                </c:pt>
                <c:pt idx="1994">
                  <c:v>53416</c:v>
                </c:pt>
                <c:pt idx="1995">
                  <c:v>53423</c:v>
                </c:pt>
                <c:pt idx="1996">
                  <c:v>53430</c:v>
                </c:pt>
                <c:pt idx="1997">
                  <c:v>53437</c:v>
                </c:pt>
                <c:pt idx="1998">
                  <c:v>53444</c:v>
                </c:pt>
                <c:pt idx="1999">
                  <c:v>53454</c:v>
                </c:pt>
                <c:pt idx="2000">
                  <c:v>53458</c:v>
                </c:pt>
                <c:pt idx="2001">
                  <c:v>53465</c:v>
                </c:pt>
                <c:pt idx="2002">
                  <c:v>53472</c:v>
                </c:pt>
                <c:pt idx="2003">
                  <c:v>53479</c:v>
                </c:pt>
                <c:pt idx="2004">
                  <c:v>53486</c:v>
                </c:pt>
                <c:pt idx="2005">
                  <c:v>53493</c:v>
                </c:pt>
                <c:pt idx="2006">
                  <c:v>53503</c:v>
                </c:pt>
                <c:pt idx="2007">
                  <c:v>53507</c:v>
                </c:pt>
                <c:pt idx="2008">
                  <c:v>53514</c:v>
                </c:pt>
                <c:pt idx="2009">
                  <c:v>53521</c:v>
                </c:pt>
                <c:pt idx="2010">
                  <c:v>53528</c:v>
                </c:pt>
                <c:pt idx="2011">
                  <c:v>53535</c:v>
                </c:pt>
                <c:pt idx="2012">
                  <c:v>53542</c:v>
                </c:pt>
                <c:pt idx="2013">
                  <c:v>53549</c:v>
                </c:pt>
                <c:pt idx="2014">
                  <c:v>53556</c:v>
                </c:pt>
                <c:pt idx="2015">
                  <c:v>53563</c:v>
                </c:pt>
                <c:pt idx="2016">
                  <c:v>53570</c:v>
                </c:pt>
                <c:pt idx="2017">
                  <c:v>53577</c:v>
                </c:pt>
                <c:pt idx="2018">
                  <c:v>53584</c:v>
                </c:pt>
                <c:pt idx="2019">
                  <c:v>53591</c:v>
                </c:pt>
                <c:pt idx="2020">
                  <c:v>53598</c:v>
                </c:pt>
                <c:pt idx="2021">
                  <c:v>53605</c:v>
                </c:pt>
                <c:pt idx="2022">
                  <c:v>53612</c:v>
                </c:pt>
                <c:pt idx="2023">
                  <c:v>53619</c:v>
                </c:pt>
                <c:pt idx="2024">
                  <c:v>53626</c:v>
                </c:pt>
                <c:pt idx="2025">
                  <c:v>53633</c:v>
                </c:pt>
                <c:pt idx="2026">
                  <c:v>53640</c:v>
                </c:pt>
                <c:pt idx="2027">
                  <c:v>53647</c:v>
                </c:pt>
                <c:pt idx="2028">
                  <c:v>53654</c:v>
                </c:pt>
                <c:pt idx="2029">
                  <c:v>53661</c:v>
                </c:pt>
                <c:pt idx="2030">
                  <c:v>53668</c:v>
                </c:pt>
                <c:pt idx="2031">
                  <c:v>53675</c:v>
                </c:pt>
                <c:pt idx="2032">
                  <c:v>53682</c:v>
                </c:pt>
                <c:pt idx="2033">
                  <c:v>53694</c:v>
                </c:pt>
                <c:pt idx="2034">
                  <c:v>53699</c:v>
                </c:pt>
                <c:pt idx="2035">
                  <c:v>53706</c:v>
                </c:pt>
                <c:pt idx="2036">
                  <c:v>53713</c:v>
                </c:pt>
                <c:pt idx="2037">
                  <c:v>53720</c:v>
                </c:pt>
                <c:pt idx="2038">
                  <c:v>53727</c:v>
                </c:pt>
                <c:pt idx="2039">
                  <c:v>53734</c:v>
                </c:pt>
                <c:pt idx="2040">
                  <c:v>53741</c:v>
                </c:pt>
                <c:pt idx="2041">
                  <c:v>53748</c:v>
                </c:pt>
                <c:pt idx="2042">
                  <c:v>53755</c:v>
                </c:pt>
                <c:pt idx="2043">
                  <c:v>53762</c:v>
                </c:pt>
                <c:pt idx="2044">
                  <c:v>53769</c:v>
                </c:pt>
                <c:pt idx="2045">
                  <c:v>53776</c:v>
                </c:pt>
                <c:pt idx="2046">
                  <c:v>53783</c:v>
                </c:pt>
                <c:pt idx="2047">
                  <c:v>53790</c:v>
                </c:pt>
                <c:pt idx="2048">
                  <c:v>53799</c:v>
                </c:pt>
                <c:pt idx="2049">
                  <c:v>53804</c:v>
                </c:pt>
                <c:pt idx="2050">
                  <c:v>53811</c:v>
                </c:pt>
                <c:pt idx="2051">
                  <c:v>53818</c:v>
                </c:pt>
                <c:pt idx="2052">
                  <c:v>53825</c:v>
                </c:pt>
                <c:pt idx="2053">
                  <c:v>53832</c:v>
                </c:pt>
                <c:pt idx="2054">
                  <c:v>53840</c:v>
                </c:pt>
                <c:pt idx="2055">
                  <c:v>53848</c:v>
                </c:pt>
                <c:pt idx="2056">
                  <c:v>53854</c:v>
                </c:pt>
                <c:pt idx="2057">
                  <c:v>53861</c:v>
                </c:pt>
                <c:pt idx="2058">
                  <c:v>53869</c:v>
                </c:pt>
                <c:pt idx="2059">
                  <c:v>53876</c:v>
                </c:pt>
                <c:pt idx="2060">
                  <c:v>53883</c:v>
                </c:pt>
                <c:pt idx="2061">
                  <c:v>53890</c:v>
                </c:pt>
                <c:pt idx="2062">
                  <c:v>53897</c:v>
                </c:pt>
                <c:pt idx="2063">
                  <c:v>53904</c:v>
                </c:pt>
                <c:pt idx="2064">
                  <c:v>53911</c:v>
                </c:pt>
                <c:pt idx="2065">
                  <c:v>53918</c:v>
                </c:pt>
                <c:pt idx="2066">
                  <c:v>53925</c:v>
                </c:pt>
                <c:pt idx="2067">
                  <c:v>53932</c:v>
                </c:pt>
                <c:pt idx="2068">
                  <c:v>53939</c:v>
                </c:pt>
                <c:pt idx="2069">
                  <c:v>53946</c:v>
                </c:pt>
                <c:pt idx="2070">
                  <c:v>53953</c:v>
                </c:pt>
                <c:pt idx="2071">
                  <c:v>53960</c:v>
                </c:pt>
                <c:pt idx="2072">
                  <c:v>53967</c:v>
                </c:pt>
                <c:pt idx="2073">
                  <c:v>53974</c:v>
                </c:pt>
                <c:pt idx="2074">
                  <c:v>53981</c:v>
                </c:pt>
                <c:pt idx="2075">
                  <c:v>53988</c:v>
                </c:pt>
                <c:pt idx="2076">
                  <c:v>53995</c:v>
                </c:pt>
                <c:pt idx="2077">
                  <c:v>54002</c:v>
                </c:pt>
                <c:pt idx="2078">
                  <c:v>54009</c:v>
                </c:pt>
                <c:pt idx="2079">
                  <c:v>54016</c:v>
                </c:pt>
                <c:pt idx="2080">
                  <c:v>54023</c:v>
                </c:pt>
                <c:pt idx="2081">
                  <c:v>54030</c:v>
                </c:pt>
                <c:pt idx="2082">
                  <c:v>54037</c:v>
                </c:pt>
                <c:pt idx="2083">
                  <c:v>54044</c:v>
                </c:pt>
                <c:pt idx="2084">
                  <c:v>54056</c:v>
                </c:pt>
                <c:pt idx="2085">
                  <c:v>54060</c:v>
                </c:pt>
                <c:pt idx="2086">
                  <c:v>54066</c:v>
                </c:pt>
                <c:pt idx="2087">
                  <c:v>54073</c:v>
                </c:pt>
                <c:pt idx="2088">
                  <c:v>54080</c:v>
                </c:pt>
                <c:pt idx="2089">
                  <c:v>54087</c:v>
                </c:pt>
                <c:pt idx="2090">
                  <c:v>54094</c:v>
                </c:pt>
                <c:pt idx="2091">
                  <c:v>54101</c:v>
                </c:pt>
                <c:pt idx="2092">
                  <c:v>54108</c:v>
                </c:pt>
                <c:pt idx="2093">
                  <c:v>54115</c:v>
                </c:pt>
                <c:pt idx="2094">
                  <c:v>54122</c:v>
                </c:pt>
                <c:pt idx="2095">
                  <c:v>54129</c:v>
                </c:pt>
                <c:pt idx="2096">
                  <c:v>54136</c:v>
                </c:pt>
                <c:pt idx="2097">
                  <c:v>54143</c:v>
                </c:pt>
                <c:pt idx="2098">
                  <c:v>54150</c:v>
                </c:pt>
                <c:pt idx="2099">
                  <c:v>54157</c:v>
                </c:pt>
                <c:pt idx="2100">
                  <c:v>54164</c:v>
                </c:pt>
                <c:pt idx="2101">
                  <c:v>54171</c:v>
                </c:pt>
                <c:pt idx="2102">
                  <c:v>54178</c:v>
                </c:pt>
                <c:pt idx="2103">
                  <c:v>54185</c:v>
                </c:pt>
                <c:pt idx="2104">
                  <c:v>54193</c:v>
                </c:pt>
                <c:pt idx="2105">
                  <c:v>54199</c:v>
                </c:pt>
                <c:pt idx="2106">
                  <c:v>54206</c:v>
                </c:pt>
                <c:pt idx="2107">
                  <c:v>54213</c:v>
                </c:pt>
                <c:pt idx="2108">
                  <c:v>54220</c:v>
                </c:pt>
                <c:pt idx="2109">
                  <c:v>54227</c:v>
                </c:pt>
                <c:pt idx="2110">
                  <c:v>54234</c:v>
                </c:pt>
                <c:pt idx="2111">
                  <c:v>54241</c:v>
                </c:pt>
                <c:pt idx="2112">
                  <c:v>54248</c:v>
                </c:pt>
                <c:pt idx="2113">
                  <c:v>54255</c:v>
                </c:pt>
                <c:pt idx="2114">
                  <c:v>54262</c:v>
                </c:pt>
                <c:pt idx="2115">
                  <c:v>54269</c:v>
                </c:pt>
                <c:pt idx="2116">
                  <c:v>54276</c:v>
                </c:pt>
                <c:pt idx="2117">
                  <c:v>54283</c:v>
                </c:pt>
                <c:pt idx="2118">
                  <c:v>54290</c:v>
                </c:pt>
                <c:pt idx="2119">
                  <c:v>54297</c:v>
                </c:pt>
                <c:pt idx="2120">
                  <c:v>54304</c:v>
                </c:pt>
                <c:pt idx="2121">
                  <c:v>54311</c:v>
                </c:pt>
                <c:pt idx="2122">
                  <c:v>54318</c:v>
                </c:pt>
                <c:pt idx="2123">
                  <c:v>54325</c:v>
                </c:pt>
                <c:pt idx="2124">
                  <c:v>54332</c:v>
                </c:pt>
                <c:pt idx="2125">
                  <c:v>54339</c:v>
                </c:pt>
                <c:pt idx="2126">
                  <c:v>54346</c:v>
                </c:pt>
                <c:pt idx="2127">
                  <c:v>54353</c:v>
                </c:pt>
                <c:pt idx="2128">
                  <c:v>54360</c:v>
                </c:pt>
                <c:pt idx="2129">
                  <c:v>54367</c:v>
                </c:pt>
                <c:pt idx="2130">
                  <c:v>54374</c:v>
                </c:pt>
                <c:pt idx="2131">
                  <c:v>54381</c:v>
                </c:pt>
                <c:pt idx="2132">
                  <c:v>54388</c:v>
                </c:pt>
                <c:pt idx="2133">
                  <c:v>54395</c:v>
                </c:pt>
                <c:pt idx="2134">
                  <c:v>54402</c:v>
                </c:pt>
                <c:pt idx="2135">
                  <c:v>54409</c:v>
                </c:pt>
                <c:pt idx="2136">
                  <c:v>54420</c:v>
                </c:pt>
                <c:pt idx="2137">
                  <c:v>54427</c:v>
                </c:pt>
                <c:pt idx="2138">
                  <c:v>54431</c:v>
                </c:pt>
                <c:pt idx="2139">
                  <c:v>54437</c:v>
                </c:pt>
                <c:pt idx="2140">
                  <c:v>54444</c:v>
                </c:pt>
                <c:pt idx="2141">
                  <c:v>54451</c:v>
                </c:pt>
                <c:pt idx="2142">
                  <c:v>54458</c:v>
                </c:pt>
                <c:pt idx="2143">
                  <c:v>54465</c:v>
                </c:pt>
                <c:pt idx="2144">
                  <c:v>54472</c:v>
                </c:pt>
                <c:pt idx="2145">
                  <c:v>54479</c:v>
                </c:pt>
                <c:pt idx="2146">
                  <c:v>54486</c:v>
                </c:pt>
                <c:pt idx="2147">
                  <c:v>54493</c:v>
                </c:pt>
                <c:pt idx="2148">
                  <c:v>54500</c:v>
                </c:pt>
                <c:pt idx="2149">
                  <c:v>54507</c:v>
                </c:pt>
                <c:pt idx="2150">
                  <c:v>54514</c:v>
                </c:pt>
                <c:pt idx="2151">
                  <c:v>54521</c:v>
                </c:pt>
                <c:pt idx="2152">
                  <c:v>54528</c:v>
                </c:pt>
                <c:pt idx="2153">
                  <c:v>54535</c:v>
                </c:pt>
                <c:pt idx="2154">
                  <c:v>54542</c:v>
                </c:pt>
                <c:pt idx="2155">
                  <c:v>54549</c:v>
                </c:pt>
                <c:pt idx="2156">
                  <c:v>54556</c:v>
                </c:pt>
                <c:pt idx="2157">
                  <c:v>54563</c:v>
                </c:pt>
                <c:pt idx="2158">
                  <c:v>54571</c:v>
                </c:pt>
                <c:pt idx="2159">
                  <c:v>54577</c:v>
                </c:pt>
                <c:pt idx="2160">
                  <c:v>54584</c:v>
                </c:pt>
                <c:pt idx="2161">
                  <c:v>54591</c:v>
                </c:pt>
                <c:pt idx="2162">
                  <c:v>54598</c:v>
                </c:pt>
                <c:pt idx="2163">
                  <c:v>54605</c:v>
                </c:pt>
                <c:pt idx="2164">
                  <c:v>54612</c:v>
                </c:pt>
                <c:pt idx="2165">
                  <c:v>54619</c:v>
                </c:pt>
                <c:pt idx="2166">
                  <c:v>54626</c:v>
                </c:pt>
                <c:pt idx="2167">
                  <c:v>54633</c:v>
                </c:pt>
                <c:pt idx="2168">
                  <c:v>54640</c:v>
                </c:pt>
                <c:pt idx="2169">
                  <c:v>54647</c:v>
                </c:pt>
                <c:pt idx="2170">
                  <c:v>54654</c:v>
                </c:pt>
                <c:pt idx="2171">
                  <c:v>54661</c:v>
                </c:pt>
                <c:pt idx="2172">
                  <c:v>54668</c:v>
                </c:pt>
                <c:pt idx="2173">
                  <c:v>54675</c:v>
                </c:pt>
                <c:pt idx="2174">
                  <c:v>54682</c:v>
                </c:pt>
                <c:pt idx="2175">
                  <c:v>54689</c:v>
                </c:pt>
                <c:pt idx="2176">
                  <c:v>54696</c:v>
                </c:pt>
                <c:pt idx="2177">
                  <c:v>54703</c:v>
                </c:pt>
                <c:pt idx="2178">
                  <c:v>54710</c:v>
                </c:pt>
                <c:pt idx="2179">
                  <c:v>54717</c:v>
                </c:pt>
                <c:pt idx="2180">
                  <c:v>54724</c:v>
                </c:pt>
                <c:pt idx="2181">
                  <c:v>54731</c:v>
                </c:pt>
                <c:pt idx="2182">
                  <c:v>54738</c:v>
                </c:pt>
                <c:pt idx="2183">
                  <c:v>54745</c:v>
                </c:pt>
                <c:pt idx="2184">
                  <c:v>54752</c:v>
                </c:pt>
                <c:pt idx="2185">
                  <c:v>54759</c:v>
                </c:pt>
                <c:pt idx="2186">
                  <c:v>54766</c:v>
                </c:pt>
                <c:pt idx="2187">
                  <c:v>54773</c:v>
                </c:pt>
                <c:pt idx="2188">
                  <c:v>54780</c:v>
                </c:pt>
                <c:pt idx="2189">
                  <c:v>54787</c:v>
                </c:pt>
                <c:pt idx="2190">
                  <c:v>54795</c:v>
                </c:pt>
                <c:pt idx="2191">
                  <c:v>54801</c:v>
                </c:pt>
                <c:pt idx="2192">
                  <c:v>54808</c:v>
                </c:pt>
                <c:pt idx="2193">
                  <c:v>54815</c:v>
                </c:pt>
                <c:pt idx="2194">
                  <c:v>54822</c:v>
                </c:pt>
                <c:pt idx="2195">
                  <c:v>54829</c:v>
                </c:pt>
                <c:pt idx="2196">
                  <c:v>54836</c:v>
                </c:pt>
                <c:pt idx="2197">
                  <c:v>54843</c:v>
                </c:pt>
                <c:pt idx="2198">
                  <c:v>54850</c:v>
                </c:pt>
                <c:pt idx="2199">
                  <c:v>54857</c:v>
                </c:pt>
                <c:pt idx="2200">
                  <c:v>54864</c:v>
                </c:pt>
                <c:pt idx="2201">
                  <c:v>54871</c:v>
                </c:pt>
                <c:pt idx="2202">
                  <c:v>54878</c:v>
                </c:pt>
                <c:pt idx="2203">
                  <c:v>54885</c:v>
                </c:pt>
                <c:pt idx="2204">
                  <c:v>54892</c:v>
                </c:pt>
                <c:pt idx="2205">
                  <c:v>54899</c:v>
                </c:pt>
                <c:pt idx="2206">
                  <c:v>54906</c:v>
                </c:pt>
                <c:pt idx="2207">
                  <c:v>54913</c:v>
                </c:pt>
                <c:pt idx="2208">
                  <c:v>54920</c:v>
                </c:pt>
                <c:pt idx="2209">
                  <c:v>54928</c:v>
                </c:pt>
                <c:pt idx="2210">
                  <c:v>54934</c:v>
                </c:pt>
                <c:pt idx="2211">
                  <c:v>54941</c:v>
                </c:pt>
                <c:pt idx="2212">
                  <c:v>54948</c:v>
                </c:pt>
                <c:pt idx="2213">
                  <c:v>54955</c:v>
                </c:pt>
                <c:pt idx="2214">
                  <c:v>54962</c:v>
                </c:pt>
                <c:pt idx="2215">
                  <c:v>54969</c:v>
                </c:pt>
                <c:pt idx="2216">
                  <c:v>54976</c:v>
                </c:pt>
                <c:pt idx="2217">
                  <c:v>54983</c:v>
                </c:pt>
                <c:pt idx="2218">
                  <c:v>54990</c:v>
                </c:pt>
                <c:pt idx="2219">
                  <c:v>54997</c:v>
                </c:pt>
                <c:pt idx="2220">
                  <c:v>55004</c:v>
                </c:pt>
                <c:pt idx="2221">
                  <c:v>55011</c:v>
                </c:pt>
                <c:pt idx="2222">
                  <c:v>55018</c:v>
                </c:pt>
                <c:pt idx="2223">
                  <c:v>55025</c:v>
                </c:pt>
                <c:pt idx="2224">
                  <c:v>55032</c:v>
                </c:pt>
                <c:pt idx="2225">
                  <c:v>55039</c:v>
                </c:pt>
                <c:pt idx="2226">
                  <c:v>55046</c:v>
                </c:pt>
                <c:pt idx="2227">
                  <c:v>55053</c:v>
                </c:pt>
                <c:pt idx="2228">
                  <c:v>55060</c:v>
                </c:pt>
                <c:pt idx="2229">
                  <c:v>55067</c:v>
                </c:pt>
                <c:pt idx="2230">
                  <c:v>55074</c:v>
                </c:pt>
                <c:pt idx="2231">
                  <c:v>55081</c:v>
                </c:pt>
                <c:pt idx="2232">
                  <c:v>55088</c:v>
                </c:pt>
                <c:pt idx="2233">
                  <c:v>55095</c:v>
                </c:pt>
                <c:pt idx="2234">
                  <c:v>55102</c:v>
                </c:pt>
                <c:pt idx="2235">
                  <c:v>55109</c:v>
                </c:pt>
                <c:pt idx="2236">
                  <c:v>55116</c:v>
                </c:pt>
                <c:pt idx="2237">
                  <c:v>55123</c:v>
                </c:pt>
                <c:pt idx="2238">
                  <c:v>55130</c:v>
                </c:pt>
                <c:pt idx="2239">
                  <c:v>55137</c:v>
                </c:pt>
                <c:pt idx="2240">
                  <c:v>55144</c:v>
                </c:pt>
                <c:pt idx="2241">
                  <c:v>55151</c:v>
                </c:pt>
                <c:pt idx="2242">
                  <c:v>55158</c:v>
                </c:pt>
                <c:pt idx="2243">
                  <c:v>55165</c:v>
                </c:pt>
                <c:pt idx="2244">
                  <c:v>55172</c:v>
                </c:pt>
                <c:pt idx="2245">
                  <c:v>55179</c:v>
                </c:pt>
                <c:pt idx="2246">
                  <c:v>55186</c:v>
                </c:pt>
                <c:pt idx="2247">
                  <c:v>55193</c:v>
                </c:pt>
                <c:pt idx="2248">
                  <c:v>55200</c:v>
                </c:pt>
                <c:pt idx="2249">
                  <c:v>55207</c:v>
                </c:pt>
                <c:pt idx="2250">
                  <c:v>55214</c:v>
                </c:pt>
                <c:pt idx="2251">
                  <c:v>55221</c:v>
                </c:pt>
                <c:pt idx="2252">
                  <c:v>55228</c:v>
                </c:pt>
                <c:pt idx="2253">
                  <c:v>55235</c:v>
                </c:pt>
                <c:pt idx="2254">
                  <c:v>55242</c:v>
                </c:pt>
                <c:pt idx="2255">
                  <c:v>55249</c:v>
                </c:pt>
                <c:pt idx="2256">
                  <c:v>55256</c:v>
                </c:pt>
                <c:pt idx="2257">
                  <c:v>55263</c:v>
                </c:pt>
                <c:pt idx="2258">
                  <c:v>55270</c:v>
                </c:pt>
                <c:pt idx="2259">
                  <c:v>55277</c:v>
                </c:pt>
                <c:pt idx="2260">
                  <c:v>55285</c:v>
                </c:pt>
                <c:pt idx="2261">
                  <c:v>55291</c:v>
                </c:pt>
                <c:pt idx="2262">
                  <c:v>55298</c:v>
                </c:pt>
                <c:pt idx="2263">
                  <c:v>55305</c:v>
                </c:pt>
                <c:pt idx="2264">
                  <c:v>55312</c:v>
                </c:pt>
                <c:pt idx="2265">
                  <c:v>55319</c:v>
                </c:pt>
                <c:pt idx="2266">
                  <c:v>55326</c:v>
                </c:pt>
                <c:pt idx="2267">
                  <c:v>55333</c:v>
                </c:pt>
                <c:pt idx="2268">
                  <c:v>55340</c:v>
                </c:pt>
                <c:pt idx="2269">
                  <c:v>55347</c:v>
                </c:pt>
                <c:pt idx="2270">
                  <c:v>55354</c:v>
                </c:pt>
                <c:pt idx="2271">
                  <c:v>55361</c:v>
                </c:pt>
                <c:pt idx="2272">
                  <c:v>55368</c:v>
                </c:pt>
                <c:pt idx="2273">
                  <c:v>55375</c:v>
                </c:pt>
                <c:pt idx="2274">
                  <c:v>55382</c:v>
                </c:pt>
                <c:pt idx="2275">
                  <c:v>55389</c:v>
                </c:pt>
                <c:pt idx="2276">
                  <c:v>55396</c:v>
                </c:pt>
                <c:pt idx="2277">
                  <c:v>55403</c:v>
                </c:pt>
                <c:pt idx="2278">
                  <c:v>55410</c:v>
                </c:pt>
                <c:pt idx="2279">
                  <c:v>55417</c:v>
                </c:pt>
                <c:pt idx="2280">
                  <c:v>55424</c:v>
                </c:pt>
                <c:pt idx="2281">
                  <c:v>55431</c:v>
                </c:pt>
                <c:pt idx="2282">
                  <c:v>55438</c:v>
                </c:pt>
                <c:pt idx="2283">
                  <c:v>55445</c:v>
                </c:pt>
                <c:pt idx="2284">
                  <c:v>55452</c:v>
                </c:pt>
                <c:pt idx="2285">
                  <c:v>55459</c:v>
                </c:pt>
                <c:pt idx="2286">
                  <c:v>55466</c:v>
                </c:pt>
                <c:pt idx="2287">
                  <c:v>55473</c:v>
                </c:pt>
                <c:pt idx="2288">
                  <c:v>55480</c:v>
                </c:pt>
                <c:pt idx="2289">
                  <c:v>55487</c:v>
                </c:pt>
                <c:pt idx="2290">
                  <c:v>55494</c:v>
                </c:pt>
                <c:pt idx="2291">
                  <c:v>55501</c:v>
                </c:pt>
                <c:pt idx="2292">
                  <c:v>55508</c:v>
                </c:pt>
                <c:pt idx="2293">
                  <c:v>55516</c:v>
                </c:pt>
                <c:pt idx="2294">
                  <c:v>55523</c:v>
                </c:pt>
                <c:pt idx="2295">
                  <c:v>55530</c:v>
                </c:pt>
                <c:pt idx="2296">
                  <c:v>55537</c:v>
                </c:pt>
                <c:pt idx="2297">
                  <c:v>55544</c:v>
                </c:pt>
                <c:pt idx="2298">
                  <c:v>55551</c:v>
                </c:pt>
                <c:pt idx="2299">
                  <c:v>55558</c:v>
                </c:pt>
                <c:pt idx="2300">
                  <c:v>55565</c:v>
                </c:pt>
                <c:pt idx="2301">
                  <c:v>55572</c:v>
                </c:pt>
                <c:pt idx="2302">
                  <c:v>55579</c:v>
                </c:pt>
                <c:pt idx="2303">
                  <c:v>55586</c:v>
                </c:pt>
                <c:pt idx="2304">
                  <c:v>55593</c:v>
                </c:pt>
                <c:pt idx="2305">
                  <c:v>55600</c:v>
                </c:pt>
                <c:pt idx="2306">
                  <c:v>55607</c:v>
                </c:pt>
                <c:pt idx="2307">
                  <c:v>55614</c:v>
                </c:pt>
                <c:pt idx="2308">
                  <c:v>55621</c:v>
                </c:pt>
                <c:pt idx="2309">
                  <c:v>55632</c:v>
                </c:pt>
                <c:pt idx="2310">
                  <c:v>55635</c:v>
                </c:pt>
                <c:pt idx="2311">
                  <c:v>55645</c:v>
                </c:pt>
                <c:pt idx="2312">
                  <c:v>55652</c:v>
                </c:pt>
                <c:pt idx="2313">
                  <c:v>55659</c:v>
                </c:pt>
                <c:pt idx="2314">
                  <c:v>55666</c:v>
                </c:pt>
                <c:pt idx="2315">
                  <c:v>55674</c:v>
                </c:pt>
                <c:pt idx="2316">
                  <c:v>55682</c:v>
                </c:pt>
                <c:pt idx="2317">
                  <c:v>55688</c:v>
                </c:pt>
                <c:pt idx="2318">
                  <c:v>55696</c:v>
                </c:pt>
                <c:pt idx="2319">
                  <c:v>55703</c:v>
                </c:pt>
                <c:pt idx="2320">
                  <c:v>55710</c:v>
                </c:pt>
                <c:pt idx="2321">
                  <c:v>55717</c:v>
                </c:pt>
                <c:pt idx="2322">
                  <c:v>55724</c:v>
                </c:pt>
                <c:pt idx="2323">
                  <c:v>55731</c:v>
                </c:pt>
                <c:pt idx="2324">
                  <c:v>55738</c:v>
                </c:pt>
                <c:pt idx="2325">
                  <c:v>55745</c:v>
                </c:pt>
                <c:pt idx="2326">
                  <c:v>55752</c:v>
                </c:pt>
                <c:pt idx="2327">
                  <c:v>55759</c:v>
                </c:pt>
                <c:pt idx="2328">
                  <c:v>55766</c:v>
                </c:pt>
                <c:pt idx="2329">
                  <c:v>55773</c:v>
                </c:pt>
                <c:pt idx="2330">
                  <c:v>55780</c:v>
                </c:pt>
                <c:pt idx="2331">
                  <c:v>55787</c:v>
                </c:pt>
                <c:pt idx="2332">
                  <c:v>55794</c:v>
                </c:pt>
                <c:pt idx="2333">
                  <c:v>55801</c:v>
                </c:pt>
                <c:pt idx="2334">
                  <c:v>55808</c:v>
                </c:pt>
                <c:pt idx="2335">
                  <c:v>55815</c:v>
                </c:pt>
                <c:pt idx="2336">
                  <c:v>55822</c:v>
                </c:pt>
                <c:pt idx="2337">
                  <c:v>55829</c:v>
                </c:pt>
                <c:pt idx="2338">
                  <c:v>55836</c:v>
                </c:pt>
                <c:pt idx="2339">
                  <c:v>55843</c:v>
                </c:pt>
                <c:pt idx="2340">
                  <c:v>55850</c:v>
                </c:pt>
                <c:pt idx="2341">
                  <c:v>55857</c:v>
                </c:pt>
                <c:pt idx="2342">
                  <c:v>55864</c:v>
                </c:pt>
                <c:pt idx="2343">
                  <c:v>55871</c:v>
                </c:pt>
                <c:pt idx="2344">
                  <c:v>55883</c:v>
                </c:pt>
                <c:pt idx="2345">
                  <c:v>55887</c:v>
                </c:pt>
                <c:pt idx="2346">
                  <c:v>55893</c:v>
                </c:pt>
                <c:pt idx="2347">
                  <c:v>55900</c:v>
                </c:pt>
                <c:pt idx="2348">
                  <c:v>55907</c:v>
                </c:pt>
                <c:pt idx="2349">
                  <c:v>55914</c:v>
                </c:pt>
                <c:pt idx="2350">
                  <c:v>55921</c:v>
                </c:pt>
                <c:pt idx="2351">
                  <c:v>55928</c:v>
                </c:pt>
                <c:pt idx="2352">
                  <c:v>55935</c:v>
                </c:pt>
                <c:pt idx="2353">
                  <c:v>55942</c:v>
                </c:pt>
                <c:pt idx="2354">
                  <c:v>55949</c:v>
                </c:pt>
                <c:pt idx="2355">
                  <c:v>55956</c:v>
                </c:pt>
                <c:pt idx="2356">
                  <c:v>55963</c:v>
                </c:pt>
                <c:pt idx="2357">
                  <c:v>55970</c:v>
                </c:pt>
                <c:pt idx="2358">
                  <c:v>55977</c:v>
                </c:pt>
                <c:pt idx="2359">
                  <c:v>55984</c:v>
                </c:pt>
                <c:pt idx="2360">
                  <c:v>55991</c:v>
                </c:pt>
                <c:pt idx="2361">
                  <c:v>55998</c:v>
                </c:pt>
                <c:pt idx="2362">
                  <c:v>56006</c:v>
                </c:pt>
                <c:pt idx="2363">
                  <c:v>56012</c:v>
                </c:pt>
                <c:pt idx="2364">
                  <c:v>56020</c:v>
                </c:pt>
                <c:pt idx="2365">
                  <c:v>56026</c:v>
                </c:pt>
                <c:pt idx="2366">
                  <c:v>56033</c:v>
                </c:pt>
                <c:pt idx="2367">
                  <c:v>56040</c:v>
                </c:pt>
                <c:pt idx="2368">
                  <c:v>56047</c:v>
                </c:pt>
                <c:pt idx="2369">
                  <c:v>56054</c:v>
                </c:pt>
                <c:pt idx="2370">
                  <c:v>56061</c:v>
                </c:pt>
                <c:pt idx="2371">
                  <c:v>56068</c:v>
                </c:pt>
                <c:pt idx="2372">
                  <c:v>56075</c:v>
                </c:pt>
                <c:pt idx="2373">
                  <c:v>56082</c:v>
                </c:pt>
                <c:pt idx="2374">
                  <c:v>56089</c:v>
                </c:pt>
                <c:pt idx="2375">
                  <c:v>56096</c:v>
                </c:pt>
                <c:pt idx="2376">
                  <c:v>56103</c:v>
                </c:pt>
                <c:pt idx="2377">
                  <c:v>56110</c:v>
                </c:pt>
                <c:pt idx="2378">
                  <c:v>56117</c:v>
                </c:pt>
                <c:pt idx="2379">
                  <c:v>56124</c:v>
                </c:pt>
                <c:pt idx="2380">
                  <c:v>56131</c:v>
                </c:pt>
                <c:pt idx="2381">
                  <c:v>56138</c:v>
                </c:pt>
                <c:pt idx="2382">
                  <c:v>56145</c:v>
                </c:pt>
                <c:pt idx="2383">
                  <c:v>56152</c:v>
                </c:pt>
                <c:pt idx="2384">
                  <c:v>56159</c:v>
                </c:pt>
                <c:pt idx="2385">
                  <c:v>56166</c:v>
                </c:pt>
                <c:pt idx="2386">
                  <c:v>56173</c:v>
                </c:pt>
                <c:pt idx="2387">
                  <c:v>56180</c:v>
                </c:pt>
                <c:pt idx="2388">
                  <c:v>56187</c:v>
                </c:pt>
                <c:pt idx="2389">
                  <c:v>56194</c:v>
                </c:pt>
                <c:pt idx="2390">
                  <c:v>56201</c:v>
                </c:pt>
                <c:pt idx="2391">
                  <c:v>56208</c:v>
                </c:pt>
                <c:pt idx="2392">
                  <c:v>56215</c:v>
                </c:pt>
                <c:pt idx="2393">
                  <c:v>56222</c:v>
                </c:pt>
                <c:pt idx="2394">
                  <c:v>56229</c:v>
                </c:pt>
                <c:pt idx="2395">
                  <c:v>56236</c:v>
                </c:pt>
                <c:pt idx="2396">
                  <c:v>56248</c:v>
                </c:pt>
                <c:pt idx="2397">
                  <c:v>56254</c:v>
                </c:pt>
                <c:pt idx="2398">
                  <c:v>56258</c:v>
                </c:pt>
                <c:pt idx="2399">
                  <c:v>56265</c:v>
                </c:pt>
                <c:pt idx="2400">
                  <c:v>56272</c:v>
                </c:pt>
                <c:pt idx="2401">
                  <c:v>56279</c:v>
                </c:pt>
                <c:pt idx="2402">
                  <c:v>56286</c:v>
                </c:pt>
                <c:pt idx="2403">
                  <c:v>56293</c:v>
                </c:pt>
                <c:pt idx="2404">
                  <c:v>56300</c:v>
                </c:pt>
                <c:pt idx="2405">
                  <c:v>56307</c:v>
                </c:pt>
                <c:pt idx="2406">
                  <c:v>56314</c:v>
                </c:pt>
                <c:pt idx="2407">
                  <c:v>56321</c:v>
                </c:pt>
                <c:pt idx="2408">
                  <c:v>56328</c:v>
                </c:pt>
                <c:pt idx="2409">
                  <c:v>56339</c:v>
                </c:pt>
                <c:pt idx="2410">
                  <c:v>56342</c:v>
                </c:pt>
                <c:pt idx="2411">
                  <c:v>56349</c:v>
                </c:pt>
                <c:pt idx="2412">
                  <c:v>56356</c:v>
                </c:pt>
                <c:pt idx="2413">
                  <c:v>56363</c:v>
                </c:pt>
                <c:pt idx="2414">
                  <c:v>56373</c:v>
                </c:pt>
                <c:pt idx="2415">
                  <c:v>56380</c:v>
                </c:pt>
                <c:pt idx="2416">
                  <c:v>56384</c:v>
                </c:pt>
                <c:pt idx="2417">
                  <c:v>56391</c:v>
                </c:pt>
                <c:pt idx="2418">
                  <c:v>56398</c:v>
                </c:pt>
                <c:pt idx="2419">
                  <c:v>56405</c:v>
                </c:pt>
                <c:pt idx="2420">
                  <c:v>56412</c:v>
                </c:pt>
                <c:pt idx="2421">
                  <c:v>56422</c:v>
                </c:pt>
                <c:pt idx="2422">
                  <c:v>56426</c:v>
                </c:pt>
                <c:pt idx="2423">
                  <c:v>56433</c:v>
                </c:pt>
                <c:pt idx="2424">
                  <c:v>56440</c:v>
                </c:pt>
                <c:pt idx="2425">
                  <c:v>56447</c:v>
                </c:pt>
                <c:pt idx="2426">
                  <c:v>56454</c:v>
                </c:pt>
                <c:pt idx="2427">
                  <c:v>56461</c:v>
                </c:pt>
                <c:pt idx="2428">
                  <c:v>56468</c:v>
                </c:pt>
                <c:pt idx="2429">
                  <c:v>56475</c:v>
                </c:pt>
                <c:pt idx="2430">
                  <c:v>56482</c:v>
                </c:pt>
                <c:pt idx="2431">
                  <c:v>56489</c:v>
                </c:pt>
                <c:pt idx="2432">
                  <c:v>56496</c:v>
                </c:pt>
                <c:pt idx="2433">
                  <c:v>56503</c:v>
                </c:pt>
                <c:pt idx="2434">
                  <c:v>56510</c:v>
                </c:pt>
                <c:pt idx="2435">
                  <c:v>56517</c:v>
                </c:pt>
                <c:pt idx="2436">
                  <c:v>56524</c:v>
                </c:pt>
                <c:pt idx="2437">
                  <c:v>56531</c:v>
                </c:pt>
                <c:pt idx="2438">
                  <c:v>56538</c:v>
                </c:pt>
                <c:pt idx="2439">
                  <c:v>56545</c:v>
                </c:pt>
                <c:pt idx="2440">
                  <c:v>56552</c:v>
                </c:pt>
                <c:pt idx="2441">
                  <c:v>56559</c:v>
                </c:pt>
                <c:pt idx="2442">
                  <c:v>56566</c:v>
                </c:pt>
                <c:pt idx="2443">
                  <c:v>56573</c:v>
                </c:pt>
                <c:pt idx="2444">
                  <c:v>56580</c:v>
                </c:pt>
                <c:pt idx="2445">
                  <c:v>56587</c:v>
                </c:pt>
                <c:pt idx="2446">
                  <c:v>56594</c:v>
                </c:pt>
                <c:pt idx="2447">
                  <c:v>56601</c:v>
                </c:pt>
                <c:pt idx="2448">
                  <c:v>56612</c:v>
                </c:pt>
                <c:pt idx="2449">
                  <c:v>56619</c:v>
                </c:pt>
                <c:pt idx="2450">
                  <c:v>56625</c:v>
                </c:pt>
                <c:pt idx="2451">
                  <c:v>56632</c:v>
                </c:pt>
                <c:pt idx="2452">
                  <c:v>56639</c:v>
                </c:pt>
                <c:pt idx="2453">
                  <c:v>56646</c:v>
                </c:pt>
                <c:pt idx="2454">
                  <c:v>56653</c:v>
                </c:pt>
                <c:pt idx="2455">
                  <c:v>56660</c:v>
                </c:pt>
                <c:pt idx="2456">
                  <c:v>56667</c:v>
                </c:pt>
                <c:pt idx="2457">
                  <c:v>56674</c:v>
                </c:pt>
                <c:pt idx="2458">
                  <c:v>56681</c:v>
                </c:pt>
                <c:pt idx="2459">
                  <c:v>56688</c:v>
                </c:pt>
                <c:pt idx="2460">
                  <c:v>56695</c:v>
                </c:pt>
                <c:pt idx="2461">
                  <c:v>56702</c:v>
                </c:pt>
                <c:pt idx="2462">
                  <c:v>56709</c:v>
                </c:pt>
                <c:pt idx="2463">
                  <c:v>56716</c:v>
                </c:pt>
                <c:pt idx="2464">
                  <c:v>56725</c:v>
                </c:pt>
                <c:pt idx="2465">
                  <c:v>56730</c:v>
                </c:pt>
                <c:pt idx="2466">
                  <c:v>56737</c:v>
                </c:pt>
                <c:pt idx="2467">
                  <c:v>56744</c:v>
                </c:pt>
                <c:pt idx="2468">
                  <c:v>56751</c:v>
                </c:pt>
                <c:pt idx="2469">
                  <c:v>56758</c:v>
                </c:pt>
                <c:pt idx="2470">
                  <c:v>56766</c:v>
                </c:pt>
                <c:pt idx="2471">
                  <c:v>56774</c:v>
                </c:pt>
                <c:pt idx="2472">
                  <c:v>56780</c:v>
                </c:pt>
                <c:pt idx="2473">
                  <c:v>56787</c:v>
                </c:pt>
                <c:pt idx="2474">
                  <c:v>56795</c:v>
                </c:pt>
                <c:pt idx="2475">
                  <c:v>56802</c:v>
                </c:pt>
                <c:pt idx="2476">
                  <c:v>56809</c:v>
                </c:pt>
                <c:pt idx="2477">
                  <c:v>56816</c:v>
                </c:pt>
                <c:pt idx="2478">
                  <c:v>56823</c:v>
                </c:pt>
                <c:pt idx="2479">
                  <c:v>56830</c:v>
                </c:pt>
                <c:pt idx="2480">
                  <c:v>56837</c:v>
                </c:pt>
                <c:pt idx="2481">
                  <c:v>56844</c:v>
                </c:pt>
                <c:pt idx="2482">
                  <c:v>56851</c:v>
                </c:pt>
                <c:pt idx="2483">
                  <c:v>56858</c:v>
                </c:pt>
                <c:pt idx="2484">
                  <c:v>56865</c:v>
                </c:pt>
                <c:pt idx="2485">
                  <c:v>56872</c:v>
                </c:pt>
                <c:pt idx="2486">
                  <c:v>56879</c:v>
                </c:pt>
                <c:pt idx="2487">
                  <c:v>56886</c:v>
                </c:pt>
                <c:pt idx="2488">
                  <c:v>56893</c:v>
                </c:pt>
                <c:pt idx="2489">
                  <c:v>56900</c:v>
                </c:pt>
                <c:pt idx="2490">
                  <c:v>56907</c:v>
                </c:pt>
                <c:pt idx="2491">
                  <c:v>56914</c:v>
                </c:pt>
                <c:pt idx="2492">
                  <c:v>56921</c:v>
                </c:pt>
                <c:pt idx="2493">
                  <c:v>56928</c:v>
                </c:pt>
                <c:pt idx="2494">
                  <c:v>56935</c:v>
                </c:pt>
                <c:pt idx="2495">
                  <c:v>56942</c:v>
                </c:pt>
                <c:pt idx="2496">
                  <c:v>56949</c:v>
                </c:pt>
                <c:pt idx="2497">
                  <c:v>56956</c:v>
                </c:pt>
                <c:pt idx="2498">
                  <c:v>56963</c:v>
                </c:pt>
                <c:pt idx="2499">
                  <c:v>56970</c:v>
                </c:pt>
                <c:pt idx="2500">
                  <c:v>56977</c:v>
                </c:pt>
                <c:pt idx="2501">
                  <c:v>56984</c:v>
                </c:pt>
                <c:pt idx="2502">
                  <c:v>56991</c:v>
                </c:pt>
                <c:pt idx="2503">
                  <c:v>56998</c:v>
                </c:pt>
                <c:pt idx="2504">
                  <c:v>57005</c:v>
                </c:pt>
                <c:pt idx="2505">
                  <c:v>57012</c:v>
                </c:pt>
                <c:pt idx="2506">
                  <c:v>57019</c:v>
                </c:pt>
                <c:pt idx="2507">
                  <c:v>57026</c:v>
                </c:pt>
                <c:pt idx="2508">
                  <c:v>57033</c:v>
                </c:pt>
                <c:pt idx="2509">
                  <c:v>57040</c:v>
                </c:pt>
                <c:pt idx="2510">
                  <c:v>57047</c:v>
                </c:pt>
                <c:pt idx="2511">
                  <c:v>57054</c:v>
                </c:pt>
                <c:pt idx="2512">
                  <c:v>57061</c:v>
                </c:pt>
                <c:pt idx="2513">
                  <c:v>57068</c:v>
                </c:pt>
                <c:pt idx="2514">
                  <c:v>57076</c:v>
                </c:pt>
                <c:pt idx="2515">
                  <c:v>57083</c:v>
                </c:pt>
                <c:pt idx="2516">
                  <c:v>57090</c:v>
                </c:pt>
                <c:pt idx="2517">
                  <c:v>57097</c:v>
                </c:pt>
                <c:pt idx="2518">
                  <c:v>57104</c:v>
                </c:pt>
                <c:pt idx="2519">
                  <c:v>57112</c:v>
                </c:pt>
                <c:pt idx="2520">
                  <c:v>57118</c:v>
                </c:pt>
                <c:pt idx="2521">
                  <c:v>57125</c:v>
                </c:pt>
                <c:pt idx="2522">
                  <c:v>57132</c:v>
                </c:pt>
                <c:pt idx="2523">
                  <c:v>57139</c:v>
                </c:pt>
                <c:pt idx="2524">
                  <c:v>57146</c:v>
                </c:pt>
                <c:pt idx="2525">
                  <c:v>57153</c:v>
                </c:pt>
                <c:pt idx="2526">
                  <c:v>57160</c:v>
                </c:pt>
                <c:pt idx="2527">
                  <c:v>57167</c:v>
                </c:pt>
                <c:pt idx="2528">
                  <c:v>57174</c:v>
                </c:pt>
                <c:pt idx="2529">
                  <c:v>57181</c:v>
                </c:pt>
                <c:pt idx="2530">
                  <c:v>57188</c:v>
                </c:pt>
                <c:pt idx="2531">
                  <c:v>57195</c:v>
                </c:pt>
                <c:pt idx="2532">
                  <c:v>57202</c:v>
                </c:pt>
                <c:pt idx="2533">
                  <c:v>57209</c:v>
                </c:pt>
                <c:pt idx="2534">
                  <c:v>57216</c:v>
                </c:pt>
                <c:pt idx="2535">
                  <c:v>57223</c:v>
                </c:pt>
                <c:pt idx="2536">
                  <c:v>57230</c:v>
                </c:pt>
                <c:pt idx="2537">
                  <c:v>57237</c:v>
                </c:pt>
                <c:pt idx="2538">
                  <c:v>57244</c:v>
                </c:pt>
                <c:pt idx="2539">
                  <c:v>57251</c:v>
                </c:pt>
                <c:pt idx="2540">
                  <c:v>57258</c:v>
                </c:pt>
                <c:pt idx="2541">
                  <c:v>57265</c:v>
                </c:pt>
                <c:pt idx="2542">
                  <c:v>57272</c:v>
                </c:pt>
                <c:pt idx="2543">
                  <c:v>57279</c:v>
                </c:pt>
                <c:pt idx="2544">
                  <c:v>57286</c:v>
                </c:pt>
                <c:pt idx="2545">
                  <c:v>57293</c:v>
                </c:pt>
                <c:pt idx="2546">
                  <c:v>57300</c:v>
                </c:pt>
                <c:pt idx="2547">
                  <c:v>57307</c:v>
                </c:pt>
                <c:pt idx="2548">
                  <c:v>57314</c:v>
                </c:pt>
                <c:pt idx="2549">
                  <c:v>57321</c:v>
                </c:pt>
                <c:pt idx="2550">
                  <c:v>57328</c:v>
                </c:pt>
                <c:pt idx="2551">
                  <c:v>57335</c:v>
                </c:pt>
                <c:pt idx="2552">
                  <c:v>57343</c:v>
                </c:pt>
                <c:pt idx="2553">
                  <c:v>57350</c:v>
                </c:pt>
                <c:pt idx="2554">
                  <c:v>57357</c:v>
                </c:pt>
                <c:pt idx="2555">
                  <c:v>57364</c:v>
                </c:pt>
                <c:pt idx="2556">
                  <c:v>57371</c:v>
                </c:pt>
                <c:pt idx="2557">
                  <c:v>57378</c:v>
                </c:pt>
                <c:pt idx="2558">
                  <c:v>57385</c:v>
                </c:pt>
                <c:pt idx="2559">
                  <c:v>57392</c:v>
                </c:pt>
                <c:pt idx="2560">
                  <c:v>57399</c:v>
                </c:pt>
                <c:pt idx="2561">
                  <c:v>57406</c:v>
                </c:pt>
                <c:pt idx="2562">
                  <c:v>57413</c:v>
                </c:pt>
                <c:pt idx="2563">
                  <c:v>57420</c:v>
                </c:pt>
                <c:pt idx="2564">
                  <c:v>57427</c:v>
                </c:pt>
                <c:pt idx="2565">
                  <c:v>57434</c:v>
                </c:pt>
                <c:pt idx="2566">
                  <c:v>57441</c:v>
                </c:pt>
                <c:pt idx="2567">
                  <c:v>57448</c:v>
                </c:pt>
                <c:pt idx="2568">
                  <c:v>57459</c:v>
                </c:pt>
                <c:pt idx="2569">
                  <c:v>57462</c:v>
                </c:pt>
                <c:pt idx="2570">
                  <c:v>57469</c:v>
                </c:pt>
                <c:pt idx="2571">
                  <c:v>57476</c:v>
                </c:pt>
                <c:pt idx="2572">
                  <c:v>57483</c:v>
                </c:pt>
                <c:pt idx="2573">
                  <c:v>57490</c:v>
                </c:pt>
                <c:pt idx="2574">
                  <c:v>57500</c:v>
                </c:pt>
                <c:pt idx="2575">
                  <c:v>57504</c:v>
                </c:pt>
                <c:pt idx="2576">
                  <c:v>57511</c:v>
                </c:pt>
                <c:pt idx="2577">
                  <c:v>57521</c:v>
                </c:pt>
                <c:pt idx="2578">
                  <c:v>57525</c:v>
                </c:pt>
                <c:pt idx="2579">
                  <c:v>57532</c:v>
                </c:pt>
                <c:pt idx="2580">
                  <c:v>57539</c:v>
                </c:pt>
                <c:pt idx="2581">
                  <c:v>57546</c:v>
                </c:pt>
                <c:pt idx="2582">
                  <c:v>57553</c:v>
                </c:pt>
                <c:pt idx="2583">
                  <c:v>57560</c:v>
                </c:pt>
                <c:pt idx="2584">
                  <c:v>57567</c:v>
                </c:pt>
                <c:pt idx="2585">
                  <c:v>57574</c:v>
                </c:pt>
                <c:pt idx="2586">
                  <c:v>57581</c:v>
                </c:pt>
                <c:pt idx="2587">
                  <c:v>57588</c:v>
                </c:pt>
                <c:pt idx="2588">
                  <c:v>57595</c:v>
                </c:pt>
                <c:pt idx="2589">
                  <c:v>57602</c:v>
                </c:pt>
                <c:pt idx="2590">
                  <c:v>57609</c:v>
                </c:pt>
                <c:pt idx="2591">
                  <c:v>57616</c:v>
                </c:pt>
                <c:pt idx="2592">
                  <c:v>57623</c:v>
                </c:pt>
                <c:pt idx="2593">
                  <c:v>57630</c:v>
                </c:pt>
                <c:pt idx="2594">
                  <c:v>57637</c:v>
                </c:pt>
                <c:pt idx="2595">
                  <c:v>57644</c:v>
                </c:pt>
                <c:pt idx="2596">
                  <c:v>57651</c:v>
                </c:pt>
                <c:pt idx="2597">
                  <c:v>57658</c:v>
                </c:pt>
                <c:pt idx="2598">
                  <c:v>57665</c:v>
                </c:pt>
                <c:pt idx="2599">
                  <c:v>57672</c:v>
                </c:pt>
                <c:pt idx="2600">
                  <c:v>57679</c:v>
                </c:pt>
                <c:pt idx="2601">
                  <c:v>57686</c:v>
                </c:pt>
                <c:pt idx="2602">
                  <c:v>57693</c:v>
                </c:pt>
                <c:pt idx="2603">
                  <c:v>57700</c:v>
                </c:pt>
                <c:pt idx="2604">
                  <c:v>57712</c:v>
                </c:pt>
                <c:pt idx="2605">
                  <c:v>57717</c:v>
                </c:pt>
                <c:pt idx="2606">
                  <c:v>57724</c:v>
                </c:pt>
                <c:pt idx="2607">
                  <c:v>57731</c:v>
                </c:pt>
                <c:pt idx="2608">
                  <c:v>57738</c:v>
                </c:pt>
                <c:pt idx="2609">
                  <c:v>57745</c:v>
                </c:pt>
                <c:pt idx="2610">
                  <c:v>57752</c:v>
                </c:pt>
                <c:pt idx="2611">
                  <c:v>57759</c:v>
                </c:pt>
                <c:pt idx="2612">
                  <c:v>57766</c:v>
                </c:pt>
                <c:pt idx="2613">
                  <c:v>57773</c:v>
                </c:pt>
                <c:pt idx="2614">
                  <c:v>57780</c:v>
                </c:pt>
                <c:pt idx="2615">
                  <c:v>57787</c:v>
                </c:pt>
                <c:pt idx="2616">
                  <c:v>57794</c:v>
                </c:pt>
                <c:pt idx="2617">
                  <c:v>57801</c:v>
                </c:pt>
                <c:pt idx="2618">
                  <c:v>57808</c:v>
                </c:pt>
                <c:pt idx="2619">
                  <c:v>57817</c:v>
                </c:pt>
                <c:pt idx="2620">
                  <c:v>57822</c:v>
                </c:pt>
                <c:pt idx="2621">
                  <c:v>57829</c:v>
                </c:pt>
                <c:pt idx="2622">
                  <c:v>57836</c:v>
                </c:pt>
                <c:pt idx="2623">
                  <c:v>57843</c:v>
                </c:pt>
                <c:pt idx="2624">
                  <c:v>57850</c:v>
                </c:pt>
                <c:pt idx="2625">
                  <c:v>57858</c:v>
                </c:pt>
                <c:pt idx="2626">
                  <c:v>57866</c:v>
                </c:pt>
                <c:pt idx="2627">
                  <c:v>57872</c:v>
                </c:pt>
                <c:pt idx="2628">
                  <c:v>57879</c:v>
                </c:pt>
                <c:pt idx="2629">
                  <c:v>57887</c:v>
                </c:pt>
                <c:pt idx="2630">
                  <c:v>57894</c:v>
                </c:pt>
                <c:pt idx="2631">
                  <c:v>57901</c:v>
                </c:pt>
                <c:pt idx="2632">
                  <c:v>57908</c:v>
                </c:pt>
                <c:pt idx="2633">
                  <c:v>57915</c:v>
                </c:pt>
                <c:pt idx="2634">
                  <c:v>57922</c:v>
                </c:pt>
                <c:pt idx="2635">
                  <c:v>57929</c:v>
                </c:pt>
                <c:pt idx="2636">
                  <c:v>57936</c:v>
                </c:pt>
                <c:pt idx="2637">
                  <c:v>57943</c:v>
                </c:pt>
                <c:pt idx="2638">
                  <c:v>57950</c:v>
                </c:pt>
                <c:pt idx="2639">
                  <c:v>57957</c:v>
                </c:pt>
                <c:pt idx="2640">
                  <c:v>57964</c:v>
                </c:pt>
                <c:pt idx="2641">
                  <c:v>57971</c:v>
                </c:pt>
                <c:pt idx="2642">
                  <c:v>57978</c:v>
                </c:pt>
                <c:pt idx="2643">
                  <c:v>57985</c:v>
                </c:pt>
                <c:pt idx="2644">
                  <c:v>57992</c:v>
                </c:pt>
                <c:pt idx="2645">
                  <c:v>57999</c:v>
                </c:pt>
                <c:pt idx="2646">
                  <c:v>58006</c:v>
                </c:pt>
                <c:pt idx="2647">
                  <c:v>58013</c:v>
                </c:pt>
                <c:pt idx="2648">
                  <c:v>58020</c:v>
                </c:pt>
                <c:pt idx="2649">
                  <c:v>58027</c:v>
                </c:pt>
                <c:pt idx="2650">
                  <c:v>58034</c:v>
                </c:pt>
                <c:pt idx="2651">
                  <c:v>58041</c:v>
                </c:pt>
                <c:pt idx="2652">
                  <c:v>58048</c:v>
                </c:pt>
                <c:pt idx="2653">
                  <c:v>58055</c:v>
                </c:pt>
                <c:pt idx="2654">
                  <c:v>58062</c:v>
                </c:pt>
                <c:pt idx="2655">
                  <c:v>58074</c:v>
                </c:pt>
                <c:pt idx="2656">
                  <c:v>58078</c:v>
                </c:pt>
                <c:pt idx="2657">
                  <c:v>58084</c:v>
                </c:pt>
                <c:pt idx="2658">
                  <c:v>58091</c:v>
                </c:pt>
                <c:pt idx="2659">
                  <c:v>58098</c:v>
                </c:pt>
                <c:pt idx="2660">
                  <c:v>58105</c:v>
                </c:pt>
                <c:pt idx="2661">
                  <c:v>58112</c:v>
                </c:pt>
                <c:pt idx="2662">
                  <c:v>58119</c:v>
                </c:pt>
                <c:pt idx="2663">
                  <c:v>58126</c:v>
                </c:pt>
                <c:pt idx="2664">
                  <c:v>58133</c:v>
                </c:pt>
                <c:pt idx="2665">
                  <c:v>58140</c:v>
                </c:pt>
                <c:pt idx="2666">
                  <c:v>58147</c:v>
                </c:pt>
                <c:pt idx="2667">
                  <c:v>58154</c:v>
                </c:pt>
                <c:pt idx="2668">
                  <c:v>58161</c:v>
                </c:pt>
                <c:pt idx="2669">
                  <c:v>58168</c:v>
                </c:pt>
                <c:pt idx="2670">
                  <c:v>58175</c:v>
                </c:pt>
                <c:pt idx="2671">
                  <c:v>58182</c:v>
                </c:pt>
                <c:pt idx="2672">
                  <c:v>58189</c:v>
                </c:pt>
                <c:pt idx="2673">
                  <c:v>58197</c:v>
                </c:pt>
                <c:pt idx="2674">
                  <c:v>58204</c:v>
                </c:pt>
                <c:pt idx="2675">
                  <c:v>58210</c:v>
                </c:pt>
                <c:pt idx="2676">
                  <c:v>58217</c:v>
                </c:pt>
                <c:pt idx="2677">
                  <c:v>58224</c:v>
                </c:pt>
                <c:pt idx="2678">
                  <c:v>58231</c:v>
                </c:pt>
                <c:pt idx="2679">
                  <c:v>58238</c:v>
                </c:pt>
                <c:pt idx="2680">
                  <c:v>58245</c:v>
                </c:pt>
                <c:pt idx="2681">
                  <c:v>58252</c:v>
                </c:pt>
                <c:pt idx="2682">
                  <c:v>58259</c:v>
                </c:pt>
                <c:pt idx="2683">
                  <c:v>58266</c:v>
                </c:pt>
                <c:pt idx="2684">
                  <c:v>58273</c:v>
                </c:pt>
                <c:pt idx="2685">
                  <c:v>58280</c:v>
                </c:pt>
                <c:pt idx="2686">
                  <c:v>58287</c:v>
                </c:pt>
                <c:pt idx="2687">
                  <c:v>58294</c:v>
                </c:pt>
                <c:pt idx="2688">
                  <c:v>58301</c:v>
                </c:pt>
                <c:pt idx="2689">
                  <c:v>58308</c:v>
                </c:pt>
                <c:pt idx="2690">
                  <c:v>58315</c:v>
                </c:pt>
                <c:pt idx="2691">
                  <c:v>58322</c:v>
                </c:pt>
                <c:pt idx="2692">
                  <c:v>58329</c:v>
                </c:pt>
                <c:pt idx="2693">
                  <c:v>58336</c:v>
                </c:pt>
                <c:pt idx="2694">
                  <c:v>58343</c:v>
                </c:pt>
                <c:pt idx="2695">
                  <c:v>58350</c:v>
                </c:pt>
                <c:pt idx="2696">
                  <c:v>58357</c:v>
                </c:pt>
                <c:pt idx="2697">
                  <c:v>58364</c:v>
                </c:pt>
                <c:pt idx="2698">
                  <c:v>58371</c:v>
                </c:pt>
                <c:pt idx="2699">
                  <c:v>58378</c:v>
                </c:pt>
                <c:pt idx="2700">
                  <c:v>58385</c:v>
                </c:pt>
                <c:pt idx="2701">
                  <c:v>58392</c:v>
                </c:pt>
                <c:pt idx="2702">
                  <c:v>58399</c:v>
                </c:pt>
                <c:pt idx="2703">
                  <c:v>58406</c:v>
                </c:pt>
                <c:pt idx="2704">
                  <c:v>58413</c:v>
                </c:pt>
                <c:pt idx="2705">
                  <c:v>58420</c:v>
                </c:pt>
                <c:pt idx="2706">
                  <c:v>58427</c:v>
                </c:pt>
                <c:pt idx="2707">
                  <c:v>58439</c:v>
                </c:pt>
                <c:pt idx="2708">
                  <c:v>58445</c:v>
                </c:pt>
                <c:pt idx="2709">
                  <c:v>58449</c:v>
                </c:pt>
                <c:pt idx="2710">
                  <c:v>58456</c:v>
                </c:pt>
                <c:pt idx="2711">
                  <c:v>58463</c:v>
                </c:pt>
                <c:pt idx="2712">
                  <c:v>58470</c:v>
                </c:pt>
                <c:pt idx="2713">
                  <c:v>58477</c:v>
                </c:pt>
                <c:pt idx="2714">
                  <c:v>58484</c:v>
                </c:pt>
                <c:pt idx="2715">
                  <c:v>58491</c:v>
                </c:pt>
                <c:pt idx="2716">
                  <c:v>58498</c:v>
                </c:pt>
                <c:pt idx="2717">
                  <c:v>58505</c:v>
                </c:pt>
                <c:pt idx="2718">
                  <c:v>58512</c:v>
                </c:pt>
                <c:pt idx="2719">
                  <c:v>58519</c:v>
                </c:pt>
                <c:pt idx="2720">
                  <c:v>58526</c:v>
                </c:pt>
                <c:pt idx="2721">
                  <c:v>58533</c:v>
                </c:pt>
                <c:pt idx="2722">
                  <c:v>58540</c:v>
                </c:pt>
                <c:pt idx="2723">
                  <c:v>58551</c:v>
                </c:pt>
                <c:pt idx="2724">
                  <c:v>58554</c:v>
                </c:pt>
                <c:pt idx="2725">
                  <c:v>58561</c:v>
                </c:pt>
                <c:pt idx="2726">
                  <c:v>58568</c:v>
                </c:pt>
                <c:pt idx="2727">
                  <c:v>58575</c:v>
                </c:pt>
                <c:pt idx="2728">
                  <c:v>58582</c:v>
                </c:pt>
                <c:pt idx="2729">
                  <c:v>58592</c:v>
                </c:pt>
                <c:pt idx="2730">
                  <c:v>58596</c:v>
                </c:pt>
                <c:pt idx="2731">
                  <c:v>58603</c:v>
                </c:pt>
                <c:pt idx="2732">
                  <c:v>58610</c:v>
                </c:pt>
                <c:pt idx="2733">
                  <c:v>58620</c:v>
                </c:pt>
                <c:pt idx="2734">
                  <c:v>58624</c:v>
                </c:pt>
                <c:pt idx="2735">
                  <c:v>58631</c:v>
                </c:pt>
                <c:pt idx="2736">
                  <c:v>58638</c:v>
                </c:pt>
                <c:pt idx="2737">
                  <c:v>58645</c:v>
                </c:pt>
                <c:pt idx="2738">
                  <c:v>58652</c:v>
                </c:pt>
                <c:pt idx="2739">
                  <c:v>58659</c:v>
                </c:pt>
                <c:pt idx="2740">
                  <c:v>58666</c:v>
                </c:pt>
                <c:pt idx="2741">
                  <c:v>58673</c:v>
                </c:pt>
                <c:pt idx="2742">
                  <c:v>58680</c:v>
                </c:pt>
                <c:pt idx="2743">
                  <c:v>58687</c:v>
                </c:pt>
                <c:pt idx="2744">
                  <c:v>58694</c:v>
                </c:pt>
                <c:pt idx="2745">
                  <c:v>58701</c:v>
                </c:pt>
                <c:pt idx="2746">
                  <c:v>58708</c:v>
                </c:pt>
                <c:pt idx="2747">
                  <c:v>58715</c:v>
                </c:pt>
                <c:pt idx="2748">
                  <c:v>58722</c:v>
                </c:pt>
                <c:pt idx="2749">
                  <c:v>58729</c:v>
                </c:pt>
                <c:pt idx="2750">
                  <c:v>58736</c:v>
                </c:pt>
                <c:pt idx="2751">
                  <c:v>58743</c:v>
                </c:pt>
                <c:pt idx="2752">
                  <c:v>58750</c:v>
                </c:pt>
                <c:pt idx="2753">
                  <c:v>58757</c:v>
                </c:pt>
                <c:pt idx="2754">
                  <c:v>58764</c:v>
                </c:pt>
                <c:pt idx="2755">
                  <c:v>58771</c:v>
                </c:pt>
                <c:pt idx="2756">
                  <c:v>58778</c:v>
                </c:pt>
                <c:pt idx="2757">
                  <c:v>58785</c:v>
                </c:pt>
                <c:pt idx="2758">
                  <c:v>58792</c:v>
                </c:pt>
                <c:pt idx="2759">
                  <c:v>58802</c:v>
                </c:pt>
                <c:pt idx="2760">
                  <c:v>58809</c:v>
                </c:pt>
                <c:pt idx="2761">
                  <c:v>58816</c:v>
                </c:pt>
                <c:pt idx="2762">
                  <c:v>58820</c:v>
                </c:pt>
                <c:pt idx="2763">
                  <c:v>58827</c:v>
                </c:pt>
                <c:pt idx="2764">
                  <c:v>58834</c:v>
                </c:pt>
                <c:pt idx="2765">
                  <c:v>58841</c:v>
                </c:pt>
                <c:pt idx="2766">
                  <c:v>58848</c:v>
                </c:pt>
                <c:pt idx="2767">
                  <c:v>58855</c:v>
                </c:pt>
                <c:pt idx="2768">
                  <c:v>58862</c:v>
                </c:pt>
                <c:pt idx="2769">
                  <c:v>58869</c:v>
                </c:pt>
                <c:pt idx="2770">
                  <c:v>58876</c:v>
                </c:pt>
                <c:pt idx="2771">
                  <c:v>58883</c:v>
                </c:pt>
                <c:pt idx="2772">
                  <c:v>58890</c:v>
                </c:pt>
                <c:pt idx="2773">
                  <c:v>58897</c:v>
                </c:pt>
                <c:pt idx="2774">
                  <c:v>58908</c:v>
                </c:pt>
                <c:pt idx="2775">
                  <c:v>58911</c:v>
                </c:pt>
                <c:pt idx="2776">
                  <c:v>58918</c:v>
                </c:pt>
                <c:pt idx="2777">
                  <c:v>58925</c:v>
                </c:pt>
                <c:pt idx="2778">
                  <c:v>58932</c:v>
                </c:pt>
                <c:pt idx="2779">
                  <c:v>58939</c:v>
                </c:pt>
                <c:pt idx="2780">
                  <c:v>58949</c:v>
                </c:pt>
                <c:pt idx="2781">
                  <c:v>58953</c:v>
                </c:pt>
                <c:pt idx="2782">
                  <c:v>58960</c:v>
                </c:pt>
                <c:pt idx="2783">
                  <c:v>58967</c:v>
                </c:pt>
                <c:pt idx="2784">
                  <c:v>58974</c:v>
                </c:pt>
                <c:pt idx="2785">
                  <c:v>58984</c:v>
                </c:pt>
                <c:pt idx="2786">
                  <c:v>58988</c:v>
                </c:pt>
                <c:pt idx="2787">
                  <c:v>58995</c:v>
                </c:pt>
                <c:pt idx="2788">
                  <c:v>59002</c:v>
                </c:pt>
                <c:pt idx="2789">
                  <c:v>59009</c:v>
                </c:pt>
                <c:pt idx="2790">
                  <c:v>59016</c:v>
                </c:pt>
                <c:pt idx="2791">
                  <c:v>59023</c:v>
                </c:pt>
                <c:pt idx="2792">
                  <c:v>59030</c:v>
                </c:pt>
                <c:pt idx="2793">
                  <c:v>59037</c:v>
                </c:pt>
                <c:pt idx="2794">
                  <c:v>59044</c:v>
                </c:pt>
                <c:pt idx="2795">
                  <c:v>59051</c:v>
                </c:pt>
                <c:pt idx="2796">
                  <c:v>59058</c:v>
                </c:pt>
                <c:pt idx="2797">
                  <c:v>59065</c:v>
                </c:pt>
                <c:pt idx="2798">
                  <c:v>59072</c:v>
                </c:pt>
                <c:pt idx="2799">
                  <c:v>59079</c:v>
                </c:pt>
                <c:pt idx="2800">
                  <c:v>59086</c:v>
                </c:pt>
                <c:pt idx="2801">
                  <c:v>59093</c:v>
                </c:pt>
                <c:pt idx="2802">
                  <c:v>59100</c:v>
                </c:pt>
                <c:pt idx="2803">
                  <c:v>59107</c:v>
                </c:pt>
                <c:pt idx="2804">
                  <c:v>59114</c:v>
                </c:pt>
                <c:pt idx="2805">
                  <c:v>59121</c:v>
                </c:pt>
                <c:pt idx="2806">
                  <c:v>59128</c:v>
                </c:pt>
                <c:pt idx="2807">
                  <c:v>59135</c:v>
                </c:pt>
                <c:pt idx="2808">
                  <c:v>59142</c:v>
                </c:pt>
                <c:pt idx="2809">
                  <c:v>59149</c:v>
                </c:pt>
                <c:pt idx="2810">
                  <c:v>59156</c:v>
                </c:pt>
                <c:pt idx="2811">
                  <c:v>59163</c:v>
                </c:pt>
                <c:pt idx="2812">
                  <c:v>59170</c:v>
                </c:pt>
                <c:pt idx="2813">
                  <c:v>59180</c:v>
                </c:pt>
                <c:pt idx="2814">
                  <c:v>59184</c:v>
                </c:pt>
                <c:pt idx="2815">
                  <c:v>59191</c:v>
                </c:pt>
                <c:pt idx="2816">
                  <c:v>59198</c:v>
                </c:pt>
                <c:pt idx="2817">
                  <c:v>59205</c:v>
                </c:pt>
                <c:pt idx="2818">
                  <c:v>59212</c:v>
                </c:pt>
                <c:pt idx="2819">
                  <c:v>59219</c:v>
                </c:pt>
                <c:pt idx="2820">
                  <c:v>59226</c:v>
                </c:pt>
                <c:pt idx="2821">
                  <c:v>59233</c:v>
                </c:pt>
                <c:pt idx="2822">
                  <c:v>59240</c:v>
                </c:pt>
                <c:pt idx="2823">
                  <c:v>59247</c:v>
                </c:pt>
                <c:pt idx="2824">
                  <c:v>59258</c:v>
                </c:pt>
                <c:pt idx="2825">
                  <c:v>59261</c:v>
                </c:pt>
                <c:pt idx="2826">
                  <c:v>59268</c:v>
                </c:pt>
                <c:pt idx="2827">
                  <c:v>59275</c:v>
                </c:pt>
                <c:pt idx="2828">
                  <c:v>59282</c:v>
                </c:pt>
                <c:pt idx="2829">
                  <c:v>59289</c:v>
                </c:pt>
                <c:pt idx="2830">
                  <c:v>59299</c:v>
                </c:pt>
                <c:pt idx="2831">
                  <c:v>59303</c:v>
                </c:pt>
                <c:pt idx="2832">
                  <c:v>59310</c:v>
                </c:pt>
                <c:pt idx="2833">
                  <c:v>59317</c:v>
                </c:pt>
                <c:pt idx="2834">
                  <c:v>59324</c:v>
                </c:pt>
                <c:pt idx="2835">
                  <c:v>59331</c:v>
                </c:pt>
                <c:pt idx="2836">
                  <c:v>59338</c:v>
                </c:pt>
                <c:pt idx="2837">
                  <c:v>59348</c:v>
                </c:pt>
                <c:pt idx="2838">
                  <c:v>59352</c:v>
                </c:pt>
                <c:pt idx="2839">
                  <c:v>59359</c:v>
                </c:pt>
                <c:pt idx="2840">
                  <c:v>59366</c:v>
                </c:pt>
                <c:pt idx="2841">
                  <c:v>59373</c:v>
                </c:pt>
                <c:pt idx="2842">
                  <c:v>59380</c:v>
                </c:pt>
                <c:pt idx="2843">
                  <c:v>59387</c:v>
                </c:pt>
                <c:pt idx="2844">
                  <c:v>59394</c:v>
                </c:pt>
                <c:pt idx="2845">
                  <c:v>59401</c:v>
                </c:pt>
                <c:pt idx="2846">
                  <c:v>59408</c:v>
                </c:pt>
                <c:pt idx="2847">
                  <c:v>59415</c:v>
                </c:pt>
                <c:pt idx="2848">
                  <c:v>59422</c:v>
                </c:pt>
                <c:pt idx="2849">
                  <c:v>59429</c:v>
                </c:pt>
                <c:pt idx="2850">
                  <c:v>59436</c:v>
                </c:pt>
                <c:pt idx="2851">
                  <c:v>59443</c:v>
                </c:pt>
                <c:pt idx="2852">
                  <c:v>59450</c:v>
                </c:pt>
                <c:pt idx="2853">
                  <c:v>59457</c:v>
                </c:pt>
                <c:pt idx="2854">
                  <c:v>59464</c:v>
                </c:pt>
                <c:pt idx="2855">
                  <c:v>59471</c:v>
                </c:pt>
                <c:pt idx="2856">
                  <c:v>59478</c:v>
                </c:pt>
                <c:pt idx="2857">
                  <c:v>59485</c:v>
                </c:pt>
                <c:pt idx="2858">
                  <c:v>59492</c:v>
                </c:pt>
                <c:pt idx="2859">
                  <c:v>59499</c:v>
                </c:pt>
                <c:pt idx="2860">
                  <c:v>59506</c:v>
                </c:pt>
                <c:pt idx="2861">
                  <c:v>59513</c:v>
                </c:pt>
                <c:pt idx="2862">
                  <c:v>59520</c:v>
                </c:pt>
                <c:pt idx="2863">
                  <c:v>59527</c:v>
                </c:pt>
                <c:pt idx="2864">
                  <c:v>59534</c:v>
                </c:pt>
                <c:pt idx="2865">
                  <c:v>59541</c:v>
                </c:pt>
                <c:pt idx="2866">
                  <c:v>59548</c:v>
                </c:pt>
                <c:pt idx="2867">
                  <c:v>59555</c:v>
                </c:pt>
                <c:pt idx="2868">
                  <c:v>59562</c:v>
                </c:pt>
                <c:pt idx="2869">
                  <c:v>59569</c:v>
                </c:pt>
                <c:pt idx="2870">
                  <c:v>59576</c:v>
                </c:pt>
                <c:pt idx="2871">
                  <c:v>59583</c:v>
                </c:pt>
                <c:pt idx="2872">
                  <c:v>59590</c:v>
                </c:pt>
                <c:pt idx="2873">
                  <c:v>59597</c:v>
                </c:pt>
                <c:pt idx="2874">
                  <c:v>59604</c:v>
                </c:pt>
                <c:pt idx="2875">
                  <c:v>59611</c:v>
                </c:pt>
                <c:pt idx="2876">
                  <c:v>59618</c:v>
                </c:pt>
                <c:pt idx="2877">
                  <c:v>59625</c:v>
                </c:pt>
                <c:pt idx="2878">
                  <c:v>59632</c:v>
                </c:pt>
                <c:pt idx="2879">
                  <c:v>59643</c:v>
                </c:pt>
                <c:pt idx="2880">
                  <c:v>59646</c:v>
                </c:pt>
                <c:pt idx="2881">
                  <c:v>59653</c:v>
                </c:pt>
                <c:pt idx="2882">
                  <c:v>59660</c:v>
                </c:pt>
                <c:pt idx="2883">
                  <c:v>59667</c:v>
                </c:pt>
                <c:pt idx="2884">
                  <c:v>59674</c:v>
                </c:pt>
                <c:pt idx="2885">
                  <c:v>59684</c:v>
                </c:pt>
                <c:pt idx="2886">
                  <c:v>59688</c:v>
                </c:pt>
                <c:pt idx="2887">
                  <c:v>59695</c:v>
                </c:pt>
                <c:pt idx="2888">
                  <c:v>59702</c:v>
                </c:pt>
                <c:pt idx="2889">
                  <c:v>59712</c:v>
                </c:pt>
                <c:pt idx="2890">
                  <c:v>59716</c:v>
                </c:pt>
                <c:pt idx="2891">
                  <c:v>59723</c:v>
                </c:pt>
                <c:pt idx="2892">
                  <c:v>59730</c:v>
                </c:pt>
                <c:pt idx="2893">
                  <c:v>59737</c:v>
                </c:pt>
                <c:pt idx="2894">
                  <c:v>59744</c:v>
                </c:pt>
                <c:pt idx="2895">
                  <c:v>59751</c:v>
                </c:pt>
                <c:pt idx="2896">
                  <c:v>59758</c:v>
                </c:pt>
                <c:pt idx="2897">
                  <c:v>59765</c:v>
                </c:pt>
                <c:pt idx="2898">
                  <c:v>59772</c:v>
                </c:pt>
                <c:pt idx="2899">
                  <c:v>59779</c:v>
                </c:pt>
                <c:pt idx="2900">
                  <c:v>59786</c:v>
                </c:pt>
                <c:pt idx="2901">
                  <c:v>59793</c:v>
                </c:pt>
                <c:pt idx="2902">
                  <c:v>59800</c:v>
                </c:pt>
                <c:pt idx="2903">
                  <c:v>59807</c:v>
                </c:pt>
                <c:pt idx="2904">
                  <c:v>59814</c:v>
                </c:pt>
                <c:pt idx="2905">
                  <c:v>59821</c:v>
                </c:pt>
                <c:pt idx="2906">
                  <c:v>59828</c:v>
                </c:pt>
                <c:pt idx="2907">
                  <c:v>59835</c:v>
                </c:pt>
                <c:pt idx="2908">
                  <c:v>59842</c:v>
                </c:pt>
                <c:pt idx="2909">
                  <c:v>59849</c:v>
                </c:pt>
                <c:pt idx="2910">
                  <c:v>59856</c:v>
                </c:pt>
                <c:pt idx="2911">
                  <c:v>59863</c:v>
                </c:pt>
                <c:pt idx="2912">
                  <c:v>59870</c:v>
                </c:pt>
                <c:pt idx="2913">
                  <c:v>59877</c:v>
                </c:pt>
                <c:pt idx="2914">
                  <c:v>59884</c:v>
                </c:pt>
                <c:pt idx="2915">
                  <c:v>59891</c:v>
                </c:pt>
                <c:pt idx="2916">
                  <c:v>59903</c:v>
                </c:pt>
                <c:pt idx="2917">
                  <c:v>59908</c:v>
                </c:pt>
                <c:pt idx="2918">
                  <c:v>59915</c:v>
                </c:pt>
                <c:pt idx="2919">
                  <c:v>59922</c:v>
                </c:pt>
                <c:pt idx="2920">
                  <c:v>59929</c:v>
                </c:pt>
                <c:pt idx="2921">
                  <c:v>59936</c:v>
                </c:pt>
                <c:pt idx="2922">
                  <c:v>59943</c:v>
                </c:pt>
                <c:pt idx="2923">
                  <c:v>59950</c:v>
                </c:pt>
                <c:pt idx="2924">
                  <c:v>59957</c:v>
                </c:pt>
                <c:pt idx="2925">
                  <c:v>59964</c:v>
                </c:pt>
                <c:pt idx="2926">
                  <c:v>59971</c:v>
                </c:pt>
                <c:pt idx="2927">
                  <c:v>59978</c:v>
                </c:pt>
                <c:pt idx="2928">
                  <c:v>59985</c:v>
                </c:pt>
                <c:pt idx="2929">
                  <c:v>59992</c:v>
                </c:pt>
                <c:pt idx="2930">
                  <c:v>60001</c:v>
                </c:pt>
                <c:pt idx="2931">
                  <c:v>60006</c:v>
                </c:pt>
                <c:pt idx="2932">
                  <c:v>60013</c:v>
                </c:pt>
                <c:pt idx="2933">
                  <c:v>60020</c:v>
                </c:pt>
                <c:pt idx="2934">
                  <c:v>60028</c:v>
                </c:pt>
                <c:pt idx="2935">
                  <c:v>60035</c:v>
                </c:pt>
                <c:pt idx="2936">
                  <c:v>60042</c:v>
                </c:pt>
                <c:pt idx="2937">
                  <c:v>60050</c:v>
                </c:pt>
                <c:pt idx="2938">
                  <c:v>60056</c:v>
                </c:pt>
                <c:pt idx="2939">
                  <c:v>60063</c:v>
                </c:pt>
                <c:pt idx="2940">
                  <c:v>60070</c:v>
                </c:pt>
                <c:pt idx="2941">
                  <c:v>60078</c:v>
                </c:pt>
                <c:pt idx="2942">
                  <c:v>60085</c:v>
                </c:pt>
                <c:pt idx="2943">
                  <c:v>60092</c:v>
                </c:pt>
                <c:pt idx="2944">
                  <c:v>60099</c:v>
                </c:pt>
                <c:pt idx="2945">
                  <c:v>60106</c:v>
                </c:pt>
                <c:pt idx="2946">
                  <c:v>60113</c:v>
                </c:pt>
                <c:pt idx="2947">
                  <c:v>60120</c:v>
                </c:pt>
                <c:pt idx="2948">
                  <c:v>60127</c:v>
                </c:pt>
                <c:pt idx="2949">
                  <c:v>60134</c:v>
                </c:pt>
                <c:pt idx="2950">
                  <c:v>60141</c:v>
                </c:pt>
                <c:pt idx="2951">
                  <c:v>60148</c:v>
                </c:pt>
                <c:pt idx="2952">
                  <c:v>60155</c:v>
                </c:pt>
                <c:pt idx="2953">
                  <c:v>60162</c:v>
                </c:pt>
                <c:pt idx="2954">
                  <c:v>60169</c:v>
                </c:pt>
                <c:pt idx="2955">
                  <c:v>60176</c:v>
                </c:pt>
                <c:pt idx="2956">
                  <c:v>60183</c:v>
                </c:pt>
                <c:pt idx="2957">
                  <c:v>60190</c:v>
                </c:pt>
                <c:pt idx="2958">
                  <c:v>60197</c:v>
                </c:pt>
                <c:pt idx="2959">
                  <c:v>60204</c:v>
                </c:pt>
                <c:pt idx="2960">
                  <c:v>60211</c:v>
                </c:pt>
                <c:pt idx="2961">
                  <c:v>60218</c:v>
                </c:pt>
                <c:pt idx="2962">
                  <c:v>60225</c:v>
                </c:pt>
                <c:pt idx="2963">
                  <c:v>60232</c:v>
                </c:pt>
                <c:pt idx="2964">
                  <c:v>60239</c:v>
                </c:pt>
                <c:pt idx="2965">
                  <c:v>60246</c:v>
                </c:pt>
                <c:pt idx="2966">
                  <c:v>60253</c:v>
                </c:pt>
                <c:pt idx="2967">
                  <c:v>60265</c:v>
                </c:pt>
                <c:pt idx="2968">
                  <c:v>60269</c:v>
                </c:pt>
                <c:pt idx="2969">
                  <c:v>60275</c:v>
                </c:pt>
                <c:pt idx="2970">
                  <c:v>60281</c:v>
                </c:pt>
                <c:pt idx="2971">
                  <c:v>60288</c:v>
                </c:pt>
                <c:pt idx="2972">
                  <c:v>60295</c:v>
                </c:pt>
                <c:pt idx="2973">
                  <c:v>60302</c:v>
                </c:pt>
                <c:pt idx="2974">
                  <c:v>60309</c:v>
                </c:pt>
                <c:pt idx="2975">
                  <c:v>60316</c:v>
                </c:pt>
                <c:pt idx="2976">
                  <c:v>60323</c:v>
                </c:pt>
                <c:pt idx="2977">
                  <c:v>60330</c:v>
                </c:pt>
                <c:pt idx="2978">
                  <c:v>60337</c:v>
                </c:pt>
                <c:pt idx="2979">
                  <c:v>60344</c:v>
                </c:pt>
                <c:pt idx="2980">
                  <c:v>60351</c:v>
                </c:pt>
                <c:pt idx="2981">
                  <c:v>60359</c:v>
                </c:pt>
                <c:pt idx="2982">
                  <c:v>60366</c:v>
                </c:pt>
                <c:pt idx="2983">
                  <c:v>60373</c:v>
                </c:pt>
                <c:pt idx="2984">
                  <c:v>60380</c:v>
                </c:pt>
                <c:pt idx="2985">
                  <c:v>60387</c:v>
                </c:pt>
                <c:pt idx="2986">
                  <c:v>60395</c:v>
                </c:pt>
                <c:pt idx="2987">
                  <c:v>60401</c:v>
                </c:pt>
                <c:pt idx="2988">
                  <c:v>60408</c:v>
                </c:pt>
                <c:pt idx="2989">
                  <c:v>60415</c:v>
                </c:pt>
                <c:pt idx="2990">
                  <c:v>60422</c:v>
                </c:pt>
                <c:pt idx="2991">
                  <c:v>60429</c:v>
                </c:pt>
                <c:pt idx="2992">
                  <c:v>60436</c:v>
                </c:pt>
                <c:pt idx="2993">
                  <c:v>60443</c:v>
                </c:pt>
                <c:pt idx="2994">
                  <c:v>60450</c:v>
                </c:pt>
                <c:pt idx="2995">
                  <c:v>60457</c:v>
                </c:pt>
                <c:pt idx="2996">
                  <c:v>60464</c:v>
                </c:pt>
                <c:pt idx="2997">
                  <c:v>60471</c:v>
                </c:pt>
                <c:pt idx="2998">
                  <c:v>60478</c:v>
                </c:pt>
                <c:pt idx="2999">
                  <c:v>60485</c:v>
                </c:pt>
                <c:pt idx="3000">
                  <c:v>60492</c:v>
                </c:pt>
                <c:pt idx="3001">
                  <c:v>60499</c:v>
                </c:pt>
                <c:pt idx="3002">
                  <c:v>60506</c:v>
                </c:pt>
                <c:pt idx="3003">
                  <c:v>60513</c:v>
                </c:pt>
                <c:pt idx="3004">
                  <c:v>60520</c:v>
                </c:pt>
                <c:pt idx="3005">
                  <c:v>60527</c:v>
                </c:pt>
                <c:pt idx="3006">
                  <c:v>60534</c:v>
                </c:pt>
                <c:pt idx="3007">
                  <c:v>60541</c:v>
                </c:pt>
                <c:pt idx="3008">
                  <c:v>60548</c:v>
                </c:pt>
                <c:pt idx="3009">
                  <c:v>60555</c:v>
                </c:pt>
                <c:pt idx="3010">
                  <c:v>60562</c:v>
                </c:pt>
                <c:pt idx="3011">
                  <c:v>60569</c:v>
                </c:pt>
                <c:pt idx="3012">
                  <c:v>60576</c:v>
                </c:pt>
                <c:pt idx="3013">
                  <c:v>60583</c:v>
                </c:pt>
                <c:pt idx="3014">
                  <c:v>60590</c:v>
                </c:pt>
                <c:pt idx="3015">
                  <c:v>60597</c:v>
                </c:pt>
                <c:pt idx="3016">
                  <c:v>60604</c:v>
                </c:pt>
                <c:pt idx="3017">
                  <c:v>60611</c:v>
                </c:pt>
                <c:pt idx="3018">
                  <c:v>60618</c:v>
                </c:pt>
                <c:pt idx="3019">
                  <c:v>60629</c:v>
                </c:pt>
                <c:pt idx="3020">
                  <c:v>60636</c:v>
                </c:pt>
                <c:pt idx="3021">
                  <c:v>60640</c:v>
                </c:pt>
                <c:pt idx="3022">
                  <c:v>60646</c:v>
                </c:pt>
                <c:pt idx="3023">
                  <c:v>60653</c:v>
                </c:pt>
                <c:pt idx="3024">
                  <c:v>60660</c:v>
                </c:pt>
                <c:pt idx="3025">
                  <c:v>60667</c:v>
                </c:pt>
                <c:pt idx="3026">
                  <c:v>60674</c:v>
                </c:pt>
                <c:pt idx="3027">
                  <c:v>60681</c:v>
                </c:pt>
                <c:pt idx="3028">
                  <c:v>60688</c:v>
                </c:pt>
                <c:pt idx="3029">
                  <c:v>60695</c:v>
                </c:pt>
                <c:pt idx="3030">
                  <c:v>60702</c:v>
                </c:pt>
                <c:pt idx="3031">
                  <c:v>60709</c:v>
                </c:pt>
                <c:pt idx="3032">
                  <c:v>60716</c:v>
                </c:pt>
                <c:pt idx="3033">
                  <c:v>60723</c:v>
                </c:pt>
                <c:pt idx="3034">
                  <c:v>60730</c:v>
                </c:pt>
                <c:pt idx="3035">
                  <c:v>60737</c:v>
                </c:pt>
                <c:pt idx="3036">
                  <c:v>60744</c:v>
                </c:pt>
                <c:pt idx="3037">
                  <c:v>60751</c:v>
                </c:pt>
                <c:pt idx="3038">
                  <c:v>60758</c:v>
                </c:pt>
                <c:pt idx="3039">
                  <c:v>60765</c:v>
                </c:pt>
                <c:pt idx="3040">
                  <c:v>60773</c:v>
                </c:pt>
                <c:pt idx="3041">
                  <c:v>60779</c:v>
                </c:pt>
                <c:pt idx="3042">
                  <c:v>60786</c:v>
                </c:pt>
                <c:pt idx="3043">
                  <c:v>60793</c:v>
                </c:pt>
                <c:pt idx="3044">
                  <c:v>60800</c:v>
                </c:pt>
                <c:pt idx="3045">
                  <c:v>60807</c:v>
                </c:pt>
                <c:pt idx="3046">
                  <c:v>60814</c:v>
                </c:pt>
                <c:pt idx="3047">
                  <c:v>60821</c:v>
                </c:pt>
                <c:pt idx="3048">
                  <c:v>60828</c:v>
                </c:pt>
                <c:pt idx="3049">
                  <c:v>60835</c:v>
                </c:pt>
                <c:pt idx="3050">
                  <c:v>60842</c:v>
                </c:pt>
                <c:pt idx="3051">
                  <c:v>60849</c:v>
                </c:pt>
                <c:pt idx="3052">
                  <c:v>60856</c:v>
                </c:pt>
                <c:pt idx="3053">
                  <c:v>60863</c:v>
                </c:pt>
                <c:pt idx="3054">
                  <c:v>60870</c:v>
                </c:pt>
                <c:pt idx="3055">
                  <c:v>60877</c:v>
                </c:pt>
                <c:pt idx="3056">
                  <c:v>60884</c:v>
                </c:pt>
                <c:pt idx="3057">
                  <c:v>60891</c:v>
                </c:pt>
                <c:pt idx="3058">
                  <c:v>60898</c:v>
                </c:pt>
                <c:pt idx="3059">
                  <c:v>60905</c:v>
                </c:pt>
                <c:pt idx="3060">
                  <c:v>60912</c:v>
                </c:pt>
                <c:pt idx="3061">
                  <c:v>60919</c:v>
                </c:pt>
                <c:pt idx="3062">
                  <c:v>60926</c:v>
                </c:pt>
                <c:pt idx="3063">
                  <c:v>60933</c:v>
                </c:pt>
                <c:pt idx="3064">
                  <c:v>60940</c:v>
                </c:pt>
                <c:pt idx="3065">
                  <c:v>60947</c:v>
                </c:pt>
                <c:pt idx="3066">
                  <c:v>60954</c:v>
                </c:pt>
                <c:pt idx="3067">
                  <c:v>60961</c:v>
                </c:pt>
                <c:pt idx="3068">
                  <c:v>60968</c:v>
                </c:pt>
                <c:pt idx="3069">
                  <c:v>60975</c:v>
                </c:pt>
                <c:pt idx="3070">
                  <c:v>60982</c:v>
                </c:pt>
                <c:pt idx="3071">
                  <c:v>60989</c:v>
                </c:pt>
                <c:pt idx="3072">
                  <c:v>60996</c:v>
                </c:pt>
                <c:pt idx="3073">
                  <c:v>61004</c:v>
                </c:pt>
                <c:pt idx="3074">
                  <c:v>61010</c:v>
                </c:pt>
                <c:pt idx="3075">
                  <c:v>61017</c:v>
                </c:pt>
                <c:pt idx="3076">
                  <c:v>61024</c:v>
                </c:pt>
                <c:pt idx="3077">
                  <c:v>61031</c:v>
                </c:pt>
                <c:pt idx="3078">
                  <c:v>61038</c:v>
                </c:pt>
                <c:pt idx="3079">
                  <c:v>61045</c:v>
                </c:pt>
                <c:pt idx="3080">
                  <c:v>61052</c:v>
                </c:pt>
                <c:pt idx="3081">
                  <c:v>61059</c:v>
                </c:pt>
                <c:pt idx="3082">
                  <c:v>61066</c:v>
                </c:pt>
                <c:pt idx="3083">
                  <c:v>61073</c:v>
                </c:pt>
                <c:pt idx="3084">
                  <c:v>61080</c:v>
                </c:pt>
                <c:pt idx="3085">
                  <c:v>61087</c:v>
                </c:pt>
                <c:pt idx="3086">
                  <c:v>61094</c:v>
                </c:pt>
                <c:pt idx="3087">
                  <c:v>61101</c:v>
                </c:pt>
                <c:pt idx="3088">
                  <c:v>61108</c:v>
                </c:pt>
                <c:pt idx="3089">
                  <c:v>61115</c:v>
                </c:pt>
                <c:pt idx="3090">
                  <c:v>61122</c:v>
                </c:pt>
                <c:pt idx="3091">
                  <c:v>61130</c:v>
                </c:pt>
                <c:pt idx="3092">
                  <c:v>61136</c:v>
                </c:pt>
                <c:pt idx="3093">
                  <c:v>61143</c:v>
                </c:pt>
                <c:pt idx="3094">
                  <c:v>61150</c:v>
                </c:pt>
                <c:pt idx="3095">
                  <c:v>61157</c:v>
                </c:pt>
                <c:pt idx="3096">
                  <c:v>61164</c:v>
                </c:pt>
                <c:pt idx="3097">
                  <c:v>61171</c:v>
                </c:pt>
                <c:pt idx="3098">
                  <c:v>61178</c:v>
                </c:pt>
                <c:pt idx="3099">
                  <c:v>61185</c:v>
                </c:pt>
                <c:pt idx="3100">
                  <c:v>61192</c:v>
                </c:pt>
                <c:pt idx="3101">
                  <c:v>61199</c:v>
                </c:pt>
                <c:pt idx="3102">
                  <c:v>61206</c:v>
                </c:pt>
                <c:pt idx="3103">
                  <c:v>61213</c:v>
                </c:pt>
                <c:pt idx="3104">
                  <c:v>61220</c:v>
                </c:pt>
                <c:pt idx="3105">
                  <c:v>61227</c:v>
                </c:pt>
                <c:pt idx="3106">
                  <c:v>61234</c:v>
                </c:pt>
                <c:pt idx="3107">
                  <c:v>61241</c:v>
                </c:pt>
                <c:pt idx="3108">
                  <c:v>61248</c:v>
                </c:pt>
                <c:pt idx="3109">
                  <c:v>61255</c:v>
                </c:pt>
                <c:pt idx="3110">
                  <c:v>61262</c:v>
                </c:pt>
                <c:pt idx="3111">
                  <c:v>61269</c:v>
                </c:pt>
                <c:pt idx="3112">
                  <c:v>61276</c:v>
                </c:pt>
                <c:pt idx="3113">
                  <c:v>61283</c:v>
                </c:pt>
                <c:pt idx="3114">
                  <c:v>61290</c:v>
                </c:pt>
                <c:pt idx="3115">
                  <c:v>61297</c:v>
                </c:pt>
                <c:pt idx="3116">
                  <c:v>61304</c:v>
                </c:pt>
                <c:pt idx="3117">
                  <c:v>61311</c:v>
                </c:pt>
                <c:pt idx="3118">
                  <c:v>61318</c:v>
                </c:pt>
                <c:pt idx="3119">
                  <c:v>61325</c:v>
                </c:pt>
                <c:pt idx="3120">
                  <c:v>61332</c:v>
                </c:pt>
                <c:pt idx="3121">
                  <c:v>61339</c:v>
                </c:pt>
                <c:pt idx="3122">
                  <c:v>61346</c:v>
                </c:pt>
                <c:pt idx="3123">
                  <c:v>61353</c:v>
                </c:pt>
                <c:pt idx="3124">
                  <c:v>61360</c:v>
                </c:pt>
                <c:pt idx="3125">
                  <c:v>61367</c:v>
                </c:pt>
                <c:pt idx="3126">
                  <c:v>61374</c:v>
                </c:pt>
                <c:pt idx="3127">
                  <c:v>61381</c:v>
                </c:pt>
                <c:pt idx="3128">
                  <c:v>61388</c:v>
                </c:pt>
                <c:pt idx="3129">
                  <c:v>61395</c:v>
                </c:pt>
                <c:pt idx="3130">
                  <c:v>61402</c:v>
                </c:pt>
                <c:pt idx="3131">
                  <c:v>61409</c:v>
                </c:pt>
                <c:pt idx="3132">
                  <c:v>61416</c:v>
                </c:pt>
                <c:pt idx="3133">
                  <c:v>61423</c:v>
                </c:pt>
                <c:pt idx="3134">
                  <c:v>61430</c:v>
                </c:pt>
                <c:pt idx="3135">
                  <c:v>61437</c:v>
                </c:pt>
                <c:pt idx="3136">
                  <c:v>61444</c:v>
                </c:pt>
                <c:pt idx="3137">
                  <c:v>61451</c:v>
                </c:pt>
                <c:pt idx="3138">
                  <c:v>61458</c:v>
                </c:pt>
                <c:pt idx="3139">
                  <c:v>61465</c:v>
                </c:pt>
                <c:pt idx="3140">
                  <c:v>61472</c:v>
                </c:pt>
                <c:pt idx="3141">
                  <c:v>61479</c:v>
                </c:pt>
                <c:pt idx="3142">
                  <c:v>61487</c:v>
                </c:pt>
                <c:pt idx="3143">
                  <c:v>61494</c:v>
                </c:pt>
                <c:pt idx="3144">
                  <c:v>61501</c:v>
                </c:pt>
                <c:pt idx="3145">
                  <c:v>61508</c:v>
                </c:pt>
                <c:pt idx="3146">
                  <c:v>61518</c:v>
                </c:pt>
                <c:pt idx="3147">
                  <c:v>61522</c:v>
                </c:pt>
                <c:pt idx="3148">
                  <c:v>61529</c:v>
                </c:pt>
                <c:pt idx="3149">
                  <c:v>61539</c:v>
                </c:pt>
                <c:pt idx="3150">
                  <c:v>61543</c:v>
                </c:pt>
                <c:pt idx="3151">
                  <c:v>61550</c:v>
                </c:pt>
                <c:pt idx="3152">
                  <c:v>61557</c:v>
                </c:pt>
                <c:pt idx="3153">
                  <c:v>61564</c:v>
                </c:pt>
                <c:pt idx="3154">
                  <c:v>61571</c:v>
                </c:pt>
                <c:pt idx="3155">
                  <c:v>61578</c:v>
                </c:pt>
                <c:pt idx="3156">
                  <c:v>61585</c:v>
                </c:pt>
                <c:pt idx="3157">
                  <c:v>61592</c:v>
                </c:pt>
                <c:pt idx="3158">
                  <c:v>61599</c:v>
                </c:pt>
                <c:pt idx="3159">
                  <c:v>61606</c:v>
                </c:pt>
                <c:pt idx="3160">
                  <c:v>61613</c:v>
                </c:pt>
                <c:pt idx="3161">
                  <c:v>61620</c:v>
                </c:pt>
                <c:pt idx="3162">
                  <c:v>61627</c:v>
                </c:pt>
                <c:pt idx="3163">
                  <c:v>61634</c:v>
                </c:pt>
                <c:pt idx="3164">
                  <c:v>61641</c:v>
                </c:pt>
                <c:pt idx="3165">
                  <c:v>61648</c:v>
                </c:pt>
                <c:pt idx="3166">
                  <c:v>61655</c:v>
                </c:pt>
                <c:pt idx="3167">
                  <c:v>61662</c:v>
                </c:pt>
                <c:pt idx="3168">
                  <c:v>61669</c:v>
                </c:pt>
                <c:pt idx="3169">
                  <c:v>61676</c:v>
                </c:pt>
                <c:pt idx="3170">
                  <c:v>61683</c:v>
                </c:pt>
                <c:pt idx="3171">
                  <c:v>61690</c:v>
                </c:pt>
                <c:pt idx="3172">
                  <c:v>61697</c:v>
                </c:pt>
                <c:pt idx="3173">
                  <c:v>61704</c:v>
                </c:pt>
                <c:pt idx="3174">
                  <c:v>61711</c:v>
                </c:pt>
                <c:pt idx="3175">
                  <c:v>61718</c:v>
                </c:pt>
                <c:pt idx="3176">
                  <c:v>61730</c:v>
                </c:pt>
                <c:pt idx="3177">
                  <c:v>61735</c:v>
                </c:pt>
                <c:pt idx="3178">
                  <c:v>61742</c:v>
                </c:pt>
                <c:pt idx="3179">
                  <c:v>61749</c:v>
                </c:pt>
                <c:pt idx="3180">
                  <c:v>61756</c:v>
                </c:pt>
                <c:pt idx="3181">
                  <c:v>61763</c:v>
                </c:pt>
                <c:pt idx="3182">
                  <c:v>61770</c:v>
                </c:pt>
                <c:pt idx="3183">
                  <c:v>61777</c:v>
                </c:pt>
                <c:pt idx="3184">
                  <c:v>61784</c:v>
                </c:pt>
                <c:pt idx="3185">
                  <c:v>61791</c:v>
                </c:pt>
                <c:pt idx="3186">
                  <c:v>61798</c:v>
                </c:pt>
                <c:pt idx="3187">
                  <c:v>61805</c:v>
                </c:pt>
                <c:pt idx="3188">
                  <c:v>61812</c:v>
                </c:pt>
                <c:pt idx="3189">
                  <c:v>61819</c:v>
                </c:pt>
                <c:pt idx="3190">
                  <c:v>61826</c:v>
                </c:pt>
                <c:pt idx="3191">
                  <c:v>61835</c:v>
                </c:pt>
                <c:pt idx="3192">
                  <c:v>61840</c:v>
                </c:pt>
                <c:pt idx="3193">
                  <c:v>61847</c:v>
                </c:pt>
                <c:pt idx="3194">
                  <c:v>61854</c:v>
                </c:pt>
                <c:pt idx="3195">
                  <c:v>61861</c:v>
                </c:pt>
                <c:pt idx="3196">
                  <c:v>61868</c:v>
                </c:pt>
                <c:pt idx="3197">
                  <c:v>61876</c:v>
                </c:pt>
                <c:pt idx="3198">
                  <c:v>61884</c:v>
                </c:pt>
                <c:pt idx="3199">
                  <c:v>61890</c:v>
                </c:pt>
                <c:pt idx="3200">
                  <c:v>61897</c:v>
                </c:pt>
                <c:pt idx="3201">
                  <c:v>61905</c:v>
                </c:pt>
                <c:pt idx="3202">
                  <c:v>61912</c:v>
                </c:pt>
                <c:pt idx="3203">
                  <c:v>61919</c:v>
                </c:pt>
                <c:pt idx="3204">
                  <c:v>61926</c:v>
                </c:pt>
                <c:pt idx="3205">
                  <c:v>61933</c:v>
                </c:pt>
                <c:pt idx="3206">
                  <c:v>61940</c:v>
                </c:pt>
                <c:pt idx="3207">
                  <c:v>61947</c:v>
                </c:pt>
                <c:pt idx="3208">
                  <c:v>61954</c:v>
                </c:pt>
                <c:pt idx="3209">
                  <c:v>61961</c:v>
                </c:pt>
                <c:pt idx="3210">
                  <c:v>61968</c:v>
                </c:pt>
                <c:pt idx="3211">
                  <c:v>61975</c:v>
                </c:pt>
                <c:pt idx="3212">
                  <c:v>61982</c:v>
                </c:pt>
                <c:pt idx="3213">
                  <c:v>61989</c:v>
                </c:pt>
                <c:pt idx="3214">
                  <c:v>61996</c:v>
                </c:pt>
                <c:pt idx="3215">
                  <c:v>62003</c:v>
                </c:pt>
                <c:pt idx="3216">
                  <c:v>62010</c:v>
                </c:pt>
                <c:pt idx="3217">
                  <c:v>62017</c:v>
                </c:pt>
                <c:pt idx="3218">
                  <c:v>62024</c:v>
                </c:pt>
                <c:pt idx="3219">
                  <c:v>62031</c:v>
                </c:pt>
                <c:pt idx="3220">
                  <c:v>62038</c:v>
                </c:pt>
                <c:pt idx="3221">
                  <c:v>62045</c:v>
                </c:pt>
                <c:pt idx="3222">
                  <c:v>62052</c:v>
                </c:pt>
                <c:pt idx="3223">
                  <c:v>62059</c:v>
                </c:pt>
                <c:pt idx="3224">
                  <c:v>62066</c:v>
                </c:pt>
                <c:pt idx="3225">
                  <c:v>62073</c:v>
                </c:pt>
                <c:pt idx="3226">
                  <c:v>62080</c:v>
                </c:pt>
                <c:pt idx="3227">
                  <c:v>62092</c:v>
                </c:pt>
                <c:pt idx="3228">
                  <c:v>62096</c:v>
                </c:pt>
                <c:pt idx="3229">
                  <c:v>62102</c:v>
                </c:pt>
                <c:pt idx="3230">
                  <c:v>62109</c:v>
                </c:pt>
                <c:pt idx="3231">
                  <c:v>62116</c:v>
                </c:pt>
                <c:pt idx="3232">
                  <c:v>62123</c:v>
                </c:pt>
                <c:pt idx="3233">
                  <c:v>62130</c:v>
                </c:pt>
                <c:pt idx="3234">
                  <c:v>62137</c:v>
                </c:pt>
                <c:pt idx="3235">
                  <c:v>62144</c:v>
                </c:pt>
                <c:pt idx="3236">
                  <c:v>62151</c:v>
                </c:pt>
                <c:pt idx="3237">
                  <c:v>62158</c:v>
                </c:pt>
                <c:pt idx="3238">
                  <c:v>62165</c:v>
                </c:pt>
                <c:pt idx="3239">
                  <c:v>62172</c:v>
                </c:pt>
                <c:pt idx="3240">
                  <c:v>62179</c:v>
                </c:pt>
                <c:pt idx="3241">
                  <c:v>62186</c:v>
                </c:pt>
                <c:pt idx="3242">
                  <c:v>62193</c:v>
                </c:pt>
                <c:pt idx="3243">
                  <c:v>62200</c:v>
                </c:pt>
                <c:pt idx="3244">
                  <c:v>62207</c:v>
                </c:pt>
                <c:pt idx="3245">
                  <c:v>62215</c:v>
                </c:pt>
                <c:pt idx="3246">
                  <c:v>62222</c:v>
                </c:pt>
                <c:pt idx="3247">
                  <c:v>62228</c:v>
                </c:pt>
                <c:pt idx="3248">
                  <c:v>62235</c:v>
                </c:pt>
                <c:pt idx="3249">
                  <c:v>62242</c:v>
                </c:pt>
                <c:pt idx="3250">
                  <c:v>62249</c:v>
                </c:pt>
                <c:pt idx="3251">
                  <c:v>62256</c:v>
                </c:pt>
                <c:pt idx="3252">
                  <c:v>62263</c:v>
                </c:pt>
                <c:pt idx="3253">
                  <c:v>62270</c:v>
                </c:pt>
                <c:pt idx="3254">
                  <c:v>62277</c:v>
                </c:pt>
                <c:pt idx="3255">
                  <c:v>62284</c:v>
                </c:pt>
                <c:pt idx="3256">
                  <c:v>62291</c:v>
                </c:pt>
                <c:pt idx="3257">
                  <c:v>62298</c:v>
                </c:pt>
                <c:pt idx="3258">
                  <c:v>62305</c:v>
                </c:pt>
                <c:pt idx="3259">
                  <c:v>62312</c:v>
                </c:pt>
                <c:pt idx="3260">
                  <c:v>62319</c:v>
                </c:pt>
                <c:pt idx="3261">
                  <c:v>62326</c:v>
                </c:pt>
                <c:pt idx="3262">
                  <c:v>62333</c:v>
                </c:pt>
                <c:pt idx="3263">
                  <c:v>62340</c:v>
                </c:pt>
                <c:pt idx="3264">
                  <c:v>62347</c:v>
                </c:pt>
                <c:pt idx="3265">
                  <c:v>62354</c:v>
                </c:pt>
                <c:pt idx="3266">
                  <c:v>62361</c:v>
                </c:pt>
                <c:pt idx="3267">
                  <c:v>62368</c:v>
                </c:pt>
                <c:pt idx="3268">
                  <c:v>62375</c:v>
                </c:pt>
                <c:pt idx="3269">
                  <c:v>62382</c:v>
                </c:pt>
                <c:pt idx="3270">
                  <c:v>62389</c:v>
                </c:pt>
                <c:pt idx="3271">
                  <c:v>62396</c:v>
                </c:pt>
                <c:pt idx="3272">
                  <c:v>62403</c:v>
                </c:pt>
                <c:pt idx="3273">
                  <c:v>62410</c:v>
                </c:pt>
                <c:pt idx="3274">
                  <c:v>62417</c:v>
                </c:pt>
                <c:pt idx="3275">
                  <c:v>62424</c:v>
                </c:pt>
                <c:pt idx="3276">
                  <c:v>62431</c:v>
                </c:pt>
                <c:pt idx="3277">
                  <c:v>62438</c:v>
                </c:pt>
                <c:pt idx="3278">
                  <c:v>62445</c:v>
                </c:pt>
                <c:pt idx="3279">
                  <c:v>62457</c:v>
                </c:pt>
                <c:pt idx="3280">
                  <c:v>62463</c:v>
                </c:pt>
                <c:pt idx="3281">
                  <c:v>62467</c:v>
                </c:pt>
                <c:pt idx="3282">
                  <c:v>62474</c:v>
                </c:pt>
                <c:pt idx="3283">
                  <c:v>62481</c:v>
                </c:pt>
                <c:pt idx="3284">
                  <c:v>62488</c:v>
                </c:pt>
                <c:pt idx="3285">
                  <c:v>62495</c:v>
                </c:pt>
                <c:pt idx="3286">
                  <c:v>62502</c:v>
                </c:pt>
                <c:pt idx="3287">
                  <c:v>62509</c:v>
                </c:pt>
                <c:pt idx="3288">
                  <c:v>62516</c:v>
                </c:pt>
                <c:pt idx="3289">
                  <c:v>62523</c:v>
                </c:pt>
                <c:pt idx="3290">
                  <c:v>62530</c:v>
                </c:pt>
                <c:pt idx="3291">
                  <c:v>62537</c:v>
                </c:pt>
                <c:pt idx="3292">
                  <c:v>62544</c:v>
                </c:pt>
                <c:pt idx="3293">
                  <c:v>62551</c:v>
                </c:pt>
                <c:pt idx="3294">
                  <c:v>62558</c:v>
                </c:pt>
                <c:pt idx="3295">
                  <c:v>62569</c:v>
                </c:pt>
                <c:pt idx="3296">
                  <c:v>62572</c:v>
                </c:pt>
                <c:pt idx="3297">
                  <c:v>62582</c:v>
                </c:pt>
                <c:pt idx="3298">
                  <c:v>62586</c:v>
                </c:pt>
                <c:pt idx="3299">
                  <c:v>62593</c:v>
                </c:pt>
                <c:pt idx="3300">
                  <c:v>62600</c:v>
                </c:pt>
                <c:pt idx="3301">
                  <c:v>62610</c:v>
                </c:pt>
                <c:pt idx="3302">
                  <c:v>62614</c:v>
                </c:pt>
                <c:pt idx="3303">
                  <c:v>62621</c:v>
                </c:pt>
                <c:pt idx="3304">
                  <c:v>62631</c:v>
                </c:pt>
                <c:pt idx="3305">
                  <c:v>62635</c:v>
                </c:pt>
                <c:pt idx="3306">
                  <c:v>62642</c:v>
                </c:pt>
                <c:pt idx="3307">
                  <c:v>62649</c:v>
                </c:pt>
                <c:pt idx="3308">
                  <c:v>62656</c:v>
                </c:pt>
                <c:pt idx="3309">
                  <c:v>62663</c:v>
                </c:pt>
                <c:pt idx="3310">
                  <c:v>62670</c:v>
                </c:pt>
                <c:pt idx="3311">
                  <c:v>62677</c:v>
                </c:pt>
                <c:pt idx="3312">
                  <c:v>62684</c:v>
                </c:pt>
                <c:pt idx="3313">
                  <c:v>62691</c:v>
                </c:pt>
                <c:pt idx="3314">
                  <c:v>62698</c:v>
                </c:pt>
                <c:pt idx="3315">
                  <c:v>62705</c:v>
                </c:pt>
                <c:pt idx="3316">
                  <c:v>62712</c:v>
                </c:pt>
                <c:pt idx="3317">
                  <c:v>62719</c:v>
                </c:pt>
                <c:pt idx="3318">
                  <c:v>62726</c:v>
                </c:pt>
                <c:pt idx="3319">
                  <c:v>62733</c:v>
                </c:pt>
                <c:pt idx="3320">
                  <c:v>62740</c:v>
                </c:pt>
                <c:pt idx="3321">
                  <c:v>62747</c:v>
                </c:pt>
                <c:pt idx="3322">
                  <c:v>62754</c:v>
                </c:pt>
                <c:pt idx="3323">
                  <c:v>62761</c:v>
                </c:pt>
                <c:pt idx="3324">
                  <c:v>62768</c:v>
                </c:pt>
                <c:pt idx="3325">
                  <c:v>62775</c:v>
                </c:pt>
                <c:pt idx="3326">
                  <c:v>62782</c:v>
                </c:pt>
                <c:pt idx="3327">
                  <c:v>62789</c:v>
                </c:pt>
                <c:pt idx="3328">
                  <c:v>62796</c:v>
                </c:pt>
                <c:pt idx="3329">
                  <c:v>62803</c:v>
                </c:pt>
                <c:pt idx="3330">
                  <c:v>62810</c:v>
                </c:pt>
                <c:pt idx="3331">
                  <c:v>62821</c:v>
                </c:pt>
                <c:pt idx="3332">
                  <c:v>62828</c:v>
                </c:pt>
                <c:pt idx="3333">
                  <c:v>62834</c:v>
                </c:pt>
                <c:pt idx="3334">
                  <c:v>62841</c:v>
                </c:pt>
                <c:pt idx="3335">
                  <c:v>62848</c:v>
                </c:pt>
                <c:pt idx="3336">
                  <c:v>62855</c:v>
                </c:pt>
                <c:pt idx="3337">
                  <c:v>62862</c:v>
                </c:pt>
                <c:pt idx="3338">
                  <c:v>62869</c:v>
                </c:pt>
                <c:pt idx="3339">
                  <c:v>62876</c:v>
                </c:pt>
                <c:pt idx="3340">
                  <c:v>62883</c:v>
                </c:pt>
                <c:pt idx="3341">
                  <c:v>62890</c:v>
                </c:pt>
                <c:pt idx="3342">
                  <c:v>62897</c:v>
                </c:pt>
                <c:pt idx="3343">
                  <c:v>62904</c:v>
                </c:pt>
                <c:pt idx="3344">
                  <c:v>62911</c:v>
                </c:pt>
                <c:pt idx="3345">
                  <c:v>62918</c:v>
                </c:pt>
                <c:pt idx="3346">
                  <c:v>62927</c:v>
                </c:pt>
                <c:pt idx="3347">
                  <c:v>62932</c:v>
                </c:pt>
                <c:pt idx="3348">
                  <c:v>62939</c:v>
                </c:pt>
                <c:pt idx="3349">
                  <c:v>62946</c:v>
                </c:pt>
                <c:pt idx="3350">
                  <c:v>62953</c:v>
                </c:pt>
                <c:pt idx="3351">
                  <c:v>62960</c:v>
                </c:pt>
                <c:pt idx="3352">
                  <c:v>62968</c:v>
                </c:pt>
                <c:pt idx="3353">
                  <c:v>62976</c:v>
                </c:pt>
                <c:pt idx="3354">
                  <c:v>62982</c:v>
                </c:pt>
                <c:pt idx="3355">
                  <c:v>62989</c:v>
                </c:pt>
                <c:pt idx="3356">
                  <c:v>62996</c:v>
                </c:pt>
                <c:pt idx="3357">
                  <c:v>63004</c:v>
                </c:pt>
                <c:pt idx="3358">
                  <c:v>63011</c:v>
                </c:pt>
                <c:pt idx="3359">
                  <c:v>63018</c:v>
                </c:pt>
                <c:pt idx="3360">
                  <c:v>63025</c:v>
                </c:pt>
                <c:pt idx="3361">
                  <c:v>63032</c:v>
                </c:pt>
                <c:pt idx="3362">
                  <c:v>63039</c:v>
                </c:pt>
                <c:pt idx="3363">
                  <c:v>63046</c:v>
                </c:pt>
                <c:pt idx="3364">
                  <c:v>63053</c:v>
                </c:pt>
                <c:pt idx="3365">
                  <c:v>63060</c:v>
                </c:pt>
                <c:pt idx="3366">
                  <c:v>63067</c:v>
                </c:pt>
                <c:pt idx="3367">
                  <c:v>63074</c:v>
                </c:pt>
                <c:pt idx="3368">
                  <c:v>63081</c:v>
                </c:pt>
                <c:pt idx="3369">
                  <c:v>63088</c:v>
                </c:pt>
                <c:pt idx="3370">
                  <c:v>63095</c:v>
                </c:pt>
                <c:pt idx="3371">
                  <c:v>63102</c:v>
                </c:pt>
                <c:pt idx="3372">
                  <c:v>63109</c:v>
                </c:pt>
                <c:pt idx="3373">
                  <c:v>63116</c:v>
                </c:pt>
                <c:pt idx="3374">
                  <c:v>63123</c:v>
                </c:pt>
                <c:pt idx="3375">
                  <c:v>63130</c:v>
                </c:pt>
                <c:pt idx="3376">
                  <c:v>63137</c:v>
                </c:pt>
                <c:pt idx="3377">
                  <c:v>63144</c:v>
                </c:pt>
                <c:pt idx="3378">
                  <c:v>63151</c:v>
                </c:pt>
                <c:pt idx="3379">
                  <c:v>63158</c:v>
                </c:pt>
                <c:pt idx="3380">
                  <c:v>63165</c:v>
                </c:pt>
                <c:pt idx="3381">
                  <c:v>63172</c:v>
                </c:pt>
                <c:pt idx="3382">
                  <c:v>63179</c:v>
                </c:pt>
                <c:pt idx="3383">
                  <c:v>63187</c:v>
                </c:pt>
                <c:pt idx="3384">
                  <c:v>63194</c:v>
                </c:pt>
                <c:pt idx="3385">
                  <c:v>63201</c:v>
                </c:pt>
                <c:pt idx="3386">
                  <c:v>63208</c:v>
                </c:pt>
                <c:pt idx="3387">
                  <c:v>63215</c:v>
                </c:pt>
                <c:pt idx="3388">
                  <c:v>63222</c:v>
                </c:pt>
                <c:pt idx="3389">
                  <c:v>63229</c:v>
                </c:pt>
                <c:pt idx="3390">
                  <c:v>63236</c:v>
                </c:pt>
                <c:pt idx="3391">
                  <c:v>63243</c:v>
                </c:pt>
                <c:pt idx="3392">
                  <c:v>63250</c:v>
                </c:pt>
                <c:pt idx="3393">
                  <c:v>63257</c:v>
                </c:pt>
                <c:pt idx="3394">
                  <c:v>63264</c:v>
                </c:pt>
                <c:pt idx="3395">
                  <c:v>63271</c:v>
                </c:pt>
                <c:pt idx="3396">
                  <c:v>63278</c:v>
                </c:pt>
                <c:pt idx="3397">
                  <c:v>63285</c:v>
                </c:pt>
                <c:pt idx="3398">
                  <c:v>63292</c:v>
                </c:pt>
                <c:pt idx="3399">
                  <c:v>63299</c:v>
                </c:pt>
                <c:pt idx="3400">
                  <c:v>63306</c:v>
                </c:pt>
                <c:pt idx="3401">
                  <c:v>63314</c:v>
                </c:pt>
                <c:pt idx="3402">
                  <c:v>63320</c:v>
                </c:pt>
                <c:pt idx="3403">
                  <c:v>63327</c:v>
                </c:pt>
                <c:pt idx="3404">
                  <c:v>63334</c:v>
                </c:pt>
                <c:pt idx="3405">
                  <c:v>63341</c:v>
                </c:pt>
                <c:pt idx="3406">
                  <c:v>63348</c:v>
                </c:pt>
                <c:pt idx="3407">
                  <c:v>63355</c:v>
                </c:pt>
                <c:pt idx="3408">
                  <c:v>63362</c:v>
                </c:pt>
                <c:pt idx="3409">
                  <c:v>63369</c:v>
                </c:pt>
                <c:pt idx="3410">
                  <c:v>63376</c:v>
                </c:pt>
                <c:pt idx="3411">
                  <c:v>63383</c:v>
                </c:pt>
                <c:pt idx="3412">
                  <c:v>63390</c:v>
                </c:pt>
                <c:pt idx="3413">
                  <c:v>63397</c:v>
                </c:pt>
                <c:pt idx="3414">
                  <c:v>63404</c:v>
                </c:pt>
                <c:pt idx="3415">
                  <c:v>63411</c:v>
                </c:pt>
                <c:pt idx="3416">
                  <c:v>63418</c:v>
                </c:pt>
                <c:pt idx="3417">
                  <c:v>63425</c:v>
                </c:pt>
                <c:pt idx="3418">
                  <c:v>63432</c:v>
                </c:pt>
                <c:pt idx="3419">
                  <c:v>63439</c:v>
                </c:pt>
                <c:pt idx="3420">
                  <c:v>63446</c:v>
                </c:pt>
                <c:pt idx="3421">
                  <c:v>63453</c:v>
                </c:pt>
                <c:pt idx="3422">
                  <c:v>63460</c:v>
                </c:pt>
                <c:pt idx="3423">
                  <c:v>63467</c:v>
                </c:pt>
                <c:pt idx="3424">
                  <c:v>63474</c:v>
                </c:pt>
                <c:pt idx="3425">
                  <c:v>63481</c:v>
                </c:pt>
                <c:pt idx="3426">
                  <c:v>63488</c:v>
                </c:pt>
                <c:pt idx="3427">
                  <c:v>63495</c:v>
                </c:pt>
                <c:pt idx="3428">
                  <c:v>63502</c:v>
                </c:pt>
                <c:pt idx="3429">
                  <c:v>63509</c:v>
                </c:pt>
                <c:pt idx="3430">
                  <c:v>63516</c:v>
                </c:pt>
                <c:pt idx="3431">
                  <c:v>63523</c:v>
                </c:pt>
                <c:pt idx="3432">
                  <c:v>63530</c:v>
                </c:pt>
                <c:pt idx="3433">
                  <c:v>63537</c:v>
                </c:pt>
                <c:pt idx="3434">
                  <c:v>63544</c:v>
                </c:pt>
                <c:pt idx="3435">
                  <c:v>63552</c:v>
                </c:pt>
                <c:pt idx="3436">
                  <c:v>63559</c:v>
                </c:pt>
                <c:pt idx="3437">
                  <c:v>63566</c:v>
                </c:pt>
                <c:pt idx="3438">
                  <c:v>63573</c:v>
                </c:pt>
                <c:pt idx="3439">
                  <c:v>63580</c:v>
                </c:pt>
                <c:pt idx="3440">
                  <c:v>63587</c:v>
                </c:pt>
                <c:pt idx="3441">
                  <c:v>63594</c:v>
                </c:pt>
                <c:pt idx="3442">
                  <c:v>63601</c:v>
                </c:pt>
                <c:pt idx="3443">
                  <c:v>63608</c:v>
                </c:pt>
                <c:pt idx="3444">
                  <c:v>63615</c:v>
                </c:pt>
                <c:pt idx="3445">
                  <c:v>63622</c:v>
                </c:pt>
                <c:pt idx="3446">
                  <c:v>63629</c:v>
                </c:pt>
                <c:pt idx="3447">
                  <c:v>63636</c:v>
                </c:pt>
                <c:pt idx="3448">
                  <c:v>63643</c:v>
                </c:pt>
                <c:pt idx="3449">
                  <c:v>63650</c:v>
                </c:pt>
                <c:pt idx="3450">
                  <c:v>63661</c:v>
                </c:pt>
                <c:pt idx="3451">
                  <c:v>63664</c:v>
                </c:pt>
                <c:pt idx="3452">
                  <c:v>63671</c:v>
                </c:pt>
                <c:pt idx="3453">
                  <c:v>63678</c:v>
                </c:pt>
                <c:pt idx="3454">
                  <c:v>63685</c:v>
                </c:pt>
                <c:pt idx="3455">
                  <c:v>63692</c:v>
                </c:pt>
                <c:pt idx="3456">
                  <c:v>63702</c:v>
                </c:pt>
                <c:pt idx="3457">
                  <c:v>63706</c:v>
                </c:pt>
                <c:pt idx="3458">
                  <c:v>63713</c:v>
                </c:pt>
                <c:pt idx="3459">
                  <c:v>63720</c:v>
                </c:pt>
                <c:pt idx="3460">
                  <c:v>63730</c:v>
                </c:pt>
                <c:pt idx="3461">
                  <c:v>63734</c:v>
                </c:pt>
                <c:pt idx="3462">
                  <c:v>63741</c:v>
                </c:pt>
                <c:pt idx="3463">
                  <c:v>63748</c:v>
                </c:pt>
                <c:pt idx="3464">
                  <c:v>63755</c:v>
                </c:pt>
                <c:pt idx="3465">
                  <c:v>63762</c:v>
                </c:pt>
                <c:pt idx="3466">
                  <c:v>63769</c:v>
                </c:pt>
                <c:pt idx="3467">
                  <c:v>63776</c:v>
                </c:pt>
                <c:pt idx="3468">
                  <c:v>63783</c:v>
                </c:pt>
                <c:pt idx="3469">
                  <c:v>63790</c:v>
                </c:pt>
                <c:pt idx="3470">
                  <c:v>63797</c:v>
                </c:pt>
                <c:pt idx="3471">
                  <c:v>63804</c:v>
                </c:pt>
                <c:pt idx="3472">
                  <c:v>63811</c:v>
                </c:pt>
                <c:pt idx="3473">
                  <c:v>63818</c:v>
                </c:pt>
                <c:pt idx="3474">
                  <c:v>63825</c:v>
                </c:pt>
                <c:pt idx="3475">
                  <c:v>63832</c:v>
                </c:pt>
                <c:pt idx="3476">
                  <c:v>63839</c:v>
                </c:pt>
                <c:pt idx="3477">
                  <c:v>63846</c:v>
                </c:pt>
                <c:pt idx="3478">
                  <c:v>63853</c:v>
                </c:pt>
                <c:pt idx="3479">
                  <c:v>63860</c:v>
                </c:pt>
                <c:pt idx="3480">
                  <c:v>63867</c:v>
                </c:pt>
                <c:pt idx="3481">
                  <c:v>63874</c:v>
                </c:pt>
                <c:pt idx="3482">
                  <c:v>63881</c:v>
                </c:pt>
                <c:pt idx="3483">
                  <c:v>63888</c:v>
                </c:pt>
                <c:pt idx="3484">
                  <c:v>63895</c:v>
                </c:pt>
                <c:pt idx="3485">
                  <c:v>63902</c:v>
                </c:pt>
                <c:pt idx="3486">
                  <c:v>63909</c:v>
                </c:pt>
                <c:pt idx="3487">
                  <c:v>63921</c:v>
                </c:pt>
                <c:pt idx="3488">
                  <c:v>63926</c:v>
                </c:pt>
                <c:pt idx="3489">
                  <c:v>63933</c:v>
                </c:pt>
                <c:pt idx="3490">
                  <c:v>63940</c:v>
                </c:pt>
                <c:pt idx="3491">
                  <c:v>63947</c:v>
                </c:pt>
                <c:pt idx="3492">
                  <c:v>63954</c:v>
                </c:pt>
                <c:pt idx="3493">
                  <c:v>63961</c:v>
                </c:pt>
                <c:pt idx="3494">
                  <c:v>63968</c:v>
                </c:pt>
                <c:pt idx="3495">
                  <c:v>63975</c:v>
                </c:pt>
                <c:pt idx="3496">
                  <c:v>63982</c:v>
                </c:pt>
                <c:pt idx="3497">
                  <c:v>63989</c:v>
                </c:pt>
                <c:pt idx="3498">
                  <c:v>63996</c:v>
                </c:pt>
                <c:pt idx="3499">
                  <c:v>64003</c:v>
                </c:pt>
                <c:pt idx="3500">
                  <c:v>64010</c:v>
                </c:pt>
                <c:pt idx="3501">
                  <c:v>64019</c:v>
                </c:pt>
                <c:pt idx="3502">
                  <c:v>64024</c:v>
                </c:pt>
                <c:pt idx="3503">
                  <c:v>64031</c:v>
                </c:pt>
                <c:pt idx="3504">
                  <c:v>64038</c:v>
                </c:pt>
                <c:pt idx="3505">
                  <c:v>64045</c:v>
                </c:pt>
                <c:pt idx="3506">
                  <c:v>64052</c:v>
                </c:pt>
                <c:pt idx="3507">
                  <c:v>64060</c:v>
                </c:pt>
                <c:pt idx="3508">
                  <c:v>64068</c:v>
                </c:pt>
                <c:pt idx="3509">
                  <c:v>64074</c:v>
                </c:pt>
                <c:pt idx="3510">
                  <c:v>64081</c:v>
                </c:pt>
                <c:pt idx="3511">
                  <c:v>64088</c:v>
                </c:pt>
                <c:pt idx="3512">
                  <c:v>64096</c:v>
                </c:pt>
                <c:pt idx="3513">
                  <c:v>64103</c:v>
                </c:pt>
                <c:pt idx="3514">
                  <c:v>64110</c:v>
                </c:pt>
                <c:pt idx="3515">
                  <c:v>64117</c:v>
                </c:pt>
                <c:pt idx="3516">
                  <c:v>64124</c:v>
                </c:pt>
                <c:pt idx="3517">
                  <c:v>64131</c:v>
                </c:pt>
                <c:pt idx="3518">
                  <c:v>64138</c:v>
                </c:pt>
                <c:pt idx="3519">
                  <c:v>64145</c:v>
                </c:pt>
                <c:pt idx="3520">
                  <c:v>64152</c:v>
                </c:pt>
                <c:pt idx="3521">
                  <c:v>64159</c:v>
                </c:pt>
                <c:pt idx="3522">
                  <c:v>64166</c:v>
                </c:pt>
                <c:pt idx="3523">
                  <c:v>64173</c:v>
                </c:pt>
                <c:pt idx="3524">
                  <c:v>64180</c:v>
                </c:pt>
                <c:pt idx="3525">
                  <c:v>64187</c:v>
                </c:pt>
                <c:pt idx="3526">
                  <c:v>64194</c:v>
                </c:pt>
                <c:pt idx="3527">
                  <c:v>64201</c:v>
                </c:pt>
                <c:pt idx="3528">
                  <c:v>64208</c:v>
                </c:pt>
                <c:pt idx="3529">
                  <c:v>64215</c:v>
                </c:pt>
                <c:pt idx="3530">
                  <c:v>64222</c:v>
                </c:pt>
                <c:pt idx="3531">
                  <c:v>64229</c:v>
                </c:pt>
                <c:pt idx="3532">
                  <c:v>64236</c:v>
                </c:pt>
                <c:pt idx="3533">
                  <c:v>64243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-2.8100000000002697E-3</c:v>
                </c:pt>
                <c:pt idx="1">
                  <c:v>-2.8180926856941498E-3</c:v>
                </c:pt>
                <c:pt idx="2">
                  <c:v>-2.8373514137230585E-3</c:v>
                </c:pt>
                <c:pt idx="3">
                  <c:v>-2.842573441941654E-3</c:v>
                </c:pt>
                <c:pt idx="4">
                  <c:v>-2.8613454920006537E-3</c:v>
                </c:pt>
                <c:pt idx="5">
                  <c:v>-2.8719113387979636E-3</c:v>
                </c:pt>
                <c:pt idx="6">
                  <c:v>-2.8774189051571993E-3</c:v>
                </c:pt>
                <c:pt idx="7">
                  <c:v>-2.8854060466119449E-3</c:v>
                </c:pt>
                <c:pt idx="8">
                  <c:v>-2.8980132815679691E-3</c:v>
                </c:pt>
                <c:pt idx="9">
                  <c:v>-2.9168263021102192E-3</c:v>
                </c:pt>
                <c:pt idx="10">
                  <c:v>-2.9245068870326317E-3</c:v>
                </c:pt>
                <c:pt idx="11">
                  <c:v>-2.9321007200511233E-3</c:v>
                </c:pt>
                <c:pt idx="12">
                  <c:v>-2.9395993211099049E-3</c:v>
                </c:pt>
                <c:pt idx="13">
                  <c:v>-2.950886697648264E-3</c:v>
                </c:pt>
                <c:pt idx="14">
                  <c:v>-2.9684718066631632E-3</c:v>
                </c:pt>
                <c:pt idx="15">
                  <c:v>-2.9753670490758563E-3</c:v>
                </c:pt>
                <c:pt idx="16">
                  <c:v>-2.9821161803488408E-3</c:v>
                </c:pt>
                <c:pt idx="17">
                  <c:v>-2.9887107207851715E-3</c:v>
                </c:pt>
                <c:pt idx="18">
                  <c:v>-2.9983469458308015E-3</c:v>
                </c:pt>
                <c:pt idx="19">
                  <c:v>-3.0133733815370608E-3</c:v>
                </c:pt>
                <c:pt idx="20">
                  <c:v>-3.0190677735966853E-3</c:v>
                </c:pt>
                <c:pt idx="21">
                  <c:v>-3.0245566973426423E-3</c:v>
                </c:pt>
                <c:pt idx="22">
                  <c:v>-3.0298316732739173E-3</c:v>
                </c:pt>
                <c:pt idx="23">
                  <c:v>-3.033543190080366E-3</c:v>
                </c:pt>
                <c:pt idx="24">
                  <c:v>-3.048791218949091E-3</c:v>
                </c:pt>
                <c:pt idx="25">
                  <c:v>-3.0530300646995816E-3</c:v>
                </c:pt>
                <c:pt idx="26">
                  <c:v>-3.057083167934791E-3</c:v>
                </c:pt>
                <c:pt idx="27">
                  <c:v>-3.0609578654250407E-3</c:v>
                </c:pt>
                <c:pt idx="28">
                  <c:v>-3.0669624642153557E-3</c:v>
                </c:pt>
                <c:pt idx="29">
                  <c:v>-3.0748193315143372E-3</c:v>
                </c:pt>
                <c:pt idx="30">
                  <c:v>-3.077912050055167E-3</c:v>
                </c:pt>
                <c:pt idx="31">
                  <c:v>-3.0808703824463973E-3</c:v>
                </c:pt>
                <c:pt idx="32">
                  <c:v>-3.0837016651446875E-3</c:v>
                </c:pt>
                <c:pt idx="33">
                  <c:v>-3.0884900575832873E-3</c:v>
                </c:pt>
                <c:pt idx="34">
                  <c:v>-3.093903026973877E-3</c:v>
                </c:pt>
                <c:pt idx="35">
                  <c:v>-3.0962091069252221E-3</c:v>
                </c:pt>
                <c:pt idx="36">
                  <c:v>-3.0984321552767107E-3</c:v>
                </c:pt>
                <c:pt idx="37">
                  <c:v>-3.1005795082886378E-3</c:v>
                </c:pt>
                <c:pt idx="38">
                  <c:v>-3.104595605558552E-3</c:v>
                </c:pt>
                <c:pt idx="39">
                  <c:v>-3.1085586914528351E-3</c:v>
                </c:pt>
                <c:pt idx="40">
                  <c:v>-3.1104376109923559E-3</c:v>
                </c:pt>
                <c:pt idx="41">
                  <c:v>-3.1122848523596168E-3</c:v>
                </c:pt>
                <c:pt idx="42">
                  <c:v>-3.1141077516954442E-3</c:v>
                </c:pt>
                <c:pt idx="43">
                  <c:v>-3.117741874603828E-3</c:v>
                </c:pt>
                <c:pt idx="44">
                  <c:v>-3.1204001721916201E-3</c:v>
                </c:pt>
                <c:pt idx="45">
                  <c:v>-3.1222189421561447E-3</c:v>
                </c:pt>
                <c:pt idx="46">
                  <c:v>-3.124049004455209E-3</c:v>
                </c:pt>
                <c:pt idx="47">
                  <c:v>-3.1258888312696237E-3</c:v>
                </c:pt>
                <c:pt idx="48">
                  <c:v>-3.1277368947863478E-3</c:v>
                </c:pt>
                <c:pt idx="49">
                  <c:v>-3.1333152274480749E-3</c:v>
                </c:pt>
                <c:pt idx="50">
                  <c:v>-3.1351809596857905E-3</c:v>
                </c:pt>
                <c:pt idx="51">
                  <c:v>-3.1370472895939907E-3</c:v>
                </c:pt>
                <c:pt idx="52">
                  <c:v>-3.1389126893767638E-3</c:v>
                </c:pt>
                <c:pt idx="53">
                  <c:v>-3.1407756312399546E-3</c:v>
                </c:pt>
                <c:pt idx="54">
                  <c:v>-3.1463344314034258E-3</c:v>
                </c:pt>
                <c:pt idx="55">
                  <c:v>-3.1481722636968086E-3</c:v>
                </c:pt>
                <c:pt idx="56">
                  <c:v>-3.1499999991402416E-3</c:v>
                </c:pt>
                <c:pt idx="57">
                  <c:v>-3.1518160503261573E-3</c:v>
                </c:pt>
                <c:pt idx="58">
                  <c:v>-3.1536185913327245E-3</c:v>
                </c:pt>
                <c:pt idx="59">
                  <c:v>-3.158926297824187E-3</c:v>
                </c:pt>
                <c:pt idx="60">
                  <c:v>-3.16065594267439E-3</c:v>
                </c:pt>
                <c:pt idx="61">
                  <c:v>-3.1623626496404731E-3</c:v>
                </c:pt>
                <c:pt idx="62">
                  <c:v>-3.1709883238121828E-3</c:v>
                </c:pt>
                <c:pt idx="63">
                  <c:v>-3.17201560624902E-3</c:v>
                </c:pt>
                <c:pt idx="64">
                  <c:v>-3.1739710038325435E-3</c:v>
                </c:pt>
                <c:pt idx="65">
                  <c:v>-3.1804226471445493E-3</c:v>
                </c:pt>
                <c:pt idx="66">
                  <c:v>-3.1816919170486752E-3</c:v>
                </c:pt>
                <c:pt idx="67">
                  <c:v>-3.1841141770258879E-3</c:v>
                </c:pt>
                <c:pt idx="68">
                  <c:v>-3.1852664516238229E-3</c:v>
                </c:pt>
                <c:pt idx="69">
                  <c:v>-3.1884835609904197E-3</c:v>
                </c:pt>
                <c:pt idx="70">
                  <c:v>-3.1894748335024063E-3</c:v>
                </c:pt>
                <c:pt idx="71">
                  <c:v>-3.1904249611413894E-3</c:v>
                </c:pt>
                <c:pt idx="72">
                  <c:v>-3.1913335861632054E-3</c:v>
                </c:pt>
                <c:pt idx="73">
                  <c:v>-3.192200350825008E-3</c:v>
                </c:pt>
                <c:pt idx="74">
                  <c:v>-3.1945459051955193E-3</c:v>
                </c:pt>
                <c:pt idx="75">
                  <c:v>-3.1952416509576208E-3</c:v>
                </c:pt>
                <c:pt idx="76">
                  <c:v>-3.1958937476243951E-3</c:v>
                </c:pt>
                <c:pt idx="77">
                  <c:v>-3.1965018374450903E-3</c:v>
                </c:pt>
                <c:pt idx="78">
                  <c:v>-3.1970655626689538E-3</c:v>
                </c:pt>
                <c:pt idx="79">
                  <c:v>-3.1984869732212908E-3</c:v>
                </c:pt>
                <c:pt idx="80">
                  <c:v>-3.1988696625147323E-3</c:v>
                </c:pt>
                <c:pt idx="81">
                  <c:v>-3.1992061984303507E-3</c:v>
                </c:pt>
                <c:pt idx="82">
                  <c:v>-3.1994962232116844E-3</c:v>
                </c:pt>
                <c:pt idx="83">
                  <c:v>-3.1997393790965619E-3</c:v>
                </c:pt>
                <c:pt idx="84">
                  <c:v>-3.2001840557296601E-3</c:v>
                </c:pt>
                <c:pt idx="85">
                  <c:v>-3.2005987470808961E-3</c:v>
                </c:pt>
                <c:pt idx="86">
                  <c:v>-3.2006306229335202E-3</c:v>
                </c:pt>
                <c:pt idx="87">
                  <c:v>-3.2006136498150539E-3</c:v>
                </c:pt>
                <c:pt idx="88">
                  <c:v>-3.2000990888692992E-3</c:v>
                </c:pt>
                <c:pt idx="89">
                  <c:v>-3.1995144399075285E-3</c:v>
                </c:pt>
                <c:pt idx="90">
                  <c:v>-3.1997833883363747E-3</c:v>
                </c:pt>
                <c:pt idx="91">
                  <c:v>-3.1994657245677516E-3</c:v>
                </c:pt>
                <c:pt idx="92">
                  <c:v>-3.199096679534108E-3</c:v>
                </c:pt>
                <c:pt idx="93">
                  <c:v>-3.198675891471936E-3</c:v>
                </c:pt>
                <c:pt idx="94">
                  <c:v>-3.1955904207223045E-3</c:v>
                </c:pt>
                <c:pt idx="95">
                  <c:v>-3.1956937452734505E-3</c:v>
                </c:pt>
                <c:pt idx="96">
                  <c:v>-3.1957831438051976E-3</c:v>
                </c:pt>
                <c:pt idx="97">
                  <c:v>-3.1950443003871953E-3</c:v>
                </c:pt>
                <c:pt idx="98">
                  <c:v>-3.1942511815241659E-3</c:v>
                </c:pt>
                <c:pt idx="99">
                  <c:v>-3.1905842403039961E-3</c:v>
                </c:pt>
                <c:pt idx="100">
                  <c:v>-3.1905287159359474E-3</c:v>
                </c:pt>
                <c:pt idx="101">
                  <c:v>-3.1894587930558771E-3</c:v>
                </c:pt>
                <c:pt idx="102">
                  <c:v>-3.1883324239956323E-3</c:v>
                </c:pt>
                <c:pt idx="103">
                  <c:v>-3.1871492469535134E-3</c:v>
                </c:pt>
                <c:pt idx="104">
                  <c:v>-3.1808798959466057E-3</c:v>
                </c:pt>
                <c:pt idx="105">
                  <c:v>-3.1794027964113119E-3</c:v>
                </c:pt>
                <c:pt idx="106">
                  <c:v>-3.177866962837081E-3</c:v>
                </c:pt>
                <c:pt idx="107">
                  <c:v>-3.1762720412744352E-3</c:v>
                </c:pt>
                <c:pt idx="108">
                  <c:v>-3.1719041622157522E-3</c:v>
                </c:pt>
                <c:pt idx="109">
                  <c:v>-3.1692943959863492E-3</c:v>
                </c:pt>
                <c:pt idx="110">
                  <c:v>-3.1673987250930465E-3</c:v>
                </c:pt>
                <c:pt idx="111">
                  <c:v>-3.1654418424332184E-3</c:v>
                </c:pt>
                <c:pt idx="112">
                  <c:v>-3.1634233940317554E-3</c:v>
                </c:pt>
                <c:pt idx="113">
                  <c:v>-3.1581834600409022E-3</c:v>
                </c:pt>
                <c:pt idx="114">
                  <c:v>-3.1547268633887486E-3</c:v>
                </c:pt>
                <c:pt idx="115">
                  <c:v>-3.1523952765286443E-3</c:v>
                </c:pt>
                <c:pt idx="116">
                  <c:v>-3.1499999999997836E-3</c:v>
                </c:pt>
                <c:pt idx="117">
                  <c:v>-3.1475408198194223E-3</c:v>
                </c:pt>
                <c:pt idx="118">
                  <c:v>-3.1414150852811149E-3</c:v>
                </c:pt>
                <c:pt idx="119">
                  <c:v>-3.1370733846168989E-3</c:v>
                </c:pt>
                <c:pt idx="120">
                  <c:v>-3.1343012777341607E-3</c:v>
                </c:pt>
                <c:pt idx="121">
                  <c:v>-3.1314680438292832E-3</c:v>
                </c:pt>
                <c:pt idx="122">
                  <c:v>-3.1226180590460118E-3</c:v>
                </c:pt>
                <c:pt idx="123">
                  <c:v>-3.113212194556997E-3</c:v>
                </c:pt>
                <c:pt idx="124">
                  <c:v>-3.1099646822848556E-3</c:v>
                </c:pt>
                <c:pt idx="125">
                  <c:v>-3.1087989416400189E-3</c:v>
                </c:pt>
                <c:pt idx="126">
                  <c:v>-3.1054627018149571E-3</c:v>
                </c:pt>
                <c:pt idx="127">
                  <c:v>-3.0951159129439972E-3</c:v>
                </c:pt>
                <c:pt idx="128">
                  <c:v>-3.0915559316562155E-3</c:v>
                </c:pt>
                <c:pt idx="129">
                  <c:v>-3.0879412436005268E-3</c:v>
                </c:pt>
                <c:pt idx="130">
                  <c:v>-3.0842723402150305E-3</c:v>
                </c:pt>
                <c:pt idx="131">
                  <c:v>-3.0805497129382641E-3</c:v>
                </c:pt>
                <c:pt idx="132">
                  <c:v>-3.0690644021321139E-3</c:v>
                </c:pt>
                <c:pt idx="133">
                  <c:v>-3.0651317936611572E-3</c:v>
                </c:pt>
                <c:pt idx="134">
                  <c:v>-3.061147918482398E-3</c:v>
                </c:pt>
                <c:pt idx="135">
                  <c:v>-3.0571132680339359E-3</c:v>
                </c:pt>
                <c:pt idx="136">
                  <c:v>-3.0530283337525522E-3</c:v>
                </c:pt>
                <c:pt idx="137">
                  <c:v>-3.0404767422729751E-3</c:v>
                </c:pt>
                <c:pt idx="138">
                  <c:v>-3.0361955870272794E-3</c:v>
                </c:pt>
                <c:pt idx="139">
                  <c:v>-3.0318666051325689E-3</c:v>
                </c:pt>
                <c:pt idx="140">
                  <c:v>-3.0274902880295779E-3</c:v>
                </c:pt>
                <c:pt idx="141">
                  <c:v>-3.0230671271559663E-3</c:v>
                </c:pt>
                <c:pt idx="142">
                  <c:v>-3.0095214963033767E-3</c:v>
                </c:pt>
                <c:pt idx="143">
                  <c:v>-3.0049158747440835E-3</c:v>
                </c:pt>
                <c:pt idx="144">
                  <c:v>-3.0002658666169629E-3</c:v>
                </c:pt>
                <c:pt idx="145">
                  <c:v>-2.9955719633640659E-3</c:v>
                </c:pt>
                <c:pt idx="146">
                  <c:v>-2.9908346564283235E-3</c:v>
                </c:pt>
                <c:pt idx="147">
                  <c:v>-2.9735948880209974E-3</c:v>
                </c:pt>
                <c:pt idx="148">
                  <c:v>-2.9686739721379589E-3</c:v>
                </c:pt>
                <c:pt idx="149">
                  <c:v>-2.9637123451230632E-3</c:v>
                </c:pt>
                <c:pt idx="150">
                  <c:v>-2.9479846394217697E-3</c:v>
                </c:pt>
                <c:pt idx="151">
                  <c:v>-2.9383105566369392E-3</c:v>
                </c:pt>
                <c:pt idx="152">
                  <c:v>-2.9331148709939125E-3</c:v>
                </c:pt>
                <c:pt idx="153">
                  <c:v>-2.9278818769553822E-3</c:v>
                </c:pt>
                <c:pt idx="154">
                  <c:v>-2.9226120606311969E-3</c:v>
                </c:pt>
                <c:pt idx="155">
                  <c:v>-2.9114359486946888E-3</c:v>
                </c:pt>
                <c:pt idx="156">
                  <c:v>-2.8957276587330324E-3</c:v>
                </c:pt>
                <c:pt idx="157">
                  <c:v>-2.8902471171207583E-3</c:v>
                </c:pt>
                <c:pt idx="158">
                  <c:v>-2.8847331560478071E-3</c:v>
                </c:pt>
                <c:pt idx="159">
                  <c:v>-2.8731478562207162E-3</c:v>
                </c:pt>
                <c:pt idx="160">
                  <c:v>-2.8623528396672397E-3</c:v>
                </c:pt>
                <c:pt idx="161">
                  <c:v>-2.8566790731992847E-3</c:v>
                </c:pt>
                <c:pt idx="162">
                  <c:v>-2.8509748040492105E-3</c:v>
                </c:pt>
                <c:pt idx="163">
                  <c:v>-2.8452405183524965E-3</c:v>
                </c:pt>
                <c:pt idx="164">
                  <c:v>-2.8332835497516741E-3</c:v>
                </c:pt>
                <c:pt idx="165">
                  <c:v>-2.8220129329257024E-3</c:v>
                </c:pt>
                <c:pt idx="166">
                  <c:v>-2.8161358566331195E-3</c:v>
                </c:pt>
                <c:pt idx="167">
                  <c:v>-2.8102316806623831E-3</c:v>
                </c:pt>
                <c:pt idx="168">
                  <c:v>-2.8043008911680877E-3</c:v>
                </c:pt>
                <c:pt idx="169">
                  <c:v>-2.7920062217505095E-3</c:v>
                </c:pt>
                <c:pt idx="170">
                  <c:v>-2.7803213210832725E-3</c:v>
                </c:pt>
                <c:pt idx="171">
                  <c:v>-2.774264756343541E-3</c:v>
                </c:pt>
                <c:pt idx="172">
                  <c:v>-2.7681844950460501E-3</c:v>
                </c:pt>
                <c:pt idx="173">
                  <c:v>-2.762081023364075E-3</c:v>
                </c:pt>
                <c:pt idx="174">
                  <c:v>-2.749479070033335E-3</c:v>
                </c:pt>
                <c:pt idx="175">
                  <c:v>-2.7374447562742241E-3</c:v>
                </c:pt>
                <c:pt idx="176">
                  <c:v>-2.7312325253084965E-3</c:v>
                </c:pt>
                <c:pt idx="177">
                  <c:v>-2.7250000010357336E-3</c:v>
                </c:pt>
                <c:pt idx="178">
                  <c:v>-2.7187476429431671E-3</c:v>
                </c:pt>
                <c:pt idx="179">
                  <c:v>-2.7058635465808715E-3</c:v>
                </c:pt>
                <c:pt idx="180">
                  <c:v>-2.6935414721430059E-3</c:v>
                </c:pt>
                <c:pt idx="181">
                  <c:v>-2.6871900243983036E-3</c:v>
                </c:pt>
                <c:pt idx="182">
                  <c:v>-2.6808182940371455E-3</c:v>
                </c:pt>
                <c:pt idx="183">
                  <c:v>-2.6744261207568903E-3</c:v>
                </c:pt>
                <c:pt idx="184">
                  <c:v>-2.6486497923812291E-3</c:v>
                </c:pt>
                <c:pt idx="185">
                  <c:v>-2.6421529999389451E-3</c:v>
                </c:pt>
                <c:pt idx="186">
                  <c:v>-2.6356348027404327E-3</c:v>
                </c:pt>
                <c:pt idx="187">
                  <c:v>-2.6290950404743623E-3</c:v>
                </c:pt>
                <c:pt idx="188">
                  <c:v>-2.6156106194277829E-3</c:v>
                </c:pt>
                <c:pt idx="189">
                  <c:v>-2.6027171344514387E-3</c:v>
                </c:pt>
                <c:pt idx="190">
                  <c:v>-2.5960671421237686E-3</c:v>
                </c:pt>
                <c:pt idx="191">
                  <c:v>-2.5893946228297189E-3</c:v>
                </c:pt>
                <c:pt idx="192">
                  <c:v>-2.5826994162479688E-3</c:v>
                </c:pt>
                <c:pt idx="193">
                  <c:v>-2.5688834222974458E-3</c:v>
                </c:pt>
                <c:pt idx="194">
                  <c:v>-2.5556885105549733E-3</c:v>
                </c:pt>
                <c:pt idx="195">
                  <c:v>-2.5488774626562494E-3</c:v>
                </c:pt>
                <c:pt idx="196">
                  <c:v>-2.5420427655101826E-3</c:v>
                </c:pt>
                <c:pt idx="197">
                  <c:v>-2.5351842587815489E-3</c:v>
                </c:pt>
                <c:pt idx="198">
                  <c:v>-2.5210173087595413E-3</c:v>
                </c:pt>
                <c:pt idx="199">
                  <c:v>-2.507508929358606E-3</c:v>
                </c:pt>
                <c:pt idx="200">
                  <c:v>-2.5005289696861835E-3</c:v>
                </c:pt>
                <c:pt idx="201">
                  <c:v>-2.4935242384085594E-3</c:v>
                </c:pt>
                <c:pt idx="202">
                  <c:v>-2.4864945751787802E-3</c:v>
                </c:pt>
                <c:pt idx="203">
                  <c:v>-2.4719584537258544E-3</c:v>
                </c:pt>
                <c:pt idx="204">
                  <c:v>-2.4581233958342404E-3</c:v>
                </c:pt>
                <c:pt idx="205">
                  <c:v>-2.4509666676454716E-3</c:v>
                </c:pt>
                <c:pt idx="206">
                  <c:v>-2.4437840454132717E-3</c:v>
                </c:pt>
                <c:pt idx="207">
                  <c:v>-2.4365753687806959E-3</c:v>
                </c:pt>
                <c:pt idx="208">
                  <c:v>-2.421653028272938E-3</c:v>
                </c:pt>
                <c:pt idx="209">
                  <c:v>-2.4074769110981682E-3</c:v>
                </c:pt>
                <c:pt idx="210">
                  <c:v>-2.4001355570843368E-3</c:v>
                </c:pt>
                <c:pt idx="211">
                  <c:v>-2.3927671865067363E-3</c:v>
                </c:pt>
                <c:pt idx="212">
                  <c:v>-2.3853716389958235E-3</c:v>
                </c:pt>
                <c:pt idx="213">
                  <c:v>-2.3700471994618352E-3</c:v>
                </c:pt>
                <c:pt idx="214">
                  <c:v>-2.3555144722325169E-3</c:v>
                </c:pt>
                <c:pt idx="215">
                  <c:v>-2.3479806344936399E-3</c:v>
                </c:pt>
                <c:pt idx="216">
                  <c:v>-2.3404186575850723E-3</c:v>
                </c:pt>
                <c:pt idx="217">
                  <c:v>-2.332828381124238E-3</c:v>
                </c:pt>
                <c:pt idx="218">
                  <c:v>-2.3170871301654481E-3</c:v>
                </c:pt>
                <c:pt idx="219">
                  <c:v>-2.3021810721066973E-3</c:v>
                </c:pt>
                <c:pt idx="220">
                  <c:v>-2.2944468921280653E-3</c:v>
                </c:pt>
                <c:pt idx="221">
                  <c:v>-2.2866834502804187E-3</c:v>
                </c:pt>
                <c:pt idx="222">
                  <c:v>-2.278890586171623E-3</c:v>
                </c:pt>
                <c:pt idx="223">
                  <c:v>-2.2627189788789063E-3</c:v>
                </c:pt>
                <c:pt idx="224">
                  <c:v>-2.2474216991888573E-3</c:v>
                </c:pt>
                <c:pt idx="225">
                  <c:v>-2.2394793178093231E-3</c:v>
                </c:pt>
                <c:pt idx="226">
                  <c:v>-2.2315065517684802E-3</c:v>
                </c:pt>
                <c:pt idx="227">
                  <c:v>-2.2235032406594238E-3</c:v>
                </c:pt>
                <c:pt idx="228">
                  <c:v>-2.2068888995265255E-3</c:v>
                </c:pt>
                <c:pt idx="229">
                  <c:v>-2.1911813373495189E-3</c:v>
                </c:pt>
                <c:pt idx="230">
                  <c:v>-2.1830228947332568E-3</c:v>
                </c:pt>
                <c:pt idx="231">
                  <c:v>-2.1791898012923673E-3</c:v>
                </c:pt>
                <c:pt idx="232">
                  <c:v>-2.1709849846122328E-3</c:v>
                </c:pt>
                <c:pt idx="233">
                  <c:v>-2.1627483642893022E-3</c:v>
                </c:pt>
                <c:pt idx="234">
                  <c:v>-2.1378460596098727E-3</c:v>
                </c:pt>
                <c:pt idx="235">
                  <c:v>-2.1294806028535522E-3</c:v>
                </c:pt>
                <c:pt idx="236">
                  <c:v>-2.1210825315097171E-3</c:v>
                </c:pt>
                <c:pt idx="237">
                  <c:v>-2.1126516833872284E-3</c:v>
                </c:pt>
                <c:pt idx="238">
                  <c:v>-2.1041878962857231E-3</c:v>
                </c:pt>
                <c:pt idx="239">
                  <c:v>-2.0785972791166514E-3</c:v>
                </c:pt>
                <c:pt idx="240">
                  <c:v>-2.0700001140914952E-3</c:v>
                </c:pt>
                <c:pt idx="241">
                  <c:v>-2.0613691990696952E-3</c:v>
                </c:pt>
                <c:pt idx="242">
                  <c:v>-2.0527043718416653E-3</c:v>
                </c:pt>
                <c:pt idx="243">
                  <c:v>-2.044005497191611E-3</c:v>
                </c:pt>
                <c:pt idx="244">
                  <c:v>-2.0177044244710073E-3</c:v>
                </c:pt>
                <c:pt idx="245">
                  <c:v>-2.0088692498852192E-3</c:v>
                </c:pt>
                <c:pt idx="246">
                  <c:v>-1.9999999997473809E-3</c:v>
                </c:pt>
                <c:pt idx="247">
                  <c:v>-1.9910966989558176E-3</c:v>
                </c:pt>
                <c:pt idx="248">
                  <c:v>-1.9821594729192231E-3</c:v>
                </c:pt>
                <c:pt idx="249">
                  <c:v>-1.9503504190035558E-3</c:v>
                </c:pt>
                <c:pt idx="250">
                  <c:v>-1.9460743270689157E-3</c:v>
                </c:pt>
                <c:pt idx="251">
                  <c:v>-1.9369697328729897E-3</c:v>
                </c:pt>
                <c:pt idx="252">
                  <c:v>-1.9278321166620511E-3</c:v>
                </c:pt>
                <c:pt idx="253">
                  <c:v>-1.918661628976779E-3</c:v>
                </c:pt>
                <c:pt idx="254">
                  <c:v>-1.8860491363968126E-3</c:v>
                </c:pt>
                <c:pt idx="255">
                  <c:v>-1.8767334875753425E-3</c:v>
                </c:pt>
                <c:pt idx="256">
                  <c:v>-1.8673858476293405E-3</c:v>
                </c:pt>
                <c:pt idx="257">
                  <c:v>-1.8430994152636626E-3</c:v>
                </c:pt>
                <c:pt idx="258">
                  <c:v>-1.8386370933671508E-3</c:v>
                </c:pt>
                <c:pt idx="259">
                  <c:v>-1.8201729926576968E-3</c:v>
                </c:pt>
                <c:pt idx="260">
                  <c:v>-1.8106365329466538E-3</c:v>
                </c:pt>
                <c:pt idx="261">
                  <c:v>-1.8010691244433863E-3</c:v>
                </c:pt>
                <c:pt idx="262">
                  <c:v>-1.7914709160557366E-3</c:v>
                </c:pt>
                <c:pt idx="263">
                  <c:v>-1.7716852806273361E-3</c:v>
                </c:pt>
                <c:pt idx="264">
                  <c:v>-1.7527730618329396E-3</c:v>
                </c:pt>
                <c:pt idx="265">
                  <c:v>-1.7430230876601335E-3</c:v>
                </c:pt>
                <c:pt idx="266">
                  <c:v>-1.7332432070617304E-3</c:v>
                </c:pt>
                <c:pt idx="267">
                  <c:v>-1.7234335689516552E-3</c:v>
                </c:pt>
                <c:pt idx="268">
                  <c:v>-1.7032494180126174E-3</c:v>
                </c:pt>
                <c:pt idx="269">
                  <c:v>-1.683900419678774E-3</c:v>
                </c:pt>
                <c:pt idx="270">
                  <c:v>-1.6739442277300689E-3</c:v>
                </c:pt>
                <c:pt idx="271">
                  <c:v>-1.6639591717627971E-3</c:v>
                </c:pt>
                <c:pt idx="272">
                  <c:v>-1.6539454006965313E-3</c:v>
                </c:pt>
                <c:pt idx="273">
                  <c:v>-1.6333794922611476E-3</c:v>
                </c:pt>
                <c:pt idx="274">
                  <c:v>-1.6136061438442669E-3</c:v>
                </c:pt>
                <c:pt idx="275">
                  <c:v>-1.6034510310944264E-3</c:v>
                </c:pt>
                <c:pt idx="276">
                  <c:v>-1.5932680967760586E-3</c:v>
                </c:pt>
                <c:pt idx="277">
                  <c:v>-1.5830574898135147E-3</c:v>
                </c:pt>
                <c:pt idx="278">
                  <c:v>-1.5621254921150086E-3</c:v>
                </c:pt>
                <c:pt idx="279">
                  <c:v>-1.5419413140759376E-3</c:v>
                </c:pt>
                <c:pt idx="280">
                  <c:v>-1.5315945778112154E-3</c:v>
                </c:pt>
                <c:pt idx="281">
                  <c:v>-1.5212210624757929E-3</c:v>
                </c:pt>
                <c:pt idx="282">
                  <c:v>-1.5108209170009725E-3</c:v>
                </c:pt>
                <c:pt idx="283">
                  <c:v>-1.4895374085064454E-3</c:v>
                </c:pt>
                <c:pt idx="284">
                  <c:v>-1.4689570123876227E-3</c:v>
                </c:pt>
                <c:pt idx="285">
                  <c:v>-1.4584259502353036E-3</c:v>
                </c:pt>
                <c:pt idx="286">
                  <c:v>-1.4478691515592028E-3</c:v>
                </c:pt>
                <c:pt idx="287">
                  <c:v>-1.4372867652975732E-3</c:v>
                </c:pt>
                <c:pt idx="288">
                  <c:v>-1.415665234736021E-3</c:v>
                </c:pt>
                <c:pt idx="289">
                  <c:v>-1.3947043232416343E-3</c:v>
                </c:pt>
                <c:pt idx="290">
                  <c:v>-1.3839962331921912E-3</c:v>
                </c:pt>
                <c:pt idx="291">
                  <c:v>-1.3732634492184513E-3</c:v>
                </c:pt>
                <c:pt idx="292">
                  <c:v>-1.3625061202695288E-3</c:v>
                </c:pt>
                <c:pt idx="293">
                  <c:v>-1.3405589666401424E-3</c:v>
                </c:pt>
                <c:pt idx="294">
                  <c:v>-1.3192343337155843E-3</c:v>
                </c:pt>
                <c:pt idx="295">
                  <c:v>-1.3139714289906086E-3</c:v>
                </c:pt>
                <c:pt idx="296">
                  <c:v>-1.3086991190913722E-3</c:v>
                </c:pt>
                <c:pt idx="297">
                  <c:v>-1.2977951346218042E-3</c:v>
                </c:pt>
                <c:pt idx="298">
                  <c:v>-1.2868677311881349E-3</c:v>
                </c:pt>
                <c:pt idx="299">
                  <c:v>-1.2482757186015217E-3</c:v>
                </c:pt>
                <c:pt idx="300">
                  <c:v>-1.2429269733886805E-3</c:v>
                </c:pt>
                <c:pt idx="301">
                  <c:v>-1.2318847593277837E-3</c:v>
                </c:pt>
                <c:pt idx="302">
                  <c:v>-1.2208200399892455E-3</c:v>
                </c:pt>
                <c:pt idx="303">
                  <c:v>-1.2097329676579172E-3</c:v>
                </c:pt>
                <c:pt idx="304">
                  <c:v>-1.1705963635029108E-3</c:v>
                </c:pt>
                <c:pt idx="305">
                  <c:v>-1.165164194161683E-3</c:v>
                </c:pt>
                <c:pt idx="306">
                  <c:v>-1.1539676411969069E-3</c:v>
                </c:pt>
                <c:pt idx="307">
                  <c:v>-1.1427496489790911E-3</c:v>
                </c:pt>
                <c:pt idx="308">
                  <c:v>-1.1315103698046336E-3</c:v>
                </c:pt>
                <c:pt idx="309">
                  <c:v>-1.0918522816786133E-3</c:v>
                </c:pt>
                <c:pt idx="310">
                  <c:v>-1.0863434294865471E-3</c:v>
                </c:pt>
                <c:pt idx="311">
                  <c:v>-1.0750000000001592E-3</c:v>
                </c:pt>
                <c:pt idx="312">
                  <c:v>-1.0636361140758943E-3</c:v>
                </c:pt>
                <c:pt idx="313">
                  <c:v>-1.0522515076214489E-3</c:v>
                </c:pt>
                <c:pt idx="314">
                  <c:v>-1.0064989289086945E-3</c:v>
                </c:pt>
                <c:pt idx="315">
                  <c:v>-9.9500550907327678E-4</c:v>
                </c:pt>
                <c:pt idx="316">
                  <c:v>-9.834892843860743E-4</c:v>
                </c:pt>
                <c:pt idx="317">
                  <c:v>-9.6600910602706591E-4</c:v>
                </c:pt>
                <c:pt idx="318">
                  <c:v>-9.3120741849308738E-4</c:v>
                </c:pt>
                <c:pt idx="319">
                  <c:v>-9.2555392894144717E-4</c:v>
                </c:pt>
                <c:pt idx="320">
                  <c:v>-9.1389357954341222E-4</c:v>
                </c:pt>
                <c:pt idx="321">
                  <c:v>-9.0220799338514013E-4</c:v>
                </c:pt>
                <c:pt idx="322">
                  <c:v>-8.4911804713900618E-4</c:v>
                </c:pt>
                <c:pt idx="323">
                  <c:v>-8.4338935086680777E-4</c:v>
                </c:pt>
                <c:pt idx="324">
                  <c:v>-8.3154504788751638E-4</c:v>
                </c:pt>
                <c:pt idx="325">
                  <c:v>-8.196730760192672E-4</c:v>
                </c:pt>
                <c:pt idx="326">
                  <c:v>-8.0777308779467205E-4</c:v>
                </c:pt>
                <c:pt idx="327">
                  <c:v>-7.5947219963304943E-4</c:v>
                </c:pt>
                <c:pt idx="328">
                  <c:v>-7.5366002828206936E-4</c:v>
                </c:pt>
                <c:pt idx="329">
                  <c:v>-7.4784073970146636E-4</c:v>
                </c:pt>
                <c:pt idx="330">
                  <c:v>-7.3576535629582551E-4</c:v>
                </c:pt>
                <c:pt idx="331">
                  <c:v>-7.2365952413999679E-4</c:v>
                </c:pt>
                <c:pt idx="332">
                  <c:v>-6.8081636155362883E-4</c:v>
                </c:pt>
                <c:pt idx="333">
                  <c:v>-6.7492475786679051E-4</c:v>
                </c:pt>
                <c:pt idx="334">
                  <c:v>-6.626614693030497E-4</c:v>
                </c:pt>
                <c:pt idx="335">
                  <c:v>-6.5036564689080478E-4</c:v>
                </c:pt>
                <c:pt idx="336">
                  <c:v>-6.3803694309516601E-4</c:v>
                </c:pt>
                <c:pt idx="337">
                  <c:v>-6.1376749366676652E-4</c:v>
                </c:pt>
                <c:pt idx="338">
                  <c:v>-6.0780227564191365E-4</c:v>
                </c:pt>
                <c:pt idx="339">
                  <c:v>-5.7588803932118182E-4</c:v>
                </c:pt>
                <c:pt idx="340">
                  <c:v>-5.6988475274934278E-4</c:v>
                </c:pt>
                <c:pt idx="341">
                  <c:v>-5.5733772813140953E-4</c:v>
                </c:pt>
                <c:pt idx="342">
                  <c:v>-5.0623152374512832E-4</c:v>
                </c:pt>
                <c:pt idx="343">
                  <c:v>-5.0015163016148279E-4</c:v>
                </c:pt>
                <c:pt idx="344">
                  <c:v>-4.9406334858113422E-4</c:v>
                </c:pt>
                <c:pt idx="345">
                  <c:v>-4.812981609685651E-4</c:v>
                </c:pt>
                <c:pt idx="346">
                  <c:v>-4.6849538262501851E-4</c:v>
                </c:pt>
                <c:pt idx="347">
                  <c:v>-4.1628816678279852E-4</c:v>
                </c:pt>
                <c:pt idx="348">
                  <c:v>-4.1010133835461815E-4</c:v>
                </c:pt>
                <c:pt idx="349">
                  <c:v>-4.0390532695882419E-4</c:v>
                </c:pt>
                <c:pt idx="350">
                  <c:v>-3.9086962235497557E-4</c:v>
                </c:pt>
                <c:pt idx="351">
                  <c:v>-3.7779386634129787E-4</c:v>
                </c:pt>
                <c:pt idx="352">
                  <c:v>-3.2442028904124565E-4</c:v>
                </c:pt>
                <c:pt idx="353">
                  <c:v>-3.181162543741678E-4</c:v>
                </c:pt>
                <c:pt idx="354">
                  <c:v>-3.1180201073830062E-4</c:v>
                </c:pt>
                <c:pt idx="355">
                  <c:v>-2.9847856355008574E-4</c:v>
                </c:pt>
                <c:pt idx="356">
                  <c:v>-2.8511260399296482E-4</c:v>
                </c:pt>
                <c:pt idx="357">
                  <c:v>-2.3050995205356505E-4</c:v>
                </c:pt>
                <c:pt idx="358">
                  <c:v>-2.0974695415423007E-4</c:v>
                </c:pt>
                <c:pt idx="359">
                  <c:v>-1.9608811653154778E-4</c:v>
                </c:pt>
                <c:pt idx="360">
                  <c:v>-1.8238442565384231E-4</c:v>
                </c:pt>
                <c:pt idx="361">
                  <c:v>-1.4678591849246354E-4</c:v>
                </c:pt>
                <c:pt idx="362">
                  <c:v>-1.2711432557326705E-4</c:v>
                </c:pt>
                <c:pt idx="363">
                  <c:v>-1.1318126535030538E-4</c:v>
                </c:pt>
                <c:pt idx="364">
                  <c:v>-9.9201310598214277E-5</c:v>
                </c:pt>
                <c:pt idx="365">
                  <c:v>-8.5174121084803488E-5</c:v>
                </c:pt>
                <c:pt idx="366">
                  <c:v>-5.6193979978608789E-5</c:v>
                </c:pt>
                <c:pt idx="367">
                  <c:v>-2.8586210473963874E-5</c:v>
                </c:pt>
                <c:pt idx="368">
                  <c:v>-1.4317743391759185E-5</c:v>
                </c:pt>
                <c:pt idx="369">
                  <c:v>0</c:v>
                </c:pt>
                <c:pt idx="370">
                  <c:v>1.4367169726957764E-5</c:v>
                </c:pt>
                <c:pt idx="371">
                  <c:v>4.4038207889702287E-5</c:v>
                </c:pt>
                <c:pt idx="372">
                  <c:v>7.2315989199487149E-5</c:v>
                </c:pt>
                <c:pt idx="373">
                  <c:v>8.6919222782733612E-5</c:v>
                </c:pt>
                <c:pt idx="374">
                  <c:v>1.0156720862092537E-4</c:v>
                </c:pt>
                <c:pt idx="375">
                  <c:v>1.3949993875839756E-4</c:v>
                </c:pt>
                <c:pt idx="376">
                  <c:v>1.4651094707653344E-4</c:v>
                </c:pt>
                <c:pt idx="377">
                  <c:v>1.7543933296897794E-4</c:v>
                </c:pt>
                <c:pt idx="378">
                  <c:v>1.9033220903874121E-4</c:v>
                </c:pt>
                <c:pt idx="379">
                  <c:v>2.0526190615819203E-4</c:v>
                </c:pt>
                <c:pt idx="380">
                  <c:v>2.2022728314105447E-4</c:v>
                </c:pt>
                <c:pt idx="381">
                  <c:v>2.2738875451841227E-4</c:v>
                </c:pt>
                <c:pt idx="382">
                  <c:v>2.7255987554403475E-4</c:v>
                </c:pt>
                <c:pt idx="383">
                  <c:v>2.8768023175332975E-4</c:v>
                </c:pt>
                <c:pt idx="384">
                  <c:v>3.0283032287869261E-4</c:v>
                </c:pt>
                <c:pt idx="385">
                  <c:v>3.1800899508441504E-4</c:v>
                </c:pt>
                <c:pt idx="386">
                  <c:v>3.332150945163419E-4</c:v>
                </c:pt>
                <c:pt idx="387">
                  <c:v>3.7898641738535517E-4</c:v>
                </c:pt>
                <c:pt idx="388">
                  <c:v>3.9429068684938552E-4</c:v>
                </c:pt>
                <c:pt idx="389">
                  <c:v>4.0961661401586047E-4</c:v>
                </c:pt>
                <c:pt idx="390">
                  <c:v>4.2496304492697164E-4</c:v>
                </c:pt>
                <c:pt idx="391">
                  <c:v>5.019623659235856E-4</c:v>
                </c:pt>
                <c:pt idx="392">
                  <c:v>5.1740758521524953E-4</c:v>
                </c:pt>
                <c:pt idx="393">
                  <c:v>5.3286523005673331E-4</c:v>
                </c:pt>
                <c:pt idx="394">
                  <c:v>5.4833414634880323E-4</c:v>
                </c:pt>
                <c:pt idx="395">
                  <c:v>5.9479698266388188E-4</c:v>
                </c:pt>
                <c:pt idx="396">
                  <c:v>6.1029944340580699E-4</c:v>
                </c:pt>
                <c:pt idx="397">
                  <c:v>6.2580740483071803E-4</c:v>
                </c:pt>
                <c:pt idx="398">
                  <c:v>6.4131971273309271E-4</c:v>
                </c:pt>
                <c:pt idx="399">
                  <c:v>6.8013222482210295E-4</c:v>
                </c:pt>
                <c:pt idx="400">
                  <c:v>7.2663108119790283E-4</c:v>
                </c:pt>
                <c:pt idx="401">
                  <c:v>7.4213044718769055E-4</c:v>
                </c:pt>
                <c:pt idx="402">
                  <c:v>7.5762554072204542E-4</c:v>
                </c:pt>
                <c:pt idx="403">
                  <c:v>7.8842929726462253E-4</c:v>
                </c:pt>
                <c:pt idx="404">
                  <c:v>8.1954035365256644E-4</c:v>
                </c:pt>
                <c:pt idx="405">
                  <c:v>8.3499695727740086E-4</c:v>
                </c:pt>
                <c:pt idx="406">
                  <c:v>8.5044243727065412E-4</c:v>
                </c:pt>
                <c:pt idx="407">
                  <c:v>8.658756517101173E-4</c:v>
                </c:pt>
                <c:pt idx="408">
                  <c:v>8.9635636149583799E-4</c:v>
                </c:pt>
                <c:pt idx="409">
                  <c:v>9.2746301478992569E-4</c:v>
                </c:pt>
                <c:pt idx="410">
                  <c:v>9.4281777195566767E-4</c:v>
                </c:pt>
                <c:pt idx="411">
                  <c:v>9.5815341164163658E-4</c:v>
                </c:pt>
                <c:pt idx="412">
                  <c:v>9.734687918013748E-4</c:v>
                </c:pt>
                <c:pt idx="413">
                  <c:v>1.0035300682085576E-3</c:v>
                </c:pt>
                <c:pt idx="414">
                  <c:v>1.0345048755598604E-3</c:v>
                </c:pt>
                <c:pt idx="415">
                  <c:v>1.0497018267286368E-3</c:v>
                </c:pt>
                <c:pt idx="416">
                  <c:v>1.0648716657075288E-3</c:v>
                </c:pt>
                <c:pt idx="417">
                  <c:v>1.1095670255330406E-3</c:v>
                </c:pt>
                <c:pt idx="418">
                  <c:v>1.1402742011777597E-3</c:v>
                </c:pt>
                <c:pt idx="419">
                  <c:v>1.1552573808347396E-3</c:v>
                </c:pt>
                <c:pt idx="420">
                  <c:v>1.1702054527515263E-3</c:v>
                </c:pt>
                <c:pt idx="421">
                  <c:v>1.1851172746375096E-3</c:v>
                </c:pt>
                <c:pt idx="422">
                  <c:v>1.2140837999800721E-3</c:v>
                </c:pt>
                <c:pt idx="423">
                  <c:v>1.2590926523913877E-3</c:v>
                </c:pt>
                <c:pt idx="424">
                  <c:v>1.2737629851330375E-3</c:v>
                </c:pt>
                <c:pt idx="425">
                  <c:v>1.2883890713708353E-3</c:v>
                </c:pt>
                <c:pt idx="426">
                  <c:v>1.316696917770113E-3</c:v>
                </c:pt>
                <c:pt idx="427">
                  <c:v>1.346428102744792E-3</c:v>
                </c:pt>
                <c:pt idx="428">
                  <c:v>1.3608158199189717E-3</c:v>
                </c:pt>
                <c:pt idx="429">
                  <c:v>1.3751524358612099E-3</c:v>
                </c:pt>
                <c:pt idx="430">
                  <c:v>1.3894368080662855E-3</c:v>
                </c:pt>
                <c:pt idx="431">
                  <c:v>1.4170230528284514E-3</c:v>
                </c:pt>
                <c:pt idx="432">
                  <c:v>1.4460411897829087E-3</c:v>
                </c:pt>
                <c:pt idx="433">
                  <c:v>1.4600588152146189E-3</c:v>
                </c:pt>
                <c:pt idx="434">
                  <c:v>1.4740230514984438E-3</c:v>
                </c:pt>
                <c:pt idx="435">
                  <c:v>1.4879338980591916E-3</c:v>
                </c:pt>
                <c:pt idx="436">
                  <c:v>1.5430433757335218E-3</c:v>
                </c:pt>
                <c:pt idx="437">
                  <c:v>1.5566872651882832E-3</c:v>
                </c:pt>
                <c:pt idx="438">
                  <c:v>1.5702777615374556E-3</c:v>
                </c:pt>
                <c:pt idx="439">
                  <c:v>1.5838148642240931E-3</c:v>
                </c:pt>
                <c:pt idx="440">
                  <c:v>1.5909673648783185E-3</c:v>
                </c:pt>
                <c:pt idx="441">
                  <c:v>1.637436299590789E-3</c:v>
                </c:pt>
                <c:pt idx="442">
                  <c:v>1.6507130712102884E-3</c:v>
                </c:pt>
                <c:pt idx="443">
                  <c:v>1.6639397142041894E-3</c:v>
                </c:pt>
                <c:pt idx="444">
                  <c:v>1.6771168817239382E-3</c:v>
                </c:pt>
                <c:pt idx="445">
                  <c:v>1.702532301037879E-3</c:v>
                </c:pt>
                <c:pt idx="446">
                  <c:v>1.7293438604439593E-3</c:v>
                </c:pt>
                <c:pt idx="447">
                  <c:v>1.7422834482234792E-3</c:v>
                </c:pt>
                <c:pt idx="448">
                  <c:v>1.7551774796556092E-3</c:v>
                </c:pt>
                <c:pt idx="449">
                  <c:v>1.7680266079630421E-3</c:v>
                </c:pt>
                <c:pt idx="450">
                  <c:v>1.7928509388321508E-3</c:v>
                </c:pt>
                <c:pt idx="451">
                  <c:v>1.8189871547828452E-3</c:v>
                </c:pt>
                <c:pt idx="452">
                  <c:v>1.8316215661808083E-3</c:v>
                </c:pt>
                <c:pt idx="453">
                  <c:v>1.8442149940091901E-3</c:v>
                </c:pt>
                <c:pt idx="454">
                  <c:v>1.8567680915601934E-3</c:v>
                </c:pt>
                <c:pt idx="455">
                  <c:v>1.8810858238858541E-3</c:v>
                </c:pt>
                <c:pt idx="456">
                  <c:v>1.9065902452011425E-3</c:v>
                </c:pt>
                <c:pt idx="457">
                  <c:v>1.9189514911036648E-3</c:v>
                </c:pt>
                <c:pt idx="458">
                  <c:v>1.9312763266914239E-3</c:v>
                </c:pt>
                <c:pt idx="459">
                  <c:v>1.943565405321788E-3</c:v>
                </c:pt>
                <c:pt idx="460">
                  <c:v>1.9674562655934628E-3</c:v>
                </c:pt>
                <c:pt idx="461">
                  <c:v>1.9923772177937488E-3</c:v>
                </c:pt>
                <c:pt idx="462">
                  <c:v>2.0044973123547667E-3</c:v>
                </c:pt>
                <c:pt idx="463">
                  <c:v>2.0165855703085209E-3</c:v>
                </c:pt>
                <c:pt idx="464">
                  <c:v>2.0286426450775454E-3</c:v>
                </c:pt>
                <c:pt idx="465">
                  <c:v>2.0521815960785048E-3</c:v>
                </c:pt>
                <c:pt idx="466">
                  <c:v>2.0765721810611167E-3</c:v>
                </c:pt>
                <c:pt idx="467">
                  <c:v>2.0884831415503352E-3</c:v>
                </c:pt>
                <c:pt idx="468">
                  <c:v>2.1003668395759628E-3</c:v>
                </c:pt>
                <c:pt idx="469">
                  <c:v>2.1122239286178787E-3</c:v>
                </c:pt>
                <c:pt idx="470">
                  <c:v>2.1354811691994611E-3</c:v>
                </c:pt>
                <c:pt idx="471">
                  <c:v>2.1593992649283009E-3</c:v>
                </c:pt>
                <c:pt idx="472">
                  <c:v>2.1711331116043386E-3</c:v>
                </c:pt>
                <c:pt idx="473">
                  <c:v>2.1828442703766466E-3</c:v>
                </c:pt>
                <c:pt idx="474">
                  <c:v>2.1945333947841869E-3</c:v>
                </c:pt>
                <c:pt idx="475">
                  <c:v>2.2175743596628173E-3</c:v>
                </c:pt>
                <c:pt idx="476">
                  <c:v>2.2410826198969386E-3</c:v>
                </c:pt>
                <c:pt idx="477">
                  <c:v>2.252671375896981E-3</c:v>
                </c:pt>
                <c:pt idx="478">
                  <c:v>2.2642420189554419E-3</c:v>
                </c:pt>
                <c:pt idx="479">
                  <c:v>2.2757952026694981E-3</c:v>
                </c:pt>
                <c:pt idx="480">
                  <c:v>2.2986805622696228E-3</c:v>
                </c:pt>
                <c:pt idx="481">
                  <c:v>2.3218464163293037E-3</c:v>
                </c:pt>
                <c:pt idx="482">
                  <c:v>2.3333221075752652E-3</c:v>
                </c:pt>
                <c:pt idx="483">
                  <c:v>2.3447842612345227E-3</c:v>
                </c:pt>
                <c:pt idx="484">
                  <c:v>2.3505623749108385E-3</c:v>
                </c:pt>
                <c:pt idx="485">
                  <c:v>2.361998893170722E-3</c:v>
                </c:pt>
                <c:pt idx="486">
                  <c:v>2.3962404231566621E-3</c:v>
                </c:pt>
                <c:pt idx="487">
                  <c:v>2.4076337944307809E-3</c:v>
                </c:pt>
                <c:pt idx="488">
                  <c:v>2.4190180311348761E-3</c:v>
                </c:pt>
                <c:pt idx="489">
                  <c:v>2.4303937941547995E-3</c:v>
                </c:pt>
                <c:pt idx="490">
                  <c:v>2.4417617443843083E-3</c:v>
                </c:pt>
                <c:pt idx="491">
                  <c:v>2.4758253273803577E-3</c:v>
                </c:pt>
                <c:pt idx="492">
                  <c:v>2.4871686355377475E-3</c:v>
                </c:pt>
                <c:pt idx="493">
                  <c:v>2.4985074354859469E-3</c:v>
                </c:pt>
                <c:pt idx="494">
                  <c:v>2.5098423881661472E-3</c:v>
                </c:pt>
                <c:pt idx="495">
                  <c:v>2.5211741545239329E-3</c:v>
                </c:pt>
                <c:pt idx="496">
                  <c:v>2.5551569452512833E-3</c:v>
                </c:pt>
                <c:pt idx="497">
                  <c:v>2.5664825759421491E-3</c:v>
                </c:pt>
                <c:pt idx="498">
                  <c:v>2.5778083251597425E-3</c:v>
                </c:pt>
                <c:pt idx="499">
                  <c:v>2.5891348538953241E-3</c:v>
                </c:pt>
                <c:pt idx="500">
                  <c:v>2.6004628231498187E-3</c:v>
                </c:pt>
                <c:pt idx="501">
                  <c:v>2.6459205175311329E-3</c:v>
                </c:pt>
                <c:pt idx="502">
                  <c:v>2.651533834462903E-3</c:v>
                </c:pt>
                <c:pt idx="503">
                  <c:v>2.6571474127214676E-3</c:v>
                </c:pt>
                <c:pt idx="504">
                  <c:v>2.6684979065067743E-3</c:v>
                </c:pt>
                <c:pt idx="505">
                  <c:v>2.6798544680212573E-3</c:v>
                </c:pt>
                <c:pt idx="506">
                  <c:v>2.7197163673138873E-3</c:v>
                </c:pt>
                <c:pt idx="507">
                  <c:v>2.7311031849896064E-3</c:v>
                </c:pt>
                <c:pt idx="508">
                  <c:v>2.7424967321266615E-3</c:v>
                </c:pt>
                <c:pt idx="509">
                  <c:v>2.7538970087823979E-3</c:v>
                </c:pt>
                <c:pt idx="510">
                  <c:v>2.7768429589583171E-3</c:v>
                </c:pt>
                <c:pt idx="511">
                  <c:v>2.7995654117712156E-3</c:v>
                </c:pt>
                <c:pt idx="512">
                  <c:v>2.8109993369031311E-3</c:v>
                </c:pt>
                <c:pt idx="513">
                  <c:v>2.8224399919056209E-3</c:v>
                </c:pt>
                <c:pt idx="514">
                  <c:v>2.8338873768386365E-3</c:v>
                </c:pt>
                <c:pt idx="515">
                  <c:v>2.8569287997496575E-3</c:v>
                </c:pt>
                <c:pt idx="516">
                  <c:v>2.8797442170506705E-3</c:v>
                </c:pt>
                <c:pt idx="517">
                  <c:v>2.8912252525182189E-3</c:v>
                </c:pt>
                <c:pt idx="518">
                  <c:v>2.9717809520361013E-3</c:v>
                </c:pt>
                <c:pt idx="519">
                  <c:v>3.0526664557431592E-3</c:v>
                </c:pt>
                <c:pt idx="520">
                  <c:v>3.1338817840057109E-3</c:v>
                </c:pt>
                <c:pt idx="521">
                  <c:v>3.2154269572734848E-3</c:v>
                </c:pt>
                <c:pt idx="522">
                  <c:v>3.2973019960839656E-3</c:v>
                </c:pt>
                <c:pt idx="523">
                  <c:v>3.3795069210537051E-3</c:v>
                </c:pt>
                <c:pt idx="524">
                  <c:v>3.4500962287609127E-3</c:v>
                </c:pt>
                <c:pt idx="525">
                  <c:v>3.5329122465723728E-3</c:v>
                </c:pt>
                <c:pt idx="526">
                  <c:v>3.6160581652096013E-3</c:v>
                </c:pt>
                <c:pt idx="527">
                  <c:v>3.7234448458018932E-3</c:v>
                </c:pt>
                <c:pt idx="528">
                  <c:v>3.7953389767437784E-3</c:v>
                </c:pt>
                <c:pt idx="529">
                  <c:v>3.8674755312975151E-3</c:v>
                </c:pt>
                <c:pt idx="530">
                  <c:v>3.951941258873326E-3</c:v>
                </c:pt>
                <c:pt idx="531">
                  <c:v>4.0367369905043304E-3</c:v>
                </c:pt>
                <c:pt idx="532">
                  <c:v>4.1218627470804847E-3</c:v>
                </c:pt>
                <c:pt idx="533">
                  <c:v>4.2073185495743459E-3</c:v>
                </c:pt>
                <c:pt idx="534">
                  <c:v>4.2931044190392953E-3</c:v>
                </c:pt>
                <c:pt idx="535">
                  <c:v>4.38546137102396E-3</c:v>
                </c:pt>
                <c:pt idx="536">
                  <c:v>4.4656664435098747E-3</c:v>
                </c:pt>
                <c:pt idx="537">
                  <c:v>4.565025661742053E-3</c:v>
                </c:pt>
                <c:pt idx="538">
                  <c:v>4.6521814099388242E-3</c:v>
                </c:pt>
                <c:pt idx="539">
                  <c:v>4.7396673855227694E-3</c:v>
                </c:pt>
                <c:pt idx="540">
                  <c:v>4.8274836105301746E-3</c:v>
                </c:pt>
                <c:pt idx="541">
                  <c:v>4.9344767207047469E-3</c:v>
                </c:pt>
                <c:pt idx="542">
                  <c:v>5.0230230661509378E-3</c:v>
                </c:pt>
                <c:pt idx="543">
                  <c:v>5.1118997059735934E-3</c:v>
                </c:pt>
                <c:pt idx="544">
                  <c:v>5.201106662317637E-3</c:v>
                </c:pt>
                <c:pt idx="545">
                  <c:v>5.3229745786130276E-3</c:v>
                </c:pt>
                <c:pt idx="546">
                  <c:v>5.4385502946310482E-3</c:v>
                </c:pt>
                <c:pt idx="547">
                  <c:v>5.5032844001955327E-3</c:v>
                </c:pt>
                <c:pt idx="548">
                  <c:v>5.593935045247236E-3</c:v>
                </c:pt>
                <c:pt idx="549">
                  <c:v>5.6849162108902609E-3</c:v>
                </c:pt>
                <c:pt idx="550">
                  <c:v>5.7762279205450223E-3</c:v>
                </c:pt>
                <c:pt idx="551">
                  <c:v>5.8678701977144211E-3</c:v>
                </c:pt>
                <c:pt idx="552">
                  <c:v>5.9859783861067632E-3</c:v>
                </c:pt>
                <c:pt idx="553">
                  <c:v>6.0320328778902185E-3</c:v>
                </c:pt>
                <c:pt idx="554">
                  <c:v>6.1447858462944987E-3</c:v>
                </c:pt>
                <c:pt idx="555">
                  <c:v>6.2377708831970876E-3</c:v>
                </c:pt>
                <c:pt idx="556">
                  <c:v>6.3311124765334167E-3</c:v>
                </c:pt>
                <c:pt idx="557">
                  <c:v>6.4248213044716222E-3</c:v>
                </c:pt>
                <c:pt idx="558">
                  <c:v>6.5189080463287103E-3</c:v>
                </c:pt>
                <c:pt idx="559">
                  <c:v>6.6133833825748056E-3</c:v>
                </c:pt>
                <c:pt idx="560">
                  <c:v>6.7082579948442092E-3</c:v>
                </c:pt>
                <c:pt idx="561">
                  <c:v>6.8035425659481513E-3</c:v>
                </c:pt>
                <c:pt idx="562">
                  <c:v>6.8782995282314274E-3</c:v>
                </c:pt>
                <c:pt idx="563">
                  <c:v>6.9743311307546418E-3</c:v>
                </c:pt>
                <c:pt idx="564">
                  <c:v>7.0708035839814913E-3</c:v>
                </c:pt>
                <c:pt idx="565">
                  <c:v>7.1677279248942927E-3</c:v>
                </c:pt>
                <c:pt idx="566">
                  <c:v>7.2651151917033909E-3</c:v>
                </c:pt>
                <c:pt idx="567">
                  <c:v>7.3844557408121051E-3</c:v>
                </c:pt>
                <c:pt idx="568">
                  <c:v>7.4828968126134645E-3</c:v>
                </c:pt>
                <c:pt idx="569">
                  <c:v>7.5818120379261712E-3</c:v>
                </c:pt>
                <c:pt idx="570">
                  <c:v>7.681201453286106E-3</c:v>
                </c:pt>
                <c:pt idx="571">
                  <c:v>7.7810650954060296E-3</c:v>
                </c:pt>
                <c:pt idx="572">
                  <c:v>7.8814030011747326E-3</c:v>
                </c:pt>
                <c:pt idx="573">
                  <c:v>7.9822152076561813E-3</c:v>
                </c:pt>
                <c:pt idx="574">
                  <c:v>8.0835017520912277E-3</c:v>
                </c:pt>
                <c:pt idx="575">
                  <c:v>8.1554752326447044E-3</c:v>
                </c:pt>
                <c:pt idx="576">
                  <c:v>8.2575657072903041E-3</c:v>
                </c:pt>
                <c:pt idx="577">
                  <c:v>8.3601304622318295E-3</c:v>
                </c:pt>
                <c:pt idx="578">
                  <c:v>8.4631695337442636E-3</c:v>
                </c:pt>
                <c:pt idx="579">
                  <c:v>8.6409115591337127E-3</c:v>
                </c:pt>
                <c:pt idx="580">
                  <c:v>8.7230207943032566E-3</c:v>
                </c:pt>
                <c:pt idx="581">
                  <c:v>8.8277228131674098E-3</c:v>
                </c:pt>
                <c:pt idx="582">
                  <c:v>8.9406144715990007E-3</c:v>
                </c:pt>
                <c:pt idx="583">
                  <c:v>9.0385504606427247E-3</c:v>
                </c:pt>
                <c:pt idx="584">
                  <c:v>9.1446761646573078E-3</c:v>
                </c:pt>
                <c:pt idx="585">
                  <c:v>9.2512765060755557E-3</c:v>
                </c:pt>
                <c:pt idx="586">
                  <c:v>9.3583515230243348E-3</c:v>
                </c:pt>
                <c:pt idx="587">
                  <c:v>9.4659012538026773E-3</c:v>
                </c:pt>
                <c:pt idx="588">
                  <c:v>9.5818607741076974E-3</c:v>
                </c:pt>
                <c:pt idx="589">
                  <c:v>9.6903968668279761E-3</c:v>
                </c:pt>
                <c:pt idx="590">
                  <c:v>9.7994078376329383E-3</c:v>
                </c:pt>
                <c:pt idx="591">
                  <c:v>9.9088937259440915E-3</c:v>
                </c:pt>
                <c:pt idx="592">
                  <c:v>1.0010771967490815E-2</c:v>
                </c:pt>
                <c:pt idx="593">
                  <c:v>1.012117079504744E-2</c:v>
                </c:pt>
                <c:pt idx="594">
                  <c:v>1.0232044609294923E-2</c:v>
                </c:pt>
                <c:pt idx="595">
                  <c:v>1.0375294659658214E-2</c:v>
                </c:pt>
                <c:pt idx="596">
                  <c:v>1.0455217356676963E-2</c:v>
                </c:pt>
                <c:pt idx="597">
                  <c:v>1.0575784552849847E-2</c:v>
                </c:pt>
                <c:pt idx="598">
                  <c:v>1.0688595982031507E-2</c:v>
                </c:pt>
                <c:pt idx="599">
                  <c:v>1.0801882650313411E-2</c:v>
                </c:pt>
                <c:pt idx="600">
                  <c:v>1.0915644598668875E-2</c:v>
                </c:pt>
                <c:pt idx="601">
                  <c:v>1.1046240282328302E-2</c:v>
                </c:pt>
                <c:pt idx="602">
                  <c:v>1.1177456855412818E-2</c:v>
                </c:pt>
                <c:pt idx="603">
                  <c:v>1.127627678119426E-2</c:v>
                </c:pt>
                <c:pt idx="604">
                  <c:v>1.1408580060124086E-2</c:v>
                </c:pt>
                <c:pt idx="605">
                  <c:v>1.1524853472134854E-2</c:v>
                </c:pt>
                <c:pt idx="606">
                  <c:v>1.1641552717262214E-2</c:v>
                </c:pt>
                <c:pt idx="607">
                  <c:v>1.1758573053694424E-2</c:v>
                </c:pt>
                <c:pt idx="608">
                  <c:v>1.1875806364090314E-2</c:v>
                </c:pt>
                <c:pt idx="609">
                  <c:v>1.1993144518235542E-2</c:v>
                </c:pt>
                <c:pt idx="610">
                  <c:v>1.2110479373000868E-2</c:v>
                </c:pt>
                <c:pt idx="611">
                  <c:v>1.2227702772326534E-2</c:v>
                </c:pt>
                <c:pt idx="612">
                  <c:v>1.2344706547241369E-2</c:v>
                </c:pt>
                <c:pt idx="613">
                  <c:v>1.2461382515904496E-2</c:v>
                </c:pt>
                <c:pt idx="614">
                  <c:v>1.256922076247995E-2</c:v>
                </c:pt>
                <c:pt idx="615">
                  <c:v>1.2684973852758555E-2</c:v>
                </c:pt>
                <c:pt idx="616">
                  <c:v>1.280007773234141E-2</c:v>
                </c:pt>
                <c:pt idx="617">
                  <c:v>1.2930859643388472E-2</c:v>
                </c:pt>
                <c:pt idx="618">
                  <c:v>1.3036058432841358E-2</c:v>
                </c:pt>
                <c:pt idx="619">
                  <c:v>1.3148532938158557E-2</c:v>
                </c:pt>
                <c:pt idx="620">
                  <c:v>1.3260061109998089E-2</c:v>
                </c:pt>
                <c:pt idx="621">
                  <c:v>1.3370642867534172E-2</c:v>
                </c:pt>
                <c:pt idx="622">
                  <c:v>1.348027813062222E-2</c:v>
                </c:pt>
                <c:pt idx="623">
                  <c:v>1.3588966819804054E-2</c:v>
                </c:pt>
                <c:pt idx="624">
                  <c:v>1.3696708856307032E-2</c:v>
                </c:pt>
                <c:pt idx="625">
                  <c:v>1.3803504162039711E-2</c:v>
                </c:pt>
                <c:pt idx="626">
                  <c:v>1.3909352659598787E-2</c:v>
                </c:pt>
                <c:pt idx="627">
                  <c:v>1.4006668329804305E-2</c:v>
                </c:pt>
                <c:pt idx="628">
                  <c:v>1.4110686573042448E-2</c:v>
                </c:pt>
                <c:pt idx="629">
                  <c:v>1.4213757792702791E-2</c:v>
                </c:pt>
                <c:pt idx="630">
                  <c:v>1.4395597499492003E-2</c:v>
                </c:pt>
                <c:pt idx="631">
                  <c:v>1.4445792586496703E-2</c:v>
                </c:pt>
                <c:pt idx="632">
                  <c:v>1.453152977418198E-2</c:v>
                </c:pt>
                <c:pt idx="633">
                  <c:v>1.4630676830758175E-2</c:v>
                </c:pt>
                <c:pt idx="634">
                  <c:v>1.4728876490923375E-2</c:v>
                </c:pt>
                <c:pt idx="635">
                  <c:v>1.4826128684266216E-2</c:v>
                </c:pt>
                <c:pt idx="636">
                  <c:v>1.4915423458219834E-2</c:v>
                </c:pt>
                <c:pt idx="637">
                  <c:v>1.501084424251875E-2</c:v>
                </c:pt>
                <c:pt idx="638">
                  <c:v>1.5105317372144711E-2</c:v>
                </c:pt>
                <c:pt idx="639">
                  <c:v>1.51988427800962E-2</c:v>
                </c:pt>
                <c:pt idx="640">
                  <c:v>1.5304924165438325E-2</c:v>
                </c:pt>
                <c:pt idx="641">
                  <c:v>1.5396426299879055E-2</c:v>
                </c:pt>
                <c:pt idx="642">
                  <c:v>1.5506808877143939E-2</c:v>
                </c:pt>
                <c:pt idx="643">
                  <c:v>1.5576586614465841E-2</c:v>
                </c:pt>
                <c:pt idx="644">
                  <c:v>1.5658751135004312E-2</c:v>
                </c:pt>
                <c:pt idx="645">
                  <c:v>1.574652493666771E-2</c:v>
                </c:pt>
                <c:pt idx="646">
                  <c:v>1.5833350541749638E-2</c:v>
                </c:pt>
                <c:pt idx="647">
                  <c:v>1.5919227887979906E-2</c:v>
                </c:pt>
                <c:pt idx="648">
                  <c:v>1.6010394651820716E-2</c:v>
                </c:pt>
                <c:pt idx="649">
                  <c:v>1.6094311283393E-2</c:v>
                </c:pt>
                <c:pt idx="650">
                  <c:v>1.6177279446089671E-2</c:v>
                </c:pt>
                <c:pt idx="651">
                  <c:v>1.6282993856903339E-2</c:v>
                </c:pt>
                <c:pt idx="652">
                  <c:v>1.6340370124905509E-2</c:v>
                </c:pt>
                <c:pt idx="653">
                  <c:v>1.6420492522767099E-2</c:v>
                </c:pt>
                <c:pt idx="654">
                  <c:v>1.649966621523705E-2</c:v>
                </c:pt>
                <c:pt idx="655">
                  <c:v>1.6577891144904766E-2</c:v>
                </c:pt>
                <c:pt idx="656">
                  <c:v>1.6655167255046923E-2</c:v>
                </c:pt>
                <c:pt idx="657">
                  <c:v>1.6731495250752557E-2</c:v>
                </c:pt>
                <c:pt idx="658">
                  <c:v>1.680690098367205E-2</c:v>
                </c:pt>
                <c:pt idx="659">
                  <c:v>1.6881440613333736E-2</c:v>
                </c:pt>
                <c:pt idx="660">
                  <c:v>1.6955172108384015E-2</c:v>
                </c:pt>
                <c:pt idx="661">
                  <c:v>1.7028153442344526E-2</c:v>
                </c:pt>
                <c:pt idx="662">
                  <c:v>1.7100442593500052E-2</c:v>
                </c:pt>
                <c:pt idx="663">
                  <c:v>1.7172097544790783E-2</c:v>
                </c:pt>
                <c:pt idx="664">
                  <c:v>1.7243176283713253E-2</c:v>
                </c:pt>
                <c:pt idx="665">
                  <c:v>1.7313736802236093E-2</c:v>
                </c:pt>
                <c:pt idx="666">
                  <c:v>1.7378478048442621E-2</c:v>
                </c:pt>
                <c:pt idx="667">
                  <c:v>1.7448189412844976E-2</c:v>
                </c:pt>
                <c:pt idx="668">
                  <c:v>1.7517554832404449E-2</c:v>
                </c:pt>
                <c:pt idx="669">
                  <c:v>1.76079231091835E-2</c:v>
                </c:pt>
                <c:pt idx="670">
                  <c:v>1.7676732291188799E-2</c:v>
                </c:pt>
                <c:pt idx="671">
                  <c:v>1.7729444823976832E-2</c:v>
                </c:pt>
                <c:pt idx="672">
                  <c:v>1.7797906994029038E-2</c:v>
                </c:pt>
                <c:pt idx="673">
                  <c:v>1.7866182385808393E-2</c:v>
                </c:pt>
                <c:pt idx="674">
                  <c:v>1.7934270989537506E-2</c:v>
                </c:pt>
                <c:pt idx="675">
                  <c:v>1.8002172795471998E-2</c:v>
                </c:pt>
                <c:pt idx="676">
                  <c:v>1.8069887793888337E-2</c:v>
                </c:pt>
                <c:pt idx="677">
                  <c:v>1.8137415975095147E-2</c:v>
                </c:pt>
                <c:pt idx="678">
                  <c:v>1.820475732942364E-2</c:v>
                </c:pt>
                <c:pt idx="679">
                  <c:v>1.8261463010348145E-2</c:v>
                </c:pt>
                <c:pt idx="680">
                  <c:v>1.8328450582560052E-2</c:v>
                </c:pt>
                <c:pt idx="681">
                  <c:v>1.839525129465347E-2</c:v>
                </c:pt>
                <c:pt idx="682">
                  <c:v>1.8505035564408065E-2</c:v>
                </c:pt>
                <c:pt idx="683">
                  <c:v>1.857652435525381E-2</c:v>
                </c:pt>
                <c:pt idx="684">
                  <c:v>1.860397978802375E-2</c:v>
                </c:pt>
                <c:pt idx="685">
                  <c:v>1.8660585355092074E-2</c:v>
                </c:pt>
                <c:pt idx="686">
                  <c:v>1.8726451626763563E-2</c:v>
                </c:pt>
                <c:pt idx="687">
                  <c:v>1.8792130982569155E-2</c:v>
                </c:pt>
                <c:pt idx="688">
                  <c:v>1.8852487319978965E-2</c:v>
                </c:pt>
                <c:pt idx="689">
                  <c:v>1.8917802751213311E-2</c:v>
                </c:pt>
                <c:pt idx="690">
                  <c:v>1.8982931237751528E-2</c:v>
                </c:pt>
                <c:pt idx="691">
                  <c:v>1.9047872770572516E-2</c:v>
                </c:pt>
                <c:pt idx="692">
                  <c:v>1.9127914117496616E-2</c:v>
                </c:pt>
                <c:pt idx="693">
                  <c:v>1.9192451926685592E-2</c:v>
                </c:pt>
                <c:pt idx="694">
                  <c:v>1.9256802757942303E-2</c:v>
                </c:pt>
                <c:pt idx="695">
                  <c:v>1.9336157101798302E-2</c:v>
                </c:pt>
                <c:pt idx="696">
                  <c:v>1.9379888339804918E-2</c:v>
                </c:pt>
                <c:pt idx="697">
                  <c:v>1.9443688108531879E-2</c:v>
                </c:pt>
                <c:pt idx="698">
                  <c:v>1.9507300862137207E-2</c:v>
                </c:pt>
                <c:pt idx="699">
                  <c:v>1.9570726591610969E-2</c:v>
                </c:pt>
                <c:pt idx="700">
                  <c:v>1.9633965287967823E-2</c:v>
                </c:pt>
                <c:pt idx="701">
                  <c:v>1.9702022423999172E-2</c:v>
                </c:pt>
                <c:pt idx="702">
                  <c:v>1.978382704992767E-2</c:v>
                </c:pt>
                <c:pt idx="703">
                  <c:v>1.9827544720751492E-2</c:v>
                </c:pt>
                <c:pt idx="704">
                  <c:v>1.9890025270303043E-2</c:v>
                </c:pt>
                <c:pt idx="705">
                  <c:v>1.9952318742033532E-2</c:v>
                </c:pt>
                <c:pt idx="706">
                  <c:v>2.0014425127020532E-2</c:v>
                </c:pt>
                <c:pt idx="707">
                  <c:v>2.0076344416371156E-2</c:v>
                </c:pt>
                <c:pt idx="708">
                  <c:v>2.0138076601217716E-2</c:v>
                </c:pt>
                <c:pt idx="709">
                  <c:v>2.0199621570613311E-2</c:v>
                </c:pt>
                <c:pt idx="710">
                  <c:v>2.0260970317415077E-2</c:v>
                </c:pt>
                <c:pt idx="711">
                  <c:v>2.0322098160025386E-2</c:v>
                </c:pt>
                <c:pt idx="712">
                  <c:v>2.0382978819854489E-2</c:v>
                </c:pt>
                <c:pt idx="713">
                  <c:v>2.044358601672697E-2</c:v>
                </c:pt>
                <c:pt idx="714">
                  <c:v>2.0503893468902561E-2</c:v>
                </c:pt>
                <c:pt idx="715">
                  <c:v>2.0563874893095281E-2</c:v>
                </c:pt>
                <c:pt idx="716">
                  <c:v>2.0623504004492539E-2</c:v>
                </c:pt>
                <c:pt idx="717">
                  <c:v>2.0682754516781213E-2</c:v>
                </c:pt>
                <c:pt idx="718">
                  <c:v>2.0736886195221654E-2</c:v>
                </c:pt>
                <c:pt idx="719">
                  <c:v>2.0795333680776341E-2</c:v>
                </c:pt>
                <c:pt idx="720">
                  <c:v>2.085332454285705E-2</c:v>
                </c:pt>
                <c:pt idx="721">
                  <c:v>2.0910832202508483E-2</c:v>
                </c:pt>
                <c:pt idx="722">
                  <c:v>2.0967830092316876E-2</c:v>
                </c:pt>
                <c:pt idx="723">
                  <c:v>2.1028841329001867E-2</c:v>
                </c:pt>
                <c:pt idx="724">
                  <c:v>2.1084742059932157E-2</c:v>
                </c:pt>
                <c:pt idx="725">
                  <c:v>2.1140110151432492E-2</c:v>
                </c:pt>
                <c:pt idx="726">
                  <c:v>2.1194945580992188E-2</c:v>
                </c:pt>
                <c:pt idx="727">
                  <c:v>2.1249248326316899E-2</c:v>
                </c:pt>
                <c:pt idx="728">
                  <c:v>2.1303018365326897E-2</c:v>
                </c:pt>
                <c:pt idx="729">
                  <c:v>2.1356255676161413E-2</c:v>
                </c:pt>
                <c:pt idx="730">
                  <c:v>2.1408960237174274E-2</c:v>
                </c:pt>
                <c:pt idx="731">
                  <c:v>2.1452600513428344E-2</c:v>
                </c:pt>
                <c:pt idx="732">
                  <c:v>2.1504309473379557E-2</c:v>
                </c:pt>
                <c:pt idx="733">
                  <c:v>2.1555485671691521E-2</c:v>
                </c:pt>
                <c:pt idx="734">
                  <c:v>2.1606129088008075E-2</c:v>
                </c:pt>
                <c:pt idx="735">
                  <c:v>2.166036696880316E-2</c:v>
                </c:pt>
                <c:pt idx="736">
                  <c:v>2.1712856539187086E-2</c:v>
                </c:pt>
                <c:pt idx="737">
                  <c:v>2.1754862444602452E-2</c:v>
                </c:pt>
                <c:pt idx="738">
                  <c:v>2.1803374533612363E-2</c:v>
                </c:pt>
                <c:pt idx="739">
                  <c:v>2.185135374202396E-2</c:v>
                </c:pt>
                <c:pt idx="740">
                  <c:v>2.1894845275157289E-2</c:v>
                </c:pt>
                <c:pt idx="741">
                  <c:v>2.1941793881707566E-2</c:v>
                </c:pt>
                <c:pt idx="742">
                  <c:v>2.1988209578726509E-2</c:v>
                </c:pt>
                <c:pt idx="743">
                  <c:v>2.2034092347954566E-2</c:v>
                </c:pt>
                <c:pt idx="744">
                  <c:v>2.2090873753797452E-2</c:v>
                </c:pt>
                <c:pt idx="745">
                  <c:v>2.2135584617227321E-2</c:v>
                </c:pt>
                <c:pt idx="746">
                  <c:v>2.2179762413949027E-2</c:v>
                </c:pt>
                <c:pt idx="747">
                  <c:v>2.2234491409106383E-2</c:v>
                </c:pt>
                <c:pt idx="748">
                  <c:v>2.2262852939386374E-2</c:v>
                </c:pt>
                <c:pt idx="749">
                  <c:v>2.2305466880036852E-2</c:v>
                </c:pt>
                <c:pt idx="750">
                  <c:v>2.2347547712625898E-2</c:v>
                </c:pt>
                <c:pt idx="751">
                  <c:v>2.2389095420226393E-2</c:v>
                </c:pt>
                <c:pt idx="752">
                  <c:v>2.2430109986127312E-2</c:v>
                </c:pt>
                <c:pt idx="753">
                  <c:v>2.2474079641478399E-2</c:v>
                </c:pt>
                <c:pt idx="754">
                  <c:v>2.2513992276018403E-2</c:v>
                </c:pt>
                <c:pt idx="755">
                  <c:v>2.2553371689969855E-2</c:v>
                </c:pt>
                <c:pt idx="756">
                  <c:v>2.2604466524764603E-2</c:v>
                </c:pt>
                <c:pt idx="757">
                  <c:v>2.263053079226773E-2</c:v>
                </c:pt>
                <c:pt idx="758">
                  <c:v>2.2668310449235778E-2</c:v>
                </c:pt>
                <c:pt idx="759">
                  <c:v>2.2705556822859383E-2</c:v>
                </c:pt>
                <c:pt idx="760">
                  <c:v>2.2742269897989796E-2</c:v>
                </c:pt>
                <c:pt idx="761">
                  <c:v>2.2778449655113064E-2</c:v>
                </c:pt>
                <c:pt idx="762">
                  <c:v>2.2814093746007562E-2</c:v>
                </c:pt>
                <c:pt idx="763">
                  <c:v>2.2849193711396543E-2</c:v>
                </c:pt>
                <c:pt idx="764">
                  <c:v>2.288374010166239E-2</c:v>
                </c:pt>
                <c:pt idx="765">
                  <c:v>2.2917723467080622E-2</c:v>
                </c:pt>
                <c:pt idx="766">
                  <c:v>2.2951134357845085E-2</c:v>
                </c:pt>
                <c:pt idx="767">
                  <c:v>2.2983963324072296E-2</c:v>
                </c:pt>
                <c:pt idx="768">
                  <c:v>2.3016200915823161E-2</c:v>
                </c:pt>
                <c:pt idx="769">
                  <c:v>2.3047837683109064E-2</c:v>
                </c:pt>
                <c:pt idx="770">
                  <c:v>2.3076028233048568E-2</c:v>
                </c:pt>
                <c:pt idx="771">
                  <c:v>2.3106479377495003E-2</c:v>
                </c:pt>
                <c:pt idx="772">
                  <c:v>2.3136301697229581E-2</c:v>
                </c:pt>
                <c:pt idx="773">
                  <c:v>2.3165485639297823E-2</c:v>
                </c:pt>
                <c:pt idx="774">
                  <c:v>2.3194021650768976E-2</c:v>
                </c:pt>
                <c:pt idx="775">
                  <c:v>2.3232322857374754E-2</c:v>
                </c:pt>
                <c:pt idx="776">
                  <c:v>2.3251690748706522E-2</c:v>
                </c:pt>
                <c:pt idx="777">
                  <c:v>2.3278210600913819E-2</c:v>
                </c:pt>
                <c:pt idx="778">
                  <c:v>2.3304072887757214E-2</c:v>
                </c:pt>
                <c:pt idx="779">
                  <c:v>2.3329277596274907E-2</c:v>
                </c:pt>
                <c:pt idx="780">
                  <c:v>2.3353824713832651E-2</c:v>
                </c:pt>
                <c:pt idx="781">
                  <c:v>2.3377714228126383E-2</c:v>
                </c:pt>
                <c:pt idx="782">
                  <c:v>2.3400946127182198E-2</c:v>
                </c:pt>
                <c:pt idx="783">
                  <c:v>2.3419018785355128E-2</c:v>
                </c:pt>
                <c:pt idx="784">
                  <c:v>2.3441026512958096E-2</c:v>
                </c:pt>
                <c:pt idx="785">
                  <c:v>2.3462376675682073E-2</c:v>
                </c:pt>
                <c:pt idx="786">
                  <c:v>2.3483069263059875E-2</c:v>
                </c:pt>
                <c:pt idx="787">
                  <c:v>2.3503104264944952E-2</c:v>
                </c:pt>
                <c:pt idx="788">
                  <c:v>2.3522481671511386E-2</c:v>
                </c:pt>
                <c:pt idx="789">
                  <c:v>2.3541201473258333E-2</c:v>
                </c:pt>
                <c:pt idx="790">
                  <c:v>2.3559263661006469E-2</c:v>
                </c:pt>
                <c:pt idx="791">
                  <c:v>2.3576668225897102E-2</c:v>
                </c:pt>
                <c:pt idx="792">
                  <c:v>2.3591569347974642E-2</c:v>
                </c:pt>
                <c:pt idx="793">
                  <c:v>2.3607704562097646E-2</c:v>
                </c:pt>
                <c:pt idx="794">
                  <c:v>2.3623182171573963E-2</c:v>
                </c:pt>
                <c:pt idx="795">
                  <c:v>2.3638002168897679E-2</c:v>
                </c:pt>
                <c:pt idx="796">
                  <c:v>2.3657137192603289E-2</c:v>
                </c:pt>
                <c:pt idx="797">
                  <c:v>2.3670503650267467E-2</c:v>
                </c:pt>
                <c:pt idx="798">
                  <c:v>2.3683212345930255E-2</c:v>
                </c:pt>
                <c:pt idx="799">
                  <c:v>2.369978154990916E-2</c:v>
                </c:pt>
                <c:pt idx="800">
                  <c:v>2.3706656426094406E-2</c:v>
                </c:pt>
                <c:pt idx="801">
                  <c:v>2.3715969527100485E-2</c:v>
                </c:pt>
                <c:pt idx="802">
                  <c:v>2.3726093434346202E-2</c:v>
                </c:pt>
                <c:pt idx="803">
                  <c:v>2.373555959432164E-2</c:v>
                </c:pt>
                <c:pt idx="804">
                  <c:v>2.3744368002334294E-2</c:v>
                </c:pt>
                <c:pt idx="805">
                  <c:v>2.3753755385909264E-2</c:v>
                </c:pt>
                <c:pt idx="806">
                  <c:v>2.3761201783907476E-2</c:v>
                </c:pt>
                <c:pt idx="807">
                  <c:v>2.3771167391163667E-2</c:v>
                </c:pt>
                <c:pt idx="808">
                  <c:v>2.3774121154095919E-2</c:v>
                </c:pt>
                <c:pt idx="809">
                  <c:v>2.3779594119812193E-2</c:v>
                </c:pt>
                <c:pt idx="810">
                  <c:v>2.3784409268839523E-2</c:v>
                </c:pt>
                <c:pt idx="811">
                  <c:v>2.3788566598766794E-2</c:v>
                </c:pt>
                <c:pt idx="812">
                  <c:v>2.3792066107507844E-2</c:v>
                </c:pt>
                <c:pt idx="813">
                  <c:v>2.3794907793311032E-2</c:v>
                </c:pt>
                <c:pt idx="814">
                  <c:v>2.3797109135049493E-2</c:v>
                </c:pt>
                <c:pt idx="815">
                  <c:v>2.3798757533189219E-2</c:v>
                </c:pt>
                <c:pt idx="816">
                  <c:v>2.379995786891221E-2</c:v>
                </c:pt>
                <c:pt idx="817">
                  <c:v>2.3800815023708916E-2</c:v>
                </c:pt>
                <c:pt idx="818">
                  <c:v>2.3801433879272232E-2</c:v>
                </c:pt>
                <c:pt idx="819">
                  <c:v>2.3801919317419304E-2</c:v>
                </c:pt>
                <c:pt idx="820">
                  <c:v>2.3802376220041995E-2</c:v>
                </c:pt>
                <c:pt idx="821">
                  <c:v>2.3802909469087787E-2</c:v>
                </c:pt>
                <c:pt idx="822">
                  <c:v>2.3802718929100766E-2</c:v>
                </c:pt>
                <c:pt idx="823">
                  <c:v>2.380367567645815E-2</c:v>
                </c:pt>
                <c:pt idx="824">
                  <c:v>2.3805019768719814E-2</c:v>
                </c:pt>
                <c:pt idx="825">
                  <c:v>2.3806857233919589E-2</c:v>
                </c:pt>
                <c:pt idx="826">
                  <c:v>2.3809294100448814E-2</c:v>
                </c:pt>
                <c:pt idx="827">
                  <c:v>2.3813574633398612E-2</c:v>
                </c:pt>
                <c:pt idx="828">
                  <c:v>2.3817478056587637E-2</c:v>
                </c:pt>
                <c:pt idx="829">
                  <c:v>2.3822102108346524E-2</c:v>
                </c:pt>
                <c:pt idx="830">
                  <c:v>2.3827446791214978E-2</c:v>
                </c:pt>
                <c:pt idx="831">
                  <c:v>2.3833512108126304E-2</c:v>
                </c:pt>
                <c:pt idx="832">
                  <c:v>2.3840298062410885E-2</c:v>
                </c:pt>
                <c:pt idx="833">
                  <c:v>2.3847804657796172E-2</c:v>
                </c:pt>
                <c:pt idx="834">
                  <c:v>2.3856031898404954E-2</c:v>
                </c:pt>
                <c:pt idx="835">
                  <c:v>2.3863415263166821E-2</c:v>
                </c:pt>
                <c:pt idx="836">
                  <c:v>2.3873031696711674E-2</c:v>
                </c:pt>
                <c:pt idx="837">
                  <c:v>2.388336874188755E-2</c:v>
                </c:pt>
                <c:pt idx="838">
                  <c:v>2.3894426404310182E-2</c:v>
                </c:pt>
                <c:pt idx="839">
                  <c:v>2.3906170465765264E-2</c:v>
                </c:pt>
                <c:pt idx="840">
                  <c:v>2.3920547991941578E-2</c:v>
                </c:pt>
                <c:pt idx="841">
                  <c:v>2.3933870492344664E-2</c:v>
                </c:pt>
                <c:pt idx="842">
                  <c:v>2.3947913637424875E-2</c:v>
                </c:pt>
                <c:pt idx="843">
                  <c:v>2.3962677434809506E-2</c:v>
                </c:pt>
                <c:pt idx="844">
                  <c:v>2.397612421444073E-2</c:v>
                </c:pt>
                <c:pt idx="845">
                  <c:v>2.3994367018965405E-2</c:v>
                </c:pt>
                <c:pt idx="846">
                  <c:v>2.4009149995515067E-2</c:v>
                </c:pt>
                <c:pt idx="847">
                  <c:v>2.4026743837473497E-2</c:v>
                </c:pt>
                <c:pt idx="848">
                  <c:v>2.4054081816221852E-2</c:v>
                </c:pt>
                <c:pt idx="849">
                  <c:v>2.4073327996585316E-2</c:v>
                </c:pt>
                <c:pt idx="850">
                  <c:v>2.4093295043275408E-2</c:v>
                </c:pt>
                <c:pt idx="851">
                  <c:v>2.4113982967495937E-2</c:v>
                </c:pt>
                <c:pt idx="852">
                  <c:v>2.4140448919302556E-2</c:v>
                </c:pt>
                <c:pt idx="853">
                  <c:v>2.4149953243504059E-2</c:v>
                </c:pt>
                <c:pt idx="854">
                  <c:v>2.417264483165453E-2</c:v>
                </c:pt>
                <c:pt idx="855">
                  <c:v>2.4196057194182326E-2</c:v>
                </c:pt>
                <c:pt idx="856">
                  <c:v>2.4220190343806944E-2</c:v>
                </c:pt>
                <c:pt idx="857">
                  <c:v>2.4258669351249786E-2</c:v>
                </c:pt>
                <c:pt idx="858">
                  <c:v>2.4288370392434543E-2</c:v>
                </c:pt>
                <c:pt idx="859">
                  <c:v>2.4319013000539381E-2</c:v>
                </c:pt>
                <c:pt idx="860">
                  <c:v>2.4342612873108592E-2</c:v>
                </c:pt>
                <c:pt idx="861">
                  <c:v>2.437081548132955E-2</c:v>
                </c:pt>
                <c:pt idx="862">
                  <c:v>2.4399739021991211E-2</c:v>
                </c:pt>
                <c:pt idx="863">
                  <c:v>2.4429383510979993E-2</c:v>
                </c:pt>
                <c:pt idx="864">
                  <c:v>2.4464145741739145E-2</c:v>
                </c:pt>
                <c:pt idx="865">
                  <c:v>2.4495333957114653E-2</c:v>
                </c:pt>
                <c:pt idx="866">
                  <c:v>2.4527200490350298E-2</c:v>
                </c:pt>
                <c:pt idx="867">
                  <c:v>2.4559655389095304E-2</c:v>
                </c:pt>
                <c:pt idx="868">
                  <c:v>2.4592605810637016E-2</c:v>
                </c:pt>
                <c:pt idx="869">
                  <c:v>2.462595890936858E-2</c:v>
                </c:pt>
                <c:pt idx="870">
                  <c:v>2.4659621836677723E-2</c:v>
                </c:pt>
                <c:pt idx="871">
                  <c:v>2.4693501740871152E-2</c:v>
                </c:pt>
                <c:pt idx="872">
                  <c:v>2.472750576710505E-2</c:v>
                </c:pt>
                <c:pt idx="873">
                  <c:v>2.4761541057348593E-2</c:v>
                </c:pt>
                <c:pt idx="874">
                  <c:v>2.4792279978396E-2</c:v>
                </c:pt>
                <c:pt idx="875">
                  <c:v>2.482612724081126E-2</c:v>
                </c:pt>
                <c:pt idx="876">
                  <c:v>2.4859729958154855E-2</c:v>
                </c:pt>
                <c:pt idx="877">
                  <c:v>2.4899277883499452E-2</c:v>
                </c:pt>
                <c:pt idx="878">
                  <c:v>2.4928936575031545E-2</c:v>
                </c:pt>
                <c:pt idx="879">
                  <c:v>2.4961241787303766E-2</c:v>
                </c:pt>
                <c:pt idx="880">
                  <c:v>2.4993047569899243E-2</c:v>
                </c:pt>
                <c:pt idx="881">
                  <c:v>2.5024353910712876E-2</c:v>
                </c:pt>
                <c:pt idx="882">
                  <c:v>2.5055160797828109E-2</c:v>
                </c:pt>
                <c:pt idx="883">
                  <c:v>2.5085468219522147E-2</c:v>
                </c:pt>
                <c:pt idx="884">
                  <c:v>2.5115276164257259E-2</c:v>
                </c:pt>
                <c:pt idx="885">
                  <c:v>2.5144584620687742E-2</c:v>
                </c:pt>
                <c:pt idx="886">
                  <c:v>2.5173393577661646E-2</c:v>
                </c:pt>
                <c:pt idx="887">
                  <c:v>2.5196084233000349E-2</c:v>
                </c:pt>
                <c:pt idx="888">
                  <c:v>2.5223961627863112E-2</c:v>
                </c:pt>
                <c:pt idx="889">
                  <c:v>2.5251339557984309E-2</c:v>
                </c:pt>
                <c:pt idx="890">
                  <c:v>2.5299796581672706E-2</c:v>
                </c:pt>
                <c:pt idx="891">
                  <c:v>2.5312042088544651E-2</c:v>
                </c:pt>
                <c:pt idx="892">
                  <c:v>2.5334132751172689E-2</c:v>
                </c:pt>
                <c:pt idx="893">
                  <c:v>2.535944136370194E-2</c:v>
                </c:pt>
                <c:pt idx="894">
                  <c:v>2.5384250461044644E-2</c:v>
                </c:pt>
                <c:pt idx="895">
                  <c:v>2.5408560033962857E-2</c:v>
                </c:pt>
                <c:pt idx="896">
                  <c:v>2.5429865670669363E-2</c:v>
                </c:pt>
                <c:pt idx="897">
                  <c:v>2.5453210205424976E-2</c:v>
                </c:pt>
                <c:pt idx="898">
                  <c:v>2.5476055223499088E-2</c:v>
                </c:pt>
                <c:pt idx="899">
                  <c:v>2.5498400716477753E-2</c:v>
                </c:pt>
                <c:pt idx="900">
                  <c:v>2.55273413648133E-2</c:v>
                </c:pt>
                <c:pt idx="901">
                  <c:v>2.5548585242169675E-2</c:v>
                </c:pt>
                <c:pt idx="902">
                  <c:v>2.5576190526336036E-2</c:v>
                </c:pt>
                <c:pt idx="903">
                  <c:v>2.5589574029291511E-2</c:v>
                </c:pt>
                <c:pt idx="904">
                  <c:v>2.5607094125860753E-2</c:v>
                </c:pt>
                <c:pt idx="905">
                  <c:v>2.5626373667956295E-2</c:v>
                </c:pt>
                <c:pt idx="906">
                  <c:v>2.5645153561337349E-2</c:v>
                </c:pt>
                <c:pt idx="907">
                  <c:v>2.5663433798935278E-2</c:v>
                </c:pt>
                <c:pt idx="908">
                  <c:v>2.568995120263216E-2</c:v>
                </c:pt>
                <c:pt idx="909">
                  <c:v>2.5700548105368724E-2</c:v>
                </c:pt>
                <c:pt idx="910">
                  <c:v>2.5717294835354083E-2</c:v>
                </c:pt>
                <c:pt idx="911">
                  <c:v>2.5733541847890284E-2</c:v>
                </c:pt>
                <c:pt idx="912">
                  <c:v>2.5749553675920585E-2</c:v>
                </c:pt>
                <c:pt idx="913">
                  <c:v>2.5764536696063538E-2</c:v>
                </c:pt>
                <c:pt idx="914">
                  <c:v>2.5779284519903075E-2</c:v>
                </c:pt>
                <c:pt idx="915">
                  <c:v>2.5793532602694937E-2</c:v>
                </c:pt>
                <c:pt idx="916">
                  <c:v>2.5807280939017376E-2</c:v>
                </c:pt>
                <c:pt idx="917">
                  <c:v>2.5820530859416498E-2</c:v>
                </c:pt>
                <c:pt idx="918">
                  <c:v>2.5833306131664402E-2</c:v>
                </c:pt>
                <c:pt idx="919">
                  <c:v>2.5845649141581158E-2</c:v>
                </c:pt>
                <c:pt idx="920">
                  <c:v>2.5857602839211159E-2</c:v>
                </c:pt>
                <c:pt idx="921">
                  <c:v>2.5869210175241759E-2</c:v>
                </c:pt>
                <c:pt idx="922">
                  <c:v>2.5880514100967655E-2</c:v>
                </c:pt>
                <c:pt idx="923">
                  <c:v>2.5891557568252645E-2</c:v>
                </c:pt>
                <c:pt idx="924">
                  <c:v>2.5902383529500975E-2</c:v>
                </c:pt>
                <c:pt idx="925">
                  <c:v>2.5913034937629524E-2</c:v>
                </c:pt>
                <c:pt idx="926">
                  <c:v>2.5921881837618052E-2</c:v>
                </c:pt>
                <c:pt idx="927">
                  <c:v>2.5932309871773796E-2</c:v>
                </c:pt>
                <c:pt idx="928">
                  <c:v>2.5942691003718196E-2</c:v>
                </c:pt>
                <c:pt idx="929">
                  <c:v>2.5959814044244883E-2</c:v>
                </c:pt>
                <c:pt idx="930">
                  <c:v>2.5965176503683039E-2</c:v>
                </c:pt>
                <c:pt idx="931">
                  <c:v>2.5975662322168719E-2</c:v>
                </c:pt>
                <c:pt idx="932">
                  <c:v>2.5986212906004873E-2</c:v>
                </c:pt>
                <c:pt idx="933">
                  <c:v>2.5996828255712822E-2</c:v>
                </c:pt>
                <c:pt idx="934">
                  <c:v>2.6007508371816496E-2</c:v>
                </c:pt>
                <c:pt idx="935">
                  <c:v>2.6018253254840695E-2</c:v>
                </c:pt>
                <c:pt idx="936">
                  <c:v>2.6029062905316293E-2</c:v>
                </c:pt>
                <c:pt idx="937">
                  <c:v>2.6039937323776782E-2</c:v>
                </c:pt>
                <c:pt idx="938">
                  <c:v>2.6050876510758249E-2</c:v>
                </c:pt>
                <c:pt idx="939">
                  <c:v>2.6058402238444245E-2</c:v>
                </c:pt>
                <c:pt idx="940">
                  <c:v>2.6069460115101251E-2</c:v>
                </c:pt>
                <c:pt idx="941">
                  <c:v>2.6080582751799142E-2</c:v>
                </c:pt>
                <c:pt idx="942">
                  <c:v>2.6101559782620562E-2</c:v>
                </c:pt>
                <c:pt idx="943">
                  <c:v>2.6113009095216539E-2</c:v>
                </c:pt>
                <c:pt idx="944">
                  <c:v>2.6115961217088923E-2</c:v>
                </c:pt>
                <c:pt idx="945">
                  <c:v>2.6127352151139149E-2</c:v>
                </c:pt>
                <c:pt idx="946">
                  <c:v>2.6138807848023582E-2</c:v>
                </c:pt>
                <c:pt idx="947">
                  <c:v>2.6150328308295556E-2</c:v>
                </c:pt>
                <c:pt idx="948">
                  <c:v>2.6160125546360016E-2</c:v>
                </c:pt>
                <c:pt idx="949">
                  <c:v>2.6171770065327959E-2</c:v>
                </c:pt>
                <c:pt idx="950">
                  <c:v>2.6183479344250606E-2</c:v>
                </c:pt>
                <c:pt idx="951">
                  <c:v>2.6198862815526292E-2</c:v>
                </c:pt>
                <c:pt idx="952">
                  <c:v>2.6216147776219858E-2</c:v>
                </c:pt>
                <c:pt idx="953">
                  <c:v>2.6228078797445313E-2</c:v>
                </c:pt>
                <c:pt idx="954">
                  <c:v>2.6240074606572617E-2</c:v>
                </c:pt>
                <c:pt idx="955">
                  <c:v>2.6252135204204698E-2</c:v>
                </c:pt>
                <c:pt idx="956">
                  <c:v>2.6265707830157484E-2</c:v>
                </c:pt>
                <c:pt idx="957">
                  <c:v>2.6270933034664802E-2</c:v>
                </c:pt>
                <c:pt idx="958">
                  <c:v>2.6283171446337895E-2</c:v>
                </c:pt>
                <c:pt idx="959">
                  <c:v>2.6295474633445236E-2</c:v>
                </c:pt>
                <c:pt idx="960">
                  <c:v>2.6315020549539214E-2</c:v>
                </c:pt>
                <c:pt idx="961">
                  <c:v>2.6325859382872144E-2</c:v>
                </c:pt>
                <c:pt idx="962">
                  <c:v>2.6340017405678987E-2</c:v>
                </c:pt>
                <c:pt idx="963">
                  <c:v>2.6350952445066213E-2</c:v>
                </c:pt>
                <c:pt idx="964">
                  <c:v>2.6363596166985026E-2</c:v>
                </c:pt>
                <c:pt idx="965">
                  <c:v>2.6376304683632567E-2</c:v>
                </c:pt>
                <c:pt idx="966">
                  <c:v>2.6389077995650878E-2</c:v>
                </c:pt>
                <c:pt idx="967">
                  <c:v>2.6403643265031449E-2</c:v>
                </c:pt>
                <c:pt idx="968">
                  <c:v>2.6414819008372226E-2</c:v>
                </c:pt>
                <c:pt idx="969">
                  <c:v>2.6427786710372946E-2</c:v>
                </c:pt>
                <c:pt idx="970">
                  <c:v>2.6440819210338109E-2</c:v>
                </c:pt>
                <c:pt idx="971">
                  <c:v>2.6453916508923356E-2</c:v>
                </c:pt>
                <c:pt idx="972">
                  <c:v>2.646707860678774E-2</c:v>
                </c:pt>
                <c:pt idx="973">
                  <c:v>2.6474521015303107E-2</c:v>
                </c:pt>
                <c:pt idx="974">
                  <c:v>2.6493597203015605E-2</c:v>
                </c:pt>
                <c:pt idx="975">
                  <c:v>2.6506953702714192E-2</c:v>
                </c:pt>
                <c:pt idx="976">
                  <c:v>2.6520375004365521E-2</c:v>
                </c:pt>
                <c:pt idx="977">
                  <c:v>2.6533861108645643E-2</c:v>
                </c:pt>
                <c:pt idx="978">
                  <c:v>2.6541543337965413E-2</c:v>
                </c:pt>
                <c:pt idx="979">
                  <c:v>2.6555142163977929E-2</c:v>
                </c:pt>
                <c:pt idx="980">
                  <c:v>2.6568805778689683E-2</c:v>
                </c:pt>
                <c:pt idx="981">
                  <c:v>2.6588453565695086E-2</c:v>
                </c:pt>
                <c:pt idx="982">
                  <c:v>2.660226369337906E-2</c:v>
                </c:pt>
                <c:pt idx="983">
                  <c:v>2.6616138627817892E-2</c:v>
                </c:pt>
                <c:pt idx="984">
                  <c:v>2.6630078369711443E-2</c:v>
                </c:pt>
                <c:pt idx="985">
                  <c:v>2.6644082919762137E-2</c:v>
                </c:pt>
                <c:pt idx="986">
                  <c:v>2.6652148067214217E-2</c:v>
                </c:pt>
                <c:pt idx="987">
                  <c:v>2.667228644715906E-2</c:v>
                </c:pt>
                <c:pt idx="988">
                  <c:v>2.6686485425926283E-2</c:v>
                </c:pt>
                <c:pt idx="989">
                  <c:v>2.6700749215693476E-2</c:v>
                </c:pt>
                <c:pt idx="990">
                  <c:v>2.6709005452524023E-2</c:v>
                </c:pt>
                <c:pt idx="991">
                  <c:v>2.6721353259932634E-2</c:v>
                </c:pt>
                <c:pt idx="992">
                  <c:v>2.6735788695281926E-2</c:v>
                </c:pt>
                <c:pt idx="993">
                  <c:v>2.675028892281972E-2</c:v>
                </c:pt>
                <c:pt idx="994">
                  <c:v>2.6775254800838068E-2</c:v>
                </c:pt>
                <c:pt idx="995">
                  <c:v>2.6787872742249697E-2</c:v>
                </c:pt>
                <c:pt idx="996">
                  <c:v>2.6802555407725314E-2</c:v>
                </c:pt>
                <c:pt idx="997">
                  <c:v>2.6817348306745332E-2</c:v>
                </c:pt>
                <c:pt idx="998">
                  <c:v>2.6832206007256998E-2</c:v>
                </c:pt>
                <c:pt idx="999">
                  <c:v>2.6847128509984122E-2</c:v>
                </c:pt>
                <c:pt idx="1000">
                  <c:v>2.6862115815654918E-2</c:v>
                </c:pt>
                <c:pt idx="1001">
                  <c:v>2.6879256780766258E-2</c:v>
                </c:pt>
                <c:pt idx="1002">
                  <c:v>2.6892284838757049E-2</c:v>
                </c:pt>
                <c:pt idx="1003">
                  <c:v>2.6909566927922759E-2</c:v>
                </c:pt>
                <c:pt idx="1004">
                  <c:v>2.6924819218236976E-2</c:v>
                </c:pt>
                <c:pt idx="1005">
                  <c:v>2.694013632071118E-2</c:v>
                </c:pt>
                <c:pt idx="1006">
                  <c:v>2.6955518236100415E-2</c:v>
                </c:pt>
                <c:pt idx="1007">
                  <c:v>2.6973265102351648E-2</c:v>
                </c:pt>
                <c:pt idx="1008">
                  <c:v>2.6984347255400071E-2</c:v>
                </c:pt>
                <c:pt idx="1009">
                  <c:v>2.6999917820844533E-2</c:v>
                </c:pt>
                <c:pt idx="1010">
                  <c:v>2.7015553196687803E-2</c:v>
                </c:pt>
                <c:pt idx="1011">
                  <c:v>2.7031253383690584E-2</c:v>
                </c:pt>
                <c:pt idx="1012">
                  <c:v>2.7049170842357417E-2</c:v>
                </c:pt>
                <c:pt idx="1013">
                  <c:v>2.7067273993365237E-2</c:v>
                </c:pt>
                <c:pt idx="1014">
                  <c:v>2.7085461806168019E-2</c:v>
                </c:pt>
                <c:pt idx="1015">
                  <c:v>2.7099158225776052E-2</c:v>
                </c:pt>
                <c:pt idx="1016">
                  <c:v>2.7115197572724049E-2</c:v>
                </c:pt>
                <c:pt idx="1017">
                  <c:v>2.7131301741221043E-2</c:v>
                </c:pt>
                <c:pt idx="1018">
                  <c:v>2.714747073206205E-2</c:v>
                </c:pt>
                <c:pt idx="1019">
                  <c:v>2.7163704546042958E-2</c:v>
                </c:pt>
                <c:pt idx="1020">
                  <c:v>2.7182336845342048E-2</c:v>
                </c:pt>
                <c:pt idx="1021">
                  <c:v>2.7198705854975021E-2</c:v>
                </c:pt>
                <c:pt idx="1022">
                  <c:v>2.7215122596621118E-2</c:v>
                </c:pt>
                <c:pt idx="1023">
                  <c:v>2.7231572113891166E-2</c:v>
                </c:pt>
                <c:pt idx="1024">
                  <c:v>2.7248039450147504E-2</c:v>
                </c:pt>
                <c:pt idx="1025">
                  <c:v>2.7264509648503965E-2</c:v>
                </c:pt>
                <c:pt idx="1026">
                  <c:v>2.7280967751825015E-2</c:v>
                </c:pt>
                <c:pt idx="1027">
                  <c:v>2.7297398802723156E-2</c:v>
                </c:pt>
                <c:pt idx="1028">
                  <c:v>2.7313787843564127E-2</c:v>
                </c:pt>
                <c:pt idx="1029">
                  <c:v>2.7327934223501459E-2</c:v>
                </c:pt>
                <c:pt idx="1030">
                  <c:v>2.7344201536908981E-2</c:v>
                </c:pt>
                <c:pt idx="1031">
                  <c:v>2.7360382464884949E-2</c:v>
                </c:pt>
                <c:pt idx="1032">
                  <c:v>2.7376461885615232E-2</c:v>
                </c:pt>
                <c:pt idx="1033">
                  <c:v>2.7392424677048523E-2</c:v>
                </c:pt>
                <c:pt idx="1034">
                  <c:v>2.7412550510511145E-2</c:v>
                </c:pt>
                <c:pt idx="1035">
                  <c:v>2.7426098298646191E-2</c:v>
                </c:pt>
                <c:pt idx="1036">
                  <c:v>2.7441660121342741E-2</c:v>
                </c:pt>
                <c:pt idx="1037">
                  <c:v>2.7457090178347021E-2</c:v>
                </c:pt>
                <c:pt idx="1038">
                  <c:v>2.7472388468110703E-2</c:v>
                </c:pt>
                <c:pt idx="1039">
                  <c:v>2.7487554989099366E-2</c:v>
                </c:pt>
                <c:pt idx="1040">
                  <c:v>2.7502589739790747E-2</c:v>
                </c:pt>
                <c:pt idx="1041">
                  <c:v>2.7517492718675613E-2</c:v>
                </c:pt>
                <c:pt idx="1042">
                  <c:v>2.7530183475003425E-2</c:v>
                </c:pt>
                <c:pt idx="1043">
                  <c:v>2.7544831201801949E-2</c:v>
                </c:pt>
                <c:pt idx="1044">
                  <c:v>2.7559347161910604E-2</c:v>
                </c:pt>
                <c:pt idx="1045">
                  <c:v>2.7573731353892298E-2</c:v>
                </c:pt>
                <c:pt idx="1046">
                  <c:v>2.7587983776315213E-2</c:v>
                </c:pt>
                <c:pt idx="1047">
                  <c:v>2.7602104427766852E-2</c:v>
                </c:pt>
                <c:pt idx="1048">
                  <c:v>2.7616093306846137E-2</c:v>
                </c:pt>
                <c:pt idx="1049">
                  <c:v>2.7629950412162527E-2</c:v>
                </c:pt>
                <c:pt idx="1050">
                  <c:v>2.7643675742342184E-2</c:v>
                </c:pt>
                <c:pt idx="1051">
                  <c:v>2.7655263158743892E-2</c:v>
                </c:pt>
                <c:pt idx="1052">
                  <c:v>2.7668733315882044E-2</c:v>
                </c:pt>
                <c:pt idx="1053">
                  <c:v>2.7682071703526212E-2</c:v>
                </c:pt>
                <c:pt idx="1054">
                  <c:v>2.7695278320368111E-2</c:v>
                </c:pt>
                <c:pt idx="1055">
                  <c:v>2.7712297569997851E-2</c:v>
                </c:pt>
                <c:pt idx="1056">
                  <c:v>2.7725223799733134E-2</c:v>
                </c:pt>
                <c:pt idx="1057">
                  <c:v>2.7738018235322386E-2</c:v>
                </c:pt>
                <c:pt idx="1058">
                  <c:v>2.7750680875478811E-2</c:v>
                </c:pt>
                <c:pt idx="1059">
                  <c:v>2.7763211718932989E-2</c:v>
                </c:pt>
                <c:pt idx="1060">
                  <c:v>2.777368111832933E-2</c:v>
                </c:pt>
                <c:pt idx="1061">
                  <c:v>2.778595683495803E-2</c:v>
                </c:pt>
                <c:pt idx="1062">
                  <c:v>2.7799824849046331E-2</c:v>
                </c:pt>
                <c:pt idx="1063">
                  <c:v>2.7811818155722028E-2</c:v>
                </c:pt>
                <c:pt idx="1064">
                  <c:v>2.7825574159967656E-2</c:v>
                </c:pt>
                <c:pt idx="1065">
                  <c:v>2.7837295368017028E-2</c:v>
                </c:pt>
                <c:pt idx="1066">
                  <c:v>2.7848884770671104E-2</c:v>
                </c:pt>
                <c:pt idx="1067">
                  <c:v>2.7865701665354341E-2</c:v>
                </c:pt>
                <c:pt idx="1068">
                  <c:v>2.7871668155158826E-2</c:v>
                </c:pt>
                <c:pt idx="1069">
                  <c:v>2.7882862134703864E-2</c:v>
                </c:pt>
                <c:pt idx="1070">
                  <c:v>2.7893924304282482E-2</c:v>
                </c:pt>
                <c:pt idx="1071">
                  <c:v>2.7904854662784261E-2</c:v>
                </c:pt>
                <c:pt idx="1072">
                  <c:v>2.7915653209110956E-2</c:v>
                </c:pt>
                <c:pt idx="1073">
                  <c:v>2.792631994217995E-2</c:v>
                </c:pt>
                <c:pt idx="1074">
                  <c:v>2.793685486091993E-2</c:v>
                </c:pt>
                <c:pt idx="1075">
                  <c:v>2.7947257964274341E-2</c:v>
                </c:pt>
                <c:pt idx="1076">
                  <c:v>2.795752925119881E-2</c:v>
                </c:pt>
                <c:pt idx="1077">
                  <c:v>2.7967668720663724E-2</c:v>
                </c:pt>
                <c:pt idx="1078">
                  <c:v>2.7977676371649024E-2</c:v>
                </c:pt>
                <c:pt idx="1079">
                  <c:v>2.798755220315291E-2</c:v>
                </c:pt>
                <c:pt idx="1080">
                  <c:v>2.7997296214183127E-2</c:v>
                </c:pt>
                <c:pt idx="1081">
                  <c:v>2.8005159950198831E-2</c:v>
                </c:pt>
                <c:pt idx="1082">
                  <c:v>2.8014648997603368E-2</c:v>
                </c:pt>
                <c:pt idx="1083">
                  <c:v>2.8024006231684568E-2</c:v>
                </c:pt>
                <c:pt idx="1084">
                  <c:v>2.8033231651513949E-2</c:v>
                </c:pt>
                <c:pt idx="1085">
                  <c:v>2.8042325256173561E-2</c:v>
                </c:pt>
                <c:pt idx="1086">
                  <c:v>2.8052991996582229E-2</c:v>
                </c:pt>
                <c:pt idx="1087">
                  <c:v>2.8061813237657215E-2</c:v>
                </c:pt>
                <c:pt idx="1088">
                  <c:v>2.8070502650806236E-2</c:v>
                </c:pt>
                <c:pt idx="1089">
                  <c:v>2.8079060235156078E-2</c:v>
                </c:pt>
                <c:pt idx="1090">
                  <c:v>2.8087485989850031E-2</c:v>
                </c:pt>
                <c:pt idx="1091">
                  <c:v>2.8095779914040945E-2</c:v>
                </c:pt>
                <c:pt idx="1092">
                  <c:v>2.8103942006896449E-2</c:v>
                </c:pt>
                <c:pt idx="1093">
                  <c:v>2.8111972267597193E-2</c:v>
                </c:pt>
                <c:pt idx="1094">
                  <c:v>2.8116600290558402E-2</c:v>
                </c:pt>
                <c:pt idx="1095">
                  <c:v>2.8124384506140743E-2</c:v>
                </c:pt>
                <c:pt idx="1096">
                  <c:v>2.8132036907495106E-2</c:v>
                </c:pt>
                <c:pt idx="1097">
                  <c:v>2.8139557493872758E-2</c:v>
                </c:pt>
                <c:pt idx="1098">
                  <c:v>2.8147991042689391E-2</c:v>
                </c:pt>
                <c:pt idx="1099">
                  <c:v>2.8155229165930606E-2</c:v>
                </c:pt>
                <c:pt idx="1100">
                  <c:v>2.8162335471915156E-2</c:v>
                </c:pt>
                <c:pt idx="1101">
                  <c:v>2.8169309959947597E-2</c:v>
                </c:pt>
                <c:pt idx="1102">
                  <c:v>2.8176152629342255E-2</c:v>
                </c:pt>
                <c:pt idx="1103">
                  <c:v>2.8181308058497691E-2</c:v>
                </c:pt>
                <c:pt idx="1104">
                  <c:v>2.8187895990376816E-2</c:v>
                </c:pt>
                <c:pt idx="1105">
                  <c:v>2.8194352111856037E-2</c:v>
                </c:pt>
                <c:pt idx="1106">
                  <c:v>2.8200676422307551E-2</c:v>
                </c:pt>
                <c:pt idx="1107">
                  <c:v>2.8214459939469839E-2</c:v>
                </c:pt>
                <c:pt idx="1108">
                  <c:v>2.8220475898547974E-2</c:v>
                </c:pt>
                <c:pt idx="1109">
                  <c:v>2.8226359993594921E-2</c:v>
                </c:pt>
                <c:pt idx="1110">
                  <c:v>2.8232112224005214E-2</c:v>
                </c:pt>
                <c:pt idx="1111">
                  <c:v>2.8236455685534356E-2</c:v>
                </c:pt>
                <c:pt idx="1112">
                  <c:v>2.8238803312354333E-2</c:v>
                </c:pt>
                <c:pt idx="1113">
                  <c:v>2.8244186939925326E-2</c:v>
                </c:pt>
                <c:pt idx="1114">
                  <c:v>2.8249438731385943E-2</c:v>
                </c:pt>
                <c:pt idx="1115">
                  <c:v>2.8254558686215275E-2</c:v>
                </c:pt>
                <c:pt idx="1116">
                  <c:v>2.8263856417044517E-2</c:v>
                </c:pt>
                <c:pt idx="1117">
                  <c:v>2.8267868399208085E-2</c:v>
                </c:pt>
                <c:pt idx="1118">
                  <c:v>2.8273382872479234E-2</c:v>
                </c:pt>
                <c:pt idx="1119">
                  <c:v>2.8277948296251031E-2</c:v>
                </c:pt>
                <c:pt idx="1120">
                  <c:v>2.8282381850098483E-2</c:v>
                </c:pt>
                <c:pt idx="1121">
                  <c:v>2.8286683533565789E-2</c:v>
                </c:pt>
                <c:pt idx="1122">
                  <c:v>2.8290853346211599E-2</c:v>
                </c:pt>
                <c:pt idx="1123">
                  <c:v>2.8293843977447747E-2</c:v>
                </c:pt>
                <c:pt idx="1124">
                  <c:v>2.8294705551735196E-2</c:v>
                </c:pt>
                <c:pt idx="1125">
                  <c:v>2.8302571555014901E-2</c:v>
                </c:pt>
                <c:pt idx="1126">
                  <c:v>2.8306213880235905E-2</c:v>
                </c:pt>
                <c:pt idx="1127">
                  <c:v>2.8309724332631913E-2</c:v>
                </c:pt>
                <c:pt idx="1128">
                  <c:v>2.8313102911845758E-2</c:v>
                </c:pt>
                <c:pt idx="1129">
                  <c:v>2.8316349617528783E-2</c:v>
                </c:pt>
                <c:pt idx="1130">
                  <c:v>2.8319464449348488E-2</c:v>
                </c:pt>
                <c:pt idx="1131">
                  <c:v>2.8322447406985984E-2</c:v>
                </c:pt>
                <c:pt idx="1132">
                  <c:v>2.8325298490135126E-2</c:v>
                </c:pt>
                <c:pt idx="1133">
                  <c:v>2.8324173293208514E-2</c:v>
                </c:pt>
                <c:pt idx="1134">
                  <c:v>2.8326788270396266E-2</c:v>
                </c:pt>
                <c:pt idx="1135">
                  <c:v>2.8329271403274486E-2</c:v>
                </c:pt>
                <c:pt idx="1136">
                  <c:v>2.8331622691596333E-2</c:v>
                </c:pt>
                <c:pt idx="1137">
                  <c:v>2.8333842135127268E-2</c:v>
                </c:pt>
                <c:pt idx="1138">
                  <c:v>2.8339635609343564E-2</c:v>
                </c:pt>
                <c:pt idx="1139">
                  <c:v>2.8341563563643601E-2</c:v>
                </c:pt>
                <c:pt idx="1140">
                  <c:v>2.8343359641495154E-2</c:v>
                </c:pt>
                <c:pt idx="1141">
                  <c:v>2.8345023842714537E-2</c:v>
                </c:pt>
                <c:pt idx="1142">
                  <c:v>2.8346556167129975E-2</c:v>
                </c:pt>
                <c:pt idx="1143">
                  <c:v>2.8347956614584998E-2</c:v>
                </c:pt>
                <c:pt idx="1144">
                  <c:v>2.8349225184934192E-2</c:v>
                </c:pt>
                <c:pt idx="1145">
                  <c:v>2.8350361878050845E-2</c:v>
                </c:pt>
                <c:pt idx="1146">
                  <c:v>2.8346721545575271E-2</c:v>
                </c:pt>
                <c:pt idx="1147">
                  <c:v>2.8347631877428725E-2</c:v>
                </c:pt>
                <c:pt idx="1148">
                  <c:v>2.8348410373135735E-2</c:v>
                </c:pt>
                <c:pt idx="1149">
                  <c:v>2.8349057032622582E-2</c:v>
                </c:pt>
                <c:pt idx="1150">
                  <c:v>2.8349858870560851E-2</c:v>
                </c:pt>
                <c:pt idx="1151">
                  <c:v>2.835119029483868E-2</c:v>
                </c:pt>
                <c:pt idx="1152">
                  <c:v>2.8351375541670179E-2</c:v>
                </c:pt>
                <c:pt idx="1153">
                  <c:v>2.8352520957738003E-2</c:v>
                </c:pt>
                <c:pt idx="1154">
                  <c:v>2.8351350495075932E-2</c:v>
                </c:pt>
                <c:pt idx="1155">
                  <c:v>2.8351140201651939E-2</c:v>
                </c:pt>
                <c:pt idx="1156">
                  <c:v>2.835079806150188E-2</c:v>
                </c:pt>
                <c:pt idx="1157">
                  <c:v>2.8350324074658258E-2</c:v>
                </c:pt>
                <c:pt idx="1158">
                  <c:v>2.8349718241168512E-2</c:v>
                </c:pt>
                <c:pt idx="1159">
                  <c:v>2.8350015874809953E-2</c:v>
                </c:pt>
                <c:pt idx="1160">
                  <c:v>2.8349136861652038E-2</c:v>
                </c:pt>
                <c:pt idx="1161">
                  <c:v>2.8348125991732094E-2</c:v>
                </c:pt>
                <c:pt idx="1162">
                  <c:v>2.834698326515004E-2</c:v>
                </c:pt>
                <c:pt idx="1163">
                  <c:v>2.834471137658931E-2</c:v>
                </c:pt>
                <c:pt idx="1164">
                  <c:v>2.8343314464942735E-2</c:v>
                </c:pt>
                <c:pt idx="1165">
                  <c:v>2.8341785707346617E-2</c:v>
                </c:pt>
                <c:pt idx="1166">
                  <c:v>2.8339626429285645E-2</c:v>
                </c:pt>
                <c:pt idx="1167">
                  <c:v>2.8338332654923276E-2</c:v>
                </c:pt>
                <c:pt idx="1168">
                  <c:v>2.8337357923134437E-2</c:v>
                </c:pt>
                <c:pt idx="1169">
                  <c:v>2.8335292203879654E-2</c:v>
                </c:pt>
                <c:pt idx="1170">
                  <c:v>2.8333094629253035E-2</c:v>
                </c:pt>
                <c:pt idx="1171">
                  <c:v>2.8330765199472661E-2</c:v>
                </c:pt>
                <c:pt idx="1172">
                  <c:v>2.8327941539023724E-2</c:v>
                </c:pt>
                <c:pt idx="1173">
                  <c:v>2.8324945660274298E-2</c:v>
                </c:pt>
                <c:pt idx="1174">
                  <c:v>2.8322585733190114E-2</c:v>
                </c:pt>
                <c:pt idx="1175">
                  <c:v>2.8319288473377974E-2</c:v>
                </c:pt>
                <c:pt idx="1176">
                  <c:v>2.831626221254387E-2</c:v>
                </c:pt>
                <c:pt idx="1177">
                  <c:v>2.8313108071770957E-2</c:v>
                </c:pt>
                <c:pt idx="1178">
                  <c:v>2.8309834426841041E-2</c:v>
                </c:pt>
                <c:pt idx="1179">
                  <c:v>2.8306449922341773E-2</c:v>
                </c:pt>
                <c:pt idx="1180">
                  <c:v>2.8302963202839086E-2</c:v>
                </c:pt>
                <c:pt idx="1181">
                  <c:v>2.8299382912881536E-2</c:v>
                </c:pt>
                <c:pt idx="1182">
                  <c:v>2.8295717696988139E-2</c:v>
                </c:pt>
                <c:pt idx="1183">
                  <c:v>2.8291976199655317E-2</c:v>
                </c:pt>
                <c:pt idx="1184">
                  <c:v>2.8288167065348209E-2</c:v>
                </c:pt>
                <c:pt idx="1185">
                  <c:v>2.8283474935647986E-2</c:v>
                </c:pt>
                <c:pt idx="1186">
                  <c:v>2.8279558564843186E-2</c:v>
                </c:pt>
                <c:pt idx="1187">
                  <c:v>2.8275600235684234E-2</c:v>
                </c:pt>
                <c:pt idx="1188">
                  <c:v>2.827324529482712E-2</c:v>
                </c:pt>
                <c:pt idx="1189">
                  <c:v>2.8268409359800926E-2</c:v>
                </c:pt>
                <c:pt idx="1190">
                  <c:v>2.8264372907299988E-2</c:v>
                </c:pt>
                <c:pt idx="1191">
                  <c:v>2.8260318214250846E-2</c:v>
                </c:pt>
                <c:pt idx="1192">
                  <c:v>2.825624528070737E-2</c:v>
                </c:pt>
                <c:pt idx="1193">
                  <c:v>2.8252154106726043E-2</c:v>
                </c:pt>
                <c:pt idx="1194">
                  <c:v>2.8248044692365068E-2</c:v>
                </c:pt>
                <c:pt idx="1195">
                  <c:v>2.8243917037680064E-2</c:v>
                </c:pt>
                <c:pt idx="1196">
                  <c:v>2.8239771142728371E-2</c:v>
                </c:pt>
                <c:pt idx="1197">
                  <c:v>2.823560700756907E-2</c:v>
                </c:pt>
                <c:pt idx="1198">
                  <c:v>2.8229820278214746E-2</c:v>
                </c:pt>
                <c:pt idx="1199">
                  <c:v>2.8225622924501259E-2</c:v>
                </c:pt>
                <c:pt idx="1200">
                  <c:v>2.8221407333497872E-2</c:v>
                </c:pt>
                <c:pt idx="1201">
                  <c:v>2.821493434657726E-2</c:v>
                </c:pt>
                <c:pt idx="1202">
                  <c:v>2.8211703214339856E-2</c:v>
                </c:pt>
                <c:pt idx="1203">
                  <c:v>2.8208039605359225E-2</c:v>
                </c:pt>
                <c:pt idx="1204">
                  <c:v>2.8203748460479794E-2</c:v>
                </c:pt>
                <c:pt idx="1205">
                  <c:v>2.8199439078607114E-2</c:v>
                </c:pt>
                <c:pt idx="1206">
                  <c:v>2.8195111459799804E-2</c:v>
                </c:pt>
                <c:pt idx="1207">
                  <c:v>2.8189978215075993E-2</c:v>
                </c:pt>
                <c:pt idx="1208">
                  <c:v>2.8185615765605566E-2</c:v>
                </c:pt>
                <c:pt idx="1209">
                  <c:v>2.8181235080745312E-2</c:v>
                </c:pt>
                <c:pt idx="1210">
                  <c:v>2.8176836160551815E-2</c:v>
                </c:pt>
                <c:pt idx="1211">
                  <c:v>2.8174761081377672E-2</c:v>
                </c:pt>
                <c:pt idx="1212">
                  <c:v>2.8170320744560304E-2</c:v>
                </c:pt>
                <c:pt idx="1213">
                  <c:v>2.8168193294315216E-2</c:v>
                </c:pt>
                <c:pt idx="1214">
                  <c:v>2.8161385353254308E-2</c:v>
                </c:pt>
                <c:pt idx="1215">
                  <c:v>2.8156116327343227E-2</c:v>
                </c:pt>
                <c:pt idx="1216">
                  <c:v>2.8151604688303723E-2</c:v>
                </c:pt>
                <c:pt idx="1217">
                  <c:v>2.8147074811630399E-2</c:v>
                </c:pt>
                <c:pt idx="1218">
                  <c:v>2.8142526697382986E-2</c:v>
                </c:pt>
                <c:pt idx="1219">
                  <c:v>2.813960749187305E-2</c:v>
                </c:pt>
                <c:pt idx="1220">
                  <c:v>2.8134141442464358E-2</c:v>
                </c:pt>
                <c:pt idx="1221">
                  <c:v>2.8129536954699375E-2</c:v>
                </c:pt>
                <c:pt idx="1222">
                  <c:v>2.8125776241835845E-2</c:v>
                </c:pt>
                <c:pt idx="1223">
                  <c:v>2.8120273263201132E-2</c:v>
                </c:pt>
                <c:pt idx="1224">
                  <c:v>2.8115614059596464E-2</c:v>
                </c:pt>
                <c:pt idx="1225">
                  <c:v>2.8110936617506292E-2</c:v>
                </c:pt>
                <c:pt idx="1226">
                  <c:v>2.8106240936997519E-2</c:v>
                </c:pt>
                <c:pt idx="1227">
                  <c:v>2.8101527018133569E-2</c:v>
                </c:pt>
                <c:pt idx="1228">
                  <c:v>2.8096794860982221E-2</c:v>
                </c:pt>
                <c:pt idx="1229">
                  <c:v>2.8092044465606897E-2</c:v>
                </c:pt>
                <c:pt idx="1230">
                  <c:v>2.8087275832073631E-2</c:v>
                </c:pt>
                <c:pt idx="1231">
                  <c:v>2.8082488960451065E-2</c:v>
                </c:pt>
                <c:pt idx="1232">
                  <c:v>2.8077683850802629E-2</c:v>
                </c:pt>
                <c:pt idx="1233">
                  <c:v>2.8072860503197829E-2</c:v>
                </c:pt>
                <c:pt idx="1234">
                  <c:v>2.8068018917700097E-2</c:v>
                </c:pt>
                <c:pt idx="1235">
                  <c:v>2.8063159094381541E-2</c:v>
                </c:pt>
                <c:pt idx="1236">
                  <c:v>2.8058281033304728E-2</c:v>
                </c:pt>
                <c:pt idx="1237">
                  <c:v>2.8052647472519409E-2</c:v>
                </c:pt>
                <c:pt idx="1238">
                  <c:v>2.8047734620275704E-2</c:v>
                </c:pt>
                <c:pt idx="1239">
                  <c:v>2.8042803531824732E-2</c:v>
                </c:pt>
                <c:pt idx="1240">
                  <c:v>2.8040782290667036E-2</c:v>
                </c:pt>
                <c:pt idx="1241">
                  <c:v>2.803361716396309E-2</c:v>
                </c:pt>
                <c:pt idx="1242">
                  <c:v>2.8028629677781646E-2</c:v>
                </c:pt>
                <c:pt idx="1243">
                  <c:v>2.8023623954323298E-2</c:v>
                </c:pt>
                <c:pt idx="1244">
                  <c:v>2.8018599993659292E-2</c:v>
                </c:pt>
                <c:pt idx="1245">
                  <c:v>2.8013557795855661E-2</c:v>
                </c:pt>
                <c:pt idx="1246">
                  <c:v>2.8008497360987126E-2</c:v>
                </c:pt>
                <c:pt idx="1247">
                  <c:v>2.8003418689120593E-2</c:v>
                </c:pt>
                <c:pt idx="1248">
                  <c:v>2.7998321780326442E-2</c:v>
                </c:pt>
                <c:pt idx="1249">
                  <c:v>2.7993206634678521E-2</c:v>
                </c:pt>
                <c:pt idx="1250">
                  <c:v>2.7987357988677228E-2</c:v>
                </c:pt>
                <c:pt idx="1251">
                  <c:v>2.7982208071084196E-2</c:v>
                </c:pt>
                <c:pt idx="1252">
                  <c:v>2.7977039918182515E-2</c:v>
                </c:pt>
                <c:pt idx="1253">
                  <c:v>2.7968846739485343E-2</c:v>
                </c:pt>
                <c:pt idx="1254">
                  <c:v>2.7963666649091713E-2</c:v>
                </c:pt>
                <c:pt idx="1255">
                  <c:v>2.7960678437139546E-2</c:v>
                </c:pt>
                <c:pt idx="1256">
                  <c:v>2.795543473872077E-2</c:v>
                </c:pt>
                <c:pt idx="1257">
                  <c:v>2.7950172805362283E-2</c:v>
                </c:pt>
                <c:pt idx="1258">
                  <c:v>2.7944892637135239E-2</c:v>
                </c:pt>
                <c:pt idx="1259">
                  <c:v>2.7939594234113418E-2</c:v>
                </c:pt>
                <c:pt idx="1260">
                  <c:v>2.7933579525615038E-2</c:v>
                </c:pt>
                <c:pt idx="1261">
                  <c:v>2.7928246368045251E-2</c:v>
                </c:pt>
                <c:pt idx="1262">
                  <c:v>2.7925672768237184E-2</c:v>
                </c:pt>
                <c:pt idx="1263">
                  <c:v>2.7920296273008585E-2</c:v>
                </c:pt>
                <c:pt idx="1264">
                  <c:v>2.7914901539379408E-2</c:v>
                </c:pt>
                <c:pt idx="1265">
                  <c:v>2.7909488567427039E-2</c:v>
                </c:pt>
                <c:pt idx="1266">
                  <c:v>2.7899572709812737E-2</c:v>
                </c:pt>
                <c:pt idx="1267">
                  <c:v>2.7896550566083984E-2</c:v>
                </c:pt>
                <c:pt idx="1268">
                  <c:v>2.7891088053206788E-2</c:v>
                </c:pt>
                <c:pt idx="1269">
                  <c:v>2.7885607306273569E-2</c:v>
                </c:pt>
                <c:pt idx="1270">
                  <c:v>2.7880108325358994E-2</c:v>
                </c:pt>
                <c:pt idx="1271">
                  <c:v>2.7874591110539481E-2</c:v>
                </c:pt>
                <c:pt idx="1272">
                  <c:v>2.7867354278674969E-2</c:v>
                </c:pt>
                <c:pt idx="1273">
                  <c:v>2.7865528221389619E-2</c:v>
                </c:pt>
                <c:pt idx="1274">
                  <c:v>2.7859951108003187E-2</c:v>
                </c:pt>
                <c:pt idx="1275">
                  <c:v>2.7854355757071667E-2</c:v>
                </c:pt>
                <c:pt idx="1276">
                  <c:v>2.7848742168674986E-2</c:v>
                </c:pt>
                <c:pt idx="1277">
                  <c:v>2.784311034289309E-2</c:v>
                </c:pt>
                <c:pt idx="1278">
                  <c:v>2.7837460279803359E-2</c:v>
                </c:pt>
                <c:pt idx="1279">
                  <c:v>2.7828028749075279E-2</c:v>
                </c:pt>
                <c:pt idx="1280">
                  <c:v>2.7826105442030347E-2</c:v>
                </c:pt>
                <c:pt idx="1281">
                  <c:v>2.782040066750523E-2</c:v>
                </c:pt>
                <c:pt idx="1282">
                  <c:v>2.7814677655997981E-2</c:v>
                </c:pt>
                <c:pt idx="1283">
                  <c:v>2.7808936407586828E-2</c:v>
                </c:pt>
                <c:pt idx="1284">
                  <c:v>2.7801208067275519E-2</c:v>
                </c:pt>
                <c:pt idx="1285">
                  <c:v>2.779739920038447E-2</c:v>
                </c:pt>
                <c:pt idx="1286">
                  <c:v>2.7791603241755683E-2</c:v>
                </c:pt>
                <c:pt idx="1287">
                  <c:v>2.7785789046552094E-2</c:v>
                </c:pt>
                <c:pt idx="1288">
                  <c:v>2.7779956614855342E-2</c:v>
                </c:pt>
                <c:pt idx="1289">
                  <c:v>2.7772163333494373E-2</c:v>
                </c:pt>
                <c:pt idx="1290">
                  <c:v>2.7766299689148038E-2</c:v>
                </c:pt>
                <c:pt idx="1291">
                  <c:v>2.7760417812460352E-2</c:v>
                </c:pt>
                <c:pt idx="1292">
                  <c:v>2.7756444524800854E-2</c:v>
                </c:pt>
                <c:pt idx="1293">
                  <c:v>2.7750520911886629E-2</c:v>
                </c:pt>
                <c:pt idx="1294">
                  <c:v>2.7744579062980963E-2</c:v>
                </c:pt>
                <c:pt idx="1295">
                  <c:v>2.7738618978166346E-2</c:v>
                </c:pt>
                <c:pt idx="1296">
                  <c:v>2.7732640657528663E-2</c:v>
                </c:pt>
                <c:pt idx="1297">
                  <c:v>2.7726644101152102E-2</c:v>
                </c:pt>
                <c:pt idx="1298">
                  <c:v>2.7720629309121704E-2</c:v>
                </c:pt>
                <c:pt idx="1299">
                  <c:v>2.7714596281523358E-2</c:v>
                </c:pt>
                <c:pt idx="1300">
                  <c:v>2.7708545018442953E-2</c:v>
                </c:pt>
                <c:pt idx="1301">
                  <c:v>2.7702475519964673E-2</c:v>
                </c:pt>
                <c:pt idx="1302">
                  <c:v>2.7693888940967248E-2</c:v>
                </c:pt>
                <c:pt idx="1303">
                  <c:v>2.7687790052294936E-2</c:v>
                </c:pt>
                <c:pt idx="1304">
                  <c:v>2.7681672933637103E-2</c:v>
                </c:pt>
                <c:pt idx="1305">
                  <c:v>2.7673521412914508E-2</c:v>
                </c:pt>
                <c:pt idx="1306">
                  <c:v>2.7667358247615955E-2</c:v>
                </c:pt>
                <c:pt idx="1307">
                  <c:v>2.7661176851333208E-2</c:v>
                </c:pt>
                <c:pt idx="1308">
                  <c:v>2.765702216082655E-2</c:v>
                </c:pt>
                <c:pt idx="1309">
                  <c:v>2.7650813893498771E-2</c:v>
                </c:pt>
                <c:pt idx="1310">
                  <c:v>2.7644587396687292E-2</c:v>
                </c:pt>
                <c:pt idx="1311">
                  <c:v>2.7637733589200027E-2</c:v>
                </c:pt>
                <c:pt idx="1312">
                  <c:v>2.7631472414774361E-2</c:v>
                </c:pt>
                <c:pt idx="1313">
                  <c:v>2.7625193012399206E-2</c:v>
                </c:pt>
                <c:pt idx="1314">
                  <c:v>2.7618895382161685E-2</c:v>
                </c:pt>
                <c:pt idx="1315">
                  <c:v>2.7616189123878841E-2</c:v>
                </c:pt>
                <c:pt idx="1316">
                  <c:v>2.7609244854339614E-2</c:v>
                </c:pt>
                <c:pt idx="1317">
                  <c:v>2.7602883601397343E-2</c:v>
                </c:pt>
                <c:pt idx="1318">
                  <c:v>2.7596504114558124E-2</c:v>
                </c:pt>
                <c:pt idx="1319">
                  <c:v>2.7588323268907495E-2</c:v>
                </c:pt>
                <c:pt idx="1320">
                  <c:v>2.7581912690439431E-2</c:v>
                </c:pt>
                <c:pt idx="1321">
                  <c:v>2.7571802092650987E-2</c:v>
                </c:pt>
                <c:pt idx="1322">
                  <c:v>2.7569036844160139E-2</c:v>
                </c:pt>
                <c:pt idx="1323">
                  <c:v>2.7562571576526352E-2</c:v>
                </c:pt>
                <c:pt idx="1324">
                  <c:v>2.7557844286751849E-2</c:v>
                </c:pt>
                <c:pt idx="1325">
                  <c:v>2.7551337165175809E-2</c:v>
                </c:pt>
                <c:pt idx="1326">
                  <c:v>2.7544811810432453E-2</c:v>
                </c:pt>
                <c:pt idx="1327">
                  <c:v>2.7534299925674806E-2</c:v>
                </c:pt>
                <c:pt idx="1328">
                  <c:v>2.753170640181796E-2</c:v>
                </c:pt>
                <c:pt idx="1329">
                  <c:v>2.7525126348130508E-2</c:v>
                </c:pt>
                <c:pt idx="1330">
                  <c:v>2.7518528061649908E-2</c:v>
                </c:pt>
                <c:pt idx="1331">
                  <c:v>2.7507926426593651E-2</c:v>
                </c:pt>
                <c:pt idx="1332">
                  <c:v>2.7505276790679177E-2</c:v>
                </c:pt>
                <c:pt idx="1333">
                  <c:v>2.7498623806376136E-2</c:v>
                </c:pt>
                <c:pt idx="1334">
                  <c:v>2.7491952589654114E-2</c:v>
                </c:pt>
                <c:pt idx="1335">
                  <c:v>2.7485263140608358E-2</c:v>
                </c:pt>
                <c:pt idx="1336">
                  <c:v>2.7478555459334107E-2</c:v>
                </c:pt>
                <c:pt idx="1337">
                  <c:v>2.7471829545924056E-2</c:v>
                </c:pt>
                <c:pt idx="1338">
                  <c:v>2.7465085400475996E-2</c:v>
                </c:pt>
                <c:pt idx="1339">
                  <c:v>2.7458323023085172E-2</c:v>
                </c:pt>
                <c:pt idx="1340">
                  <c:v>2.7451542413846831E-2</c:v>
                </c:pt>
                <c:pt idx="1341">
                  <c:v>2.7443079594235049E-2</c:v>
                </c:pt>
                <c:pt idx="1342">
                  <c:v>2.7436267980721813E-2</c:v>
                </c:pt>
                <c:pt idx="1343">
                  <c:v>2.7429438139398108E-2</c:v>
                </c:pt>
                <c:pt idx="1344">
                  <c:v>2.7422590070358802E-2</c:v>
                </c:pt>
                <c:pt idx="1345">
                  <c:v>2.7415723773697009E-2</c:v>
                </c:pt>
                <c:pt idx="1346">
                  <c:v>2.7410475895034918E-2</c:v>
                </c:pt>
                <c:pt idx="1347">
                  <c:v>2.74035676655741E-2</c:v>
                </c:pt>
                <c:pt idx="1348">
                  <c:v>2.7396641205043863E-2</c:v>
                </c:pt>
                <c:pt idx="1349">
                  <c:v>2.7389696513541149E-2</c:v>
                </c:pt>
                <c:pt idx="1350">
                  <c:v>2.7382733591165453E-2</c:v>
                </c:pt>
                <c:pt idx="1351">
                  <c:v>2.7375752438014569E-2</c:v>
                </c:pt>
                <c:pt idx="1352">
                  <c:v>2.736875305418799E-2</c:v>
                </c:pt>
                <c:pt idx="1353">
                  <c:v>2.7361735439784367E-2</c:v>
                </c:pt>
                <c:pt idx="1354">
                  <c:v>2.735257567372873E-2</c:v>
                </c:pt>
                <c:pt idx="1355">
                  <c:v>2.7345528941505215E-2</c:v>
                </c:pt>
                <c:pt idx="1356">
                  <c:v>2.7338463983944905E-2</c:v>
                </c:pt>
                <c:pt idx="1357">
                  <c:v>2.7331380801146388E-2</c:v>
                </c:pt>
                <c:pt idx="1358">
                  <c:v>2.732480324672076E-2</c:v>
                </c:pt>
                <c:pt idx="1359">
                  <c:v>2.7315145208548015E-2</c:v>
                </c:pt>
                <c:pt idx="1360">
                  <c:v>2.7310021902273718E-2</c:v>
                </c:pt>
                <c:pt idx="1361">
                  <c:v>2.7302865819478939E-2</c:v>
                </c:pt>
                <c:pt idx="1362">
                  <c:v>2.7295691511929121E-2</c:v>
                </c:pt>
                <c:pt idx="1363">
                  <c:v>2.7287984190201727E-2</c:v>
                </c:pt>
                <c:pt idx="1364">
                  <c:v>2.7280775279725524E-2</c:v>
                </c:pt>
                <c:pt idx="1365">
                  <c:v>2.7273548146013366E-2</c:v>
                </c:pt>
                <c:pt idx="1366">
                  <c:v>2.7266302789160458E-2</c:v>
                </c:pt>
                <c:pt idx="1367">
                  <c:v>2.7261574683829632E-2</c:v>
                </c:pt>
                <c:pt idx="1368">
                  <c:v>2.7254283622870395E-2</c:v>
                </c:pt>
                <c:pt idx="1369">
                  <c:v>2.7246974332958345E-2</c:v>
                </c:pt>
                <c:pt idx="1370">
                  <c:v>2.7239646814197226E-2</c:v>
                </c:pt>
                <c:pt idx="1371">
                  <c:v>2.723080247913864E-2</c:v>
                </c:pt>
                <c:pt idx="1372">
                  <c:v>2.7219231087105947E-2</c:v>
                </c:pt>
                <c:pt idx="1373">
                  <c:v>2.7216067442257439E-2</c:v>
                </c:pt>
                <c:pt idx="1374">
                  <c:v>2.720867258658809E-2</c:v>
                </c:pt>
                <c:pt idx="1375">
                  <c:v>2.7202735791305447E-2</c:v>
                </c:pt>
                <c:pt idx="1376">
                  <c:v>2.7195298901643055E-2</c:v>
                </c:pt>
                <c:pt idx="1377">
                  <c:v>2.7187843783863776E-2</c:v>
                </c:pt>
                <c:pt idx="1378">
                  <c:v>2.7176190734288907E-2</c:v>
                </c:pt>
                <c:pt idx="1379">
                  <c:v>2.7172878864382296E-2</c:v>
                </c:pt>
                <c:pt idx="1380">
                  <c:v>2.7165369062891839E-2</c:v>
                </c:pt>
                <c:pt idx="1381">
                  <c:v>2.715784103370969E-2</c:v>
                </c:pt>
                <c:pt idx="1382">
                  <c:v>2.7150294776942988E-2</c:v>
                </c:pt>
                <c:pt idx="1383">
                  <c:v>2.713853021219674E-2</c:v>
                </c:pt>
                <c:pt idx="1384">
                  <c:v>2.7133721689119861E-2</c:v>
                </c:pt>
                <c:pt idx="1385">
                  <c:v>2.7127546642207082E-2</c:v>
                </c:pt>
                <c:pt idx="1386">
                  <c:v>2.7119927476175375E-2</c:v>
                </c:pt>
                <c:pt idx="1387">
                  <c:v>2.7112290083095708E-2</c:v>
                </c:pt>
                <c:pt idx="1388">
                  <c:v>2.710463446307949E-2</c:v>
                </c:pt>
                <c:pt idx="1389">
                  <c:v>2.7096960616232159E-2</c:v>
                </c:pt>
                <c:pt idx="1390">
                  <c:v>2.7089268542665124E-2</c:v>
                </c:pt>
                <c:pt idx="1391">
                  <c:v>2.7081558242484677E-2</c:v>
                </c:pt>
                <c:pt idx="1392">
                  <c:v>2.707382971580307E-2</c:v>
                </c:pt>
                <c:pt idx="1393">
                  <c:v>2.7064707756074127E-2</c:v>
                </c:pt>
                <c:pt idx="1394">
                  <c:v>2.7056948426343302E-2</c:v>
                </c:pt>
                <c:pt idx="1395">
                  <c:v>2.7049170874010146E-2</c:v>
                </c:pt>
                <c:pt idx="1396">
                  <c:v>2.7041375099183588E-2</c:v>
                </c:pt>
                <c:pt idx="1397">
                  <c:v>2.7033561101969913E-2</c:v>
                </c:pt>
                <c:pt idx="1398">
                  <c:v>2.70270758053161E-2</c:v>
                </c:pt>
                <c:pt idx="1399">
                  <c:v>2.7019219696200514E-2</c:v>
                </c:pt>
                <c:pt idx="1400">
                  <c:v>2.701134536146732E-2</c:v>
                </c:pt>
                <c:pt idx="1401">
                  <c:v>2.7003452801227911E-2</c:v>
                </c:pt>
                <c:pt idx="1402">
                  <c:v>2.6995542015592844E-2</c:v>
                </c:pt>
                <c:pt idx="1403">
                  <c:v>2.6987613004676919E-2</c:v>
                </c:pt>
                <c:pt idx="1404">
                  <c:v>2.6979665768589831E-2</c:v>
                </c:pt>
                <c:pt idx="1405">
                  <c:v>2.6971700307445539E-2</c:v>
                </c:pt>
                <c:pt idx="1406">
                  <c:v>2.6961980990579448E-2</c:v>
                </c:pt>
                <c:pt idx="1407">
                  <c:v>2.69539866736066E-2</c:v>
                </c:pt>
                <c:pt idx="1408">
                  <c:v>2.6945974136615369E-2</c:v>
                </c:pt>
                <c:pt idx="1409">
                  <c:v>2.6937943379715001E-2</c:v>
                </c:pt>
                <c:pt idx="1410">
                  <c:v>2.6930320950146365E-2</c:v>
                </c:pt>
                <c:pt idx="1411">
                  <c:v>2.6921827206623838E-2</c:v>
                </c:pt>
                <c:pt idx="1412">
                  <c:v>2.6913741790652423E-2</c:v>
                </c:pt>
                <c:pt idx="1413">
                  <c:v>2.6905638155210632E-2</c:v>
                </c:pt>
                <c:pt idx="1414">
                  <c:v>2.6897516300405044E-2</c:v>
                </c:pt>
                <c:pt idx="1415">
                  <c:v>2.6888959043915958E-2</c:v>
                </c:pt>
                <c:pt idx="1416">
                  <c:v>2.6880802659204957E-2</c:v>
                </c:pt>
                <c:pt idx="1417">
                  <c:v>2.687262805662988E-2</c:v>
                </c:pt>
                <c:pt idx="1418">
                  <c:v>2.686443523629941E-2</c:v>
                </c:pt>
                <c:pt idx="1419">
                  <c:v>2.6858270284182889E-2</c:v>
                </c:pt>
                <c:pt idx="1420">
                  <c:v>2.6850031460886107E-2</c:v>
                </c:pt>
                <c:pt idx="1421">
                  <c:v>2.6841774414370644E-2</c:v>
                </c:pt>
                <c:pt idx="1422">
                  <c:v>2.6827957970899315E-2</c:v>
                </c:pt>
                <c:pt idx="1423">
                  <c:v>2.6824001473242182E-2</c:v>
                </c:pt>
                <c:pt idx="1424">
                  <c:v>2.6815695512961299E-2</c:v>
                </c:pt>
                <c:pt idx="1425">
                  <c:v>2.6807371333390603E-2</c:v>
                </c:pt>
                <c:pt idx="1426">
                  <c:v>2.6799028934648684E-2</c:v>
                </c:pt>
                <c:pt idx="1427">
                  <c:v>2.6790668316846216E-2</c:v>
                </c:pt>
                <c:pt idx="1428">
                  <c:v>2.6779084102049058E-2</c:v>
                </c:pt>
                <c:pt idx="1429">
                  <c:v>2.6775062020500239E-2</c:v>
                </c:pt>
                <c:pt idx="1430">
                  <c:v>2.6766640970323063E-2</c:v>
                </c:pt>
                <c:pt idx="1431">
                  <c:v>2.6758201698109243E-2</c:v>
                </c:pt>
                <c:pt idx="1432">
                  <c:v>2.674974420397953E-2</c:v>
                </c:pt>
                <c:pt idx="1433">
                  <c:v>2.6741268488055529E-2</c:v>
                </c:pt>
                <c:pt idx="1434">
                  <c:v>2.6732774550453746E-2</c:v>
                </c:pt>
                <c:pt idx="1435">
                  <c:v>2.6719853973840028E-2</c:v>
                </c:pt>
                <c:pt idx="1436">
                  <c:v>2.6714602917998008E-2</c:v>
                </c:pt>
                <c:pt idx="1437">
                  <c:v>2.6707183679189114E-2</c:v>
                </c:pt>
                <c:pt idx="1438">
                  <c:v>2.6698617914101243E-2</c:v>
                </c:pt>
                <c:pt idx="1439">
                  <c:v>2.6690035279308591E-2</c:v>
                </c:pt>
                <c:pt idx="1440">
                  <c:v>2.6681436331370212E-2</c:v>
                </c:pt>
                <c:pt idx="1441">
                  <c:v>2.6672821626839208E-2</c:v>
                </c:pt>
                <c:pt idx="1442">
                  <c:v>2.6664191722263572E-2</c:v>
                </c:pt>
                <c:pt idx="1443">
                  <c:v>2.6655547174187062E-2</c:v>
                </c:pt>
                <c:pt idx="1444">
                  <c:v>2.6646888539150013E-2</c:v>
                </c:pt>
                <c:pt idx="1445">
                  <c:v>2.6637131690177448E-2</c:v>
                </c:pt>
                <c:pt idx="1446">
                  <c:v>2.6628450887464308E-2</c:v>
                </c:pt>
                <c:pt idx="1447">
                  <c:v>2.661975761446175E-2</c:v>
                </c:pt>
                <c:pt idx="1448">
                  <c:v>2.6611052445905642E-2</c:v>
                </c:pt>
                <c:pt idx="1449">
                  <c:v>2.6602335956523056E-2</c:v>
                </c:pt>
                <c:pt idx="1450">
                  <c:v>2.6594671975579975E-2</c:v>
                </c:pt>
                <c:pt idx="1451">
                  <c:v>2.6585929665328936E-2</c:v>
                </c:pt>
                <c:pt idx="1452">
                  <c:v>2.6577176607396003E-2</c:v>
                </c:pt>
                <c:pt idx="1453">
                  <c:v>2.6568412801854312E-2</c:v>
                </c:pt>
                <c:pt idx="1454">
                  <c:v>2.6559638248777842E-2</c:v>
                </c:pt>
                <c:pt idx="1455">
                  <c:v>2.6550852948238026E-2</c:v>
                </c:pt>
                <c:pt idx="1456">
                  <c:v>2.654205690030885E-2</c:v>
                </c:pt>
                <c:pt idx="1457">
                  <c:v>2.6533250105065995E-2</c:v>
                </c:pt>
                <c:pt idx="1458">
                  <c:v>2.6523403124137642E-2</c:v>
                </c:pt>
                <c:pt idx="1459">
                  <c:v>2.6514579081179344E-2</c:v>
                </c:pt>
                <c:pt idx="1460">
                  <c:v>2.650574429283141E-2</c:v>
                </c:pt>
                <c:pt idx="1461">
                  <c:v>2.6496898759167633E-2</c:v>
                </c:pt>
                <c:pt idx="1462">
                  <c:v>2.6481709988069636E-2</c:v>
                </c:pt>
                <c:pt idx="1463">
                  <c:v>2.6475372013676415E-2</c:v>
                </c:pt>
                <c:pt idx="1464">
                  <c:v>2.6466823794652556E-2</c:v>
                </c:pt>
                <c:pt idx="1465">
                  <c:v>2.6457596520266906E-2</c:v>
                </c:pt>
                <c:pt idx="1466">
                  <c:v>2.6448692656136516E-2</c:v>
                </c:pt>
                <c:pt idx="1467">
                  <c:v>2.6439778047150572E-2</c:v>
                </c:pt>
                <c:pt idx="1468">
                  <c:v>2.6430852693383741E-2</c:v>
                </c:pt>
                <c:pt idx="1469">
                  <c:v>2.6421916594906291E-2</c:v>
                </c:pt>
                <c:pt idx="1470">
                  <c:v>2.641296975179289E-2</c:v>
                </c:pt>
                <c:pt idx="1471">
                  <c:v>2.6404336373959961E-2</c:v>
                </c:pt>
                <c:pt idx="1472">
                  <c:v>2.6395366618785693E-2</c:v>
                </c:pt>
                <c:pt idx="1473">
                  <c:v>2.6386386118634343E-2</c:v>
                </c:pt>
                <c:pt idx="1474">
                  <c:v>2.6377394873578899E-2</c:v>
                </c:pt>
                <c:pt idx="1475">
                  <c:v>2.6368074369199794E-2</c:v>
                </c:pt>
                <c:pt idx="1476">
                  <c:v>2.6359063059786844E-2</c:v>
                </c:pt>
                <c:pt idx="1477">
                  <c:v>2.6347461303261693E-2</c:v>
                </c:pt>
                <c:pt idx="1478">
                  <c:v>2.6341008208650055E-2</c:v>
                </c:pt>
                <c:pt idx="1479">
                  <c:v>2.6331964667071158E-2</c:v>
                </c:pt>
                <c:pt idx="1480">
                  <c:v>2.6321927214029105E-2</c:v>
                </c:pt>
                <c:pt idx="1481">
                  <c:v>2.6312859221809381E-2</c:v>
                </c:pt>
                <c:pt idx="1482">
                  <c:v>2.6303780485287691E-2</c:v>
                </c:pt>
                <c:pt idx="1483">
                  <c:v>2.629469100453875E-2</c:v>
                </c:pt>
                <c:pt idx="1484">
                  <c:v>2.6284289870440399E-2</c:v>
                </c:pt>
                <c:pt idx="1485">
                  <c:v>2.6276479810658893E-2</c:v>
                </c:pt>
                <c:pt idx="1486">
                  <c:v>2.6267358097676548E-2</c:v>
                </c:pt>
                <c:pt idx="1487">
                  <c:v>2.6256920127013094E-2</c:v>
                </c:pt>
                <c:pt idx="1488">
                  <c:v>2.6247775391418239E-2</c:v>
                </c:pt>
                <c:pt idx="1489">
                  <c:v>2.6238619912054902E-2</c:v>
                </c:pt>
                <c:pt idx="1490">
                  <c:v>2.6229453688997803E-2</c:v>
                </c:pt>
                <c:pt idx="1491">
                  <c:v>2.6220276722325141E-2</c:v>
                </c:pt>
                <c:pt idx="1492">
                  <c:v>2.6211089012106427E-2</c:v>
                </c:pt>
                <c:pt idx="1493">
                  <c:v>2.620189055842333E-2</c:v>
                </c:pt>
                <c:pt idx="1494">
                  <c:v>2.6192681361345369E-2</c:v>
                </c:pt>
                <c:pt idx="1495">
                  <c:v>2.6183461420951605E-2</c:v>
                </c:pt>
                <c:pt idx="1496">
                  <c:v>2.6174230737317627E-2</c:v>
                </c:pt>
                <c:pt idx="1497">
                  <c:v>2.616470268845553E-2</c:v>
                </c:pt>
                <c:pt idx="1498">
                  <c:v>2.6155451955955509E-2</c:v>
                </c:pt>
                <c:pt idx="1499">
                  <c:v>2.6146190480977809E-2</c:v>
                </c:pt>
                <c:pt idx="1500">
                  <c:v>2.6138328568948987E-2</c:v>
                </c:pt>
                <c:pt idx="1501">
                  <c:v>2.6128196918749506E-2</c:v>
                </c:pt>
                <c:pt idx="1502">
                  <c:v>2.6118621031684244E-2</c:v>
                </c:pt>
                <c:pt idx="1503">
                  <c:v>2.6109315147482756E-2</c:v>
                </c:pt>
                <c:pt idx="1504">
                  <c:v>2.6099998520647528E-2</c:v>
                </c:pt>
                <c:pt idx="1505">
                  <c:v>2.6090671151255022E-2</c:v>
                </c:pt>
                <c:pt idx="1506">
                  <c:v>2.6081333039381698E-2</c:v>
                </c:pt>
                <c:pt idx="1507">
                  <c:v>2.6071984185104018E-2</c:v>
                </c:pt>
                <c:pt idx="1508">
                  <c:v>2.606262458849844E-2</c:v>
                </c:pt>
                <c:pt idx="1509">
                  <c:v>2.6053254249641427E-2</c:v>
                </c:pt>
                <c:pt idx="1510">
                  <c:v>2.6043337254974652E-2</c:v>
                </c:pt>
                <c:pt idx="1511">
                  <c:v>2.6033948320309364E-2</c:v>
                </c:pt>
                <c:pt idx="1512">
                  <c:v>2.6024548644673295E-2</c:v>
                </c:pt>
                <c:pt idx="1513">
                  <c:v>2.6008672578552366E-2</c:v>
                </c:pt>
                <c:pt idx="1514">
                  <c:v>2.6003023338756925E-2</c:v>
                </c:pt>
                <c:pt idx="1515">
                  <c:v>2.5994936881893693E-2</c:v>
                </c:pt>
                <c:pt idx="1516">
                  <c:v>2.5986842533936461E-2</c:v>
                </c:pt>
                <c:pt idx="1517">
                  <c:v>2.5977389154580699E-2</c:v>
                </c:pt>
                <c:pt idx="1518">
                  <c:v>2.5967925034708017E-2</c:v>
                </c:pt>
                <c:pt idx="1519">
                  <c:v>2.5958195045629542E-2</c:v>
                </c:pt>
                <c:pt idx="1520">
                  <c:v>2.5948710893693831E-2</c:v>
                </c:pt>
                <c:pt idx="1521">
                  <c:v>2.5939216001986801E-2</c:v>
                </c:pt>
                <c:pt idx="1522">
                  <c:v>2.5929961151565983E-2</c:v>
                </c:pt>
                <c:pt idx="1523">
                  <c:v>2.5920941612410511E-2</c:v>
                </c:pt>
                <c:pt idx="1524">
                  <c:v>2.5911410149045848E-2</c:v>
                </c:pt>
                <c:pt idx="1525">
                  <c:v>2.5901867944668758E-2</c:v>
                </c:pt>
                <c:pt idx="1526">
                  <c:v>2.5892314999357437E-2</c:v>
                </c:pt>
                <c:pt idx="1527">
                  <c:v>2.5882508042615625E-2</c:v>
                </c:pt>
                <c:pt idx="1528">
                  <c:v>2.5871566624333459E-2</c:v>
                </c:pt>
                <c:pt idx="1529">
                  <c:v>2.5861981375998624E-2</c:v>
                </c:pt>
                <c:pt idx="1530">
                  <c:v>2.5852385387563993E-2</c:v>
                </c:pt>
                <c:pt idx="1531">
                  <c:v>2.5843015906353031E-2</c:v>
                </c:pt>
                <c:pt idx="1532">
                  <c:v>2.5833396982738021E-2</c:v>
                </c:pt>
                <c:pt idx="1533">
                  <c:v>2.5822858649206467E-2</c:v>
                </c:pt>
                <c:pt idx="1534">
                  <c:v>2.5814126914464778E-2</c:v>
                </c:pt>
                <c:pt idx="1535">
                  <c:v>2.5804475769964679E-2</c:v>
                </c:pt>
                <c:pt idx="1536">
                  <c:v>2.5794813885329712E-2</c:v>
                </c:pt>
                <c:pt idx="1537">
                  <c:v>2.5785141260637204E-2</c:v>
                </c:pt>
                <c:pt idx="1538">
                  <c:v>2.5775457895966226E-2</c:v>
                </c:pt>
                <c:pt idx="1539">
                  <c:v>2.5765763791395842E-2</c:v>
                </c:pt>
                <c:pt idx="1540">
                  <c:v>2.5756058947007728E-2</c:v>
                </c:pt>
                <c:pt idx="1541">
                  <c:v>2.5746343362879211E-2</c:v>
                </c:pt>
                <c:pt idx="1542">
                  <c:v>2.5736617039090231E-2</c:v>
                </c:pt>
                <c:pt idx="1543">
                  <c:v>2.5726879975720721E-2</c:v>
                </c:pt>
                <c:pt idx="1544">
                  <c:v>2.5717132172850616E-2</c:v>
                </c:pt>
                <c:pt idx="1545">
                  <c:v>2.5707373630560727E-2</c:v>
                </c:pt>
                <c:pt idx="1546">
                  <c:v>2.5697604348928375E-2</c:v>
                </c:pt>
                <c:pt idx="1547">
                  <c:v>2.568782432803611E-2</c:v>
                </c:pt>
                <c:pt idx="1548">
                  <c:v>2.5678033567961257E-2</c:v>
                </c:pt>
                <c:pt idx="1549">
                  <c:v>2.5668021092269042E-2</c:v>
                </c:pt>
                <c:pt idx="1550">
                  <c:v>2.5658210318281548E-2</c:v>
                </c:pt>
                <c:pt idx="1551">
                  <c:v>2.5648388805846564E-2</c:v>
                </c:pt>
                <c:pt idx="1552">
                  <c:v>2.5639382104807831E-2</c:v>
                </c:pt>
                <c:pt idx="1553">
                  <c:v>2.5629533252282722E-2</c:v>
                </c:pt>
                <c:pt idx="1554">
                  <c:v>2.5619063489222875E-2</c:v>
                </c:pt>
                <c:pt idx="1555">
                  <c:v>2.5609197557134193E-2</c:v>
                </c:pt>
                <c:pt idx="1556">
                  <c:v>2.5599320886509361E-2</c:v>
                </c:pt>
                <c:pt idx="1557">
                  <c:v>2.558943347742745E-2</c:v>
                </c:pt>
                <c:pt idx="1558">
                  <c:v>2.557953532997187E-2</c:v>
                </c:pt>
                <c:pt idx="1559">
                  <c:v>2.5569626444223427E-2</c:v>
                </c:pt>
                <c:pt idx="1560">
                  <c:v>2.5559706820260316E-2</c:v>
                </c:pt>
                <c:pt idx="1561">
                  <c:v>2.5549776458167691E-2</c:v>
                </c:pt>
                <c:pt idx="1562">
                  <c:v>2.5539451419349213E-2</c:v>
                </c:pt>
                <c:pt idx="1563">
                  <c:v>2.552950252216668E-2</c:v>
                </c:pt>
                <c:pt idx="1564">
                  <c:v>2.5519542888055469E-2</c:v>
                </c:pt>
                <c:pt idx="1565">
                  <c:v>2.5504057122934468E-2</c:v>
                </c:pt>
                <c:pt idx="1566">
                  <c:v>2.5494068407833706E-2</c:v>
                </c:pt>
                <c:pt idx="1567">
                  <c:v>2.5488171282153083E-2</c:v>
                </c:pt>
                <c:pt idx="1568">
                  <c:v>2.547959698393587E-2</c:v>
                </c:pt>
                <c:pt idx="1569">
                  <c:v>2.5469583666386519E-2</c:v>
                </c:pt>
                <c:pt idx="1570">
                  <c:v>2.5459559612389882E-2</c:v>
                </c:pt>
                <c:pt idx="1571">
                  <c:v>2.5449345905762692E-2</c:v>
                </c:pt>
                <c:pt idx="1572">
                  <c:v>2.5439301853684555E-2</c:v>
                </c:pt>
                <c:pt idx="1573">
                  <c:v>2.5429247065872313E-2</c:v>
                </c:pt>
                <c:pt idx="1574">
                  <c:v>2.5419181542405911E-2</c:v>
                </c:pt>
                <c:pt idx="1575">
                  <c:v>2.5409623930797084E-2</c:v>
                </c:pt>
                <c:pt idx="1576">
                  <c:v>2.5399532506546064E-2</c:v>
                </c:pt>
                <c:pt idx="1577">
                  <c:v>2.5389430345475788E-2</c:v>
                </c:pt>
                <c:pt idx="1578">
                  <c:v>2.5379821604294299E-2</c:v>
                </c:pt>
                <c:pt idx="1579">
                  <c:v>2.5369026972961419E-2</c:v>
                </c:pt>
                <c:pt idx="1580">
                  <c:v>2.5358894080485559E-2</c:v>
                </c:pt>
                <c:pt idx="1581">
                  <c:v>2.5348750451986642E-2</c:v>
                </c:pt>
                <c:pt idx="1582">
                  <c:v>2.5338596087544598E-2</c:v>
                </c:pt>
                <c:pt idx="1583">
                  <c:v>2.532843098724552E-2</c:v>
                </c:pt>
                <c:pt idx="1584">
                  <c:v>2.5318414594011171E-2</c:v>
                </c:pt>
                <c:pt idx="1585">
                  <c:v>2.5308226541373994E-2</c:v>
                </c:pt>
                <c:pt idx="1586">
                  <c:v>2.5298027752664782E-2</c:v>
                </c:pt>
                <c:pt idx="1587">
                  <c:v>2.5287818227969557E-2</c:v>
                </c:pt>
                <c:pt idx="1588">
                  <c:v>2.5276443260708784E-2</c:v>
                </c:pt>
                <c:pt idx="1589">
                  <c:v>2.526736697094863E-2</c:v>
                </c:pt>
                <c:pt idx="1590">
                  <c:v>2.5257125238792359E-2</c:v>
                </c:pt>
                <c:pt idx="1591">
                  <c:v>2.5246872770983725E-2</c:v>
                </c:pt>
                <c:pt idx="1592">
                  <c:v>2.5236609567605262E-2</c:v>
                </c:pt>
                <c:pt idx="1593">
                  <c:v>2.5226335628742994E-2</c:v>
                </c:pt>
                <c:pt idx="1594">
                  <c:v>2.5216050954479461E-2</c:v>
                </c:pt>
                <c:pt idx="1595">
                  <c:v>2.5205755544900683E-2</c:v>
                </c:pt>
                <c:pt idx="1596">
                  <c:v>2.5195449400089203E-2</c:v>
                </c:pt>
                <c:pt idx="1597">
                  <c:v>2.5185132520131909E-2</c:v>
                </c:pt>
                <c:pt idx="1598">
                  <c:v>2.5174804905110468E-2</c:v>
                </c:pt>
                <c:pt idx="1599">
                  <c:v>2.5164466555110909E-2</c:v>
                </c:pt>
                <c:pt idx="1600">
                  <c:v>2.51541174702175E-2</c:v>
                </c:pt>
                <c:pt idx="1601">
                  <c:v>2.5143623444285182E-2</c:v>
                </c:pt>
                <c:pt idx="1602">
                  <c:v>2.5133254378412882E-2</c:v>
                </c:pt>
                <c:pt idx="1603">
                  <c:v>2.5122874578347262E-2</c:v>
                </c:pt>
                <c:pt idx="1604">
                  <c:v>2.5112484044169148E-2</c:v>
                </c:pt>
                <c:pt idx="1605">
                  <c:v>2.5102082775964617E-2</c:v>
                </c:pt>
                <c:pt idx="1606">
                  <c:v>2.509179753284603E-2</c:v>
                </c:pt>
                <c:pt idx="1607">
                  <c:v>2.5081373306076425E-2</c:v>
                </c:pt>
                <c:pt idx="1608">
                  <c:v>2.5070938345092435E-2</c:v>
                </c:pt>
                <c:pt idx="1609">
                  <c:v>2.5060492649981812E-2</c:v>
                </c:pt>
                <c:pt idx="1610">
                  <c:v>2.5050036220829706E-2</c:v>
                </c:pt>
                <c:pt idx="1611">
                  <c:v>2.503956905772127E-2</c:v>
                </c:pt>
                <c:pt idx="1612">
                  <c:v>2.5029091160741649E-2</c:v>
                </c:pt>
                <c:pt idx="1613">
                  <c:v>2.5018602529976865E-2</c:v>
                </c:pt>
                <c:pt idx="1614">
                  <c:v>2.5007873387022705E-2</c:v>
                </c:pt>
                <c:pt idx="1615">
                  <c:v>2.4997366277338173E-2</c:v>
                </c:pt>
                <c:pt idx="1616">
                  <c:v>2.4986848434989994E-2</c:v>
                </c:pt>
                <c:pt idx="1617">
                  <c:v>2.4976319860062546E-2</c:v>
                </c:pt>
                <c:pt idx="1618">
                  <c:v>2.4965889531323074E-2</c:v>
                </c:pt>
                <c:pt idx="1619">
                  <c:v>2.4953722488151087E-2</c:v>
                </c:pt>
                <c:pt idx="1620">
                  <c:v>2.4944669740652792E-2</c:v>
                </c:pt>
                <c:pt idx="1621">
                  <c:v>2.493409823625381E-2</c:v>
                </c:pt>
                <c:pt idx="1622">
                  <c:v>2.4923515999699219E-2</c:v>
                </c:pt>
                <c:pt idx="1623">
                  <c:v>2.4912821397817708E-2</c:v>
                </c:pt>
                <c:pt idx="1624">
                  <c:v>2.4902219195083983E-2</c:v>
                </c:pt>
                <c:pt idx="1625">
                  <c:v>2.4891606260872532E-2</c:v>
                </c:pt>
                <c:pt idx="1626">
                  <c:v>2.488098259526688E-2</c:v>
                </c:pt>
                <c:pt idx="1627">
                  <c:v>2.4870634700154104E-2</c:v>
                </c:pt>
                <c:pt idx="1628">
                  <c:v>2.4859985072978333E-2</c:v>
                </c:pt>
                <c:pt idx="1629">
                  <c:v>2.4849324713402378E-2</c:v>
                </c:pt>
                <c:pt idx="1630">
                  <c:v>2.4838925371787394E-2</c:v>
                </c:pt>
                <c:pt idx="1631">
                  <c:v>2.4827882437072121E-2</c:v>
                </c:pt>
                <c:pt idx="1632">
                  <c:v>2.4817191382282531E-2</c:v>
                </c:pt>
                <c:pt idx="1633">
                  <c:v>2.4806489595856702E-2</c:v>
                </c:pt>
                <c:pt idx="1634">
                  <c:v>2.4795777077884235E-2</c:v>
                </c:pt>
                <c:pt idx="1635">
                  <c:v>2.4785053828451208E-2</c:v>
                </c:pt>
                <c:pt idx="1636">
                  <c:v>2.4774401696528281E-2</c:v>
                </c:pt>
                <c:pt idx="1637">
                  <c:v>2.4763655480906574E-2</c:v>
                </c:pt>
                <c:pt idx="1638">
                  <c:v>2.475151778436812E-2</c:v>
                </c:pt>
                <c:pt idx="1639">
                  <c:v>2.4742130854918897E-2</c:v>
                </c:pt>
                <c:pt idx="1640">
                  <c:v>2.4731352444729307E-2</c:v>
                </c:pt>
                <c:pt idx="1641">
                  <c:v>2.4720563303195209E-2</c:v>
                </c:pt>
                <c:pt idx="1642">
                  <c:v>2.4709763430401752E-2</c:v>
                </c:pt>
                <c:pt idx="1643">
                  <c:v>2.4698952826440169E-2</c:v>
                </c:pt>
                <c:pt idx="1644">
                  <c:v>2.4688131491397342E-2</c:v>
                </c:pt>
                <c:pt idx="1645">
                  <c:v>2.4677299425362769E-2</c:v>
                </c:pt>
                <c:pt idx="1646">
                  <c:v>2.4666456628425943E-2</c:v>
                </c:pt>
                <c:pt idx="1647">
                  <c:v>2.4655603100672878E-2</c:v>
                </c:pt>
                <c:pt idx="1648">
                  <c:v>2.4644738842195681E-2</c:v>
                </c:pt>
                <c:pt idx="1649">
                  <c:v>2.4633863853081236E-2</c:v>
                </c:pt>
                <c:pt idx="1650">
                  <c:v>2.4622978133419033E-2</c:v>
                </c:pt>
                <c:pt idx="1651">
                  <c:v>2.4612081683299442E-2</c:v>
                </c:pt>
                <c:pt idx="1652">
                  <c:v>2.4601174502809343E-2</c:v>
                </c:pt>
                <c:pt idx="1653">
                  <c:v>2.459020035829922E-2</c:v>
                </c:pt>
                <c:pt idx="1654">
                  <c:v>2.4579273227714235E-2</c:v>
                </c:pt>
                <c:pt idx="1655">
                  <c:v>2.4568335367422894E-2</c:v>
                </c:pt>
                <c:pt idx="1656">
                  <c:v>2.4557386777513922E-2</c:v>
                </c:pt>
                <c:pt idx="1657">
                  <c:v>2.4546427458075157E-2</c:v>
                </c:pt>
                <c:pt idx="1658">
                  <c:v>2.4535651268861911E-2</c:v>
                </c:pt>
                <c:pt idx="1659">
                  <c:v>2.4524523796566288E-2</c:v>
                </c:pt>
                <c:pt idx="1660">
                  <c:v>2.4513530776347818E-2</c:v>
                </c:pt>
                <c:pt idx="1661">
                  <c:v>2.4502527026566898E-2</c:v>
                </c:pt>
                <c:pt idx="1662">
                  <c:v>2.4491512547314749E-2</c:v>
                </c:pt>
                <c:pt idx="1663">
                  <c:v>2.448048733868087E-2</c:v>
                </c:pt>
                <c:pt idx="1664">
                  <c:v>2.4469451400756494E-2</c:v>
                </c:pt>
                <c:pt idx="1665">
                  <c:v>2.4458404733630239E-2</c:v>
                </c:pt>
                <c:pt idx="1666">
                  <c:v>2.4447310768971015E-2</c:v>
                </c:pt>
                <c:pt idx="1667">
                  <c:v>2.4436244159134146E-2</c:v>
                </c:pt>
                <c:pt idx="1668">
                  <c:v>2.4425166820749553E-2</c:v>
                </c:pt>
                <c:pt idx="1669">
                  <c:v>2.4414078753905086E-2</c:v>
                </c:pt>
                <c:pt idx="1670">
                  <c:v>2.440297995869297E-2</c:v>
                </c:pt>
                <c:pt idx="1671">
                  <c:v>2.4391870435202811E-2</c:v>
                </c:pt>
                <c:pt idx="1672">
                  <c:v>2.4380750183523325E-2</c:v>
                </c:pt>
                <c:pt idx="1673">
                  <c:v>2.4369619203744988E-2</c:v>
                </c:pt>
                <c:pt idx="1674">
                  <c:v>2.4358477495959163E-2</c:v>
                </c:pt>
                <c:pt idx="1675">
                  <c:v>2.4347302000462534E-2</c:v>
                </c:pt>
                <c:pt idx="1676">
                  <c:v>2.4336140355639913E-2</c:v>
                </c:pt>
                <c:pt idx="1677">
                  <c:v>2.432496798345074E-2</c:v>
                </c:pt>
                <c:pt idx="1678">
                  <c:v>2.43137848839865E-2</c:v>
                </c:pt>
                <c:pt idx="1679">
                  <c:v>2.4302624878600756E-2</c:v>
                </c:pt>
                <c:pt idx="1680">
                  <c:v>2.4291417284367213E-2</c:v>
                </c:pt>
                <c:pt idx="1681">
                  <c:v>2.4280198962392363E-2</c:v>
                </c:pt>
                <c:pt idx="1682">
                  <c:v>2.4269005875201276E-2</c:v>
                </c:pt>
                <c:pt idx="1683">
                  <c:v>2.4257730135579334E-2</c:v>
                </c:pt>
                <c:pt idx="1684">
                  <c:v>2.4246470397537481E-2</c:v>
                </c:pt>
                <c:pt idx="1685">
                  <c:v>2.4235210687635442E-2</c:v>
                </c:pt>
                <c:pt idx="1686">
                  <c:v>2.4223940250814271E-2</c:v>
                </c:pt>
                <c:pt idx="1687">
                  <c:v>2.4212659087164443E-2</c:v>
                </c:pt>
                <c:pt idx="1688">
                  <c:v>2.4199761533705996E-2</c:v>
                </c:pt>
                <c:pt idx="1689">
                  <c:v>2.4183601873804361E-2</c:v>
                </c:pt>
                <c:pt idx="1690">
                  <c:v>2.4177133364936612E-2</c:v>
                </c:pt>
                <c:pt idx="1691">
                  <c:v>2.4165803189222373E-2</c:v>
                </c:pt>
                <c:pt idx="1692">
                  <c:v>2.4154462286078981E-2</c:v>
                </c:pt>
                <c:pt idx="1693">
                  <c:v>2.4143110655605923E-2</c:v>
                </c:pt>
                <c:pt idx="1694">
                  <c:v>2.4131748297895043E-2</c:v>
                </c:pt>
                <c:pt idx="1695">
                  <c:v>2.4115514991327955E-2</c:v>
                </c:pt>
                <c:pt idx="1696">
                  <c:v>2.4109019660716983E-2</c:v>
                </c:pt>
                <c:pt idx="1697">
                  <c:v>2.4097598840011423E-2</c:v>
                </c:pt>
                <c:pt idx="1698">
                  <c:v>2.4086201313095124E-2</c:v>
                </c:pt>
                <c:pt idx="1699">
                  <c:v>2.4074802943961464E-2</c:v>
                </c:pt>
                <c:pt idx="1700">
                  <c:v>2.4063407802728306E-2</c:v>
                </c:pt>
                <c:pt idx="1701">
                  <c:v>2.4052019959471836E-2</c:v>
                </c:pt>
                <c:pt idx="1702">
                  <c:v>2.4040643484214676E-2</c:v>
                </c:pt>
                <c:pt idx="1703">
                  <c:v>2.402928244693267E-2</c:v>
                </c:pt>
                <c:pt idx="1704">
                  <c:v>2.4017940917554041E-2</c:v>
                </c:pt>
                <c:pt idx="1705">
                  <c:v>2.4006634619506084E-2</c:v>
                </c:pt>
                <c:pt idx="1706">
                  <c:v>2.3995337982739843E-2</c:v>
                </c:pt>
                <c:pt idx="1707">
                  <c:v>2.3984072653621066E-2</c:v>
                </c:pt>
                <c:pt idx="1708">
                  <c:v>2.3972842835243008E-2</c:v>
                </c:pt>
                <c:pt idx="1709">
                  <c:v>2.3961652730650616E-2</c:v>
                </c:pt>
                <c:pt idx="1710">
                  <c:v>2.3950528638948788E-2</c:v>
                </c:pt>
                <c:pt idx="1711">
                  <c:v>2.3939432870613168E-2</c:v>
                </c:pt>
                <c:pt idx="1712">
                  <c:v>2.3928381028004431E-2</c:v>
                </c:pt>
                <c:pt idx="1713">
                  <c:v>2.3917373110745006E-2</c:v>
                </c:pt>
                <c:pt idx="1714">
                  <c:v>2.3906409118459031E-2</c:v>
                </c:pt>
                <c:pt idx="1715">
                  <c:v>2.389548905077148E-2</c:v>
                </c:pt>
                <c:pt idx="1716">
                  <c:v>2.388461290730819E-2</c:v>
                </c:pt>
                <c:pt idx="1717">
                  <c:v>2.3873780687699239E-2</c:v>
                </c:pt>
                <c:pt idx="1718">
                  <c:v>2.3862885262783351E-2</c:v>
                </c:pt>
                <c:pt idx="1719">
                  <c:v>2.3852131183060621E-2</c:v>
                </c:pt>
                <c:pt idx="1720">
                  <c:v>2.3841421013312214E-2</c:v>
                </c:pt>
                <c:pt idx="1721">
                  <c:v>2.3830754753189076E-2</c:v>
                </c:pt>
                <c:pt idx="1722">
                  <c:v>2.3812571891914658E-2</c:v>
                </c:pt>
                <c:pt idx="1723">
                  <c:v>2.380507342541912E-2</c:v>
                </c:pt>
                <c:pt idx="1724">
                  <c:v>2.3794560153291087E-2</c:v>
                </c:pt>
                <c:pt idx="1725">
                  <c:v>2.3784135559545165E-2</c:v>
                </c:pt>
                <c:pt idx="1726">
                  <c:v>2.3773665342476765E-2</c:v>
                </c:pt>
                <c:pt idx="1727">
                  <c:v>2.3763283803099156E-2</c:v>
                </c:pt>
                <c:pt idx="1728">
                  <c:v>2.3752946173948214E-2</c:v>
                </c:pt>
                <c:pt idx="1729">
                  <c:v>2.3742652454684862E-2</c:v>
                </c:pt>
                <c:pt idx="1730">
                  <c:v>2.3732402644966524E-2</c:v>
                </c:pt>
                <c:pt idx="1731">
                  <c:v>2.3722256259596765E-2</c:v>
                </c:pt>
                <c:pt idx="1732">
                  <c:v>2.3712096736991834E-2</c:v>
                </c:pt>
                <c:pt idx="1733">
                  <c:v>2.3701981126063806E-2</c:v>
                </c:pt>
                <c:pt idx="1734">
                  <c:v>2.3691909426471217E-2</c:v>
                </c:pt>
                <c:pt idx="1735">
                  <c:v>2.3681812227733509E-2</c:v>
                </c:pt>
                <c:pt idx="1736">
                  <c:v>2.3671825868214848E-2</c:v>
                </c:pt>
                <c:pt idx="1737">
                  <c:v>2.3661883415900212E-2</c:v>
                </c:pt>
                <c:pt idx="1738">
                  <c:v>2.3649164779098005E-2</c:v>
                </c:pt>
                <c:pt idx="1739">
                  <c:v>2.3642130231559245E-2</c:v>
                </c:pt>
                <c:pt idx="1740">
                  <c:v>2.3632401348240056E-2</c:v>
                </c:pt>
                <c:pt idx="1741">
                  <c:v>2.3622637018659517E-2</c:v>
                </c:pt>
                <c:pt idx="1742">
                  <c:v>2.3612916597760887E-2</c:v>
                </c:pt>
                <c:pt idx="1743">
                  <c:v>2.3603240085220075E-2</c:v>
                </c:pt>
                <c:pt idx="1744">
                  <c:v>2.3592234978667068E-2</c:v>
                </c:pt>
                <c:pt idx="1745">
                  <c:v>2.3581287220902383E-2</c:v>
                </c:pt>
                <c:pt idx="1746">
                  <c:v>2.3573114037433236E-2</c:v>
                </c:pt>
                <c:pt idx="1747">
                  <c:v>2.3562266638899914E-2</c:v>
                </c:pt>
                <c:pt idx="1748">
                  <c:v>2.3552822208054703E-2</c:v>
                </c:pt>
                <c:pt idx="1749">
                  <c:v>2.3543421683555877E-2</c:v>
                </c:pt>
                <c:pt idx="1750">
                  <c:v>2.3534065065090641E-2</c:v>
                </c:pt>
                <c:pt idx="1751">
                  <c:v>2.3524752352346207E-2</c:v>
                </c:pt>
                <c:pt idx="1752">
                  <c:v>2.3515483545010644E-2</c:v>
                </c:pt>
                <c:pt idx="1753">
                  <c:v>2.3506258642775505E-2</c:v>
                </c:pt>
                <c:pt idx="1754">
                  <c:v>2.3497077645329736E-2</c:v>
                </c:pt>
                <c:pt idx="1755">
                  <c:v>2.3487940552367494E-2</c:v>
                </c:pt>
                <c:pt idx="1756">
                  <c:v>2.3478847363583809E-2</c:v>
                </c:pt>
                <c:pt idx="1757">
                  <c:v>2.3469672627863557E-2</c:v>
                </c:pt>
                <c:pt idx="1758">
                  <c:v>2.3460664696010818E-2</c:v>
                </c:pt>
                <c:pt idx="1759">
                  <c:v>2.3451700664374284E-2</c:v>
                </c:pt>
                <c:pt idx="1760">
                  <c:v>2.3443047005664429E-2</c:v>
                </c:pt>
                <c:pt idx="1761">
                  <c:v>2.3434039971734769E-2</c:v>
                </c:pt>
                <c:pt idx="1762">
                  <c:v>2.3425210201682256E-2</c:v>
                </c:pt>
                <c:pt idx="1763">
                  <c:v>2.3416424333708236E-2</c:v>
                </c:pt>
                <c:pt idx="1764">
                  <c:v>2.3407682367520773E-2</c:v>
                </c:pt>
                <c:pt idx="1765">
                  <c:v>2.3398984302826185E-2</c:v>
                </c:pt>
                <c:pt idx="1766">
                  <c:v>2.3390330139335138E-2</c:v>
                </c:pt>
                <c:pt idx="1767">
                  <c:v>2.3381719876754827E-2</c:v>
                </c:pt>
                <c:pt idx="1768">
                  <c:v>2.3373153514801993E-2</c:v>
                </c:pt>
                <c:pt idx="1769">
                  <c:v>2.3364631053185571E-2</c:v>
                </c:pt>
                <c:pt idx="1770">
                  <c:v>2.3355835055929752E-2</c:v>
                </c:pt>
                <c:pt idx="1771">
                  <c:v>2.3347395214585731E-2</c:v>
                </c:pt>
                <c:pt idx="1772">
                  <c:v>2.3338999266701244E-2</c:v>
                </c:pt>
                <c:pt idx="1773">
                  <c:v>2.3324876556376398E-2</c:v>
                </c:pt>
                <c:pt idx="1774">
                  <c:v>2.3319973351625833E-2</c:v>
                </c:pt>
                <c:pt idx="1775">
                  <c:v>2.3312897754239614E-2</c:v>
                </c:pt>
                <c:pt idx="1776">
                  <c:v>2.3304683647776159E-2</c:v>
                </c:pt>
                <c:pt idx="1777">
                  <c:v>2.3296513433372468E-2</c:v>
                </c:pt>
                <c:pt idx="1778">
                  <c:v>2.3288387110763864E-2</c:v>
                </c:pt>
                <c:pt idx="1779">
                  <c:v>2.3280122558188322E-2</c:v>
                </c:pt>
                <c:pt idx="1780">
                  <c:v>2.3272081401738406E-2</c:v>
                </c:pt>
                <c:pt idx="1781">
                  <c:v>2.3264084133299921E-2</c:v>
                </c:pt>
                <c:pt idx="1782">
                  <c:v>2.3256130752617784E-2</c:v>
                </c:pt>
                <c:pt idx="1783">
                  <c:v>2.324879985449468E-2</c:v>
                </c:pt>
                <c:pt idx="1784">
                  <c:v>2.3240942135438387E-2</c:v>
                </c:pt>
                <c:pt idx="1785">
                  <c:v>2.323372502964105E-2</c:v>
                </c:pt>
                <c:pt idx="1786">
                  <c:v>2.3225358384812798E-2</c:v>
                </c:pt>
                <c:pt idx="1787">
                  <c:v>2.3217428693333399E-2</c:v>
                </c:pt>
                <c:pt idx="1788">
                  <c:v>2.3209743915134116E-2</c:v>
                </c:pt>
                <c:pt idx="1789">
                  <c:v>2.3202103028848231E-2</c:v>
                </c:pt>
                <c:pt idx="1790">
                  <c:v>2.3194506034224519E-2</c:v>
                </c:pt>
                <c:pt idx="1791">
                  <c:v>2.3186522149335309E-2</c:v>
                </c:pt>
                <c:pt idx="1792">
                  <c:v>2.3179660614202603E-2</c:v>
                </c:pt>
                <c:pt idx="1793">
                  <c:v>2.3171576088697677E-2</c:v>
                </c:pt>
                <c:pt idx="1794">
                  <c:v>2.3164779177630015E-2</c:v>
                </c:pt>
                <c:pt idx="1795">
                  <c:v>2.3157404299520942E-2</c:v>
                </c:pt>
                <c:pt idx="1796">
                  <c:v>2.3150073314533184E-2</c:v>
                </c:pt>
                <c:pt idx="1797">
                  <c:v>2.3142786222424321E-2</c:v>
                </c:pt>
                <c:pt idx="1798">
                  <c:v>2.3135543022947597E-2</c:v>
                </c:pt>
                <c:pt idx="1799">
                  <c:v>2.3128343715862334E-2</c:v>
                </c:pt>
                <c:pt idx="1800">
                  <c:v>2.3121188300926982E-2</c:v>
                </c:pt>
                <c:pt idx="1801">
                  <c:v>2.3114076777902608E-2</c:v>
                </c:pt>
                <c:pt idx="1802">
                  <c:v>2.3107009146552008E-2</c:v>
                </c:pt>
                <c:pt idx="1803">
                  <c:v>2.309998540663798E-2</c:v>
                </c:pt>
                <c:pt idx="1804">
                  <c:v>2.3093005557925931E-2</c:v>
                </c:pt>
                <c:pt idx="1805">
                  <c:v>2.308606960018126E-2</c:v>
                </c:pt>
                <c:pt idx="1806">
                  <c:v>2.3079177533173723E-2</c:v>
                </c:pt>
                <c:pt idx="1807">
                  <c:v>2.307232935667133E-2</c:v>
                </c:pt>
                <c:pt idx="1808">
                  <c:v>2.3065525070447304E-2</c:v>
                </c:pt>
                <c:pt idx="1809">
                  <c:v>2.3058502226453566E-2</c:v>
                </c:pt>
                <c:pt idx="1810">
                  <c:v>2.3051783014210261E-2</c:v>
                </c:pt>
                <c:pt idx="1811">
                  <c:v>2.3045107688654649E-2</c:v>
                </c:pt>
                <c:pt idx="1812">
                  <c:v>2.3039560169723701E-2</c:v>
                </c:pt>
                <c:pt idx="1813">
                  <c:v>2.3032161985559487E-2</c:v>
                </c:pt>
                <c:pt idx="1814">
                  <c:v>2.3025621036268592E-2</c:v>
                </c:pt>
                <c:pt idx="1815">
                  <c:v>2.3019123975691228E-2</c:v>
                </c:pt>
                <c:pt idx="1816">
                  <c:v>2.3012670803611048E-2</c:v>
                </c:pt>
                <c:pt idx="1817">
                  <c:v>2.3006261519812575E-2</c:v>
                </c:pt>
                <c:pt idx="1818">
                  <c:v>2.2999896124082063E-2</c:v>
                </c:pt>
                <c:pt idx="1819">
                  <c:v>2.2993574616205773E-2</c:v>
                </c:pt>
                <c:pt idx="1820">
                  <c:v>2.2987296995970827E-2</c:v>
                </c:pt>
                <c:pt idx="1821">
                  <c:v>2.2981063263169569E-2</c:v>
                </c:pt>
                <c:pt idx="1822">
                  <c:v>2.2974277990463143E-2</c:v>
                </c:pt>
                <c:pt idx="1823">
                  <c:v>2.2968126545201528E-2</c:v>
                </c:pt>
                <c:pt idx="1824">
                  <c:v>2.296201898098893E-2</c:v>
                </c:pt>
                <c:pt idx="1825">
                  <c:v>2.2951958740724702E-2</c:v>
                </c:pt>
                <c:pt idx="1826">
                  <c:v>2.2946825449143008E-2</c:v>
                </c:pt>
                <c:pt idx="1827">
                  <c:v>2.2943109451547983E-2</c:v>
                </c:pt>
                <c:pt idx="1828">
                  <c:v>2.2937183678144457E-2</c:v>
                </c:pt>
                <c:pt idx="1829">
                  <c:v>2.2931301784778313E-2</c:v>
                </c:pt>
                <c:pt idx="1830">
                  <c:v>2.2925463771255927E-2</c:v>
                </c:pt>
                <c:pt idx="1831">
                  <c:v>2.2919347151460708E-2</c:v>
                </c:pt>
                <c:pt idx="1832">
                  <c:v>2.2913594128022397E-2</c:v>
                </c:pt>
                <c:pt idx="1833">
                  <c:v>2.2907884980998494E-2</c:v>
                </c:pt>
                <c:pt idx="1834">
                  <c:v>2.2902881592415485E-2</c:v>
                </c:pt>
                <c:pt idx="1835">
                  <c:v>2.2898269005831924E-2</c:v>
                </c:pt>
                <c:pt idx="1836">
                  <c:v>2.2892705393166034E-2</c:v>
                </c:pt>
                <c:pt idx="1837">
                  <c:v>2.2887185670454793E-2</c:v>
                </c:pt>
                <c:pt idx="1838">
                  <c:v>2.2877567400621312E-2</c:v>
                </c:pt>
                <c:pt idx="1839">
                  <c:v>2.2875241210685252E-2</c:v>
                </c:pt>
                <c:pt idx="1840">
                  <c:v>2.2869844777607271E-2</c:v>
                </c:pt>
                <c:pt idx="1841">
                  <c:v>2.2864492225199817E-2</c:v>
                </c:pt>
                <c:pt idx="1842">
                  <c:v>2.2859183553284569E-2</c:v>
                </c:pt>
                <c:pt idx="1843">
                  <c:v>2.285203352429703E-2</c:v>
                </c:pt>
                <c:pt idx="1844">
                  <c:v>2.2846834223806886E-2</c:v>
                </c:pt>
                <c:pt idx="1845">
                  <c:v>2.2844607904823285E-2</c:v>
                </c:pt>
                <c:pt idx="1846">
                  <c:v>2.283948318339904E-2</c:v>
                </c:pt>
                <c:pt idx="1847">
                  <c:v>2.2834402350110479E-2</c:v>
                </c:pt>
                <c:pt idx="1848">
                  <c:v>2.2829365404785817E-2</c:v>
                </c:pt>
                <c:pt idx="1849">
                  <c:v>2.2824372347249877E-2</c:v>
                </c:pt>
                <c:pt idx="1850">
                  <c:v>2.2816559952312822E-2</c:v>
                </c:pt>
                <c:pt idx="1851">
                  <c:v>2.281451789486981E-2</c:v>
                </c:pt>
                <c:pt idx="1852">
                  <c:v>2.280965649968723E-2</c:v>
                </c:pt>
                <c:pt idx="1853">
                  <c:v>2.280483899162327E-2</c:v>
                </c:pt>
                <c:pt idx="1854">
                  <c:v>2.2800065370511255E-2</c:v>
                </c:pt>
                <c:pt idx="1855">
                  <c:v>2.2795335636187061E-2</c:v>
                </c:pt>
                <c:pt idx="1856">
                  <c:v>2.2789469502479027E-2</c:v>
                </c:pt>
                <c:pt idx="1857">
                  <c:v>2.2786007827264351E-2</c:v>
                </c:pt>
                <c:pt idx="1858">
                  <c:v>2.2781409752345237E-2</c:v>
                </c:pt>
                <c:pt idx="1859">
                  <c:v>2.2776855563578707E-2</c:v>
                </c:pt>
                <c:pt idx="1860">
                  <c:v>2.2772345260807441E-2</c:v>
                </c:pt>
                <c:pt idx="1861">
                  <c:v>2.2766655855585665E-2</c:v>
                </c:pt>
                <c:pt idx="1862">
                  <c:v>2.2762224758571956E-2</c:v>
                </c:pt>
                <c:pt idx="1863">
                  <c:v>2.2757837538667666E-2</c:v>
                </c:pt>
                <c:pt idx="1864">
                  <c:v>2.2754742906625536E-2</c:v>
                </c:pt>
                <c:pt idx="1865">
                  <c:v>2.2750452031553261E-2</c:v>
                </c:pt>
                <c:pt idx="1866">
                  <c:v>2.2746205041573993E-2</c:v>
                </c:pt>
                <c:pt idx="1867">
                  <c:v>2.2742001936545714E-2</c:v>
                </c:pt>
                <c:pt idx="1868">
                  <c:v>2.2737842716320462E-2</c:v>
                </c:pt>
                <c:pt idx="1869">
                  <c:v>2.2732435630512724E-2</c:v>
                </c:pt>
                <c:pt idx="1870">
                  <c:v>2.2729655929721183E-2</c:v>
                </c:pt>
                <c:pt idx="1871">
                  <c:v>2.2725628363064829E-2</c:v>
                </c:pt>
                <c:pt idx="1872">
                  <c:v>2.2721644680655351E-2</c:v>
                </c:pt>
                <c:pt idx="1873">
                  <c:v>2.2717704882354983E-2</c:v>
                </c:pt>
                <c:pt idx="1874">
                  <c:v>2.2712473968469839E-2</c:v>
                </c:pt>
                <c:pt idx="1875">
                  <c:v>2.2708613262972129E-2</c:v>
                </c:pt>
                <c:pt idx="1876">
                  <c:v>2.2704796432811189E-2</c:v>
                </c:pt>
                <c:pt idx="1877">
                  <c:v>2.269888720262821E-2</c:v>
                </c:pt>
                <c:pt idx="1878">
                  <c:v>2.2695183194183195E-2</c:v>
                </c:pt>
                <c:pt idx="1879">
                  <c:v>2.269204325063846E-2</c:v>
                </c:pt>
                <c:pt idx="1880">
                  <c:v>2.2688884064907738E-2</c:v>
                </c:pt>
                <c:pt idx="1881">
                  <c:v>2.2684842072107619E-2</c:v>
                </c:pt>
                <c:pt idx="1882">
                  <c:v>2.2681307294725173E-2</c:v>
                </c:pt>
                <c:pt idx="1883">
                  <c:v>2.2677816391775605E-2</c:v>
                </c:pt>
                <c:pt idx="1884">
                  <c:v>2.2674369363144722E-2</c:v>
                </c:pt>
                <c:pt idx="1885">
                  <c:v>2.2670966208713936E-2</c:v>
                </c:pt>
                <c:pt idx="1886">
                  <c:v>2.266808776622983E-2</c:v>
                </c:pt>
                <c:pt idx="1887">
                  <c:v>2.2664775285762516E-2</c:v>
                </c:pt>
                <c:pt idx="1888">
                  <c:v>2.2661506681941869E-2</c:v>
                </c:pt>
                <c:pt idx="1889">
                  <c:v>2.2658281954660141E-2</c:v>
                </c:pt>
                <c:pt idx="1890">
                  <c:v>2.2655101103804389E-2</c:v>
                </c:pt>
                <c:pt idx="1891">
                  <c:v>2.2651468634202535E-2</c:v>
                </c:pt>
                <c:pt idx="1892">
                  <c:v>2.2648372596124317E-2</c:v>
                </c:pt>
                <c:pt idx="1893">
                  <c:v>2.2644456442677079E-2</c:v>
                </c:pt>
                <c:pt idx="1894">
                  <c:v>2.2642312139896027E-2</c:v>
                </c:pt>
                <c:pt idx="1895">
                  <c:v>2.2639854992298942E-2</c:v>
                </c:pt>
                <c:pt idx="1896">
                  <c:v>2.2636937397835524E-2</c:v>
                </c:pt>
                <c:pt idx="1897">
                  <c:v>2.2634063679088212E-2</c:v>
                </c:pt>
                <c:pt idx="1898">
                  <c:v>2.2631233835961426E-2</c:v>
                </c:pt>
                <c:pt idx="1899">
                  <c:v>2.2628053454655288E-2</c:v>
                </c:pt>
                <c:pt idx="1900">
                  <c:v>2.2624930380018997E-2</c:v>
                </c:pt>
                <c:pt idx="1901">
                  <c:v>2.2622625681460912E-2</c:v>
                </c:pt>
                <c:pt idx="1902">
                  <c:v>2.2619977607762333E-2</c:v>
                </c:pt>
                <c:pt idx="1903">
                  <c:v>2.2617004962488047E-2</c:v>
                </c:pt>
                <c:pt idx="1904">
                  <c:v>2.2614450906858451E-2</c:v>
                </c:pt>
                <c:pt idx="1905">
                  <c:v>2.2611940726193384E-2</c:v>
                </c:pt>
                <c:pt idx="1906">
                  <c:v>2.2609474420405094E-2</c:v>
                </c:pt>
                <c:pt idx="1907">
                  <c:v>2.2607051989415379E-2</c:v>
                </c:pt>
                <c:pt idx="1908">
                  <c:v>2.2604673433141698E-2</c:v>
                </c:pt>
                <c:pt idx="1909">
                  <c:v>2.2602338751503248E-2</c:v>
                </c:pt>
                <c:pt idx="1910">
                  <c:v>2.2600047944422698E-2</c:v>
                </c:pt>
                <c:pt idx="1911">
                  <c:v>2.2597801011824452E-2</c:v>
                </c:pt>
                <c:pt idx="1912">
                  <c:v>2.2595039286575389E-2</c:v>
                </c:pt>
                <c:pt idx="1913">
                  <c:v>2.259287710416074E-2</c:v>
                </c:pt>
                <c:pt idx="1914">
                  <c:v>2.2590758793252078E-2</c:v>
                </c:pt>
                <c:pt idx="1915">
                  <c:v>2.2588684353782647E-2</c:v>
                </c:pt>
                <c:pt idx="1916">
                  <c:v>2.2586653785680411E-2</c:v>
                </c:pt>
                <c:pt idx="1917">
                  <c:v>2.2585240776239808E-2</c:v>
                </c:pt>
                <c:pt idx="1918">
                  <c:v>2.2583300962989779E-2</c:v>
                </c:pt>
                <c:pt idx="1919">
                  <c:v>2.2581405023662505E-2</c:v>
                </c:pt>
                <c:pt idx="1920">
                  <c:v>2.2579552958191952E-2</c:v>
                </c:pt>
                <c:pt idx="1921">
                  <c:v>2.2577744766519039E-2</c:v>
                </c:pt>
                <c:pt idx="1922">
                  <c:v>2.2575980448581206E-2</c:v>
                </c:pt>
                <c:pt idx="1923">
                  <c:v>2.257426000431937E-2</c:v>
                </c:pt>
                <c:pt idx="1924">
                  <c:v>2.2572583433676182E-2</c:v>
                </c:pt>
                <c:pt idx="1925">
                  <c:v>2.2569755325220875E-2</c:v>
                </c:pt>
                <c:pt idx="1926">
                  <c:v>2.2568160433438678E-2</c:v>
                </c:pt>
                <c:pt idx="1927">
                  <c:v>2.2566609409618188E-2</c:v>
                </c:pt>
                <c:pt idx="1928">
                  <c:v>2.2565102253712332E-2</c:v>
                </c:pt>
                <c:pt idx="1929">
                  <c:v>2.2563433505569108E-2</c:v>
                </c:pt>
                <c:pt idx="1930">
                  <c:v>2.2562020352170364E-2</c:v>
                </c:pt>
                <c:pt idx="1931">
                  <c:v>2.2560651066533488E-2</c:v>
                </c:pt>
                <c:pt idx="1932">
                  <c:v>2.2559325648616735E-2</c:v>
                </c:pt>
                <c:pt idx="1933">
                  <c:v>2.2558044098373919E-2</c:v>
                </c:pt>
                <c:pt idx="1934">
                  <c:v>2.2556181344238917E-2</c:v>
                </c:pt>
                <c:pt idx="1935">
                  <c:v>2.2554984470608601E-2</c:v>
                </c:pt>
                <c:pt idx="1936">
                  <c:v>2.2553831461791189E-2</c:v>
                </c:pt>
                <c:pt idx="1937">
                  <c:v>2.2552722317747166E-2</c:v>
                </c:pt>
                <c:pt idx="1938">
                  <c:v>2.2553569963827187E-2</c:v>
                </c:pt>
                <c:pt idx="1939">
                  <c:v>2.2552557759123654E-2</c:v>
                </c:pt>
                <c:pt idx="1940">
                  <c:v>2.2551589427313265E-2</c:v>
                </c:pt>
                <c:pt idx="1941">
                  <c:v>2.2552608433749684E-2</c:v>
                </c:pt>
                <c:pt idx="1942">
                  <c:v>2.2549784382245936E-2</c:v>
                </c:pt>
                <c:pt idx="1943">
                  <c:v>2.2548294328569026E-2</c:v>
                </c:pt>
                <c:pt idx="1944">
                  <c:v>2.2547498403966318E-2</c:v>
                </c:pt>
                <c:pt idx="1945">
                  <c:v>2.2546746349371895E-2</c:v>
                </c:pt>
                <c:pt idx="1946">
                  <c:v>2.2546038164757646E-2</c:v>
                </c:pt>
                <c:pt idx="1947">
                  <c:v>2.2546039543121923E-2</c:v>
                </c:pt>
                <c:pt idx="1948">
                  <c:v>2.2545422193415782E-2</c:v>
                </c:pt>
                <c:pt idx="1949">
                  <c:v>2.2546116001037737E-2</c:v>
                </c:pt>
                <c:pt idx="1950">
                  <c:v>2.2544319111948746E-2</c:v>
                </c:pt>
                <c:pt idx="1951">
                  <c:v>2.2543833380151354E-2</c:v>
                </c:pt>
                <c:pt idx="1952">
                  <c:v>2.2543391520953426E-2</c:v>
                </c:pt>
                <c:pt idx="1953">
                  <c:v>2.2542993534344542E-2</c:v>
                </c:pt>
                <c:pt idx="1954">
                  <c:v>2.2542639420308187E-2</c:v>
                </c:pt>
                <c:pt idx="1955">
                  <c:v>2.2542329178834804E-2</c:v>
                </c:pt>
                <c:pt idx="1956">
                  <c:v>2.2542062253555532E-2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152576"/>
        <c:axId val="584154496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15"/>
                <c:pt idx="0">
                  <c:v>42354</c:v>
                </c:pt>
                <c:pt idx="1">
                  <c:v>42445</c:v>
                </c:pt>
                <c:pt idx="2">
                  <c:v>42536</c:v>
                </c:pt>
                <c:pt idx="3">
                  <c:v>42634</c:v>
                </c:pt>
                <c:pt idx="4">
                  <c:v>42725</c:v>
                </c:pt>
                <c:pt idx="5">
                  <c:v>42809</c:v>
                </c:pt>
                <c:pt idx="6">
                  <c:v>42907</c:v>
                </c:pt>
                <c:pt idx="7">
                  <c:v>42998</c:v>
                </c:pt>
                <c:pt idx="8">
                  <c:v>43089</c:v>
                </c:pt>
                <c:pt idx="9">
                  <c:v>43180</c:v>
                </c:pt>
                <c:pt idx="10">
                  <c:v>43271</c:v>
                </c:pt>
                <c:pt idx="11">
                  <c:v>43362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15"/>
                <c:pt idx="0">
                  <c:v>-3.1499999999999775E-3</c:v>
                </c:pt>
                <c:pt idx="1">
                  <c:v>-3.1499999999999775E-3</c:v>
                </c:pt>
                <c:pt idx="2">
                  <c:v>-2.7249999999999375E-3</c:v>
                </c:pt>
                <c:pt idx="3">
                  <c:v>-2.0000000000000282E-3</c:v>
                </c:pt>
                <c:pt idx="4">
                  <c:v>-1.0750000000000171E-3</c:v>
                </c:pt>
                <c:pt idx="5">
                  <c:v>0</c:v>
                </c:pt>
                <c:pt idx="6">
                  <c:v>1.1750000000000681E-3</c:v>
                </c:pt>
                <c:pt idx="7">
                  <c:v>2.399999999999949E-3</c:v>
                </c:pt>
                <c:pt idx="8">
                  <c:v>3.6249999999999716E-3</c:v>
                </c:pt>
                <c:pt idx="9">
                  <c:v>4.8499999999999941E-3</c:v>
                </c:pt>
                <c:pt idx="10">
                  <c:v>6.075000000000017E-3</c:v>
                </c:pt>
                <c:pt idx="11">
                  <c:v>7.30000000000004E-3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152576"/>
        <c:axId val="584154496"/>
      </c:scatterChart>
      <c:dateAx>
        <c:axId val="584152576"/>
        <c:scaling>
          <c:orientation val="minMax"/>
          <c:max val="42917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5841544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84154496"/>
        <c:scaling>
          <c:orientation val="minMax"/>
          <c:max val="5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415257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506432434582041"/>
          <c:y val="0.68479658792650921"/>
          <c:w val="0.21767842466661369"/>
          <c:h val="0.12007124109486314"/>
        </c:manualLayout>
      </c:layout>
      <c:overlay val="1"/>
      <c:spPr>
        <a:noFill/>
        <a:ln>
          <a:noFill/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42276</c:v>
                </c:pt>
                <c:pt idx="1">
                  <c:v>42277</c:v>
                </c:pt>
                <c:pt idx="2">
                  <c:v>42278</c:v>
                </c:pt>
                <c:pt idx="3">
                  <c:v>42279</c:v>
                </c:pt>
                <c:pt idx="4">
                  <c:v>42282</c:v>
                </c:pt>
                <c:pt idx="5">
                  <c:v>42283</c:v>
                </c:pt>
                <c:pt idx="6">
                  <c:v>42284</c:v>
                </c:pt>
                <c:pt idx="7">
                  <c:v>42285</c:v>
                </c:pt>
                <c:pt idx="8">
                  <c:v>42286</c:v>
                </c:pt>
                <c:pt idx="9">
                  <c:v>42289</c:v>
                </c:pt>
                <c:pt idx="10">
                  <c:v>42290</c:v>
                </c:pt>
                <c:pt idx="11">
                  <c:v>42291</c:v>
                </c:pt>
                <c:pt idx="12">
                  <c:v>42292</c:v>
                </c:pt>
                <c:pt idx="13">
                  <c:v>42293</c:v>
                </c:pt>
                <c:pt idx="14">
                  <c:v>42296</c:v>
                </c:pt>
                <c:pt idx="15">
                  <c:v>42297</c:v>
                </c:pt>
                <c:pt idx="16">
                  <c:v>42298</c:v>
                </c:pt>
                <c:pt idx="17">
                  <c:v>42299</c:v>
                </c:pt>
                <c:pt idx="18">
                  <c:v>42300</c:v>
                </c:pt>
                <c:pt idx="19">
                  <c:v>42303</c:v>
                </c:pt>
                <c:pt idx="20">
                  <c:v>42304</c:v>
                </c:pt>
                <c:pt idx="21">
                  <c:v>42305</c:v>
                </c:pt>
                <c:pt idx="22">
                  <c:v>42306</c:v>
                </c:pt>
                <c:pt idx="23">
                  <c:v>42307</c:v>
                </c:pt>
                <c:pt idx="24">
                  <c:v>42310</c:v>
                </c:pt>
                <c:pt idx="25">
                  <c:v>42311</c:v>
                </c:pt>
                <c:pt idx="26">
                  <c:v>42312</c:v>
                </c:pt>
                <c:pt idx="27">
                  <c:v>42313</c:v>
                </c:pt>
                <c:pt idx="28">
                  <c:v>42314</c:v>
                </c:pt>
                <c:pt idx="29">
                  <c:v>42317</c:v>
                </c:pt>
                <c:pt idx="30">
                  <c:v>42318</c:v>
                </c:pt>
                <c:pt idx="31">
                  <c:v>42319</c:v>
                </c:pt>
                <c:pt idx="32">
                  <c:v>42320</c:v>
                </c:pt>
                <c:pt idx="33">
                  <c:v>42321</c:v>
                </c:pt>
                <c:pt idx="34">
                  <c:v>42324</c:v>
                </c:pt>
                <c:pt idx="35">
                  <c:v>42325</c:v>
                </c:pt>
                <c:pt idx="36">
                  <c:v>42326</c:v>
                </c:pt>
                <c:pt idx="37">
                  <c:v>42327</c:v>
                </c:pt>
                <c:pt idx="38">
                  <c:v>42328</c:v>
                </c:pt>
                <c:pt idx="39">
                  <c:v>42331</c:v>
                </c:pt>
                <c:pt idx="40">
                  <c:v>42332</c:v>
                </c:pt>
                <c:pt idx="41">
                  <c:v>42333</c:v>
                </c:pt>
                <c:pt idx="42">
                  <c:v>42334</c:v>
                </c:pt>
                <c:pt idx="43">
                  <c:v>42335</c:v>
                </c:pt>
                <c:pt idx="44">
                  <c:v>42338</c:v>
                </c:pt>
                <c:pt idx="45">
                  <c:v>42339</c:v>
                </c:pt>
                <c:pt idx="46">
                  <c:v>42340</c:v>
                </c:pt>
                <c:pt idx="47">
                  <c:v>42341</c:v>
                </c:pt>
                <c:pt idx="48">
                  <c:v>42342</c:v>
                </c:pt>
                <c:pt idx="49">
                  <c:v>42345</c:v>
                </c:pt>
                <c:pt idx="50">
                  <c:v>42346</c:v>
                </c:pt>
                <c:pt idx="51">
                  <c:v>42347</c:v>
                </c:pt>
                <c:pt idx="52">
                  <c:v>42348</c:v>
                </c:pt>
                <c:pt idx="53">
                  <c:v>42349</c:v>
                </c:pt>
                <c:pt idx="54">
                  <c:v>42352</c:v>
                </c:pt>
                <c:pt idx="55">
                  <c:v>42353</c:v>
                </c:pt>
                <c:pt idx="56">
                  <c:v>42354</c:v>
                </c:pt>
                <c:pt idx="57">
                  <c:v>42355</c:v>
                </c:pt>
                <c:pt idx="58">
                  <c:v>42356</c:v>
                </c:pt>
                <c:pt idx="59">
                  <c:v>42359</c:v>
                </c:pt>
                <c:pt idx="60">
                  <c:v>42360</c:v>
                </c:pt>
                <c:pt idx="61">
                  <c:v>42361</c:v>
                </c:pt>
                <c:pt idx="62">
                  <c:v>42366</c:v>
                </c:pt>
                <c:pt idx="63">
                  <c:v>42367</c:v>
                </c:pt>
                <c:pt idx="64">
                  <c:v>42368</c:v>
                </c:pt>
                <c:pt idx="65">
                  <c:v>42373</c:v>
                </c:pt>
                <c:pt idx="66">
                  <c:v>42374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42496</c:v>
                </c:pt>
                <c:pt idx="151">
                  <c:v>42499</c:v>
                </c:pt>
                <c:pt idx="152">
                  <c:v>42500</c:v>
                </c:pt>
                <c:pt idx="153">
                  <c:v>42501</c:v>
                </c:pt>
                <c:pt idx="154">
                  <c:v>42502</c:v>
                </c:pt>
                <c:pt idx="155">
                  <c:v>42503</c:v>
                </c:pt>
                <c:pt idx="156">
                  <c:v>42507</c:v>
                </c:pt>
                <c:pt idx="157">
                  <c:v>42508</c:v>
                </c:pt>
                <c:pt idx="158">
                  <c:v>42509</c:v>
                </c:pt>
                <c:pt idx="159">
                  <c:v>42510</c:v>
                </c:pt>
                <c:pt idx="160">
                  <c:v>42513</c:v>
                </c:pt>
                <c:pt idx="161">
                  <c:v>42514</c:v>
                </c:pt>
                <c:pt idx="162">
                  <c:v>42515</c:v>
                </c:pt>
                <c:pt idx="163">
                  <c:v>42516</c:v>
                </c:pt>
                <c:pt idx="164">
                  <c:v>42517</c:v>
                </c:pt>
                <c:pt idx="165">
                  <c:v>42520</c:v>
                </c:pt>
                <c:pt idx="166">
                  <c:v>42521</c:v>
                </c:pt>
                <c:pt idx="167">
                  <c:v>42522</c:v>
                </c:pt>
                <c:pt idx="168">
                  <c:v>42523</c:v>
                </c:pt>
                <c:pt idx="169">
                  <c:v>42524</c:v>
                </c:pt>
                <c:pt idx="170">
                  <c:v>42527</c:v>
                </c:pt>
                <c:pt idx="171">
                  <c:v>42528</c:v>
                </c:pt>
                <c:pt idx="172">
                  <c:v>42529</c:v>
                </c:pt>
                <c:pt idx="173">
                  <c:v>42530</c:v>
                </c:pt>
                <c:pt idx="174">
                  <c:v>42531</c:v>
                </c:pt>
                <c:pt idx="175">
                  <c:v>42534</c:v>
                </c:pt>
                <c:pt idx="176">
                  <c:v>42535</c:v>
                </c:pt>
                <c:pt idx="177">
                  <c:v>42536</c:v>
                </c:pt>
                <c:pt idx="178">
                  <c:v>42537</c:v>
                </c:pt>
                <c:pt idx="179">
                  <c:v>42538</c:v>
                </c:pt>
                <c:pt idx="180">
                  <c:v>42541</c:v>
                </c:pt>
                <c:pt idx="181">
                  <c:v>42542</c:v>
                </c:pt>
                <c:pt idx="182">
                  <c:v>42543</c:v>
                </c:pt>
                <c:pt idx="183">
                  <c:v>42544</c:v>
                </c:pt>
                <c:pt idx="184">
                  <c:v>42548</c:v>
                </c:pt>
                <c:pt idx="185">
                  <c:v>42549</c:v>
                </c:pt>
                <c:pt idx="186">
                  <c:v>42550</c:v>
                </c:pt>
                <c:pt idx="187">
                  <c:v>42551</c:v>
                </c:pt>
                <c:pt idx="188">
                  <c:v>42552</c:v>
                </c:pt>
                <c:pt idx="189">
                  <c:v>42555</c:v>
                </c:pt>
                <c:pt idx="190">
                  <c:v>42556</c:v>
                </c:pt>
                <c:pt idx="191">
                  <c:v>42557</c:v>
                </c:pt>
                <c:pt idx="192">
                  <c:v>42558</c:v>
                </c:pt>
                <c:pt idx="193">
                  <c:v>42559</c:v>
                </c:pt>
                <c:pt idx="194">
                  <c:v>42562</c:v>
                </c:pt>
                <c:pt idx="195">
                  <c:v>42563</c:v>
                </c:pt>
                <c:pt idx="196">
                  <c:v>42564</c:v>
                </c:pt>
                <c:pt idx="197">
                  <c:v>42565</c:v>
                </c:pt>
                <c:pt idx="198">
                  <c:v>42566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42576</c:v>
                </c:pt>
                <c:pt idx="205">
                  <c:v>42577</c:v>
                </c:pt>
                <c:pt idx="206">
                  <c:v>42578</c:v>
                </c:pt>
                <c:pt idx="207">
                  <c:v>42579</c:v>
                </c:pt>
                <c:pt idx="208">
                  <c:v>42580</c:v>
                </c:pt>
                <c:pt idx="209">
                  <c:v>42583</c:v>
                </c:pt>
                <c:pt idx="210">
                  <c:v>42584</c:v>
                </c:pt>
                <c:pt idx="211">
                  <c:v>42585</c:v>
                </c:pt>
                <c:pt idx="212">
                  <c:v>42586</c:v>
                </c:pt>
                <c:pt idx="213">
                  <c:v>42587</c:v>
                </c:pt>
                <c:pt idx="214">
                  <c:v>42590</c:v>
                </c:pt>
                <c:pt idx="215">
                  <c:v>42591</c:v>
                </c:pt>
                <c:pt idx="216">
                  <c:v>42592</c:v>
                </c:pt>
                <c:pt idx="217">
                  <c:v>42593</c:v>
                </c:pt>
                <c:pt idx="218">
                  <c:v>42594</c:v>
                </c:pt>
                <c:pt idx="219">
                  <c:v>42597</c:v>
                </c:pt>
                <c:pt idx="220">
                  <c:v>42598</c:v>
                </c:pt>
                <c:pt idx="221">
                  <c:v>42599</c:v>
                </c:pt>
                <c:pt idx="222">
                  <c:v>42600</c:v>
                </c:pt>
                <c:pt idx="223">
                  <c:v>42601</c:v>
                </c:pt>
                <c:pt idx="224">
                  <c:v>42604</c:v>
                </c:pt>
                <c:pt idx="225">
                  <c:v>42605</c:v>
                </c:pt>
                <c:pt idx="226">
                  <c:v>42606</c:v>
                </c:pt>
                <c:pt idx="227">
                  <c:v>42607</c:v>
                </c:pt>
                <c:pt idx="228">
                  <c:v>42608</c:v>
                </c:pt>
                <c:pt idx="229">
                  <c:v>42611</c:v>
                </c:pt>
                <c:pt idx="230">
                  <c:v>42612</c:v>
                </c:pt>
                <c:pt idx="231">
                  <c:v>42613</c:v>
                </c:pt>
                <c:pt idx="232">
                  <c:v>42614</c:v>
                </c:pt>
                <c:pt idx="233">
                  <c:v>42615</c:v>
                </c:pt>
                <c:pt idx="234">
                  <c:v>42618</c:v>
                </c:pt>
                <c:pt idx="235">
                  <c:v>42619</c:v>
                </c:pt>
                <c:pt idx="236">
                  <c:v>42620</c:v>
                </c:pt>
                <c:pt idx="237">
                  <c:v>42621</c:v>
                </c:pt>
                <c:pt idx="238">
                  <c:v>42622</c:v>
                </c:pt>
                <c:pt idx="239">
                  <c:v>42625</c:v>
                </c:pt>
                <c:pt idx="240">
                  <c:v>42626</c:v>
                </c:pt>
                <c:pt idx="241">
                  <c:v>42627</c:v>
                </c:pt>
                <c:pt idx="242">
                  <c:v>42628</c:v>
                </c:pt>
                <c:pt idx="243">
                  <c:v>42629</c:v>
                </c:pt>
                <c:pt idx="244">
                  <c:v>42632</c:v>
                </c:pt>
                <c:pt idx="245">
                  <c:v>42633</c:v>
                </c:pt>
                <c:pt idx="246">
                  <c:v>42634</c:v>
                </c:pt>
                <c:pt idx="247">
                  <c:v>42635</c:v>
                </c:pt>
                <c:pt idx="248">
                  <c:v>42636</c:v>
                </c:pt>
                <c:pt idx="249">
                  <c:v>42639</c:v>
                </c:pt>
                <c:pt idx="250">
                  <c:v>42640</c:v>
                </c:pt>
                <c:pt idx="251">
                  <c:v>42641</c:v>
                </c:pt>
                <c:pt idx="252">
                  <c:v>42642</c:v>
                </c:pt>
                <c:pt idx="253">
                  <c:v>42643</c:v>
                </c:pt>
                <c:pt idx="254">
                  <c:v>42646</c:v>
                </c:pt>
                <c:pt idx="255">
                  <c:v>42647</c:v>
                </c:pt>
                <c:pt idx="256">
                  <c:v>42648</c:v>
                </c:pt>
                <c:pt idx="257">
                  <c:v>42649</c:v>
                </c:pt>
                <c:pt idx="258">
                  <c:v>42650</c:v>
                </c:pt>
                <c:pt idx="259">
                  <c:v>42653</c:v>
                </c:pt>
                <c:pt idx="260">
                  <c:v>42654</c:v>
                </c:pt>
                <c:pt idx="261">
                  <c:v>42655</c:v>
                </c:pt>
                <c:pt idx="262">
                  <c:v>42656</c:v>
                </c:pt>
                <c:pt idx="263">
                  <c:v>42657</c:v>
                </c:pt>
                <c:pt idx="264">
                  <c:v>42660</c:v>
                </c:pt>
                <c:pt idx="265">
                  <c:v>42661</c:v>
                </c:pt>
                <c:pt idx="266">
                  <c:v>42662</c:v>
                </c:pt>
                <c:pt idx="267">
                  <c:v>42663</c:v>
                </c:pt>
                <c:pt idx="268">
                  <c:v>42664</c:v>
                </c:pt>
                <c:pt idx="269">
                  <c:v>42667</c:v>
                </c:pt>
                <c:pt idx="270">
                  <c:v>42668</c:v>
                </c:pt>
                <c:pt idx="271">
                  <c:v>42669</c:v>
                </c:pt>
                <c:pt idx="272">
                  <c:v>42670</c:v>
                </c:pt>
                <c:pt idx="273">
                  <c:v>42671</c:v>
                </c:pt>
                <c:pt idx="274">
                  <c:v>42674</c:v>
                </c:pt>
                <c:pt idx="275">
                  <c:v>42675</c:v>
                </c:pt>
                <c:pt idx="276">
                  <c:v>42676</c:v>
                </c:pt>
                <c:pt idx="277">
                  <c:v>42677</c:v>
                </c:pt>
                <c:pt idx="278">
                  <c:v>42678</c:v>
                </c:pt>
                <c:pt idx="279">
                  <c:v>42681</c:v>
                </c:pt>
                <c:pt idx="280">
                  <c:v>42682</c:v>
                </c:pt>
                <c:pt idx="281">
                  <c:v>42683</c:v>
                </c:pt>
                <c:pt idx="282">
                  <c:v>42684</c:v>
                </c:pt>
                <c:pt idx="283">
                  <c:v>42685</c:v>
                </c:pt>
                <c:pt idx="284">
                  <c:v>42688</c:v>
                </c:pt>
                <c:pt idx="285">
                  <c:v>42689</c:v>
                </c:pt>
                <c:pt idx="286">
                  <c:v>42690</c:v>
                </c:pt>
                <c:pt idx="287">
                  <c:v>42691</c:v>
                </c:pt>
                <c:pt idx="288">
                  <c:v>42692</c:v>
                </c:pt>
                <c:pt idx="289">
                  <c:v>42695</c:v>
                </c:pt>
                <c:pt idx="290">
                  <c:v>42696</c:v>
                </c:pt>
                <c:pt idx="291">
                  <c:v>42697</c:v>
                </c:pt>
                <c:pt idx="292">
                  <c:v>42698</c:v>
                </c:pt>
                <c:pt idx="293">
                  <c:v>42699</c:v>
                </c:pt>
                <c:pt idx="294">
                  <c:v>42702</c:v>
                </c:pt>
                <c:pt idx="295">
                  <c:v>42703</c:v>
                </c:pt>
                <c:pt idx="296">
                  <c:v>42704</c:v>
                </c:pt>
                <c:pt idx="297">
                  <c:v>42705</c:v>
                </c:pt>
                <c:pt idx="298">
                  <c:v>42706</c:v>
                </c:pt>
                <c:pt idx="299">
                  <c:v>42709</c:v>
                </c:pt>
                <c:pt idx="300">
                  <c:v>42710</c:v>
                </c:pt>
                <c:pt idx="301">
                  <c:v>42711</c:v>
                </c:pt>
                <c:pt idx="302">
                  <c:v>42712</c:v>
                </c:pt>
                <c:pt idx="303">
                  <c:v>42713</c:v>
                </c:pt>
                <c:pt idx="304">
                  <c:v>42716</c:v>
                </c:pt>
                <c:pt idx="305">
                  <c:v>42717</c:v>
                </c:pt>
                <c:pt idx="306">
                  <c:v>42718</c:v>
                </c:pt>
                <c:pt idx="307">
                  <c:v>42719</c:v>
                </c:pt>
                <c:pt idx="308">
                  <c:v>42720</c:v>
                </c:pt>
                <c:pt idx="309">
                  <c:v>42723</c:v>
                </c:pt>
                <c:pt idx="310">
                  <c:v>42724</c:v>
                </c:pt>
                <c:pt idx="311">
                  <c:v>42725</c:v>
                </c:pt>
                <c:pt idx="312">
                  <c:v>42726</c:v>
                </c:pt>
                <c:pt idx="313">
                  <c:v>42727</c:v>
                </c:pt>
                <c:pt idx="314">
                  <c:v>42731</c:v>
                </c:pt>
                <c:pt idx="315">
                  <c:v>42732</c:v>
                </c:pt>
                <c:pt idx="316">
                  <c:v>42733</c:v>
                </c:pt>
                <c:pt idx="317">
                  <c:v>42734</c:v>
                </c:pt>
                <c:pt idx="318">
                  <c:v>42737</c:v>
                </c:pt>
                <c:pt idx="319">
                  <c:v>42738</c:v>
                </c:pt>
                <c:pt idx="320">
                  <c:v>42739</c:v>
                </c:pt>
                <c:pt idx="321">
                  <c:v>42740</c:v>
                </c:pt>
                <c:pt idx="322">
                  <c:v>42744</c:v>
                </c:pt>
                <c:pt idx="323">
                  <c:v>42745</c:v>
                </c:pt>
                <c:pt idx="324">
                  <c:v>42746</c:v>
                </c:pt>
                <c:pt idx="325">
                  <c:v>42747</c:v>
                </c:pt>
                <c:pt idx="326">
                  <c:v>42748</c:v>
                </c:pt>
                <c:pt idx="327">
                  <c:v>42751</c:v>
                </c:pt>
                <c:pt idx="328">
                  <c:v>42752</c:v>
                </c:pt>
                <c:pt idx="329">
                  <c:v>42753</c:v>
                </c:pt>
                <c:pt idx="330">
                  <c:v>42754</c:v>
                </c:pt>
                <c:pt idx="331">
                  <c:v>42755</c:v>
                </c:pt>
                <c:pt idx="332">
                  <c:v>42758</c:v>
                </c:pt>
                <c:pt idx="333">
                  <c:v>42759</c:v>
                </c:pt>
                <c:pt idx="334">
                  <c:v>42760</c:v>
                </c:pt>
                <c:pt idx="335">
                  <c:v>42761</c:v>
                </c:pt>
                <c:pt idx="336">
                  <c:v>42762</c:v>
                </c:pt>
                <c:pt idx="337">
                  <c:v>42765</c:v>
                </c:pt>
                <c:pt idx="338">
                  <c:v>42766</c:v>
                </c:pt>
                <c:pt idx="339">
                  <c:v>42767</c:v>
                </c:pt>
                <c:pt idx="340">
                  <c:v>42768</c:v>
                </c:pt>
                <c:pt idx="341">
                  <c:v>42769</c:v>
                </c:pt>
                <c:pt idx="342">
                  <c:v>42772</c:v>
                </c:pt>
                <c:pt idx="343">
                  <c:v>42773</c:v>
                </c:pt>
                <c:pt idx="344">
                  <c:v>42774</c:v>
                </c:pt>
                <c:pt idx="345">
                  <c:v>42775</c:v>
                </c:pt>
                <c:pt idx="346">
                  <c:v>42776</c:v>
                </c:pt>
                <c:pt idx="347">
                  <c:v>42779</c:v>
                </c:pt>
                <c:pt idx="348">
                  <c:v>42780</c:v>
                </c:pt>
                <c:pt idx="349">
                  <c:v>42781</c:v>
                </c:pt>
                <c:pt idx="350">
                  <c:v>42782</c:v>
                </c:pt>
                <c:pt idx="351">
                  <c:v>42783</c:v>
                </c:pt>
                <c:pt idx="352">
                  <c:v>42786</c:v>
                </c:pt>
                <c:pt idx="353">
                  <c:v>42787</c:v>
                </c:pt>
                <c:pt idx="354">
                  <c:v>42788</c:v>
                </c:pt>
                <c:pt idx="355">
                  <c:v>42789</c:v>
                </c:pt>
                <c:pt idx="356">
                  <c:v>42790</c:v>
                </c:pt>
                <c:pt idx="357">
                  <c:v>42793</c:v>
                </c:pt>
                <c:pt idx="358">
                  <c:v>42794</c:v>
                </c:pt>
                <c:pt idx="359">
                  <c:v>42795</c:v>
                </c:pt>
                <c:pt idx="360">
                  <c:v>42796</c:v>
                </c:pt>
                <c:pt idx="361">
                  <c:v>42797</c:v>
                </c:pt>
                <c:pt idx="362">
                  <c:v>42800</c:v>
                </c:pt>
                <c:pt idx="363">
                  <c:v>42801</c:v>
                </c:pt>
                <c:pt idx="364">
                  <c:v>42802</c:v>
                </c:pt>
                <c:pt idx="365">
                  <c:v>42803</c:v>
                </c:pt>
                <c:pt idx="366">
                  <c:v>42804</c:v>
                </c:pt>
                <c:pt idx="367">
                  <c:v>42807</c:v>
                </c:pt>
                <c:pt idx="368">
                  <c:v>42808</c:v>
                </c:pt>
                <c:pt idx="369">
                  <c:v>42809</c:v>
                </c:pt>
                <c:pt idx="370">
                  <c:v>42810</c:v>
                </c:pt>
                <c:pt idx="371">
                  <c:v>42811</c:v>
                </c:pt>
                <c:pt idx="372">
                  <c:v>42814</c:v>
                </c:pt>
                <c:pt idx="373">
                  <c:v>42815</c:v>
                </c:pt>
                <c:pt idx="374">
                  <c:v>42816</c:v>
                </c:pt>
                <c:pt idx="375">
                  <c:v>42817</c:v>
                </c:pt>
                <c:pt idx="376">
                  <c:v>42818</c:v>
                </c:pt>
                <c:pt idx="377">
                  <c:v>42821</c:v>
                </c:pt>
                <c:pt idx="378">
                  <c:v>42822</c:v>
                </c:pt>
                <c:pt idx="379">
                  <c:v>42823</c:v>
                </c:pt>
                <c:pt idx="380">
                  <c:v>42824</c:v>
                </c:pt>
                <c:pt idx="381">
                  <c:v>42825</c:v>
                </c:pt>
                <c:pt idx="382">
                  <c:v>42828</c:v>
                </c:pt>
                <c:pt idx="383">
                  <c:v>42829</c:v>
                </c:pt>
                <c:pt idx="384">
                  <c:v>42830</c:v>
                </c:pt>
                <c:pt idx="385">
                  <c:v>42831</c:v>
                </c:pt>
                <c:pt idx="386">
                  <c:v>42832</c:v>
                </c:pt>
                <c:pt idx="387">
                  <c:v>42835</c:v>
                </c:pt>
                <c:pt idx="388">
                  <c:v>42836</c:v>
                </c:pt>
                <c:pt idx="389">
                  <c:v>42837</c:v>
                </c:pt>
                <c:pt idx="390">
                  <c:v>42838</c:v>
                </c:pt>
                <c:pt idx="391">
                  <c:v>42843</c:v>
                </c:pt>
                <c:pt idx="392">
                  <c:v>42844</c:v>
                </c:pt>
                <c:pt idx="393">
                  <c:v>42845</c:v>
                </c:pt>
                <c:pt idx="394">
                  <c:v>42846</c:v>
                </c:pt>
                <c:pt idx="395">
                  <c:v>42849</c:v>
                </c:pt>
                <c:pt idx="396">
                  <c:v>42850</c:v>
                </c:pt>
                <c:pt idx="397">
                  <c:v>42851</c:v>
                </c:pt>
                <c:pt idx="398">
                  <c:v>42852</c:v>
                </c:pt>
                <c:pt idx="399">
                  <c:v>42853</c:v>
                </c:pt>
                <c:pt idx="400">
                  <c:v>42857</c:v>
                </c:pt>
                <c:pt idx="401">
                  <c:v>42858</c:v>
                </c:pt>
                <c:pt idx="402">
                  <c:v>42859</c:v>
                </c:pt>
                <c:pt idx="403">
                  <c:v>42860</c:v>
                </c:pt>
                <c:pt idx="404">
                  <c:v>42863</c:v>
                </c:pt>
                <c:pt idx="405">
                  <c:v>42864</c:v>
                </c:pt>
                <c:pt idx="406">
                  <c:v>42865</c:v>
                </c:pt>
                <c:pt idx="407">
                  <c:v>42866</c:v>
                </c:pt>
                <c:pt idx="408">
                  <c:v>42867</c:v>
                </c:pt>
                <c:pt idx="409">
                  <c:v>42870</c:v>
                </c:pt>
                <c:pt idx="410">
                  <c:v>42871</c:v>
                </c:pt>
                <c:pt idx="411">
                  <c:v>42872</c:v>
                </c:pt>
                <c:pt idx="412">
                  <c:v>42873</c:v>
                </c:pt>
                <c:pt idx="413">
                  <c:v>42874</c:v>
                </c:pt>
                <c:pt idx="414">
                  <c:v>42877</c:v>
                </c:pt>
                <c:pt idx="415">
                  <c:v>42878</c:v>
                </c:pt>
                <c:pt idx="416">
                  <c:v>42879</c:v>
                </c:pt>
                <c:pt idx="417">
                  <c:v>42881</c:v>
                </c:pt>
                <c:pt idx="418">
                  <c:v>42884</c:v>
                </c:pt>
                <c:pt idx="419">
                  <c:v>42885</c:v>
                </c:pt>
                <c:pt idx="420">
                  <c:v>42886</c:v>
                </c:pt>
                <c:pt idx="421">
                  <c:v>42887</c:v>
                </c:pt>
                <c:pt idx="422">
                  <c:v>42888</c:v>
                </c:pt>
                <c:pt idx="423">
                  <c:v>42892</c:v>
                </c:pt>
                <c:pt idx="424">
                  <c:v>42893</c:v>
                </c:pt>
                <c:pt idx="425">
                  <c:v>42894</c:v>
                </c:pt>
                <c:pt idx="426">
                  <c:v>42895</c:v>
                </c:pt>
                <c:pt idx="427">
                  <c:v>42898</c:v>
                </c:pt>
                <c:pt idx="428">
                  <c:v>42899</c:v>
                </c:pt>
                <c:pt idx="429">
                  <c:v>42900</c:v>
                </c:pt>
                <c:pt idx="430">
                  <c:v>42901</c:v>
                </c:pt>
                <c:pt idx="431">
                  <c:v>42902</c:v>
                </c:pt>
                <c:pt idx="432">
                  <c:v>42905</c:v>
                </c:pt>
                <c:pt idx="433">
                  <c:v>42906</c:v>
                </c:pt>
                <c:pt idx="434">
                  <c:v>42907</c:v>
                </c:pt>
                <c:pt idx="435">
                  <c:v>42908</c:v>
                </c:pt>
                <c:pt idx="436">
                  <c:v>42912</c:v>
                </c:pt>
                <c:pt idx="437">
                  <c:v>42913</c:v>
                </c:pt>
                <c:pt idx="438">
                  <c:v>42914</c:v>
                </c:pt>
                <c:pt idx="439">
                  <c:v>42915</c:v>
                </c:pt>
                <c:pt idx="440">
                  <c:v>42916</c:v>
                </c:pt>
                <c:pt idx="441">
                  <c:v>42919</c:v>
                </c:pt>
                <c:pt idx="442">
                  <c:v>42920</c:v>
                </c:pt>
                <c:pt idx="443">
                  <c:v>42921</c:v>
                </c:pt>
                <c:pt idx="444">
                  <c:v>42922</c:v>
                </c:pt>
                <c:pt idx="445">
                  <c:v>42923</c:v>
                </c:pt>
                <c:pt idx="446">
                  <c:v>42926</c:v>
                </c:pt>
                <c:pt idx="447">
                  <c:v>42927</c:v>
                </c:pt>
                <c:pt idx="448">
                  <c:v>42928</c:v>
                </c:pt>
                <c:pt idx="449">
                  <c:v>42929</c:v>
                </c:pt>
                <c:pt idx="450">
                  <c:v>42930</c:v>
                </c:pt>
                <c:pt idx="451">
                  <c:v>42933</c:v>
                </c:pt>
                <c:pt idx="452">
                  <c:v>42934</c:v>
                </c:pt>
                <c:pt idx="453">
                  <c:v>42935</c:v>
                </c:pt>
                <c:pt idx="454">
                  <c:v>42936</c:v>
                </c:pt>
                <c:pt idx="455">
                  <c:v>42937</c:v>
                </c:pt>
                <c:pt idx="456">
                  <c:v>42940</c:v>
                </c:pt>
                <c:pt idx="457">
                  <c:v>42941</c:v>
                </c:pt>
                <c:pt idx="458">
                  <c:v>42942</c:v>
                </c:pt>
                <c:pt idx="459">
                  <c:v>42943</c:v>
                </c:pt>
                <c:pt idx="460">
                  <c:v>42944</c:v>
                </c:pt>
                <c:pt idx="461">
                  <c:v>42947</c:v>
                </c:pt>
                <c:pt idx="462">
                  <c:v>42948</c:v>
                </c:pt>
                <c:pt idx="463">
                  <c:v>42949</c:v>
                </c:pt>
                <c:pt idx="464">
                  <c:v>42950</c:v>
                </c:pt>
                <c:pt idx="465">
                  <c:v>42951</c:v>
                </c:pt>
                <c:pt idx="466">
                  <c:v>42954</c:v>
                </c:pt>
                <c:pt idx="467">
                  <c:v>42955</c:v>
                </c:pt>
                <c:pt idx="468">
                  <c:v>42956</c:v>
                </c:pt>
                <c:pt idx="469">
                  <c:v>42957</c:v>
                </c:pt>
                <c:pt idx="470">
                  <c:v>42958</c:v>
                </c:pt>
                <c:pt idx="471">
                  <c:v>42961</c:v>
                </c:pt>
                <c:pt idx="472">
                  <c:v>42962</c:v>
                </c:pt>
                <c:pt idx="473">
                  <c:v>42963</c:v>
                </c:pt>
                <c:pt idx="474">
                  <c:v>42964</c:v>
                </c:pt>
                <c:pt idx="475">
                  <c:v>42965</c:v>
                </c:pt>
                <c:pt idx="476">
                  <c:v>42968</c:v>
                </c:pt>
                <c:pt idx="477">
                  <c:v>42969</c:v>
                </c:pt>
                <c:pt idx="478">
                  <c:v>42970</c:v>
                </c:pt>
                <c:pt idx="479">
                  <c:v>42971</c:v>
                </c:pt>
                <c:pt idx="480">
                  <c:v>42972</c:v>
                </c:pt>
                <c:pt idx="481">
                  <c:v>42975</c:v>
                </c:pt>
                <c:pt idx="482">
                  <c:v>42976</c:v>
                </c:pt>
                <c:pt idx="483">
                  <c:v>42977</c:v>
                </c:pt>
                <c:pt idx="484">
                  <c:v>42978</c:v>
                </c:pt>
                <c:pt idx="485">
                  <c:v>42979</c:v>
                </c:pt>
                <c:pt idx="486">
                  <c:v>42982</c:v>
                </c:pt>
                <c:pt idx="487">
                  <c:v>42983</c:v>
                </c:pt>
                <c:pt idx="488">
                  <c:v>42984</c:v>
                </c:pt>
                <c:pt idx="489">
                  <c:v>42985</c:v>
                </c:pt>
                <c:pt idx="490">
                  <c:v>42986</c:v>
                </c:pt>
                <c:pt idx="491">
                  <c:v>42989</c:v>
                </c:pt>
                <c:pt idx="492">
                  <c:v>42990</c:v>
                </c:pt>
                <c:pt idx="493">
                  <c:v>42991</c:v>
                </c:pt>
                <c:pt idx="494">
                  <c:v>42992</c:v>
                </c:pt>
                <c:pt idx="495">
                  <c:v>42993</c:v>
                </c:pt>
                <c:pt idx="496">
                  <c:v>42996</c:v>
                </c:pt>
                <c:pt idx="497">
                  <c:v>42997</c:v>
                </c:pt>
                <c:pt idx="498">
                  <c:v>42998</c:v>
                </c:pt>
                <c:pt idx="499">
                  <c:v>42999</c:v>
                </c:pt>
                <c:pt idx="500">
                  <c:v>43000</c:v>
                </c:pt>
                <c:pt idx="501">
                  <c:v>43003</c:v>
                </c:pt>
                <c:pt idx="502">
                  <c:v>43004</c:v>
                </c:pt>
                <c:pt idx="503">
                  <c:v>43005</c:v>
                </c:pt>
                <c:pt idx="504">
                  <c:v>43006</c:v>
                </c:pt>
                <c:pt idx="505">
                  <c:v>43007</c:v>
                </c:pt>
                <c:pt idx="506">
                  <c:v>43010</c:v>
                </c:pt>
                <c:pt idx="507">
                  <c:v>43011</c:v>
                </c:pt>
                <c:pt idx="508">
                  <c:v>43012</c:v>
                </c:pt>
                <c:pt idx="509">
                  <c:v>43013</c:v>
                </c:pt>
                <c:pt idx="510">
                  <c:v>43014</c:v>
                </c:pt>
                <c:pt idx="511">
                  <c:v>43017</c:v>
                </c:pt>
                <c:pt idx="512">
                  <c:v>43018</c:v>
                </c:pt>
                <c:pt idx="513">
                  <c:v>43019</c:v>
                </c:pt>
                <c:pt idx="514">
                  <c:v>43020</c:v>
                </c:pt>
                <c:pt idx="515">
                  <c:v>43021</c:v>
                </c:pt>
                <c:pt idx="516">
                  <c:v>43024</c:v>
                </c:pt>
                <c:pt idx="517">
                  <c:v>43025</c:v>
                </c:pt>
                <c:pt idx="518">
                  <c:v>43032</c:v>
                </c:pt>
                <c:pt idx="519">
                  <c:v>43039</c:v>
                </c:pt>
                <c:pt idx="520">
                  <c:v>43046</c:v>
                </c:pt>
                <c:pt idx="521">
                  <c:v>43053</c:v>
                </c:pt>
                <c:pt idx="522">
                  <c:v>43060</c:v>
                </c:pt>
                <c:pt idx="523">
                  <c:v>43067</c:v>
                </c:pt>
                <c:pt idx="524">
                  <c:v>43074</c:v>
                </c:pt>
                <c:pt idx="525">
                  <c:v>43081</c:v>
                </c:pt>
                <c:pt idx="526">
                  <c:v>43088</c:v>
                </c:pt>
                <c:pt idx="527">
                  <c:v>43097</c:v>
                </c:pt>
                <c:pt idx="528">
                  <c:v>43103</c:v>
                </c:pt>
                <c:pt idx="529">
                  <c:v>43109</c:v>
                </c:pt>
                <c:pt idx="530">
                  <c:v>43116</c:v>
                </c:pt>
                <c:pt idx="531">
                  <c:v>43123</c:v>
                </c:pt>
                <c:pt idx="532">
                  <c:v>43130</c:v>
                </c:pt>
                <c:pt idx="533">
                  <c:v>43137</c:v>
                </c:pt>
                <c:pt idx="534">
                  <c:v>43144</c:v>
                </c:pt>
                <c:pt idx="535">
                  <c:v>43151</c:v>
                </c:pt>
                <c:pt idx="536">
                  <c:v>43158</c:v>
                </c:pt>
                <c:pt idx="537">
                  <c:v>43165</c:v>
                </c:pt>
                <c:pt idx="538">
                  <c:v>43172</c:v>
                </c:pt>
                <c:pt idx="539">
                  <c:v>43179</c:v>
                </c:pt>
                <c:pt idx="540">
                  <c:v>43186</c:v>
                </c:pt>
                <c:pt idx="541">
                  <c:v>43195</c:v>
                </c:pt>
                <c:pt idx="542">
                  <c:v>43202</c:v>
                </c:pt>
                <c:pt idx="543">
                  <c:v>43209</c:v>
                </c:pt>
                <c:pt idx="544">
                  <c:v>43216</c:v>
                </c:pt>
                <c:pt idx="545">
                  <c:v>43224</c:v>
                </c:pt>
                <c:pt idx="546">
                  <c:v>43234</c:v>
                </c:pt>
                <c:pt idx="547">
                  <c:v>43238</c:v>
                </c:pt>
                <c:pt idx="548">
                  <c:v>43245</c:v>
                </c:pt>
                <c:pt idx="549">
                  <c:v>43252</c:v>
                </c:pt>
                <c:pt idx="550">
                  <c:v>43259</c:v>
                </c:pt>
                <c:pt idx="551">
                  <c:v>43266</c:v>
                </c:pt>
                <c:pt idx="552">
                  <c:v>43276</c:v>
                </c:pt>
                <c:pt idx="553">
                  <c:v>43280</c:v>
                </c:pt>
                <c:pt idx="554">
                  <c:v>43287</c:v>
                </c:pt>
                <c:pt idx="555">
                  <c:v>43294</c:v>
                </c:pt>
                <c:pt idx="556">
                  <c:v>43301</c:v>
                </c:pt>
                <c:pt idx="557">
                  <c:v>43308</c:v>
                </c:pt>
                <c:pt idx="558">
                  <c:v>43315</c:v>
                </c:pt>
                <c:pt idx="559">
                  <c:v>43322</c:v>
                </c:pt>
                <c:pt idx="560">
                  <c:v>43329</c:v>
                </c:pt>
                <c:pt idx="561">
                  <c:v>43336</c:v>
                </c:pt>
                <c:pt idx="562">
                  <c:v>43343</c:v>
                </c:pt>
                <c:pt idx="563">
                  <c:v>43350</c:v>
                </c:pt>
                <c:pt idx="564">
                  <c:v>43357</c:v>
                </c:pt>
                <c:pt idx="565">
                  <c:v>43364</c:v>
                </c:pt>
                <c:pt idx="566">
                  <c:v>43371</c:v>
                </c:pt>
                <c:pt idx="567">
                  <c:v>43378</c:v>
                </c:pt>
                <c:pt idx="568">
                  <c:v>43385</c:v>
                </c:pt>
                <c:pt idx="569">
                  <c:v>43392</c:v>
                </c:pt>
                <c:pt idx="570">
                  <c:v>43399</c:v>
                </c:pt>
                <c:pt idx="571">
                  <c:v>43406</c:v>
                </c:pt>
                <c:pt idx="572">
                  <c:v>43413</c:v>
                </c:pt>
                <c:pt idx="573">
                  <c:v>43420</c:v>
                </c:pt>
                <c:pt idx="574">
                  <c:v>43427</c:v>
                </c:pt>
                <c:pt idx="575">
                  <c:v>43434</c:v>
                </c:pt>
                <c:pt idx="576">
                  <c:v>43441</c:v>
                </c:pt>
                <c:pt idx="577">
                  <c:v>43448</c:v>
                </c:pt>
                <c:pt idx="578">
                  <c:v>43455</c:v>
                </c:pt>
                <c:pt idx="579">
                  <c:v>43467</c:v>
                </c:pt>
                <c:pt idx="580">
                  <c:v>43472</c:v>
                </c:pt>
                <c:pt idx="581">
                  <c:v>43479</c:v>
                </c:pt>
                <c:pt idx="582">
                  <c:v>43486</c:v>
                </c:pt>
                <c:pt idx="583">
                  <c:v>43493</c:v>
                </c:pt>
                <c:pt idx="584">
                  <c:v>43500</c:v>
                </c:pt>
                <c:pt idx="585">
                  <c:v>43507</c:v>
                </c:pt>
                <c:pt idx="586">
                  <c:v>43514</c:v>
                </c:pt>
                <c:pt idx="587">
                  <c:v>43521</c:v>
                </c:pt>
                <c:pt idx="588">
                  <c:v>43528</c:v>
                </c:pt>
                <c:pt idx="589">
                  <c:v>43535</c:v>
                </c:pt>
                <c:pt idx="590">
                  <c:v>43542</c:v>
                </c:pt>
                <c:pt idx="591">
                  <c:v>43549</c:v>
                </c:pt>
                <c:pt idx="592">
                  <c:v>43556</c:v>
                </c:pt>
                <c:pt idx="593">
                  <c:v>43563</c:v>
                </c:pt>
                <c:pt idx="594">
                  <c:v>43570</c:v>
                </c:pt>
                <c:pt idx="595">
                  <c:v>43579</c:v>
                </c:pt>
                <c:pt idx="596">
                  <c:v>43584</c:v>
                </c:pt>
                <c:pt idx="597">
                  <c:v>43591</c:v>
                </c:pt>
                <c:pt idx="598">
                  <c:v>43598</c:v>
                </c:pt>
                <c:pt idx="599">
                  <c:v>43605</c:v>
                </c:pt>
                <c:pt idx="600">
                  <c:v>43612</c:v>
                </c:pt>
                <c:pt idx="601">
                  <c:v>43620</c:v>
                </c:pt>
                <c:pt idx="602">
                  <c:v>43628</c:v>
                </c:pt>
                <c:pt idx="603">
                  <c:v>43634</c:v>
                </c:pt>
                <c:pt idx="604">
                  <c:v>43642</c:v>
                </c:pt>
                <c:pt idx="605">
                  <c:v>43649</c:v>
                </c:pt>
                <c:pt idx="606">
                  <c:v>43656</c:v>
                </c:pt>
                <c:pt idx="607">
                  <c:v>43663</c:v>
                </c:pt>
                <c:pt idx="608">
                  <c:v>43670</c:v>
                </c:pt>
                <c:pt idx="609">
                  <c:v>43677</c:v>
                </c:pt>
                <c:pt idx="610">
                  <c:v>43684</c:v>
                </c:pt>
                <c:pt idx="611">
                  <c:v>43691</c:v>
                </c:pt>
                <c:pt idx="612">
                  <c:v>43698</c:v>
                </c:pt>
                <c:pt idx="613">
                  <c:v>43705</c:v>
                </c:pt>
                <c:pt idx="614">
                  <c:v>43712</c:v>
                </c:pt>
                <c:pt idx="615">
                  <c:v>43719</c:v>
                </c:pt>
                <c:pt idx="616">
                  <c:v>43726</c:v>
                </c:pt>
                <c:pt idx="617">
                  <c:v>43733</c:v>
                </c:pt>
                <c:pt idx="618">
                  <c:v>43740</c:v>
                </c:pt>
                <c:pt idx="619">
                  <c:v>43747</c:v>
                </c:pt>
                <c:pt idx="620">
                  <c:v>43754</c:v>
                </c:pt>
                <c:pt idx="621">
                  <c:v>43761</c:v>
                </c:pt>
                <c:pt idx="622">
                  <c:v>43768</c:v>
                </c:pt>
                <c:pt idx="623">
                  <c:v>43775</c:v>
                </c:pt>
                <c:pt idx="624">
                  <c:v>43782</c:v>
                </c:pt>
                <c:pt idx="625">
                  <c:v>43789</c:v>
                </c:pt>
                <c:pt idx="626">
                  <c:v>43796</c:v>
                </c:pt>
                <c:pt idx="627">
                  <c:v>43803</c:v>
                </c:pt>
                <c:pt idx="628">
                  <c:v>43810</c:v>
                </c:pt>
                <c:pt idx="629">
                  <c:v>43817</c:v>
                </c:pt>
                <c:pt idx="630">
                  <c:v>43829</c:v>
                </c:pt>
                <c:pt idx="631">
                  <c:v>43833</c:v>
                </c:pt>
                <c:pt idx="632">
                  <c:v>43839</c:v>
                </c:pt>
                <c:pt idx="633">
                  <c:v>43846</c:v>
                </c:pt>
                <c:pt idx="634">
                  <c:v>43853</c:v>
                </c:pt>
                <c:pt idx="635">
                  <c:v>43860</c:v>
                </c:pt>
                <c:pt idx="636">
                  <c:v>43867</c:v>
                </c:pt>
                <c:pt idx="637">
                  <c:v>43874</c:v>
                </c:pt>
                <c:pt idx="638">
                  <c:v>43881</c:v>
                </c:pt>
                <c:pt idx="639">
                  <c:v>43888</c:v>
                </c:pt>
                <c:pt idx="640">
                  <c:v>43895</c:v>
                </c:pt>
                <c:pt idx="641">
                  <c:v>43902</c:v>
                </c:pt>
                <c:pt idx="642">
                  <c:v>43909</c:v>
                </c:pt>
                <c:pt idx="643">
                  <c:v>43916</c:v>
                </c:pt>
                <c:pt idx="644">
                  <c:v>43923</c:v>
                </c:pt>
                <c:pt idx="645">
                  <c:v>43930</c:v>
                </c:pt>
                <c:pt idx="646">
                  <c:v>43937</c:v>
                </c:pt>
                <c:pt idx="647">
                  <c:v>43944</c:v>
                </c:pt>
                <c:pt idx="648">
                  <c:v>43951</c:v>
                </c:pt>
                <c:pt idx="649">
                  <c:v>43958</c:v>
                </c:pt>
                <c:pt idx="650">
                  <c:v>43965</c:v>
                </c:pt>
                <c:pt idx="651">
                  <c:v>43973</c:v>
                </c:pt>
                <c:pt idx="652">
                  <c:v>43979</c:v>
                </c:pt>
                <c:pt idx="653">
                  <c:v>43986</c:v>
                </c:pt>
                <c:pt idx="654">
                  <c:v>43993</c:v>
                </c:pt>
                <c:pt idx="655">
                  <c:v>44000</c:v>
                </c:pt>
                <c:pt idx="656">
                  <c:v>44007</c:v>
                </c:pt>
                <c:pt idx="657">
                  <c:v>44014</c:v>
                </c:pt>
                <c:pt idx="658">
                  <c:v>44021</c:v>
                </c:pt>
                <c:pt idx="659">
                  <c:v>44028</c:v>
                </c:pt>
                <c:pt idx="660">
                  <c:v>44035</c:v>
                </c:pt>
                <c:pt idx="661">
                  <c:v>44042</c:v>
                </c:pt>
                <c:pt idx="662">
                  <c:v>44049</c:v>
                </c:pt>
                <c:pt idx="663">
                  <c:v>44056</c:v>
                </c:pt>
                <c:pt idx="664">
                  <c:v>44063</c:v>
                </c:pt>
                <c:pt idx="665">
                  <c:v>44070</c:v>
                </c:pt>
                <c:pt idx="666">
                  <c:v>44077</c:v>
                </c:pt>
                <c:pt idx="667">
                  <c:v>44084</c:v>
                </c:pt>
                <c:pt idx="668">
                  <c:v>44091</c:v>
                </c:pt>
                <c:pt idx="669">
                  <c:v>44098</c:v>
                </c:pt>
                <c:pt idx="670">
                  <c:v>44105</c:v>
                </c:pt>
                <c:pt idx="671">
                  <c:v>44112</c:v>
                </c:pt>
                <c:pt idx="672">
                  <c:v>44119</c:v>
                </c:pt>
                <c:pt idx="673">
                  <c:v>44126</c:v>
                </c:pt>
                <c:pt idx="674">
                  <c:v>44133</c:v>
                </c:pt>
                <c:pt idx="675">
                  <c:v>44140</c:v>
                </c:pt>
                <c:pt idx="676">
                  <c:v>44147</c:v>
                </c:pt>
                <c:pt idx="677">
                  <c:v>44154</c:v>
                </c:pt>
                <c:pt idx="678">
                  <c:v>44161</c:v>
                </c:pt>
                <c:pt idx="679">
                  <c:v>44168</c:v>
                </c:pt>
                <c:pt idx="680">
                  <c:v>44175</c:v>
                </c:pt>
                <c:pt idx="681">
                  <c:v>44182</c:v>
                </c:pt>
                <c:pt idx="682">
                  <c:v>44193</c:v>
                </c:pt>
                <c:pt idx="683">
                  <c:v>44200</c:v>
                </c:pt>
                <c:pt idx="684">
                  <c:v>44204</c:v>
                </c:pt>
                <c:pt idx="685">
                  <c:v>44210</c:v>
                </c:pt>
                <c:pt idx="686">
                  <c:v>44217</c:v>
                </c:pt>
                <c:pt idx="687">
                  <c:v>44224</c:v>
                </c:pt>
                <c:pt idx="688">
                  <c:v>44231</c:v>
                </c:pt>
                <c:pt idx="689">
                  <c:v>44238</c:v>
                </c:pt>
                <c:pt idx="690">
                  <c:v>44245</c:v>
                </c:pt>
                <c:pt idx="691">
                  <c:v>44252</c:v>
                </c:pt>
                <c:pt idx="692">
                  <c:v>44259</c:v>
                </c:pt>
                <c:pt idx="693">
                  <c:v>44266</c:v>
                </c:pt>
                <c:pt idx="694">
                  <c:v>44273</c:v>
                </c:pt>
                <c:pt idx="695">
                  <c:v>44280</c:v>
                </c:pt>
                <c:pt idx="696">
                  <c:v>44287</c:v>
                </c:pt>
                <c:pt idx="697">
                  <c:v>44294</c:v>
                </c:pt>
                <c:pt idx="698">
                  <c:v>44301</c:v>
                </c:pt>
                <c:pt idx="699">
                  <c:v>44308</c:v>
                </c:pt>
                <c:pt idx="700">
                  <c:v>44315</c:v>
                </c:pt>
                <c:pt idx="701">
                  <c:v>44322</c:v>
                </c:pt>
                <c:pt idx="702">
                  <c:v>44330</c:v>
                </c:pt>
                <c:pt idx="703">
                  <c:v>44336</c:v>
                </c:pt>
                <c:pt idx="704">
                  <c:v>44343</c:v>
                </c:pt>
                <c:pt idx="705">
                  <c:v>44350</c:v>
                </c:pt>
                <c:pt idx="706">
                  <c:v>44357</c:v>
                </c:pt>
                <c:pt idx="707">
                  <c:v>44364</c:v>
                </c:pt>
                <c:pt idx="708">
                  <c:v>44371</c:v>
                </c:pt>
                <c:pt idx="709">
                  <c:v>44378</c:v>
                </c:pt>
                <c:pt idx="710">
                  <c:v>44385</c:v>
                </c:pt>
                <c:pt idx="711">
                  <c:v>44392</c:v>
                </c:pt>
                <c:pt idx="712">
                  <c:v>44399</c:v>
                </c:pt>
                <c:pt idx="713">
                  <c:v>44406</c:v>
                </c:pt>
                <c:pt idx="714">
                  <c:v>44413</c:v>
                </c:pt>
                <c:pt idx="715">
                  <c:v>44420</c:v>
                </c:pt>
                <c:pt idx="716">
                  <c:v>44427</c:v>
                </c:pt>
                <c:pt idx="717">
                  <c:v>44434</c:v>
                </c:pt>
                <c:pt idx="718">
                  <c:v>44441</c:v>
                </c:pt>
                <c:pt idx="719">
                  <c:v>44448</c:v>
                </c:pt>
                <c:pt idx="720">
                  <c:v>44455</c:v>
                </c:pt>
                <c:pt idx="721">
                  <c:v>44462</c:v>
                </c:pt>
                <c:pt idx="722">
                  <c:v>44469</c:v>
                </c:pt>
                <c:pt idx="723">
                  <c:v>44476</c:v>
                </c:pt>
                <c:pt idx="724">
                  <c:v>44483</c:v>
                </c:pt>
                <c:pt idx="725">
                  <c:v>44490</c:v>
                </c:pt>
                <c:pt idx="726">
                  <c:v>44497</c:v>
                </c:pt>
                <c:pt idx="727">
                  <c:v>44504</c:v>
                </c:pt>
                <c:pt idx="728">
                  <c:v>44511</c:v>
                </c:pt>
                <c:pt idx="729">
                  <c:v>44518</c:v>
                </c:pt>
                <c:pt idx="730">
                  <c:v>44525</c:v>
                </c:pt>
                <c:pt idx="731">
                  <c:v>44532</c:v>
                </c:pt>
                <c:pt idx="732">
                  <c:v>44539</c:v>
                </c:pt>
                <c:pt idx="733">
                  <c:v>44546</c:v>
                </c:pt>
                <c:pt idx="734">
                  <c:v>44553</c:v>
                </c:pt>
                <c:pt idx="735">
                  <c:v>44560</c:v>
                </c:pt>
                <c:pt idx="736">
                  <c:v>44568</c:v>
                </c:pt>
                <c:pt idx="737">
                  <c:v>44574</c:v>
                </c:pt>
                <c:pt idx="738">
                  <c:v>44581</c:v>
                </c:pt>
                <c:pt idx="739">
                  <c:v>44588</c:v>
                </c:pt>
                <c:pt idx="740">
                  <c:v>44595</c:v>
                </c:pt>
                <c:pt idx="741">
                  <c:v>44602</c:v>
                </c:pt>
                <c:pt idx="742">
                  <c:v>44609</c:v>
                </c:pt>
                <c:pt idx="743">
                  <c:v>44616</c:v>
                </c:pt>
                <c:pt idx="744">
                  <c:v>44623</c:v>
                </c:pt>
                <c:pt idx="745">
                  <c:v>44630</c:v>
                </c:pt>
                <c:pt idx="746">
                  <c:v>44637</c:v>
                </c:pt>
                <c:pt idx="747">
                  <c:v>44644</c:v>
                </c:pt>
                <c:pt idx="748">
                  <c:v>44651</c:v>
                </c:pt>
                <c:pt idx="749">
                  <c:v>44658</c:v>
                </c:pt>
                <c:pt idx="750">
                  <c:v>44665</c:v>
                </c:pt>
                <c:pt idx="751">
                  <c:v>44672</c:v>
                </c:pt>
                <c:pt idx="752">
                  <c:v>44679</c:v>
                </c:pt>
                <c:pt idx="753">
                  <c:v>44686</c:v>
                </c:pt>
                <c:pt idx="754">
                  <c:v>44693</c:v>
                </c:pt>
                <c:pt idx="755">
                  <c:v>44700</c:v>
                </c:pt>
                <c:pt idx="756">
                  <c:v>44708</c:v>
                </c:pt>
                <c:pt idx="757">
                  <c:v>44714</c:v>
                </c:pt>
                <c:pt idx="758">
                  <c:v>44721</c:v>
                </c:pt>
                <c:pt idx="759">
                  <c:v>44728</c:v>
                </c:pt>
                <c:pt idx="760">
                  <c:v>44735</c:v>
                </c:pt>
                <c:pt idx="761">
                  <c:v>44742</c:v>
                </c:pt>
                <c:pt idx="762">
                  <c:v>44749</c:v>
                </c:pt>
                <c:pt idx="763">
                  <c:v>44756</c:v>
                </c:pt>
                <c:pt idx="764">
                  <c:v>44763</c:v>
                </c:pt>
                <c:pt idx="765">
                  <c:v>44770</c:v>
                </c:pt>
                <c:pt idx="766">
                  <c:v>44777</c:v>
                </c:pt>
                <c:pt idx="767">
                  <c:v>44784</c:v>
                </c:pt>
                <c:pt idx="768">
                  <c:v>44791</c:v>
                </c:pt>
                <c:pt idx="769">
                  <c:v>44798</c:v>
                </c:pt>
                <c:pt idx="770">
                  <c:v>44805</c:v>
                </c:pt>
                <c:pt idx="771">
                  <c:v>44812</c:v>
                </c:pt>
                <c:pt idx="772">
                  <c:v>44819</c:v>
                </c:pt>
                <c:pt idx="773">
                  <c:v>44826</c:v>
                </c:pt>
                <c:pt idx="774">
                  <c:v>44833</c:v>
                </c:pt>
                <c:pt idx="775">
                  <c:v>44840</c:v>
                </c:pt>
                <c:pt idx="776">
                  <c:v>44847</c:v>
                </c:pt>
                <c:pt idx="777">
                  <c:v>44854</c:v>
                </c:pt>
                <c:pt idx="778">
                  <c:v>44861</c:v>
                </c:pt>
                <c:pt idx="779">
                  <c:v>44868</c:v>
                </c:pt>
                <c:pt idx="780">
                  <c:v>44875</c:v>
                </c:pt>
                <c:pt idx="781">
                  <c:v>44882</c:v>
                </c:pt>
                <c:pt idx="782">
                  <c:v>44889</c:v>
                </c:pt>
                <c:pt idx="783">
                  <c:v>44896</c:v>
                </c:pt>
                <c:pt idx="784">
                  <c:v>44903</c:v>
                </c:pt>
                <c:pt idx="785">
                  <c:v>44910</c:v>
                </c:pt>
                <c:pt idx="786">
                  <c:v>44917</c:v>
                </c:pt>
                <c:pt idx="787">
                  <c:v>44924</c:v>
                </c:pt>
                <c:pt idx="788">
                  <c:v>44931</c:v>
                </c:pt>
                <c:pt idx="789">
                  <c:v>44938</c:v>
                </c:pt>
                <c:pt idx="790">
                  <c:v>44945</c:v>
                </c:pt>
                <c:pt idx="791">
                  <c:v>44952</c:v>
                </c:pt>
                <c:pt idx="792">
                  <c:v>44959</c:v>
                </c:pt>
                <c:pt idx="793">
                  <c:v>44966</c:v>
                </c:pt>
                <c:pt idx="794">
                  <c:v>44973</c:v>
                </c:pt>
                <c:pt idx="795">
                  <c:v>44980</c:v>
                </c:pt>
                <c:pt idx="796">
                  <c:v>44987</c:v>
                </c:pt>
                <c:pt idx="797">
                  <c:v>44994</c:v>
                </c:pt>
                <c:pt idx="798">
                  <c:v>45001</c:v>
                </c:pt>
                <c:pt idx="799">
                  <c:v>45008</c:v>
                </c:pt>
                <c:pt idx="800">
                  <c:v>45015</c:v>
                </c:pt>
                <c:pt idx="801">
                  <c:v>45022</c:v>
                </c:pt>
                <c:pt idx="802">
                  <c:v>45029</c:v>
                </c:pt>
                <c:pt idx="803">
                  <c:v>45036</c:v>
                </c:pt>
                <c:pt idx="804">
                  <c:v>45043</c:v>
                </c:pt>
                <c:pt idx="805">
                  <c:v>45050</c:v>
                </c:pt>
                <c:pt idx="806">
                  <c:v>45057</c:v>
                </c:pt>
                <c:pt idx="807">
                  <c:v>45065</c:v>
                </c:pt>
                <c:pt idx="808">
                  <c:v>45071</c:v>
                </c:pt>
                <c:pt idx="809">
                  <c:v>45078</c:v>
                </c:pt>
                <c:pt idx="810">
                  <c:v>45085</c:v>
                </c:pt>
                <c:pt idx="811">
                  <c:v>45092</c:v>
                </c:pt>
                <c:pt idx="812">
                  <c:v>45099</c:v>
                </c:pt>
                <c:pt idx="813">
                  <c:v>45106</c:v>
                </c:pt>
                <c:pt idx="814">
                  <c:v>45113</c:v>
                </c:pt>
                <c:pt idx="815">
                  <c:v>45120</c:v>
                </c:pt>
                <c:pt idx="816">
                  <c:v>45127</c:v>
                </c:pt>
                <c:pt idx="817">
                  <c:v>45134</c:v>
                </c:pt>
                <c:pt idx="818">
                  <c:v>45141</c:v>
                </c:pt>
                <c:pt idx="819">
                  <c:v>45148</c:v>
                </c:pt>
                <c:pt idx="820">
                  <c:v>45155</c:v>
                </c:pt>
                <c:pt idx="821">
                  <c:v>45162</c:v>
                </c:pt>
                <c:pt idx="822">
                  <c:v>45169</c:v>
                </c:pt>
                <c:pt idx="823">
                  <c:v>45176</c:v>
                </c:pt>
                <c:pt idx="824">
                  <c:v>45183</c:v>
                </c:pt>
                <c:pt idx="825">
                  <c:v>45190</c:v>
                </c:pt>
                <c:pt idx="826">
                  <c:v>45197</c:v>
                </c:pt>
                <c:pt idx="827">
                  <c:v>45204</c:v>
                </c:pt>
                <c:pt idx="828">
                  <c:v>45211</c:v>
                </c:pt>
                <c:pt idx="829">
                  <c:v>45218</c:v>
                </c:pt>
                <c:pt idx="830">
                  <c:v>45225</c:v>
                </c:pt>
                <c:pt idx="831">
                  <c:v>45232</c:v>
                </c:pt>
                <c:pt idx="832">
                  <c:v>45239</c:v>
                </c:pt>
                <c:pt idx="833">
                  <c:v>45246</c:v>
                </c:pt>
                <c:pt idx="834">
                  <c:v>45253</c:v>
                </c:pt>
                <c:pt idx="835">
                  <c:v>45260</c:v>
                </c:pt>
                <c:pt idx="836">
                  <c:v>45267</c:v>
                </c:pt>
                <c:pt idx="837">
                  <c:v>45274</c:v>
                </c:pt>
                <c:pt idx="838">
                  <c:v>45281</c:v>
                </c:pt>
                <c:pt idx="839">
                  <c:v>45289</c:v>
                </c:pt>
                <c:pt idx="840">
                  <c:v>45296</c:v>
                </c:pt>
                <c:pt idx="841">
                  <c:v>45303</c:v>
                </c:pt>
                <c:pt idx="842">
                  <c:v>45310</c:v>
                </c:pt>
                <c:pt idx="843">
                  <c:v>45317</c:v>
                </c:pt>
                <c:pt idx="844">
                  <c:v>45324</c:v>
                </c:pt>
                <c:pt idx="845">
                  <c:v>45331</c:v>
                </c:pt>
                <c:pt idx="846">
                  <c:v>45338</c:v>
                </c:pt>
                <c:pt idx="847">
                  <c:v>45345</c:v>
                </c:pt>
                <c:pt idx="848">
                  <c:v>45352</c:v>
                </c:pt>
                <c:pt idx="849">
                  <c:v>45359</c:v>
                </c:pt>
                <c:pt idx="850">
                  <c:v>45366</c:v>
                </c:pt>
                <c:pt idx="851">
                  <c:v>45373</c:v>
                </c:pt>
                <c:pt idx="852">
                  <c:v>45384</c:v>
                </c:pt>
                <c:pt idx="853">
                  <c:v>45387</c:v>
                </c:pt>
                <c:pt idx="854">
                  <c:v>45394</c:v>
                </c:pt>
                <c:pt idx="855">
                  <c:v>45401</c:v>
                </c:pt>
                <c:pt idx="856">
                  <c:v>45408</c:v>
                </c:pt>
                <c:pt idx="857">
                  <c:v>45418</c:v>
                </c:pt>
                <c:pt idx="858">
                  <c:v>45426</c:v>
                </c:pt>
                <c:pt idx="859">
                  <c:v>45434</c:v>
                </c:pt>
                <c:pt idx="860">
                  <c:v>45440</c:v>
                </c:pt>
                <c:pt idx="861">
                  <c:v>45447</c:v>
                </c:pt>
                <c:pt idx="862">
                  <c:v>45454</c:v>
                </c:pt>
                <c:pt idx="863">
                  <c:v>45461</c:v>
                </c:pt>
                <c:pt idx="864">
                  <c:v>45469</c:v>
                </c:pt>
                <c:pt idx="865">
                  <c:v>45476</c:v>
                </c:pt>
                <c:pt idx="866">
                  <c:v>45483</c:v>
                </c:pt>
                <c:pt idx="867">
                  <c:v>45490</c:v>
                </c:pt>
                <c:pt idx="868">
                  <c:v>45497</c:v>
                </c:pt>
                <c:pt idx="869">
                  <c:v>45504</c:v>
                </c:pt>
                <c:pt idx="870">
                  <c:v>45511</c:v>
                </c:pt>
                <c:pt idx="871">
                  <c:v>45518</c:v>
                </c:pt>
                <c:pt idx="872">
                  <c:v>45525</c:v>
                </c:pt>
                <c:pt idx="873">
                  <c:v>45532</c:v>
                </c:pt>
                <c:pt idx="874">
                  <c:v>45539</c:v>
                </c:pt>
                <c:pt idx="875">
                  <c:v>45546</c:v>
                </c:pt>
                <c:pt idx="876">
                  <c:v>45553</c:v>
                </c:pt>
                <c:pt idx="877">
                  <c:v>45560</c:v>
                </c:pt>
                <c:pt idx="878">
                  <c:v>45567</c:v>
                </c:pt>
                <c:pt idx="879">
                  <c:v>45574</c:v>
                </c:pt>
                <c:pt idx="880">
                  <c:v>45581</c:v>
                </c:pt>
                <c:pt idx="881">
                  <c:v>45588</c:v>
                </c:pt>
                <c:pt idx="882">
                  <c:v>45595</c:v>
                </c:pt>
                <c:pt idx="883">
                  <c:v>45602</c:v>
                </c:pt>
                <c:pt idx="884">
                  <c:v>45609</c:v>
                </c:pt>
                <c:pt idx="885">
                  <c:v>45616</c:v>
                </c:pt>
                <c:pt idx="886">
                  <c:v>45623</c:v>
                </c:pt>
                <c:pt idx="887">
                  <c:v>45630</c:v>
                </c:pt>
                <c:pt idx="888">
                  <c:v>45637</c:v>
                </c:pt>
                <c:pt idx="889">
                  <c:v>45644</c:v>
                </c:pt>
                <c:pt idx="890">
                  <c:v>45656</c:v>
                </c:pt>
                <c:pt idx="891">
                  <c:v>45660</c:v>
                </c:pt>
                <c:pt idx="892">
                  <c:v>45666</c:v>
                </c:pt>
                <c:pt idx="893">
                  <c:v>45673</c:v>
                </c:pt>
                <c:pt idx="894">
                  <c:v>45680</c:v>
                </c:pt>
                <c:pt idx="895">
                  <c:v>45687</c:v>
                </c:pt>
                <c:pt idx="896">
                  <c:v>45694</c:v>
                </c:pt>
                <c:pt idx="897">
                  <c:v>45701</c:v>
                </c:pt>
                <c:pt idx="898">
                  <c:v>45708</c:v>
                </c:pt>
                <c:pt idx="899">
                  <c:v>45715</c:v>
                </c:pt>
                <c:pt idx="900">
                  <c:v>45722</c:v>
                </c:pt>
                <c:pt idx="901">
                  <c:v>45729</c:v>
                </c:pt>
                <c:pt idx="902">
                  <c:v>45736</c:v>
                </c:pt>
                <c:pt idx="903">
                  <c:v>45743</c:v>
                </c:pt>
                <c:pt idx="904">
                  <c:v>45750</c:v>
                </c:pt>
                <c:pt idx="905">
                  <c:v>45757</c:v>
                </c:pt>
                <c:pt idx="906">
                  <c:v>45764</c:v>
                </c:pt>
                <c:pt idx="907">
                  <c:v>45771</c:v>
                </c:pt>
                <c:pt idx="908">
                  <c:v>45779</c:v>
                </c:pt>
                <c:pt idx="909">
                  <c:v>45785</c:v>
                </c:pt>
                <c:pt idx="910">
                  <c:v>45792</c:v>
                </c:pt>
                <c:pt idx="911">
                  <c:v>45799</c:v>
                </c:pt>
                <c:pt idx="912">
                  <c:v>45807</c:v>
                </c:pt>
                <c:pt idx="913">
                  <c:v>45813</c:v>
                </c:pt>
                <c:pt idx="914">
                  <c:v>45820</c:v>
                </c:pt>
                <c:pt idx="915">
                  <c:v>45827</c:v>
                </c:pt>
                <c:pt idx="916">
                  <c:v>45834</c:v>
                </c:pt>
                <c:pt idx="917">
                  <c:v>45841</c:v>
                </c:pt>
                <c:pt idx="918">
                  <c:v>45848</c:v>
                </c:pt>
                <c:pt idx="919">
                  <c:v>45855</c:v>
                </c:pt>
                <c:pt idx="920">
                  <c:v>45862</c:v>
                </c:pt>
                <c:pt idx="921">
                  <c:v>45869</c:v>
                </c:pt>
                <c:pt idx="922">
                  <c:v>45876</c:v>
                </c:pt>
                <c:pt idx="923">
                  <c:v>45883</c:v>
                </c:pt>
                <c:pt idx="924">
                  <c:v>45890</c:v>
                </c:pt>
                <c:pt idx="925">
                  <c:v>45897</c:v>
                </c:pt>
                <c:pt idx="926">
                  <c:v>45904</c:v>
                </c:pt>
                <c:pt idx="927">
                  <c:v>45911</c:v>
                </c:pt>
                <c:pt idx="928">
                  <c:v>45918</c:v>
                </c:pt>
                <c:pt idx="929">
                  <c:v>45925</c:v>
                </c:pt>
                <c:pt idx="930">
                  <c:v>45932</c:v>
                </c:pt>
                <c:pt idx="931">
                  <c:v>45939</c:v>
                </c:pt>
                <c:pt idx="932">
                  <c:v>45946</c:v>
                </c:pt>
                <c:pt idx="933">
                  <c:v>45953</c:v>
                </c:pt>
                <c:pt idx="934">
                  <c:v>45960</c:v>
                </c:pt>
                <c:pt idx="935">
                  <c:v>45967</c:v>
                </c:pt>
                <c:pt idx="936">
                  <c:v>45974</c:v>
                </c:pt>
                <c:pt idx="937">
                  <c:v>45981</c:v>
                </c:pt>
                <c:pt idx="938">
                  <c:v>45988</c:v>
                </c:pt>
                <c:pt idx="939">
                  <c:v>45995</c:v>
                </c:pt>
                <c:pt idx="940">
                  <c:v>46002</c:v>
                </c:pt>
                <c:pt idx="941">
                  <c:v>46009</c:v>
                </c:pt>
                <c:pt idx="942">
                  <c:v>46021</c:v>
                </c:pt>
                <c:pt idx="943">
                  <c:v>46027</c:v>
                </c:pt>
                <c:pt idx="944">
                  <c:v>46031</c:v>
                </c:pt>
                <c:pt idx="945">
                  <c:v>46038</c:v>
                </c:pt>
                <c:pt idx="946">
                  <c:v>46045</c:v>
                </c:pt>
                <c:pt idx="947">
                  <c:v>46052</c:v>
                </c:pt>
                <c:pt idx="948">
                  <c:v>46059</c:v>
                </c:pt>
                <c:pt idx="949">
                  <c:v>46066</c:v>
                </c:pt>
                <c:pt idx="950">
                  <c:v>46073</c:v>
                </c:pt>
                <c:pt idx="951">
                  <c:v>46080</c:v>
                </c:pt>
                <c:pt idx="952">
                  <c:v>46087</c:v>
                </c:pt>
                <c:pt idx="953">
                  <c:v>46094</c:v>
                </c:pt>
                <c:pt idx="954">
                  <c:v>46101</c:v>
                </c:pt>
                <c:pt idx="955">
                  <c:v>46108</c:v>
                </c:pt>
                <c:pt idx="956">
                  <c:v>46119</c:v>
                </c:pt>
                <c:pt idx="957">
                  <c:v>46122</c:v>
                </c:pt>
                <c:pt idx="958">
                  <c:v>46129</c:v>
                </c:pt>
                <c:pt idx="959">
                  <c:v>46136</c:v>
                </c:pt>
                <c:pt idx="960">
                  <c:v>46146</c:v>
                </c:pt>
                <c:pt idx="961">
                  <c:v>46150</c:v>
                </c:pt>
                <c:pt idx="962">
                  <c:v>46160</c:v>
                </c:pt>
                <c:pt idx="963">
                  <c:v>46164</c:v>
                </c:pt>
                <c:pt idx="964">
                  <c:v>46171</c:v>
                </c:pt>
                <c:pt idx="965">
                  <c:v>46178</c:v>
                </c:pt>
                <c:pt idx="966">
                  <c:v>46185</c:v>
                </c:pt>
                <c:pt idx="967">
                  <c:v>46195</c:v>
                </c:pt>
                <c:pt idx="968">
                  <c:v>46199</c:v>
                </c:pt>
                <c:pt idx="969">
                  <c:v>46206</c:v>
                </c:pt>
                <c:pt idx="970">
                  <c:v>46213</c:v>
                </c:pt>
                <c:pt idx="971">
                  <c:v>46220</c:v>
                </c:pt>
                <c:pt idx="972">
                  <c:v>46227</c:v>
                </c:pt>
                <c:pt idx="973">
                  <c:v>46234</c:v>
                </c:pt>
                <c:pt idx="974">
                  <c:v>46241</c:v>
                </c:pt>
                <c:pt idx="975">
                  <c:v>46248</c:v>
                </c:pt>
                <c:pt idx="976">
                  <c:v>46255</c:v>
                </c:pt>
                <c:pt idx="977">
                  <c:v>46262</c:v>
                </c:pt>
                <c:pt idx="978">
                  <c:v>46269</c:v>
                </c:pt>
                <c:pt idx="979">
                  <c:v>46276</c:v>
                </c:pt>
                <c:pt idx="980">
                  <c:v>46283</c:v>
                </c:pt>
                <c:pt idx="981">
                  <c:v>46290</c:v>
                </c:pt>
                <c:pt idx="982">
                  <c:v>46297</c:v>
                </c:pt>
                <c:pt idx="983">
                  <c:v>46304</c:v>
                </c:pt>
                <c:pt idx="984">
                  <c:v>46311</c:v>
                </c:pt>
                <c:pt idx="985">
                  <c:v>46318</c:v>
                </c:pt>
                <c:pt idx="986">
                  <c:v>46325</c:v>
                </c:pt>
                <c:pt idx="987">
                  <c:v>46332</c:v>
                </c:pt>
                <c:pt idx="988">
                  <c:v>46339</c:v>
                </c:pt>
                <c:pt idx="989">
                  <c:v>46346</c:v>
                </c:pt>
                <c:pt idx="990">
                  <c:v>46353</c:v>
                </c:pt>
                <c:pt idx="991">
                  <c:v>46360</c:v>
                </c:pt>
                <c:pt idx="992">
                  <c:v>46367</c:v>
                </c:pt>
                <c:pt idx="993">
                  <c:v>46374</c:v>
                </c:pt>
                <c:pt idx="994">
                  <c:v>46385</c:v>
                </c:pt>
                <c:pt idx="995">
                  <c:v>46392</c:v>
                </c:pt>
                <c:pt idx="996">
                  <c:v>46398</c:v>
                </c:pt>
                <c:pt idx="997">
                  <c:v>46405</c:v>
                </c:pt>
                <c:pt idx="998">
                  <c:v>46412</c:v>
                </c:pt>
                <c:pt idx="999">
                  <c:v>46419</c:v>
                </c:pt>
                <c:pt idx="1000">
                  <c:v>46426</c:v>
                </c:pt>
                <c:pt idx="1001">
                  <c:v>46433</c:v>
                </c:pt>
                <c:pt idx="1002">
                  <c:v>46440</c:v>
                </c:pt>
                <c:pt idx="1003">
                  <c:v>46447</c:v>
                </c:pt>
                <c:pt idx="1004">
                  <c:v>46454</c:v>
                </c:pt>
                <c:pt idx="1005">
                  <c:v>46461</c:v>
                </c:pt>
                <c:pt idx="1006">
                  <c:v>46468</c:v>
                </c:pt>
                <c:pt idx="1007">
                  <c:v>46477</c:v>
                </c:pt>
                <c:pt idx="1008">
                  <c:v>46482</c:v>
                </c:pt>
                <c:pt idx="1009">
                  <c:v>46489</c:v>
                </c:pt>
                <c:pt idx="1010">
                  <c:v>46496</c:v>
                </c:pt>
                <c:pt idx="1011">
                  <c:v>46503</c:v>
                </c:pt>
                <c:pt idx="1012">
                  <c:v>46510</c:v>
                </c:pt>
                <c:pt idx="1013">
                  <c:v>46518</c:v>
                </c:pt>
                <c:pt idx="1014">
                  <c:v>46526</c:v>
                </c:pt>
                <c:pt idx="1015">
                  <c:v>46532</c:v>
                </c:pt>
                <c:pt idx="1016">
                  <c:v>46539</c:v>
                </c:pt>
                <c:pt idx="1017">
                  <c:v>46546</c:v>
                </c:pt>
                <c:pt idx="1018">
                  <c:v>46553</c:v>
                </c:pt>
                <c:pt idx="1019">
                  <c:v>46560</c:v>
                </c:pt>
                <c:pt idx="1020">
                  <c:v>46568</c:v>
                </c:pt>
                <c:pt idx="1021">
                  <c:v>46575</c:v>
                </c:pt>
                <c:pt idx="1022">
                  <c:v>46582</c:v>
                </c:pt>
                <c:pt idx="1023">
                  <c:v>46589</c:v>
                </c:pt>
                <c:pt idx="1024">
                  <c:v>46596</c:v>
                </c:pt>
                <c:pt idx="1025">
                  <c:v>46603</c:v>
                </c:pt>
                <c:pt idx="1026">
                  <c:v>46610</c:v>
                </c:pt>
                <c:pt idx="1027">
                  <c:v>46617</c:v>
                </c:pt>
                <c:pt idx="1028">
                  <c:v>46624</c:v>
                </c:pt>
                <c:pt idx="1029">
                  <c:v>46631</c:v>
                </c:pt>
                <c:pt idx="1030">
                  <c:v>46638</c:v>
                </c:pt>
                <c:pt idx="1031">
                  <c:v>46645</c:v>
                </c:pt>
                <c:pt idx="1032">
                  <c:v>46652</c:v>
                </c:pt>
                <c:pt idx="1033">
                  <c:v>46659</c:v>
                </c:pt>
                <c:pt idx="1034">
                  <c:v>46666</c:v>
                </c:pt>
                <c:pt idx="1035">
                  <c:v>46673</c:v>
                </c:pt>
                <c:pt idx="1036">
                  <c:v>46680</c:v>
                </c:pt>
                <c:pt idx="1037">
                  <c:v>46687</c:v>
                </c:pt>
                <c:pt idx="1038">
                  <c:v>46694</c:v>
                </c:pt>
                <c:pt idx="1039">
                  <c:v>46701</c:v>
                </c:pt>
                <c:pt idx="1040">
                  <c:v>46708</c:v>
                </c:pt>
                <c:pt idx="1041">
                  <c:v>46715</c:v>
                </c:pt>
                <c:pt idx="1042">
                  <c:v>46722</c:v>
                </c:pt>
                <c:pt idx="1043">
                  <c:v>46729</c:v>
                </c:pt>
                <c:pt idx="1044">
                  <c:v>46736</c:v>
                </c:pt>
                <c:pt idx="1045">
                  <c:v>46743</c:v>
                </c:pt>
                <c:pt idx="1046">
                  <c:v>46750</c:v>
                </c:pt>
                <c:pt idx="1047">
                  <c:v>46757</c:v>
                </c:pt>
                <c:pt idx="1048">
                  <c:v>46764</c:v>
                </c:pt>
                <c:pt idx="1049">
                  <c:v>46771</c:v>
                </c:pt>
                <c:pt idx="1050">
                  <c:v>46778</c:v>
                </c:pt>
                <c:pt idx="1051">
                  <c:v>46785</c:v>
                </c:pt>
                <c:pt idx="1052">
                  <c:v>46792</c:v>
                </c:pt>
                <c:pt idx="1053">
                  <c:v>46799</c:v>
                </c:pt>
                <c:pt idx="1054">
                  <c:v>46806</c:v>
                </c:pt>
                <c:pt idx="1055">
                  <c:v>46813</c:v>
                </c:pt>
                <c:pt idx="1056">
                  <c:v>46820</c:v>
                </c:pt>
                <c:pt idx="1057">
                  <c:v>46827</c:v>
                </c:pt>
                <c:pt idx="1058">
                  <c:v>46834</c:v>
                </c:pt>
                <c:pt idx="1059">
                  <c:v>46841</c:v>
                </c:pt>
                <c:pt idx="1060">
                  <c:v>46848</c:v>
                </c:pt>
                <c:pt idx="1061">
                  <c:v>46855</c:v>
                </c:pt>
                <c:pt idx="1062">
                  <c:v>46863</c:v>
                </c:pt>
                <c:pt idx="1063">
                  <c:v>46870</c:v>
                </c:pt>
                <c:pt idx="1064">
                  <c:v>46877</c:v>
                </c:pt>
                <c:pt idx="1065">
                  <c:v>46884</c:v>
                </c:pt>
                <c:pt idx="1066">
                  <c:v>46891</c:v>
                </c:pt>
                <c:pt idx="1067">
                  <c:v>46899</c:v>
                </c:pt>
                <c:pt idx="1068">
                  <c:v>46905</c:v>
                </c:pt>
                <c:pt idx="1069">
                  <c:v>46912</c:v>
                </c:pt>
                <c:pt idx="1070">
                  <c:v>46919</c:v>
                </c:pt>
                <c:pt idx="1071">
                  <c:v>46926</c:v>
                </c:pt>
                <c:pt idx="1072">
                  <c:v>46933</c:v>
                </c:pt>
                <c:pt idx="1073">
                  <c:v>46940</c:v>
                </c:pt>
                <c:pt idx="1074">
                  <c:v>46947</c:v>
                </c:pt>
                <c:pt idx="1075">
                  <c:v>46954</c:v>
                </c:pt>
                <c:pt idx="1076">
                  <c:v>46961</c:v>
                </c:pt>
                <c:pt idx="1077">
                  <c:v>46968</c:v>
                </c:pt>
                <c:pt idx="1078">
                  <c:v>46975</c:v>
                </c:pt>
                <c:pt idx="1079">
                  <c:v>46982</c:v>
                </c:pt>
                <c:pt idx="1080">
                  <c:v>46989</c:v>
                </c:pt>
                <c:pt idx="1081">
                  <c:v>46996</c:v>
                </c:pt>
                <c:pt idx="1082">
                  <c:v>47003</c:v>
                </c:pt>
                <c:pt idx="1083">
                  <c:v>47010</c:v>
                </c:pt>
                <c:pt idx="1084">
                  <c:v>47017</c:v>
                </c:pt>
                <c:pt idx="1085">
                  <c:v>47024</c:v>
                </c:pt>
                <c:pt idx="1086">
                  <c:v>47031</c:v>
                </c:pt>
                <c:pt idx="1087">
                  <c:v>47038</c:v>
                </c:pt>
                <c:pt idx="1088">
                  <c:v>47045</c:v>
                </c:pt>
                <c:pt idx="1089">
                  <c:v>47052</c:v>
                </c:pt>
                <c:pt idx="1090">
                  <c:v>47059</c:v>
                </c:pt>
                <c:pt idx="1091">
                  <c:v>47066</c:v>
                </c:pt>
                <c:pt idx="1092">
                  <c:v>47073</c:v>
                </c:pt>
                <c:pt idx="1093">
                  <c:v>47080</c:v>
                </c:pt>
                <c:pt idx="1094">
                  <c:v>47087</c:v>
                </c:pt>
                <c:pt idx="1095">
                  <c:v>47094</c:v>
                </c:pt>
                <c:pt idx="1096">
                  <c:v>47101</c:v>
                </c:pt>
                <c:pt idx="1097">
                  <c:v>47108</c:v>
                </c:pt>
                <c:pt idx="1098">
                  <c:v>47116</c:v>
                </c:pt>
                <c:pt idx="1099">
                  <c:v>47123</c:v>
                </c:pt>
                <c:pt idx="1100">
                  <c:v>47130</c:v>
                </c:pt>
                <c:pt idx="1101">
                  <c:v>47137</c:v>
                </c:pt>
                <c:pt idx="1102">
                  <c:v>47144</c:v>
                </c:pt>
                <c:pt idx="1103">
                  <c:v>47151</c:v>
                </c:pt>
                <c:pt idx="1104">
                  <c:v>47158</c:v>
                </c:pt>
                <c:pt idx="1105">
                  <c:v>47165</c:v>
                </c:pt>
                <c:pt idx="1106">
                  <c:v>47172</c:v>
                </c:pt>
                <c:pt idx="1107">
                  <c:v>47179</c:v>
                </c:pt>
                <c:pt idx="1108">
                  <c:v>47186</c:v>
                </c:pt>
                <c:pt idx="1109">
                  <c:v>47193</c:v>
                </c:pt>
                <c:pt idx="1110">
                  <c:v>47200</c:v>
                </c:pt>
                <c:pt idx="1111">
                  <c:v>47211</c:v>
                </c:pt>
                <c:pt idx="1112">
                  <c:v>47214</c:v>
                </c:pt>
                <c:pt idx="1113">
                  <c:v>47221</c:v>
                </c:pt>
                <c:pt idx="1114">
                  <c:v>47228</c:v>
                </c:pt>
                <c:pt idx="1115">
                  <c:v>47235</c:v>
                </c:pt>
                <c:pt idx="1116">
                  <c:v>47242</c:v>
                </c:pt>
                <c:pt idx="1117">
                  <c:v>47252</c:v>
                </c:pt>
                <c:pt idx="1118">
                  <c:v>47256</c:v>
                </c:pt>
                <c:pt idx="1119">
                  <c:v>47263</c:v>
                </c:pt>
                <c:pt idx="1120">
                  <c:v>47270</c:v>
                </c:pt>
                <c:pt idx="1121">
                  <c:v>47277</c:v>
                </c:pt>
                <c:pt idx="1122">
                  <c:v>47284</c:v>
                </c:pt>
                <c:pt idx="1123">
                  <c:v>47294</c:v>
                </c:pt>
                <c:pt idx="1124">
                  <c:v>47298</c:v>
                </c:pt>
                <c:pt idx="1125">
                  <c:v>47305</c:v>
                </c:pt>
                <c:pt idx="1126">
                  <c:v>47312</c:v>
                </c:pt>
                <c:pt idx="1127">
                  <c:v>47319</c:v>
                </c:pt>
                <c:pt idx="1128">
                  <c:v>47326</c:v>
                </c:pt>
                <c:pt idx="1129">
                  <c:v>47333</c:v>
                </c:pt>
                <c:pt idx="1130">
                  <c:v>47340</c:v>
                </c:pt>
                <c:pt idx="1131">
                  <c:v>47347</c:v>
                </c:pt>
                <c:pt idx="1132">
                  <c:v>47354</c:v>
                </c:pt>
                <c:pt idx="1133">
                  <c:v>47361</c:v>
                </c:pt>
                <c:pt idx="1134">
                  <c:v>47368</c:v>
                </c:pt>
                <c:pt idx="1135">
                  <c:v>47375</c:v>
                </c:pt>
                <c:pt idx="1136">
                  <c:v>47382</c:v>
                </c:pt>
                <c:pt idx="1137">
                  <c:v>47389</c:v>
                </c:pt>
                <c:pt idx="1138">
                  <c:v>47396</c:v>
                </c:pt>
                <c:pt idx="1139">
                  <c:v>47403</c:v>
                </c:pt>
                <c:pt idx="1140">
                  <c:v>47410</c:v>
                </c:pt>
                <c:pt idx="1141">
                  <c:v>47417</c:v>
                </c:pt>
                <c:pt idx="1142">
                  <c:v>47424</c:v>
                </c:pt>
                <c:pt idx="1143">
                  <c:v>47431</c:v>
                </c:pt>
                <c:pt idx="1144">
                  <c:v>47438</c:v>
                </c:pt>
                <c:pt idx="1145">
                  <c:v>47445</c:v>
                </c:pt>
                <c:pt idx="1146">
                  <c:v>47452</c:v>
                </c:pt>
                <c:pt idx="1147">
                  <c:v>47459</c:v>
                </c:pt>
                <c:pt idx="1148">
                  <c:v>47466</c:v>
                </c:pt>
                <c:pt idx="1149">
                  <c:v>47473</c:v>
                </c:pt>
                <c:pt idx="1150">
                  <c:v>47485</c:v>
                </c:pt>
                <c:pt idx="1151">
                  <c:v>47490</c:v>
                </c:pt>
                <c:pt idx="1152">
                  <c:v>47497</c:v>
                </c:pt>
                <c:pt idx="1153">
                  <c:v>47504</c:v>
                </c:pt>
                <c:pt idx="1154">
                  <c:v>47511</c:v>
                </c:pt>
                <c:pt idx="1155">
                  <c:v>47518</c:v>
                </c:pt>
                <c:pt idx="1156">
                  <c:v>47525</c:v>
                </c:pt>
                <c:pt idx="1157">
                  <c:v>47532</c:v>
                </c:pt>
                <c:pt idx="1158">
                  <c:v>47539</c:v>
                </c:pt>
                <c:pt idx="1159">
                  <c:v>47546</c:v>
                </c:pt>
                <c:pt idx="1160">
                  <c:v>47553</c:v>
                </c:pt>
                <c:pt idx="1161">
                  <c:v>47560</c:v>
                </c:pt>
                <c:pt idx="1162">
                  <c:v>47567</c:v>
                </c:pt>
                <c:pt idx="1163">
                  <c:v>47574</c:v>
                </c:pt>
                <c:pt idx="1164">
                  <c:v>47581</c:v>
                </c:pt>
                <c:pt idx="1165">
                  <c:v>47588</c:v>
                </c:pt>
                <c:pt idx="1166">
                  <c:v>47597</c:v>
                </c:pt>
                <c:pt idx="1167">
                  <c:v>47602</c:v>
                </c:pt>
                <c:pt idx="1168">
                  <c:v>47609</c:v>
                </c:pt>
                <c:pt idx="1169">
                  <c:v>47616</c:v>
                </c:pt>
                <c:pt idx="1170">
                  <c:v>47623</c:v>
                </c:pt>
                <c:pt idx="1171">
                  <c:v>47630</c:v>
                </c:pt>
                <c:pt idx="1172">
                  <c:v>47638</c:v>
                </c:pt>
                <c:pt idx="1173">
                  <c:v>47646</c:v>
                </c:pt>
                <c:pt idx="1174">
                  <c:v>47652</c:v>
                </c:pt>
                <c:pt idx="1175">
                  <c:v>47660</c:v>
                </c:pt>
                <c:pt idx="1176">
                  <c:v>47667</c:v>
                </c:pt>
                <c:pt idx="1177">
                  <c:v>47674</c:v>
                </c:pt>
                <c:pt idx="1178">
                  <c:v>47681</c:v>
                </c:pt>
                <c:pt idx="1179">
                  <c:v>47688</c:v>
                </c:pt>
                <c:pt idx="1180">
                  <c:v>47695</c:v>
                </c:pt>
                <c:pt idx="1181">
                  <c:v>47702</c:v>
                </c:pt>
                <c:pt idx="1182">
                  <c:v>47709</c:v>
                </c:pt>
                <c:pt idx="1183">
                  <c:v>47716</c:v>
                </c:pt>
                <c:pt idx="1184">
                  <c:v>47723</c:v>
                </c:pt>
                <c:pt idx="1185">
                  <c:v>47730</c:v>
                </c:pt>
                <c:pt idx="1186">
                  <c:v>47737</c:v>
                </c:pt>
                <c:pt idx="1187">
                  <c:v>47744</c:v>
                </c:pt>
                <c:pt idx="1188">
                  <c:v>47751</c:v>
                </c:pt>
                <c:pt idx="1189">
                  <c:v>47758</c:v>
                </c:pt>
                <c:pt idx="1190">
                  <c:v>47765</c:v>
                </c:pt>
                <c:pt idx="1191">
                  <c:v>47772</c:v>
                </c:pt>
                <c:pt idx="1192">
                  <c:v>47779</c:v>
                </c:pt>
                <c:pt idx="1193">
                  <c:v>47786</c:v>
                </c:pt>
                <c:pt idx="1194">
                  <c:v>47793</c:v>
                </c:pt>
                <c:pt idx="1195">
                  <c:v>47800</c:v>
                </c:pt>
                <c:pt idx="1196">
                  <c:v>47807</c:v>
                </c:pt>
                <c:pt idx="1197">
                  <c:v>47814</c:v>
                </c:pt>
                <c:pt idx="1198">
                  <c:v>47821</c:v>
                </c:pt>
                <c:pt idx="1199">
                  <c:v>47828</c:v>
                </c:pt>
                <c:pt idx="1200">
                  <c:v>47835</c:v>
                </c:pt>
                <c:pt idx="1201">
                  <c:v>47847</c:v>
                </c:pt>
                <c:pt idx="1202">
                  <c:v>47851</c:v>
                </c:pt>
                <c:pt idx="1203">
                  <c:v>47857</c:v>
                </c:pt>
                <c:pt idx="1204">
                  <c:v>47864</c:v>
                </c:pt>
                <c:pt idx="1205">
                  <c:v>47871</c:v>
                </c:pt>
                <c:pt idx="1206">
                  <c:v>47878</c:v>
                </c:pt>
                <c:pt idx="1207">
                  <c:v>47885</c:v>
                </c:pt>
                <c:pt idx="1208">
                  <c:v>47892</c:v>
                </c:pt>
                <c:pt idx="1209">
                  <c:v>47899</c:v>
                </c:pt>
                <c:pt idx="1210">
                  <c:v>47906</c:v>
                </c:pt>
                <c:pt idx="1211">
                  <c:v>47913</c:v>
                </c:pt>
                <c:pt idx="1212">
                  <c:v>47920</c:v>
                </c:pt>
                <c:pt idx="1213">
                  <c:v>47927</c:v>
                </c:pt>
                <c:pt idx="1214">
                  <c:v>47934</c:v>
                </c:pt>
                <c:pt idx="1215">
                  <c:v>47941</c:v>
                </c:pt>
                <c:pt idx="1216">
                  <c:v>47948</c:v>
                </c:pt>
                <c:pt idx="1217">
                  <c:v>47955</c:v>
                </c:pt>
                <c:pt idx="1218">
                  <c:v>47962</c:v>
                </c:pt>
                <c:pt idx="1219">
                  <c:v>47970</c:v>
                </c:pt>
                <c:pt idx="1220">
                  <c:v>47976</c:v>
                </c:pt>
                <c:pt idx="1221">
                  <c:v>47983</c:v>
                </c:pt>
                <c:pt idx="1222">
                  <c:v>47991</c:v>
                </c:pt>
                <c:pt idx="1223">
                  <c:v>47997</c:v>
                </c:pt>
                <c:pt idx="1224">
                  <c:v>48004</c:v>
                </c:pt>
                <c:pt idx="1225">
                  <c:v>48011</c:v>
                </c:pt>
                <c:pt idx="1226">
                  <c:v>48018</c:v>
                </c:pt>
                <c:pt idx="1227">
                  <c:v>48025</c:v>
                </c:pt>
                <c:pt idx="1228">
                  <c:v>48032</c:v>
                </c:pt>
                <c:pt idx="1229">
                  <c:v>48039</c:v>
                </c:pt>
                <c:pt idx="1230">
                  <c:v>48046</c:v>
                </c:pt>
                <c:pt idx="1231">
                  <c:v>48053</c:v>
                </c:pt>
                <c:pt idx="1232">
                  <c:v>48060</c:v>
                </c:pt>
                <c:pt idx="1233">
                  <c:v>48067</c:v>
                </c:pt>
                <c:pt idx="1234">
                  <c:v>48074</c:v>
                </c:pt>
                <c:pt idx="1235">
                  <c:v>48081</c:v>
                </c:pt>
                <c:pt idx="1236">
                  <c:v>48088</c:v>
                </c:pt>
                <c:pt idx="1237">
                  <c:v>48095</c:v>
                </c:pt>
                <c:pt idx="1238">
                  <c:v>48102</c:v>
                </c:pt>
                <c:pt idx="1239">
                  <c:v>48109</c:v>
                </c:pt>
                <c:pt idx="1240">
                  <c:v>48116</c:v>
                </c:pt>
                <c:pt idx="1241">
                  <c:v>48123</c:v>
                </c:pt>
                <c:pt idx="1242">
                  <c:v>48130</c:v>
                </c:pt>
                <c:pt idx="1243">
                  <c:v>48137</c:v>
                </c:pt>
                <c:pt idx="1244">
                  <c:v>48144</c:v>
                </c:pt>
                <c:pt idx="1245">
                  <c:v>48151</c:v>
                </c:pt>
                <c:pt idx="1246">
                  <c:v>48158</c:v>
                </c:pt>
                <c:pt idx="1247">
                  <c:v>48165</c:v>
                </c:pt>
                <c:pt idx="1248">
                  <c:v>48172</c:v>
                </c:pt>
                <c:pt idx="1249">
                  <c:v>48179</c:v>
                </c:pt>
                <c:pt idx="1250">
                  <c:v>48186</c:v>
                </c:pt>
                <c:pt idx="1251">
                  <c:v>48193</c:v>
                </c:pt>
                <c:pt idx="1252">
                  <c:v>48200</c:v>
                </c:pt>
                <c:pt idx="1253">
                  <c:v>48212</c:v>
                </c:pt>
                <c:pt idx="1254">
                  <c:v>48218</c:v>
                </c:pt>
                <c:pt idx="1255">
                  <c:v>48222</c:v>
                </c:pt>
                <c:pt idx="1256">
                  <c:v>48229</c:v>
                </c:pt>
                <c:pt idx="1257">
                  <c:v>48236</c:v>
                </c:pt>
                <c:pt idx="1258">
                  <c:v>48243</c:v>
                </c:pt>
                <c:pt idx="1259">
                  <c:v>48250</c:v>
                </c:pt>
                <c:pt idx="1260">
                  <c:v>48257</c:v>
                </c:pt>
                <c:pt idx="1261">
                  <c:v>48264</c:v>
                </c:pt>
                <c:pt idx="1262">
                  <c:v>48271</c:v>
                </c:pt>
                <c:pt idx="1263">
                  <c:v>48278</c:v>
                </c:pt>
                <c:pt idx="1264">
                  <c:v>48285</c:v>
                </c:pt>
                <c:pt idx="1265">
                  <c:v>48292</c:v>
                </c:pt>
                <c:pt idx="1266">
                  <c:v>48303</c:v>
                </c:pt>
                <c:pt idx="1267">
                  <c:v>48306</c:v>
                </c:pt>
                <c:pt idx="1268">
                  <c:v>48313</c:v>
                </c:pt>
                <c:pt idx="1269">
                  <c:v>48320</c:v>
                </c:pt>
                <c:pt idx="1270">
                  <c:v>48327</c:v>
                </c:pt>
                <c:pt idx="1271">
                  <c:v>48334</c:v>
                </c:pt>
                <c:pt idx="1272">
                  <c:v>48344</c:v>
                </c:pt>
                <c:pt idx="1273">
                  <c:v>48348</c:v>
                </c:pt>
                <c:pt idx="1274">
                  <c:v>48355</c:v>
                </c:pt>
                <c:pt idx="1275">
                  <c:v>48362</c:v>
                </c:pt>
                <c:pt idx="1276">
                  <c:v>48369</c:v>
                </c:pt>
                <c:pt idx="1277">
                  <c:v>48376</c:v>
                </c:pt>
                <c:pt idx="1278">
                  <c:v>48383</c:v>
                </c:pt>
                <c:pt idx="1279">
                  <c:v>48393</c:v>
                </c:pt>
                <c:pt idx="1280">
                  <c:v>48397</c:v>
                </c:pt>
                <c:pt idx="1281">
                  <c:v>48404</c:v>
                </c:pt>
                <c:pt idx="1282">
                  <c:v>48411</c:v>
                </c:pt>
                <c:pt idx="1283">
                  <c:v>48418</c:v>
                </c:pt>
                <c:pt idx="1284">
                  <c:v>48425</c:v>
                </c:pt>
                <c:pt idx="1285">
                  <c:v>48432</c:v>
                </c:pt>
                <c:pt idx="1286">
                  <c:v>48439</c:v>
                </c:pt>
                <c:pt idx="1287">
                  <c:v>48446</c:v>
                </c:pt>
                <c:pt idx="1288">
                  <c:v>48453</c:v>
                </c:pt>
                <c:pt idx="1289">
                  <c:v>48460</c:v>
                </c:pt>
                <c:pt idx="1290">
                  <c:v>48467</c:v>
                </c:pt>
                <c:pt idx="1291">
                  <c:v>48474</c:v>
                </c:pt>
                <c:pt idx="1292">
                  <c:v>48481</c:v>
                </c:pt>
                <c:pt idx="1293">
                  <c:v>48488</c:v>
                </c:pt>
                <c:pt idx="1294">
                  <c:v>48495</c:v>
                </c:pt>
                <c:pt idx="1295">
                  <c:v>48502</c:v>
                </c:pt>
                <c:pt idx="1296">
                  <c:v>48509</c:v>
                </c:pt>
                <c:pt idx="1297">
                  <c:v>48516</c:v>
                </c:pt>
                <c:pt idx="1298">
                  <c:v>48523</c:v>
                </c:pt>
                <c:pt idx="1299">
                  <c:v>48530</c:v>
                </c:pt>
                <c:pt idx="1300">
                  <c:v>48537</c:v>
                </c:pt>
                <c:pt idx="1301">
                  <c:v>48544</c:v>
                </c:pt>
                <c:pt idx="1302">
                  <c:v>48551</c:v>
                </c:pt>
                <c:pt idx="1303">
                  <c:v>48558</c:v>
                </c:pt>
                <c:pt idx="1304">
                  <c:v>48565</c:v>
                </c:pt>
                <c:pt idx="1305">
                  <c:v>48575</c:v>
                </c:pt>
                <c:pt idx="1306">
                  <c:v>48582</c:v>
                </c:pt>
                <c:pt idx="1307">
                  <c:v>48589</c:v>
                </c:pt>
                <c:pt idx="1308">
                  <c:v>48593</c:v>
                </c:pt>
                <c:pt idx="1309">
                  <c:v>48600</c:v>
                </c:pt>
                <c:pt idx="1310">
                  <c:v>48607</c:v>
                </c:pt>
                <c:pt idx="1311">
                  <c:v>48614</c:v>
                </c:pt>
                <c:pt idx="1312">
                  <c:v>48621</c:v>
                </c:pt>
                <c:pt idx="1313">
                  <c:v>48628</c:v>
                </c:pt>
                <c:pt idx="1314">
                  <c:v>48635</c:v>
                </c:pt>
                <c:pt idx="1315">
                  <c:v>48642</c:v>
                </c:pt>
                <c:pt idx="1316">
                  <c:v>48649</c:v>
                </c:pt>
                <c:pt idx="1317">
                  <c:v>48656</c:v>
                </c:pt>
                <c:pt idx="1318">
                  <c:v>48663</c:v>
                </c:pt>
                <c:pt idx="1319">
                  <c:v>48670</c:v>
                </c:pt>
                <c:pt idx="1320">
                  <c:v>48677</c:v>
                </c:pt>
                <c:pt idx="1321">
                  <c:v>48688</c:v>
                </c:pt>
                <c:pt idx="1322">
                  <c:v>48691</c:v>
                </c:pt>
                <c:pt idx="1323">
                  <c:v>48698</c:v>
                </c:pt>
                <c:pt idx="1324">
                  <c:v>48705</c:v>
                </c:pt>
                <c:pt idx="1325">
                  <c:v>48712</c:v>
                </c:pt>
                <c:pt idx="1326">
                  <c:v>48719</c:v>
                </c:pt>
                <c:pt idx="1327">
                  <c:v>48729</c:v>
                </c:pt>
                <c:pt idx="1328">
                  <c:v>48733</c:v>
                </c:pt>
                <c:pt idx="1329">
                  <c:v>48740</c:v>
                </c:pt>
                <c:pt idx="1330">
                  <c:v>48747</c:v>
                </c:pt>
                <c:pt idx="1331">
                  <c:v>48757</c:v>
                </c:pt>
                <c:pt idx="1332">
                  <c:v>48761</c:v>
                </c:pt>
                <c:pt idx="1333">
                  <c:v>48768</c:v>
                </c:pt>
                <c:pt idx="1334">
                  <c:v>48775</c:v>
                </c:pt>
                <c:pt idx="1335">
                  <c:v>48782</c:v>
                </c:pt>
                <c:pt idx="1336">
                  <c:v>48789</c:v>
                </c:pt>
                <c:pt idx="1337">
                  <c:v>48796</c:v>
                </c:pt>
                <c:pt idx="1338">
                  <c:v>48803</c:v>
                </c:pt>
                <c:pt idx="1339">
                  <c:v>48810</c:v>
                </c:pt>
                <c:pt idx="1340">
                  <c:v>48817</c:v>
                </c:pt>
                <c:pt idx="1341">
                  <c:v>48824</c:v>
                </c:pt>
                <c:pt idx="1342">
                  <c:v>48831</c:v>
                </c:pt>
                <c:pt idx="1343">
                  <c:v>48838</c:v>
                </c:pt>
                <c:pt idx="1344">
                  <c:v>48845</c:v>
                </c:pt>
                <c:pt idx="1345">
                  <c:v>48852</c:v>
                </c:pt>
                <c:pt idx="1346">
                  <c:v>48859</c:v>
                </c:pt>
                <c:pt idx="1347">
                  <c:v>48866</c:v>
                </c:pt>
                <c:pt idx="1348">
                  <c:v>48873</c:v>
                </c:pt>
                <c:pt idx="1349">
                  <c:v>48880</c:v>
                </c:pt>
                <c:pt idx="1350">
                  <c:v>48887</c:v>
                </c:pt>
                <c:pt idx="1351">
                  <c:v>48894</c:v>
                </c:pt>
                <c:pt idx="1352">
                  <c:v>48901</c:v>
                </c:pt>
                <c:pt idx="1353">
                  <c:v>48908</c:v>
                </c:pt>
                <c:pt idx="1354">
                  <c:v>48915</c:v>
                </c:pt>
                <c:pt idx="1355">
                  <c:v>48922</c:v>
                </c:pt>
                <c:pt idx="1356">
                  <c:v>48929</c:v>
                </c:pt>
                <c:pt idx="1357">
                  <c:v>48936</c:v>
                </c:pt>
                <c:pt idx="1358">
                  <c:v>48943</c:v>
                </c:pt>
                <c:pt idx="1359">
                  <c:v>48953</c:v>
                </c:pt>
                <c:pt idx="1360">
                  <c:v>48957</c:v>
                </c:pt>
                <c:pt idx="1361">
                  <c:v>48964</c:v>
                </c:pt>
                <c:pt idx="1362">
                  <c:v>48971</c:v>
                </c:pt>
                <c:pt idx="1363">
                  <c:v>48978</c:v>
                </c:pt>
                <c:pt idx="1364">
                  <c:v>48985</c:v>
                </c:pt>
                <c:pt idx="1365">
                  <c:v>48992</c:v>
                </c:pt>
                <c:pt idx="1366">
                  <c:v>48999</c:v>
                </c:pt>
                <c:pt idx="1367">
                  <c:v>49006</c:v>
                </c:pt>
                <c:pt idx="1368">
                  <c:v>49013</c:v>
                </c:pt>
                <c:pt idx="1369">
                  <c:v>49020</c:v>
                </c:pt>
                <c:pt idx="1370">
                  <c:v>49027</c:v>
                </c:pt>
                <c:pt idx="1371">
                  <c:v>49034</c:v>
                </c:pt>
                <c:pt idx="1372">
                  <c:v>49045</c:v>
                </c:pt>
                <c:pt idx="1373">
                  <c:v>49048</c:v>
                </c:pt>
                <c:pt idx="1374">
                  <c:v>49055</c:v>
                </c:pt>
                <c:pt idx="1375">
                  <c:v>49062</c:v>
                </c:pt>
                <c:pt idx="1376">
                  <c:v>49069</c:v>
                </c:pt>
                <c:pt idx="1377">
                  <c:v>49076</c:v>
                </c:pt>
                <c:pt idx="1378">
                  <c:v>49086</c:v>
                </c:pt>
                <c:pt idx="1379">
                  <c:v>49090</c:v>
                </c:pt>
                <c:pt idx="1380">
                  <c:v>49097</c:v>
                </c:pt>
                <c:pt idx="1381">
                  <c:v>49104</c:v>
                </c:pt>
                <c:pt idx="1382">
                  <c:v>49111</c:v>
                </c:pt>
                <c:pt idx="1383">
                  <c:v>49121</c:v>
                </c:pt>
                <c:pt idx="1384">
                  <c:v>49125</c:v>
                </c:pt>
                <c:pt idx="1385">
                  <c:v>49132</c:v>
                </c:pt>
                <c:pt idx="1386">
                  <c:v>49139</c:v>
                </c:pt>
                <c:pt idx="1387">
                  <c:v>49146</c:v>
                </c:pt>
                <c:pt idx="1388">
                  <c:v>49153</c:v>
                </c:pt>
                <c:pt idx="1389">
                  <c:v>49160</c:v>
                </c:pt>
                <c:pt idx="1390">
                  <c:v>49167</c:v>
                </c:pt>
                <c:pt idx="1391">
                  <c:v>49174</c:v>
                </c:pt>
                <c:pt idx="1392">
                  <c:v>49181</c:v>
                </c:pt>
                <c:pt idx="1393">
                  <c:v>49188</c:v>
                </c:pt>
                <c:pt idx="1394">
                  <c:v>49195</c:v>
                </c:pt>
                <c:pt idx="1395">
                  <c:v>49202</c:v>
                </c:pt>
                <c:pt idx="1396">
                  <c:v>49209</c:v>
                </c:pt>
                <c:pt idx="1397">
                  <c:v>49216</c:v>
                </c:pt>
                <c:pt idx="1398">
                  <c:v>49223</c:v>
                </c:pt>
                <c:pt idx="1399">
                  <c:v>49230</c:v>
                </c:pt>
                <c:pt idx="1400">
                  <c:v>49237</c:v>
                </c:pt>
                <c:pt idx="1401">
                  <c:v>49244</c:v>
                </c:pt>
                <c:pt idx="1402">
                  <c:v>49251</c:v>
                </c:pt>
                <c:pt idx="1403">
                  <c:v>49258</c:v>
                </c:pt>
                <c:pt idx="1404">
                  <c:v>49265</c:v>
                </c:pt>
                <c:pt idx="1405">
                  <c:v>49272</c:v>
                </c:pt>
                <c:pt idx="1406">
                  <c:v>49279</c:v>
                </c:pt>
                <c:pt idx="1407">
                  <c:v>49286</c:v>
                </c:pt>
                <c:pt idx="1408">
                  <c:v>49293</c:v>
                </c:pt>
                <c:pt idx="1409">
                  <c:v>49300</c:v>
                </c:pt>
                <c:pt idx="1410">
                  <c:v>49307</c:v>
                </c:pt>
                <c:pt idx="1411">
                  <c:v>49314</c:v>
                </c:pt>
                <c:pt idx="1412">
                  <c:v>49321</c:v>
                </c:pt>
                <c:pt idx="1413">
                  <c:v>49328</c:v>
                </c:pt>
                <c:pt idx="1414">
                  <c:v>49335</c:v>
                </c:pt>
                <c:pt idx="1415">
                  <c:v>49342</c:v>
                </c:pt>
                <c:pt idx="1416">
                  <c:v>49349</c:v>
                </c:pt>
                <c:pt idx="1417">
                  <c:v>49356</c:v>
                </c:pt>
                <c:pt idx="1418">
                  <c:v>49363</c:v>
                </c:pt>
                <c:pt idx="1419">
                  <c:v>49370</c:v>
                </c:pt>
                <c:pt idx="1420">
                  <c:v>49377</c:v>
                </c:pt>
                <c:pt idx="1421">
                  <c:v>49384</c:v>
                </c:pt>
                <c:pt idx="1422">
                  <c:v>49395</c:v>
                </c:pt>
                <c:pt idx="1423">
                  <c:v>49398</c:v>
                </c:pt>
                <c:pt idx="1424">
                  <c:v>49405</c:v>
                </c:pt>
                <c:pt idx="1425">
                  <c:v>49412</c:v>
                </c:pt>
                <c:pt idx="1426">
                  <c:v>49419</c:v>
                </c:pt>
                <c:pt idx="1427">
                  <c:v>49426</c:v>
                </c:pt>
                <c:pt idx="1428">
                  <c:v>49436</c:v>
                </c:pt>
                <c:pt idx="1429">
                  <c:v>49440</c:v>
                </c:pt>
                <c:pt idx="1430">
                  <c:v>49447</c:v>
                </c:pt>
                <c:pt idx="1431">
                  <c:v>49454</c:v>
                </c:pt>
                <c:pt idx="1432">
                  <c:v>49461</c:v>
                </c:pt>
                <c:pt idx="1433">
                  <c:v>49468</c:v>
                </c:pt>
                <c:pt idx="1434">
                  <c:v>49475</c:v>
                </c:pt>
                <c:pt idx="1435">
                  <c:v>49485</c:v>
                </c:pt>
                <c:pt idx="1436">
                  <c:v>49489</c:v>
                </c:pt>
                <c:pt idx="1437">
                  <c:v>49496</c:v>
                </c:pt>
                <c:pt idx="1438">
                  <c:v>49503</c:v>
                </c:pt>
                <c:pt idx="1439">
                  <c:v>49510</c:v>
                </c:pt>
                <c:pt idx="1440">
                  <c:v>49517</c:v>
                </c:pt>
                <c:pt idx="1441">
                  <c:v>49524</c:v>
                </c:pt>
                <c:pt idx="1442">
                  <c:v>49531</c:v>
                </c:pt>
                <c:pt idx="1443">
                  <c:v>49538</c:v>
                </c:pt>
                <c:pt idx="1444">
                  <c:v>49545</c:v>
                </c:pt>
                <c:pt idx="1445">
                  <c:v>49552</c:v>
                </c:pt>
                <c:pt idx="1446">
                  <c:v>49559</c:v>
                </c:pt>
                <c:pt idx="1447">
                  <c:v>49566</c:v>
                </c:pt>
                <c:pt idx="1448">
                  <c:v>49573</c:v>
                </c:pt>
                <c:pt idx="1449">
                  <c:v>49580</c:v>
                </c:pt>
                <c:pt idx="1450">
                  <c:v>49587</c:v>
                </c:pt>
                <c:pt idx="1451">
                  <c:v>49594</c:v>
                </c:pt>
                <c:pt idx="1452">
                  <c:v>49601</c:v>
                </c:pt>
                <c:pt idx="1453">
                  <c:v>49608</c:v>
                </c:pt>
                <c:pt idx="1454">
                  <c:v>49615</c:v>
                </c:pt>
                <c:pt idx="1455">
                  <c:v>49622</c:v>
                </c:pt>
                <c:pt idx="1456">
                  <c:v>49629</c:v>
                </c:pt>
                <c:pt idx="1457">
                  <c:v>49636</c:v>
                </c:pt>
                <c:pt idx="1458">
                  <c:v>49643</c:v>
                </c:pt>
                <c:pt idx="1459">
                  <c:v>49650</c:v>
                </c:pt>
                <c:pt idx="1460">
                  <c:v>49657</c:v>
                </c:pt>
                <c:pt idx="1461">
                  <c:v>49664</c:v>
                </c:pt>
                <c:pt idx="1462">
                  <c:v>49676</c:v>
                </c:pt>
                <c:pt idx="1463">
                  <c:v>49681</c:v>
                </c:pt>
                <c:pt idx="1464">
                  <c:v>49688</c:v>
                </c:pt>
                <c:pt idx="1465">
                  <c:v>49695</c:v>
                </c:pt>
                <c:pt idx="1466">
                  <c:v>49702</c:v>
                </c:pt>
                <c:pt idx="1467">
                  <c:v>49709</c:v>
                </c:pt>
                <c:pt idx="1468">
                  <c:v>49716</c:v>
                </c:pt>
                <c:pt idx="1469">
                  <c:v>49723</c:v>
                </c:pt>
                <c:pt idx="1470">
                  <c:v>49730</c:v>
                </c:pt>
                <c:pt idx="1471">
                  <c:v>49737</c:v>
                </c:pt>
                <c:pt idx="1472">
                  <c:v>49744</c:v>
                </c:pt>
                <c:pt idx="1473">
                  <c:v>49751</c:v>
                </c:pt>
                <c:pt idx="1474">
                  <c:v>49758</c:v>
                </c:pt>
                <c:pt idx="1475">
                  <c:v>49765</c:v>
                </c:pt>
                <c:pt idx="1476">
                  <c:v>49772</c:v>
                </c:pt>
                <c:pt idx="1477">
                  <c:v>49781</c:v>
                </c:pt>
                <c:pt idx="1478">
                  <c:v>49786</c:v>
                </c:pt>
                <c:pt idx="1479">
                  <c:v>49793</c:v>
                </c:pt>
                <c:pt idx="1480">
                  <c:v>49801</c:v>
                </c:pt>
                <c:pt idx="1481">
                  <c:v>49808</c:v>
                </c:pt>
                <c:pt idx="1482">
                  <c:v>49815</c:v>
                </c:pt>
                <c:pt idx="1483">
                  <c:v>49822</c:v>
                </c:pt>
                <c:pt idx="1484">
                  <c:v>49830</c:v>
                </c:pt>
                <c:pt idx="1485">
                  <c:v>49836</c:v>
                </c:pt>
                <c:pt idx="1486">
                  <c:v>49843</c:v>
                </c:pt>
                <c:pt idx="1487">
                  <c:v>49851</c:v>
                </c:pt>
                <c:pt idx="1488">
                  <c:v>49858</c:v>
                </c:pt>
                <c:pt idx="1489">
                  <c:v>49865</c:v>
                </c:pt>
                <c:pt idx="1490">
                  <c:v>49872</c:v>
                </c:pt>
                <c:pt idx="1491">
                  <c:v>49879</c:v>
                </c:pt>
                <c:pt idx="1492">
                  <c:v>49886</c:v>
                </c:pt>
                <c:pt idx="1493">
                  <c:v>49893</c:v>
                </c:pt>
                <c:pt idx="1494">
                  <c:v>49900</c:v>
                </c:pt>
                <c:pt idx="1495">
                  <c:v>49907</c:v>
                </c:pt>
                <c:pt idx="1496">
                  <c:v>49914</c:v>
                </c:pt>
                <c:pt idx="1497">
                  <c:v>49921</c:v>
                </c:pt>
                <c:pt idx="1498">
                  <c:v>49928</c:v>
                </c:pt>
                <c:pt idx="1499">
                  <c:v>49935</c:v>
                </c:pt>
                <c:pt idx="1500">
                  <c:v>49942</c:v>
                </c:pt>
                <c:pt idx="1501">
                  <c:v>49949</c:v>
                </c:pt>
                <c:pt idx="1502">
                  <c:v>49956</c:v>
                </c:pt>
                <c:pt idx="1503">
                  <c:v>49963</c:v>
                </c:pt>
                <c:pt idx="1504">
                  <c:v>49970</c:v>
                </c:pt>
                <c:pt idx="1505">
                  <c:v>49977</c:v>
                </c:pt>
                <c:pt idx="1506">
                  <c:v>49984</c:v>
                </c:pt>
                <c:pt idx="1507">
                  <c:v>49991</c:v>
                </c:pt>
                <c:pt idx="1508">
                  <c:v>49998</c:v>
                </c:pt>
                <c:pt idx="1509">
                  <c:v>50005</c:v>
                </c:pt>
                <c:pt idx="1510">
                  <c:v>50012</c:v>
                </c:pt>
                <c:pt idx="1511">
                  <c:v>50019</c:v>
                </c:pt>
                <c:pt idx="1512">
                  <c:v>50026</c:v>
                </c:pt>
                <c:pt idx="1513">
                  <c:v>50038</c:v>
                </c:pt>
                <c:pt idx="1514">
                  <c:v>50042</c:v>
                </c:pt>
                <c:pt idx="1515">
                  <c:v>50048</c:v>
                </c:pt>
                <c:pt idx="1516">
                  <c:v>50054</c:v>
                </c:pt>
                <c:pt idx="1517">
                  <c:v>50061</c:v>
                </c:pt>
                <c:pt idx="1518">
                  <c:v>50068</c:v>
                </c:pt>
                <c:pt idx="1519">
                  <c:v>50075</c:v>
                </c:pt>
                <c:pt idx="1520">
                  <c:v>50082</c:v>
                </c:pt>
                <c:pt idx="1521">
                  <c:v>50089</c:v>
                </c:pt>
                <c:pt idx="1522">
                  <c:v>50096</c:v>
                </c:pt>
                <c:pt idx="1523">
                  <c:v>50103</c:v>
                </c:pt>
                <c:pt idx="1524">
                  <c:v>50110</c:v>
                </c:pt>
                <c:pt idx="1525">
                  <c:v>50117</c:v>
                </c:pt>
                <c:pt idx="1526">
                  <c:v>50124</c:v>
                </c:pt>
                <c:pt idx="1527">
                  <c:v>50131</c:v>
                </c:pt>
                <c:pt idx="1528">
                  <c:v>50139</c:v>
                </c:pt>
                <c:pt idx="1529">
                  <c:v>50146</c:v>
                </c:pt>
                <c:pt idx="1530">
                  <c:v>50153</c:v>
                </c:pt>
                <c:pt idx="1531">
                  <c:v>50160</c:v>
                </c:pt>
                <c:pt idx="1532">
                  <c:v>50167</c:v>
                </c:pt>
                <c:pt idx="1533">
                  <c:v>50175</c:v>
                </c:pt>
                <c:pt idx="1534">
                  <c:v>50181</c:v>
                </c:pt>
                <c:pt idx="1535">
                  <c:v>50188</c:v>
                </c:pt>
                <c:pt idx="1536">
                  <c:v>50195</c:v>
                </c:pt>
                <c:pt idx="1537">
                  <c:v>50202</c:v>
                </c:pt>
                <c:pt idx="1538">
                  <c:v>50209</c:v>
                </c:pt>
                <c:pt idx="1539">
                  <c:v>50216</c:v>
                </c:pt>
                <c:pt idx="1540">
                  <c:v>50223</c:v>
                </c:pt>
                <c:pt idx="1541">
                  <c:v>50230</c:v>
                </c:pt>
                <c:pt idx="1542">
                  <c:v>50237</c:v>
                </c:pt>
                <c:pt idx="1543">
                  <c:v>50244</c:v>
                </c:pt>
                <c:pt idx="1544">
                  <c:v>50251</c:v>
                </c:pt>
                <c:pt idx="1545">
                  <c:v>50258</c:v>
                </c:pt>
                <c:pt idx="1546">
                  <c:v>50265</c:v>
                </c:pt>
                <c:pt idx="1547">
                  <c:v>50272</c:v>
                </c:pt>
                <c:pt idx="1548">
                  <c:v>50279</c:v>
                </c:pt>
                <c:pt idx="1549">
                  <c:v>50286</c:v>
                </c:pt>
                <c:pt idx="1550">
                  <c:v>50293</c:v>
                </c:pt>
                <c:pt idx="1551">
                  <c:v>50300</c:v>
                </c:pt>
                <c:pt idx="1552">
                  <c:v>50307</c:v>
                </c:pt>
                <c:pt idx="1553">
                  <c:v>50314</c:v>
                </c:pt>
                <c:pt idx="1554">
                  <c:v>50321</c:v>
                </c:pt>
                <c:pt idx="1555">
                  <c:v>50328</c:v>
                </c:pt>
                <c:pt idx="1556">
                  <c:v>50335</c:v>
                </c:pt>
                <c:pt idx="1557">
                  <c:v>50342</c:v>
                </c:pt>
                <c:pt idx="1558">
                  <c:v>50349</c:v>
                </c:pt>
                <c:pt idx="1559">
                  <c:v>50356</c:v>
                </c:pt>
                <c:pt idx="1560">
                  <c:v>50363</c:v>
                </c:pt>
                <c:pt idx="1561">
                  <c:v>50370</c:v>
                </c:pt>
                <c:pt idx="1562">
                  <c:v>50377</c:v>
                </c:pt>
                <c:pt idx="1563">
                  <c:v>50384</c:v>
                </c:pt>
                <c:pt idx="1564">
                  <c:v>50391</c:v>
                </c:pt>
                <c:pt idx="1565">
                  <c:v>50402</c:v>
                </c:pt>
                <c:pt idx="1566">
                  <c:v>50409</c:v>
                </c:pt>
                <c:pt idx="1567">
                  <c:v>50413</c:v>
                </c:pt>
                <c:pt idx="1568">
                  <c:v>50419</c:v>
                </c:pt>
                <c:pt idx="1569">
                  <c:v>50426</c:v>
                </c:pt>
                <c:pt idx="1570">
                  <c:v>50433</c:v>
                </c:pt>
                <c:pt idx="1571">
                  <c:v>50440</c:v>
                </c:pt>
                <c:pt idx="1572">
                  <c:v>50447</c:v>
                </c:pt>
                <c:pt idx="1573">
                  <c:v>50454</c:v>
                </c:pt>
                <c:pt idx="1574">
                  <c:v>50461</c:v>
                </c:pt>
                <c:pt idx="1575">
                  <c:v>50468</c:v>
                </c:pt>
                <c:pt idx="1576">
                  <c:v>50475</c:v>
                </c:pt>
                <c:pt idx="1577">
                  <c:v>50482</c:v>
                </c:pt>
                <c:pt idx="1578">
                  <c:v>50489</c:v>
                </c:pt>
                <c:pt idx="1579">
                  <c:v>50496</c:v>
                </c:pt>
                <c:pt idx="1580">
                  <c:v>50503</c:v>
                </c:pt>
                <c:pt idx="1581">
                  <c:v>50510</c:v>
                </c:pt>
                <c:pt idx="1582">
                  <c:v>50517</c:v>
                </c:pt>
                <c:pt idx="1583">
                  <c:v>50524</c:v>
                </c:pt>
                <c:pt idx="1584">
                  <c:v>50531</c:v>
                </c:pt>
                <c:pt idx="1585">
                  <c:v>50538</c:v>
                </c:pt>
                <c:pt idx="1586">
                  <c:v>50545</c:v>
                </c:pt>
                <c:pt idx="1587">
                  <c:v>50552</c:v>
                </c:pt>
                <c:pt idx="1588">
                  <c:v>50560</c:v>
                </c:pt>
                <c:pt idx="1589">
                  <c:v>50566</c:v>
                </c:pt>
                <c:pt idx="1590">
                  <c:v>50573</c:v>
                </c:pt>
                <c:pt idx="1591">
                  <c:v>50580</c:v>
                </c:pt>
                <c:pt idx="1592">
                  <c:v>50587</c:v>
                </c:pt>
                <c:pt idx="1593">
                  <c:v>50594</c:v>
                </c:pt>
                <c:pt idx="1594">
                  <c:v>50601</c:v>
                </c:pt>
                <c:pt idx="1595">
                  <c:v>50608</c:v>
                </c:pt>
                <c:pt idx="1596">
                  <c:v>50615</c:v>
                </c:pt>
                <c:pt idx="1597">
                  <c:v>50622</c:v>
                </c:pt>
                <c:pt idx="1598">
                  <c:v>50629</c:v>
                </c:pt>
                <c:pt idx="1599">
                  <c:v>50636</c:v>
                </c:pt>
                <c:pt idx="1600">
                  <c:v>50643</c:v>
                </c:pt>
                <c:pt idx="1601">
                  <c:v>50650</c:v>
                </c:pt>
                <c:pt idx="1602">
                  <c:v>50657</c:v>
                </c:pt>
                <c:pt idx="1603">
                  <c:v>50664</c:v>
                </c:pt>
                <c:pt idx="1604">
                  <c:v>50671</c:v>
                </c:pt>
                <c:pt idx="1605">
                  <c:v>50678</c:v>
                </c:pt>
                <c:pt idx="1606">
                  <c:v>50685</c:v>
                </c:pt>
                <c:pt idx="1607">
                  <c:v>50692</c:v>
                </c:pt>
                <c:pt idx="1608">
                  <c:v>50699</c:v>
                </c:pt>
                <c:pt idx="1609">
                  <c:v>50706</c:v>
                </c:pt>
                <c:pt idx="1610">
                  <c:v>50713</c:v>
                </c:pt>
                <c:pt idx="1611">
                  <c:v>50720</c:v>
                </c:pt>
                <c:pt idx="1612">
                  <c:v>50727</c:v>
                </c:pt>
                <c:pt idx="1613">
                  <c:v>50734</c:v>
                </c:pt>
                <c:pt idx="1614">
                  <c:v>50741</c:v>
                </c:pt>
                <c:pt idx="1615">
                  <c:v>50748</c:v>
                </c:pt>
                <c:pt idx="1616">
                  <c:v>50755</c:v>
                </c:pt>
                <c:pt idx="1617">
                  <c:v>50762</c:v>
                </c:pt>
                <c:pt idx="1618">
                  <c:v>50769</c:v>
                </c:pt>
                <c:pt idx="1619">
                  <c:v>50777</c:v>
                </c:pt>
                <c:pt idx="1620">
                  <c:v>50783</c:v>
                </c:pt>
                <c:pt idx="1621">
                  <c:v>50790</c:v>
                </c:pt>
                <c:pt idx="1622">
                  <c:v>50797</c:v>
                </c:pt>
                <c:pt idx="1623">
                  <c:v>50804</c:v>
                </c:pt>
                <c:pt idx="1624">
                  <c:v>50811</c:v>
                </c:pt>
                <c:pt idx="1625">
                  <c:v>50818</c:v>
                </c:pt>
                <c:pt idx="1626">
                  <c:v>50825</c:v>
                </c:pt>
                <c:pt idx="1627">
                  <c:v>50832</c:v>
                </c:pt>
                <c:pt idx="1628">
                  <c:v>50839</c:v>
                </c:pt>
                <c:pt idx="1629">
                  <c:v>50846</c:v>
                </c:pt>
                <c:pt idx="1630">
                  <c:v>50853</c:v>
                </c:pt>
                <c:pt idx="1631">
                  <c:v>50860</c:v>
                </c:pt>
                <c:pt idx="1632">
                  <c:v>50867</c:v>
                </c:pt>
                <c:pt idx="1633">
                  <c:v>50874</c:v>
                </c:pt>
                <c:pt idx="1634">
                  <c:v>50881</c:v>
                </c:pt>
                <c:pt idx="1635">
                  <c:v>50888</c:v>
                </c:pt>
                <c:pt idx="1636">
                  <c:v>50895</c:v>
                </c:pt>
                <c:pt idx="1637">
                  <c:v>50902</c:v>
                </c:pt>
                <c:pt idx="1638">
                  <c:v>50910</c:v>
                </c:pt>
                <c:pt idx="1639">
                  <c:v>50916</c:v>
                </c:pt>
                <c:pt idx="1640">
                  <c:v>50923</c:v>
                </c:pt>
                <c:pt idx="1641">
                  <c:v>50930</c:v>
                </c:pt>
                <c:pt idx="1642">
                  <c:v>50937</c:v>
                </c:pt>
                <c:pt idx="1643">
                  <c:v>50944</c:v>
                </c:pt>
                <c:pt idx="1644">
                  <c:v>50951</c:v>
                </c:pt>
                <c:pt idx="1645">
                  <c:v>50958</c:v>
                </c:pt>
                <c:pt idx="1646">
                  <c:v>50965</c:v>
                </c:pt>
                <c:pt idx="1647">
                  <c:v>50972</c:v>
                </c:pt>
                <c:pt idx="1648">
                  <c:v>50979</c:v>
                </c:pt>
                <c:pt idx="1649">
                  <c:v>50986</c:v>
                </c:pt>
                <c:pt idx="1650">
                  <c:v>50993</c:v>
                </c:pt>
                <c:pt idx="1651">
                  <c:v>51000</c:v>
                </c:pt>
                <c:pt idx="1652">
                  <c:v>51007</c:v>
                </c:pt>
                <c:pt idx="1653">
                  <c:v>51014</c:v>
                </c:pt>
                <c:pt idx="1654">
                  <c:v>51021</c:v>
                </c:pt>
                <c:pt idx="1655">
                  <c:v>51028</c:v>
                </c:pt>
                <c:pt idx="1656">
                  <c:v>51035</c:v>
                </c:pt>
                <c:pt idx="1657">
                  <c:v>51042</c:v>
                </c:pt>
                <c:pt idx="1658">
                  <c:v>51049</c:v>
                </c:pt>
                <c:pt idx="1659">
                  <c:v>51056</c:v>
                </c:pt>
                <c:pt idx="1660">
                  <c:v>51063</c:v>
                </c:pt>
                <c:pt idx="1661">
                  <c:v>51070</c:v>
                </c:pt>
                <c:pt idx="1662">
                  <c:v>51077</c:v>
                </c:pt>
                <c:pt idx="1663">
                  <c:v>51084</c:v>
                </c:pt>
                <c:pt idx="1664">
                  <c:v>51091</c:v>
                </c:pt>
                <c:pt idx="1665">
                  <c:v>51098</c:v>
                </c:pt>
                <c:pt idx="1666">
                  <c:v>51105</c:v>
                </c:pt>
                <c:pt idx="1667">
                  <c:v>51112</c:v>
                </c:pt>
                <c:pt idx="1668">
                  <c:v>51119</c:v>
                </c:pt>
                <c:pt idx="1669">
                  <c:v>51126</c:v>
                </c:pt>
                <c:pt idx="1670">
                  <c:v>51133</c:v>
                </c:pt>
                <c:pt idx="1671">
                  <c:v>51140</c:v>
                </c:pt>
                <c:pt idx="1672">
                  <c:v>51147</c:v>
                </c:pt>
                <c:pt idx="1673">
                  <c:v>51154</c:v>
                </c:pt>
                <c:pt idx="1674">
                  <c:v>51161</c:v>
                </c:pt>
                <c:pt idx="1675">
                  <c:v>51168</c:v>
                </c:pt>
                <c:pt idx="1676">
                  <c:v>51175</c:v>
                </c:pt>
                <c:pt idx="1677">
                  <c:v>51182</c:v>
                </c:pt>
                <c:pt idx="1678">
                  <c:v>51189</c:v>
                </c:pt>
                <c:pt idx="1679">
                  <c:v>51196</c:v>
                </c:pt>
                <c:pt idx="1680">
                  <c:v>51203</c:v>
                </c:pt>
                <c:pt idx="1681">
                  <c:v>51210</c:v>
                </c:pt>
                <c:pt idx="1682">
                  <c:v>51217</c:v>
                </c:pt>
                <c:pt idx="1683">
                  <c:v>51224</c:v>
                </c:pt>
                <c:pt idx="1684">
                  <c:v>51231</c:v>
                </c:pt>
                <c:pt idx="1685">
                  <c:v>51238</c:v>
                </c:pt>
                <c:pt idx="1686">
                  <c:v>51245</c:v>
                </c:pt>
                <c:pt idx="1687">
                  <c:v>51252</c:v>
                </c:pt>
                <c:pt idx="1688">
                  <c:v>51260</c:v>
                </c:pt>
                <c:pt idx="1689">
                  <c:v>51270</c:v>
                </c:pt>
                <c:pt idx="1690">
                  <c:v>51274</c:v>
                </c:pt>
                <c:pt idx="1691">
                  <c:v>51281</c:v>
                </c:pt>
                <c:pt idx="1692">
                  <c:v>51288</c:v>
                </c:pt>
                <c:pt idx="1693">
                  <c:v>51295</c:v>
                </c:pt>
                <c:pt idx="1694">
                  <c:v>51302</c:v>
                </c:pt>
                <c:pt idx="1695">
                  <c:v>51312</c:v>
                </c:pt>
                <c:pt idx="1696">
                  <c:v>51316</c:v>
                </c:pt>
                <c:pt idx="1697">
                  <c:v>51323</c:v>
                </c:pt>
                <c:pt idx="1698">
                  <c:v>51330</c:v>
                </c:pt>
                <c:pt idx="1699">
                  <c:v>51337</c:v>
                </c:pt>
                <c:pt idx="1700">
                  <c:v>51344</c:v>
                </c:pt>
                <c:pt idx="1701">
                  <c:v>51351</c:v>
                </c:pt>
                <c:pt idx="1702">
                  <c:v>51358</c:v>
                </c:pt>
                <c:pt idx="1703">
                  <c:v>51365</c:v>
                </c:pt>
                <c:pt idx="1704">
                  <c:v>51372</c:v>
                </c:pt>
                <c:pt idx="1705">
                  <c:v>51379</c:v>
                </c:pt>
                <c:pt idx="1706">
                  <c:v>51386</c:v>
                </c:pt>
                <c:pt idx="1707">
                  <c:v>51393</c:v>
                </c:pt>
                <c:pt idx="1708">
                  <c:v>51400</c:v>
                </c:pt>
                <c:pt idx="1709">
                  <c:v>51407</c:v>
                </c:pt>
                <c:pt idx="1710">
                  <c:v>51414</c:v>
                </c:pt>
                <c:pt idx="1711">
                  <c:v>51421</c:v>
                </c:pt>
                <c:pt idx="1712">
                  <c:v>51428</c:v>
                </c:pt>
                <c:pt idx="1713">
                  <c:v>51435</c:v>
                </c:pt>
                <c:pt idx="1714">
                  <c:v>51442</c:v>
                </c:pt>
                <c:pt idx="1715">
                  <c:v>51449</c:v>
                </c:pt>
                <c:pt idx="1716">
                  <c:v>51456</c:v>
                </c:pt>
                <c:pt idx="1717">
                  <c:v>51463</c:v>
                </c:pt>
                <c:pt idx="1718">
                  <c:v>51470</c:v>
                </c:pt>
                <c:pt idx="1719">
                  <c:v>51477</c:v>
                </c:pt>
                <c:pt idx="1720">
                  <c:v>51484</c:v>
                </c:pt>
                <c:pt idx="1721">
                  <c:v>51491</c:v>
                </c:pt>
                <c:pt idx="1722">
                  <c:v>51503</c:v>
                </c:pt>
                <c:pt idx="1723">
                  <c:v>51508</c:v>
                </c:pt>
                <c:pt idx="1724">
                  <c:v>51515</c:v>
                </c:pt>
                <c:pt idx="1725">
                  <c:v>51522</c:v>
                </c:pt>
                <c:pt idx="1726">
                  <c:v>51529</c:v>
                </c:pt>
                <c:pt idx="1727">
                  <c:v>51536</c:v>
                </c:pt>
                <c:pt idx="1728">
                  <c:v>51543</c:v>
                </c:pt>
                <c:pt idx="1729">
                  <c:v>51550</c:v>
                </c:pt>
                <c:pt idx="1730">
                  <c:v>51557</c:v>
                </c:pt>
                <c:pt idx="1731">
                  <c:v>51564</c:v>
                </c:pt>
                <c:pt idx="1732">
                  <c:v>51571</c:v>
                </c:pt>
                <c:pt idx="1733">
                  <c:v>51578</c:v>
                </c:pt>
                <c:pt idx="1734">
                  <c:v>51585</c:v>
                </c:pt>
                <c:pt idx="1735">
                  <c:v>51592</c:v>
                </c:pt>
                <c:pt idx="1736">
                  <c:v>51599</c:v>
                </c:pt>
                <c:pt idx="1737">
                  <c:v>51606</c:v>
                </c:pt>
                <c:pt idx="1738">
                  <c:v>51615</c:v>
                </c:pt>
                <c:pt idx="1739">
                  <c:v>51620</c:v>
                </c:pt>
                <c:pt idx="1740">
                  <c:v>51627</c:v>
                </c:pt>
                <c:pt idx="1741">
                  <c:v>51634</c:v>
                </c:pt>
                <c:pt idx="1742">
                  <c:v>51641</c:v>
                </c:pt>
                <c:pt idx="1743">
                  <c:v>51648</c:v>
                </c:pt>
                <c:pt idx="1744">
                  <c:v>51656</c:v>
                </c:pt>
                <c:pt idx="1745">
                  <c:v>51664</c:v>
                </c:pt>
                <c:pt idx="1746">
                  <c:v>51670</c:v>
                </c:pt>
                <c:pt idx="1747">
                  <c:v>51678</c:v>
                </c:pt>
                <c:pt idx="1748">
                  <c:v>51685</c:v>
                </c:pt>
                <c:pt idx="1749">
                  <c:v>51692</c:v>
                </c:pt>
                <c:pt idx="1750">
                  <c:v>51699</c:v>
                </c:pt>
                <c:pt idx="1751">
                  <c:v>51706</c:v>
                </c:pt>
                <c:pt idx="1752">
                  <c:v>51713</c:v>
                </c:pt>
                <c:pt idx="1753">
                  <c:v>51720</c:v>
                </c:pt>
                <c:pt idx="1754">
                  <c:v>51727</c:v>
                </c:pt>
                <c:pt idx="1755">
                  <c:v>51734</c:v>
                </c:pt>
                <c:pt idx="1756">
                  <c:v>51741</c:v>
                </c:pt>
                <c:pt idx="1757">
                  <c:v>51748</c:v>
                </c:pt>
                <c:pt idx="1758">
                  <c:v>51755</c:v>
                </c:pt>
                <c:pt idx="1759">
                  <c:v>51762</c:v>
                </c:pt>
                <c:pt idx="1760">
                  <c:v>51769</c:v>
                </c:pt>
                <c:pt idx="1761">
                  <c:v>51776</c:v>
                </c:pt>
                <c:pt idx="1762">
                  <c:v>51783</c:v>
                </c:pt>
                <c:pt idx="1763">
                  <c:v>51790</c:v>
                </c:pt>
                <c:pt idx="1764">
                  <c:v>51797</c:v>
                </c:pt>
                <c:pt idx="1765">
                  <c:v>51804</c:v>
                </c:pt>
                <c:pt idx="1766">
                  <c:v>51811</c:v>
                </c:pt>
                <c:pt idx="1767">
                  <c:v>51818</c:v>
                </c:pt>
                <c:pt idx="1768">
                  <c:v>51825</c:v>
                </c:pt>
                <c:pt idx="1769">
                  <c:v>51832</c:v>
                </c:pt>
                <c:pt idx="1770">
                  <c:v>51839</c:v>
                </c:pt>
                <c:pt idx="1771">
                  <c:v>51846</c:v>
                </c:pt>
                <c:pt idx="1772">
                  <c:v>51853</c:v>
                </c:pt>
                <c:pt idx="1773">
                  <c:v>51865</c:v>
                </c:pt>
                <c:pt idx="1774">
                  <c:v>51869</c:v>
                </c:pt>
                <c:pt idx="1775">
                  <c:v>51875</c:v>
                </c:pt>
                <c:pt idx="1776">
                  <c:v>51882</c:v>
                </c:pt>
                <c:pt idx="1777">
                  <c:v>51889</c:v>
                </c:pt>
                <c:pt idx="1778">
                  <c:v>51896</c:v>
                </c:pt>
                <c:pt idx="1779">
                  <c:v>51903</c:v>
                </c:pt>
                <c:pt idx="1780">
                  <c:v>51910</c:v>
                </c:pt>
                <c:pt idx="1781">
                  <c:v>51917</c:v>
                </c:pt>
                <c:pt idx="1782">
                  <c:v>51924</c:v>
                </c:pt>
                <c:pt idx="1783">
                  <c:v>51931</c:v>
                </c:pt>
                <c:pt idx="1784">
                  <c:v>51938</c:v>
                </c:pt>
                <c:pt idx="1785">
                  <c:v>51945</c:v>
                </c:pt>
                <c:pt idx="1786">
                  <c:v>51952</c:v>
                </c:pt>
                <c:pt idx="1787">
                  <c:v>51959</c:v>
                </c:pt>
                <c:pt idx="1788">
                  <c:v>51966</c:v>
                </c:pt>
                <c:pt idx="1789">
                  <c:v>51973</c:v>
                </c:pt>
                <c:pt idx="1790">
                  <c:v>51980</c:v>
                </c:pt>
                <c:pt idx="1791">
                  <c:v>51988</c:v>
                </c:pt>
                <c:pt idx="1792">
                  <c:v>51994</c:v>
                </c:pt>
                <c:pt idx="1793">
                  <c:v>52002</c:v>
                </c:pt>
                <c:pt idx="1794">
                  <c:v>52008</c:v>
                </c:pt>
                <c:pt idx="1795">
                  <c:v>52015</c:v>
                </c:pt>
                <c:pt idx="1796">
                  <c:v>52022</c:v>
                </c:pt>
                <c:pt idx="1797">
                  <c:v>52029</c:v>
                </c:pt>
                <c:pt idx="1798">
                  <c:v>52036</c:v>
                </c:pt>
                <c:pt idx="1799">
                  <c:v>52043</c:v>
                </c:pt>
                <c:pt idx="1800">
                  <c:v>52050</c:v>
                </c:pt>
                <c:pt idx="1801">
                  <c:v>52057</c:v>
                </c:pt>
                <c:pt idx="1802">
                  <c:v>52064</c:v>
                </c:pt>
                <c:pt idx="1803">
                  <c:v>52071</c:v>
                </c:pt>
                <c:pt idx="1804">
                  <c:v>52078</c:v>
                </c:pt>
                <c:pt idx="1805">
                  <c:v>52085</c:v>
                </c:pt>
                <c:pt idx="1806">
                  <c:v>52092</c:v>
                </c:pt>
                <c:pt idx="1807">
                  <c:v>52099</c:v>
                </c:pt>
                <c:pt idx="1808">
                  <c:v>52106</c:v>
                </c:pt>
                <c:pt idx="1809">
                  <c:v>52113</c:v>
                </c:pt>
                <c:pt idx="1810">
                  <c:v>52120</c:v>
                </c:pt>
                <c:pt idx="1811">
                  <c:v>52127</c:v>
                </c:pt>
                <c:pt idx="1812">
                  <c:v>52134</c:v>
                </c:pt>
                <c:pt idx="1813">
                  <c:v>52141</c:v>
                </c:pt>
                <c:pt idx="1814">
                  <c:v>52148</c:v>
                </c:pt>
                <c:pt idx="1815">
                  <c:v>52155</c:v>
                </c:pt>
                <c:pt idx="1816">
                  <c:v>52162</c:v>
                </c:pt>
                <c:pt idx="1817">
                  <c:v>52169</c:v>
                </c:pt>
                <c:pt idx="1818">
                  <c:v>52176</c:v>
                </c:pt>
                <c:pt idx="1819">
                  <c:v>52183</c:v>
                </c:pt>
                <c:pt idx="1820">
                  <c:v>52190</c:v>
                </c:pt>
                <c:pt idx="1821">
                  <c:v>52197</c:v>
                </c:pt>
                <c:pt idx="1822">
                  <c:v>52204</c:v>
                </c:pt>
                <c:pt idx="1823">
                  <c:v>52211</c:v>
                </c:pt>
                <c:pt idx="1824">
                  <c:v>52218</c:v>
                </c:pt>
                <c:pt idx="1825">
                  <c:v>52230</c:v>
                </c:pt>
                <c:pt idx="1826">
                  <c:v>52236</c:v>
                </c:pt>
                <c:pt idx="1827">
                  <c:v>52240</c:v>
                </c:pt>
                <c:pt idx="1828">
                  <c:v>52247</c:v>
                </c:pt>
                <c:pt idx="1829">
                  <c:v>52254</c:v>
                </c:pt>
                <c:pt idx="1830">
                  <c:v>52261</c:v>
                </c:pt>
                <c:pt idx="1831">
                  <c:v>52268</c:v>
                </c:pt>
                <c:pt idx="1832">
                  <c:v>52275</c:v>
                </c:pt>
                <c:pt idx="1833">
                  <c:v>52282</c:v>
                </c:pt>
                <c:pt idx="1834">
                  <c:v>52289</c:v>
                </c:pt>
                <c:pt idx="1835">
                  <c:v>52296</c:v>
                </c:pt>
                <c:pt idx="1836">
                  <c:v>52303</c:v>
                </c:pt>
                <c:pt idx="1837">
                  <c:v>52310</c:v>
                </c:pt>
                <c:pt idx="1838">
                  <c:v>52321</c:v>
                </c:pt>
                <c:pt idx="1839">
                  <c:v>52324</c:v>
                </c:pt>
                <c:pt idx="1840">
                  <c:v>52331</c:v>
                </c:pt>
                <c:pt idx="1841">
                  <c:v>52338</c:v>
                </c:pt>
                <c:pt idx="1842">
                  <c:v>52345</c:v>
                </c:pt>
                <c:pt idx="1843">
                  <c:v>52355</c:v>
                </c:pt>
                <c:pt idx="1844">
                  <c:v>52362</c:v>
                </c:pt>
                <c:pt idx="1845">
                  <c:v>52366</c:v>
                </c:pt>
                <c:pt idx="1846">
                  <c:v>52373</c:v>
                </c:pt>
                <c:pt idx="1847">
                  <c:v>52380</c:v>
                </c:pt>
                <c:pt idx="1848">
                  <c:v>52387</c:v>
                </c:pt>
                <c:pt idx="1849">
                  <c:v>52394</c:v>
                </c:pt>
                <c:pt idx="1850">
                  <c:v>52404</c:v>
                </c:pt>
                <c:pt idx="1851">
                  <c:v>52408</c:v>
                </c:pt>
                <c:pt idx="1852">
                  <c:v>52415</c:v>
                </c:pt>
                <c:pt idx="1853">
                  <c:v>52422</c:v>
                </c:pt>
                <c:pt idx="1854">
                  <c:v>52429</c:v>
                </c:pt>
                <c:pt idx="1855">
                  <c:v>52436</c:v>
                </c:pt>
                <c:pt idx="1856">
                  <c:v>52443</c:v>
                </c:pt>
                <c:pt idx="1857">
                  <c:v>52450</c:v>
                </c:pt>
                <c:pt idx="1858">
                  <c:v>52457</c:v>
                </c:pt>
                <c:pt idx="1859">
                  <c:v>52464</c:v>
                </c:pt>
                <c:pt idx="1860">
                  <c:v>52471</c:v>
                </c:pt>
                <c:pt idx="1861">
                  <c:v>52478</c:v>
                </c:pt>
                <c:pt idx="1862">
                  <c:v>52485</c:v>
                </c:pt>
                <c:pt idx="1863">
                  <c:v>52492</c:v>
                </c:pt>
                <c:pt idx="1864">
                  <c:v>52499</c:v>
                </c:pt>
                <c:pt idx="1865">
                  <c:v>52506</c:v>
                </c:pt>
                <c:pt idx="1866">
                  <c:v>52513</c:v>
                </c:pt>
                <c:pt idx="1867">
                  <c:v>52520</c:v>
                </c:pt>
                <c:pt idx="1868">
                  <c:v>52527</c:v>
                </c:pt>
                <c:pt idx="1869">
                  <c:v>52534</c:v>
                </c:pt>
                <c:pt idx="1870">
                  <c:v>52541</c:v>
                </c:pt>
                <c:pt idx="1871">
                  <c:v>52548</c:v>
                </c:pt>
                <c:pt idx="1872">
                  <c:v>52555</c:v>
                </c:pt>
                <c:pt idx="1873">
                  <c:v>52562</c:v>
                </c:pt>
                <c:pt idx="1874">
                  <c:v>52569</c:v>
                </c:pt>
                <c:pt idx="1875">
                  <c:v>52576</c:v>
                </c:pt>
                <c:pt idx="1876">
                  <c:v>52583</c:v>
                </c:pt>
                <c:pt idx="1877">
                  <c:v>52594</c:v>
                </c:pt>
                <c:pt idx="1878">
                  <c:v>52601</c:v>
                </c:pt>
                <c:pt idx="1879">
                  <c:v>52607</c:v>
                </c:pt>
                <c:pt idx="1880">
                  <c:v>52614</c:v>
                </c:pt>
                <c:pt idx="1881">
                  <c:v>52621</c:v>
                </c:pt>
                <c:pt idx="1882">
                  <c:v>52628</c:v>
                </c:pt>
                <c:pt idx="1883">
                  <c:v>52635</c:v>
                </c:pt>
                <c:pt idx="1884">
                  <c:v>52642</c:v>
                </c:pt>
                <c:pt idx="1885">
                  <c:v>52649</c:v>
                </c:pt>
                <c:pt idx="1886">
                  <c:v>52656</c:v>
                </c:pt>
                <c:pt idx="1887">
                  <c:v>52663</c:v>
                </c:pt>
                <c:pt idx="1888">
                  <c:v>52670</c:v>
                </c:pt>
                <c:pt idx="1889">
                  <c:v>52677</c:v>
                </c:pt>
                <c:pt idx="1890">
                  <c:v>52684</c:v>
                </c:pt>
                <c:pt idx="1891">
                  <c:v>52691</c:v>
                </c:pt>
                <c:pt idx="1892">
                  <c:v>52698</c:v>
                </c:pt>
                <c:pt idx="1893">
                  <c:v>52707</c:v>
                </c:pt>
                <c:pt idx="1894">
                  <c:v>52712</c:v>
                </c:pt>
                <c:pt idx="1895">
                  <c:v>52719</c:v>
                </c:pt>
                <c:pt idx="1896">
                  <c:v>52726</c:v>
                </c:pt>
                <c:pt idx="1897">
                  <c:v>52733</c:v>
                </c:pt>
                <c:pt idx="1898">
                  <c:v>52740</c:v>
                </c:pt>
                <c:pt idx="1899">
                  <c:v>52748</c:v>
                </c:pt>
                <c:pt idx="1900">
                  <c:v>52756</c:v>
                </c:pt>
                <c:pt idx="1901">
                  <c:v>52762</c:v>
                </c:pt>
                <c:pt idx="1902">
                  <c:v>52769</c:v>
                </c:pt>
                <c:pt idx="1903">
                  <c:v>52777</c:v>
                </c:pt>
                <c:pt idx="1904">
                  <c:v>52784</c:v>
                </c:pt>
                <c:pt idx="1905">
                  <c:v>52791</c:v>
                </c:pt>
                <c:pt idx="1906">
                  <c:v>52798</c:v>
                </c:pt>
                <c:pt idx="1907">
                  <c:v>52805</c:v>
                </c:pt>
                <c:pt idx="1908">
                  <c:v>52812</c:v>
                </c:pt>
                <c:pt idx="1909">
                  <c:v>52819</c:v>
                </c:pt>
                <c:pt idx="1910">
                  <c:v>52826</c:v>
                </c:pt>
                <c:pt idx="1911">
                  <c:v>52833</c:v>
                </c:pt>
                <c:pt idx="1912">
                  <c:v>52840</c:v>
                </c:pt>
                <c:pt idx="1913">
                  <c:v>52847</c:v>
                </c:pt>
                <c:pt idx="1914">
                  <c:v>52854</c:v>
                </c:pt>
                <c:pt idx="1915">
                  <c:v>52861</c:v>
                </c:pt>
                <c:pt idx="1916">
                  <c:v>52868</c:v>
                </c:pt>
                <c:pt idx="1917">
                  <c:v>52875</c:v>
                </c:pt>
                <c:pt idx="1918">
                  <c:v>52882</c:v>
                </c:pt>
                <c:pt idx="1919">
                  <c:v>52889</c:v>
                </c:pt>
                <c:pt idx="1920">
                  <c:v>52896</c:v>
                </c:pt>
                <c:pt idx="1921">
                  <c:v>52903</c:v>
                </c:pt>
                <c:pt idx="1922">
                  <c:v>52910</c:v>
                </c:pt>
                <c:pt idx="1923">
                  <c:v>52917</c:v>
                </c:pt>
                <c:pt idx="1924">
                  <c:v>52924</c:v>
                </c:pt>
                <c:pt idx="1925">
                  <c:v>52931</c:v>
                </c:pt>
                <c:pt idx="1926">
                  <c:v>52938</c:v>
                </c:pt>
                <c:pt idx="1927">
                  <c:v>52945</c:v>
                </c:pt>
                <c:pt idx="1928">
                  <c:v>52952</c:v>
                </c:pt>
                <c:pt idx="1929">
                  <c:v>52960</c:v>
                </c:pt>
                <c:pt idx="1930">
                  <c:v>52967</c:v>
                </c:pt>
                <c:pt idx="1931">
                  <c:v>52974</c:v>
                </c:pt>
                <c:pt idx="1932">
                  <c:v>52981</c:v>
                </c:pt>
                <c:pt idx="1933">
                  <c:v>52988</c:v>
                </c:pt>
                <c:pt idx="1934">
                  <c:v>52995</c:v>
                </c:pt>
                <c:pt idx="1935">
                  <c:v>53002</c:v>
                </c:pt>
                <c:pt idx="1936">
                  <c:v>53009</c:v>
                </c:pt>
                <c:pt idx="1937">
                  <c:v>53016</c:v>
                </c:pt>
                <c:pt idx="1938">
                  <c:v>53023</c:v>
                </c:pt>
                <c:pt idx="1939">
                  <c:v>53030</c:v>
                </c:pt>
                <c:pt idx="1940">
                  <c:v>53037</c:v>
                </c:pt>
                <c:pt idx="1941">
                  <c:v>53044</c:v>
                </c:pt>
                <c:pt idx="1942">
                  <c:v>53051</c:v>
                </c:pt>
                <c:pt idx="1943">
                  <c:v>53058</c:v>
                </c:pt>
                <c:pt idx="1944">
                  <c:v>53065</c:v>
                </c:pt>
                <c:pt idx="1945">
                  <c:v>53072</c:v>
                </c:pt>
                <c:pt idx="1946">
                  <c:v>53079</c:v>
                </c:pt>
                <c:pt idx="1947">
                  <c:v>53086</c:v>
                </c:pt>
                <c:pt idx="1948">
                  <c:v>53093</c:v>
                </c:pt>
                <c:pt idx="1949">
                  <c:v>53101</c:v>
                </c:pt>
                <c:pt idx="1950">
                  <c:v>53107</c:v>
                </c:pt>
                <c:pt idx="1951">
                  <c:v>53114</c:v>
                </c:pt>
                <c:pt idx="1952">
                  <c:v>53121</c:v>
                </c:pt>
                <c:pt idx="1953">
                  <c:v>53128</c:v>
                </c:pt>
                <c:pt idx="1954">
                  <c:v>53135</c:v>
                </c:pt>
                <c:pt idx="1955">
                  <c:v>53142</c:v>
                </c:pt>
                <c:pt idx="1956">
                  <c:v>53149</c:v>
                </c:pt>
                <c:pt idx="1957">
                  <c:v>53156</c:v>
                </c:pt>
                <c:pt idx="1958">
                  <c:v>53163</c:v>
                </c:pt>
                <c:pt idx="1959">
                  <c:v>53170</c:v>
                </c:pt>
                <c:pt idx="1960">
                  <c:v>53177</c:v>
                </c:pt>
                <c:pt idx="1961">
                  <c:v>53184</c:v>
                </c:pt>
                <c:pt idx="1962">
                  <c:v>53191</c:v>
                </c:pt>
                <c:pt idx="1963">
                  <c:v>53198</c:v>
                </c:pt>
                <c:pt idx="1964">
                  <c:v>53205</c:v>
                </c:pt>
                <c:pt idx="1965">
                  <c:v>53212</c:v>
                </c:pt>
                <c:pt idx="1966">
                  <c:v>53219</c:v>
                </c:pt>
                <c:pt idx="1967">
                  <c:v>53226</c:v>
                </c:pt>
                <c:pt idx="1968">
                  <c:v>53233</c:v>
                </c:pt>
                <c:pt idx="1969">
                  <c:v>53240</c:v>
                </c:pt>
                <c:pt idx="1970">
                  <c:v>53247</c:v>
                </c:pt>
                <c:pt idx="1971">
                  <c:v>53254</c:v>
                </c:pt>
                <c:pt idx="1972">
                  <c:v>53261</c:v>
                </c:pt>
                <c:pt idx="1973">
                  <c:v>53268</c:v>
                </c:pt>
                <c:pt idx="1974">
                  <c:v>53275</c:v>
                </c:pt>
                <c:pt idx="1975">
                  <c:v>53282</c:v>
                </c:pt>
                <c:pt idx="1976">
                  <c:v>53289</c:v>
                </c:pt>
                <c:pt idx="1977">
                  <c:v>53296</c:v>
                </c:pt>
                <c:pt idx="1978">
                  <c:v>53303</c:v>
                </c:pt>
                <c:pt idx="1979">
                  <c:v>53310</c:v>
                </c:pt>
                <c:pt idx="1980">
                  <c:v>53317</c:v>
                </c:pt>
                <c:pt idx="1981">
                  <c:v>53325</c:v>
                </c:pt>
                <c:pt idx="1982">
                  <c:v>53332</c:v>
                </c:pt>
                <c:pt idx="1983">
                  <c:v>53339</c:v>
                </c:pt>
                <c:pt idx="1984">
                  <c:v>53346</c:v>
                </c:pt>
                <c:pt idx="1985">
                  <c:v>53353</c:v>
                </c:pt>
                <c:pt idx="1986">
                  <c:v>53360</c:v>
                </c:pt>
                <c:pt idx="1987">
                  <c:v>53367</c:v>
                </c:pt>
                <c:pt idx="1988">
                  <c:v>53374</c:v>
                </c:pt>
                <c:pt idx="1989">
                  <c:v>53381</c:v>
                </c:pt>
                <c:pt idx="1990">
                  <c:v>53388</c:v>
                </c:pt>
                <c:pt idx="1991">
                  <c:v>53395</c:v>
                </c:pt>
                <c:pt idx="1992">
                  <c:v>53402</c:v>
                </c:pt>
                <c:pt idx="1993">
                  <c:v>53413</c:v>
                </c:pt>
                <c:pt idx="1994">
                  <c:v>53416</c:v>
                </c:pt>
                <c:pt idx="1995">
                  <c:v>53423</c:v>
                </c:pt>
                <c:pt idx="1996">
                  <c:v>53430</c:v>
                </c:pt>
                <c:pt idx="1997">
                  <c:v>53437</c:v>
                </c:pt>
                <c:pt idx="1998">
                  <c:v>53444</c:v>
                </c:pt>
                <c:pt idx="1999">
                  <c:v>53454</c:v>
                </c:pt>
                <c:pt idx="2000">
                  <c:v>53458</c:v>
                </c:pt>
                <c:pt idx="2001">
                  <c:v>53465</c:v>
                </c:pt>
                <c:pt idx="2002">
                  <c:v>53472</c:v>
                </c:pt>
                <c:pt idx="2003">
                  <c:v>53479</c:v>
                </c:pt>
                <c:pt idx="2004">
                  <c:v>53486</c:v>
                </c:pt>
                <c:pt idx="2005">
                  <c:v>53493</c:v>
                </c:pt>
                <c:pt idx="2006">
                  <c:v>53503</c:v>
                </c:pt>
                <c:pt idx="2007">
                  <c:v>53507</c:v>
                </c:pt>
                <c:pt idx="2008">
                  <c:v>53514</c:v>
                </c:pt>
                <c:pt idx="2009">
                  <c:v>53521</c:v>
                </c:pt>
                <c:pt idx="2010">
                  <c:v>53528</c:v>
                </c:pt>
                <c:pt idx="2011">
                  <c:v>53535</c:v>
                </c:pt>
                <c:pt idx="2012">
                  <c:v>53542</c:v>
                </c:pt>
                <c:pt idx="2013">
                  <c:v>53549</c:v>
                </c:pt>
                <c:pt idx="2014">
                  <c:v>53556</c:v>
                </c:pt>
                <c:pt idx="2015">
                  <c:v>53563</c:v>
                </c:pt>
                <c:pt idx="2016">
                  <c:v>53570</c:v>
                </c:pt>
                <c:pt idx="2017">
                  <c:v>53577</c:v>
                </c:pt>
                <c:pt idx="2018">
                  <c:v>53584</c:v>
                </c:pt>
                <c:pt idx="2019">
                  <c:v>53591</c:v>
                </c:pt>
                <c:pt idx="2020">
                  <c:v>53598</c:v>
                </c:pt>
                <c:pt idx="2021">
                  <c:v>53605</c:v>
                </c:pt>
                <c:pt idx="2022">
                  <c:v>53612</c:v>
                </c:pt>
                <c:pt idx="2023">
                  <c:v>53619</c:v>
                </c:pt>
                <c:pt idx="2024">
                  <c:v>53626</c:v>
                </c:pt>
                <c:pt idx="2025">
                  <c:v>53633</c:v>
                </c:pt>
                <c:pt idx="2026">
                  <c:v>53640</c:v>
                </c:pt>
                <c:pt idx="2027">
                  <c:v>53647</c:v>
                </c:pt>
                <c:pt idx="2028">
                  <c:v>53654</c:v>
                </c:pt>
                <c:pt idx="2029">
                  <c:v>53661</c:v>
                </c:pt>
                <c:pt idx="2030">
                  <c:v>53668</c:v>
                </c:pt>
                <c:pt idx="2031">
                  <c:v>53675</c:v>
                </c:pt>
                <c:pt idx="2032">
                  <c:v>53682</c:v>
                </c:pt>
                <c:pt idx="2033">
                  <c:v>53694</c:v>
                </c:pt>
                <c:pt idx="2034">
                  <c:v>53699</c:v>
                </c:pt>
                <c:pt idx="2035">
                  <c:v>53706</c:v>
                </c:pt>
                <c:pt idx="2036">
                  <c:v>53713</c:v>
                </c:pt>
                <c:pt idx="2037">
                  <c:v>53720</c:v>
                </c:pt>
                <c:pt idx="2038">
                  <c:v>53727</c:v>
                </c:pt>
                <c:pt idx="2039">
                  <c:v>53734</c:v>
                </c:pt>
                <c:pt idx="2040">
                  <c:v>53741</c:v>
                </c:pt>
                <c:pt idx="2041">
                  <c:v>53748</c:v>
                </c:pt>
                <c:pt idx="2042">
                  <c:v>53755</c:v>
                </c:pt>
                <c:pt idx="2043">
                  <c:v>53762</c:v>
                </c:pt>
                <c:pt idx="2044">
                  <c:v>53769</c:v>
                </c:pt>
                <c:pt idx="2045">
                  <c:v>53776</c:v>
                </c:pt>
                <c:pt idx="2046">
                  <c:v>53783</c:v>
                </c:pt>
                <c:pt idx="2047">
                  <c:v>53790</c:v>
                </c:pt>
                <c:pt idx="2048">
                  <c:v>53799</c:v>
                </c:pt>
                <c:pt idx="2049">
                  <c:v>53804</c:v>
                </c:pt>
                <c:pt idx="2050">
                  <c:v>53811</c:v>
                </c:pt>
                <c:pt idx="2051">
                  <c:v>53818</c:v>
                </c:pt>
                <c:pt idx="2052">
                  <c:v>53825</c:v>
                </c:pt>
                <c:pt idx="2053">
                  <c:v>53832</c:v>
                </c:pt>
                <c:pt idx="2054">
                  <c:v>53840</c:v>
                </c:pt>
                <c:pt idx="2055">
                  <c:v>53848</c:v>
                </c:pt>
                <c:pt idx="2056">
                  <c:v>53854</c:v>
                </c:pt>
                <c:pt idx="2057">
                  <c:v>53861</c:v>
                </c:pt>
                <c:pt idx="2058">
                  <c:v>53869</c:v>
                </c:pt>
                <c:pt idx="2059">
                  <c:v>53876</c:v>
                </c:pt>
                <c:pt idx="2060">
                  <c:v>53883</c:v>
                </c:pt>
                <c:pt idx="2061">
                  <c:v>53890</c:v>
                </c:pt>
                <c:pt idx="2062">
                  <c:v>53897</c:v>
                </c:pt>
                <c:pt idx="2063">
                  <c:v>53904</c:v>
                </c:pt>
                <c:pt idx="2064">
                  <c:v>53911</c:v>
                </c:pt>
                <c:pt idx="2065">
                  <c:v>53918</c:v>
                </c:pt>
                <c:pt idx="2066">
                  <c:v>53925</c:v>
                </c:pt>
                <c:pt idx="2067">
                  <c:v>53932</c:v>
                </c:pt>
                <c:pt idx="2068">
                  <c:v>53939</c:v>
                </c:pt>
                <c:pt idx="2069">
                  <c:v>53946</c:v>
                </c:pt>
                <c:pt idx="2070">
                  <c:v>53953</c:v>
                </c:pt>
                <c:pt idx="2071">
                  <c:v>53960</c:v>
                </c:pt>
                <c:pt idx="2072">
                  <c:v>53967</c:v>
                </c:pt>
                <c:pt idx="2073">
                  <c:v>53974</c:v>
                </c:pt>
                <c:pt idx="2074">
                  <c:v>53981</c:v>
                </c:pt>
                <c:pt idx="2075">
                  <c:v>53988</c:v>
                </c:pt>
                <c:pt idx="2076">
                  <c:v>53995</c:v>
                </c:pt>
                <c:pt idx="2077">
                  <c:v>54002</c:v>
                </c:pt>
                <c:pt idx="2078">
                  <c:v>54009</c:v>
                </c:pt>
                <c:pt idx="2079">
                  <c:v>54016</c:v>
                </c:pt>
                <c:pt idx="2080">
                  <c:v>54023</c:v>
                </c:pt>
                <c:pt idx="2081">
                  <c:v>54030</c:v>
                </c:pt>
                <c:pt idx="2082">
                  <c:v>54037</c:v>
                </c:pt>
                <c:pt idx="2083">
                  <c:v>54044</c:v>
                </c:pt>
                <c:pt idx="2084">
                  <c:v>54056</c:v>
                </c:pt>
                <c:pt idx="2085">
                  <c:v>54060</c:v>
                </c:pt>
                <c:pt idx="2086">
                  <c:v>54066</c:v>
                </c:pt>
                <c:pt idx="2087">
                  <c:v>54073</c:v>
                </c:pt>
                <c:pt idx="2088">
                  <c:v>54080</c:v>
                </c:pt>
                <c:pt idx="2089">
                  <c:v>54087</c:v>
                </c:pt>
                <c:pt idx="2090">
                  <c:v>54094</c:v>
                </c:pt>
                <c:pt idx="2091">
                  <c:v>54101</c:v>
                </c:pt>
                <c:pt idx="2092">
                  <c:v>54108</c:v>
                </c:pt>
                <c:pt idx="2093">
                  <c:v>54115</c:v>
                </c:pt>
                <c:pt idx="2094">
                  <c:v>54122</c:v>
                </c:pt>
                <c:pt idx="2095">
                  <c:v>54129</c:v>
                </c:pt>
                <c:pt idx="2096">
                  <c:v>54136</c:v>
                </c:pt>
                <c:pt idx="2097">
                  <c:v>54143</c:v>
                </c:pt>
                <c:pt idx="2098">
                  <c:v>54150</c:v>
                </c:pt>
                <c:pt idx="2099">
                  <c:v>54157</c:v>
                </c:pt>
                <c:pt idx="2100">
                  <c:v>54164</c:v>
                </c:pt>
                <c:pt idx="2101">
                  <c:v>54171</c:v>
                </c:pt>
                <c:pt idx="2102">
                  <c:v>54178</c:v>
                </c:pt>
                <c:pt idx="2103">
                  <c:v>54185</c:v>
                </c:pt>
                <c:pt idx="2104">
                  <c:v>54193</c:v>
                </c:pt>
                <c:pt idx="2105">
                  <c:v>54199</c:v>
                </c:pt>
                <c:pt idx="2106">
                  <c:v>54206</c:v>
                </c:pt>
                <c:pt idx="2107">
                  <c:v>54213</c:v>
                </c:pt>
                <c:pt idx="2108">
                  <c:v>54220</c:v>
                </c:pt>
                <c:pt idx="2109">
                  <c:v>54227</c:v>
                </c:pt>
                <c:pt idx="2110">
                  <c:v>54234</c:v>
                </c:pt>
                <c:pt idx="2111">
                  <c:v>54241</c:v>
                </c:pt>
                <c:pt idx="2112">
                  <c:v>54248</c:v>
                </c:pt>
                <c:pt idx="2113">
                  <c:v>54255</c:v>
                </c:pt>
                <c:pt idx="2114">
                  <c:v>54262</c:v>
                </c:pt>
                <c:pt idx="2115">
                  <c:v>54269</c:v>
                </c:pt>
                <c:pt idx="2116">
                  <c:v>54276</c:v>
                </c:pt>
                <c:pt idx="2117">
                  <c:v>54283</c:v>
                </c:pt>
                <c:pt idx="2118">
                  <c:v>54290</c:v>
                </c:pt>
                <c:pt idx="2119">
                  <c:v>54297</c:v>
                </c:pt>
                <c:pt idx="2120">
                  <c:v>54304</c:v>
                </c:pt>
                <c:pt idx="2121">
                  <c:v>54311</c:v>
                </c:pt>
                <c:pt idx="2122">
                  <c:v>54318</c:v>
                </c:pt>
                <c:pt idx="2123">
                  <c:v>54325</c:v>
                </c:pt>
                <c:pt idx="2124">
                  <c:v>54332</c:v>
                </c:pt>
                <c:pt idx="2125">
                  <c:v>54339</c:v>
                </c:pt>
                <c:pt idx="2126">
                  <c:v>54346</c:v>
                </c:pt>
                <c:pt idx="2127">
                  <c:v>54353</c:v>
                </c:pt>
                <c:pt idx="2128">
                  <c:v>54360</c:v>
                </c:pt>
                <c:pt idx="2129">
                  <c:v>54367</c:v>
                </c:pt>
                <c:pt idx="2130">
                  <c:v>54374</c:v>
                </c:pt>
                <c:pt idx="2131">
                  <c:v>54381</c:v>
                </c:pt>
                <c:pt idx="2132">
                  <c:v>54388</c:v>
                </c:pt>
                <c:pt idx="2133">
                  <c:v>54395</c:v>
                </c:pt>
                <c:pt idx="2134">
                  <c:v>54402</c:v>
                </c:pt>
                <c:pt idx="2135">
                  <c:v>54409</c:v>
                </c:pt>
                <c:pt idx="2136">
                  <c:v>54420</c:v>
                </c:pt>
                <c:pt idx="2137">
                  <c:v>54427</c:v>
                </c:pt>
                <c:pt idx="2138">
                  <c:v>54431</c:v>
                </c:pt>
                <c:pt idx="2139">
                  <c:v>54437</c:v>
                </c:pt>
                <c:pt idx="2140">
                  <c:v>54444</c:v>
                </c:pt>
                <c:pt idx="2141">
                  <c:v>54451</c:v>
                </c:pt>
                <c:pt idx="2142">
                  <c:v>54458</c:v>
                </c:pt>
                <c:pt idx="2143">
                  <c:v>54465</c:v>
                </c:pt>
                <c:pt idx="2144">
                  <c:v>54472</c:v>
                </c:pt>
                <c:pt idx="2145">
                  <c:v>54479</c:v>
                </c:pt>
                <c:pt idx="2146">
                  <c:v>54486</c:v>
                </c:pt>
                <c:pt idx="2147">
                  <c:v>54493</c:v>
                </c:pt>
                <c:pt idx="2148">
                  <c:v>54500</c:v>
                </c:pt>
                <c:pt idx="2149">
                  <c:v>54507</c:v>
                </c:pt>
                <c:pt idx="2150">
                  <c:v>54514</c:v>
                </c:pt>
                <c:pt idx="2151">
                  <c:v>54521</c:v>
                </c:pt>
                <c:pt idx="2152">
                  <c:v>54528</c:v>
                </c:pt>
                <c:pt idx="2153">
                  <c:v>54535</c:v>
                </c:pt>
                <c:pt idx="2154">
                  <c:v>54542</c:v>
                </c:pt>
                <c:pt idx="2155">
                  <c:v>54549</c:v>
                </c:pt>
                <c:pt idx="2156">
                  <c:v>54556</c:v>
                </c:pt>
                <c:pt idx="2157">
                  <c:v>54563</c:v>
                </c:pt>
                <c:pt idx="2158">
                  <c:v>54571</c:v>
                </c:pt>
                <c:pt idx="2159">
                  <c:v>54577</c:v>
                </c:pt>
                <c:pt idx="2160">
                  <c:v>54584</c:v>
                </c:pt>
                <c:pt idx="2161">
                  <c:v>54591</c:v>
                </c:pt>
                <c:pt idx="2162">
                  <c:v>54598</c:v>
                </c:pt>
                <c:pt idx="2163">
                  <c:v>54605</c:v>
                </c:pt>
                <c:pt idx="2164">
                  <c:v>54612</c:v>
                </c:pt>
                <c:pt idx="2165">
                  <c:v>54619</c:v>
                </c:pt>
                <c:pt idx="2166">
                  <c:v>54626</c:v>
                </c:pt>
                <c:pt idx="2167">
                  <c:v>54633</c:v>
                </c:pt>
                <c:pt idx="2168">
                  <c:v>54640</c:v>
                </c:pt>
                <c:pt idx="2169">
                  <c:v>54647</c:v>
                </c:pt>
                <c:pt idx="2170">
                  <c:v>54654</c:v>
                </c:pt>
                <c:pt idx="2171">
                  <c:v>54661</c:v>
                </c:pt>
                <c:pt idx="2172">
                  <c:v>54668</c:v>
                </c:pt>
                <c:pt idx="2173">
                  <c:v>54675</c:v>
                </c:pt>
                <c:pt idx="2174">
                  <c:v>54682</c:v>
                </c:pt>
                <c:pt idx="2175">
                  <c:v>54689</c:v>
                </c:pt>
                <c:pt idx="2176">
                  <c:v>54696</c:v>
                </c:pt>
                <c:pt idx="2177">
                  <c:v>54703</c:v>
                </c:pt>
                <c:pt idx="2178">
                  <c:v>54710</c:v>
                </c:pt>
                <c:pt idx="2179">
                  <c:v>54717</c:v>
                </c:pt>
                <c:pt idx="2180">
                  <c:v>54724</c:v>
                </c:pt>
                <c:pt idx="2181">
                  <c:v>54731</c:v>
                </c:pt>
                <c:pt idx="2182">
                  <c:v>54738</c:v>
                </c:pt>
                <c:pt idx="2183">
                  <c:v>54745</c:v>
                </c:pt>
                <c:pt idx="2184">
                  <c:v>54752</c:v>
                </c:pt>
                <c:pt idx="2185">
                  <c:v>54759</c:v>
                </c:pt>
                <c:pt idx="2186">
                  <c:v>54766</c:v>
                </c:pt>
                <c:pt idx="2187">
                  <c:v>54773</c:v>
                </c:pt>
                <c:pt idx="2188">
                  <c:v>54780</c:v>
                </c:pt>
                <c:pt idx="2189">
                  <c:v>54787</c:v>
                </c:pt>
                <c:pt idx="2190">
                  <c:v>54795</c:v>
                </c:pt>
                <c:pt idx="2191">
                  <c:v>54801</c:v>
                </c:pt>
                <c:pt idx="2192">
                  <c:v>54808</c:v>
                </c:pt>
                <c:pt idx="2193">
                  <c:v>54815</c:v>
                </c:pt>
                <c:pt idx="2194">
                  <c:v>54822</c:v>
                </c:pt>
                <c:pt idx="2195">
                  <c:v>54829</c:v>
                </c:pt>
                <c:pt idx="2196">
                  <c:v>54836</c:v>
                </c:pt>
                <c:pt idx="2197">
                  <c:v>54843</c:v>
                </c:pt>
                <c:pt idx="2198">
                  <c:v>54850</c:v>
                </c:pt>
                <c:pt idx="2199">
                  <c:v>54857</c:v>
                </c:pt>
                <c:pt idx="2200">
                  <c:v>54864</c:v>
                </c:pt>
                <c:pt idx="2201">
                  <c:v>54871</c:v>
                </c:pt>
                <c:pt idx="2202">
                  <c:v>54878</c:v>
                </c:pt>
                <c:pt idx="2203">
                  <c:v>54885</c:v>
                </c:pt>
                <c:pt idx="2204">
                  <c:v>54892</c:v>
                </c:pt>
                <c:pt idx="2205">
                  <c:v>54899</c:v>
                </c:pt>
                <c:pt idx="2206">
                  <c:v>54906</c:v>
                </c:pt>
                <c:pt idx="2207">
                  <c:v>54913</c:v>
                </c:pt>
                <c:pt idx="2208">
                  <c:v>54920</c:v>
                </c:pt>
                <c:pt idx="2209">
                  <c:v>54928</c:v>
                </c:pt>
                <c:pt idx="2210">
                  <c:v>54934</c:v>
                </c:pt>
                <c:pt idx="2211">
                  <c:v>54941</c:v>
                </c:pt>
                <c:pt idx="2212">
                  <c:v>54948</c:v>
                </c:pt>
                <c:pt idx="2213">
                  <c:v>54955</c:v>
                </c:pt>
                <c:pt idx="2214">
                  <c:v>54962</c:v>
                </c:pt>
                <c:pt idx="2215">
                  <c:v>54969</c:v>
                </c:pt>
                <c:pt idx="2216">
                  <c:v>54976</c:v>
                </c:pt>
                <c:pt idx="2217">
                  <c:v>54983</c:v>
                </c:pt>
                <c:pt idx="2218">
                  <c:v>54990</c:v>
                </c:pt>
                <c:pt idx="2219">
                  <c:v>54997</c:v>
                </c:pt>
                <c:pt idx="2220">
                  <c:v>55004</c:v>
                </c:pt>
                <c:pt idx="2221">
                  <c:v>55011</c:v>
                </c:pt>
                <c:pt idx="2222">
                  <c:v>55018</c:v>
                </c:pt>
                <c:pt idx="2223">
                  <c:v>55025</c:v>
                </c:pt>
                <c:pt idx="2224">
                  <c:v>55032</c:v>
                </c:pt>
                <c:pt idx="2225">
                  <c:v>55039</c:v>
                </c:pt>
                <c:pt idx="2226">
                  <c:v>55046</c:v>
                </c:pt>
                <c:pt idx="2227">
                  <c:v>55053</c:v>
                </c:pt>
                <c:pt idx="2228">
                  <c:v>55060</c:v>
                </c:pt>
                <c:pt idx="2229">
                  <c:v>55067</c:v>
                </c:pt>
                <c:pt idx="2230">
                  <c:v>55074</c:v>
                </c:pt>
                <c:pt idx="2231">
                  <c:v>55081</c:v>
                </c:pt>
                <c:pt idx="2232">
                  <c:v>55088</c:v>
                </c:pt>
                <c:pt idx="2233">
                  <c:v>55095</c:v>
                </c:pt>
                <c:pt idx="2234">
                  <c:v>55102</c:v>
                </c:pt>
                <c:pt idx="2235">
                  <c:v>55109</c:v>
                </c:pt>
                <c:pt idx="2236">
                  <c:v>55116</c:v>
                </c:pt>
                <c:pt idx="2237">
                  <c:v>55123</c:v>
                </c:pt>
                <c:pt idx="2238">
                  <c:v>55130</c:v>
                </c:pt>
                <c:pt idx="2239">
                  <c:v>55137</c:v>
                </c:pt>
                <c:pt idx="2240">
                  <c:v>55144</c:v>
                </c:pt>
                <c:pt idx="2241">
                  <c:v>55151</c:v>
                </c:pt>
                <c:pt idx="2242">
                  <c:v>55158</c:v>
                </c:pt>
                <c:pt idx="2243">
                  <c:v>55165</c:v>
                </c:pt>
                <c:pt idx="2244">
                  <c:v>55172</c:v>
                </c:pt>
                <c:pt idx="2245">
                  <c:v>55179</c:v>
                </c:pt>
                <c:pt idx="2246">
                  <c:v>55186</c:v>
                </c:pt>
                <c:pt idx="2247">
                  <c:v>55193</c:v>
                </c:pt>
                <c:pt idx="2248">
                  <c:v>55200</c:v>
                </c:pt>
                <c:pt idx="2249">
                  <c:v>55207</c:v>
                </c:pt>
                <c:pt idx="2250">
                  <c:v>55214</c:v>
                </c:pt>
                <c:pt idx="2251">
                  <c:v>55221</c:v>
                </c:pt>
                <c:pt idx="2252">
                  <c:v>55228</c:v>
                </c:pt>
                <c:pt idx="2253">
                  <c:v>55235</c:v>
                </c:pt>
                <c:pt idx="2254">
                  <c:v>55242</c:v>
                </c:pt>
                <c:pt idx="2255">
                  <c:v>55249</c:v>
                </c:pt>
                <c:pt idx="2256">
                  <c:v>55256</c:v>
                </c:pt>
                <c:pt idx="2257">
                  <c:v>55263</c:v>
                </c:pt>
                <c:pt idx="2258">
                  <c:v>55270</c:v>
                </c:pt>
                <c:pt idx="2259">
                  <c:v>55277</c:v>
                </c:pt>
                <c:pt idx="2260">
                  <c:v>55285</c:v>
                </c:pt>
                <c:pt idx="2261">
                  <c:v>55291</c:v>
                </c:pt>
                <c:pt idx="2262">
                  <c:v>55298</c:v>
                </c:pt>
                <c:pt idx="2263">
                  <c:v>55305</c:v>
                </c:pt>
                <c:pt idx="2264">
                  <c:v>55312</c:v>
                </c:pt>
                <c:pt idx="2265">
                  <c:v>55319</c:v>
                </c:pt>
                <c:pt idx="2266">
                  <c:v>55326</c:v>
                </c:pt>
                <c:pt idx="2267">
                  <c:v>55333</c:v>
                </c:pt>
                <c:pt idx="2268">
                  <c:v>55340</c:v>
                </c:pt>
                <c:pt idx="2269">
                  <c:v>55347</c:v>
                </c:pt>
                <c:pt idx="2270">
                  <c:v>55354</c:v>
                </c:pt>
                <c:pt idx="2271">
                  <c:v>55361</c:v>
                </c:pt>
                <c:pt idx="2272">
                  <c:v>55368</c:v>
                </c:pt>
                <c:pt idx="2273">
                  <c:v>55375</c:v>
                </c:pt>
                <c:pt idx="2274">
                  <c:v>55382</c:v>
                </c:pt>
                <c:pt idx="2275">
                  <c:v>55389</c:v>
                </c:pt>
                <c:pt idx="2276">
                  <c:v>55396</c:v>
                </c:pt>
                <c:pt idx="2277">
                  <c:v>55403</c:v>
                </c:pt>
                <c:pt idx="2278">
                  <c:v>55410</c:v>
                </c:pt>
                <c:pt idx="2279">
                  <c:v>55417</c:v>
                </c:pt>
                <c:pt idx="2280">
                  <c:v>55424</c:v>
                </c:pt>
                <c:pt idx="2281">
                  <c:v>55431</c:v>
                </c:pt>
                <c:pt idx="2282">
                  <c:v>55438</c:v>
                </c:pt>
                <c:pt idx="2283">
                  <c:v>55445</c:v>
                </c:pt>
                <c:pt idx="2284">
                  <c:v>55452</c:v>
                </c:pt>
                <c:pt idx="2285">
                  <c:v>55459</c:v>
                </c:pt>
                <c:pt idx="2286">
                  <c:v>55466</c:v>
                </c:pt>
                <c:pt idx="2287">
                  <c:v>55473</c:v>
                </c:pt>
                <c:pt idx="2288">
                  <c:v>55480</c:v>
                </c:pt>
                <c:pt idx="2289">
                  <c:v>55487</c:v>
                </c:pt>
                <c:pt idx="2290">
                  <c:v>55494</c:v>
                </c:pt>
                <c:pt idx="2291">
                  <c:v>55501</c:v>
                </c:pt>
                <c:pt idx="2292">
                  <c:v>55508</c:v>
                </c:pt>
                <c:pt idx="2293">
                  <c:v>55516</c:v>
                </c:pt>
                <c:pt idx="2294">
                  <c:v>55523</c:v>
                </c:pt>
                <c:pt idx="2295">
                  <c:v>55530</c:v>
                </c:pt>
                <c:pt idx="2296">
                  <c:v>55537</c:v>
                </c:pt>
                <c:pt idx="2297">
                  <c:v>55544</c:v>
                </c:pt>
                <c:pt idx="2298">
                  <c:v>55551</c:v>
                </c:pt>
                <c:pt idx="2299">
                  <c:v>55558</c:v>
                </c:pt>
                <c:pt idx="2300">
                  <c:v>55565</c:v>
                </c:pt>
                <c:pt idx="2301">
                  <c:v>55572</c:v>
                </c:pt>
                <c:pt idx="2302">
                  <c:v>55579</c:v>
                </c:pt>
                <c:pt idx="2303">
                  <c:v>55586</c:v>
                </c:pt>
                <c:pt idx="2304">
                  <c:v>55593</c:v>
                </c:pt>
                <c:pt idx="2305">
                  <c:v>55600</c:v>
                </c:pt>
                <c:pt idx="2306">
                  <c:v>55607</c:v>
                </c:pt>
                <c:pt idx="2307">
                  <c:v>55614</c:v>
                </c:pt>
                <c:pt idx="2308">
                  <c:v>55621</c:v>
                </c:pt>
                <c:pt idx="2309">
                  <c:v>55632</c:v>
                </c:pt>
                <c:pt idx="2310">
                  <c:v>55635</c:v>
                </c:pt>
                <c:pt idx="2311">
                  <c:v>55645</c:v>
                </c:pt>
                <c:pt idx="2312">
                  <c:v>55652</c:v>
                </c:pt>
                <c:pt idx="2313">
                  <c:v>55659</c:v>
                </c:pt>
                <c:pt idx="2314">
                  <c:v>55666</c:v>
                </c:pt>
                <c:pt idx="2315">
                  <c:v>55674</c:v>
                </c:pt>
                <c:pt idx="2316">
                  <c:v>55682</c:v>
                </c:pt>
                <c:pt idx="2317">
                  <c:v>55688</c:v>
                </c:pt>
                <c:pt idx="2318">
                  <c:v>55696</c:v>
                </c:pt>
                <c:pt idx="2319">
                  <c:v>55703</c:v>
                </c:pt>
                <c:pt idx="2320">
                  <c:v>55710</c:v>
                </c:pt>
                <c:pt idx="2321">
                  <c:v>55717</c:v>
                </c:pt>
                <c:pt idx="2322">
                  <c:v>55724</c:v>
                </c:pt>
                <c:pt idx="2323">
                  <c:v>55731</c:v>
                </c:pt>
                <c:pt idx="2324">
                  <c:v>55738</c:v>
                </c:pt>
                <c:pt idx="2325">
                  <c:v>55745</c:v>
                </c:pt>
                <c:pt idx="2326">
                  <c:v>55752</c:v>
                </c:pt>
                <c:pt idx="2327">
                  <c:v>55759</c:v>
                </c:pt>
                <c:pt idx="2328">
                  <c:v>55766</c:v>
                </c:pt>
                <c:pt idx="2329">
                  <c:v>55773</c:v>
                </c:pt>
                <c:pt idx="2330">
                  <c:v>55780</c:v>
                </c:pt>
                <c:pt idx="2331">
                  <c:v>55787</c:v>
                </c:pt>
                <c:pt idx="2332">
                  <c:v>55794</c:v>
                </c:pt>
                <c:pt idx="2333">
                  <c:v>55801</c:v>
                </c:pt>
                <c:pt idx="2334">
                  <c:v>55808</c:v>
                </c:pt>
                <c:pt idx="2335">
                  <c:v>55815</c:v>
                </c:pt>
                <c:pt idx="2336">
                  <c:v>55822</c:v>
                </c:pt>
                <c:pt idx="2337">
                  <c:v>55829</c:v>
                </c:pt>
                <c:pt idx="2338">
                  <c:v>55836</c:v>
                </c:pt>
                <c:pt idx="2339">
                  <c:v>55843</c:v>
                </c:pt>
                <c:pt idx="2340">
                  <c:v>55850</c:v>
                </c:pt>
                <c:pt idx="2341">
                  <c:v>55857</c:v>
                </c:pt>
                <c:pt idx="2342">
                  <c:v>55864</c:v>
                </c:pt>
                <c:pt idx="2343">
                  <c:v>55871</c:v>
                </c:pt>
                <c:pt idx="2344">
                  <c:v>55883</c:v>
                </c:pt>
                <c:pt idx="2345">
                  <c:v>55887</c:v>
                </c:pt>
                <c:pt idx="2346">
                  <c:v>55893</c:v>
                </c:pt>
                <c:pt idx="2347">
                  <c:v>55900</c:v>
                </c:pt>
                <c:pt idx="2348">
                  <c:v>55907</c:v>
                </c:pt>
                <c:pt idx="2349">
                  <c:v>55914</c:v>
                </c:pt>
                <c:pt idx="2350">
                  <c:v>55921</c:v>
                </c:pt>
                <c:pt idx="2351">
                  <c:v>55928</c:v>
                </c:pt>
                <c:pt idx="2352">
                  <c:v>55935</c:v>
                </c:pt>
                <c:pt idx="2353">
                  <c:v>55942</c:v>
                </c:pt>
                <c:pt idx="2354">
                  <c:v>55949</c:v>
                </c:pt>
                <c:pt idx="2355">
                  <c:v>55956</c:v>
                </c:pt>
                <c:pt idx="2356">
                  <c:v>55963</c:v>
                </c:pt>
                <c:pt idx="2357">
                  <c:v>55970</c:v>
                </c:pt>
                <c:pt idx="2358">
                  <c:v>55977</c:v>
                </c:pt>
                <c:pt idx="2359">
                  <c:v>55984</c:v>
                </c:pt>
                <c:pt idx="2360">
                  <c:v>55991</c:v>
                </c:pt>
                <c:pt idx="2361">
                  <c:v>55998</c:v>
                </c:pt>
                <c:pt idx="2362">
                  <c:v>56006</c:v>
                </c:pt>
                <c:pt idx="2363">
                  <c:v>56012</c:v>
                </c:pt>
                <c:pt idx="2364">
                  <c:v>56020</c:v>
                </c:pt>
                <c:pt idx="2365">
                  <c:v>56026</c:v>
                </c:pt>
                <c:pt idx="2366">
                  <c:v>56033</c:v>
                </c:pt>
                <c:pt idx="2367">
                  <c:v>56040</c:v>
                </c:pt>
                <c:pt idx="2368">
                  <c:v>56047</c:v>
                </c:pt>
                <c:pt idx="2369">
                  <c:v>56054</c:v>
                </c:pt>
                <c:pt idx="2370">
                  <c:v>56061</c:v>
                </c:pt>
                <c:pt idx="2371">
                  <c:v>56068</c:v>
                </c:pt>
                <c:pt idx="2372">
                  <c:v>56075</c:v>
                </c:pt>
                <c:pt idx="2373">
                  <c:v>56082</c:v>
                </c:pt>
                <c:pt idx="2374">
                  <c:v>56089</c:v>
                </c:pt>
                <c:pt idx="2375">
                  <c:v>56096</c:v>
                </c:pt>
                <c:pt idx="2376">
                  <c:v>56103</c:v>
                </c:pt>
                <c:pt idx="2377">
                  <c:v>56110</c:v>
                </c:pt>
                <c:pt idx="2378">
                  <c:v>56117</c:v>
                </c:pt>
                <c:pt idx="2379">
                  <c:v>56124</c:v>
                </c:pt>
                <c:pt idx="2380">
                  <c:v>56131</c:v>
                </c:pt>
                <c:pt idx="2381">
                  <c:v>56138</c:v>
                </c:pt>
                <c:pt idx="2382">
                  <c:v>56145</c:v>
                </c:pt>
                <c:pt idx="2383">
                  <c:v>56152</c:v>
                </c:pt>
                <c:pt idx="2384">
                  <c:v>56159</c:v>
                </c:pt>
                <c:pt idx="2385">
                  <c:v>56166</c:v>
                </c:pt>
                <c:pt idx="2386">
                  <c:v>56173</c:v>
                </c:pt>
                <c:pt idx="2387">
                  <c:v>56180</c:v>
                </c:pt>
                <c:pt idx="2388">
                  <c:v>56187</c:v>
                </c:pt>
                <c:pt idx="2389">
                  <c:v>56194</c:v>
                </c:pt>
                <c:pt idx="2390">
                  <c:v>56201</c:v>
                </c:pt>
                <c:pt idx="2391">
                  <c:v>56208</c:v>
                </c:pt>
                <c:pt idx="2392">
                  <c:v>56215</c:v>
                </c:pt>
                <c:pt idx="2393">
                  <c:v>56222</c:v>
                </c:pt>
                <c:pt idx="2394">
                  <c:v>56229</c:v>
                </c:pt>
                <c:pt idx="2395">
                  <c:v>56236</c:v>
                </c:pt>
                <c:pt idx="2396">
                  <c:v>56248</c:v>
                </c:pt>
                <c:pt idx="2397">
                  <c:v>56254</c:v>
                </c:pt>
                <c:pt idx="2398">
                  <c:v>56258</c:v>
                </c:pt>
                <c:pt idx="2399">
                  <c:v>56265</c:v>
                </c:pt>
                <c:pt idx="2400">
                  <c:v>56272</c:v>
                </c:pt>
                <c:pt idx="2401">
                  <c:v>56279</c:v>
                </c:pt>
                <c:pt idx="2402">
                  <c:v>56286</c:v>
                </c:pt>
                <c:pt idx="2403">
                  <c:v>56293</c:v>
                </c:pt>
                <c:pt idx="2404">
                  <c:v>56300</c:v>
                </c:pt>
                <c:pt idx="2405">
                  <c:v>56307</c:v>
                </c:pt>
                <c:pt idx="2406">
                  <c:v>56314</c:v>
                </c:pt>
                <c:pt idx="2407">
                  <c:v>56321</c:v>
                </c:pt>
                <c:pt idx="2408">
                  <c:v>56328</c:v>
                </c:pt>
                <c:pt idx="2409">
                  <c:v>56339</c:v>
                </c:pt>
                <c:pt idx="2410">
                  <c:v>56342</c:v>
                </c:pt>
                <c:pt idx="2411">
                  <c:v>56349</c:v>
                </c:pt>
                <c:pt idx="2412">
                  <c:v>56356</c:v>
                </c:pt>
                <c:pt idx="2413">
                  <c:v>56363</c:v>
                </c:pt>
                <c:pt idx="2414">
                  <c:v>56373</c:v>
                </c:pt>
                <c:pt idx="2415">
                  <c:v>56380</c:v>
                </c:pt>
                <c:pt idx="2416">
                  <c:v>56384</c:v>
                </c:pt>
                <c:pt idx="2417">
                  <c:v>56391</c:v>
                </c:pt>
                <c:pt idx="2418">
                  <c:v>56398</c:v>
                </c:pt>
                <c:pt idx="2419">
                  <c:v>56405</c:v>
                </c:pt>
                <c:pt idx="2420">
                  <c:v>56412</c:v>
                </c:pt>
                <c:pt idx="2421">
                  <c:v>56422</c:v>
                </c:pt>
                <c:pt idx="2422">
                  <c:v>56426</c:v>
                </c:pt>
                <c:pt idx="2423">
                  <c:v>56433</c:v>
                </c:pt>
                <c:pt idx="2424">
                  <c:v>56440</c:v>
                </c:pt>
                <c:pt idx="2425">
                  <c:v>56447</c:v>
                </c:pt>
                <c:pt idx="2426">
                  <c:v>56454</c:v>
                </c:pt>
                <c:pt idx="2427">
                  <c:v>56461</c:v>
                </c:pt>
                <c:pt idx="2428">
                  <c:v>56468</c:v>
                </c:pt>
                <c:pt idx="2429">
                  <c:v>56475</c:v>
                </c:pt>
                <c:pt idx="2430">
                  <c:v>56482</c:v>
                </c:pt>
                <c:pt idx="2431">
                  <c:v>56489</c:v>
                </c:pt>
                <c:pt idx="2432">
                  <c:v>56496</c:v>
                </c:pt>
                <c:pt idx="2433">
                  <c:v>56503</c:v>
                </c:pt>
                <c:pt idx="2434">
                  <c:v>56510</c:v>
                </c:pt>
                <c:pt idx="2435">
                  <c:v>56517</c:v>
                </c:pt>
                <c:pt idx="2436">
                  <c:v>56524</c:v>
                </c:pt>
                <c:pt idx="2437">
                  <c:v>56531</c:v>
                </c:pt>
                <c:pt idx="2438">
                  <c:v>56538</c:v>
                </c:pt>
                <c:pt idx="2439">
                  <c:v>56545</c:v>
                </c:pt>
                <c:pt idx="2440">
                  <c:v>56552</c:v>
                </c:pt>
                <c:pt idx="2441">
                  <c:v>56559</c:v>
                </c:pt>
                <c:pt idx="2442">
                  <c:v>56566</c:v>
                </c:pt>
                <c:pt idx="2443">
                  <c:v>56573</c:v>
                </c:pt>
                <c:pt idx="2444">
                  <c:v>56580</c:v>
                </c:pt>
                <c:pt idx="2445">
                  <c:v>56587</c:v>
                </c:pt>
                <c:pt idx="2446">
                  <c:v>56594</c:v>
                </c:pt>
                <c:pt idx="2447">
                  <c:v>56601</c:v>
                </c:pt>
                <c:pt idx="2448">
                  <c:v>56612</c:v>
                </c:pt>
                <c:pt idx="2449">
                  <c:v>56619</c:v>
                </c:pt>
                <c:pt idx="2450">
                  <c:v>56625</c:v>
                </c:pt>
                <c:pt idx="2451">
                  <c:v>56632</c:v>
                </c:pt>
                <c:pt idx="2452">
                  <c:v>56639</c:v>
                </c:pt>
                <c:pt idx="2453">
                  <c:v>56646</c:v>
                </c:pt>
                <c:pt idx="2454">
                  <c:v>56653</c:v>
                </c:pt>
                <c:pt idx="2455">
                  <c:v>56660</c:v>
                </c:pt>
                <c:pt idx="2456">
                  <c:v>56667</c:v>
                </c:pt>
                <c:pt idx="2457">
                  <c:v>56674</c:v>
                </c:pt>
                <c:pt idx="2458">
                  <c:v>56681</c:v>
                </c:pt>
                <c:pt idx="2459">
                  <c:v>56688</c:v>
                </c:pt>
                <c:pt idx="2460">
                  <c:v>56695</c:v>
                </c:pt>
                <c:pt idx="2461">
                  <c:v>56702</c:v>
                </c:pt>
                <c:pt idx="2462">
                  <c:v>56709</c:v>
                </c:pt>
                <c:pt idx="2463">
                  <c:v>56716</c:v>
                </c:pt>
                <c:pt idx="2464">
                  <c:v>56725</c:v>
                </c:pt>
                <c:pt idx="2465">
                  <c:v>56730</c:v>
                </c:pt>
                <c:pt idx="2466">
                  <c:v>56737</c:v>
                </c:pt>
                <c:pt idx="2467">
                  <c:v>56744</c:v>
                </c:pt>
                <c:pt idx="2468">
                  <c:v>56751</c:v>
                </c:pt>
                <c:pt idx="2469">
                  <c:v>56758</c:v>
                </c:pt>
                <c:pt idx="2470">
                  <c:v>56766</c:v>
                </c:pt>
                <c:pt idx="2471">
                  <c:v>56774</c:v>
                </c:pt>
                <c:pt idx="2472">
                  <c:v>56780</c:v>
                </c:pt>
                <c:pt idx="2473">
                  <c:v>56787</c:v>
                </c:pt>
                <c:pt idx="2474">
                  <c:v>56795</c:v>
                </c:pt>
                <c:pt idx="2475">
                  <c:v>56802</c:v>
                </c:pt>
                <c:pt idx="2476">
                  <c:v>56809</c:v>
                </c:pt>
                <c:pt idx="2477">
                  <c:v>56816</c:v>
                </c:pt>
                <c:pt idx="2478">
                  <c:v>56823</c:v>
                </c:pt>
                <c:pt idx="2479">
                  <c:v>56830</c:v>
                </c:pt>
                <c:pt idx="2480">
                  <c:v>56837</c:v>
                </c:pt>
                <c:pt idx="2481">
                  <c:v>56844</c:v>
                </c:pt>
                <c:pt idx="2482">
                  <c:v>56851</c:v>
                </c:pt>
                <c:pt idx="2483">
                  <c:v>56858</c:v>
                </c:pt>
                <c:pt idx="2484">
                  <c:v>56865</c:v>
                </c:pt>
                <c:pt idx="2485">
                  <c:v>56872</c:v>
                </c:pt>
                <c:pt idx="2486">
                  <c:v>56879</c:v>
                </c:pt>
                <c:pt idx="2487">
                  <c:v>56886</c:v>
                </c:pt>
                <c:pt idx="2488">
                  <c:v>56893</c:v>
                </c:pt>
                <c:pt idx="2489">
                  <c:v>56900</c:v>
                </c:pt>
                <c:pt idx="2490">
                  <c:v>56907</c:v>
                </c:pt>
                <c:pt idx="2491">
                  <c:v>56914</c:v>
                </c:pt>
                <c:pt idx="2492">
                  <c:v>56921</c:v>
                </c:pt>
                <c:pt idx="2493">
                  <c:v>56928</c:v>
                </c:pt>
                <c:pt idx="2494">
                  <c:v>56935</c:v>
                </c:pt>
                <c:pt idx="2495">
                  <c:v>56942</c:v>
                </c:pt>
                <c:pt idx="2496">
                  <c:v>56949</c:v>
                </c:pt>
                <c:pt idx="2497">
                  <c:v>56956</c:v>
                </c:pt>
                <c:pt idx="2498">
                  <c:v>56963</c:v>
                </c:pt>
                <c:pt idx="2499">
                  <c:v>56970</c:v>
                </c:pt>
                <c:pt idx="2500">
                  <c:v>56977</c:v>
                </c:pt>
                <c:pt idx="2501">
                  <c:v>56984</c:v>
                </c:pt>
                <c:pt idx="2502">
                  <c:v>56991</c:v>
                </c:pt>
                <c:pt idx="2503">
                  <c:v>56998</c:v>
                </c:pt>
                <c:pt idx="2504">
                  <c:v>57005</c:v>
                </c:pt>
                <c:pt idx="2505">
                  <c:v>57012</c:v>
                </c:pt>
                <c:pt idx="2506">
                  <c:v>57019</c:v>
                </c:pt>
                <c:pt idx="2507">
                  <c:v>57026</c:v>
                </c:pt>
                <c:pt idx="2508">
                  <c:v>57033</c:v>
                </c:pt>
                <c:pt idx="2509">
                  <c:v>57040</c:v>
                </c:pt>
                <c:pt idx="2510">
                  <c:v>57047</c:v>
                </c:pt>
                <c:pt idx="2511">
                  <c:v>57054</c:v>
                </c:pt>
                <c:pt idx="2512">
                  <c:v>57061</c:v>
                </c:pt>
                <c:pt idx="2513">
                  <c:v>57068</c:v>
                </c:pt>
                <c:pt idx="2514">
                  <c:v>57076</c:v>
                </c:pt>
                <c:pt idx="2515">
                  <c:v>57083</c:v>
                </c:pt>
                <c:pt idx="2516">
                  <c:v>57090</c:v>
                </c:pt>
                <c:pt idx="2517">
                  <c:v>57097</c:v>
                </c:pt>
                <c:pt idx="2518">
                  <c:v>57104</c:v>
                </c:pt>
                <c:pt idx="2519">
                  <c:v>57112</c:v>
                </c:pt>
                <c:pt idx="2520">
                  <c:v>57118</c:v>
                </c:pt>
                <c:pt idx="2521">
                  <c:v>57125</c:v>
                </c:pt>
                <c:pt idx="2522">
                  <c:v>57132</c:v>
                </c:pt>
                <c:pt idx="2523">
                  <c:v>57139</c:v>
                </c:pt>
                <c:pt idx="2524">
                  <c:v>57146</c:v>
                </c:pt>
                <c:pt idx="2525">
                  <c:v>57153</c:v>
                </c:pt>
                <c:pt idx="2526">
                  <c:v>57160</c:v>
                </c:pt>
                <c:pt idx="2527">
                  <c:v>57167</c:v>
                </c:pt>
                <c:pt idx="2528">
                  <c:v>57174</c:v>
                </c:pt>
                <c:pt idx="2529">
                  <c:v>57181</c:v>
                </c:pt>
                <c:pt idx="2530">
                  <c:v>57188</c:v>
                </c:pt>
                <c:pt idx="2531">
                  <c:v>57195</c:v>
                </c:pt>
                <c:pt idx="2532">
                  <c:v>57202</c:v>
                </c:pt>
                <c:pt idx="2533">
                  <c:v>57209</c:v>
                </c:pt>
                <c:pt idx="2534">
                  <c:v>57216</c:v>
                </c:pt>
                <c:pt idx="2535">
                  <c:v>57223</c:v>
                </c:pt>
                <c:pt idx="2536">
                  <c:v>57230</c:v>
                </c:pt>
                <c:pt idx="2537">
                  <c:v>57237</c:v>
                </c:pt>
                <c:pt idx="2538">
                  <c:v>57244</c:v>
                </c:pt>
                <c:pt idx="2539">
                  <c:v>57251</c:v>
                </c:pt>
                <c:pt idx="2540">
                  <c:v>57258</c:v>
                </c:pt>
                <c:pt idx="2541">
                  <c:v>57265</c:v>
                </c:pt>
                <c:pt idx="2542">
                  <c:v>57272</c:v>
                </c:pt>
                <c:pt idx="2543">
                  <c:v>57279</c:v>
                </c:pt>
                <c:pt idx="2544">
                  <c:v>57286</c:v>
                </c:pt>
                <c:pt idx="2545">
                  <c:v>57293</c:v>
                </c:pt>
                <c:pt idx="2546">
                  <c:v>57300</c:v>
                </c:pt>
                <c:pt idx="2547">
                  <c:v>57307</c:v>
                </c:pt>
                <c:pt idx="2548">
                  <c:v>57314</c:v>
                </c:pt>
                <c:pt idx="2549">
                  <c:v>57321</c:v>
                </c:pt>
                <c:pt idx="2550">
                  <c:v>57328</c:v>
                </c:pt>
                <c:pt idx="2551">
                  <c:v>57335</c:v>
                </c:pt>
                <c:pt idx="2552">
                  <c:v>57343</c:v>
                </c:pt>
                <c:pt idx="2553">
                  <c:v>57350</c:v>
                </c:pt>
                <c:pt idx="2554">
                  <c:v>57357</c:v>
                </c:pt>
                <c:pt idx="2555">
                  <c:v>57364</c:v>
                </c:pt>
                <c:pt idx="2556">
                  <c:v>57371</c:v>
                </c:pt>
                <c:pt idx="2557">
                  <c:v>57378</c:v>
                </c:pt>
                <c:pt idx="2558">
                  <c:v>57385</c:v>
                </c:pt>
                <c:pt idx="2559">
                  <c:v>57392</c:v>
                </c:pt>
                <c:pt idx="2560">
                  <c:v>57399</c:v>
                </c:pt>
                <c:pt idx="2561">
                  <c:v>57406</c:v>
                </c:pt>
                <c:pt idx="2562">
                  <c:v>57413</c:v>
                </c:pt>
                <c:pt idx="2563">
                  <c:v>57420</c:v>
                </c:pt>
                <c:pt idx="2564">
                  <c:v>57427</c:v>
                </c:pt>
                <c:pt idx="2565">
                  <c:v>57434</c:v>
                </c:pt>
                <c:pt idx="2566">
                  <c:v>57441</c:v>
                </c:pt>
                <c:pt idx="2567">
                  <c:v>57448</c:v>
                </c:pt>
                <c:pt idx="2568">
                  <c:v>57459</c:v>
                </c:pt>
                <c:pt idx="2569">
                  <c:v>57462</c:v>
                </c:pt>
                <c:pt idx="2570">
                  <c:v>57469</c:v>
                </c:pt>
                <c:pt idx="2571">
                  <c:v>57476</c:v>
                </c:pt>
                <c:pt idx="2572">
                  <c:v>57483</c:v>
                </c:pt>
                <c:pt idx="2573">
                  <c:v>57490</c:v>
                </c:pt>
                <c:pt idx="2574">
                  <c:v>57500</c:v>
                </c:pt>
                <c:pt idx="2575">
                  <c:v>57504</c:v>
                </c:pt>
                <c:pt idx="2576">
                  <c:v>57511</c:v>
                </c:pt>
                <c:pt idx="2577">
                  <c:v>57521</c:v>
                </c:pt>
                <c:pt idx="2578">
                  <c:v>57525</c:v>
                </c:pt>
                <c:pt idx="2579">
                  <c:v>57532</c:v>
                </c:pt>
                <c:pt idx="2580">
                  <c:v>57539</c:v>
                </c:pt>
                <c:pt idx="2581">
                  <c:v>57546</c:v>
                </c:pt>
                <c:pt idx="2582">
                  <c:v>57553</c:v>
                </c:pt>
                <c:pt idx="2583">
                  <c:v>57560</c:v>
                </c:pt>
                <c:pt idx="2584">
                  <c:v>57567</c:v>
                </c:pt>
                <c:pt idx="2585">
                  <c:v>57574</c:v>
                </c:pt>
                <c:pt idx="2586">
                  <c:v>57581</c:v>
                </c:pt>
                <c:pt idx="2587">
                  <c:v>57588</c:v>
                </c:pt>
                <c:pt idx="2588">
                  <c:v>57595</c:v>
                </c:pt>
                <c:pt idx="2589">
                  <c:v>57602</c:v>
                </c:pt>
                <c:pt idx="2590">
                  <c:v>57609</c:v>
                </c:pt>
                <c:pt idx="2591">
                  <c:v>57616</c:v>
                </c:pt>
                <c:pt idx="2592">
                  <c:v>57623</c:v>
                </c:pt>
                <c:pt idx="2593">
                  <c:v>57630</c:v>
                </c:pt>
                <c:pt idx="2594">
                  <c:v>57637</c:v>
                </c:pt>
                <c:pt idx="2595">
                  <c:v>57644</c:v>
                </c:pt>
                <c:pt idx="2596">
                  <c:v>57651</c:v>
                </c:pt>
                <c:pt idx="2597">
                  <c:v>57658</c:v>
                </c:pt>
                <c:pt idx="2598">
                  <c:v>57665</c:v>
                </c:pt>
                <c:pt idx="2599">
                  <c:v>57672</c:v>
                </c:pt>
                <c:pt idx="2600">
                  <c:v>57679</c:v>
                </c:pt>
                <c:pt idx="2601">
                  <c:v>57686</c:v>
                </c:pt>
                <c:pt idx="2602">
                  <c:v>57693</c:v>
                </c:pt>
                <c:pt idx="2603">
                  <c:v>57700</c:v>
                </c:pt>
                <c:pt idx="2604">
                  <c:v>57712</c:v>
                </c:pt>
                <c:pt idx="2605">
                  <c:v>57717</c:v>
                </c:pt>
                <c:pt idx="2606">
                  <c:v>57724</c:v>
                </c:pt>
                <c:pt idx="2607">
                  <c:v>57731</c:v>
                </c:pt>
                <c:pt idx="2608">
                  <c:v>57738</c:v>
                </c:pt>
                <c:pt idx="2609">
                  <c:v>57745</c:v>
                </c:pt>
                <c:pt idx="2610">
                  <c:v>57752</c:v>
                </c:pt>
                <c:pt idx="2611">
                  <c:v>57759</c:v>
                </c:pt>
                <c:pt idx="2612">
                  <c:v>57766</c:v>
                </c:pt>
                <c:pt idx="2613">
                  <c:v>57773</c:v>
                </c:pt>
                <c:pt idx="2614">
                  <c:v>57780</c:v>
                </c:pt>
                <c:pt idx="2615">
                  <c:v>57787</c:v>
                </c:pt>
                <c:pt idx="2616">
                  <c:v>57794</c:v>
                </c:pt>
                <c:pt idx="2617">
                  <c:v>57801</c:v>
                </c:pt>
                <c:pt idx="2618">
                  <c:v>57808</c:v>
                </c:pt>
                <c:pt idx="2619">
                  <c:v>57817</c:v>
                </c:pt>
                <c:pt idx="2620">
                  <c:v>57822</c:v>
                </c:pt>
                <c:pt idx="2621">
                  <c:v>57829</c:v>
                </c:pt>
                <c:pt idx="2622">
                  <c:v>57836</c:v>
                </c:pt>
                <c:pt idx="2623">
                  <c:v>57843</c:v>
                </c:pt>
                <c:pt idx="2624">
                  <c:v>57850</c:v>
                </c:pt>
                <c:pt idx="2625">
                  <c:v>57858</c:v>
                </c:pt>
                <c:pt idx="2626">
                  <c:v>57866</c:v>
                </c:pt>
                <c:pt idx="2627">
                  <c:v>57872</c:v>
                </c:pt>
                <c:pt idx="2628">
                  <c:v>57879</c:v>
                </c:pt>
                <c:pt idx="2629">
                  <c:v>57887</c:v>
                </c:pt>
                <c:pt idx="2630">
                  <c:v>57894</c:v>
                </c:pt>
                <c:pt idx="2631">
                  <c:v>57901</c:v>
                </c:pt>
                <c:pt idx="2632">
                  <c:v>57908</c:v>
                </c:pt>
                <c:pt idx="2633">
                  <c:v>57915</c:v>
                </c:pt>
                <c:pt idx="2634">
                  <c:v>57922</c:v>
                </c:pt>
                <c:pt idx="2635">
                  <c:v>57929</c:v>
                </c:pt>
                <c:pt idx="2636">
                  <c:v>57936</c:v>
                </c:pt>
                <c:pt idx="2637">
                  <c:v>57943</c:v>
                </c:pt>
                <c:pt idx="2638">
                  <c:v>57950</c:v>
                </c:pt>
                <c:pt idx="2639">
                  <c:v>57957</c:v>
                </c:pt>
                <c:pt idx="2640">
                  <c:v>57964</c:v>
                </c:pt>
                <c:pt idx="2641">
                  <c:v>57971</c:v>
                </c:pt>
                <c:pt idx="2642">
                  <c:v>57978</c:v>
                </c:pt>
                <c:pt idx="2643">
                  <c:v>57985</c:v>
                </c:pt>
                <c:pt idx="2644">
                  <c:v>57992</c:v>
                </c:pt>
                <c:pt idx="2645">
                  <c:v>57999</c:v>
                </c:pt>
                <c:pt idx="2646">
                  <c:v>58006</c:v>
                </c:pt>
                <c:pt idx="2647">
                  <c:v>58013</c:v>
                </c:pt>
                <c:pt idx="2648">
                  <c:v>58020</c:v>
                </c:pt>
                <c:pt idx="2649">
                  <c:v>58027</c:v>
                </c:pt>
                <c:pt idx="2650">
                  <c:v>58034</c:v>
                </c:pt>
                <c:pt idx="2651">
                  <c:v>58041</c:v>
                </c:pt>
                <c:pt idx="2652">
                  <c:v>58048</c:v>
                </c:pt>
                <c:pt idx="2653">
                  <c:v>58055</c:v>
                </c:pt>
                <c:pt idx="2654">
                  <c:v>58062</c:v>
                </c:pt>
                <c:pt idx="2655">
                  <c:v>58074</c:v>
                </c:pt>
                <c:pt idx="2656">
                  <c:v>58078</c:v>
                </c:pt>
                <c:pt idx="2657">
                  <c:v>58084</c:v>
                </c:pt>
                <c:pt idx="2658">
                  <c:v>58091</c:v>
                </c:pt>
                <c:pt idx="2659">
                  <c:v>58098</c:v>
                </c:pt>
                <c:pt idx="2660">
                  <c:v>58105</c:v>
                </c:pt>
                <c:pt idx="2661">
                  <c:v>58112</c:v>
                </c:pt>
                <c:pt idx="2662">
                  <c:v>58119</c:v>
                </c:pt>
                <c:pt idx="2663">
                  <c:v>58126</c:v>
                </c:pt>
                <c:pt idx="2664">
                  <c:v>58133</c:v>
                </c:pt>
                <c:pt idx="2665">
                  <c:v>58140</c:v>
                </c:pt>
                <c:pt idx="2666">
                  <c:v>58147</c:v>
                </c:pt>
                <c:pt idx="2667">
                  <c:v>58154</c:v>
                </c:pt>
                <c:pt idx="2668">
                  <c:v>58161</c:v>
                </c:pt>
                <c:pt idx="2669">
                  <c:v>58168</c:v>
                </c:pt>
                <c:pt idx="2670">
                  <c:v>58175</c:v>
                </c:pt>
                <c:pt idx="2671">
                  <c:v>58182</c:v>
                </c:pt>
                <c:pt idx="2672">
                  <c:v>58189</c:v>
                </c:pt>
                <c:pt idx="2673">
                  <c:v>58197</c:v>
                </c:pt>
                <c:pt idx="2674">
                  <c:v>58204</c:v>
                </c:pt>
                <c:pt idx="2675">
                  <c:v>58210</c:v>
                </c:pt>
                <c:pt idx="2676">
                  <c:v>58217</c:v>
                </c:pt>
                <c:pt idx="2677">
                  <c:v>58224</c:v>
                </c:pt>
                <c:pt idx="2678">
                  <c:v>58231</c:v>
                </c:pt>
                <c:pt idx="2679">
                  <c:v>58238</c:v>
                </c:pt>
                <c:pt idx="2680">
                  <c:v>58245</c:v>
                </c:pt>
                <c:pt idx="2681">
                  <c:v>58252</c:v>
                </c:pt>
                <c:pt idx="2682">
                  <c:v>58259</c:v>
                </c:pt>
                <c:pt idx="2683">
                  <c:v>58266</c:v>
                </c:pt>
                <c:pt idx="2684">
                  <c:v>58273</c:v>
                </c:pt>
                <c:pt idx="2685">
                  <c:v>58280</c:v>
                </c:pt>
                <c:pt idx="2686">
                  <c:v>58287</c:v>
                </c:pt>
                <c:pt idx="2687">
                  <c:v>58294</c:v>
                </c:pt>
                <c:pt idx="2688">
                  <c:v>58301</c:v>
                </c:pt>
                <c:pt idx="2689">
                  <c:v>58308</c:v>
                </c:pt>
                <c:pt idx="2690">
                  <c:v>58315</c:v>
                </c:pt>
                <c:pt idx="2691">
                  <c:v>58322</c:v>
                </c:pt>
                <c:pt idx="2692">
                  <c:v>58329</c:v>
                </c:pt>
                <c:pt idx="2693">
                  <c:v>58336</c:v>
                </c:pt>
                <c:pt idx="2694">
                  <c:v>58343</c:v>
                </c:pt>
                <c:pt idx="2695">
                  <c:v>58350</c:v>
                </c:pt>
                <c:pt idx="2696">
                  <c:v>58357</c:v>
                </c:pt>
                <c:pt idx="2697">
                  <c:v>58364</c:v>
                </c:pt>
                <c:pt idx="2698">
                  <c:v>58371</c:v>
                </c:pt>
                <c:pt idx="2699">
                  <c:v>58378</c:v>
                </c:pt>
                <c:pt idx="2700">
                  <c:v>58385</c:v>
                </c:pt>
                <c:pt idx="2701">
                  <c:v>58392</c:v>
                </c:pt>
                <c:pt idx="2702">
                  <c:v>58399</c:v>
                </c:pt>
                <c:pt idx="2703">
                  <c:v>58406</c:v>
                </c:pt>
                <c:pt idx="2704">
                  <c:v>58413</c:v>
                </c:pt>
                <c:pt idx="2705">
                  <c:v>58420</c:v>
                </c:pt>
                <c:pt idx="2706">
                  <c:v>58427</c:v>
                </c:pt>
                <c:pt idx="2707">
                  <c:v>58439</c:v>
                </c:pt>
                <c:pt idx="2708">
                  <c:v>58445</c:v>
                </c:pt>
                <c:pt idx="2709">
                  <c:v>58449</c:v>
                </c:pt>
                <c:pt idx="2710">
                  <c:v>58456</c:v>
                </c:pt>
                <c:pt idx="2711">
                  <c:v>58463</c:v>
                </c:pt>
                <c:pt idx="2712">
                  <c:v>58470</c:v>
                </c:pt>
                <c:pt idx="2713">
                  <c:v>58477</c:v>
                </c:pt>
                <c:pt idx="2714">
                  <c:v>58484</c:v>
                </c:pt>
                <c:pt idx="2715">
                  <c:v>58491</c:v>
                </c:pt>
                <c:pt idx="2716">
                  <c:v>58498</c:v>
                </c:pt>
                <c:pt idx="2717">
                  <c:v>58505</c:v>
                </c:pt>
                <c:pt idx="2718">
                  <c:v>58512</c:v>
                </c:pt>
                <c:pt idx="2719">
                  <c:v>58519</c:v>
                </c:pt>
                <c:pt idx="2720">
                  <c:v>58526</c:v>
                </c:pt>
                <c:pt idx="2721">
                  <c:v>58533</c:v>
                </c:pt>
                <c:pt idx="2722">
                  <c:v>58540</c:v>
                </c:pt>
                <c:pt idx="2723">
                  <c:v>58551</c:v>
                </c:pt>
                <c:pt idx="2724">
                  <c:v>58554</c:v>
                </c:pt>
                <c:pt idx="2725">
                  <c:v>58561</c:v>
                </c:pt>
                <c:pt idx="2726">
                  <c:v>58568</c:v>
                </c:pt>
                <c:pt idx="2727">
                  <c:v>58575</c:v>
                </c:pt>
                <c:pt idx="2728">
                  <c:v>58582</c:v>
                </c:pt>
                <c:pt idx="2729">
                  <c:v>58592</c:v>
                </c:pt>
                <c:pt idx="2730">
                  <c:v>58596</c:v>
                </c:pt>
                <c:pt idx="2731">
                  <c:v>58603</c:v>
                </c:pt>
                <c:pt idx="2732">
                  <c:v>58610</c:v>
                </c:pt>
                <c:pt idx="2733">
                  <c:v>58620</c:v>
                </c:pt>
                <c:pt idx="2734">
                  <c:v>58624</c:v>
                </c:pt>
                <c:pt idx="2735">
                  <c:v>58631</c:v>
                </c:pt>
                <c:pt idx="2736">
                  <c:v>58638</c:v>
                </c:pt>
                <c:pt idx="2737">
                  <c:v>58645</c:v>
                </c:pt>
                <c:pt idx="2738">
                  <c:v>58652</c:v>
                </c:pt>
                <c:pt idx="2739">
                  <c:v>58659</c:v>
                </c:pt>
                <c:pt idx="2740">
                  <c:v>58666</c:v>
                </c:pt>
                <c:pt idx="2741">
                  <c:v>58673</c:v>
                </c:pt>
                <c:pt idx="2742">
                  <c:v>58680</c:v>
                </c:pt>
                <c:pt idx="2743">
                  <c:v>58687</c:v>
                </c:pt>
                <c:pt idx="2744">
                  <c:v>58694</c:v>
                </c:pt>
                <c:pt idx="2745">
                  <c:v>58701</c:v>
                </c:pt>
                <c:pt idx="2746">
                  <c:v>58708</c:v>
                </c:pt>
                <c:pt idx="2747">
                  <c:v>58715</c:v>
                </c:pt>
                <c:pt idx="2748">
                  <c:v>58722</c:v>
                </c:pt>
                <c:pt idx="2749">
                  <c:v>58729</c:v>
                </c:pt>
                <c:pt idx="2750">
                  <c:v>58736</c:v>
                </c:pt>
                <c:pt idx="2751">
                  <c:v>58743</c:v>
                </c:pt>
                <c:pt idx="2752">
                  <c:v>58750</c:v>
                </c:pt>
                <c:pt idx="2753">
                  <c:v>58757</c:v>
                </c:pt>
                <c:pt idx="2754">
                  <c:v>58764</c:v>
                </c:pt>
                <c:pt idx="2755">
                  <c:v>58771</c:v>
                </c:pt>
                <c:pt idx="2756">
                  <c:v>58778</c:v>
                </c:pt>
                <c:pt idx="2757">
                  <c:v>58785</c:v>
                </c:pt>
                <c:pt idx="2758">
                  <c:v>58792</c:v>
                </c:pt>
                <c:pt idx="2759">
                  <c:v>58802</c:v>
                </c:pt>
                <c:pt idx="2760">
                  <c:v>58809</c:v>
                </c:pt>
                <c:pt idx="2761">
                  <c:v>58816</c:v>
                </c:pt>
                <c:pt idx="2762">
                  <c:v>58820</c:v>
                </c:pt>
                <c:pt idx="2763">
                  <c:v>58827</c:v>
                </c:pt>
                <c:pt idx="2764">
                  <c:v>58834</c:v>
                </c:pt>
                <c:pt idx="2765">
                  <c:v>58841</c:v>
                </c:pt>
                <c:pt idx="2766">
                  <c:v>58848</c:v>
                </c:pt>
                <c:pt idx="2767">
                  <c:v>58855</c:v>
                </c:pt>
                <c:pt idx="2768">
                  <c:v>58862</c:v>
                </c:pt>
                <c:pt idx="2769">
                  <c:v>58869</c:v>
                </c:pt>
                <c:pt idx="2770">
                  <c:v>58876</c:v>
                </c:pt>
                <c:pt idx="2771">
                  <c:v>58883</c:v>
                </c:pt>
                <c:pt idx="2772">
                  <c:v>58890</c:v>
                </c:pt>
                <c:pt idx="2773">
                  <c:v>58897</c:v>
                </c:pt>
                <c:pt idx="2774">
                  <c:v>58908</c:v>
                </c:pt>
                <c:pt idx="2775">
                  <c:v>58911</c:v>
                </c:pt>
                <c:pt idx="2776">
                  <c:v>58918</c:v>
                </c:pt>
                <c:pt idx="2777">
                  <c:v>58925</c:v>
                </c:pt>
                <c:pt idx="2778">
                  <c:v>58932</c:v>
                </c:pt>
                <c:pt idx="2779">
                  <c:v>58939</c:v>
                </c:pt>
                <c:pt idx="2780">
                  <c:v>58949</c:v>
                </c:pt>
                <c:pt idx="2781">
                  <c:v>58953</c:v>
                </c:pt>
                <c:pt idx="2782">
                  <c:v>58960</c:v>
                </c:pt>
                <c:pt idx="2783">
                  <c:v>58967</c:v>
                </c:pt>
                <c:pt idx="2784">
                  <c:v>58974</c:v>
                </c:pt>
                <c:pt idx="2785">
                  <c:v>58984</c:v>
                </c:pt>
                <c:pt idx="2786">
                  <c:v>58988</c:v>
                </c:pt>
                <c:pt idx="2787">
                  <c:v>58995</c:v>
                </c:pt>
                <c:pt idx="2788">
                  <c:v>59002</c:v>
                </c:pt>
                <c:pt idx="2789">
                  <c:v>59009</c:v>
                </c:pt>
                <c:pt idx="2790">
                  <c:v>59016</c:v>
                </c:pt>
                <c:pt idx="2791">
                  <c:v>59023</c:v>
                </c:pt>
                <c:pt idx="2792">
                  <c:v>59030</c:v>
                </c:pt>
                <c:pt idx="2793">
                  <c:v>59037</c:v>
                </c:pt>
                <c:pt idx="2794">
                  <c:v>59044</c:v>
                </c:pt>
                <c:pt idx="2795">
                  <c:v>59051</c:v>
                </c:pt>
                <c:pt idx="2796">
                  <c:v>59058</c:v>
                </c:pt>
                <c:pt idx="2797">
                  <c:v>59065</c:v>
                </c:pt>
                <c:pt idx="2798">
                  <c:v>59072</c:v>
                </c:pt>
                <c:pt idx="2799">
                  <c:v>59079</c:v>
                </c:pt>
                <c:pt idx="2800">
                  <c:v>59086</c:v>
                </c:pt>
                <c:pt idx="2801">
                  <c:v>59093</c:v>
                </c:pt>
                <c:pt idx="2802">
                  <c:v>59100</c:v>
                </c:pt>
                <c:pt idx="2803">
                  <c:v>59107</c:v>
                </c:pt>
                <c:pt idx="2804">
                  <c:v>59114</c:v>
                </c:pt>
                <c:pt idx="2805">
                  <c:v>59121</c:v>
                </c:pt>
                <c:pt idx="2806">
                  <c:v>59128</c:v>
                </c:pt>
                <c:pt idx="2807">
                  <c:v>59135</c:v>
                </c:pt>
                <c:pt idx="2808">
                  <c:v>59142</c:v>
                </c:pt>
                <c:pt idx="2809">
                  <c:v>59149</c:v>
                </c:pt>
                <c:pt idx="2810">
                  <c:v>59156</c:v>
                </c:pt>
                <c:pt idx="2811">
                  <c:v>59163</c:v>
                </c:pt>
                <c:pt idx="2812">
                  <c:v>59170</c:v>
                </c:pt>
                <c:pt idx="2813">
                  <c:v>59180</c:v>
                </c:pt>
                <c:pt idx="2814">
                  <c:v>59184</c:v>
                </c:pt>
                <c:pt idx="2815">
                  <c:v>59191</c:v>
                </c:pt>
                <c:pt idx="2816">
                  <c:v>59198</c:v>
                </c:pt>
                <c:pt idx="2817">
                  <c:v>59205</c:v>
                </c:pt>
                <c:pt idx="2818">
                  <c:v>59212</c:v>
                </c:pt>
                <c:pt idx="2819">
                  <c:v>59219</c:v>
                </c:pt>
                <c:pt idx="2820">
                  <c:v>59226</c:v>
                </c:pt>
                <c:pt idx="2821">
                  <c:v>59233</c:v>
                </c:pt>
                <c:pt idx="2822">
                  <c:v>59240</c:v>
                </c:pt>
                <c:pt idx="2823">
                  <c:v>59247</c:v>
                </c:pt>
                <c:pt idx="2824">
                  <c:v>59258</c:v>
                </c:pt>
                <c:pt idx="2825">
                  <c:v>59261</c:v>
                </c:pt>
                <c:pt idx="2826">
                  <c:v>59268</c:v>
                </c:pt>
                <c:pt idx="2827">
                  <c:v>59275</c:v>
                </c:pt>
                <c:pt idx="2828">
                  <c:v>59282</c:v>
                </c:pt>
                <c:pt idx="2829">
                  <c:v>59289</c:v>
                </c:pt>
                <c:pt idx="2830">
                  <c:v>59299</c:v>
                </c:pt>
                <c:pt idx="2831">
                  <c:v>59303</c:v>
                </c:pt>
                <c:pt idx="2832">
                  <c:v>59310</c:v>
                </c:pt>
                <c:pt idx="2833">
                  <c:v>59317</c:v>
                </c:pt>
                <c:pt idx="2834">
                  <c:v>59324</c:v>
                </c:pt>
                <c:pt idx="2835">
                  <c:v>59331</c:v>
                </c:pt>
                <c:pt idx="2836">
                  <c:v>59338</c:v>
                </c:pt>
                <c:pt idx="2837">
                  <c:v>59348</c:v>
                </c:pt>
                <c:pt idx="2838">
                  <c:v>59352</c:v>
                </c:pt>
                <c:pt idx="2839">
                  <c:v>59359</c:v>
                </c:pt>
                <c:pt idx="2840">
                  <c:v>59366</c:v>
                </c:pt>
                <c:pt idx="2841">
                  <c:v>59373</c:v>
                </c:pt>
                <c:pt idx="2842">
                  <c:v>59380</c:v>
                </c:pt>
                <c:pt idx="2843">
                  <c:v>59387</c:v>
                </c:pt>
                <c:pt idx="2844">
                  <c:v>59394</c:v>
                </c:pt>
                <c:pt idx="2845">
                  <c:v>59401</c:v>
                </c:pt>
                <c:pt idx="2846">
                  <c:v>59408</c:v>
                </c:pt>
                <c:pt idx="2847">
                  <c:v>59415</c:v>
                </c:pt>
                <c:pt idx="2848">
                  <c:v>59422</c:v>
                </c:pt>
                <c:pt idx="2849">
                  <c:v>59429</c:v>
                </c:pt>
                <c:pt idx="2850">
                  <c:v>59436</c:v>
                </c:pt>
                <c:pt idx="2851">
                  <c:v>59443</c:v>
                </c:pt>
                <c:pt idx="2852">
                  <c:v>59450</c:v>
                </c:pt>
                <c:pt idx="2853">
                  <c:v>59457</c:v>
                </c:pt>
                <c:pt idx="2854">
                  <c:v>59464</c:v>
                </c:pt>
                <c:pt idx="2855">
                  <c:v>59471</c:v>
                </c:pt>
                <c:pt idx="2856">
                  <c:v>59478</c:v>
                </c:pt>
                <c:pt idx="2857">
                  <c:v>59485</c:v>
                </c:pt>
                <c:pt idx="2858">
                  <c:v>59492</c:v>
                </c:pt>
                <c:pt idx="2859">
                  <c:v>59499</c:v>
                </c:pt>
                <c:pt idx="2860">
                  <c:v>59506</c:v>
                </c:pt>
                <c:pt idx="2861">
                  <c:v>59513</c:v>
                </c:pt>
                <c:pt idx="2862">
                  <c:v>59520</c:v>
                </c:pt>
                <c:pt idx="2863">
                  <c:v>59527</c:v>
                </c:pt>
                <c:pt idx="2864">
                  <c:v>59534</c:v>
                </c:pt>
                <c:pt idx="2865">
                  <c:v>59541</c:v>
                </c:pt>
                <c:pt idx="2866">
                  <c:v>59548</c:v>
                </c:pt>
                <c:pt idx="2867">
                  <c:v>59555</c:v>
                </c:pt>
                <c:pt idx="2868">
                  <c:v>59562</c:v>
                </c:pt>
                <c:pt idx="2869">
                  <c:v>59569</c:v>
                </c:pt>
                <c:pt idx="2870">
                  <c:v>59576</c:v>
                </c:pt>
                <c:pt idx="2871">
                  <c:v>59583</c:v>
                </c:pt>
                <c:pt idx="2872">
                  <c:v>59590</c:v>
                </c:pt>
                <c:pt idx="2873">
                  <c:v>59597</c:v>
                </c:pt>
                <c:pt idx="2874">
                  <c:v>59604</c:v>
                </c:pt>
                <c:pt idx="2875">
                  <c:v>59611</c:v>
                </c:pt>
                <c:pt idx="2876">
                  <c:v>59618</c:v>
                </c:pt>
                <c:pt idx="2877">
                  <c:v>59625</c:v>
                </c:pt>
                <c:pt idx="2878">
                  <c:v>59632</c:v>
                </c:pt>
                <c:pt idx="2879">
                  <c:v>59643</c:v>
                </c:pt>
                <c:pt idx="2880">
                  <c:v>59646</c:v>
                </c:pt>
                <c:pt idx="2881">
                  <c:v>59653</c:v>
                </c:pt>
                <c:pt idx="2882">
                  <c:v>59660</c:v>
                </c:pt>
                <c:pt idx="2883">
                  <c:v>59667</c:v>
                </c:pt>
                <c:pt idx="2884">
                  <c:v>59674</c:v>
                </c:pt>
                <c:pt idx="2885">
                  <c:v>59684</c:v>
                </c:pt>
                <c:pt idx="2886">
                  <c:v>59688</c:v>
                </c:pt>
                <c:pt idx="2887">
                  <c:v>59695</c:v>
                </c:pt>
                <c:pt idx="2888">
                  <c:v>59702</c:v>
                </c:pt>
                <c:pt idx="2889">
                  <c:v>59712</c:v>
                </c:pt>
                <c:pt idx="2890">
                  <c:v>59716</c:v>
                </c:pt>
                <c:pt idx="2891">
                  <c:v>59723</c:v>
                </c:pt>
                <c:pt idx="2892">
                  <c:v>59730</c:v>
                </c:pt>
                <c:pt idx="2893">
                  <c:v>59737</c:v>
                </c:pt>
                <c:pt idx="2894">
                  <c:v>59744</c:v>
                </c:pt>
                <c:pt idx="2895">
                  <c:v>59751</c:v>
                </c:pt>
                <c:pt idx="2896">
                  <c:v>59758</c:v>
                </c:pt>
                <c:pt idx="2897">
                  <c:v>59765</c:v>
                </c:pt>
                <c:pt idx="2898">
                  <c:v>59772</c:v>
                </c:pt>
                <c:pt idx="2899">
                  <c:v>59779</c:v>
                </c:pt>
                <c:pt idx="2900">
                  <c:v>59786</c:v>
                </c:pt>
                <c:pt idx="2901">
                  <c:v>59793</c:v>
                </c:pt>
                <c:pt idx="2902">
                  <c:v>59800</c:v>
                </c:pt>
                <c:pt idx="2903">
                  <c:v>59807</c:v>
                </c:pt>
                <c:pt idx="2904">
                  <c:v>59814</c:v>
                </c:pt>
                <c:pt idx="2905">
                  <c:v>59821</c:v>
                </c:pt>
                <c:pt idx="2906">
                  <c:v>59828</c:v>
                </c:pt>
                <c:pt idx="2907">
                  <c:v>59835</c:v>
                </c:pt>
                <c:pt idx="2908">
                  <c:v>59842</c:v>
                </c:pt>
                <c:pt idx="2909">
                  <c:v>59849</c:v>
                </c:pt>
                <c:pt idx="2910">
                  <c:v>59856</c:v>
                </c:pt>
                <c:pt idx="2911">
                  <c:v>59863</c:v>
                </c:pt>
                <c:pt idx="2912">
                  <c:v>59870</c:v>
                </c:pt>
                <c:pt idx="2913">
                  <c:v>59877</c:v>
                </c:pt>
                <c:pt idx="2914">
                  <c:v>59884</c:v>
                </c:pt>
                <c:pt idx="2915">
                  <c:v>59891</c:v>
                </c:pt>
                <c:pt idx="2916">
                  <c:v>59903</c:v>
                </c:pt>
                <c:pt idx="2917">
                  <c:v>59908</c:v>
                </c:pt>
                <c:pt idx="2918">
                  <c:v>59915</c:v>
                </c:pt>
                <c:pt idx="2919">
                  <c:v>59922</c:v>
                </c:pt>
                <c:pt idx="2920">
                  <c:v>59929</c:v>
                </c:pt>
                <c:pt idx="2921">
                  <c:v>59936</c:v>
                </c:pt>
                <c:pt idx="2922">
                  <c:v>59943</c:v>
                </c:pt>
                <c:pt idx="2923">
                  <c:v>59950</c:v>
                </c:pt>
                <c:pt idx="2924">
                  <c:v>59957</c:v>
                </c:pt>
                <c:pt idx="2925">
                  <c:v>59964</c:v>
                </c:pt>
                <c:pt idx="2926">
                  <c:v>59971</c:v>
                </c:pt>
                <c:pt idx="2927">
                  <c:v>59978</c:v>
                </c:pt>
                <c:pt idx="2928">
                  <c:v>59985</c:v>
                </c:pt>
                <c:pt idx="2929">
                  <c:v>59992</c:v>
                </c:pt>
                <c:pt idx="2930">
                  <c:v>60001</c:v>
                </c:pt>
                <c:pt idx="2931">
                  <c:v>60006</c:v>
                </c:pt>
                <c:pt idx="2932">
                  <c:v>60013</c:v>
                </c:pt>
                <c:pt idx="2933">
                  <c:v>60020</c:v>
                </c:pt>
                <c:pt idx="2934">
                  <c:v>60028</c:v>
                </c:pt>
                <c:pt idx="2935">
                  <c:v>60035</c:v>
                </c:pt>
                <c:pt idx="2936">
                  <c:v>60042</c:v>
                </c:pt>
                <c:pt idx="2937">
                  <c:v>60050</c:v>
                </c:pt>
                <c:pt idx="2938">
                  <c:v>60056</c:v>
                </c:pt>
                <c:pt idx="2939">
                  <c:v>60063</c:v>
                </c:pt>
                <c:pt idx="2940">
                  <c:v>60070</c:v>
                </c:pt>
                <c:pt idx="2941">
                  <c:v>60078</c:v>
                </c:pt>
                <c:pt idx="2942">
                  <c:v>60085</c:v>
                </c:pt>
                <c:pt idx="2943">
                  <c:v>60092</c:v>
                </c:pt>
                <c:pt idx="2944">
                  <c:v>60099</c:v>
                </c:pt>
                <c:pt idx="2945">
                  <c:v>60106</c:v>
                </c:pt>
                <c:pt idx="2946">
                  <c:v>60113</c:v>
                </c:pt>
                <c:pt idx="2947">
                  <c:v>60120</c:v>
                </c:pt>
                <c:pt idx="2948">
                  <c:v>60127</c:v>
                </c:pt>
                <c:pt idx="2949">
                  <c:v>60134</c:v>
                </c:pt>
                <c:pt idx="2950">
                  <c:v>60141</c:v>
                </c:pt>
                <c:pt idx="2951">
                  <c:v>60148</c:v>
                </c:pt>
                <c:pt idx="2952">
                  <c:v>60155</c:v>
                </c:pt>
                <c:pt idx="2953">
                  <c:v>60162</c:v>
                </c:pt>
                <c:pt idx="2954">
                  <c:v>60169</c:v>
                </c:pt>
                <c:pt idx="2955">
                  <c:v>60176</c:v>
                </c:pt>
                <c:pt idx="2956">
                  <c:v>60183</c:v>
                </c:pt>
                <c:pt idx="2957">
                  <c:v>60190</c:v>
                </c:pt>
                <c:pt idx="2958">
                  <c:v>60197</c:v>
                </c:pt>
                <c:pt idx="2959">
                  <c:v>60204</c:v>
                </c:pt>
                <c:pt idx="2960">
                  <c:v>60211</c:v>
                </c:pt>
                <c:pt idx="2961">
                  <c:v>60218</c:v>
                </c:pt>
                <c:pt idx="2962">
                  <c:v>60225</c:v>
                </c:pt>
                <c:pt idx="2963">
                  <c:v>60232</c:v>
                </c:pt>
                <c:pt idx="2964">
                  <c:v>60239</c:v>
                </c:pt>
                <c:pt idx="2965">
                  <c:v>60246</c:v>
                </c:pt>
                <c:pt idx="2966">
                  <c:v>60253</c:v>
                </c:pt>
                <c:pt idx="2967">
                  <c:v>60265</c:v>
                </c:pt>
                <c:pt idx="2968">
                  <c:v>60269</c:v>
                </c:pt>
                <c:pt idx="2969">
                  <c:v>60275</c:v>
                </c:pt>
                <c:pt idx="2970">
                  <c:v>60281</c:v>
                </c:pt>
                <c:pt idx="2971">
                  <c:v>60288</c:v>
                </c:pt>
                <c:pt idx="2972">
                  <c:v>60295</c:v>
                </c:pt>
                <c:pt idx="2973">
                  <c:v>60302</c:v>
                </c:pt>
                <c:pt idx="2974">
                  <c:v>60309</c:v>
                </c:pt>
                <c:pt idx="2975">
                  <c:v>60316</c:v>
                </c:pt>
                <c:pt idx="2976">
                  <c:v>60323</c:v>
                </c:pt>
                <c:pt idx="2977">
                  <c:v>60330</c:v>
                </c:pt>
                <c:pt idx="2978">
                  <c:v>60337</c:v>
                </c:pt>
                <c:pt idx="2979">
                  <c:v>60344</c:v>
                </c:pt>
                <c:pt idx="2980">
                  <c:v>60351</c:v>
                </c:pt>
                <c:pt idx="2981">
                  <c:v>60359</c:v>
                </c:pt>
                <c:pt idx="2982">
                  <c:v>60366</c:v>
                </c:pt>
                <c:pt idx="2983">
                  <c:v>60373</c:v>
                </c:pt>
                <c:pt idx="2984">
                  <c:v>60380</c:v>
                </c:pt>
                <c:pt idx="2985">
                  <c:v>60387</c:v>
                </c:pt>
                <c:pt idx="2986">
                  <c:v>60395</c:v>
                </c:pt>
                <c:pt idx="2987">
                  <c:v>60401</c:v>
                </c:pt>
                <c:pt idx="2988">
                  <c:v>60408</c:v>
                </c:pt>
                <c:pt idx="2989">
                  <c:v>60415</c:v>
                </c:pt>
                <c:pt idx="2990">
                  <c:v>60422</c:v>
                </c:pt>
                <c:pt idx="2991">
                  <c:v>60429</c:v>
                </c:pt>
                <c:pt idx="2992">
                  <c:v>60436</c:v>
                </c:pt>
                <c:pt idx="2993">
                  <c:v>60443</c:v>
                </c:pt>
                <c:pt idx="2994">
                  <c:v>60450</c:v>
                </c:pt>
                <c:pt idx="2995">
                  <c:v>60457</c:v>
                </c:pt>
                <c:pt idx="2996">
                  <c:v>60464</c:v>
                </c:pt>
                <c:pt idx="2997">
                  <c:v>60471</c:v>
                </c:pt>
                <c:pt idx="2998">
                  <c:v>60478</c:v>
                </c:pt>
                <c:pt idx="2999">
                  <c:v>60485</c:v>
                </c:pt>
                <c:pt idx="3000">
                  <c:v>60492</c:v>
                </c:pt>
                <c:pt idx="3001">
                  <c:v>60499</c:v>
                </c:pt>
                <c:pt idx="3002">
                  <c:v>60506</c:v>
                </c:pt>
                <c:pt idx="3003">
                  <c:v>60513</c:v>
                </c:pt>
                <c:pt idx="3004">
                  <c:v>60520</c:v>
                </c:pt>
                <c:pt idx="3005">
                  <c:v>60527</c:v>
                </c:pt>
                <c:pt idx="3006">
                  <c:v>60534</c:v>
                </c:pt>
                <c:pt idx="3007">
                  <c:v>60541</c:v>
                </c:pt>
                <c:pt idx="3008">
                  <c:v>60548</c:v>
                </c:pt>
                <c:pt idx="3009">
                  <c:v>60555</c:v>
                </c:pt>
                <c:pt idx="3010">
                  <c:v>60562</c:v>
                </c:pt>
                <c:pt idx="3011">
                  <c:v>60569</c:v>
                </c:pt>
                <c:pt idx="3012">
                  <c:v>60576</c:v>
                </c:pt>
                <c:pt idx="3013">
                  <c:v>60583</c:v>
                </c:pt>
                <c:pt idx="3014">
                  <c:v>60590</c:v>
                </c:pt>
                <c:pt idx="3015">
                  <c:v>60597</c:v>
                </c:pt>
                <c:pt idx="3016">
                  <c:v>60604</c:v>
                </c:pt>
                <c:pt idx="3017">
                  <c:v>60611</c:v>
                </c:pt>
                <c:pt idx="3018">
                  <c:v>60618</c:v>
                </c:pt>
                <c:pt idx="3019">
                  <c:v>60629</c:v>
                </c:pt>
                <c:pt idx="3020">
                  <c:v>60636</c:v>
                </c:pt>
                <c:pt idx="3021">
                  <c:v>60640</c:v>
                </c:pt>
                <c:pt idx="3022">
                  <c:v>60646</c:v>
                </c:pt>
                <c:pt idx="3023">
                  <c:v>60653</c:v>
                </c:pt>
                <c:pt idx="3024">
                  <c:v>60660</c:v>
                </c:pt>
                <c:pt idx="3025">
                  <c:v>60667</c:v>
                </c:pt>
                <c:pt idx="3026">
                  <c:v>60674</c:v>
                </c:pt>
                <c:pt idx="3027">
                  <c:v>60681</c:v>
                </c:pt>
                <c:pt idx="3028">
                  <c:v>60688</c:v>
                </c:pt>
                <c:pt idx="3029">
                  <c:v>60695</c:v>
                </c:pt>
                <c:pt idx="3030">
                  <c:v>60702</c:v>
                </c:pt>
                <c:pt idx="3031">
                  <c:v>60709</c:v>
                </c:pt>
                <c:pt idx="3032">
                  <c:v>60716</c:v>
                </c:pt>
                <c:pt idx="3033">
                  <c:v>60723</c:v>
                </c:pt>
                <c:pt idx="3034">
                  <c:v>60730</c:v>
                </c:pt>
                <c:pt idx="3035">
                  <c:v>60737</c:v>
                </c:pt>
                <c:pt idx="3036">
                  <c:v>60744</c:v>
                </c:pt>
                <c:pt idx="3037">
                  <c:v>60751</c:v>
                </c:pt>
                <c:pt idx="3038">
                  <c:v>60758</c:v>
                </c:pt>
                <c:pt idx="3039">
                  <c:v>60765</c:v>
                </c:pt>
                <c:pt idx="3040">
                  <c:v>60773</c:v>
                </c:pt>
                <c:pt idx="3041">
                  <c:v>60779</c:v>
                </c:pt>
                <c:pt idx="3042">
                  <c:v>60786</c:v>
                </c:pt>
                <c:pt idx="3043">
                  <c:v>60793</c:v>
                </c:pt>
                <c:pt idx="3044">
                  <c:v>60800</c:v>
                </c:pt>
                <c:pt idx="3045">
                  <c:v>60807</c:v>
                </c:pt>
                <c:pt idx="3046">
                  <c:v>60814</c:v>
                </c:pt>
                <c:pt idx="3047">
                  <c:v>60821</c:v>
                </c:pt>
                <c:pt idx="3048">
                  <c:v>60828</c:v>
                </c:pt>
                <c:pt idx="3049">
                  <c:v>60835</c:v>
                </c:pt>
                <c:pt idx="3050">
                  <c:v>60842</c:v>
                </c:pt>
                <c:pt idx="3051">
                  <c:v>60849</c:v>
                </c:pt>
                <c:pt idx="3052">
                  <c:v>60856</c:v>
                </c:pt>
                <c:pt idx="3053">
                  <c:v>60863</c:v>
                </c:pt>
                <c:pt idx="3054">
                  <c:v>60870</c:v>
                </c:pt>
                <c:pt idx="3055">
                  <c:v>60877</c:v>
                </c:pt>
                <c:pt idx="3056">
                  <c:v>60884</c:v>
                </c:pt>
                <c:pt idx="3057">
                  <c:v>60891</c:v>
                </c:pt>
                <c:pt idx="3058">
                  <c:v>60898</c:v>
                </c:pt>
                <c:pt idx="3059">
                  <c:v>60905</c:v>
                </c:pt>
                <c:pt idx="3060">
                  <c:v>60912</c:v>
                </c:pt>
                <c:pt idx="3061">
                  <c:v>60919</c:v>
                </c:pt>
                <c:pt idx="3062">
                  <c:v>60926</c:v>
                </c:pt>
                <c:pt idx="3063">
                  <c:v>60933</c:v>
                </c:pt>
                <c:pt idx="3064">
                  <c:v>60940</c:v>
                </c:pt>
                <c:pt idx="3065">
                  <c:v>60947</c:v>
                </c:pt>
                <c:pt idx="3066">
                  <c:v>60954</c:v>
                </c:pt>
                <c:pt idx="3067">
                  <c:v>60961</c:v>
                </c:pt>
                <c:pt idx="3068">
                  <c:v>60968</c:v>
                </c:pt>
                <c:pt idx="3069">
                  <c:v>60975</c:v>
                </c:pt>
                <c:pt idx="3070">
                  <c:v>60982</c:v>
                </c:pt>
                <c:pt idx="3071">
                  <c:v>60989</c:v>
                </c:pt>
                <c:pt idx="3072">
                  <c:v>60996</c:v>
                </c:pt>
                <c:pt idx="3073">
                  <c:v>61004</c:v>
                </c:pt>
                <c:pt idx="3074">
                  <c:v>61010</c:v>
                </c:pt>
                <c:pt idx="3075">
                  <c:v>61017</c:v>
                </c:pt>
                <c:pt idx="3076">
                  <c:v>61024</c:v>
                </c:pt>
                <c:pt idx="3077">
                  <c:v>61031</c:v>
                </c:pt>
                <c:pt idx="3078">
                  <c:v>61038</c:v>
                </c:pt>
                <c:pt idx="3079">
                  <c:v>61045</c:v>
                </c:pt>
                <c:pt idx="3080">
                  <c:v>61052</c:v>
                </c:pt>
                <c:pt idx="3081">
                  <c:v>61059</c:v>
                </c:pt>
                <c:pt idx="3082">
                  <c:v>61066</c:v>
                </c:pt>
                <c:pt idx="3083">
                  <c:v>61073</c:v>
                </c:pt>
                <c:pt idx="3084">
                  <c:v>61080</c:v>
                </c:pt>
                <c:pt idx="3085">
                  <c:v>61087</c:v>
                </c:pt>
                <c:pt idx="3086">
                  <c:v>61094</c:v>
                </c:pt>
                <c:pt idx="3087">
                  <c:v>61101</c:v>
                </c:pt>
                <c:pt idx="3088">
                  <c:v>61108</c:v>
                </c:pt>
                <c:pt idx="3089">
                  <c:v>61115</c:v>
                </c:pt>
                <c:pt idx="3090">
                  <c:v>61122</c:v>
                </c:pt>
                <c:pt idx="3091">
                  <c:v>61130</c:v>
                </c:pt>
                <c:pt idx="3092">
                  <c:v>61136</c:v>
                </c:pt>
                <c:pt idx="3093">
                  <c:v>61143</c:v>
                </c:pt>
                <c:pt idx="3094">
                  <c:v>61150</c:v>
                </c:pt>
                <c:pt idx="3095">
                  <c:v>61157</c:v>
                </c:pt>
                <c:pt idx="3096">
                  <c:v>61164</c:v>
                </c:pt>
                <c:pt idx="3097">
                  <c:v>61171</c:v>
                </c:pt>
                <c:pt idx="3098">
                  <c:v>61178</c:v>
                </c:pt>
                <c:pt idx="3099">
                  <c:v>61185</c:v>
                </c:pt>
                <c:pt idx="3100">
                  <c:v>61192</c:v>
                </c:pt>
                <c:pt idx="3101">
                  <c:v>61199</c:v>
                </c:pt>
                <c:pt idx="3102">
                  <c:v>61206</c:v>
                </c:pt>
                <c:pt idx="3103">
                  <c:v>61213</c:v>
                </c:pt>
                <c:pt idx="3104">
                  <c:v>61220</c:v>
                </c:pt>
                <c:pt idx="3105">
                  <c:v>61227</c:v>
                </c:pt>
                <c:pt idx="3106">
                  <c:v>61234</c:v>
                </c:pt>
                <c:pt idx="3107">
                  <c:v>61241</c:v>
                </c:pt>
                <c:pt idx="3108">
                  <c:v>61248</c:v>
                </c:pt>
                <c:pt idx="3109">
                  <c:v>61255</c:v>
                </c:pt>
                <c:pt idx="3110">
                  <c:v>61262</c:v>
                </c:pt>
                <c:pt idx="3111">
                  <c:v>61269</c:v>
                </c:pt>
                <c:pt idx="3112">
                  <c:v>61276</c:v>
                </c:pt>
                <c:pt idx="3113">
                  <c:v>61283</c:v>
                </c:pt>
                <c:pt idx="3114">
                  <c:v>61290</c:v>
                </c:pt>
                <c:pt idx="3115">
                  <c:v>61297</c:v>
                </c:pt>
                <c:pt idx="3116">
                  <c:v>61304</c:v>
                </c:pt>
                <c:pt idx="3117">
                  <c:v>61311</c:v>
                </c:pt>
                <c:pt idx="3118">
                  <c:v>61318</c:v>
                </c:pt>
                <c:pt idx="3119">
                  <c:v>61325</c:v>
                </c:pt>
                <c:pt idx="3120">
                  <c:v>61332</c:v>
                </c:pt>
                <c:pt idx="3121">
                  <c:v>61339</c:v>
                </c:pt>
                <c:pt idx="3122">
                  <c:v>61346</c:v>
                </c:pt>
                <c:pt idx="3123">
                  <c:v>61353</c:v>
                </c:pt>
                <c:pt idx="3124">
                  <c:v>61360</c:v>
                </c:pt>
                <c:pt idx="3125">
                  <c:v>61367</c:v>
                </c:pt>
                <c:pt idx="3126">
                  <c:v>61374</c:v>
                </c:pt>
                <c:pt idx="3127">
                  <c:v>61381</c:v>
                </c:pt>
                <c:pt idx="3128">
                  <c:v>61388</c:v>
                </c:pt>
                <c:pt idx="3129">
                  <c:v>61395</c:v>
                </c:pt>
                <c:pt idx="3130">
                  <c:v>61402</c:v>
                </c:pt>
                <c:pt idx="3131">
                  <c:v>61409</c:v>
                </c:pt>
                <c:pt idx="3132">
                  <c:v>61416</c:v>
                </c:pt>
                <c:pt idx="3133">
                  <c:v>61423</c:v>
                </c:pt>
                <c:pt idx="3134">
                  <c:v>61430</c:v>
                </c:pt>
                <c:pt idx="3135">
                  <c:v>61437</c:v>
                </c:pt>
                <c:pt idx="3136">
                  <c:v>61444</c:v>
                </c:pt>
                <c:pt idx="3137">
                  <c:v>61451</c:v>
                </c:pt>
                <c:pt idx="3138">
                  <c:v>61458</c:v>
                </c:pt>
                <c:pt idx="3139">
                  <c:v>61465</c:v>
                </c:pt>
                <c:pt idx="3140">
                  <c:v>61472</c:v>
                </c:pt>
                <c:pt idx="3141">
                  <c:v>61479</c:v>
                </c:pt>
                <c:pt idx="3142">
                  <c:v>61487</c:v>
                </c:pt>
                <c:pt idx="3143">
                  <c:v>61494</c:v>
                </c:pt>
                <c:pt idx="3144">
                  <c:v>61501</c:v>
                </c:pt>
                <c:pt idx="3145">
                  <c:v>61508</c:v>
                </c:pt>
                <c:pt idx="3146">
                  <c:v>61518</c:v>
                </c:pt>
                <c:pt idx="3147">
                  <c:v>61522</c:v>
                </c:pt>
                <c:pt idx="3148">
                  <c:v>61529</c:v>
                </c:pt>
                <c:pt idx="3149">
                  <c:v>61539</c:v>
                </c:pt>
                <c:pt idx="3150">
                  <c:v>61543</c:v>
                </c:pt>
                <c:pt idx="3151">
                  <c:v>61550</c:v>
                </c:pt>
                <c:pt idx="3152">
                  <c:v>61557</c:v>
                </c:pt>
                <c:pt idx="3153">
                  <c:v>61564</c:v>
                </c:pt>
                <c:pt idx="3154">
                  <c:v>61571</c:v>
                </c:pt>
                <c:pt idx="3155">
                  <c:v>61578</c:v>
                </c:pt>
                <c:pt idx="3156">
                  <c:v>61585</c:v>
                </c:pt>
                <c:pt idx="3157">
                  <c:v>61592</c:v>
                </c:pt>
                <c:pt idx="3158">
                  <c:v>61599</c:v>
                </c:pt>
                <c:pt idx="3159">
                  <c:v>61606</c:v>
                </c:pt>
                <c:pt idx="3160">
                  <c:v>61613</c:v>
                </c:pt>
                <c:pt idx="3161">
                  <c:v>61620</c:v>
                </c:pt>
                <c:pt idx="3162">
                  <c:v>61627</c:v>
                </c:pt>
                <c:pt idx="3163">
                  <c:v>61634</c:v>
                </c:pt>
                <c:pt idx="3164">
                  <c:v>61641</c:v>
                </c:pt>
                <c:pt idx="3165">
                  <c:v>61648</c:v>
                </c:pt>
                <c:pt idx="3166">
                  <c:v>61655</c:v>
                </c:pt>
                <c:pt idx="3167">
                  <c:v>61662</c:v>
                </c:pt>
                <c:pt idx="3168">
                  <c:v>61669</c:v>
                </c:pt>
                <c:pt idx="3169">
                  <c:v>61676</c:v>
                </c:pt>
                <c:pt idx="3170">
                  <c:v>61683</c:v>
                </c:pt>
                <c:pt idx="3171">
                  <c:v>61690</c:v>
                </c:pt>
                <c:pt idx="3172">
                  <c:v>61697</c:v>
                </c:pt>
                <c:pt idx="3173">
                  <c:v>61704</c:v>
                </c:pt>
                <c:pt idx="3174">
                  <c:v>61711</c:v>
                </c:pt>
                <c:pt idx="3175">
                  <c:v>61718</c:v>
                </c:pt>
                <c:pt idx="3176">
                  <c:v>61730</c:v>
                </c:pt>
                <c:pt idx="3177">
                  <c:v>61735</c:v>
                </c:pt>
                <c:pt idx="3178">
                  <c:v>61742</c:v>
                </c:pt>
                <c:pt idx="3179">
                  <c:v>61749</c:v>
                </c:pt>
                <c:pt idx="3180">
                  <c:v>61756</c:v>
                </c:pt>
                <c:pt idx="3181">
                  <c:v>61763</c:v>
                </c:pt>
                <c:pt idx="3182">
                  <c:v>61770</c:v>
                </c:pt>
                <c:pt idx="3183">
                  <c:v>61777</c:v>
                </c:pt>
                <c:pt idx="3184">
                  <c:v>61784</c:v>
                </c:pt>
                <c:pt idx="3185">
                  <c:v>61791</c:v>
                </c:pt>
                <c:pt idx="3186">
                  <c:v>61798</c:v>
                </c:pt>
                <c:pt idx="3187">
                  <c:v>61805</c:v>
                </c:pt>
                <c:pt idx="3188">
                  <c:v>61812</c:v>
                </c:pt>
                <c:pt idx="3189">
                  <c:v>61819</c:v>
                </c:pt>
                <c:pt idx="3190">
                  <c:v>61826</c:v>
                </c:pt>
                <c:pt idx="3191">
                  <c:v>61835</c:v>
                </c:pt>
                <c:pt idx="3192">
                  <c:v>61840</c:v>
                </c:pt>
                <c:pt idx="3193">
                  <c:v>61847</c:v>
                </c:pt>
                <c:pt idx="3194">
                  <c:v>61854</c:v>
                </c:pt>
                <c:pt idx="3195">
                  <c:v>61861</c:v>
                </c:pt>
                <c:pt idx="3196">
                  <c:v>61868</c:v>
                </c:pt>
                <c:pt idx="3197">
                  <c:v>61876</c:v>
                </c:pt>
                <c:pt idx="3198">
                  <c:v>61884</c:v>
                </c:pt>
                <c:pt idx="3199">
                  <c:v>61890</c:v>
                </c:pt>
                <c:pt idx="3200">
                  <c:v>61897</c:v>
                </c:pt>
                <c:pt idx="3201">
                  <c:v>61905</c:v>
                </c:pt>
                <c:pt idx="3202">
                  <c:v>61912</c:v>
                </c:pt>
                <c:pt idx="3203">
                  <c:v>61919</c:v>
                </c:pt>
                <c:pt idx="3204">
                  <c:v>61926</c:v>
                </c:pt>
                <c:pt idx="3205">
                  <c:v>61933</c:v>
                </c:pt>
                <c:pt idx="3206">
                  <c:v>61940</c:v>
                </c:pt>
                <c:pt idx="3207">
                  <c:v>61947</c:v>
                </c:pt>
                <c:pt idx="3208">
                  <c:v>61954</c:v>
                </c:pt>
                <c:pt idx="3209">
                  <c:v>61961</c:v>
                </c:pt>
                <c:pt idx="3210">
                  <c:v>61968</c:v>
                </c:pt>
                <c:pt idx="3211">
                  <c:v>61975</c:v>
                </c:pt>
                <c:pt idx="3212">
                  <c:v>61982</c:v>
                </c:pt>
                <c:pt idx="3213">
                  <c:v>61989</c:v>
                </c:pt>
                <c:pt idx="3214">
                  <c:v>61996</c:v>
                </c:pt>
                <c:pt idx="3215">
                  <c:v>62003</c:v>
                </c:pt>
                <c:pt idx="3216">
                  <c:v>62010</c:v>
                </c:pt>
                <c:pt idx="3217">
                  <c:v>62017</c:v>
                </c:pt>
                <c:pt idx="3218">
                  <c:v>62024</c:v>
                </c:pt>
                <c:pt idx="3219">
                  <c:v>62031</c:v>
                </c:pt>
                <c:pt idx="3220">
                  <c:v>62038</c:v>
                </c:pt>
                <c:pt idx="3221">
                  <c:v>62045</c:v>
                </c:pt>
                <c:pt idx="3222">
                  <c:v>62052</c:v>
                </c:pt>
                <c:pt idx="3223">
                  <c:v>62059</c:v>
                </c:pt>
                <c:pt idx="3224">
                  <c:v>62066</c:v>
                </c:pt>
                <c:pt idx="3225">
                  <c:v>62073</c:v>
                </c:pt>
                <c:pt idx="3226">
                  <c:v>62080</c:v>
                </c:pt>
                <c:pt idx="3227">
                  <c:v>62092</c:v>
                </c:pt>
                <c:pt idx="3228">
                  <c:v>62096</c:v>
                </c:pt>
                <c:pt idx="3229">
                  <c:v>62102</c:v>
                </c:pt>
                <c:pt idx="3230">
                  <c:v>62109</c:v>
                </c:pt>
                <c:pt idx="3231">
                  <c:v>62116</c:v>
                </c:pt>
                <c:pt idx="3232">
                  <c:v>62123</c:v>
                </c:pt>
                <c:pt idx="3233">
                  <c:v>62130</c:v>
                </c:pt>
                <c:pt idx="3234">
                  <c:v>62137</c:v>
                </c:pt>
                <c:pt idx="3235">
                  <c:v>62144</c:v>
                </c:pt>
                <c:pt idx="3236">
                  <c:v>62151</c:v>
                </c:pt>
                <c:pt idx="3237">
                  <c:v>62158</c:v>
                </c:pt>
                <c:pt idx="3238">
                  <c:v>62165</c:v>
                </c:pt>
                <c:pt idx="3239">
                  <c:v>62172</c:v>
                </c:pt>
                <c:pt idx="3240">
                  <c:v>62179</c:v>
                </c:pt>
                <c:pt idx="3241">
                  <c:v>62186</c:v>
                </c:pt>
                <c:pt idx="3242">
                  <c:v>62193</c:v>
                </c:pt>
                <c:pt idx="3243">
                  <c:v>62200</c:v>
                </c:pt>
                <c:pt idx="3244">
                  <c:v>62207</c:v>
                </c:pt>
                <c:pt idx="3245">
                  <c:v>62215</c:v>
                </c:pt>
                <c:pt idx="3246">
                  <c:v>62222</c:v>
                </c:pt>
                <c:pt idx="3247">
                  <c:v>62228</c:v>
                </c:pt>
                <c:pt idx="3248">
                  <c:v>62235</c:v>
                </c:pt>
                <c:pt idx="3249">
                  <c:v>62242</c:v>
                </c:pt>
                <c:pt idx="3250">
                  <c:v>62249</c:v>
                </c:pt>
                <c:pt idx="3251">
                  <c:v>62256</c:v>
                </c:pt>
                <c:pt idx="3252">
                  <c:v>62263</c:v>
                </c:pt>
                <c:pt idx="3253">
                  <c:v>62270</c:v>
                </c:pt>
                <c:pt idx="3254">
                  <c:v>62277</c:v>
                </c:pt>
                <c:pt idx="3255">
                  <c:v>62284</c:v>
                </c:pt>
                <c:pt idx="3256">
                  <c:v>62291</c:v>
                </c:pt>
                <c:pt idx="3257">
                  <c:v>62298</c:v>
                </c:pt>
                <c:pt idx="3258">
                  <c:v>62305</c:v>
                </c:pt>
                <c:pt idx="3259">
                  <c:v>62312</c:v>
                </c:pt>
                <c:pt idx="3260">
                  <c:v>62319</c:v>
                </c:pt>
                <c:pt idx="3261">
                  <c:v>62326</c:v>
                </c:pt>
                <c:pt idx="3262">
                  <c:v>62333</c:v>
                </c:pt>
                <c:pt idx="3263">
                  <c:v>62340</c:v>
                </c:pt>
                <c:pt idx="3264">
                  <c:v>62347</c:v>
                </c:pt>
                <c:pt idx="3265">
                  <c:v>62354</c:v>
                </c:pt>
                <c:pt idx="3266">
                  <c:v>62361</c:v>
                </c:pt>
                <c:pt idx="3267">
                  <c:v>62368</c:v>
                </c:pt>
                <c:pt idx="3268">
                  <c:v>62375</c:v>
                </c:pt>
                <c:pt idx="3269">
                  <c:v>62382</c:v>
                </c:pt>
                <c:pt idx="3270">
                  <c:v>62389</c:v>
                </c:pt>
                <c:pt idx="3271">
                  <c:v>62396</c:v>
                </c:pt>
                <c:pt idx="3272">
                  <c:v>62403</c:v>
                </c:pt>
                <c:pt idx="3273">
                  <c:v>62410</c:v>
                </c:pt>
                <c:pt idx="3274">
                  <c:v>62417</c:v>
                </c:pt>
                <c:pt idx="3275">
                  <c:v>62424</c:v>
                </c:pt>
                <c:pt idx="3276">
                  <c:v>62431</c:v>
                </c:pt>
                <c:pt idx="3277">
                  <c:v>62438</c:v>
                </c:pt>
                <c:pt idx="3278">
                  <c:v>62445</c:v>
                </c:pt>
                <c:pt idx="3279">
                  <c:v>62457</c:v>
                </c:pt>
                <c:pt idx="3280">
                  <c:v>62463</c:v>
                </c:pt>
                <c:pt idx="3281">
                  <c:v>62467</c:v>
                </c:pt>
                <c:pt idx="3282">
                  <c:v>62474</c:v>
                </c:pt>
                <c:pt idx="3283">
                  <c:v>62481</c:v>
                </c:pt>
                <c:pt idx="3284">
                  <c:v>62488</c:v>
                </c:pt>
                <c:pt idx="3285">
                  <c:v>62495</c:v>
                </c:pt>
                <c:pt idx="3286">
                  <c:v>62502</c:v>
                </c:pt>
                <c:pt idx="3287">
                  <c:v>62509</c:v>
                </c:pt>
                <c:pt idx="3288">
                  <c:v>62516</c:v>
                </c:pt>
                <c:pt idx="3289">
                  <c:v>62523</c:v>
                </c:pt>
                <c:pt idx="3290">
                  <c:v>62530</c:v>
                </c:pt>
                <c:pt idx="3291">
                  <c:v>62537</c:v>
                </c:pt>
                <c:pt idx="3292">
                  <c:v>62544</c:v>
                </c:pt>
                <c:pt idx="3293">
                  <c:v>62551</c:v>
                </c:pt>
                <c:pt idx="3294">
                  <c:v>62558</c:v>
                </c:pt>
                <c:pt idx="3295">
                  <c:v>62569</c:v>
                </c:pt>
                <c:pt idx="3296">
                  <c:v>62572</c:v>
                </c:pt>
                <c:pt idx="3297">
                  <c:v>62582</c:v>
                </c:pt>
                <c:pt idx="3298">
                  <c:v>62586</c:v>
                </c:pt>
                <c:pt idx="3299">
                  <c:v>62593</c:v>
                </c:pt>
                <c:pt idx="3300">
                  <c:v>62600</c:v>
                </c:pt>
                <c:pt idx="3301">
                  <c:v>62610</c:v>
                </c:pt>
                <c:pt idx="3302">
                  <c:v>62614</c:v>
                </c:pt>
                <c:pt idx="3303">
                  <c:v>62621</c:v>
                </c:pt>
                <c:pt idx="3304">
                  <c:v>62631</c:v>
                </c:pt>
                <c:pt idx="3305">
                  <c:v>62635</c:v>
                </c:pt>
                <c:pt idx="3306">
                  <c:v>62642</c:v>
                </c:pt>
                <c:pt idx="3307">
                  <c:v>62649</c:v>
                </c:pt>
                <c:pt idx="3308">
                  <c:v>62656</c:v>
                </c:pt>
                <c:pt idx="3309">
                  <c:v>62663</c:v>
                </c:pt>
                <c:pt idx="3310">
                  <c:v>62670</c:v>
                </c:pt>
                <c:pt idx="3311">
                  <c:v>62677</c:v>
                </c:pt>
                <c:pt idx="3312">
                  <c:v>62684</c:v>
                </c:pt>
                <c:pt idx="3313">
                  <c:v>62691</c:v>
                </c:pt>
                <c:pt idx="3314">
                  <c:v>62698</c:v>
                </c:pt>
                <c:pt idx="3315">
                  <c:v>62705</c:v>
                </c:pt>
                <c:pt idx="3316">
                  <c:v>62712</c:v>
                </c:pt>
                <c:pt idx="3317">
                  <c:v>62719</c:v>
                </c:pt>
                <c:pt idx="3318">
                  <c:v>62726</c:v>
                </c:pt>
                <c:pt idx="3319">
                  <c:v>62733</c:v>
                </c:pt>
                <c:pt idx="3320">
                  <c:v>62740</c:v>
                </c:pt>
                <c:pt idx="3321">
                  <c:v>62747</c:v>
                </c:pt>
                <c:pt idx="3322">
                  <c:v>62754</c:v>
                </c:pt>
                <c:pt idx="3323">
                  <c:v>62761</c:v>
                </c:pt>
                <c:pt idx="3324">
                  <c:v>62768</c:v>
                </c:pt>
                <c:pt idx="3325">
                  <c:v>62775</c:v>
                </c:pt>
                <c:pt idx="3326">
                  <c:v>62782</c:v>
                </c:pt>
                <c:pt idx="3327">
                  <c:v>62789</c:v>
                </c:pt>
                <c:pt idx="3328">
                  <c:v>62796</c:v>
                </c:pt>
                <c:pt idx="3329">
                  <c:v>62803</c:v>
                </c:pt>
                <c:pt idx="3330">
                  <c:v>62810</c:v>
                </c:pt>
                <c:pt idx="3331">
                  <c:v>62821</c:v>
                </c:pt>
                <c:pt idx="3332">
                  <c:v>62828</c:v>
                </c:pt>
                <c:pt idx="3333">
                  <c:v>62834</c:v>
                </c:pt>
                <c:pt idx="3334">
                  <c:v>62841</c:v>
                </c:pt>
                <c:pt idx="3335">
                  <c:v>62848</c:v>
                </c:pt>
                <c:pt idx="3336">
                  <c:v>62855</c:v>
                </c:pt>
                <c:pt idx="3337">
                  <c:v>62862</c:v>
                </c:pt>
                <c:pt idx="3338">
                  <c:v>62869</c:v>
                </c:pt>
                <c:pt idx="3339">
                  <c:v>62876</c:v>
                </c:pt>
                <c:pt idx="3340">
                  <c:v>62883</c:v>
                </c:pt>
                <c:pt idx="3341">
                  <c:v>62890</c:v>
                </c:pt>
                <c:pt idx="3342">
                  <c:v>62897</c:v>
                </c:pt>
                <c:pt idx="3343">
                  <c:v>62904</c:v>
                </c:pt>
                <c:pt idx="3344">
                  <c:v>62911</c:v>
                </c:pt>
                <c:pt idx="3345">
                  <c:v>62918</c:v>
                </c:pt>
                <c:pt idx="3346">
                  <c:v>62927</c:v>
                </c:pt>
                <c:pt idx="3347">
                  <c:v>62932</c:v>
                </c:pt>
                <c:pt idx="3348">
                  <c:v>62939</c:v>
                </c:pt>
                <c:pt idx="3349">
                  <c:v>62946</c:v>
                </c:pt>
                <c:pt idx="3350">
                  <c:v>62953</c:v>
                </c:pt>
                <c:pt idx="3351">
                  <c:v>62960</c:v>
                </c:pt>
                <c:pt idx="3352">
                  <c:v>62968</c:v>
                </c:pt>
                <c:pt idx="3353">
                  <c:v>62976</c:v>
                </c:pt>
                <c:pt idx="3354">
                  <c:v>62982</c:v>
                </c:pt>
                <c:pt idx="3355">
                  <c:v>62989</c:v>
                </c:pt>
                <c:pt idx="3356">
                  <c:v>62996</c:v>
                </c:pt>
                <c:pt idx="3357">
                  <c:v>63004</c:v>
                </c:pt>
                <c:pt idx="3358">
                  <c:v>63011</c:v>
                </c:pt>
                <c:pt idx="3359">
                  <c:v>63018</c:v>
                </c:pt>
                <c:pt idx="3360">
                  <c:v>63025</c:v>
                </c:pt>
                <c:pt idx="3361">
                  <c:v>63032</c:v>
                </c:pt>
                <c:pt idx="3362">
                  <c:v>63039</c:v>
                </c:pt>
                <c:pt idx="3363">
                  <c:v>63046</c:v>
                </c:pt>
                <c:pt idx="3364">
                  <c:v>63053</c:v>
                </c:pt>
                <c:pt idx="3365">
                  <c:v>63060</c:v>
                </c:pt>
                <c:pt idx="3366">
                  <c:v>63067</c:v>
                </c:pt>
                <c:pt idx="3367">
                  <c:v>63074</c:v>
                </c:pt>
                <c:pt idx="3368">
                  <c:v>63081</c:v>
                </c:pt>
                <c:pt idx="3369">
                  <c:v>63088</c:v>
                </c:pt>
                <c:pt idx="3370">
                  <c:v>63095</c:v>
                </c:pt>
                <c:pt idx="3371">
                  <c:v>63102</c:v>
                </c:pt>
                <c:pt idx="3372">
                  <c:v>63109</c:v>
                </c:pt>
                <c:pt idx="3373">
                  <c:v>63116</c:v>
                </c:pt>
                <c:pt idx="3374">
                  <c:v>63123</c:v>
                </c:pt>
                <c:pt idx="3375">
                  <c:v>63130</c:v>
                </c:pt>
                <c:pt idx="3376">
                  <c:v>63137</c:v>
                </c:pt>
                <c:pt idx="3377">
                  <c:v>63144</c:v>
                </c:pt>
                <c:pt idx="3378">
                  <c:v>63151</c:v>
                </c:pt>
                <c:pt idx="3379">
                  <c:v>63158</c:v>
                </c:pt>
                <c:pt idx="3380">
                  <c:v>63165</c:v>
                </c:pt>
                <c:pt idx="3381">
                  <c:v>63172</c:v>
                </c:pt>
                <c:pt idx="3382">
                  <c:v>63179</c:v>
                </c:pt>
                <c:pt idx="3383">
                  <c:v>63187</c:v>
                </c:pt>
                <c:pt idx="3384">
                  <c:v>63194</c:v>
                </c:pt>
                <c:pt idx="3385">
                  <c:v>63201</c:v>
                </c:pt>
                <c:pt idx="3386">
                  <c:v>63208</c:v>
                </c:pt>
                <c:pt idx="3387">
                  <c:v>63215</c:v>
                </c:pt>
                <c:pt idx="3388">
                  <c:v>63222</c:v>
                </c:pt>
                <c:pt idx="3389">
                  <c:v>63229</c:v>
                </c:pt>
                <c:pt idx="3390">
                  <c:v>63236</c:v>
                </c:pt>
                <c:pt idx="3391">
                  <c:v>63243</c:v>
                </c:pt>
                <c:pt idx="3392">
                  <c:v>63250</c:v>
                </c:pt>
                <c:pt idx="3393">
                  <c:v>63257</c:v>
                </c:pt>
                <c:pt idx="3394">
                  <c:v>63264</c:v>
                </c:pt>
                <c:pt idx="3395">
                  <c:v>63271</c:v>
                </c:pt>
                <c:pt idx="3396">
                  <c:v>63278</c:v>
                </c:pt>
                <c:pt idx="3397">
                  <c:v>63285</c:v>
                </c:pt>
                <c:pt idx="3398">
                  <c:v>63292</c:v>
                </c:pt>
                <c:pt idx="3399">
                  <c:v>63299</c:v>
                </c:pt>
                <c:pt idx="3400">
                  <c:v>63306</c:v>
                </c:pt>
                <c:pt idx="3401">
                  <c:v>63314</c:v>
                </c:pt>
                <c:pt idx="3402">
                  <c:v>63320</c:v>
                </c:pt>
                <c:pt idx="3403">
                  <c:v>63327</c:v>
                </c:pt>
                <c:pt idx="3404">
                  <c:v>63334</c:v>
                </c:pt>
                <c:pt idx="3405">
                  <c:v>63341</c:v>
                </c:pt>
                <c:pt idx="3406">
                  <c:v>63348</c:v>
                </c:pt>
                <c:pt idx="3407">
                  <c:v>63355</c:v>
                </c:pt>
                <c:pt idx="3408">
                  <c:v>63362</c:v>
                </c:pt>
                <c:pt idx="3409">
                  <c:v>63369</c:v>
                </c:pt>
                <c:pt idx="3410">
                  <c:v>63376</c:v>
                </c:pt>
                <c:pt idx="3411">
                  <c:v>63383</c:v>
                </c:pt>
                <c:pt idx="3412">
                  <c:v>63390</c:v>
                </c:pt>
                <c:pt idx="3413">
                  <c:v>63397</c:v>
                </c:pt>
                <c:pt idx="3414">
                  <c:v>63404</c:v>
                </c:pt>
                <c:pt idx="3415">
                  <c:v>63411</c:v>
                </c:pt>
                <c:pt idx="3416">
                  <c:v>63418</c:v>
                </c:pt>
                <c:pt idx="3417">
                  <c:v>63425</c:v>
                </c:pt>
                <c:pt idx="3418">
                  <c:v>63432</c:v>
                </c:pt>
                <c:pt idx="3419">
                  <c:v>63439</c:v>
                </c:pt>
                <c:pt idx="3420">
                  <c:v>63446</c:v>
                </c:pt>
                <c:pt idx="3421">
                  <c:v>63453</c:v>
                </c:pt>
                <c:pt idx="3422">
                  <c:v>63460</c:v>
                </c:pt>
                <c:pt idx="3423">
                  <c:v>63467</c:v>
                </c:pt>
                <c:pt idx="3424">
                  <c:v>63474</c:v>
                </c:pt>
                <c:pt idx="3425">
                  <c:v>63481</c:v>
                </c:pt>
                <c:pt idx="3426">
                  <c:v>63488</c:v>
                </c:pt>
                <c:pt idx="3427">
                  <c:v>63495</c:v>
                </c:pt>
                <c:pt idx="3428">
                  <c:v>63502</c:v>
                </c:pt>
                <c:pt idx="3429">
                  <c:v>63509</c:v>
                </c:pt>
                <c:pt idx="3430">
                  <c:v>63516</c:v>
                </c:pt>
                <c:pt idx="3431">
                  <c:v>63523</c:v>
                </c:pt>
                <c:pt idx="3432">
                  <c:v>63530</c:v>
                </c:pt>
                <c:pt idx="3433">
                  <c:v>63537</c:v>
                </c:pt>
                <c:pt idx="3434">
                  <c:v>63544</c:v>
                </c:pt>
                <c:pt idx="3435">
                  <c:v>63552</c:v>
                </c:pt>
                <c:pt idx="3436">
                  <c:v>63559</c:v>
                </c:pt>
                <c:pt idx="3437">
                  <c:v>63566</c:v>
                </c:pt>
                <c:pt idx="3438">
                  <c:v>63573</c:v>
                </c:pt>
                <c:pt idx="3439">
                  <c:v>63580</c:v>
                </c:pt>
                <c:pt idx="3440">
                  <c:v>63587</c:v>
                </c:pt>
                <c:pt idx="3441">
                  <c:v>63594</c:v>
                </c:pt>
                <c:pt idx="3442">
                  <c:v>63601</c:v>
                </c:pt>
                <c:pt idx="3443">
                  <c:v>63608</c:v>
                </c:pt>
                <c:pt idx="3444">
                  <c:v>63615</c:v>
                </c:pt>
                <c:pt idx="3445">
                  <c:v>63622</c:v>
                </c:pt>
                <c:pt idx="3446">
                  <c:v>63629</c:v>
                </c:pt>
                <c:pt idx="3447">
                  <c:v>63636</c:v>
                </c:pt>
                <c:pt idx="3448">
                  <c:v>63643</c:v>
                </c:pt>
                <c:pt idx="3449">
                  <c:v>63650</c:v>
                </c:pt>
                <c:pt idx="3450">
                  <c:v>63661</c:v>
                </c:pt>
                <c:pt idx="3451">
                  <c:v>63664</c:v>
                </c:pt>
                <c:pt idx="3452">
                  <c:v>63671</c:v>
                </c:pt>
                <c:pt idx="3453">
                  <c:v>63678</c:v>
                </c:pt>
                <c:pt idx="3454">
                  <c:v>63685</c:v>
                </c:pt>
                <c:pt idx="3455">
                  <c:v>63692</c:v>
                </c:pt>
                <c:pt idx="3456">
                  <c:v>63702</c:v>
                </c:pt>
                <c:pt idx="3457">
                  <c:v>63706</c:v>
                </c:pt>
                <c:pt idx="3458">
                  <c:v>63713</c:v>
                </c:pt>
                <c:pt idx="3459">
                  <c:v>63720</c:v>
                </c:pt>
                <c:pt idx="3460">
                  <c:v>63730</c:v>
                </c:pt>
                <c:pt idx="3461">
                  <c:v>63734</c:v>
                </c:pt>
                <c:pt idx="3462">
                  <c:v>63741</c:v>
                </c:pt>
                <c:pt idx="3463">
                  <c:v>63748</c:v>
                </c:pt>
                <c:pt idx="3464">
                  <c:v>63755</c:v>
                </c:pt>
                <c:pt idx="3465">
                  <c:v>63762</c:v>
                </c:pt>
                <c:pt idx="3466">
                  <c:v>63769</c:v>
                </c:pt>
                <c:pt idx="3467">
                  <c:v>63776</c:v>
                </c:pt>
                <c:pt idx="3468">
                  <c:v>63783</c:v>
                </c:pt>
                <c:pt idx="3469">
                  <c:v>63790</c:v>
                </c:pt>
                <c:pt idx="3470">
                  <c:v>63797</c:v>
                </c:pt>
                <c:pt idx="3471">
                  <c:v>63804</c:v>
                </c:pt>
                <c:pt idx="3472">
                  <c:v>63811</c:v>
                </c:pt>
                <c:pt idx="3473">
                  <c:v>63818</c:v>
                </c:pt>
                <c:pt idx="3474">
                  <c:v>63825</c:v>
                </c:pt>
                <c:pt idx="3475">
                  <c:v>63832</c:v>
                </c:pt>
                <c:pt idx="3476">
                  <c:v>63839</c:v>
                </c:pt>
                <c:pt idx="3477">
                  <c:v>63846</c:v>
                </c:pt>
                <c:pt idx="3478">
                  <c:v>63853</c:v>
                </c:pt>
                <c:pt idx="3479">
                  <c:v>63860</c:v>
                </c:pt>
                <c:pt idx="3480">
                  <c:v>63867</c:v>
                </c:pt>
                <c:pt idx="3481">
                  <c:v>63874</c:v>
                </c:pt>
                <c:pt idx="3482">
                  <c:v>63881</c:v>
                </c:pt>
                <c:pt idx="3483">
                  <c:v>63888</c:v>
                </c:pt>
                <c:pt idx="3484">
                  <c:v>63895</c:v>
                </c:pt>
                <c:pt idx="3485">
                  <c:v>63902</c:v>
                </c:pt>
                <c:pt idx="3486">
                  <c:v>63909</c:v>
                </c:pt>
                <c:pt idx="3487">
                  <c:v>63921</c:v>
                </c:pt>
                <c:pt idx="3488">
                  <c:v>63926</c:v>
                </c:pt>
                <c:pt idx="3489">
                  <c:v>63933</c:v>
                </c:pt>
                <c:pt idx="3490">
                  <c:v>63940</c:v>
                </c:pt>
                <c:pt idx="3491">
                  <c:v>63947</c:v>
                </c:pt>
                <c:pt idx="3492">
                  <c:v>63954</c:v>
                </c:pt>
                <c:pt idx="3493">
                  <c:v>63961</c:v>
                </c:pt>
                <c:pt idx="3494">
                  <c:v>63968</c:v>
                </c:pt>
                <c:pt idx="3495">
                  <c:v>63975</c:v>
                </c:pt>
                <c:pt idx="3496">
                  <c:v>63982</c:v>
                </c:pt>
                <c:pt idx="3497">
                  <c:v>63989</c:v>
                </c:pt>
                <c:pt idx="3498">
                  <c:v>63996</c:v>
                </c:pt>
                <c:pt idx="3499">
                  <c:v>64003</c:v>
                </c:pt>
                <c:pt idx="3500">
                  <c:v>64010</c:v>
                </c:pt>
                <c:pt idx="3501">
                  <c:v>64019</c:v>
                </c:pt>
                <c:pt idx="3502">
                  <c:v>64024</c:v>
                </c:pt>
                <c:pt idx="3503">
                  <c:v>64031</c:v>
                </c:pt>
                <c:pt idx="3504">
                  <c:v>64038</c:v>
                </c:pt>
                <c:pt idx="3505">
                  <c:v>64045</c:v>
                </c:pt>
                <c:pt idx="3506">
                  <c:v>64052</c:v>
                </c:pt>
                <c:pt idx="3507">
                  <c:v>64060</c:v>
                </c:pt>
                <c:pt idx="3508">
                  <c:v>64068</c:v>
                </c:pt>
                <c:pt idx="3509">
                  <c:v>64074</c:v>
                </c:pt>
                <c:pt idx="3510">
                  <c:v>64081</c:v>
                </c:pt>
                <c:pt idx="3511">
                  <c:v>64088</c:v>
                </c:pt>
                <c:pt idx="3512">
                  <c:v>64096</c:v>
                </c:pt>
                <c:pt idx="3513">
                  <c:v>64103</c:v>
                </c:pt>
                <c:pt idx="3514">
                  <c:v>64110</c:v>
                </c:pt>
                <c:pt idx="3515">
                  <c:v>64117</c:v>
                </c:pt>
                <c:pt idx="3516">
                  <c:v>64124</c:v>
                </c:pt>
                <c:pt idx="3517">
                  <c:v>64131</c:v>
                </c:pt>
                <c:pt idx="3518">
                  <c:v>64138</c:v>
                </c:pt>
                <c:pt idx="3519">
                  <c:v>64145</c:v>
                </c:pt>
                <c:pt idx="3520">
                  <c:v>64152</c:v>
                </c:pt>
                <c:pt idx="3521">
                  <c:v>64159</c:v>
                </c:pt>
                <c:pt idx="3522">
                  <c:v>64166</c:v>
                </c:pt>
                <c:pt idx="3523">
                  <c:v>64173</c:v>
                </c:pt>
                <c:pt idx="3524">
                  <c:v>64180</c:v>
                </c:pt>
                <c:pt idx="3525">
                  <c:v>64187</c:v>
                </c:pt>
                <c:pt idx="3526">
                  <c:v>64194</c:v>
                </c:pt>
                <c:pt idx="3527">
                  <c:v>64201</c:v>
                </c:pt>
                <c:pt idx="3528">
                  <c:v>64208</c:v>
                </c:pt>
                <c:pt idx="3529">
                  <c:v>64215</c:v>
                </c:pt>
                <c:pt idx="3530">
                  <c:v>64222</c:v>
                </c:pt>
                <c:pt idx="3531">
                  <c:v>64229</c:v>
                </c:pt>
                <c:pt idx="3532">
                  <c:v>64236</c:v>
                </c:pt>
                <c:pt idx="3533">
                  <c:v>64243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-2.3482236773864074E-3</c:v>
                </c:pt>
                <c:pt idx="1">
                  <c:v>-2.3537030304776607E-3</c:v>
                </c:pt>
                <c:pt idx="2">
                  <c:v>-2.3617107711482177E-3</c:v>
                </c:pt>
                <c:pt idx="3">
                  <c:v>-2.3669557519179207E-3</c:v>
                </c:pt>
                <c:pt idx="4">
                  <c:v>-2.3729500156033367E-3</c:v>
                </c:pt>
                <c:pt idx="5">
                  <c:v>-2.3796935621245296E-3</c:v>
                </c:pt>
                <c:pt idx="6">
                  <c:v>-2.3956623220122708E-3</c:v>
                </c:pt>
                <c:pt idx="7">
                  <c:v>-2.4141605756078377E-3</c:v>
                </c:pt>
                <c:pt idx="8">
                  <c:v>-2.4246505355884906E-3</c:v>
                </c:pt>
                <c:pt idx="9">
                  <c:v>-2.4358897780452082E-3</c:v>
                </c:pt>
                <c:pt idx="10">
                  <c:v>-2.4478783029779905E-3</c:v>
                </c:pt>
                <c:pt idx="11">
                  <c:v>-2.4743359540879695E-3</c:v>
                </c:pt>
                <c:pt idx="12">
                  <c:v>-2.5033252255912686E-3</c:v>
                </c:pt>
                <c:pt idx="13">
                  <c:v>-2.5190601615854291E-3</c:v>
                </c:pt>
                <c:pt idx="14">
                  <c:v>-2.5355443793761978E-3</c:v>
                </c:pt>
                <c:pt idx="15">
                  <c:v>-2.5527778791234468E-3</c:v>
                </c:pt>
                <c:pt idx="16">
                  <c:v>-2.5897238545091739E-3</c:v>
                </c:pt>
                <c:pt idx="17">
                  <c:v>-2.6292046939602187E-3</c:v>
                </c:pt>
                <c:pt idx="18">
                  <c:v>-2.6501846010118513E-3</c:v>
                </c:pt>
                <c:pt idx="19">
                  <c:v>-2.6719137893005396E-3</c:v>
                </c:pt>
                <c:pt idx="20">
                  <c:v>-2.6941495508925328E-3</c:v>
                </c:pt>
                <c:pt idx="21">
                  <c:v>-2.7367291369495561E-3</c:v>
                </c:pt>
                <c:pt idx="22">
                  <c:v>-2.7769937850052884E-3</c:v>
                </c:pt>
                <c:pt idx="23">
                  <c:v>-2.7959374334152187E-3</c:v>
                </c:pt>
                <c:pt idx="24">
                  <c:v>-2.8141741180576219E-3</c:v>
                </c:pt>
                <c:pt idx="25">
                  <c:v>-2.8317038391323379E-3</c:v>
                </c:pt>
                <c:pt idx="26">
                  <c:v>-2.8643839450337438E-3</c:v>
                </c:pt>
                <c:pt idx="27">
                  <c:v>-2.8947530880740757E-3</c:v>
                </c:pt>
                <c:pt idx="28">
                  <c:v>-2.908747992109717E-3</c:v>
                </c:pt>
                <c:pt idx="29">
                  <c:v>-2.9220359329373835E-3</c:v>
                </c:pt>
                <c:pt idx="30">
                  <c:v>-2.9346169107569153E-3</c:v>
                </c:pt>
                <c:pt idx="31">
                  <c:v>-2.9573980280295231E-3</c:v>
                </c:pt>
                <c:pt idx="32">
                  <c:v>-2.9778711929129287E-3</c:v>
                </c:pt>
                <c:pt idx="33">
                  <c:v>-2.9869173564511797E-3</c:v>
                </c:pt>
                <c:pt idx="34">
                  <c:v>-2.9952565573809764E-3</c:v>
                </c:pt>
                <c:pt idx="35">
                  <c:v>-3.0028887956623507E-3</c:v>
                </c:pt>
                <c:pt idx="36">
                  <c:v>-3.0157714664724722E-3</c:v>
                </c:pt>
                <c:pt idx="37">
                  <c:v>-3.0263481233427925E-3</c:v>
                </c:pt>
                <c:pt idx="38">
                  <c:v>-3.0304455491414473E-3</c:v>
                </c:pt>
                <c:pt idx="39">
                  <c:v>-3.0338360124915198E-3</c:v>
                </c:pt>
                <c:pt idx="40">
                  <c:v>-3.0365195134329781E-3</c:v>
                </c:pt>
                <c:pt idx="41">
                  <c:v>-3.0395043109754383E-3</c:v>
                </c:pt>
                <c:pt idx="42">
                  <c:v>-3.0403196587114323E-3</c:v>
                </c:pt>
                <c:pt idx="43">
                  <c:v>-3.0402829389641894E-3</c:v>
                </c:pt>
                <c:pt idx="44">
                  <c:v>-3.0403538481227343E-3</c:v>
                </c:pt>
                <c:pt idx="45">
                  <c:v>-3.0405323860271949E-3</c:v>
                </c:pt>
                <c:pt idx="46">
                  <c:v>-3.0412225323406261E-3</c:v>
                </c:pt>
                <c:pt idx="47">
                  <c:v>-3.0423228255838097E-3</c:v>
                </c:pt>
                <c:pt idx="48">
                  <c:v>-3.0430395074976246E-3</c:v>
                </c:pt>
                <c:pt idx="49">
                  <c:v>-3.0438638182372912E-3</c:v>
                </c:pt>
                <c:pt idx="50">
                  <c:v>-3.0447957577628415E-3</c:v>
                </c:pt>
                <c:pt idx="51">
                  <c:v>-3.0469926097564937E-3</c:v>
                </c:pt>
                <c:pt idx="52">
                  <c:v>-3.0495998037638472E-3</c:v>
                </c:pt>
                <c:pt idx="53">
                  <c:v>-3.0510698872987518E-3</c:v>
                </c:pt>
                <c:pt idx="54">
                  <c:v>-3.0526475996195401E-3</c:v>
                </c:pt>
                <c:pt idx="55">
                  <c:v>-3.0543329407661801E-3</c:v>
                </c:pt>
                <c:pt idx="56">
                  <c:v>-3.0580364085253109E-3</c:v>
                </c:pt>
                <c:pt idx="57">
                  <c:v>-3.0621505929717685E-3</c:v>
                </c:pt>
                <c:pt idx="58">
                  <c:v>-3.0643740780078588E-3</c:v>
                </c:pt>
                <c:pt idx="59">
                  <c:v>-3.0717455131501481E-3</c:v>
                </c:pt>
                <c:pt idx="60">
                  <c:v>-3.0799751925281171E-3</c:v>
                </c:pt>
                <c:pt idx="61">
                  <c:v>-3.0829288892553208E-3</c:v>
                </c:pt>
                <c:pt idx="62">
                  <c:v>-3.0915858783249206E-3</c:v>
                </c:pt>
                <c:pt idx="63">
                  <c:v>-3.1001284995113565E-3</c:v>
                </c:pt>
                <c:pt idx="64">
                  <c:v>-3.1042338361220168E-3</c:v>
                </c:pt>
                <c:pt idx="65">
                  <c:v>-3.1083029205714041E-3</c:v>
                </c:pt>
                <c:pt idx="66">
                  <c:v>-3.1135575528207227E-3</c:v>
                </c:pt>
                <c:pt idx="67">
                  <c:v>-3.1187610097260787E-3</c:v>
                </c:pt>
                <c:pt idx="68">
                  <c:v>-3.1212967571381256E-3</c:v>
                </c:pt>
                <c:pt idx="69">
                  <c:v>-3.1238009947553991E-3</c:v>
                </c:pt>
                <c:pt idx="70">
                  <c:v>-3.126273722338091E-3</c:v>
                </c:pt>
                <c:pt idx="71">
                  <c:v>-3.1310869116252249E-3</c:v>
                </c:pt>
                <c:pt idx="72">
                  <c:v>-3.1358495335620518E-3</c:v>
                </c:pt>
                <c:pt idx="73">
                  <c:v>-3.1381647116912603E-3</c:v>
                </c:pt>
                <c:pt idx="74">
                  <c:v>-3.1404483798258553E-3</c:v>
                </c:pt>
                <c:pt idx="75">
                  <c:v>-3.1427005379258688E-3</c:v>
                </c:pt>
                <c:pt idx="76">
                  <c:v>-3.1470723096305164E-3</c:v>
                </c:pt>
                <c:pt idx="77">
                  <c:v>-3.15139407153886E-3</c:v>
                </c:pt>
                <c:pt idx="78">
                  <c:v>-3.1534886802253581E-3</c:v>
                </c:pt>
                <c:pt idx="79">
                  <c:v>-3.1555517789172427E-3</c:v>
                </c:pt>
                <c:pt idx="80">
                  <c:v>-3.1575833676145137E-3</c:v>
                </c:pt>
                <c:pt idx="81">
                  <c:v>-3.1615137474361177E-3</c:v>
                </c:pt>
                <c:pt idx="82">
                  <c:v>-3.1653946236565034E-3</c:v>
                </c:pt>
                <c:pt idx="83">
                  <c:v>-3.1672686629002911E-3</c:v>
                </c:pt>
                <c:pt idx="84">
                  <c:v>-3.1691111922294013E-3</c:v>
                </c:pt>
                <c:pt idx="85">
                  <c:v>-3.170922211603866E-3</c:v>
                </c:pt>
                <c:pt idx="86">
                  <c:v>-3.1744112256149037E-3</c:v>
                </c:pt>
                <c:pt idx="87">
                  <c:v>-3.1778511901547901E-3</c:v>
                </c:pt>
                <c:pt idx="88">
                  <c:v>-3.1795046600358035E-3</c:v>
                </c:pt>
                <c:pt idx="89">
                  <c:v>-3.1811266199222032E-3</c:v>
                </c:pt>
                <c:pt idx="90">
                  <c:v>-3.1827170699738616E-3</c:v>
                </c:pt>
                <c:pt idx="91">
                  <c:v>-3.185764744686459E-3</c:v>
                </c:pt>
                <c:pt idx="92">
                  <c:v>-3.1887637711136563E-3</c:v>
                </c:pt>
                <c:pt idx="93">
                  <c:v>-3.1901966715919272E-3</c:v>
                </c:pt>
                <c:pt idx="94">
                  <c:v>-3.1915980621954887E-3</c:v>
                </c:pt>
                <c:pt idx="95">
                  <c:v>-3.1929679429243407E-3</c:v>
                </c:pt>
                <c:pt idx="96">
                  <c:v>-3.1955743050904317E-3</c:v>
                </c:pt>
                <c:pt idx="97">
                  <c:v>-3.198132366692974E-3</c:v>
                </c:pt>
                <c:pt idx="98">
                  <c:v>-3.1993446979283746E-3</c:v>
                </c:pt>
                <c:pt idx="99">
                  <c:v>-3.2005255191291937E-3</c:v>
                </c:pt>
                <c:pt idx="100">
                  <c:v>-3.2016748306151754E-3</c:v>
                </c:pt>
                <c:pt idx="101">
                  <c:v>-3.2038399071598889E-3</c:v>
                </c:pt>
                <c:pt idx="102">
                  <c:v>-3.2059569770925833E-3</c:v>
                </c:pt>
                <c:pt idx="103">
                  <c:v>-3.2069487390051776E-3</c:v>
                </c:pt>
                <c:pt idx="104">
                  <c:v>-3.2079089908831904E-3</c:v>
                </c:pt>
                <c:pt idx="105">
                  <c:v>-3.2088377330463658E-3</c:v>
                </c:pt>
                <c:pt idx="106">
                  <c:v>-3.2105615512678654E-3</c:v>
                </c:pt>
                <c:pt idx="107">
                  <c:v>-3.2122376023924204E-3</c:v>
                </c:pt>
                <c:pt idx="108">
                  <c:v>-3.2130087949022723E-3</c:v>
                </c:pt>
                <c:pt idx="109">
                  <c:v>-3.2137484776173508E-3</c:v>
                </c:pt>
                <c:pt idx="110">
                  <c:v>-3.2144566504577199E-3</c:v>
                </c:pt>
                <c:pt idx="111">
                  <c:v>-3.2157392376408467E-3</c:v>
                </c:pt>
                <c:pt idx="112">
                  <c:v>-3.2169742425125492E-3</c:v>
                </c:pt>
                <c:pt idx="113">
                  <c:v>-3.2175248658994349E-3</c:v>
                </c:pt>
                <c:pt idx="114">
                  <c:v>-3.2180385487556862E-3</c:v>
                </c:pt>
                <c:pt idx="115">
                  <c:v>-3.2184935689372196E-3</c:v>
                </c:pt>
                <c:pt idx="116">
                  <c:v>-3.2191611788645602E-3</c:v>
                </c:pt>
                <c:pt idx="117">
                  <c:v>-3.2196727179156781E-3</c:v>
                </c:pt>
                <c:pt idx="118">
                  <c:v>-3.219807272283326E-3</c:v>
                </c:pt>
                <c:pt idx="119">
                  <c:v>-3.219877733280363E-3</c:v>
                </c:pt>
                <c:pt idx="120">
                  <c:v>-3.2195828754701949E-3</c:v>
                </c:pt>
                <c:pt idx="121">
                  <c:v>-3.2189545429561761E-3</c:v>
                </c:pt>
                <c:pt idx="122">
                  <c:v>-3.2185763518777222E-3</c:v>
                </c:pt>
                <c:pt idx="123">
                  <c:v>-3.2181340673487213E-3</c:v>
                </c:pt>
                <c:pt idx="124">
                  <c:v>-3.2170071066772721E-3</c:v>
                </c:pt>
                <c:pt idx="125">
                  <c:v>-3.215723997964659E-3</c:v>
                </c:pt>
                <c:pt idx="126">
                  <c:v>-3.2149612476617406E-3</c:v>
                </c:pt>
                <c:pt idx="127">
                  <c:v>-3.2141344041480835E-3</c:v>
                </c:pt>
                <c:pt idx="128">
                  <c:v>-3.2132434674636556E-3</c:v>
                </c:pt>
                <c:pt idx="129">
                  <c:v>-3.2112193054123495E-3</c:v>
                </c:pt>
                <c:pt idx="130">
                  <c:v>-3.2090387887384608E-3</c:v>
                </c:pt>
                <c:pt idx="131">
                  <c:v>-3.2078273860802753E-3</c:v>
                </c:pt>
                <c:pt idx="132">
                  <c:v>-3.206551890251319E-3</c:v>
                </c:pt>
                <c:pt idx="133">
                  <c:v>-3.2052123012515921E-3</c:v>
                </c:pt>
                <c:pt idx="134">
                  <c:v>-3.2022909935625066E-3</c:v>
                </c:pt>
                <c:pt idx="135">
                  <c:v>-3.1992130131053287E-3</c:v>
                </c:pt>
                <c:pt idx="136">
                  <c:v>-3.197552958131844E-3</c:v>
                </c:pt>
                <c:pt idx="137">
                  <c:v>-3.1958288099076526E-3</c:v>
                </c:pt>
                <c:pt idx="138">
                  <c:v>-3.1940405684727224E-3</c:v>
                </c:pt>
                <c:pt idx="139">
                  <c:v>-3.1902221703949962E-3</c:v>
                </c:pt>
                <c:pt idx="140">
                  <c:v>-3.1862466709053905E-3</c:v>
                </c:pt>
                <c:pt idx="141">
                  <c:v>-3.1841379633767986E-3</c:v>
                </c:pt>
                <c:pt idx="142">
                  <c:v>-3.181965162837308E-3</c:v>
                </c:pt>
                <c:pt idx="143">
                  <c:v>-3.1797282690071427E-3</c:v>
                </c:pt>
                <c:pt idx="144">
                  <c:v>-3.1750128349772311E-3</c:v>
                </c:pt>
                <c:pt idx="145">
                  <c:v>-3.1701397616989979E-3</c:v>
                </c:pt>
                <c:pt idx="146">
                  <c:v>-3.1675824017751708E-3</c:v>
                </c:pt>
                <c:pt idx="147">
                  <c:v>-3.1636042748672821E-3</c:v>
                </c:pt>
                <c:pt idx="148">
                  <c:v>-3.1566629861101703E-3</c:v>
                </c:pt>
                <c:pt idx="149">
                  <c:v>-3.1508922850065346E-3</c:v>
                </c:pt>
                <c:pt idx="150">
                  <c:v>-3.1478862725675683E-3</c:v>
                </c:pt>
                <c:pt idx="151">
                  <c:v>-3.1448161670377672E-3</c:v>
                </c:pt>
                <c:pt idx="152">
                  <c:v>-3.1416819681373553E-3</c:v>
                </c:pt>
                <c:pt idx="153">
                  <c:v>-3.133485092698951E-3</c:v>
                </c:pt>
                <c:pt idx="154">
                  <c:v>-3.1250495754742147E-3</c:v>
                </c:pt>
                <c:pt idx="155">
                  <c:v>-3.1215308171894662E-3</c:v>
                </c:pt>
                <c:pt idx="156">
                  <c:v>-3.1179479657739151E-3</c:v>
                </c:pt>
                <c:pt idx="157">
                  <c:v>-3.1105417419796666E-3</c:v>
                </c:pt>
                <c:pt idx="158">
                  <c:v>-3.1029756274048026E-3</c:v>
                </c:pt>
                <c:pt idx="159">
                  <c:v>-3.0990723097357176E-3</c:v>
                </c:pt>
                <c:pt idx="160">
                  <c:v>-3.0951048987359897E-3</c:v>
                </c:pt>
                <c:pt idx="161">
                  <c:v>-3.0910733946054592E-3</c:v>
                </c:pt>
                <c:pt idx="162">
                  <c:v>-3.0827703431324238E-3</c:v>
                </c:pt>
                <c:pt idx="163">
                  <c:v>-3.074306445256525E-3</c:v>
                </c:pt>
                <c:pt idx="164">
                  <c:v>-3.0699544747525565E-3</c:v>
                </c:pt>
                <c:pt idx="165">
                  <c:v>-3.0655384109978812E-3</c:v>
                </c:pt>
                <c:pt idx="166">
                  <c:v>-3.0610582539924991E-3</c:v>
                </c:pt>
                <c:pt idx="167">
                  <c:v>-3.0518584235483814E-3</c:v>
                </c:pt>
                <c:pt idx="168">
                  <c:v>-3.0424966931441588E-3</c:v>
                </c:pt>
                <c:pt idx="169">
                  <c:v>-3.0376960698053068E-3</c:v>
                </c:pt>
                <c:pt idx="170">
                  <c:v>-3.0328313530558759E-3</c:v>
                </c:pt>
                <c:pt idx="171">
                  <c:v>-3.0279025430557382E-3</c:v>
                </c:pt>
                <c:pt idx="172">
                  <c:v>-3.0178059808827484E-3</c:v>
                </c:pt>
                <c:pt idx="173">
                  <c:v>-3.0075463703482797E-3</c:v>
                </c:pt>
                <c:pt idx="174">
                  <c:v>-3.0022970938148319E-3</c:v>
                </c:pt>
                <c:pt idx="175">
                  <c:v>-2.9969837241505815E-3</c:v>
                </c:pt>
                <c:pt idx="176">
                  <c:v>-2.9916137225471928E-3</c:v>
                </c:pt>
                <c:pt idx="177">
                  <c:v>-2.9807697015460377E-3</c:v>
                </c:pt>
                <c:pt idx="178">
                  <c:v>-2.9699106279457155E-3</c:v>
                </c:pt>
                <c:pt idx="179">
                  <c:v>-2.9644365436798381E-3</c:v>
                </c:pt>
                <c:pt idx="180">
                  <c:v>-2.9589431352317064E-3</c:v>
                </c:pt>
                <c:pt idx="181">
                  <c:v>-2.9450768524397208E-3</c:v>
                </c:pt>
                <c:pt idx="182">
                  <c:v>-2.9311862287384471E-3</c:v>
                </c:pt>
                <c:pt idx="183">
                  <c:v>-2.9255768747171729E-3</c:v>
                </c:pt>
                <c:pt idx="184">
                  <c:v>-2.9199481963138041E-3</c:v>
                </c:pt>
                <c:pt idx="185">
                  <c:v>-2.914300193808117E-3</c:v>
                </c:pt>
                <c:pt idx="186">
                  <c:v>-2.9029163661009605E-3</c:v>
                </c:pt>
                <c:pt idx="187">
                  <c:v>-2.8915149410035923E-3</c:v>
                </c:pt>
                <c:pt idx="188">
                  <c:v>-2.8857703171469851E-3</c:v>
                </c:pt>
                <c:pt idx="189">
                  <c:v>-2.8800063689882194E-3</c:v>
                </c:pt>
                <c:pt idx="190">
                  <c:v>-2.8742230966072313E-3</c:v>
                </c:pt>
                <c:pt idx="191">
                  <c:v>-2.8625693754058545E-3</c:v>
                </c:pt>
                <c:pt idx="192">
                  <c:v>-2.8508967644613747E-3</c:v>
                </c:pt>
                <c:pt idx="193">
                  <c:v>-2.8450168706495305E-3</c:v>
                </c:pt>
                <c:pt idx="194">
                  <c:v>-2.8391176526953998E-3</c:v>
                </c:pt>
                <c:pt idx="195">
                  <c:v>-2.8331991105190468E-3</c:v>
                </c:pt>
                <c:pt idx="196">
                  <c:v>-2.8212755014456192E-3</c:v>
                </c:pt>
                <c:pt idx="197">
                  <c:v>-2.8093316987520822E-3</c:v>
                </c:pt>
                <c:pt idx="198">
                  <c:v>-2.8033165350249689E-3</c:v>
                </c:pt>
                <c:pt idx="199">
                  <c:v>-2.7972820472355053E-3</c:v>
                </c:pt>
                <c:pt idx="200">
                  <c:v>-2.7912282350239792E-3</c:v>
                </c:pt>
                <c:pt idx="201">
                  <c:v>-2.7790347432610218E-3</c:v>
                </c:pt>
                <c:pt idx="202">
                  <c:v>-2.7668197435559705E-3</c:v>
                </c:pt>
                <c:pt idx="203">
                  <c:v>-2.7606693099135882E-3</c:v>
                </c:pt>
                <c:pt idx="204">
                  <c:v>-2.7544995521289195E-3</c:v>
                </c:pt>
                <c:pt idx="205">
                  <c:v>-2.7483104699221883E-3</c:v>
                </c:pt>
                <c:pt idx="206">
                  <c:v>-2.7358470998661844E-3</c:v>
                </c:pt>
                <c:pt idx="207">
                  <c:v>-2.7233608985133273E-3</c:v>
                </c:pt>
                <c:pt idx="208">
                  <c:v>-2.7170751949157079E-3</c:v>
                </c:pt>
                <c:pt idx="209">
                  <c:v>-2.7107701671358342E-3</c:v>
                </c:pt>
                <c:pt idx="210">
                  <c:v>-2.7044458149338979E-3</c:v>
                </c:pt>
                <c:pt idx="211">
                  <c:v>-2.6917125702086153E-3</c:v>
                </c:pt>
                <c:pt idx="212">
                  <c:v>-2.6789551633843445E-3</c:v>
                </c:pt>
                <c:pt idx="213">
                  <c:v>-2.6725341896716159E-3</c:v>
                </c:pt>
                <c:pt idx="214">
                  <c:v>-2.6660938918166011E-3</c:v>
                </c:pt>
                <c:pt idx="215">
                  <c:v>-2.6596342696194597E-3</c:v>
                </c:pt>
                <c:pt idx="216">
                  <c:v>-2.646631153249146E-3</c:v>
                </c:pt>
                <c:pt idx="217">
                  <c:v>-2.6336025377693417E-3</c:v>
                </c:pt>
                <c:pt idx="218">
                  <c:v>-2.6270462940214401E-3</c:v>
                </c:pt>
                <c:pt idx="219">
                  <c:v>-2.6204707259314119E-3</c:v>
                </c:pt>
                <c:pt idx="220">
                  <c:v>-2.6138758336191614E-3</c:v>
                </c:pt>
                <c:pt idx="221">
                  <c:v>-2.6006028479486076E-3</c:v>
                </c:pt>
                <c:pt idx="222">
                  <c:v>-2.5873030211887027E-3</c:v>
                </c:pt>
                <c:pt idx="223">
                  <c:v>-2.5806115073256919E-3</c:v>
                </c:pt>
                <c:pt idx="224">
                  <c:v>-2.5739006692004907E-3</c:v>
                </c:pt>
                <c:pt idx="225">
                  <c:v>-2.5671705066132589E-3</c:v>
                </c:pt>
                <c:pt idx="226">
                  <c:v>-2.5536276531745727E-3</c:v>
                </c:pt>
                <c:pt idx="227">
                  <c:v>-2.5400566134425873E-3</c:v>
                </c:pt>
                <c:pt idx="228">
                  <c:v>-2.5332298294644673E-3</c:v>
                </c:pt>
                <c:pt idx="229">
                  <c:v>-2.5263837209843487E-3</c:v>
                </c:pt>
                <c:pt idx="230">
                  <c:v>-2.5195182883219758E-3</c:v>
                </c:pt>
                <c:pt idx="231">
                  <c:v>-2.5057055678212592E-3</c:v>
                </c:pt>
                <c:pt idx="232">
                  <c:v>-2.4918633141313151E-3</c:v>
                </c:pt>
                <c:pt idx="233">
                  <c:v>-2.4849012598782139E-3</c:v>
                </c:pt>
                <c:pt idx="234">
                  <c:v>-2.477919881083146E-3</c:v>
                </c:pt>
                <c:pt idx="235">
                  <c:v>-2.4709191781857598E-3</c:v>
                </c:pt>
                <c:pt idx="236">
                  <c:v>-2.4568365907695622E-3</c:v>
                </c:pt>
                <c:pt idx="237">
                  <c:v>-2.442723122855206E-3</c:v>
                </c:pt>
                <c:pt idx="238">
                  <c:v>-2.4356257981672513E-3</c:v>
                </c:pt>
                <c:pt idx="239">
                  <c:v>-2.4285091492171063E-3</c:v>
                </c:pt>
                <c:pt idx="240">
                  <c:v>-2.4213707178111221E-3</c:v>
                </c:pt>
                <c:pt idx="241">
                  <c:v>-2.4069691014450001E-3</c:v>
                </c:pt>
                <c:pt idx="242">
                  <c:v>-2.3924860949575688E-3</c:v>
                </c:pt>
                <c:pt idx="243">
                  <c:v>-2.3851797568630317E-3</c:v>
                </c:pt>
                <c:pt idx="244">
                  <c:v>-2.3778393457840608E-3</c:v>
                </c:pt>
                <c:pt idx="245">
                  <c:v>-2.3704648617606239E-3</c:v>
                </c:pt>
                <c:pt idx="246">
                  <c:v>-2.3555869037883426E-3</c:v>
                </c:pt>
                <c:pt idx="247">
                  <c:v>-2.3406261960623453E-3</c:v>
                </c:pt>
                <c:pt idx="248">
                  <c:v>-2.3330813471167389E-3</c:v>
                </c:pt>
                <c:pt idx="249">
                  <c:v>-2.3255024253865386E-3</c:v>
                </c:pt>
                <c:pt idx="250">
                  <c:v>-2.3178894305520004E-3</c:v>
                </c:pt>
                <c:pt idx="251">
                  <c:v>-2.3025351373950897E-3</c:v>
                </c:pt>
                <c:pt idx="252">
                  <c:v>-2.2870967215293803E-3</c:v>
                </c:pt>
                <c:pt idx="253">
                  <c:v>-2.2793133617726724E-3</c:v>
                </c:pt>
                <c:pt idx="254">
                  <c:v>-2.2714959290714987E-3</c:v>
                </c:pt>
                <c:pt idx="255">
                  <c:v>-2.263644423345923E-3</c:v>
                </c:pt>
                <c:pt idx="256">
                  <c:v>-2.2478138000137093E-3</c:v>
                </c:pt>
                <c:pt idx="257">
                  <c:v>-2.231897670599281E-3</c:v>
                </c:pt>
                <c:pt idx="258">
                  <c:v>-2.2238757998715997E-3</c:v>
                </c:pt>
                <c:pt idx="259">
                  <c:v>-2.2158198561594844E-3</c:v>
                </c:pt>
                <c:pt idx="260">
                  <c:v>-2.2077298394629352E-3</c:v>
                </c:pt>
                <c:pt idx="261">
                  <c:v>-2.1914228894459598E-3</c:v>
                </c:pt>
                <c:pt idx="262">
                  <c:v>-2.175029042432719E-3</c:v>
                </c:pt>
                <c:pt idx="263">
                  <c:v>-2.1667686606940961E-3</c:v>
                </c:pt>
                <c:pt idx="264">
                  <c:v>-2.1584742059310713E-3</c:v>
                </c:pt>
                <c:pt idx="265">
                  <c:v>-2.1501456780637085E-3</c:v>
                </c:pt>
                <c:pt idx="266">
                  <c:v>-2.1333624032271459E-3</c:v>
                </c:pt>
                <c:pt idx="267">
                  <c:v>-2.1164908363902057E-3</c:v>
                </c:pt>
                <c:pt idx="268">
                  <c:v>-2.1079919434408012E-3</c:v>
                </c:pt>
                <c:pt idx="269">
                  <c:v>-2.0994589774270267E-3</c:v>
                </c:pt>
                <c:pt idx="270">
                  <c:v>-2.0908919383488822E-3</c:v>
                </c:pt>
                <c:pt idx="271">
                  <c:v>-2.073632339039122E-3</c:v>
                </c:pt>
                <c:pt idx="272">
                  <c:v>-2.0562830515524766E-3</c:v>
                </c:pt>
                <c:pt idx="273">
                  <c:v>-2.0475456472723863E-3</c:v>
                </c:pt>
                <c:pt idx="274">
                  <c:v>-2.0387741700078621E-3</c:v>
                </c:pt>
                <c:pt idx="275">
                  <c:v>-2.0299686195190958E-3</c:v>
                </c:pt>
                <c:pt idx="276">
                  <c:v>-2.0122326943239344E-3</c:v>
                </c:pt>
                <c:pt idx="277">
                  <c:v>-1.994405687160139E-3</c:v>
                </c:pt>
                <c:pt idx="278">
                  <c:v>-1.9854297713894908E-3</c:v>
                </c:pt>
                <c:pt idx="279">
                  <c:v>-1.9764197826344088E-3</c:v>
                </c:pt>
                <c:pt idx="280">
                  <c:v>-1.9673757207350206E-3</c:v>
                </c:pt>
                <c:pt idx="281">
                  <c:v>-1.9491634665103064E-3</c:v>
                </c:pt>
                <c:pt idx="282">
                  <c:v>-1.9308587422939283E-3</c:v>
                </c:pt>
                <c:pt idx="283">
                  <c:v>-1.9216443149927542E-3</c:v>
                </c:pt>
                <c:pt idx="284">
                  <c:v>-1.9123958145872422E-3</c:v>
                </c:pt>
                <c:pt idx="285">
                  <c:v>-1.9031132410773921E-3</c:v>
                </c:pt>
                <c:pt idx="286">
                  <c:v>-1.8844246530136388E-3</c:v>
                </c:pt>
                <c:pt idx="287">
                  <c:v>-1.8656422160345798E-3</c:v>
                </c:pt>
                <c:pt idx="288">
                  <c:v>-1.8561892771229438E-3</c:v>
                </c:pt>
                <c:pt idx="289">
                  <c:v>-1.8467022649071296E-3</c:v>
                </c:pt>
                <c:pt idx="290">
                  <c:v>-1.8371811796669135E-3</c:v>
                </c:pt>
                <c:pt idx="291">
                  <c:v>-1.8180162511161058E-3</c:v>
                </c:pt>
                <c:pt idx="292">
                  <c:v>-1.7987561075427649E-3</c:v>
                </c:pt>
                <c:pt idx="293">
                  <c:v>-1.7890646567408908E-3</c:v>
                </c:pt>
                <c:pt idx="294">
                  <c:v>-1.7793391327547425E-3</c:v>
                </c:pt>
                <c:pt idx="295">
                  <c:v>-1.7695795357441924E-3</c:v>
                </c:pt>
                <c:pt idx="296">
                  <c:v>-1.7499382579932998E-3</c:v>
                </c:pt>
                <c:pt idx="297">
                  <c:v>-1.7302004159391871E-3</c:v>
                </c:pt>
                <c:pt idx="298">
                  <c:v>-1.7202704530472346E-3</c:v>
                </c:pt>
                <c:pt idx="299">
                  <c:v>-1.7103064171708482E-3</c:v>
                </c:pt>
                <c:pt idx="300">
                  <c:v>-1.7003083079902837E-3</c:v>
                </c:pt>
                <c:pt idx="301">
                  <c:v>-1.6801906709007497E-3</c:v>
                </c:pt>
                <c:pt idx="302">
                  <c:v>-1.6599751401047413E-3</c:v>
                </c:pt>
                <c:pt idx="303">
                  <c:v>-1.6498066651227106E-3</c:v>
                </c:pt>
                <c:pt idx="304">
                  <c:v>-1.6396041171562459E-3</c:v>
                </c:pt>
                <c:pt idx="305">
                  <c:v>-1.629367495885603E-3</c:v>
                </c:pt>
                <c:pt idx="306">
                  <c:v>-1.6087734868541759E-3</c:v>
                </c:pt>
                <c:pt idx="307">
                  <c:v>-1.5880802790801951E-3</c:v>
                </c:pt>
                <c:pt idx="308">
                  <c:v>-1.577673292008086E-3</c:v>
                </c:pt>
                <c:pt idx="309">
                  <c:v>-1.5672345194017723E-3</c:v>
                </c:pt>
                <c:pt idx="310">
                  <c:v>-1.5567731125010198E-3</c:v>
                </c:pt>
                <c:pt idx="311">
                  <c:v>-1.5305081019645339E-3</c:v>
                </c:pt>
                <c:pt idx="312">
                  <c:v>-1.5041608786114935E-3</c:v>
                </c:pt>
                <c:pt idx="313">
                  <c:v>-1.4935773920443651E-3</c:v>
                </c:pt>
                <c:pt idx="314">
                  <c:v>-1.4829735587928994E-3</c:v>
                </c:pt>
                <c:pt idx="315">
                  <c:v>-1.4616921354626555E-3</c:v>
                </c:pt>
                <c:pt idx="316">
                  <c:v>-1.4403547596231192E-3</c:v>
                </c:pt>
                <c:pt idx="317">
                  <c:v>-1.4296491933496469E-3</c:v>
                </c:pt>
                <c:pt idx="318">
                  <c:v>-1.4189232802719332E-3</c:v>
                </c:pt>
                <c:pt idx="319">
                  <c:v>-1.3919986912436233E-3</c:v>
                </c:pt>
                <c:pt idx="320">
                  <c:v>-1.3649885158173447E-3</c:v>
                </c:pt>
                <c:pt idx="321">
                  <c:v>-1.3541405231132231E-3</c:v>
                </c:pt>
                <c:pt idx="322">
                  <c:v>-1.34327218360486E-3</c:v>
                </c:pt>
                <c:pt idx="323">
                  <c:v>-1.3323834975320636E-3</c:v>
                </c:pt>
                <c:pt idx="324">
                  <c:v>-1.3105335324814504E-3</c:v>
                </c:pt>
                <c:pt idx="325">
                  <c:v>-1.2886252866772807E-3</c:v>
                </c:pt>
                <c:pt idx="326">
                  <c:v>-1.2776348673826377E-3</c:v>
                </c:pt>
                <c:pt idx="327">
                  <c:v>-1.2666241013636892E-3</c:v>
                </c:pt>
                <c:pt idx="328">
                  <c:v>-1.2555929887403394E-3</c:v>
                </c:pt>
                <c:pt idx="329">
                  <c:v>-1.2334587151396903E-3</c:v>
                </c:pt>
                <c:pt idx="330">
                  <c:v>-1.2112650715634388E-3</c:v>
                </c:pt>
                <c:pt idx="331">
                  <c:v>-1.2001322255583702E-3</c:v>
                </c:pt>
                <c:pt idx="332">
                  <c:v>-1.1889790328689642E-3</c:v>
                </c:pt>
                <c:pt idx="333">
                  <c:v>-1.177805493575157E-3</c:v>
                </c:pt>
                <c:pt idx="334">
                  <c:v>-1.1553868847258286E-3</c:v>
                </c:pt>
                <c:pt idx="335">
                  <c:v>-1.1329078696364903E-3</c:v>
                </c:pt>
                <c:pt idx="336">
                  <c:v>-1.1216325969209961E-3</c:v>
                </c:pt>
                <c:pt idx="337">
                  <c:v>-1.1103369775611327E-3</c:v>
                </c:pt>
                <c:pt idx="338">
                  <c:v>-1.0990210114769638E-3</c:v>
                </c:pt>
                <c:pt idx="339">
                  <c:v>-1.0763180392947547E-3</c:v>
                </c:pt>
                <c:pt idx="340">
                  <c:v>-1.0535536804168188E-3</c:v>
                </c:pt>
                <c:pt idx="341">
                  <c:v>-1.0421359809109632E-3</c:v>
                </c:pt>
                <c:pt idx="342">
                  <c:v>-1.0306979347207701E-3</c:v>
                </c:pt>
                <c:pt idx="343">
                  <c:v>-1.0192395418862077E-3</c:v>
                </c:pt>
                <c:pt idx="344">
                  <c:v>-9.9625217679477629E-4</c:v>
                </c:pt>
                <c:pt idx="345">
                  <c:v>-9.7320250326493607E-4</c:v>
                </c:pt>
                <c:pt idx="346">
                  <c:v>-9.6164237680884668E-4</c:v>
                </c:pt>
                <c:pt idx="347">
                  <c:v>-9.5006190374835597E-4</c:v>
                </c:pt>
                <c:pt idx="348">
                  <c:v>-9.3846108384365579E-4</c:v>
                </c:pt>
                <c:pt idx="349">
                  <c:v>-9.151892953607188E-4</c:v>
                </c:pt>
                <c:pt idx="350">
                  <c:v>-8.9185433738148134E-4</c:v>
                </c:pt>
                <c:pt idx="351">
                  <c:v>-8.8015178393519022E-4</c:v>
                </c:pt>
                <c:pt idx="352">
                  <c:v>-8.6842888384452976E-4</c:v>
                </c:pt>
                <c:pt idx="353">
                  <c:v>-8.5668563686969179E-4</c:v>
                </c:pt>
                <c:pt idx="354">
                  <c:v>-8.33129392860954E-4</c:v>
                </c:pt>
                <c:pt idx="355">
                  <c:v>-8.0950918216693424E-4</c:v>
                </c:pt>
                <c:pt idx="356">
                  <c:v>-7.9766420169047336E-4</c:v>
                </c:pt>
                <c:pt idx="357">
                  <c:v>-7.8579887448970709E-4</c:v>
                </c:pt>
                <c:pt idx="358">
                  <c:v>-7.739132004047633E-4</c:v>
                </c:pt>
                <c:pt idx="359">
                  <c:v>-7.5007246727043508E-4</c:v>
                </c:pt>
                <c:pt idx="360">
                  <c:v>-7.2616703702177432E-4</c:v>
                </c:pt>
                <c:pt idx="361">
                  <c:v>-7.1417962931530354E-4</c:v>
                </c:pt>
                <c:pt idx="362">
                  <c:v>-7.0217187476462328E-4</c:v>
                </c:pt>
                <c:pt idx="363">
                  <c:v>-6.9014377356957368E-4</c:v>
                </c:pt>
                <c:pt idx="364">
                  <c:v>-6.6601851657743794E-4</c:v>
                </c:pt>
                <c:pt idx="365">
                  <c:v>-6.4182790114664101E-4</c:v>
                </c:pt>
                <c:pt idx="366">
                  <c:v>-6.2969806609025625E-4</c:v>
                </c:pt>
                <c:pt idx="367">
                  <c:v>-6.1754788426959806E-4</c:v>
                </c:pt>
                <c:pt idx="368">
                  <c:v>-6.0537735580457053E-4</c:v>
                </c:pt>
                <c:pt idx="369">
                  <c:v>-5.8096753861036632E-4</c:v>
                </c:pt>
                <c:pt idx="370">
                  <c:v>-5.5649177382210979E-4</c:v>
                </c:pt>
                <c:pt idx="371">
                  <c:v>-5.44214302022894E-4</c:v>
                </c:pt>
                <c:pt idx="372">
                  <c:v>-5.3189043685453186E-4</c:v>
                </c:pt>
                <c:pt idx="373">
                  <c:v>-5.195149687642342E-4</c:v>
                </c:pt>
                <c:pt idx="374">
                  <c:v>-4.945913439335925E-4</c:v>
                </c:pt>
                <c:pt idx="375">
                  <c:v>-4.6949706842269734E-4</c:v>
                </c:pt>
                <c:pt idx="376">
                  <c:v>-4.5686358628227453E-4</c:v>
                </c:pt>
                <c:pt idx="377">
                  <c:v>-4.441785012199162E-4</c:v>
                </c:pt>
                <c:pt idx="378">
                  <c:v>-4.3144181343546251E-4</c:v>
                </c:pt>
                <c:pt idx="379">
                  <c:v>-4.0579597089251962E-4</c:v>
                </c:pt>
                <c:pt idx="380">
                  <c:v>-3.7997903343800488E-4</c:v>
                </c:pt>
                <c:pt idx="381">
                  <c:v>-3.6698433124371377E-4</c:v>
                </c:pt>
                <c:pt idx="382">
                  <c:v>-3.5393802616745518E-4</c:v>
                </c:pt>
                <c:pt idx="383">
                  <c:v>-3.4084011828916516E-4</c:v>
                </c:pt>
                <c:pt idx="384">
                  <c:v>-3.1447201818579629E-4</c:v>
                </c:pt>
                <c:pt idx="385">
                  <c:v>-2.8793245755664998E-4</c:v>
                </c:pt>
                <c:pt idx="386">
                  <c:v>-2.7457653510865043E-4</c:v>
                </c:pt>
                <c:pt idx="387">
                  <c:v>-2.6116900973871537E-4</c:v>
                </c:pt>
                <c:pt idx="388">
                  <c:v>-2.2058494329524336E-4</c:v>
                </c:pt>
                <c:pt idx="389">
                  <c:v>-1.7964019587868307E-4</c:v>
                </c:pt>
                <c:pt idx="390">
                  <c:v>-1.6587144989532732E-4</c:v>
                </c:pt>
                <c:pt idx="391">
                  <c:v>-1.5205110095006802E-4</c:v>
                </c:pt>
                <c:pt idx="392">
                  <c:v>-1.2423835050068277E-4</c:v>
                </c:pt>
                <c:pt idx="393">
                  <c:v>-9.6253675430091334E-5</c:v>
                </c:pt>
                <c:pt idx="394">
                  <c:v>-8.2175311555410246E-5</c:v>
                </c:pt>
                <c:pt idx="395">
                  <c:v>-6.8045344758793647E-5</c:v>
                </c:pt>
                <c:pt idx="396">
                  <c:v>-5.3863774840401391E-5</c:v>
                </c:pt>
                <c:pt idx="397">
                  <c:v>-1.8151834065838202E-5</c:v>
                </c:pt>
                <c:pt idx="398">
                  <c:v>1.7818119859569492E-5</c:v>
                </c:pt>
                <c:pt idx="399">
                  <c:v>3.2309307789191166E-5</c:v>
                </c:pt>
                <c:pt idx="400">
                  <c:v>4.6852099000460612E-5</c:v>
                </c:pt>
                <c:pt idx="401">
                  <c:v>7.6109707309868213E-5</c:v>
                </c:pt>
                <c:pt idx="402">
                  <c:v>1.0553929394419015E-4</c:v>
                </c:pt>
                <c:pt idx="403">
                  <c:v>1.203401005245297E-4</c:v>
                </c:pt>
                <c:pt idx="404">
                  <c:v>1.351925100667728E-4</c:v>
                </c:pt>
                <c:pt idx="405">
                  <c:v>1.5009652265085549E-4</c:v>
                </c:pt>
                <c:pt idx="406">
                  <c:v>1.8007664820629543E-4</c:v>
                </c:pt>
                <c:pt idx="407">
                  <c:v>2.1022860428487888E-4</c:v>
                </c:pt>
                <c:pt idx="408">
                  <c:v>2.2539063263771197E-4</c:v>
                </c:pt>
                <c:pt idx="409">
                  <c:v>2.4060426387251255E-4</c:v>
                </c:pt>
                <c:pt idx="410">
                  <c:v>2.5586949838896089E-4</c:v>
                </c:pt>
                <c:pt idx="411">
                  <c:v>2.8657220577876785E-4</c:v>
                </c:pt>
                <c:pt idx="412">
                  <c:v>3.1744646791231901E-4</c:v>
                </c:pt>
                <c:pt idx="413">
                  <c:v>3.3296971819751775E-4</c:v>
                </c:pt>
                <c:pt idx="414">
                  <c:v>3.5635797632771471E-4</c:v>
                </c:pt>
                <c:pt idx="415">
                  <c:v>3.9559638684849574E-4</c:v>
                </c:pt>
                <c:pt idx="416">
                  <c:v>4.2719288706472014E-4</c:v>
                </c:pt>
                <c:pt idx="417">
                  <c:v>4.4307735976190088E-4</c:v>
                </c:pt>
                <c:pt idx="418">
                  <c:v>4.5901343574072939E-4</c:v>
                </c:pt>
                <c:pt idx="419">
                  <c:v>4.7500111484133356E-4</c:v>
                </c:pt>
                <c:pt idx="420">
                  <c:v>5.1522943465664994E-4</c:v>
                </c:pt>
                <c:pt idx="421">
                  <c:v>5.5571355948913492E-4</c:v>
                </c:pt>
                <c:pt idx="422">
                  <c:v>5.7201085827962572E-4</c:v>
                </c:pt>
                <c:pt idx="423">
                  <c:v>5.8835976027182824E-4</c:v>
                </c:pt>
                <c:pt idx="424">
                  <c:v>6.212306470310125E-4</c:v>
                </c:pt>
                <c:pt idx="425">
                  <c:v>6.5427140121698812E-4</c:v>
                </c:pt>
                <c:pt idx="426">
                  <c:v>6.7087831985723767E-4</c:v>
                </c:pt>
                <c:pt idx="427">
                  <c:v>6.8753684161926287E-4</c:v>
                </c:pt>
                <c:pt idx="428">
                  <c:v>7.0422946322423741E-4</c:v>
                </c:pt>
                <c:pt idx="429">
                  <c:v>7.3747316221783876E-4</c:v>
                </c:pt>
                <c:pt idx="430">
                  <c:v>7.7053577846264432E-4</c:v>
                </c:pt>
                <c:pt idx="431">
                  <c:v>7.8697881067846254E-4</c:v>
                </c:pt>
                <c:pt idx="432">
                  <c:v>8.0336842450456913E-4</c:v>
                </c:pt>
                <c:pt idx="433">
                  <c:v>8.440783340080138E-4</c:v>
                </c:pt>
                <c:pt idx="434">
                  <c:v>8.8451521419230517E-4</c:v>
                </c:pt>
                <c:pt idx="435">
                  <c:v>9.0058431624129298E-4</c:v>
                </c:pt>
                <c:pt idx="436">
                  <c:v>9.16599999660761E-4</c:v>
                </c:pt>
                <c:pt idx="437">
                  <c:v>9.3256226437077316E-4</c:v>
                </c:pt>
                <c:pt idx="438">
                  <c:v>9.6431131455965158E-4</c:v>
                </c:pt>
                <c:pt idx="439">
                  <c:v>9.9587713683568779E-4</c:v>
                </c:pt>
                <c:pt idx="440">
                  <c:v>1.0115723083181649E-3</c:v>
                </c:pt>
                <c:pt idx="441">
                  <c:v>1.0272140610112501E-3</c:v>
                </c:pt>
                <c:pt idx="442">
                  <c:v>1.0428023949948795E-3</c:v>
                </c:pt>
                <c:pt idx="443">
                  <c:v>1.0738042034219575E-3</c:v>
                </c:pt>
                <c:pt idx="444">
                  <c:v>1.1046215440746465E-3</c:v>
                </c:pt>
                <c:pt idx="445">
                  <c:v>1.1199427844310605E-3</c:v>
                </c:pt>
                <c:pt idx="446">
                  <c:v>1.1352106061579548E-3</c:v>
                </c:pt>
                <c:pt idx="447">
                  <c:v>1.150425009015521E-3</c:v>
                </c:pt>
                <c:pt idx="448">
                  <c:v>1.1806796244950846E-3</c:v>
                </c:pt>
                <c:pt idx="449">
                  <c:v>1.2107484332712914E-3</c:v>
                </c:pt>
                <c:pt idx="450">
                  <c:v>1.2256957424217063E-3</c:v>
                </c:pt>
                <c:pt idx="451">
                  <c:v>1.2405896327027932E-3</c:v>
                </c:pt>
                <c:pt idx="452">
                  <c:v>1.2554301043543603E-3</c:v>
                </c:pt>
                <c:pt idx="453">
                  <c:v>1.284937570691369E-3</c:v>
                </c:pt>
                <c:pt idx="454">
                  <c:v>1.3142578024272211E-3</c:v>
                </c:pt>
                <c:pt idx="455">
                  <c:v>1.3288311798120844E-3</c:v>
                </c:pt>
                <c:pt idx="456">
                  <c:v>1.3433511384874919E-3</c:v>
                </c:pt>
                <c:pt idx="457">
                  <c:v>1.3578176782136353E-3</c:v>
                </c:pt>
                <c:pt idx="458">
                  <c:v>1.3865780353494728E-3</c:v>
                </c:pt>
                <c:pt idx="459">
                  <c:v>1.4151496489844817E-3</c:v>
                </c:pt>
                <c:pt idx="460">
                  <c:v>1.4293490944439213E-3</c:v>
                </c:pt>
                <c:pt idx="461">
                  <c:v>1.443495121034033E-3</c:v>
                </c:pt>
                <c:pt idx="462">
                  <c:v>1.4575877289146888E-3</c:v>
                </c:pt>
                <c:pt idx="463">
                  <c:v>1.4856010116748308E-3</c:v>
                </c:pt>
                <c:pt idx="464">
                  <c:v>1.5134239708647357E-3</c:v>
                </c:pt>
                <c:pt idx="465">
                  <c:v>1.5272494839990713E-3</c:v>
                </c:pt>
                <c:pt idx="466">
                  <c:v>1.5410215783440151E-3</c:v>
                </c:pt>
                <c:pt idx="467">
                  <c:v>1.5547402538196309E-3</c:v>
                </c:pt>
                <c:pt idx="468">
                  <c:v>1.5820064932725586E-3</c:v>
                </c:pt>
                <c:pt idx="469">
                  <c:v>1.6090807659097095E-3</c:v>
                </c:pt>
                <c:pt idx="470">
                  <c:v>1.6225323465590691E-3</c:v>
                </c:pt>
                <c:pt idx="471">
                  <c:v>1.6359305083391007E-3</c:v>
                </c:pt>
                <c:pt idx="472">
                  <c:v>1.6492752510099962E-3</c:v>
                </c:pt>
                <c:pt idx="473">
                  <c:v>1.6757944738010622E-3</c:v>
                </c:pt>
                <c:pt idx="474">
                  <c:v>1.7021200321210017E-3</c:v>
                </c:pt>
                <c:pt idx="475">
                  <c:v>1.715197679965641E-3</c:v>
                </c:pt>
                <c:pt idx="476">
                  <c:v>1.7282219087011441E-3</c:v>
                </c:pt>
                <c:pt idx="477">
                  <c:v>1.7411927184873832E-3</c:v>
                </c:pt>
                <c:pt idx="478">
                  <c:v>1.7669649471585558E-3</c:v>
                </c:pt>
                <c:pt idx="479">
                  <c:v>1.7925417674202748E-3</c:v>
                </c:pt>
                <c:pt idx="480">
                  <c:v>1.8052454819805774E-3</c:v>
                </c:pt>
                <c:pt idx="481">
                  <c:v>1.8178957776715521E-3</c:v>
                </c:pt>
                <c:pt idx="482">
                  <c:v>1.8304926542533906E-3</c:v>
                </c:pt>
                <c:pt idx="483">
                  <c:v>1.8555179072965444E-3</c:v>
                </c:pt>
                <c:pt idx="484">
                  <c:v>1.8803459698091274E-3</c:v>
                </c:pt>
                <c:pt idx="485">
                  <c:v>1.8926757510051573E-3</c:v>
                </c:pt>
                <c:pt idx="486">
                  <c:v>1.904952113092051E-3</c:v>
                </c:pt>
                <c:pt idx="487">
                  <c:v>1.9171750561497447E-3</c:v>
                </c:pt>
                <c:pt idx="488">
                  <c:v>1.9414533484862773E-3</c:v>
                </c:pt>
                <c:pt idx="489">
                  <c:v>1.9655326372891579E-3</c:v>
                </c:pt>
                <c:pt idx="490">
                  <c:v>1.977488484881107E-3</c:v>
                </c:pt>
                <c:pt idx="491">
                  <c:v>1.9893909132839838E-3</c:v>
                </c:pt>
                <c:pt idx="492">
                  <c:v>2.0012399224977884E-3</c:v>
                </c:pt>
                <c:pt idx="493">
                  <c:v>2.0247712650789396E-3</c:v>
                </c:pt>
                <c:pt idx="494">
                  <c:v>2.0481017682616454E-3</c:v>
                </c:pt>
                <c:pt idx="495">
                  <c:v>2.0596836817698971E-3</c:v>
                </c:pt>
                <c:pt idx="496">
                  <c:v>2.0712121761690128E-3</c:v>
                </c:pt>
                <c:pt idx="497">
                  <c:v>2.0826872513790562E-3</c:v>
                </c:pt>
                <c:pt idx="498">
                  <c:v>2.1054716516388794E-3</c:v>
                </c:pt>
                <c:pt idx="499">
                  <c:v>2.1280533606482521E-3</c:v>
                </c:pt>
                <c:pt idx="500">
                  <c:v>2.1392613399129345E-3</c:v>
                </c:pt>
                <c:pt idx="501">
                  <c:v>2.1504159001484169E-3</c:v>
                </c:pt>
                <c:pt idx="502">
                  <c:v>2.1615170410349549E-3</c:v>
                </c:pt>
                <c:pt idx="503">
                  <c:v>2.1836446708700663E-3</c:v>
                </c:pt>
                <c:pt idx="504">
                  <c:v>2.2057580988121828E-3</c:v>
                </c:pt>
                <c:pt idx="505">
                  <c:v>2.216832588697315E-3</c:v>
                </c:pt>
                <c:pt idx="506">
                  <c:v>2.2279137706693319E-3</c:v>
                </c:pt>
                <c:pt idx="507">
                  <c:v>2.2390016447282335E-3</c:v>
                </c:pt>
                <c:pt idx="508">
                  <c:v>2.2612139022015754E-3</c:v>
                </c:pt>
                <c:pt idx="509">
                  <c:v>2.2834200610333255E-3</c:v>
                </c:pt>
                <c:pt idx="510">
                  <c:v>2.2945413952868421E-3</c:v>
                </c:pt>
                <c:pt idx="511">
                  <c:v>2.3056694214673712E-3</c:v>
                </c:pt>
                <c:pt idx="512">
                  <c:v>2.316804139814721E-3</c:v>
                </c:pt>
                <c:pt idx="513">
                  <c:v>2.3391110813886229E-3</c:v>
                </c:pt>
                <c:pt idx="514">
                  <c:v>2.3614099334334782E-3</c:v>
                </c:pt>
                <c:pt idx="515">
                  <c:v>2.372578111975443E-3</c:v>
                </c:pt>
                <c:pt idx="516">
                  <c:v>2.3837529826042925E-3</c:v>
                </c:pt>
                <c:pt idx="517">
                  <c:v>2.3949345451601545E-3</c:v>
                </c:pt>
                <c:pt idx="518">
                  <c:v>2.4733928610842781E-3</c:v>
                </c:pt>
                <c:pt idx="519">
                  <c:v>2.5521790876670281E-3</c:v>
                </c:pt>
                <c:pt idx="520">
                  <c:v>2.6312932250682763E-3</c:v>
                </c:pt>
                <c:pt idx="521">
                  <c:v>2.7107352738475754E-3</c:v>
                </c:pt>
                <c:pt idx="522">
                  <c:v>2.7905052337651171E-3</c:v>
                </c:pt>
                <c:pt idx="523">
                  <c:v>2.8706031053005177E-3</c:v>
                </c:pt>
                <c:pt idx="524">
                  <c:v>2.9510288885337133E-3</c:v>
                </c:pt>
                <c:pt idx="525">
                  <c:v>3.0317825837844481E-3</c:v>
                </c:pt>
                <c:pt idx="526">
                  <c:v>3.1128641913724664E-3</c:v>
                </c:pt>
                <c:pt idx="527">
                  <c:v>3.2526241313135529E-3</c:v>
                </c:pt>
                <c:pt idx="528">
                  <c:v>3.299457395247174E-3</c:v>
                </c:pt>
                <c:pt idx="529">
                  <c:v>3.3580764895191351E-3</c:v>
                </c:pt>
                <c:pt idx="530">
                  <c:v>3.4404697482148805E-3</c:v>
                </c:pt>
                <c:pt idx="531">
                  <c:v>3.5231909202071421E-3</c:v>
                </c:pt>
                <c:pt idx="532">
                  <c:v>3.6062400058156641E-3</c:v>
                </c:pt>
                <c:pt idx="533">
                  <c:v>3.6896170050404464E-3</c:v>
                </c:pt>
                <c:pt idx="534">
                  <c:v>3.7733219184410416E-3</c:v>
                </c:pt>
                <c:pt idx="535">
                  <c:v>3.8573547460174495E-3</c:v>
                </c:pt>
                <c:pt idx="536">
                  <c:v>3.9417154880894145E-3</c:v>
                </c:pt>
                <c:pt idx="537">
                  <c:v>4.0264041449766808E-3</c:v>
                </c:pt>
                <c:pt idx="538">
                  <c:v>4.1114207165993122E-3</c:v>
                </c:pt>
                <c:pt idx="539">
                  <c:v>4.1967652035967973E-3</c:v>
                </c:pt>
                <c:pt idx="540">
                  <c:v>4.307085413588041E-3</c:v>
                </c:pt>
                <c:pt idx="541">
                  <c:v>4.417728190224679E-3</c:v>
                </c:pt>
                <c:pt idx="542">
                  <c:v>4.504243804577257E-3</c:v>
                </c:pt>
                <c:pt idx="543">
                  <c:v>4.5910873353438575E-3</c:v>
                </c:pt>
                <c:pt idx="544">
                  <c:v>4.6845291772479314E-3</c:v>
                </c:pt>
                <c:pt idx="545">
                  <c:v>4.7782848242938769E-3</c:v>
                </c:pt>
                <c:pt idx="546">
                  <c:v>4.8787391656990309E-3</c:v>
                </c:pt>
                <c:pt idx="547">
                  <c:v>4.9669880543756761E-3</c:v>
                </c:pt>
                <c:pt idx="548">
                  <c:v>5.0428909545807699E-3</c:v>
                </c:pt>
                <c:pt idx="549">
                  <c:v>5.1317488332358607E-3</c:v>
                </c:pt>
                <c:pt idx="550">
                  <c:v>5.2209346297438231E-3</c:v>
                </c:pt>
                <c:pt idx="551">
                  <c:v>5.3104483444244011E-3</c:v>
                </c:pt>
                <c:pt idx="552">
                  <c:v>5.4131512655519742E-3</c:v>
                </c:pt>
                <c:pt idx="553">
                  <c:v>5.490459529582381E-3</c:v>
                </c:pt>
                <c:pt idx="554">
                  <c:v>5.5809570003795272E-3</c:v>
                </c:pt>
                <c:pt idx="555">
                  <c:v>5.6717823903884579E-3</c:v>
                </c:pt>
                <c:pt idx="556">
                  <c:v>5.7629356998489811E-3</c:v>
                </c:pt>
                <c:pt idx="557">
                  <c:v>5.8544169289209691E-3</c:v>
                </c:pt>
                <c:pt idx="558">
                  <c:v>5.9462260780041021E-3</c:v>
                </c:pt>
                <c:pt idx="559">
                  <c:v>6.0383631472582522E-3</c:v>
                </c:pt>
                <c:pt idx="560">
                  <c:v>6.1308281370031636E-3</c:v>
                </c:pt>
                <c:pt idx="561">
                  <c:v>6.2236210473987086E-3</c:v>
                </c:pt>
                <c:pt idx="562">
                  <c:v>6.3167418786846952E-3</c:v>
                </c:pt>
                <c:pt idx="563">
                  <c:v>6.4101906311808676E-3</c:v>
                </c:pt>
                <c:pt idx="564">
                  <c:v>6.5039673052069702E-3</c:v>
                </c:pt>
                <c:pt idx="565">
                  <c:v>6.598071900922875E-3</c:v>
                </c:pt>
                <c:pt idx="566">
                  <c:v>6.6925340487067331E-3</c:v>
                </c:pt>
                <c:pt idx="567">
                  <c:v>6.7874576973281364E-3</c:v>
                </c:pt>
                <c:pt idx="568">
                  <c:v>6.8828520762043155E-3</c:v>
                </c:pt>
                <c:pt idx="569">
                  <c:v>6.9787171858148866E-3</c:v>
                </c:pt>
                <c:pt idx="570">
                  <c:v>7.075053026319722E-3</c:v>
                </c:pt>
                <c:pt idx="571">
                  <c:v>7.17185959835831E-3</c:v>
                </c:pt>
                <c:pt idx="572">
                  <c:v>7.2691369020905228E-3</c:v>
                </c:pt>
                <c:pt idx="573">
                  <c:v>7.3668849379160406E-3</c:v>
                </c:pt>
                <c:pt idx="574">
                  <c:v>7.4651037063944159E-3</c:v>
                </c:pt>
                <c:pt idx="575">
                  <c:v>7.5637932077654568E-3</c:v>
                </c:pt>
                <c:pt idx="576">
                  <c:v>7.6629534424288437E-3</c:v>
                </c:pt>
                <c:pt idx="577">
                  <c:v>7.7625844107842568E-3</c:v>
                </c:pt>
                <c:pt idx="578">
                  <c:v>7.9348349038532717E-3</c:v>
                </c:pt>
                <c:pt idx="579">
                  <c:v>8.0211217776859911E-3</c:v>
                </c:pt>
                <c:pt idx="580">
                  <c:v>8.0787748881849808E-3</c:v>
                </c:pt>
                <c:pt idx="581">
                  <c:v>8.1803560431925604E-3</c:v>
                </c:pt>
                <c:pt idx="582">
                  <c:v>8.2824079339705037E-3</c:v>
                </c:pt>
                <c:pt idx="583">
                  <c:v>8.3849305608385549E-3</c:v>
                </c:pt>
                <c:pt idx="584">
                  <c:v>8.4879239242763305E-3</c:v>
                </c:pt>
                <c:pt idx="585">
                  <c:v>8.5913880246035745E-3</c:v>
                </c:pt>
                <c:pt idx="586">
                  <c:v>8.6953228622999035E-3</c:v>
                </c:pt>
                <c:pt idx="587">
                  <c:v>8.7997284377649976E-3</c:v>
                </c:pt>
                <c:pt idx="588">
                  <c:v>8.9046047513186011E-3</c:v>
                </c:pt>
                <c:pt idx="589">
                  <c:v>9.0099518035202664E-3</c:v>
                </c:pt>
                <c:pt idx="590">
                  <c:v>9.1157695946897377E-3</c:v>
                </c:pt>
                <c:pt idx="591">
                  <c:v>9.2220581253066314E-3</c:v>
                </c:pt>
                <c:pt idx="592">
                  <c:v>9.3288173956107556E-3</c:v>
                </c:pt>
                <c:pt idx="593">
                  <c:v>9.4360474062415989E-3</c:v>
                </c:pt>
                <c:pt idx="594">
                  <c:v>9.5437481575189054E-3</c:v>
                </c:pt>
                <c:pt idx="595">
                  <c:v>9.698687446118015E-3</c:v>
                </c:pt>
                <c:pt idx="596">
                  <c:v>9.776120630702323E-3</c:v>
                </c:pt>
                <c:pt idx="597">
                  <c:v>9.8696748594662154E-3</c:v>
                </c:pt>
                <c:pt idx="598">
                  <c:v>9.9792585776459219E-3</c:v>
                </c:pt>
                <c:pt idx="599">
                  <c:v>1.0089313038550429E-2</c:v>
                </c:pt>
                <c:pt idx="600">
                  <c:v>1.0207896833773766E-2</c:v>
                </c:pt>
                <c:pt idx="601">
                  <c:v>1.0326729182494887E-2</c:v>
                </c:pt>
                <c:pt idx="602">
                  <c:v>1.0470524147496718E-2</c:v>
                </c:pt>
                <c:pt idx="603">
                  <c:v>1.0574801973683989E-2</c:v>
                </c:pt>
                <c:pt idx="604">
                  <c:v>1.0695286474700083E-2</c:v>
                </c:pt>
                <c:pt idx="605">
                  <c:v>1.0808373904120927E-2</c:v>
                </c:pt>
                <c:pt idx="606">
                  <c:v>1.0921932179170923E-2</c:v>
                </c:pt>
                <c:pt idx="607">
                  <c:v>1.1035961301208985E-2</c:v>
                </c:pt>
                <c:pt idx="608">
                  <c:v>1.115046127156738E-2</c:v>
                </c:pt>
                <c:pt idx="609">
                  <c:v>1.1265432091578376E-2</c:v>
                </c:pt>
                <c:pt idx="610">
                  <c:v>1.138087376262753E-2</c:v>
                </c:pt>
                <c:pt idx="611">
                  <c:v>1.1496786286047112E-2</c:v>
                </c:pt>
                <c:pt idx="612">
                  <c:v>1.1613169663222678E-2</c:v>
                </c:pt>
                <c:pt idx="613">
                  <c:v>1.1730023895486497E-2</c:v>
                </c:pt>
                <c:pt idx="614">
                  <c:v>1.1847348984250772E-2</c:v>
                </c:pt>
                <c:pt idx="615">
                  <c:v>1.1965144930901062E-2</c:v>
                </c:pt>
                <c:pt idx="616">
                  <c:v>1.2083411736796279E-2</c:v>
                </c:pt>
                <c:pt idx="617">
                  <c:v>1.2202149403348628E-2</c:v>
                </c:pt>
                <c:pt idx="618">
                  <c:v>1.2320909636995836E-2</c:v>
                </c:pt>
                <c:pt idx="619">
                  <c:v>1.2438766924844913E-2</c:v>
                </c:pt>
                <c:pt idx="620">
                  <c:v>1.2555677880774496E-2</c:v>
                </c:pt>
                <c:pt idx="621">
                  <c:v>1.2671642501960179E-2</c:v>
                </c:pt>
                <c:pt idx="622">
                  <c:v>1.2786660785710779E-2</c:v>
                </c:pt>
                <c:pt idx="623">
                  <c:v>1.2900732729281827E-2</c:v>
                </c:pt>
                <c:pt idx="624">
                  <c:v>1.3013858329982142E-2</c:v>
                </c:pt>
                <c:pt idx="625">
                  <c:v>1.3126037585147188E-2</c:v>
                </c:pt>
                <c:pt idx="626">
                  <c:v>1.323727049211243E-2</c:v>
                </c:pt>
                <c:pt idx="627">
                  <c:v>1.3347557048239977E-2</c:v>
                </c:pt>
                <c:pt idx="628">
                  <c:v>1.3456897250918587E-2</c:v>
                </c:pt>
                <c:pt idx="629">
                  <c:v>1.3565291097563659E-2</c:v>
                </c:pt>
                <c:pt idx="630">
                  <c:v>1.3787069077058067E-2</c:v>
                </c:pt>
                <c:pt idx="631">
                  <c:v>1.3839147027709942E-2</c:v>
                </c:pt>
                <c:pt idx="632">
                  <c:v>1.3914247793715973E-2</c:v>
                </c:pt>
                <c:pt idx="633">
                  <c:v>1.4018577704746349E-2</c:v>
                </c:pt>
                <c:pt idx="634">
                  <c:v>1.4121961260382676E-2</c:v>
                </c:pt>
                <c:pt idx="635">
                  <c:v>1.4224398459505849E-2</c:v>
                </c:pt>
                <c:pt idx="636">
                  <c:v>1.4325889301556316E-2</c:v>
                </c:pt>
                <c:pt idx="637">
                  <c:v>1.4426433785574844E-2</c:v>
                </c:pt>
                <c:pt idx="638">
                  <c:v>1.4526031910842008E-2</c:v>
                </c:pt>
                <c:pt idx="639">
                  <c:v>1.4624683676558448E-2</c:v>
                </c:pt>
                <c:pt idx="640">
                  <c:v>1.4722389081924803E-2</c:v>
                </c:pt>
                <c:pt idx="641">
                  <c:v>1.4819148126221648E-2</c:v>
                </c:pt>
                <c:pt idx="642">
                  <c:v>1.4914960808569688E-2</c:v>
                </c:pt>
                <c:pt idx="643">
                  <c:v>1.500982712840937E-2</c:v>
                </c:pt>
                <c:pt idx="644">
                  <c:v>1.5103747084861396E-2</c:v>
                </c:pt>
                <c:pt idx="645">
                  <c:v>1.5223110738542545E-2</c:v>
                </c:pt>
                <c:pt idx="646">
                  <c:v>1.528874790464485E-2</c:v>
                </c:pt>
                <c:pt idx="647">
                  <c:v>1.5379828766537429E-2</c:v>
                </c:pt>
                <c:pt idx="648">
                  <c:v>1.5482762364182889E-2</c:v>
                </c:pt>
                <c:pt idx="649">
                  <c:v>1.5559151390727166E-2</c:v>
                </c:pt>
                <c:pt idx="650">
                  <c:v>1.5647393151665412E-2</c:v>
                </c:pt>
                <c:pt idx="651">
                  <c:v>1.5747082059993645E-2</c:v>
                </c:pt>
                <c:pt idx="652">
                  <c:v>1.5833295887750509E-2</c:v>
                </c:pt>
                <c:pt idx="653">
                  <c:v>1.59064402213005E-2</c:v>
                </c:pt>
                <c:pt idx="654">
                  <c:v>1.5990896504547436E-2</c:v>
                </c:pt>
                <c:pt idx="655">
                  <c:v>1.6086259149288296E-2</c:v>
                </c:pt>
                <c:pt idx="656">
                  <c:v>1.6156969957057399E-2</c:v>
                </c:pt>
                <c:pt idx="657">
                  <c:v>1.6238587124961512E-2</c:v>
                </c:pt>
                <c:pt idx="658">
                  <c:v>1.6319257919805708E-2</c:v>
                </c:pt>
                <c:pt idx="659">
                  <c:v>1.6398982341030433E-2</c:v>
                </c:pt>
                <c:pt idx="660">
                  <c:v>1.6477760387916263E-2</c:v>
                </c:pt>
                <c:pt idx="661">
                  <c:v>1.6555592059823709E-2</c:v>
                </c:pt>
                <c:pt idx="662">
                  <c:v>1.663247735619322E-2</c:v>
                </c:pt>
                <c:pt idx="663">
                  <c:v>1.6708416276305371E-2</c:v>
                </c:pt>
                <c:pt idx="664">
                  <c:v>1.6783408819760481E-2</c:v>
                </c:pt>
                <c:pt idx="665">
                  <c:v>1.6857454985839126E-2</c:v>
                </c:pt>
                <c:pt idx="666">
                  <c:v>1.6930554773981754E-2</c:v>
                </c:pt>
                <c:pt idx="667">
                  <c:v>1.7002708183628812E-2</c:v>
                </c:pt>
                <c:pt idx="668">
                  <c:v>1.7073915214140811E-2</c:v>
                </c:pt>
                <c:pt idx="669">
                  <c:v>1.7144175865038136E-2</c:v>
                </c:pt>
                <c:pt idx="670">
                  <c:v>1.7213818119081736E-2</c:v>
                </c:pt>
                <c:pt idx="671">
                  <c:v>1.7283270678785101E-2</c:v>
                </c:pt>
                <c:pt idx="672">
                  <c:v>1.7352536126482576E-2</c:v>
                </c:pt>
                <c:pt idx="673">
                  <c:v>1.7421614462174162E-2</c:v>
                </c:pt>
                <c:pt idx="674">
                  <c:v>1.749050568562005E-2</c:v>
                </c:pt>
                <c:pt idx="675">
                  <c:v>1.7559209796820241E-2</c:v>
                </c:pt>
                <c:pt idx="676">
                  <c:v>1.7627726795614862E-2</c:v>
                </c:pt>
                <c:pt idx="677">
                  <c:v>1.7696056681923977E-2</c:v>
                </c:pt>
                <c:pt idx="678">
                  <c:v>1.7764199455587715E-2</c:v>
                </c:pt>
                <c:pt idx="679">
                  <c:v>1.783215511668601E-2</c:v>
                </c:pt>
                <c:pt idx="680">
                  <c:v>1.7899923664819184E-2</c:v>
                </c:pt>
                <c:pt idx="681">
                  <c:v>1.7967505100067171E-2</c:v>
                </c:pt>
                <c:pt idx="682">
                  <c:v>1.8075137420211718E-2</c:v>
                </c:pt>
                <c:pt idx="683">
                  <c:v>1.8130852441480272E-2</c:v>
                </c:pt>
                <c:pt idx="684">
                  <c:v>1.817868575207271E-2</c:v>
                </c:pt>
                <c:pt idx="685">
                  <c:v>1.823595970980918E-2</c:v>
                </c:pt>
                <c:pt idx="686">
                  <c:v>1.8302605578872644E-2</c:v>
                </c:pt>
                <c:pt idx="687">
                  <c:v>1.8369064334411433E-2</c:v>
                </c:pt>
                <c:pt idx="688">
                  <c:v>1.8435335976345613E-2</c:v>
                </c:pt>
                <c:pt idx="689">
                  <c:v>1.8501420504435373E-2</c:v>
                </c:pt>
                <c:pt idx="690">
                  <c:v>1.8567317918680715E-2</c:v>
                </c:pt>
                <c:pt idx="691">
                  <c:v>1.8633028219001702E-2</c:v>
                </c:pt>
                <c:pt idx="692">
                  <c:v>1.8698551405238462E-2</c:v>
                </c:pt>
                <c:pt idx="693">
                  <c:v>1.8763887477390995E-2</c:v>
                </c:pt>
                <c:pt idx="694">
                  <c:v>1.8829036435139557E-2</c:v>
                </c:pt>
                <c:pt idx="695">
                  <c:v>1.8893998278564084E-2</c:v>
                </c:pt>
                <c:pt idx="696">
                  <c:v>1.8977245705036339E-2</c:v>
                </c:pt>
                <c:pt idx="697">
                  <c:v>1.9023360621961416E-2</c:v>
                </c:pt>
                <c:pt idx="698">
                  <c:v>1.9087761121694413E-2</c:v>
                </c:pt>
                <c:pt idx="699">
                  <c:v>1.9151974506623759E-2</c:v>
                </c:pt>
                <c:pt idx="700">
                  <c:v>1.9216000776749453E-2</c:v>
                </c:pt>
                <c:pt idx="701">
                  <c:v>1.9279839931831688E-2</c:v>
                </c:pt>
                <c:pt idx="702">
                  <c:v>1.9352569845763057E-2</c:v>
                </c:pt>
                <c:pt idx="703">
                  <c:v>1.9416008039820909E-2</c:v>
                </c:pt>
                <c:pt idx="704">
                  <c:v>1.9470234706338019E-2</c:v>
                </c:pt>
                <c:pt idx="705">
                  <c:v>1.9533325400526991E-2</c:v>
                </c:pt>
                <c:pt idx="706">
                  <c:v>1.9596228979352759E-2</c:v>
                </c:pt>
                <c:pt idx="707">
                  <c:v>1.9658945442495579E-2</c:v>
                </c:pt>
                <c:pt idx="708">
                  <c:v>1.9730392279262432E-2</c:v>
                </c:pt>
                <c:pt idx="709">
                  <c:v>1.9783817021812311E-2</c:v>
                </c:pt>
                <c:pt idx="710">
                  <c:v>1.9845972137746415E-2</c:v>
                </c:pt>
                <c:pt idx="711">
                  <c:v>1.9907940137677826E-2</c:v>
                </c:pt>
                <c:pt idx="712">
                  <c:v>1.9969721021606546E-2</c:v>
                </c:pt>
                <c:pt idx="713">
                  <c:v>2.0031314789372701E-2</c:v>
                </c:pt>
                <c:pt idx="714">
                  <c:v>2.0092721440816419E-2</c:v>
                </c:pt>
                <c:pt idx="715">
                  <c:v>2.0153940976097573E-2</c:v>
                </c:pt>
                <c:pt idx="716">
                  <c:v>2.0214973394816482E-2</c:v>
                </c:pt>
                <c:pt idx="717">
                  <c:v>2.0275818696973147E-2</c:v>
                </c:pt>
                <c:pt idx="718">
                  <c:v>2.0336476882567567E-2</c:v>
                </c:pt>
                <c:pt idx="719">
                  <c:v>2.039694795143987E-2</c:v>
                </c:pt>
                <c:pt idx="720">
                  <c:v>2.045723190351012E-2</c:v>
                </c:pt>
                <c:pt idx="721">
                  <c:v>2.0517328738698382E-2</c:v>
                </c:pt>
                <c:pt idx="722">
                  <c:v>2.0577132144525834E-2</c:v>
                </c:pt>
                <c:pt idx="723">
                  <c:v>2.0636413140318055E-2</c:v>
                </c:pt>
                <c:pt idx="724">
                  <c:v>2.0695163548136719E-2</c:v>
                </c:pt>
                <c:pt idx="725">
                  <c:v>2.0753383367582146E-2</c:v>
                </c:pt>
                <c:pt idx="726">
                  <c:v>2.0811072598494462E-2</c:v>
                </c:pt>
                <c:pt idx="727">
                  <c:v>2.0868231240473989E-2</c:v>
                </c:pt>
                <c:pt idx="728">
                  <c:v>2.092485929344079E-2</c:v>
                </c:pt>
                <c:pt idx="729">
                  <c:v>2.0980956756995184E-2</c:v>
                </c:pt>
                <c:pt idx="730">
                  <c:v>2.10365236309773E-2</c:v>
                </c:pt>
                <c:pt idx="731">
                  <c:v>2.1091559915147329E-2</c:v>
                </c:pt>
                <c:pt idx="732">
                  <c:v>2.1146065609185527E-2</c:v>
                </c:pt>
                <c:pt idx="733">
                  <c:v>2.1200040712932022E-2</c:v>
                </c:pt>
                <c:pt idx="734">
                  <c:v>2.1261076843002158E-2</c:v>
                </c:pt>
                <c:pt idx="735">
                  <c:v>2.1313914966638592E-2</c:v>
                </c:pt>
                <c:pt idx="736">
                  <c:v>2.1366222499263898E-2</c:v>
                </c:pt>
                <c:pt idx="737">
                  <c:v>2.1410635219885066E-2</c:v>
                </c:pt>
                <c:pt idx="738">
                  <c:v>2.1461957368416051E-2</c:v>
                </c:pt>
                <c:pt idx="739">
                  <c:v>2.1512748925216485E-2</c:v>
                </c:pt>
                <c:pt idx="740">
                  <c:v>2.1563009890126494E-2</c:v>
                </c:pt>
                <c:pt idx="741">
                  <c:v>2.1612740262906271E-2</c:v>
                </c:pt>
                <c:pt idx="742">
                  <c:v>2.1661940043156136E-2</c:v>
                </c:pt>
                <c:pt idx="743">
                  <c:v>2.1710609230956024E-2</c:v>
                </c:pt>
                <c:pt idx="744">
                  <c:v>2.1758747825906255E-2</c:v>
                </c:pt>
                <c:pt idx="745">
                  <c:v>2.1806355827687085E-2</c:v>
                </c:pt>
                <c:pt idx="746">
                  <c:v>2.185343323637845E-2</c:v>
                </c:pt>
                <c:pt idx="747">
                  <c:v>2.1899980051500734E-2</c:v>
                </c:pt>
                <c:pt idx="748">
                  <c:v>2.1945996273053936E-2</c:v>
                </c:pt>
                <c:pt idx="749">
                  <c:v>2.1991481900718313E-2</c:v>
                </c:pt>
                <c:pt idx="750">
                  <c:v>2.2049183773518166E-2</c:v>
                </c:pt>
                <c:pt idx="751">
                  <c:v>2.2080861373581229E-2</c:v>
                </c:pt>
                <c:pt idx="752">
                  <c:v>2.2124755218460024E-2</c:v>
                </c:pt>
                <c:pt idx="753">
                  <c:v>2.2168118468730569E-2</c:v>
                </c:pt>
                <c:pt idx="754">
                  <c:v>2.2210951124073119E-2</c:v>
                </c:pt>
                <c:pt idx="755">
                  <c:v>2.225325318440774E-2</c:v>
                </c:pt>
                <c:pt idx="756">
                  <c:v>2.2300948687794531E-2</c:v>
                </c:pt>
                <c:pt idx="757">
                  <c:v>2.2342113758107018E-2</c:v>
                </c:pt>
                <c:pt idx="758">
                  <c:v>2.2376975793365617E-2</c:v>
                </c:pt>
                <c:pt idx="759">
                  <c:v>2.2417155471670114E-2</c:v>
                </c:pt>
                <c:pt idx="760">
                  <c:v>2.2462425394760288E-2</c:v>
                </c:pt>
                <c:pt idx="761">
                  <c:v>2.2495923040377619E-2</c:v>
                </c:pt>
                <c:pt idx="762">
                  <c:v>2.2534510930380947E-2</c:v>
                </c:pt>
                <c:pt idx="763">
                  <c:v>2.2572568223857559E-2</c:v>
                </c:pt>
                <c:pt idx="764">
                  <c:v>2.2610094920807455E-2</c:v>
                </c:pt>
                <c:pt idx="765">
                  <c:v>2.2647091020910892E-2</c:v>
                </c:pt>
                <c:pt idx="766">
                  <c:v>2.2683556524007997E-2</c:v>
                </c:pt>
                <c:pt idx="767">
                  <c:v>2.2719491430018834E-2</c:v>
                </c:pt>
                <c:pt idx="768">
                  <c:v>2.2754895738703595E-2</c:v>
                </c:pt>
                <c:pt idx="769">
                  <c:v>2.2789769449982344E-2</c:v>
                </c:pt>
                <c:pt idx="770">
                  <c:v>2.2824112563695209E-2</c:v>
                </c:pt>
                <c:pt idx="771">
                  <c:v>2.2857925079602381E-2</c:v>
                </c:pt>
                <c:pt idx="772">
                  <c:v>2.2891206997623925E-2</c:v>
                </c:pt>
                <c:pt idx="773">
                  <c:v>2.2923958317679904E-2</c:v>
                </c:pt>
                <c:pt idx="774">
                  <c:v>2.2956153458792983E-2</c:v>
                </c:pt>
                <c:pt idx="775">
                  <c:v>2.2987702678909372E-2</c:v>
                </c:pt>
                <c:pt idx="776">
                  <c:v>2.3018598009842961E-2</c:v>
                </c:pt>
                <c:pt idx="777">
                  <c:v>2.3048839451673686E-2</c:v>
                </c:pt>
                <c:pt idx="778">
                  <c:v>2.3078427004161739E-2</c:v>
                </c:pt>
                <c:pt idx="779">
                  <c:v>2.3107360666987375E-2</c:v>
                </c:pt>
                <c:pt idx="780">
                  <c:v>2.3135640440310468E-2</c:v>
                </c:pt>
                <c:pt idx="781">
                  <c:v>2.3163266323651399E-2</c:v>
                </c:pt>
                <c:pt idx="782">
                  <c:v>2.3190238317090106E-2</c:v>
                </c:pt>
                <c:pt idx="783">
                  <c:v>2.321655642038678E-2</c:v>
                </c:pt>
                <c:pt idx="784">
                  <c:v>2.324222063338155E-2</c:v>
                </c:pt>
                <c:pt idx="785">
                  <c:v>2.3267230955994478E-2</c:v>
                </c:pt>
                <c:pt idx="786">
                  <c:v>2.3295013499540218E-2</c:v>
                </c:pt>
                <c:pt idx="787">
                  <c:v>2.3315289929355387E-2</c:v>
                </c:pt>
                <c:pt idx="788">
                  <c:v>2.3341577865503282E-2</c:v>
                </c:pt>
                <c:pt idx="789">
                  <c:v>2.3360733339510276E-2</c:v>
                </c:pt>
                <c:pt idx="790">
                  <c:v>2.3382474208135662E-2</c:v>
                </c:pt>
                <c:pt idx="791">
                  <c:v>2.340356118549991E-2</c:v>
                </c:pt>
                <c:pt idx="792">
                  <c:v>2.3423994271523085E-2</c:v>
                </c:pt>
                <c:pt idx="793">
                  <c:v>2.3443773466205187E-2</c:v>
                </c:pt>
                <c:pt idx="794">
                  <c:v>2.3462898769306406E-2</c:v>
                </c:pt>
                <c:pt idx="795">
                  <c:v>2.348137018090668E-2</c:v>
                </c:pt>
                <c:pt idx="796">
                  <c:v>2.3499187700686264E-2</c:v>
                </c:pt>
                <c:pt idx="797">
                  <c:v>2.3516351328725094E-2</c:v>
                </c:pt>
                <c:pt idx="798">
                  <c:v>2.3532861064783361E-2</c:v>
                </c:pt>
                <c:pt idx="799">
                  <c:v>2.3548716908861067E-2</c:v>
                </c:pt>
                <c:pt idx="800">
                  <c:v>2.3563918860958211E-2</c:v>
                </c:pt>
                <c:pt idx="801">
                  <c:v>2.3582503406620603E-2</c:v>
                </c:pt>
                <c:pt idx="802">
                  <c:v>2.3592361088411451E-2</c:v>
                </c:pt>
                <c:pt idx="803">
                  <c:v>2.3605601363607676E-2</c:v>
                </c:pt>
                <c:pt idx="804">
                  <c:v>2.3619932422187517E-2</c:v>
                </c:pt>
                <c:pt idx="805">
                  <c:v>2.3630120236859398E-2</c:v>
                </c:pt>
                <c:pt idx="806">
                  <c:v>2.3641398834834959E-2</c:v>
                </c:pt>
                <c:pt idx="807">
                  <c:v>2.3653487976122989E-2</c:v>
                </c:pt>
                <c:pt idx="808">
                  <c:v>2.36633653755014E-2</c:v>
                </c:pt>
                <c:pt idx="809">
                  <c:v>2.367131127264166E-2</c:v>
                </c:pt>
                <c:pt idx="810">
                  <c:v>2.3679974299897211E-2</c:v>
                </c:pt>
                <c:pt idx="811">
                  <c:v>2.3687983434292903E-2</c:v>
                </c:pt>
                <c:pt idx="812">
                  <c:v>2.369633604553556E-2</c:v>
                </c:pt>
                <c:pt idx="813">
                  <c:v>2.3702040024424775E-2</c:v>
                </c:pt>
                <c:pt idx="814">
                  <c:v>2.3708087480160955E-2</c:v>
                </c:pt>
                <c:pt idx="815">
                  <c:v>2.3713481042957341E-2</c:v>
                </c:pt>
                <c:pt idx="816">
                  <c:v>2.3718220712733995E-2</c:v>
                </c:pt>
                <c:pt idx="817">
                  <c:v>2.3722306489570855E-2</c:v>
                </c:pt>
                <c:pt idx="818">
                  <c:v>2.3725738373308047E-2</c:v>
                </c:pt>
                <c:pt idx="819">
                  <c:v>2.3728516364025509E-2</c:v>
                </c:pt>
                <c:pt idx="820">
                  <c:v>2.3730640461643304E-2</c:v>
                </c:pt>
                <c:pt idx="821">
                  <c:v>2.3732110666241368E-2</c:v>
                </c:pt>
                <c:pt idx="822">
                  <c:v>2.3732926977739766E-2</c:v>
                </c:pt>
                <c:pt idx="823">
                  <c:v>2.3733089396138496E-2</c:v>
                </c:pt>
                <c:pt idx="824">
                  <c:v>2.3732597921437559E-2</c:v>
                </c:pt>
                <c:pt idx="825">
                  <c:v>2.3731452553636956E-2</c:v>
                </c:pt>
                <c:pt idx="826">
                  <c:v>2.3729825733438403E-2</c:v>
                </c:pt>
                <c:pt idx="827">
                  <c:v>2.3728742784108192E-2</c:v>
                </c:pt>
                <c:pt idx="828">
                  <c:v>2.3728376146108232E-2</c:v>
                </c:pt>
                <c:pt idx="829">
                  <c:v>2.3728725819598395E-2</c:v>
                </c:pt>
                <c:pt idx="830">
                  <c:v>2.3729791804578682E-2</c:v>
                </c:pt>
                <c:pt idx="831">
                  <c:v>2.3731574100969155E-2</c:v>
                </c:pt>
                <c:pt idx="832">
                  <c:v>2.3734072708929688E-2</c:v>
                </c:pt>
                <c:pt idx="833">
                  <c:v>2.3737287628220471E-2</c:v>
                </c:pt>
                <c:pt idx="834">
                  <c:v>2.3741218859161251E-2</c:v>
                </c:pt>
                <c:pt idx="835">
                  <c:v>2.3745866401512217E-2</c:v>
                </c:pt>
                <c:pt idx="836">
                  <c:v>2.3751230255513178E-2</c:v>
                </c:pt>
                <c:pt idx="837">
                  <c:v>2.3757310421084199E-2</c:v>
                </c:pt>
                <c:pt idx="838">
                  <c:v>2.376618031630251E-2</c:v>
                </c:pt>
                <c:pt idx="839">
                  <c:v>2.377389776562211E-2</c:v>
                </c:pt>
                <c:pt idx="840">
                  <c:v>2.378108284791125E-2</c:v>
                </c:pt>
                <c:pt idx="841">
                  <c:v>2.3790130590466418E-2</c:v>
                </c:pt>
                <c:pt idx="842">
                  <c:v>2.3799894644751518E-2</c:v>
                </c:pt>
                <c:pt idx="843">
                  <c:v>2.3810375011086293E-2</c:v>
                </c:pt>
                <c:pt idx="844">
                  <c:v>2.3821571689230936E-2</c:v>
                </c:pt>
                <c:pt idx="845">
                  <c:v>2.383348467950519E-2</c:v>
                </c:pt>
                <c:pt idx="846">
                  <c:v>2.384611398182912E-2</c:v>
                </c:pt>
                <c:pt idx="847">
                  <c:v>2.3859459596202726E-2</c:v>
                </c:pt>
                <c:pt idx="848">
                  <c:v>2.3873521522945751E-2</c:v>
                </c:pt>
                <c:pt idx="849">
                  <c:v>2.3888299761898324E-2</c:v>
                </c:pt>
                <c:pt idx="850">
                  <c:v>2.3903794313300253E-2</c:v>
                </c:pt>
                <c:pt idx="851">
                  <c:v>2.3920005177231474E-2</c:v>
                </c:pt>
                <c:pt idx="852">
                  <c:v>2.3941900257540283E-2</c:v>
                </c:pt>
                <c:pt idx="853">
                  <c:v>2.3954575842921599E-2</c:v>
                </c:pt>
                <c:pt idx="854">
                  <c:v>2.3972935644920312E-2</c:v>
                </c:pt>
                <c:pt idx="855">
                  <c:v>2.3992011759847998E-2</c:v>
                </c:pt>
                <c:pt idx="856">
                  <c:v>2.4014048053317971E-2</c:v>
                </c:pt>
                <c:pt idx="857">
                  <c:v>2.4037605135642792E-2</c:v>
                </c:pt>
                <c:pt idx="858">
                  <c:v>2.4059733852181964E-2</c:v>
                </c:pt>
                <c:pt idx="859">
                  <c:v>2.4089955595183454E-2</c:v>
                </c:pt>
                <c:pt idx="860">
                  <c:v>2.4104742223292064E-2</c:v>
                </c:pt>
                <c:pt idx="861">
                  <c:v>2.4128320879279741E-2</c:v>
                </c:pt>
                <c:pt idx="862">
                  <c:v>2.4152615849075687E-2</c:v>
                </c:pt>
                <c:pt idx="863">
                  <c:v>2.4185525890867421E-2</c:v>
                </c:pt>
                <c:pt idx="864">
                  <c:v>2.4212470186135704E-2</c:v>
                </c:pt>
                <c:pt idx="865">
                  <c:v>2.4239122346081388E-2</c:v>
                </c:pt>
                <c:pt idx="866">
                  <c:v>2.4266490921034389E-2</c:v>
                </c:pt>
                <c:pt idx="867">
                  <c:v>2.4294575911474325E-2</c:v>
                </c:pt>
                <c:pt idx="868">
                  <c:v>2.4323377317880812E-2</c:v>
                </c:pt>
                <c:pt idx="869">
                  <c:v>2.4352895140813402E-2</c:v>
                </c:pt>
                <c:pt idx="870">
                  <c:v>2.4383129380805002E-2</c:v>
                </c:pt>
                <c:pt idx="871">
                  <c:v>2.4414080038361874E-2</c:v>
                </c:pt>
                <c:pt idx="872">
                  <c:v>2.4445747114070215E-2</c:v>
                </c:pt>
                <c:pt idx="873">
                  <c:v>2.4478130608436288E-2</c:v>
                </c:pt>
                <c:pt idx="874">
                  <c:v>2.4511230522099581E-2</c:v>
                </c:pt>
                <c:pt idx="875">
                  <c:v>2.4545046855646291E-2</c:v>
                </c:pt>
                <c:pt idx="876">
                  <c:v>2.4579579609662616E-2</c:v>
                </c:pt>
                <c:pt idx="877">
                  <c:v>2.4614828784788045E-2</c:v>
                </c:pt>
                <c:pt idx="878">
                  <c:v>2.4650410665962852E-2</c:v>
                </c:pt>
                <c:pt idx="879">
                  <c:v>2.4685533065991194E-2</c:v>
                </c:pt>
                <c:pt idx="880">
                  <c:v>2.4720158850710661E-2</c:v>
                </c:pt>
                <c:pt idx="881">
                  <c:v>2.4754288019694926E-2</c:v>
                </c:pt>
                <c:pt idx="882">
                  <c:v>2.4787920572491018E-2</c:v>
                </c:pt>
                <c:pt idx="883">
                  <c:v>2.4821056508699257E-2</c:v>
                </c:pt>
                <c:pt idx="884">
                  <c:v>2.4853695827919964E-2</c:v>
                </c:pt>
                <c:pt idx="885">
                  <c:v>2.4885838529700166E-2</c:v>
                </c:pt>
                <c:pt idx="886">
                  <c:v>2.491748461372012E-2</c:v>
                </c:pt>
                <c:pt idx="887">
                  <c:v>2.4948634079500209E-2</c:v>
                </c:pt>
                <c:pt idx="888">
                  <c:v>2.497928692672069E-2</c:v>
                </c:pt>
                <c:pt idx="889">
                  <c:v>2.5009443154981881E-2</c:v>
                </c:pt>
                <c:pt idx="890">
                  <c:v>2.50711997700237E-2</c:v>
                </c:pt>
                <c:pt idx="891">
                  <c:v>2.5082963031088923E-2</c:v>
                </c:pt>
                <c:pt idx="892">
                  <c:v>2.5103284149396998E-2</c:v>
                </c:pt>
                <c:pt idx="893">
                  <c:v>2.513130809584041E-2</c:v>
                </c:pt>
                <c:pt idx="894">
                  <c:v>2.5158835486527309E-2</c:v>
                </c:pt>
                <c:pt idx="895">
                  <c:v>2.5185866321217887E-2</c:v>
                </c:pt>
                <c:pt idx="896">
                  <c:v>2.5212400599832208E-2</c:v>
                </c:pt>
                <c:pt idx="897">
                  <c:v>2.5238438322370271E-2</c:v>
                </c:pt>
                <c:pt idx="898">
                  <c:v>2.526397948859227E-2</c:v>
                </c:pt>
                <c:pt idx="899">
                  <c:v>2.5289024098418267E-2</c:v>
                </c:pt>
                <c:pt idx="900">
                  <c:v>2.5313572151768327E-2</c:v>
                </c:pt>
                <c:pt idx="901">
                  <c:v>2.5337623648482577E-2</c:v>
                </c:pt>
                <c:pt idx="902">
                  <c:v>2.5361178588640954E-2</c:v>
                </c:pt>
                <c:pt idx="903">
                  <c:v>2.5384236971923713E-2</c:v>
                </c:pt>
                <c:pt idx="904">
                  <c:v>2.5406798798330854E-2</c:v>
                </c:pt>
                <c:pt idx="905">
                  <c:v>2.5428864067782442E-2</c:v>
                </c:pt>
                <c:pt idx="906">
                  <c:v>2.5456504065033414E-2</c:v>
                </c:pt>
                <c:pt idx="907">
                  <c:v>2.547150493533934E-2</c:v>
                </c:pt>
                <c:pt idx="908">
                  <c:v>2.5494979369256043E-2</c:v>
                </c:pt>
                <c:pt idx="909">
                  <c:v>2.551215957411479E-2</c:v>
                </c:pt>
                <c:pt idx="910">
                  <c:v>2.553174205734976E-2</c:v>
                </c:pt>
                <c:pt idx="911">
                  <c:v>2.555082798314956E-2</c:v>
                </c:pt>
                <c:pt idx="912">
                  <c:v>2.55720324400599E-2</c:v>
                </c:pt>
                <c:pt idx="913">
                  <c:v>2.5590054313813226E-2</c:v>
                </c:pt>
                <c:pt idx="914">
                  <c:v>2.5605106414818835E-2</c:v>
                </c:pt>
                <c:pt idx="915">
                  <c:v>2.5624608388135073E-2</c:v>
                </c:pt>
                <c:pt idx="916">
                  <c:v>2.5638809247023886E-2</c:v>
                </c:pt>
                <c:pt idx="917">
                  <c:v>2.5654915826374136E-2</c:v>
                </c:pt>
                <c:pt idx="918">
                  <c:v>2.5670525847649728E-2</c:v>
                </c:pt>
                <c:pt idx="919">
                  <c:v>2.5685639310850661E-2</c:v>
                </c:pt>
                <c:pt idx="920">
                  <c:v>2.5700256215976935E-2</c:v>
                </c:pt>
                <c:pt idx="921">
                  <c:v>2.5714376562868679E-2</c:v>
                </c:pt>
                <c:pt idx="922">
                  <c:v>2.5728000351525893E-2</c:v>
                </c:pt>
                <c:pt idx="923">
                  <c:v>2.5741127581948575E-2</c:v>
                </c:pt>
                <c:pt idx="924">
                  <c:v>2.5753758253896919E-2</c:v>
                </c:pt>
                <c:pt idx="925">
                  <c:v>2.5765892367530796E-2</c:v>
                </c:pt>
                <c:pt idx="926">
                  <c:v>2.5777529922690334E-2</c:v>
                </c:pt>
                <c:pt idx="927">
                  <c:v>2.5788670919375534E-2</c:v>
                </c:pt>
                <c:pt idx="928">
                  <c:v>2.5799315357426522E-2</c:v>
                </c:pt>
                <c:pt idx="929">
                  <c:v>2.5809465144677191E-2</c:v>
                </c:pt>
                <c:pt idx="930">
                  <c:v>2.5819436964926723E-2</c:v>
                </c:pt>
                <c:pt idx="931">
                  <c:v>2.5829473100369427E-2</c:v>
                </c:pt>
                <c:pt idx="932">
                  <c:v>2.5839573551085238E-2</c:v>
                </c:pt>
                <c:pt idx="933">
                  <c:v>2.5849738317154092E-2</c:v>
                </c:pt>
                <c:pt idx="934">
                  <c:v>2.5859967398416117E-2</c:v>
                </c:pt>
                <c:pt idx="935">
                  <c:v>2.587026079495125E-2</c:v>
                </c:pt>
                <c:pt idx="936">
                  <c:v>2.588061850675949E-2</c:v>
                </c:pt>
                <c:pt idx="937">
                  <c:v>2.5891040533840837E-2</c:v>
                </c:pt>
                <c:pt idx="938">
                  <c:v>2.5901526876275227E-2</c:v>
                </c:pt>
                <c:pt idx="939">
                  <c:v>2.5912077533902789E-2</c:v>
                </c:pt>
                <c:pt idx="940">
                  <c:v>2.5922692506883394E-2</c:v>
                </c:pt>
                <c:pt idx="941">
                  <c:v>2.5933371795137106E-2</c:v>
                </c:pt>
                <c:pt idx="942">
                  <c:v>2.5956633628956283E-2</c:v>
                </c:pt>
                <c:pt idx="943">
                  <c:v>2.5959574971246013E-2</c:v>
                </c:pt>
                <c:pt idx="944">
                  <c:v>2.5967353978444407E-2</c:v>
                </c:pt>
                <c:pt idx="945">
                  <c:v>2.5978299715800901E-2</c:v>
                </c:pt>
                <c:pt idx="946">
                  <c:v>2.5989309768590374E-2</c:v>
                </c:pt>
                <c:pt idx="947">
                  <c:v>2.600038413673289E-2</c:v>
                </c:pt>
                <c:pt idx="948">
                  <c:v>2.601152282022845E-2</c:v>
                </c:pt>
                <c:pt idx="949">
                  <c:v>2.6022725818997117E-2</c:v>
                </c:pt>
                <c:pt idx="950">
                  <c:v>2.6033993133198763E-2</c:v>
                </c:pt>
                <c:pt idx="951">
                  <c:v>2.6045324762753452E-2</c:v>
                </c:pt>
                <c:pt idx="952">
                  <c:v>2.6056720707661185E-2</c:v>
                </c:pt>
                <c:pt idx="953">
                  <c:v>2.6068180967921961E-2</c:v>
                </c:pt>
                <c:pt idx="954">
                  <c:v>2.6079705543615717E-2</c:v>
                </c:pt>
                <c:pt idx="955">
                  <c:v>2.6091294434662515E-2</c:v>
                </c:pt>
                <c:pt idx="956">
                  <c:v>2.6106288941658562E-2</c:v>
                </c:pt>
                <c:pt idx="957">
                  <c:v>2.6114665162895179E-2</c:v>
                </c:pt>
                <c:pt idx="958">
                  <c:v>2.6126447000160979E-2</c:v>
                </c:pt>
                <c:pt idx="959">
                  <c:v>2.613829315285976E-2</c:v>
                </c:pt>
                <c:pt idx="960">
                  <c:v>2.6151910366616349E-2</c:v>
                </c:pt>
                <c:pt idx="961">
                  <c:v>2.6162178404396386E-2</c:v>
                </c:pt>
                <c:pt idx="962">
                  <c:v>2.6175942624879767E-2</c:v>
                </c:pt>
                <c:pt idx="963">
                  <c:v>2.6188055227160945E-2</c:v>
                </c:pt>
                <c:pt idx="964">
                  <c:v>2.6198488647608542E-2</c:v>
                </c:pt>
                <c:pt idx="965">
                  <c:v>2.6210720692825262E-2</c:v>
                </c:pt>
                <c:pt idx="966">
                  <c:v>2.6223017053634834E-2</c:v>
                </c:pt>
                <c:pt idx="967">
                  <c:v>2.6237148790935194E-2</c:v>
                </c:pt>
                <c:pt idx="968">
                  <c:v>2.6247802721472979E-2</c:v>
                </c:pt>
                <c:pt idx="969">
                  <c:v>2.6260292028581489E-2</c:v>
                </c:pt>
                <c:pt idx="970">
                  <c:v>2.627284565128285E-2</c:v>
                </c:pt>
                <c:pt idx="971">
                  <c:v>2.6285463589417191E-2</c:v>
                </c:pt>
                <c:pt idx="972">
                  <c:v>2.6298145842984511E-2</c:v>
                </c:pt>
                <c:pt idx="973">
                  <c:v>2.6310892412224618E-2</c:v>
                </c:pt>
                <c:pt idx="974">
                  <c:v>2.6323703296737833E-2</c:v>
                </c:pt>
                <c:pt idx="975">
                  <c:v>2.6336578496923835E-2</c:v>
                </c:pt>
                <c:pt idx="976">
                  <c:v>2.6349518012622752E-2</c:v>
                </c:pt>
                <c:pt idx="977">
                  <c:v>2.6362521843834585E-2</c:v>
                </c:pt>
                <c:pt idx="978">
                  <c:v>2.637558999063927E-2</c:v>
                </c:pt>
                <c:pt idx="979">
                  <c:v>2.638872245295687E-2</c:v>
                </c:pt>
                <c:pt idx="980">
                  <c:v>2.6401919230787385E-2</c:v>
                </c:pt>
                <c:pt idx="981">
                  <c:v>2.6415180324210752E-2</c:v>
                </c:pt>
                <c:pt idx="982">
                  <c:v>2.642850573322697E-2</c:v>
                </c:pt>
                <c:pt idx="983">
                  <c:v>2.6441895457756104E-2</c:v>
                </c:pt>
                <c:pt idx="984">
                  <c:v>2.6455349497878089E-2</c:v>
                </c:pt>
                <c:pt idx="985">
                  <c:v>2.6468867853592926E-2</c:v>
                </c:pt>
                <c:pt idx="986">
                  <c:v>2.648245052498055E-2</c:v>
                </c:pt>
                <c:pt idx="987">
                  <c:v>2.6496097511881089E-2</c:v>
                </c:pt>
                <c:pt idx="988">
                  <c:v>2.6509808814454416E-2</c:v>
                </c:pt>
                <c:pt idx="989">
                  <c:v>2.6523584432620595E-2</c:v>
                </c:pt>
                <c:pt idx="990">
                  <c:v>2.6537424366379625E-2</c:v>
                </c:pt>
                <c:pt idx="991">
                  <c:v>2.6551328615731506E-2</c:v>
                </c:pt>
                <c:pt idx="992">
                  <c:v>2.6565297180836112E-2</c:v>
                </c:pt>
                <c:pt idx="993">
                  <c:v>2.6579330061533568E-2</c:v>
                </c:pt>
                <c:pt idx="994">
                  <c:v>2.6605561759067697E-2</c:v>
                </c:pt>
                <c:pt idx="995">
                  <c:v>2.6617678191751537E-2</c:v>
                </c:pt>
                <c:pt idx="996">
                  <c:v>2.6623852109022295E-2</c:v>
                </c:pt>
                <c:pt idx="997">
                  <c:v>2.6638151440341318E-2</c:v>
                </c:pt>
                <c:pt idx="998">
                  <c:v>2.6652515087333128E-2</c:v>
                </c:pt>
                <c:pt idx="999">
                  <c:v>2.6666943049997727E-2</c:v>
                </c:pt>
                <c:pt idx="1000">
                  <c:v>2.6681435328415049E-2</c:v>
                </c:pt>
                <c:pt idx="1001">
                  <c:v>2.6695991922585094E-2</c:v>
                </c:pt>
                <c:pt idx="1002">
                  <c:v>2.6710612832427927E-2</c:v>
                </c:pt>
                <c:pt idx="1003">
                  <c:v>2.6725298058023483E-2</c:v>
                </c:pt>
                <c:pt idx="1004">
                  <c:v>2.6740047599291827E-2</c:v>
                </c:pt>
                <c:pt idx="1005">
                  <c:v>2.6754861456392831E-2</c:v>
                </c:pt>
                <c:pt idx="1006">
                  <c:v>2.6769739629166622E-2</c:v>
                </c:pt>
                <c:pt idx="1007">
                  <c:v>2.6793100003974502E-2</c:v>
                </c:pt>
                <c:pt idx="1008">
                  <c:v>2.6799688922052312E-2</c:v>
                </c:pt>
                <c:pt idx="1009">
                  <c:v>2.6814760042084274E-2</c:v>
                </c:pt>
                <c:pt idx="1010">
                  <c:v>2.6829895477948895E-2</c:v>
                </c:pt>
                <c:pt idx="1011">
                  <c:v>2.6845095229646176E-2</c:v>
                </c:pt>
                <c:pt idx="1012">
                  <c:v>2.6862454348348663E-2</c:v>
                </c:pt>
                <c:pt idx="1013">
                  <c:v>2.6877882699665179E-2</c:v>
                </c:pt>
                <c:pt idx="1014">
                  <c:v>2.6899707110263904E-2</c:v>
                </c:pt>
                <c:pt idx="1015">
                  <c:v>2.6908750789669256E-2</c:v>
                </c:pt>
                <c:pt idx="1016">
                  <c:v>2.6924281308380316E-2</c:v>
                </c:pt>
                <c:pt idx="1017">
                  <c:v>2.6939876142924035E-2</c:v>
                </c:pt>
                <c:pt idx="1018">
                  <c:v>2.6955535293300414E-2</c:v>
                </c:pt>
                <c:pt idx="1019">
                  <c:v>2.6977669209240496E-2</c:v>
                </c:pt>
                <c:pt idx="1020">
                  <c:v>2.6993593373427771E-2</c:v>
                </c:pt>
                <c:pt idx="1021">
                  <c:v>2.7009466227978507E-2</c:v>
                </c:pt>
                <c:pt idx="1022">
                  <c:v>2.7025403409526305E-2</c:v>
                </c:pt>
                <c:pt idx="1023">
                  <c:v>2.7041404918017875E-2</c:v>
                </c:pt>
                <c:pt idx="1024">
                  <c:v>2.7057470753479862E-2</c:v>
                </c:pt>
                <c:pt idx="1025">
                  <c:v>2.7073600915992202E-2</c:v>
                </c:pt>
                <c:pt idx="1026">
                  <c:v>2.708979540552825E-2</c:v>
                </c:pt>
                <c:pt idx="1027">
                  <c:v>2.7106054222114651E-2</c:v>
                </c:pt>
                <c:pt idx="1028">
                  <c:v>2.7122377365831341E-2</c:v>
                </c:pt>
                <c:pt idx="1029">
                  <c:v>2.713876483667832E-2</c:v>
                </c:pt>
                <c:pt idx="1030">
                  <c:v>2.7155216634628943E-2</c:v>
                </c:pt>
                <c:pt idx="1031">
                  <c:v>2.7171732759789791E-2</c:v>
                </c:pt>
                <c:pt idx="1032">
                  <c:v>2.7188313212160864E-2</c:v>
                </c:pt>
                <c:pt idx="1033">
                  <c:v>2.7204932089475165E-2</c:v>
                </c:pt>
                <c:pt idx="1034">
                  <c:v>2.7221445933074406E-2</c:v>
                </c:pt>
                <c:pt idx="1035">
                  <c:v>2.7237828840638301E-2</c:v>
                </c:pt>
                <c:pt idx="1036">
                  <c:v>2.7254080812140202E-2</c:v>
                </c:pt>
                <c:pt idx="1037">
                  <c:v>2.7270201847500175E-2</c:v>
                </c:pt>
                <c:pt idx="1038">
                  <c:v>2.7286191946664928E-2</c:v>
                </c:pt>
                <c:pt idx="1039">
                  <c:v>2.7302051109607817E-2</c:v>
                </c:pt>
                <c:pt idx="1040">
                  <c:v>2.7317779336248904E-2</c:v>
                </c:pt>
                <c:pt idx="1041">
                  <c:v>2.73333766265349E-2</c:v>
                </c:pt>
                <c:pt idx="1042">
                  <c:v>2.7348842980439159E-2</c:v>
                </c:pt>
                <c:pt idx="1043">
                  <c:v>2.7364178397881744E-2</c:v>
                </c:pt>
                <c:pt idx="1044">
                  <c:v>2.7379382878862657E-2</c:v>
                </c:pt>
                <c:pt idx="1045">
                  <c:v>2.7396655003180115E-2</c:v>
                </c:pt>
                <c:pt idx="1046">
                  <c:v>2.7411557931591446E-2</c:v>
                </c:pt>
                <c:pt idx="1047">
                  <c:v>2.7426329942006333E-2</c:v>
                </c:pt>
                <c:pt idx="1048">
                  <c:v>2.7438891436757373E-2</c:v>
                </c:pt>
                <c:pt idx="1049">
                  <c:v>2.7453441234497333E-2</c:v>
                </c:pt>
                <c:pt idx="1050">
                  <c:v>2.7467860095455876E-2</c:v>
                </c:pt>
                <c:pt idx="1051">
                  <c:v>2.7482148019606356E-2</c:v>
                </c:pt>
                <c:pt idx="1052">
                  <c:v>2.7496305006868837E-2</c:v>
                </c:pt>
                <c:pt idx="1053">
                  <c:v>2.7510331057163384E-2</c:v>
                </c:pt>
                <c:pt idx="1054">
                  <c:v>2.7524226170489996E-2</c:v>
                </c:pt>
                <c:pt idx="1055">
                  <c:v>2.7537990346848673E-2</c:v>
                </c:pt>
                <c:pt idx="1056">
                  <c:v>2.7551623586106189E-2</c:v>
                </c:pt>
                <c:pt idx="1057">
                  <c:v>2.7565125888235897E-2</c:v>
                </c:pt>
                <c:pt idx="1058">
                  <c:v>2.7578497253237799E-2</c:v>
                </c:pt>
                <c:pt idx="1059">
                  <c:v>2.7591737681058603E-2</c:v>
                </c:pt>
                <c:pt idx="1060">
                  <c:v>2.7604847171618374E-2</c:v>
                </c:pt>
                <c:pt idx="1061">
                  <c:v>2.7621229459251495E-2</c:v>
                </c:pt>
                <c:pt idx="1062">
                  <c:v>2.7632199934739532E-2</c:v>
                </c:pt>
                <c:pt idx="1063">
                  <c:v>2.7646677614754367E-2</c:v>
                </c:pt>
                <c:pt idx="1064">
                  <c:v>2.765742365912871E-2</c:v>
                </c:pt>
                <c:pt idx="1065">
                  <c:v>2.766983914400889E-2</c:v>
                </c:pt>
                <c:pt idx="1066">
                  <c:v>2.7682123710652817E-2</c:v>
                </c:pt>
                <c:pt idx="1067">
                  <c:v>2.7696002907324768E-2</c:v>
                </c:pt>
                <c:pt idx="1068">
                  <c:v>2.7708006934856755E-2</c:v>
                </c:pt>
                <c:pt idx="1069">
                  <c:v>2.7718191901007216E-2</c:v>
                </c:pt>
                <c:pt idx="1070">
                  <c:v>2.77299527946262E-2</c:v>
                </c:pt>
                <c:pt idx="1071">
                  <c:v>2.7743233507795395E-2</c:v>
                </c:pt>
                <c:pt idx="1072">
                  <c:v>2.7753081826915604E-2</c:v>
                </c:pt>
                <c:pt idx="1073">
                  <c:v>2.776444996566596E-2</c:v>
                </c:pt>
                <c:pt idx="1074">
                  <c:v>2.7775687186020193E-2</c:v>
                </c:pt>
                <c:pt idx="1075">
                  <c:v>2.7786793488058237E-2</c:v>
                </c:pt>
                <c:pt idx="1076">
                  <c:v>2.7797768871780093E-2</c:v>
                </c:pt>
                <c:pt idx="1077">
                  <c:v>2.7808613337025889E-2</c:v>
                </c:pt>
                <c:pt idx="1078">
                  <c:v>2.7819326883955497E-2</c:v>
                </c:pt>
                <c:pt idx="1079">
                  <c:v>2.7829909512488982E-2</c:v>
                </c:pt>
                <c:pt idx="1080">
                  <c:v>2.7840361222626342E-2</c:v>
                </c:pt>
                <c:pt idx="1081">
                  <c:v>2.7850682014367578E-2</c:v>
                </c:pt>
                <c:pt idx="1082">
                  <c:v>2.786087188771269E-2</c:v>
                </c:pt>
                <c:pt idx="1083">
                  <c:v>2.7870930842581743E-2</c:v>
                </c:pt>
                <c:pt idx="1084">
                  <c:v>2.7880858878974735E-2</c:v>
                </c:pt>
                <c:pt idx="1085">
                  <c:v>2.7890655997051539E-2</c:v>
                </c:pt>
                <c:pt idx="1086">
                  <c:v>2.7900322196492411E-2</c:v>
                </c:pt>
                <c:pt idx="1087">
                  <c:v>2.7909857477617095E-2</c:v>
                </c:pt>
                <c:pt idx="1088">
                  <c:v>2.7919261840185783E-2</c:v>
                </c:pt>
                <c:pt idx="1089">
                  <c:v>2.7928535284198475E-2</c:v>
                </c:pt>
                <c:pt idx="1090">
                  <c:v>2.7937677809815042E-2</c:v>
                </c:pt>
                <c:pt idx="1091">
                  <c:v>2.7946689416795678E-2</c:v>
                </c:pt>
                <c:pt idx="1092">
                  <c:v>2.7955570105300254E-2</c:v>
                </c:pt>
                <c:pt idx="1093">
                  <c:v>2.7964319875328769E-2</c:v>
                </c:pt>
                <c:pt idx="1094">
                  <c:v>2.7972938726721353E-2</c:v>
                </c:pt>
                <c:pt idx="1095">
                  <c:v>2.7981426659637876E-2</c:v>
                </c:pt>
                <c:pt idx="1096">
                  <c:v>2.7989783673918467E-2</c:v>
                </c:pt>
                <c:pt idx="1097">
                  <c:v>2.8000336036422269E-2</c:v>
                </c:pt>
                <c:pt idx="1098">
                  <c:v>2.8008393808311993E-2</c:v>
                </c:pt>
                <c:pt idx="1099">
                  <c:v>2.8015196269386422E-2</c:v>
                </c:pt>
                <c:pt idx="1100">
                  <c:v>2.8023010906723655E-2</c:v>
                </c:pt>
                <c:pt idx="1101">
                  <c:v>2.8030694625424957E-2</c:v>
                </c:pt>
                <c:pt idx="1102">
                  <c:v>2.8038247425490326E-2</c:v>
                </c:pt>
                <c:pt idx="1103">
                  <c:v>2.8045669306919763E-2</c:v>
                </c:pt>
                <c:pt idx="1104">
                  <c:v>2.8052960269793203E-2</c:v>
                </c:pt>
                <c:pt idx="1105">
                  <c:v>2.8060120313950776E-2</c:v>
                </c:pt>
                <c:pt idx="1106">
                  <c:v>2.8067149439472416E-2</c:v>
                </c:pt>
                <c:pt idx="1107">
                  <c:v>2.8074047646358125E-2</c:v>
                </c:pt>
                <c:pt idx="1108">
                  <c:v>2.8080814934527965E-2</c:v>
                </c:pt>
                <c:pt idx="1109">
                  <c:v>2.8087451304141808E-2</c:v>
                </c:pt>
                <c:pt idx="1110">
                  <c:v>2.8093956754959848E-2</c:v>
                </c:pt>
                <c:pt idx="1111">
                  <c:v>2.8102128535731907E-2</c:v>
                </c:pt>
                <c:pt idx="1112">
                  <c:v>2.8106574900608194E-2</c:v>
                </c:pt>
                <c:pt idx="1113">
                  <c:v>2.8112687595358565E-2</c:v>
                </c:pt>
                <c:pt idx="1114">
                  <c:v>2.8118669371473004E-2</c:v>
                </c:pt>
                <c:pt idx="1115">
                  <c:v>2.8125345378340327E-2</c:v>
                </c:pt>
                <c:pt idx="1116">
                  <c:v>2.8130240167394405E-2</c:v>
                </c:pt>
                <c:pt idx="1117">
                  <c:v>2.8136616931551117E-2</c:v>
                </c:pt>
                <c:pt idx="1118">
                  <c:v>2.8142056330002774E-2</c:v>
                </c:pt>
                <c:pt idx="1119">
                  <c:v>2.814661447098743E-2</c:v>
                </c:pt>
                <c:pt idx="1120">
                  <c:v>2.8151810734646787E-2</c:v>
                </c:pt>
                <c:pt idx="1121">
                  <c:v>2.8156876079590276E-2</c:v>
                </c:pt>
                <c:pt idx="1122">
                  <c:v>2.8161810505737961E-2</c:v>
                </c:pt>
                <c:pt idx="1123">
                  <c:v>2.8167289541283225E-2</c:v>
                </c:pt>
                <c:pt idx="1124">
                  <c:v>2.8171286601885726E-2</c:v>
                </c:pt>
                <c:pt idx="1125">
                  <c:v>2.8175828271725933E-2</c:v>
                </c:pt>
                <c:pt idx="1126">
                  <c:v>2.8180239022850273E-2</c:v>
                </c:pt>
                <c:pt idx="1127">
                  <c:v>2.8184518855178808E-2</c:v>
                </c:pt>
                <c:pt idx="1128">
                  <c:v>2.8188667768791476E-2</c:v>
                </c:pt>
                <c:pt idx="1129">
                  <c:v>2.8192685763528402E-2</c:v>
                </c:pt>
                <c:pt idx="1130">
                  <c:v>2.8196572839469525E-2</c:v>
                </c:pt>
                <c:pt idx="1131">
                  <c:v>2.8200328996614843E-2</c:v>
                </c:pt>
                <c:pt idx="1132">
                  <c:v>2.8203954234964357E-2</c:v>
                </c:pt>
                <c:pt idx="1133">
                  <c:v>2.8207448554518066E-2</c:v>
                </c:pt>
                <c:pt idx="1134">
                  <c:v>2.8210811955275972E-2</c:v>
                </c:pt>
                <c:pt idx="1135">
                  <c:v>2.8214044437158137E-2</c:v>
                </c:pt>
                <c:pt idx="1136">
                  <c:v>2.8217146000324433E-2</c:v>
                </c:pt>
                <c:pt idx="1137">
                  <c:v>2.822011664461499E-2</c:v>
                </c:pt>
                <c:pt idx="1138">
                  <c:v>2.8222956370109742E-2</c:v>
                </c:pt>
                <c:pt idx="1139">
                  <c:v>2.8225665176728754E-2</c:v>
                </c:pt>
                <c:pt idx="1140">
                  <c:v>2.8228243064472025E-2</c:v>
                </c:pt>
                <c:pt idx="1141">
                  <c:v>2.8230690033499428E-2</c:v>
                </c:pt>
                <c:pt idx="1142">
                  <c:v>2.8233006083651091E-2</c:v>
                </c:pt>
                <c:pt idx="1143">
                  <c:v>2.8235191214847077E-2</c:v>
                </c:pt>
                <c:pt idx="1144">
                  <c:v>2.8237245427407132E-2</c:v>
                </c:pt>
                <c:pt idx="1145">
                  <c:v>2.8239168721011509E-2</c:v>
                </c:pt>
                <c:pt idx="1146">
                  <c:v>2.8240961095820083E-2</c:v>
                </c:pt>
                <c:pt idx="1147">
                  <c:v>2.824262255167298E-2</c:v>
                </c:pt>
                <c:pt idx="1148">
                  <c:v>2.8244153088810009E-2</c:v>
                </c:pt>
                <c:pt idx="1149">
                  <c:v>2.8250902528361266E-2</c:v>
                </c:pt>
                <c:pt idx="1150">
                  <c:v>2.824970321074538E-2</c:v>
                </c:pt>
                <c:pt idx="1151">
                  <c:v>2.8248111039657076E-2</c:v>
                </c:pt>
                <c:pt idx="1152">
                  <c:v>2.8249099198651706E-2</c:v>
                </c:pt>
                <c:pt idx="1153">
                  <c:v>2.8249956438770596E-2</c:v>
                </c:pt>
                <c:pt idx="1154">
                  <c:v>2.8250682760013746E-2</c:v>
                </c:pt>
                <c:pt idx="1155">
                  <c:v>2.8251278162461091E-2</c:v>
                </c:pt>
                <c:pt idx="1156">
                  <c:v>2.825174264595276E-2</c:v>
                </c:pt>
                <c:pt idx="1157">
                  <c:v>2.8252076210648625E-2</c:v>
                </c:pt>
                <c:pt idx="1158">
                  <c:v>2.8252278856468749E-2</c:v>
                </c:pt>
                <c:pt idx="1159">
                  <c:v>2.8252350583413133E-2</c:v>
                </c:pt>
                <c:pt idx="1160">
                  <c:v>2.8252291391561712E-2</c:v>
                </c:pt>
                <c:pt idx="1161">
                  <c:v>2.8252101280754616E-2</c:v>
                </c:pt>
                <c:pt idx="1162">
                  <c:v>2.8251780251231651E-2</c:v>
                </c:pt>
                <c:pt idx="1163">
                  <c:v>2.8251328302673073E-2</c:v>
                </c:pt>
                <c:pt idx="1164">
                  <c:v>2.8250745435398628E-2</c:v>
                </c:pt>
                <c:pt idx="1165">
                  <c:v>2.8250031649088569E-2</c:v>
                </c:pt>
                <c:pt idx="1166">
                  <c:v>2.8251000667260939E-2</c:v>
                </c:pt>
                <c:pt idx="1167">
                  <c:v>2.8248061258118184E-2</c:v>
                </c:pt>
                <c:pt idx="1168">
                  <c:v>2.8247104777463505E-2</c:v>
                </c:pt>
                <c:pt idx="1169">
                  <c:v>2.8245867315810358E-2</c:v>
                </c:pt>
                <c:pt idx="1170">
                  <c:v>2.8244498935361406E-2</c:v>
                </c:pt>
                <c:pt idx="1171">
                  <c:v>2.8243995061658644E-2</c:v>
                </c:pt>
                <c:pt idx="1172">
                  <c:v>2.8241125842356496E-2</c:v>
                </c:pt>
                <c:pt idx="1173">
                  <c:v>2.8241027682796016E-2</c:v>
                </c:pt>
                <c:pt idx="1174">
                  <c:v>2.8240329469209069E-2</c:v>
                </c:pt>
                <c:pt idx="1175">
                  <c:v>2.823699980428529E-2</c:v>
                </c:pt>
                <c:pt idx="1176">
                  <c:v>2.8234789456007547E-2</c:v>
                </c:pt>
                <c:pt idx="1177">
                  <c:v>2.8232448168390434E-2</c:v>
                </c:pt>
                <c:pt idx="1178">
                  <c:v>2.8229975941407304E-2</c:v>
                </c:pt>
                <c:pt idx="1179">
                  <c:v>2.8227372775138093E-2</c:v>
                </c:pt>
                <c:pt idx="1180">
                  <c:v>2.8224638669529512E-2</c:v>
                </c:pt>
                <c:pt idx="1181">
                  <c:v>2.8221773624608204E-2</c:v>
                </c:pt>
                <c:pt idx="1182">
                  <c:v>2.8218777640374171E-2</c:v>
                </c:pt>
                <c:pt idx="1183">
                  <c:v>2.8215650716880702E-2</c:v>
                </c:pt>
                <c:pt idx="1184">
                  <c:v>2.8212392854074508E-2</c:v>
                </c:pt>
                <c:pt idx="1185">
                  <c:v>2.8209004052008879E-2</c:v>
                </c:pt>
                <c:pt idx="1186">
                  <c:v>2.8205484310683815E-2</c:v>
                </c:pt>
                <c:pt idx="1187">
                  <c:v>2.8201833630099316E-2</c:v>
                </c:pt>
                <c:pt idx="1188">
                  <c:v>2.8198052010282026E-2</c:v>
                </c:pt>
                <c:pt idx="1189">
                  <c:v>2.8194175139564237E-2</c:v>
                </c:pt>
                <c:pt idx="1190">
                  <c:v>2.8190276697195316E-2</c:v>
                </c:pt>
                <c:pt idx="1191">
                  <c:v>2.8186360136812638E-2</c:v>
                </c:pt>
                <c:pt idx="1192">
                  <c:v>2.818242545844285E-2</c:v>
                </c:pt>
                <c:pt idx="1193">
                  <c:v>2.8178472662059306E-2</c:v>
                </c:pt>
                <c:pt idx="1194">
                  <c:v>2.8174501747688652E-2</c:v>
                </c:pt>
                <c:pt idx="1195">
                  <c:v>2.8170512715357532E-2</c:v>
                </c:pt>
                <c:pt idx="1196">
                  <c:v>2.8166505565065947E-2</c:v>
                </c:pt>
                <c:pt idx="1197">
                  <c:v>2.8162480296760606E-2</c:v>
                </c:pt>
                <c:pt idx="1198">
                  <c:v>2.8158436910441509E-2</c:v>
                </c:pt>
                <c:pt idx="1199">
                  <c:v>2.8154375406188592E-2</c:v>
                </c:pt>
                <c:pt idx="1200">
                  <c:v>2.815029578397521E-2</c:v>
                </c:pt>
                <c:pt idx="1201">
                  <c:v>2.8142887281970008E-2</c:v>
                </c:pt>
                <c:pt idx="1202">
                  <c:v>2.8137522975191231E-2</c:v>
                </c:pt>
                <c:pt idx="1203">
                  <c:v>2.8134565051125549E-2</c:v>
                </c:pt>
                <c:pt idx="1204">
                  <c:v>2.8130408430078191E-2</c:v>
                </c:pt>
                <c:pt idx="1205">
                  <c:v>2.8126233693841485E-2</c:v>
                </c:pt>
                <c:pt idx="1206">
                  <c:v>2.812204084241543E-2</c:v>
                </c:pt>
                <c:pt idx="1207">
                  <c:v>2.8117829875720091E-2</c:v>
                </c:pt>
                <c:pt idx="1208">
                  <c:v>2.8113600793755467E-2</c:v>
                </c:pt>
                <c:pt idx="1209">
                  <c:v>2.8109353596601494E-2</c:v>
                </c:pt>
                <c:pt idx="1210">
                  <c:v>2.8105088284178237E-2</c:v>
                </c:pt>
                <c:pt idx="1211">
                  <c:v>2.8100804856565631E-2</c:v>
                </c:pt>
                <c:pt idx="1212">
                  <c:v>2.8096503313683741E-2</c:v>
                </c:pt>
                <c:pt idx="1213">
                  <c:v>2.8092183655612502E-2</c:v>
                </c:pt>
                <c:pt idx="1214">
                  <c:v>2.8087845882351914E-2</c:v>
                </c:pt>
                <c:pt idx="1215">
                  <c:v>2.8083489993822042E-2</c:v>
                </c:pt>
                <c:pt idx="1216">
                  <c:v>2.8077862947393228E-2</c:v>
                </c:pt>
                <c:pt idx="1217">
                  <c:v>2.8074723871114315E-2</c:v>
                </c:pt>
                <c:pt idx="1218">
                  <c:v>2.8070313636856525E-2</c:v>
                </c:pt>
                <c:pt idx="1219">
                  <c:v>2.8065251187276985E-2</c:v>
                </c:pt>
                <c:pt idx="1220">
                  <c:v>2.8061438822852836E-2</c:v>
                </c:pt>
                <c:pt idx="1221">
                  <c:v>2.8056974242947064E-2</c:v>
                </c:pt>
                <c:pt idx="1222">
                  <c:v>2.8051849684089802E-2</c:v>
                </c:pt>
                <c:pt idx="1223">
                  <c:v>2.8047346285955399E-2</c:v>
                </c:pt>
                <c:pt idx="1224">
                  <c:v>2.8043471812093657E-2</c:v>
                </c:pt>
                <c:pt idx="1225">
                  <c:v>2.8038934771350554E-2</c:v>
                </c:pt>
                <c:pt idx="1226">
                  <c:v>2.8033727400016417E-2</c:v>
                </c:pt>
                <c:pt idx="1227">
                  <c:v>2.8029806344216368E-2</c:v>
                </c:pt>
                <c:pt idx="1228">
                  <c:v>2.8025214957825284E-2</c:v>
                </c:pt>
                <c:pt idx="1229">
                  <c:v>2.8020605456164915E-2</c:v>
                </c:pt>
                <c:pt idx="1230">
                  <c:v>2.8015977839315198E-2</c:v>
                </c:pt>
                <c:pt idx="1231">
                  <c:v>2.8011332107356068E-2</c:v>
                </c:pt>
                <c:pt idx="1232">
                  <c:v>2.8006668260127654E-2</c:v>
                </c:pt>
                <c:pt idx="1233">
                  <c:v>2.8001986297629955E-2</c:v>
                </c:pt>
                <c:pt idx="1234">
                  <c:v>2.7997286220022843E-2</c:v>
                </c:pt>
                <c:pt idx="1235">
                  <c:v>2.7992568027066511E-2</c:v>
                </c:pt>
                <c:pt idx="1236">
                  <c:v>2.7987831719080702E-2</c:v>
                </c:pt>
                <c:pt idx="1237">
                  <c:v>2.7983077295745673E-2</c:v>
                </c:pt>
                <c:pt idx="1238">
                  <c:v>2.7978304757221295E-2</c:v>
                </c:pt>
                <c:pt idx="1239">
                  <c:v>2.7973514103427632E-2</c:v>
                </c:pt>
                <c:pt idx="1240">
                  <c:v>2.7968705334524557E-2</c:v>
                </c:pt>
                <c:pt idx="1241">
                  <c:v>2.7963878450432134E-2</c:v>
                </c:pt>
                <c:pt idx="1242">
                  <c:v>2.7959033451070425E-2</c:v>
                </c:pt>
                <c:pt idx="1243">
                  <c:v>2.7954170336519368E-2</c:v>
                </c:pt>
                <c:pt idx="1244">
                  <c:v>2.7949289106778963E-2</c:v>
                </c:pt>
                <c:pt idx="1245">
                  <c:v>2.7944389761769273E-2</c:v>
                </c:pt>
                <c:pt idx="1246">
                  <c:v>2.793947230165017E-2</c:v>
                </c:pt>
                <c:pt idx="1247">
                  <c:v>2.7934536726261783E-2</c:v>
                </c:pt>
                <c:pt idx="1248">
                  <c:v>2.7929583035763983E-2</c:v>
                </c:pt>
                <c:pt idx="1249">
                  <c:v>2.7924611229916962E-2</c:v>
                </c:pt>
                <c:pt idx="1250">
                  <c:v>2.7919621309040465E-2</c:v>
                </c:pt>
                <c:pt idx="1251">
                  <c:v>2.7914613272814748E-2</c:v>
                </c:pt>
                <c:pt idx="1252">
                  <c:v>2.7909587121479618E-2</c:v>
                </c:pt>
                <c:pt idx="1253">
                  <c:v>2.790019919168607E-2</c:v>
                </c:pt>
                <c:pt idx="1254">
                  <c:v>2.7897305335491396E-2</c:v>
                </c:pt>
                <c:pt idx="1255">
                  <c:v>2.7893672712169248E-2</c:v>
                </c:pt>
                <c:pt idx="1256">
                  <c:v>2.7888571512066918E-2</c:v>
                </c:pt>
                <c:pt idx="1257">
                  <c:v>2.7883452196855174E-2</c:v>
                </c:pt>
                <c:pt idx="1258">
                  <c:v>2.7878314766374146E-2</c:v>
                </c:pt>
                <c:pt idx="1259">
                  <c:v>2.7873159220783705E-2</c:v>
                </c:pt>
                <c:pt idx="1260">
                  <c:v>2.7867985560003916E-2</c:v>
                </c:pt>
                <c:pt idx="1261">
                  <c:v>2.7862793784034778E-2</c:v>
                </c:pt>
                <c:pt idx="1262">
                  <c:v>2.7857583892876292E-2</c:v>
                </c:pt>
                <c:pt idx="1263">
                  <c:v>2.7852355886368585E-2</c:v>
                </c:pt>
                <c:pt idx="1264">
                  <c:v>2.7847109764911337E-2</c:v>
                </c:pt>
                <c:pt idx="1265">
                  <c:v>2.7841845528024933E-2</c:v>
                </c:pt>
                <c:pt idx="1266">
                  <c:v>2.7835050605400369E-2</c:v>
                </c:pt>
                <c:pt idx="1267">
                  <c:v>2.7831262709003823E-2</c:v>
                </c:pt>
                <c:pt idx="1268">
                  <c:v>2.7825944126629309E-2</c:v>
                </c:pt>
                <c:pt idx="1269">
                  <c:v>2.7820607429145383E-2</c:v>
                </c:pt>
                <c:pt idx="1270">
                  <c:v>2.7815252616472108E-2</c:v>
                </c:pt>
                <c:pt idx="1271">
                  <c:v>2.7809879688529549E-2</c:v>
                </c:pt>
                <c:pt idx="1272">
                  <c:v>2.7803717017675922E-2</c:v>
                </c:pt>
                <c:pt idx="1273">
                  <c:v>2.7798305271584667E-2</c:v>
                </c:pt>
                <c:pt idx="1274">
                  <c:v>2.7793652213885522E-2</c:v>
                </c:pt>
                <c:pt idx="1275">
                  <c:v>2.7788206825265505E-2</c:v>
                </c:pt>
                <c:pt idx="1276">
                  <c:v>2.7782743321456138E-2</c:v>
                </c:pt>
                <c:pt idx="1277">
                  <c:v>2.7777261702537359E-2</c:v>
                </c:pt>
                <c:pt idx="1278">
                  <c:v>2.7771761968429232E-2</c:v>
                </c:pt>
                <c:pt idx="1279">
                  <c:v>2.7765454376060816E-2</c:v>
                </c:pt>
                <c:pt idx="1280">
                  <c:v>2.7760708154564995E-2</c:v>
                </c:pt>
                <c:pt idx="1281">
                  <c:v>2.7755154074888821E-2</c:v>
                </c:pt>
                <c:pt idx="1282">
                  <c:v>2.77495818800233E-2</c:v>
                </c:pt>
                <c:pt idx="1283">
                  <c:v>2.7743991569968429E-2</c:v>
                </c:pt>
                <c:pt idx="1284">
                  <c:v>2.7738383144884082E-2</c:v>
                </c:pt>
                <c:pt idx="1285">
                  <c:v>2.7732756604370579E-2</c:v>
                </c:pt>
                <c:pt idx="1286">
                  <c:v>2.7727111948907535E-2</c:v>
                </c:pt>
                <c:pt idx="1287">
                  <c:v>2.7721449178255142E-2</c:v>
                </c:pt>
                <c:pt idx="1288">
                  <c:v>2.7715768292333465E-2</c:v>
                </c:pt>
                <c:pt idx="1289">
                  <c:v>2.7710069291302375E-2</c:v>
                </c:pt>
                <c:pt idx="1290">
                  <c:v>2.7704352175081937E-2</c:v>
                </c:pt>
                <c:pt idx="1291">
                  <c:v>2.7698616943752086E-2</c:v>
                </c:pt>
                <c:pt idx="1292">
                  <c:v>2.769286359715295E-2</c:v>
                </c:pt>
                <c:pt idx="1293">
                  <c:v>2.7687092135444402E-2</c:v>
                </c:pt>
                <c:pt idx="1294">
                  <c:v>2.7681302558546506E-2</c:v>
                </c:pt>
                <c:pt idx="1295">
                  <c:v>2.767549486645926E-2</c:v>
                </c:pt>
                <c:pt idx="1296">
                  <c:v>2.7669669059262603E-2</c:v>
                </c:pt>
                <c:pt idx="1297">
                  <c:v>2.7663825136876596E-2</c:v>
                </c:pt>
                <c:pt idx="1298">
                  <c:v>2.7657963099461114E-2</c:v>
                </c:pt>
                <c:pt idx="1299">
                  <c:v>2.765208294669641E-2</c:v>
                </c:pt>
                <c:pt idx="1300">
                  <c:v>2.7646184678982166E-2</c:v>
                </c:pt>
                <c:pt idx="1301">
                  <c:v>2.7640268295918702E-2</c:v>
                </c:pt>
                <c:pt idx="1302">
                  <c:v>2.7634333797745825E-2</c:v>
                </c:pt>
                <c:pt idx="1303">
                  <c:v>2.7628381184383599E-2</c:v>
                </c:pt>
                <c:pt idx="1304">
                  <c:v>2.7622410455911961E-2</c:v>
                </c:pt>
                <c:pt idx="1305">
                  <c:v>2.7615564584442254E-2</c:v>
                </c:pt>
                <c:pt idx="1306">
                  <c:v>2.761018374474844E-2</c:v>
                </c:pt>
                <c:pt idx="1307">
                  <c:v>2.7603527376012238E-2</c:v>
                </c:pt>
                <c:pt idx="1308">
                  <c:v>2.7598346390531603E-2</c:v>
                </c:pt>
                <c:pt idx="1309">
                  <c:v>2.7592285086273094E-2</c:v>
                </c:pt>
                <c:pt idx="1310">
                  <c:v>2.7586205666825236E-2</c:v>
                </c:pt>
                <c:pt idx="1311">
                  <c:v>2.7580108132427839E-2</c:v>
                </c:pt>
                <c:pt idx="1312">
                  <c:v>2.757399248268122E-2</c:v>
                </c:pt>
                <c:pt idx="1313">
                  <c:v>2.7567858717905125E-2</c:v>
                </c:pt>
                <c:pt idx="1314">
                  <c:v>2.7561706837859745E-2</c:v>
                </c:pt>
                <c:pt idx="1315">
                  <c:v>2.7555536842704953E-2</c:v>
                </c:pt>
                <c:pt idx="1316">
                  <c:v>2.7549348732440748E-2</c:v>
                </c:pt>
                <c:pt idx="1317">
                  <c:v>2.7543142507067131E-2</c:v>
                </c:pt>
                <c:pt idx="1318">
                  <c:v>2.7536918166504165E-2</c:v>
                </c:pt>
                <c:pt idx="1319">
                  <c:v>2.7530675710751851E-2</c:v>
                </c:pt>
                <c:pt idx="1320">
                  <c:v>2.7524415140049996E-2</c:v>
                </c:pt>
                <c:pt idx="1321">
                  <c:v>2.7516339216440144E-2</c:v>
                </c:pt>
                <c:pt idx="1322">
                  <c:v>2.7511839652918368E-2</c:v>
                </c:pt>
                <c:pt idx="1323">
                  <c:v>2.7505524736648468E-2</c:v>
                </c:pt>
                <c:pt idx="1324">
                  <c:v>2.7499191705189219E-2</c:v>
                </c:pt>
                <c:pt idx="1325">
                  <c:v>2.7492840558700493E-2</c:v>
                </c:pt>
                <c:pt idx="1326">
                  <c:v>2.7486471297022419E-2</c:v>
                </c:pt>
                <c:pt idx="1327">
                  <c:v>2.7479169959088168E-2</c:v>
                </c:pt>
                <c:pt idx="1328">
                  <c:v>2.7472761879261398E-2</c:v>
                </c:pt>
                <c:pt idx="1329">
                  <c:v>2.7467254821331721E-2</c:v>
                </c:pt>
                <c:pt idx="1330">
                  <c:v>2.7460813099056125E-2</c:v>
                </c:pt>
                <c:pt idx="1331">
                  <c:v>2.7453428949044678E-2</c:v>
                </c:pt>
                <c:pt idx="1332">
                  <c:v>2.7447875309336567E-2</c:v>
                </c:pt>
                <c:pt idx="1333">
                  <c:v>2.7441379241652797E-2</c:v>
                </c:pt>
                <c:pt idx="1334">
                  <c:v>2.7434865059019486E-2</c:v>
                </c:pt>
                <c:pt idx="1335">
                  <c:v>2.7428332761116891E-2</c:v>
                </c:pt>
                <c:pt idx="1336">
                  <c:v>2.742178234818482E-2</c:v>
                </c:pt>
                <c:pt idx="1337">
                  <c:v>2.74152138200634E-2</c:v>
                </c:pt>
                <c:pt idx="1338">
                  <c:v>2.7408627176912503E-2</c:v>
                </c:pt>
                <c:pt idx="1339">
                  <c:v>2.7402022418572258E-2</c:v>
                </c:pt>
                <c:pt idx="1340">
                  <c:v>2.7395399545122601E-2</c:v>
                </c:pt>
                <c:pt idx="1341">
                  <c:v>2.7388758556563531E-2</c:v>
                </c:pt>
                <c:pt idx="1342">
                  <c:v>2.7382099452815112E-2</c:v>
                </c:pt>
                <c:pt idx="1343">
                  <c:v>2.7375422233957281E-2</c:v>
                </c:pt>
                <c:pt idx="1344">
                  <c:v>2.7368726900069973E-2</c:v>
                </c:pt>
                <c:pt idx="1345">
                  <c:v>2.7362013451073253E-2</c:v>
                </c:pt>
                <c:pt idx="1346">
                  <c:v>2.7355281886887184E-2</c:v>
                </c:pt>
                <c:pt idx="1347">
                  <c:v>2.7348532207671639E-2</c:v>
                </c:pt>
                <c:pt idx="1348">
                  <c:v>2.7341764413186809E-2</c:v>
                </c:pt>
                <c:pt idx="1349">
                  <c:v>2.7334978503832374E-2</c:v>
                </c:pt>
                <c:pt idx="1350">
                  <c:v>2.732817447912872E-2</c:v>
                </c:pt>
                <c:pt idx="1351">
                  <c:v>2.7321352339395588E-2</c:v>
                </c:pt>
                <c:pt idx="1352">
                  <c:v>2.7314512084553044E-2</c:v>
                </c:pt>
                <c:pt idx="1353">
                  <c:v>2.7307653714601088E-2</c:v>
                </c:pt>
                <c:pt idx="1354">
                  <c:v>2.7300777229539719E-2</c:v>
                </c:pt>
                <c:pt idx="1355">
                  <c:v>2.7293882629448873E-2</c:v>
                </c:pt>
                <c:pt idx="1356">
                  <c:v>2.7286969914248616E-2</c:v>
                </c:pt>
                <c:pt idx="1357">
                  <c:v>2.7279047486414854E-2</c:v>
                </c:pt>
                <c:pt idx="1358">
                  <c:v>2.727309013835999E-2</c:v>
                </c:pt>
                <c:pt idx="1359">
                  <c:v>2.7265126304607534E-2</c:v>
                </c:pt>
                <c:pt idx="1360">
                  <c:v>2.725913790211365E-2</c:v>
                </c:pt>
                <c:pt idx="1361">
                  <c:v>2.7252134611286394E-2</c:v>
                </c:pt>
                <c:pt idx="1362">
                  <c:v>2.7245113205509597E-2</c:v>
                </c:pt>
                <c:pt idx="1363">
                  <c:v>2.7238073684463515E-2</c:v>
                </c:pt>
                <c:pt idx="1364">
                  <c:v>2.7231016048387957E-2</c:v>
                </c:pt>
                <c:pt idx="1365">
                  <c:v>2.7223940297282923E-2</c:v>
                </c:pt>
                <c:pt idx="1366">
                  <c:v>2.7216846430988539E-2</c:v>
                </c:pt>
                <c:pt idx="1367">
                  <c:v>2.720973444966468E-2</c:v>
                </c:pt>
                <c:pt idx="1368">
                  <c:v>2.7202604353231408E-2</c:v>
                </c:pt>
                <c:pt idx="1369">
                  <c:v>2.7195456141688723E-2</c:v>
                </c:pt>
                <c:pt idx="1370">
                  <c:v>2.7188289815036626E-2</c:v>
                </c:pt>
                <c:pt idx="1371">
                  <c:v>2.7181105373355052E-2</c:v>
                </c:pt>
                <c:pt idx="1372">
                  <c:v>2.7171841615913905E-2</c:v>
                </c:pt>
                <c:pt idx="1373">
                  <c:v>2.7166682144663667E-2</c:v>
                </c:pt>
                <c:pt idx="1374">
                  <c:v>2.7159443357733792E-2</c:v>
                </c:pt>
                <c:pt idx="1375">
                  <c:v>2.7151148276551851E-2</c:v>
                </c:pt>
                <c:pt idx="1376">
                  <c:v>2.7144911438545805E-2</c:v>
                </c:pt>
                <c:pt idx="1377">
                  <c:v>2.7137618306287692E-2</c:v>
                </c:pt>
                <c:pt idx="1378">
                  <c:v>2.7129261116307646E-2</c:v>
                </c:pt>
                <c:pt idx="1379">
                  <c:v>2.712192916606071E-2</c:v>
                </c:pt>
                <c:pt idx="1380">
                  <c:v>2.7115630219176623E-2</c:v>
                </c:pt>
                <c:pt idx="1381">
                  <c:v>2.7108264626560796E-2</c:v>
                </c:pt>
                <c:pt idx="1382">
                  <c:v>2.7100880918995429E-2</c:v>
                </c:pt>
                <c:pt idx="1383">
                  <c:v>2.7092420214298585E-2</c:v>
                </c:pt>
                <c:pt idx="1384">
                  <c:v>2.7086059158456521E-2</c:v>
                </c:pt>
                <c:pt idx="1385">
                  <c:v>2.7078621105722789E-2</c:v>
                </c:pt>
                <c:pt idx="1386">
                  <c:v>2.7071164937719772E-2</c:v>
                </c:pt>
                <c:pt idx="1387">
                  <c:v>2.7063690654767214E-2</c:v>
                </c:pt>
                <c:pt idx="1388">
                  <c:v>2.7056198256705244E-2</c:v>
                </c:pt>
                <c:pt idx="1389">
                  <c:v>2.7048687743613797E-2</c:v>
                </c:pt>
                <c:pt idx="1390">
                  <c:v>2.7041159115412938E-2</c:v>
                </c:pt>
                <c:pt idx="1391">
                  <c:v>2.7033612372182603E-2</c:v>
                </c:pt>
                <c:pt idx="1392">
                  <c:v>2.7026047513842855E-2</c:v>
                </c:pt>
                <c:pt idx="1393">
                  <c:v>2.7018464540393694E-2</c:v>
                </c:pt>
                <c:pt idx="1394">
                  <c:v>2.7010863451994993E-2</c:v>
                </c:pt>
                <c:pt idx="1395">
                  <c:v>2.700324424848688E-2</c:v>
                </c:pt>
                <c:pt idx="1396">
                  <c:v>2.6995606929869354E-2</c:v>
                </c:pt>
                <c:pt idx="1397">
                  <c:v>2.6987951496222351E-2</c:v>
                </c:pt>
                <c:pt idx="1398">
                  <c:v>2.6980277947545872E-2</c:v>
                </c:pt>
                <c:pt idx="1399">
                  <c:v>2.6972586283839917E-2</c:v>
                </c:pt>
                <c:pt idx="1400">
                  <c:v>2.6964876504944613E-2</c:v>
                </c:pt>
                <c:pt idx="1401">
                  <c:v>2.6957148611099768E-2</c:v>
                </c:pt>
                <c:pt idx="1402">
                  <c:v>2.6949402602225447E-2</c:v>
                </c:pt>
                <c:pt idx="1403">
                  <c:v>2.6941638478241714E-2</c:v>
                </c:pt>
                <c:pt idx="1404">
                  <c:v>2.6933856239148568E-2</c:v>
                </c:pt>
                <c:pt idx="1405">
                  <c:v>2.6926055885105882E-2</c:v>
                </c:pt>
                <c:pt idx="1406">
                  <c:v>2.6918237415953783E-2</c:v>
                </c:pt>
                <c:pt idx="1407">
                  <c:v>2.6910400831852144E-2</c:v>
                </c:pt>
                <c:pt idx="1408">
                  <c:v>2.6902546132561156E-2</c:v>
                </c:pt>
                <c:pt idx="1409">
                  <c:v>2.6892420615496349E-2</c:v>
                </c:pt>
                <c:pt idx="1410">
                  <c:v>2.6885653634680651E-2</c:v>
                </c:pt>
                <c:pt idx="1411">
                  <c:v>2.6878873344671206E-2</c:v>
                </c:pt>
                <c:pt idx="1412">
                  <c:v>2.6870946185262312E-2</c:v>
                </c:pt>
                <c:pt idx="1413">
                  <c:v>2.6863000910823942E-2</c:v>
                </c:pt>
                <c:pt idx="1414">
                  <c:v>2.6855037521356095E-2</c:v>
                </c:pt>
                <c:pt idx="1415">
                  <c:v>2.6847056016778836E-2</c:v>
                </c:pt>
                <c:pt idx="1416">
                  <c:v>2.6839056397252037E-2</c:v>
                </c:pt>
                <c:pt idx="1417">
                  <c:v>2.6831038662615825E-2</c:v>
                </c:pt>
                <c:pt idx="1418">
                  <c:v>2.6823002813030072E-2</c:v>
                </c:pt>
                <c:pt idx="1419">
                  <c:v>2.6814948848334907E-2</c:v>
                </c:pt>
                <c:pt idx="1420">
                  <c:v>2.6806876768610266E-2</c:v>
                </c:pt>
                <c:pt idx="1421">
                  <c:v>2.6798786573936084E-2</c:v>
                </c:pt>
                <c:pt idx="1422">
                  <c:v>2.678835827699011E-2</c:v>
                </c:pt>
                <c:pt idx="1423">
                  <c:v>2.6782551839339419E-2</c:v>
                </c:pt>
                <c:pt idx="1424">
                  <c:v>2.6774407299496872E-2</c:v>
                </c:pt>
                <c:pt idx="1425">
                  <c:v>2.676624464478472E-2</c:v>
                </c:pt>
                <c:pt idx="1426">
                  <c:v>2.675806387488322E-2</c:v>
                </c:pt>
                <c:pt idx="1427">
                  <c:v>2.6749099379057562E-2</c:v>
                </c:pt>
                <c:pt idx="1428">
                  <c:v>2.6740472654163128E-2</c:v>
                </c:pt>
                <c:pt idx="1429">
                  <c:v>2.6732234951323264E-2</c:v>
                </c:pt>
                <c:pt idx="1430">
                  <c:v>2.6725159645142327E-2</c:v>
                </c:pt>
                <c:pt idx="1431">
                  <c:v>2.671688830017338E-2</c:v>
                </c:pt>
                <c:pt idx="1432">
                  <c:v>2.6708598840254894E-2</c:v>
                </c:pt>
                <c:pt idx="1433">
                  <c:v>2.6700291265226994E-2</c:v>
                </c:pt>
                <c:pt idx="1434">
                  <c:v>2.6691965575169618E-2</c:v>
                </c:pt>
                <c:pt idx="1435">
                  <c:v>2.6682428319224627E-2</c:v>
                </c:pt>
                <c:pt idx="1436">
                  <c:v>2.6675259850046373E-2</c:v>
                </c:pt>
                <c:pt idx="1437">
                  <c:v>2.6666879814980504E-2</c:v>
                </c:pt>
                <c:pt idx="1438">
                  <c:v>2.6658481664885159E-2</c:v>
                </c:pt>
                <c:pt idx="1439">
                  <c:v>2.6650065399840273E-2</c:v>
                </c:pt>
                <c:pt idx="1440">
                  <c:v>2.6641631019685974E-2</c:v>
                </c:pt>
                <c:pt idx="1441">
                  <c:v>2.6633178524662071E-2</c:v>
                </c:pt>
                <c:pt idx="1442">
                  <c:v>2.6624707914528756E-2</c:v>
                </c:pt>
                <c:pt idx="1443">
                  <c:v>2.66162191894459E-2</c:v>
                </c:pt>
                <c:pt idx="1444">
                  <c:v>2.6607712349253632E-2</c:v>
                </c:pt>
                <c:pt idx="1445">
                  <c:v>2.6599187394191759E-2</c:v>
                </c:pt>
                <c:pt idx="1446">
                  <c:v>2.659064432410041E-2</c:v>
                </c:pt>
                <c:pt idx="1447">
                  <c:v>2.6582083138979584E-2</c:v>
                </c:pt>
                <c:pt idx="1448">
                  <c:v>2.6573503838829282E-2</c:v>
                </c:pt>
                <c:pt idx="1449">
                  <c:v>2.6564907963537721E-2</c:v>
                </c:pt>
                <c:pt idx="1450">
                  <c:v>2.6556300914784003E-2</c:v>
                </c:pt>
                <c:pt idx="1451">
                  <c:v>2.6547683172024605E-2</c:v>
                </c:pt>
                <c:pt idx="1452">
                  <c:v>2.6539054735419398E-2</c:v>
                </c:pt>
                <c:pt idx="1453">
                  <c:v>2.6530415604968383E-2</c:v>
                </c:pt>
                <c:pt idx="1454">
                  <c:v>2.6521765780671558E-2</c:v>
                </c:pt>
                <c:pt idx="1455">
                  <c:v>2.6513105262448988E-2</c:v>
                </c:pt>
                <c:pt idx="1456">
                  <c:v>2.6504434050300674E-2</c:v>
                </c:pt>
                <c:pt idx="1457">
                  <c:v>2.6495752144386486E-2</c:v>
                </c:pt>
                <c:pt idx="1458">
                  <c:v>2.6487059544546554E-2</c:v>
                </c:pt>
                <c:pt idx="1459">
                  <c:v>2.6478356250860813E-2</c:v>
                </c:pt>
                <c:pt idx="1460">
                  <c:v>2.6469642263249327E-2</c:v>
                </c:pt>
                <c:pt idx="1461">
                  <c:v>2.6458567242572784E-2</c:v>
                </c:pt>
                <c:pt idx="1462">
                  <c:v>2.6449128663816879E-2</c:v>
                </c:pt>
                <c:pt idx="1463">
                  <c:v>2.6442185826045517E-2</c:v>
                </c:pt>
                <c:pt idx="1464">
                  <c:v>2.6433427535312859E-2</c:v>
                </c:pt>
                <c:pt idx="1465">
                  <c:v>2.6424658550734392E-2</c:v>
                </c:pt>
                <c:pt idx="1466">
                  <c:v>2.6415878872230181E-2</c:v>
                </c:pt>
                <c:pt idx="1467">
                  <c:v>2.6407088499960096E-2</c:v>
                </c:pt>
                <c:pt idx="1468">
                  <c:v>2.6398287433764267E-2</c:v>
                </c:pt>
                <c:pt idx="1469">
                  <c:v>2.6389475673722629E-2</c:v>
                </c:pt>
                <c:pt idx="1470">
                  <c:v>2.6380653219835182E-2</c:v>
                </c:pt>
                <c:pt idx="1471">
                  <c:v>2.637182007202199E-2</c:v>
                </c:pt>
                <c:pt idx="1472">
                  <c:v>2.6362976230442925E-2</c:v>
                </c:pt>
                <c:pt idx="1473">
                  <c:v>2.6354121695018051E-2</c:v>
                </c:pt>
                <c:pt idx="1474">
                  <c:v>2.6345256465587497E-2</c:v>
                </c:pt>
                <c:pt idx="1475">
                  <c:v>2.6336380542471005E-2</c:v>
                </c:pt>
                <c:pt idx="1476">
                  <c:v>2.6327493925348833E-2</c:v>
                </c:pt>
                <c:pt idx="1477">
                  <c:v>2.6316703702953248E-2</c:v>
                </c:pt>
                <c:pt idx="1478">
                  <c:v>2.6309688609646997E-2</c:v>
                </c:pt>
                <c:pt idx="1479">
                  <c:v>2.6301093114891039E-2</c:v>
                </c:pt>
                <c:pt idx="1480">
                  <c:v>2.62905640182165E-2</c:v>
                </c:pt>
                <c:pt idx="1481">
                  <c:v>2.6281622404127347E-2</c:v>
                </c:pt>
                <c:pt idx="1482">
                  <c:v>2.6272027300056067E-2</c:v>
                </c:pt>
                <c:pt idx="1483">
                  <c:v>2.6263707094491551E-2</c:v>
                </c:pt>
                <c:pt idx="1484">
                  <c:v>2.6254081874084179E-2</c:v>
                </c:pt>
                <c:pt idx="1485">
                  <c:v>2.6245749009552455E-2</c:v>
                </c:pt>
                <c:pt idx="1486">
                  <c:v>2.6237692795156864E-2</c:v>
                </c:pt>
                <c:pt idx="1487">
                  <c:v>2.6227083523009398E-2</c:v>
                </c:pt>
                <c:pt idx="1488">
                  <c:v>2.621806268272131E-2</c:v>
                </c:pt>
                <c:pt idx="1489">
                  <c:v>2.6209031147494954E-2</c:v>
                </c:pt>
                <c:pt idx="1490">
                  <c:v>2.619998891733033E-2</c:v>
                </c:pt>
                <c:pt idx="1491">
                  <c:v>2.6190935992174147E-2</c:v>
                </c:pt>
                <c:pt idx="1492">
                  <c:v>2.6181872372106341E-2</c:v>
                </c:pt>
                <c:pt idx="1493">
                  <c:v>2.6172798057100266E-2</c:v>
                </c:pt>
                <c:pt idx="1494">
                  <c:v>2.6163713047155923E-2</c:v>
                </c:pt>
                <c:pt idx="1495">
                  <c:v>2.6154617342246667E-2</c:v>
                </c:pt>
                <c:pt idx="1496">
                  <c:v>2.6145510942425787E-2</c:v>
                </c:pt>
                <c:pt idx="1497">
                  <c:v>2.6136393847693284E-2</c:v>
                </c:pt>
                <c:pt idx="1498">
                  <c:v>2.6127266057995868E-2</c:v>
                </c:pt>
                <c:pt idx="1499">
                  <c:v>2.6118127573386829E-2</c:v>
                </c:pt>
                <c:pt idx="1500">
                  <c:v>2.6108978393839521E-2</c:v>
                </c:pt>
                <c:pt idx="1501">
                  <c:v>2.6099818519380591E-2</c:v>
                </c:pt>
                <c:pt idx="1502">
                  <c:v>2.6090647950010037E-2</c:v>
                </c:pt>
                <c:pt idx="1503">
                  <c:v>2.6081466685727861E-2</c:v>
                </c:pt>
                <c:pt idx="1504">
                  <c:v>2.6072274726507416E-2</c:v>
                </c:pt>
                <c:pt idx="1505">
                  <c:v>2.6063072072375348E-2</c:v>
                </c:pt>
                <c:pt idx="1506">
                  <c:v>2.6053858723358303E-2</c:v>
                </c:pt>
                <c:pt idx="1507">
                  <c:v>2.6044634679429635E-2</c:v>
                </c:pt>
                <c:pt idx="1508">
                  <c:v>2.6035399940562698E-2</c:v>
                </c:pt>
                <c:pt idx="1509">
                  <c:v>2.6026154506810784E-2</c:v>
                </c:pt>
                <c:pt idx="1510">
                  <c:v>2.6016898378173892E-2</c:v>
                </c:pt>
                <c:pt idx="1511">
                  <c:v>2.6007631554652022E-2</c:v>
                </c:pt>
                <c:pt idx="1512">
                  <c:v>2.5998354036191884E-2</c:v>
                </c:pt>
                <c:pt idx="1513">
                  <c:v>2.5979766914669966E-2</c:v>
                </c:pt>
                <c:pt idx="1514">
                  <c:v>2.5972574660331205E-2</c:v>
                </c:pt>
                <c:pt idx="1515">
                  <c:v>2.5965922629564986E-2</c:v>
                </c:pt>
                <c:pt idx="1516">
                  <c:v>2.5961137013528202E-2</c:v>
                </c:pt>
                <c:pt idx="1517">
                  <c:v>2.5951806020696466E-2</c:v>
                </c:pt>
                <c:pt idx="1518">
                  <c:v>2.5942464332899817E-2</c:v>
                </c:pt>
                <c:pt idx="1519">
                  <c:v>2.5933111950271481E-2</c:v>
                </c:pt>
                <c:pt idx="1520">
                  <c:v>2.5923748872758168E-2</c:v>
                </c:pt>
                <c:pt idx="1521">
                  <c:v>2.5914375100386522E-2</c:v>
                </c:pt>
                <c:pt idx="1522">
                  <c:v>2.5904990633129898E-2</c:v>
                </c:pt>
                <c:pt idx="1523">
                  <c:v>2.5895595471014943E-2</c:v>
                </c:pt>
                <c:pt idx="1524">
                  <c:v>2.5886189614041655E-2</c:v>
                </c:pt>
                <c:pt idx="1525">
                  <c:v>2.5876773062183389E-2</c:v>
                </c:pt>
                <c:pt idx="1526">
                  <c:v>2.5867345815466791E-2</c:v>
                </c:pt>
                <c:pt idx="1527">
                  <c:v>2.5852003334927431E-2</c:v>
                </c:pt>
                <c:pt idx="1528">
                  <c:v>2.5843902393010154E-2</c:v>
                </c:pt>
                <c:pt idx="1529">
                  <c:v>2.5834441364329663E-2</c:v>
                </c:pt>
                <c:pt idx="1530">
                  <c:v>2.5824969641723428E-2</c:v>
                </c:pt>
                <c:pt idx="1531">
                  <c:v>2.5814131721402234E-2</c:v>
                </c:pt>
                <c:pt idx="1532">
                  <c:v>2.5805994115213338E-2</c:v>
                </c:pt>
                <c:pt idx="1533">
                  <c:v>2.5795131751884526E-2</c:v>
                </c:pt>
                <c:pt idx="1534">
                  <c:v>2.5785615726396927E-2</c:v>
                </c:pt>
                <c:pt idx="1535">
                  <c:v>2.577745062172454E-2</c:v>
                </c:pt>
                <c:pt idx="1536">
                  <c:v>2.5767914736283259E-2</c:v>
                </c:pt>
                <c:pt idx="1537">
                  <c:v>2.5758368157076106E-2</c:v>
                </c:pt>
                <c:pt idx="1538">
                  <c:v>2.5747444686388121E-2</c:v>
                </c:pt>
                <c:pt idx="1539">
                  <c:v>2.5739242917284244E-2</c:v>
                </c:pt>
                <c:pt idx="1540">
                  <c:v>2.57296642566196E-2</c:v>
                </c:pt>
                <c:pt idx="1541">
                  <c:v>2.5720074902109147E-2</c:v>
                </c:pt>
                <c:pt idx="1542">
                  <c:v>2.5710474853832821E-2</c:v>
                </c:pt>
                <c:pt idx="1543">
                  <c:v>2.5700864111870558E-2</c:v>
                </c:pt>
                <c:pt idx="1544">
                  <c:v>2.5691242675982551E-2</c:v>
                </c:pt>
                <c:pt idx="1545">
                  <c:v>2.568161054632867E-2</c:v>
                </c:pt>
                <c:pt idx="1546">
                  <c:v>2.5671967722908917E-2</c:v>
                </c:pt>
                <c:pt idx="1547">
                  <c:v>2.5662314205723291E-2</c:v>
                </c:pt>
                <c:pt idx="1548">
                  <c:v>2.5652649994531984E-2</c:v>
                </c:pt>
                <c:pt idx="1549">
                  <c:v>2.5642975089814612E-2</c:v>
                </c:pt>
                <c:pt idx="1550">
                  <c:v>2.5633289491171496E-2</c:v>
                </c:pt>
                <c:pt idx="1551">
                  <c:v>2.562359319868257E-2</c:v>
                </c:pt>
                <c:pt idx="1552">
                  <c:v>2.5613886212427772E-2</c:v>
                </c:pt>
                <c:pt idx="1553">
                  <c:v>2.5604168532487037E-2</c:v>
                </c:pt>
                <c:pt idx="1554">
                  <c:v>2.5594440158700493E-2</c:v>
                </c:pt>
                <c:pt idx="1555">
                  <c:v>2.558470109106814E-2</c:v>
                </c:pt>
                <c:pt idx="1556">
                  <c:v>2.5574951329749851E-2</c:v>
                </c:pt>
                <c:pt idx="1557">
                  <c:v>2.5565190874505817E-2</c:v>
                </c:pt>
                <c:pt idx="1558">
                  <c:v>2.5555419725655781E-2</c:v>
                </c:pt>
                <c:pt idx="1559">
                  <c:v>2.5545637882800065E-2</c:v>
                </c:pt>
                <c:pt idx="1560">
                  <c:v>2.5535845346258412E-2</c:v>
                </c:pt>
                <c:pt idx="1561">
                  <c:v>2.5526042115950887E-2</c:v>
                </c:pt>
                <c:pt idx="1562">
                  <c:v>2.5516228191877488E-2</c:v>
                </c:pt>
                <c:pt idx="1563">
                  <c:v>2.5506403573958281E-2</c:v>
                </c:pt>
                <c:pt idx="1564">
                  <c:v>2.54965682622732E-2</c:v>
                </c:pt>
                <c:pt idx="1565">
                  <c:v>2.5484698348197554E-2</c:v>
                </c:pt>
                <c:pt idx="1566">
                  <c:v>2.5472637984274016E-2</c:v>
                </c:pt>
                <c:pt idx="1567">
                  <c:v>2.5465587663946465E-2</c:v>
                </c:pt>
                <c:pt idx="1568">
                  <c:v>2.5457120077794215E-2</c:v>
                </c:pt>
                <c:pt idx="1569">
                  <c:v>2.5447231297199835E-2</c:v>
                </c:pt>
                <c:pt idx="1570">
                  <c:v>2.5437331822839582E-2</c:v>
                </c:pt>
                <c:pt idx="1571">
                  <c:v>2.5427421654713456E-2</c:v>
                </c:pt>
                <c:pt idx="1572">
                  <c:v>2.5417500792821457E-2</c:v>
                </c:pt>
                <c:pt idx="1573">
                  <c:v>2.5407569237163585E-2</c:v>
                </c:pt>
                <c:pt idx="1574">
                  <c:v>2.5397626987739841E-2</c:v>
                </c:pt>
                <c:pt idx="1575">
                  <c:v>2.5387674044390351E-2</c:v>
                </c:pt>
                <c:pt idx="1576">
                  <c:v>2.5377710407434861E-2</c:v>
                </c:pt>
                <c:pt idx="1577">
                  <c:v>2.5367736076633562E-2</c:v>
                </c:pt>
                <c:pt idx="1578">
                  <c:v>2.5357751052146327E-2</c:v>
                </c:pt>
                <c:pt idx="1579">
                  <c:v>2.5347755333813282E-2</c:v>
                </c:pt>
                <c:pt idx="1580">
                  <c:v>2.5337748921714365E-2</c:v>
                </c:pt>
                <c:pt idx="1581">
                  <c:v>2.5327731815929511E-2</c:v>
                </c:pt>
                <c:pt idx="1582">
                  <c:v>2.5314836966501275E-2</c:v>
                </c:pt>
                <c:pt idx="1583">
                  <c:v>2.5307665522822376E-2</c:v>
                </c:pt>
                <c:pt idx="1584">
                  <c:v>2.5297616335739903E-2</c:v>
                </c:pt>
                <c:pt idx="1585">
                  <c:v>2.5287556454811622E-2</c:v>
                </c:pt>
                <c:pt idx="1586">
                  <c:v>2.5277485880117467E-2</c:v>
                </c:pt>
                <c:pt idx="1587">
                  <c:v>2.526740461165744E-2</c:v>
                </c:pt>
                <c:pt idx="1588">
                  <c:v>2.5255870067617536E-2</c:v>
                </c:pt>
                <c:pt idx="1589">
                  <c:v>2.52457658840477E-2</c:v>
                </c:pt>
                <c:pt idx="1590">
                  <c:v>2.5237096643762058E-2</c:v>
                </c:pt>
                <c:pt idx="1591">
                  <c:v>2.5225525435450535E-2</c:v>
                </c:pt>
                <c:pt idx="1592">
                  <c:v>2.5216837863109021E-2</c:v>
                </c:pt>
                <c:pt idx="1593">
                  <c:v>2.5206692432133693E-2</c:v>
                </c:pt>
                <c:pt idx="1594">
                  <c:v>2.5196536307472428E-2</c:v>
                </c:pt>
                <c:pt idx="1595">
                  <c:v>2.5186369488805482E-2</c:v>
                </c:pt>
                <c:pt idx="1596">
                  <c:v>2.5176191976532536E-2</c:v>
                </c:pt>
                <c:pt idx="1597">
                  <c:v>2.5166003770653589E-2</c:v>
                </c:pt>
                <c:pt idx="1598">
                  <c:v>2.5155804870768961E-2</c:v>
                </c:pt>
                <c:pt idx="1599">
                  <c:v>2.5145595277278332E-2</c:v>
                </c:pt>
                <c:pt idx="1600">
                  <c:v>2.513537499002183E-2</c:v>
                </c:pt>
                <c:pt idx="1601">
                  <c:v>2.5125144008999456E-2</c:v>
                </c:pt>
                <c:pt idx="1602">
                  <c:v>2.5114902334291145E-2</c:v>
                </c:pt>
                <c:pt idx="1603">
                  <c:v>2.5104649965737025E-2</c:v>
                </c:pt>
                <c:pt idx="1604">
                  <c:v>2.5094386903417032E-2</c:v>
                </c:pt>
                <c:pt idx="1605">
                  <c:v>2.5084113147570974E-2</c:v>
                </c:pt>
                <c:pt idx="1606">
                  <c:v>2.50738286976393E-2</c:v>
                </c:pt>
                <c:pt idx="1607">
                  <c:v>2.5063533554181561E-2</c:v>
                </c:pt>
                <c:pt idx="1608">
                  <c:v>2.5053227716957949E-2</c:v>
                </c:pt>
                <c:pt idx="1609">
                  <c:v>2.5042911185968464E-2</c:v>
                </c:pt>
                <c:pt idx="1610">
                  <c:v>2.5032583961293042E-2</c:v>
                </c:pt>
                <c:pt idx="1611">
                  <c:v>2.5022246042771812E-2</c:v>
                </c:pt>
                <c:pt idx="1612">
                  <c:v>2.5011897430644581E-2</c:v>
                </c:pt>
                <c:pt idx="1613">
                  <c:v>2.5001538124591605E-2</c:v>
                </c:pt>
                <c:pt idx="1614">
                  <c:v>2.4991168125012564E-2</c:v>
                </c:pt>
                <c:pt idx="1615">
                  <c:v>2.4980787431507778E-2</c:v>
                </c:pt>
                <c:pt idx="1616">
                  <c:v>2.4970396044317056E-2</c:v>
                </c:pt>
                <c:pt idx="1617">
                  <c:v>2.4958507078984837E-2</c:v>
                </c:pt>
                <c:pt idx="1618">
                  <c:v>2.4948092776604369E-2</c:v>
                </c:pt>
                <c:pt idx="1619">
                  <c:v>2.49376677806179E-2</c:v>
                </c:pt>
                <c:pt idx="1620">
                  <c:v>2.4928723558375054E-2</c:v>
                </c:pt>
                <c:pt idx="1621">
                  <c:v>2.491827870251484E-2</c:v>
                </c:pt>
                <c:pt idx="1622">
                  <c:v>2.4907823152968689E-2</c:v>
                </c:pt>
                <c:pt idx="1623">
                  <c:v>2.4897356909656665E-2</c:v>
                </c:pt>
                <c:pt idx="1624">
                  <c:v>2.4886879972658704E-2</c:v>
                </c:pt>
                <c:pt idx="1625">
                  <c:v>2.4876392341974807E-2</c:v>
                </c:pt>
                <c:pt idx="1626">
                  <c:v>2.4865894017525036E-2</c:v>
                </c:pt>
                <c:pt idx="1627">
                  <c:v>2.4855384999309393E-2</c:v>
                </c:pt>
                <c:pt idx="1628">
                  <c:v>2.4844865287407814E-2</c:v>
                </c:pt>
                <c:pt idx="1629">
                  <c:v>2.4834334881740361E-2</c:v>
                </c:pt>
                <c:pt idx="1630">
                  <c:v>2.4823793782307035E-2</c:v>
                </c:pt>
                <c:pt idx="1631">
                  <c:v>2.4813241989267709E-2</c:v>
                </c:pt>
                <c:pt idx="1632">
                  <c:v>2.4799659684946462E-2</c:v>
                </c:pt>
                <c:pt idx="1633">
                  <c:v>2.4792106321971374E-2</c:v>
                </c:pt>
                <c:pt idx="1634">
                  <c:v>2.4781522447714366E-2</c:v>
                </c:pt>
                <c:pt idx="1635">
                  <c:v>2.4770927879771421E-2</c:v>
                </c:pt>
                <c:pt idx="1636">
                  <c:v>2.476032261790273E-2</c:v>
                </c:pt>
                <c:pt idx="1637">
                  <c:v>2.4749706662587911E-2</c:v>
                </c:pt>
                <c:pt idx="1638">
                  <c:v>2.4737561047833978E-2</c:v>
                </c:pt>
                <c:pt idx="1639">
                  <c:v>2.4726922177329413E-2</c:v>
                </c:pt>
                <c:pt idx="1640">
                  <c:v>2.4717794634128154E-2</c:v>
                </c:pt>
                <c:pt idx="1641">
                  <c:v>2.4707135903909716E-2</c:v>
                </c:pt>
                <c:pt idx="1642">
                  <c:v>2.4696466479925405E-2</c:v>
                </c:pt>
                <c:pt idx="1643">
                  <c:v>2.4684259758132043E-2</c:v>
                </c:pt>
                <c:pt idx="1644">
                  <c:v>2.4675095550898973E-2</c:v>
                </c:pt>
                <c:pt idx="1645">
                  <c:v>2.466439404569698E-2</c:v>
                </c:pt>
                <c:pt idx="1646">
                  <c:v>2.465368184680905E-2</c:v>
                </c:pt>
                <c:pt idx="1647">
                  <c:v>2.4642958954395056E-2</c:v>
                </c:pt>
                <c:pt idx="1648">
                  <c:v>2.4632225368215188E-2</c:v>
                </c:pt>
                <c:pt idx="1649">
                  <c:v>2.4621481088269448E-2</c:v>
                </c:pt>
                <c:pt idx="1650">
                  <c:v>2.4610726114637771E-2</c:v>
                </c:pt>
                <c:pt idx="1651">
                  <c:v>2.4599960447320157E-2</c:v>
                </c:pt>
                <c:pt idx="1652">
                  <c:v>2.4589184086316607E-2</c:v>
                </c:pt>
                <c:pt idx="1653">
                  <c:v>2.4578397031467247E-2</c:v>
                </c:pt>
                <c:pt idx="1654">
                  <c:v>2.4567599283091823E-2</c:v>
                </c:pt>
                <c:pt idx="1655">
                  <c:v>2.4556790840950526E-2</c:v>
                </c:pt>
                <c:pt idx="1656">
                  <c:v>2.4545971705123293E-2</c:v>
                </c:pt>
                <c:pt idx="1657">
                  <c:v>2.4535141875610122E-2</c:v>
                </c:pt>
                <c:pt idx="1658">
                  <c:v>2.4524301352331079E-2</c:v>
                </c:pt>
                <c:pt idx="1659">
                  <c:v>2.4513450135446035E-2</c:v>
                </c:pt>
                <c:pt idx="1660">
                  <c:v>2.4502588224795119E-2</c:v>
                </c:pt>
                <c:pt idx="1661">
                  <c:v>2.4491715620618137E-2</c:v>
                </c:pt>
                <c:pt idx="1662">
                  <c:v>2.4480832322435475E-2</c:v>
                </c:pt>
                <c:pt idx="1663">
                  <c:v>2.4469938330806684E-2</c:v>
                </c:pt>
                <c:pt idx="1664">
                  <c:v>2.4459033645412021E-2</c:v>
                </c:pt>
                <c:pt idx="1665">
                  <c:v>2.4448118266411356E-2</c:v>
                </c:pt>
                <c:pt idx="1666">
                  <c:v>2.4437192193484947E-2</c:v>
                </c:pt>
                <c:pt idx="1667">
                  <c:v>2.4426255427192345E-2</c:v>
                </c:pt>
                <c:pt idx="1668">
                  <c:v>2.4415307967053934E-2</c:v>
                </c:pt>
                <c:pt idx="1669">
                  <c:v>2.4402783489678725E-2</c:v>
                </c:pt>
                <c:pt idx="1670">
                  <c:v>2.4393380965639366E-2</c:v>
                </c:pt>
                <c:pt idx="1671">
                  <c:v>2.438083204565622E-2</c:v>
                </c:pt>
                <c:pt idx="1672">
                  <c:v>2.4371411189560988E-2</c:v>
                </c:pt>
                <c:pt idx="1673">
                  <c:v>2.4360410260992893E-2</c:v>
                </c:pt>
                <c:pt idx="1674">
                  <c:v>2.4349398638818798E-2</c:v>
                </c:pt>
                <c:pt idx="1675">
                  <c:v>2.433837632287883E-2</c:v>
                </c:pt>
                <c:pt idx="1676">
                  <c:v>2.4327343313252925E-2</c:v>
                </c:pt>
                <c:pt idx="1677">
                  <c:v>2.4316299610100955E-2</c:v>
                </c:pt>
                <c:pt idx="1678">
                  <c:v>2.4305245213023241E-2</c:v>
                </c:pt>
                <c:pt idx="1679">
                  <c:v>2.4294180122419462E-2</c:v>
                </c:pt>
                <c:pt idx="1680">
                  <c:v>2.4283104338129746E-2</c:v>
                </c:pt>
                <c:pt idx="1681">
                  <c:v>2.4272017860154094E-2</c:v>
                </c:pt>
                <c:pt idx="1682">
                  <c:v>2.4260920688412568E-2</c:v>
                </c:pt>
                <c:pt idx="1683">
                  <c:v>2.4246637183233943E-2</c:v>
                </c:pt>
                <c:pt idx="1684">
                  <c:v>2.4238694264191452E-2</c:v>
                </c:pt>
                <c:pt idx="1685">
                  <c:v>2.4227565011551988E-2</c:v>
                </c:pt>
                <c:pt idx="1686">
                  <c:v>2.4216425065226588E-2</c:v>
                </c:pt>
                <c:pt idx="1687">
                  <c:v>2.4205291204313362E-2</c:v>
                </c:pt>
                <c:pt idx="1688">
                  <c:v>2.4192517742385178E-2</c:v>
                </c:pt>
                <c:pt idx="1689">
                  <c:v>2.417974709232773E-2</c:v>
                </c:pt>
                <c:pt idx="1690">
                  <c:v>2.4168561315862647E-2</c:v>
                </c:pt>
                <c:pt idx="1691">
                  <c:v>2.4158964996363608E-2</c:v>
                </c:pt>
                <c:pt idx="1692">
                  <c:v>2.4147759360344523E-2</c:v>
                </c:pt>
                <c:pt idx="1693">
                  <c:v>2.4136543030719437E-2</c:v>
                </c:pt>
                <c:pt idx="1694">
                  <c:v>2.4125316007328479E-2</c:v>
                </c:pt>
                <c:pt idx="1695">
                  <c:v>2.4112472029287346E-2</c:v>
                </c:pt>
                <c:pt idx="1696">
                  <c:v>2.410282987972856E-2</c:v>
                </c:pt>
                <c:pt idx="1697">
                  <c:v>2.4091570775439664E-2</c:v>
                </c:pt>
                <c:pt idx="1698">
                  <c:v>2.408030097746483E-2</c:v>
                </c:pt>
                <c:pt idx="1699">
                  <c:v>2.4069020485883996E-2</c:v>
                </c:pt>
                <c:pt idx="1700">
                  <c:v>2.4057729300617225E-2</c:v>
                </c:pt>
                <c:pt idx="1701">
                  <c:v>2.4046427421744454E-2</c:v>
                </c:pt>
                <c:pt idx="1702">
                  <c:v>2.4035114849265682E-2</c:v>
                </c:pt>
                <c:pt idx="1703">
                  <c:v>2.4023791582941101E-2</c:v>
                </c:pt>
                <c:pt idx="1704">
                  <c:v>2.4012457623090455E-2</c:v>
                </c:pt>
                <c:pt idx="1705">
                  <c:v>2.4001112969553873E-2</c:v>
                </c:pt>
                <c:pt idx="1706">
                  <c:v>2.398975762241129E-2</c:v>
                </c:pt>
                <c:pt idx="1707">
                  <c:v>2.3978391581662706E-2</c:v>
                </c:pt>
                <c:pt idx="1708">
                  <c:v>2.3967014847148249E-2</c:v>
                </c:pt>
                <c:pt idx="1709">
                  <c:v>2.3955638689052705E-2</c:v>
                </c:pt>
                <c:pt idx="1710">
                  <c:v>2.3944302645269033E-2</c:v>
                </c:pt>
                <c:pt idx="1711">
                  <c:v>2.3933010225949403E-2</c:v>
                </c:pt>
                <c:pt idx="1712">
                  <c:v>2.3921761431013877E-2</c:v>
                </c:pt>
                <c:pt idx="1713">
                  <c:v>2.3910556260542393E-2</c:v>
                </c:pt>
                <c:pt idx="1714">
                  <c:v>2.3899394714614886E-2</c:v>
                </c:pt>
                <c:pt idx="1715">
                  <c:v>2.3888276793231356E-2</c:v>
                </c:pt>
                <c:pt idx="1716">
                  <c:v>2.3877202496231931E-2</c:v>
                </c:pt>
                <c:pt idx="1717">
                  <c:v>2.3866171823696547E-2</c:v>
                </c:pt>
                <c:pt idx="1718">
                  <c:v>2.3855184775625204E-2</c:v>
                </c:pt>
                <c:pt idx="1719">
                  <c:v>2.3844241352097839E-2</c:v>
                </c:pt>
                <c:pt idx="1720">
                  <c:v>2.3833341552954579E-2</c:v>
                </c:pt>
                <c:pt idx="1721">
                  <c:v>2.3817909568272455E-2</c:v>
                </c:pt>
                <c:pt idx="1722">
                  <c:v>2.380708831947409E-2</c:v>
                </c:pt>
                <c:pt idx="1723">
                  <c:v>2.3799369045427454E-2</c:v>
                </c:pt>
                <c:pt idx="1724">
                  <c:v>2.3788649976195231E-2</c:v>
                </c:pt>
                <c:pt idx="1725">
                  <c:v>2.3777974531427049E-2</c:v>
                </c:pt>
                <c:pt idx="1726">
                  <c:v>2.3767342710883099E-2</c:v>
                </c:pt>
                <c:pt idx="1727">
                  <c:v>2.3756754515042999E-2</c:v>
                </c:pt>
                <c:pt idx="1728">
                  <c:v>2.3746209943347196E-2</c:v>
                </c:pt>
                <c:pt idx="1729">
                  <c:v>2.3735708996275307E-2</c:v>
                </c:pt>
                <c:pt idx="1730">
                  <c:v>2.3725251673507586E-2</c:v>
                </c:pt>
                <c:pt idx="1731">
                  <c:v>2.3714837975283842E-2</c:v>
                </c:pt>
                <c:pt idx="1732">
                  <c:v>2.3704467901284332E-2</c:v>
                </c:pt>
                <c:pt idx="1733">
                  <c:v>2.3694141451828798E-2</c:v>
                </c:pt>
                <c:pt idx="1734">
                  <c:v>2.368385862675737E-2</c:v>
                </c:pt>
                <c:pt idx="1735">
                  <c:v>2.3673619425990111E-2</c:v>
                </c:pt>
                <c:pt idx="1736">
                  <c:v>2.3663423849766829E-2</c:v>
                </c:pt>
                <c:pt idx="1737">
                  <c:v>2.3653271897847716E-2</c:v>
                </c:pt>
                <c:pt idx="1738">
                  <c:v>2.3640397323454465E-2</c:v>
                </c:pt>
                <c:pt idx="1739">
                  <c:v>2.3631664613645853E-2</c:v>
                </c:pt>
                <c:pt idx="1740">
                  <c:v>2.3623077788474944E-2</c:v>
                </c:pt>
                <c:pt idx="1741">
                  <c:v>2.3613100334012316E-2</c:v>
                </c:pt>
                <c:pt idx="1742">
                  <c:v>2.3603166504093664E-2</c:v>
                </c:pt>
                <c:pt idx="1743">
                  <c:v>2.359334470440011E-2</c:v>
                </c:pt>
                <c:pt idx="1744">
                  <c:v>2.3582026623847341E-2</c:v>
                </c:pt>
                <c:pt idx="1745">
                  <c:v>2.3570982284670805E-2</c:v>
                </c:pt>
                <c:pt idx="1746">
                  <c:v>2.3562706065214378E-2</c:v>
                </c:pt>
                <c:pt idx="1747">
                  <c:v>2.3551542092015154E-2</c:v>
                </c:pt>
                <c:pt idx="1748">
                  <c:v>2.3541887441549392E-2</c:v>
                </c:pt>
                <c:pt idx="1749">
                  <c:v>2.3532276421649456E-2</c:v>
                </c:pt>
                <c:pt idx="1750">
                  <c:v>2.3522709032315348E-2</c:v>
                </c:pt>
                <c:pt idx="1751">
                  <c:v>2.3513185273520421E-2</c:v>
                </c:pt>
                <c:pt idx="1752">
                  <c:v>2.350370514523803E-2</c:v>
                </c:pt>
                <c:pt idx="1753">
                  <c:v>2.3494268647521466E-2</c:v>
                </c:pt>
                <c:pt idx="1754">
                  <c:v>2.3484875780290793E-2</c:v>
                </c:pt>
                <c:pt idx="1755">
                  <c:v>2.3475526543572656E-2</c:v>
                </c:pt>
                <c:pt idx="1756">
                  <c:v>2.3466220937367055E-2</c:v>
                </c:pt>
                <c:pt idx="1757">
                  <c:v>2.3456958961647345E-2</c:v>
                </c:pt>
                <c:pt idx="1758">
                  <c:v>2.3447740616386881E-2</c:v>
                </c:pt>
                <c:pt idx="1759">
                  <c:v>2.3438565901559016E-2</c:v>
                </c:pt>
                <c:pt idx="1760">
                  <c:v>2.3429434817217043E-2</c:v>
                </c:pt>
                <c:pt idx="1761">
                  <c:v>2.3420347363334315E-2</c:v>
                </c:pt>
                <c:pt idx="1762">
                  <c:v>2.3411303539884187E-2</c:v>
                </c:pt>
                <c:pt idx="1763">
                  <c:v>2.3402303346840014E-2</c:v>
                </c:pt>
                <c:pt idx="1764">
                  <c:v>2.3393346784201796E-2</c:v>
                </c:pt>
                <c:pt idx="1765">
                  <c:v>2.3384433851996178E-2</c:v>
                </c:pt>
                <c:pt idx="1766">
                  <c:v>2.3375564550169869E-2</c:v>
                </c:pt>
                <c:pt idx="1767">
                  <c:v>2.336673887872287E-2</c:v>
                </c:pt>
                <c:pt idx="1768">
                  <c:v>2.3357956837628535E-2</c:v>
                </c:pt>
                <c:pt idx="1769">
                  <c:v>2.33492184269668E-2</c:v>
                </c:pt>
                <c:pt idx="1770">
                  <c:v>2.3340523646604439E-2</c:v>
                </c:pt>
                <c:pt idx="1771">
                  <c:v>2.3331872496648032E-2</c:v>
                </c:pt>
                <c:pt idx="1772">
                  <c:v>2.3323264976990998E-2</c:v>
                </c:pt>
                <c:pt idx="1773">
                  <c:v>2.3306328510088736E-2</c:v>
                </c:pt>
                <c:pt idx="1774">
                  <c:v>2.3299823364126837E-2</c:v>
                </c:pt>
                <c:pt idx="1775">
                  <c:v>2.329378276738403E-2</c:v>
                </c:pt>
                <c:pt idx="1776">
                  <c:v>2.3285363324161423E-2</c:v>
                </c:pt>
                <c:pt idx="1777">
                  <c:v>2.3276987505163049E-2</c:v>
                </c:pt>
                <c:pt idx="1778">
                  <c:v>2.3268655310468844E-2</c:v>
                </c:pt>
                <c:pt idx="1779">
                  <c:v>2.3260366740078808E-2</c:v>
                </c:pt>
                <c:pt idx="1780">
                  <c:v>2.3252121793833069E-2</c:v>
                </c:pt>
                <c:pt idx="1781">
                  <c:v>2.3243920471891499E-2</c:v>
                </c:pt>
                <c:pt idx="1782">
                  <c:v>2.3235762774094226E-2</c:v>
                </c:pt>
                <c:pt idx="1783">
                  <c:v>2.3227648700601122E-2</c:v>
                </c:pt>
                <c:pt idx="1784">
                  <c:v>2.3219578251412187E-2</c:v>
                </c:pt>
                <c:pt idx="1785">
                  <c:v>2.3211551426367549E-2</c:v>
                </c:pt>
                <c:pt idx="1786">
                  <c:v>2.3203568225547144E-2</c:v>
                </c:pt>
                <c:pt idx="1787">
                  <c:v>2.3193368211193999E-2</c:v>
                </c:pt>
                <c:pt idx="1788">
                  <c:v>2.3187732696658969E-2</c:v>
                </c:pt>
                <c:pt idx="1789">
                  <c:v>2.3179880368431327E-2</c:v>
                </c:pt>
                <c:pt idx="1790">
                  <c:v>2.3172071664667726E-2</c:v>
                </c:pt>
                <c:pt idx="1791">
                  <c:v>2.3163200848905774E-2</c:v>
                </c:pt>
                <c:pt idx="1792">
                  <c:v>2.3156585129413543E-2</c:v>
                </c:pt>
                <c:pt idx="1793">
                  <c:v>2.3147814026209801E-2</c:v>
                </c:pt>
                <c:pt idx="1794">
                  <c:v>2.3140186051158196E-2</c:v>
                </c:pt>
                <c:pt idx="1795">
                  <c:v>2.3133682508094111E-2</c:v>
                </c:pt>
                <c:pt idx="1796">
                  <c:v>2.31261355494361E-2</c:v>
                </c:pt>
                <c:pt idx="1797">
                  <c:v>2.3118632214922386E-2</c:v>
                </c:pt>
                <c:pt idx="1798">
                  <c:v>2.3110110392794425E-2</c:v>
                </c:pt>
                <c:pt idx="1799">
                  <c:v>2.310375641848772E-2</c:v>
                </c:pt>
                <c:pt idx="1800">
                  <c:v>2.3096383956566768E-2</c:v>
                </c:pt>
                <c:pt idx="1801">
                  <c:v>2.3089055118790114E-2</c:v>
                </c:pt>
                <c:pt idx="1802">
                  <c:v>2.3081769905237692E-2</c:v>
                </c:pt>
                <c:pt idx="1803">
                  <c:v>2.3074528315829568E-2</c:v>
                </c:pt>
                <c:pt idx="1804">
                  <c:v>2.3067330350645676E-2</c:v>
                </c:pt>
                <c:pt idx="1805">
                  <c:v>2.3060176009606081E-2</c:v>
                </c:pt>
                <c:pt idx="1806">
                  <c:v>2.3053065292710784E-2</c:v>
                </c:pt>
                <c:pt idx="1807">
                  <c:v>2.3045998200039719E-2</c:v>
                </c:pt>
                <c:pt idx="1808">
                  <c:v>2.3038974731512951E-2</c:v>
                </c:pt>
                <c:pt idx="1809">
                  <c:v>2.3031994887210416E-2</c:v>
                </c:pt>
                <c:pt idx="1810">
                  <c:v>2.3025058667052178E-2</c:v>
                </c:pt>
                <c:pt idx="1811">
                  <c:v>2.3018166070878365E-2</c:v>
                </c:pt>
                <c:pt idx="1812">
                  <c:v>2.3011317099008721E-2</c:v>
                </c:pt>
                <c:pt idx="1813">
                  <c:v>2.3004511751283374E-2</c:v>
                </c:pt>
                <c:pt idx="1814">
                  <c:v>2.299775002778226E-2</c:v>
                </c:pt>
                <c:pt idx="1815">
                  <c:v>2.2991031928345507E-2</c:v>
                </c:pt>
                <c:pt idx="1816">
                  <c:v>2.298435745305305E-2</c:v>
                </c:pt>
                <c:pt idx="1817">
                  <c:v>2.2977726601904891E-2</c:v>
                </c:pt>
                <c:pt idx="1818">
                  <c:v>2.2971139374901028E-2</c:v>
                </c:pt>
                <c:pt idx="1819">
                  <c:v>2.2964595772041463E-2</c:v>
                </c:pt>
                <c:pt idx="1820">
                  <c:v>2.295809579340613E-2</c:v>
                </c:pt>
                <c:pt idx="1821">
                  <c:v>2.2951639438755222E-2</c:v>
                </c:pt>
                <c:pt idx="1822">
                  <c:v>2.2945226708248612E-2</c:v>
                </c:pt>
                <c:pt idx="1823">
                  <c:v>2.2938857601966234E-2</c:v>
                </c:pt>
                <c:pt idx="1824">
                  <c:v>2.2932532119748217E-2</c:v>
                </c:pt>
                <c:pt idx="1825">
                  <c:v>2.2920297812700774E-2</c:v>
                </c:pt>
                <c:pt idx="1826">
                  <c:v>2.2917351853264378E-2</c:v>
                </c:pt>
                <c:pt idx="1827">
                  <c:v>2.2912936034753528E-2</c:v>
                </c:pt>
                <c:pt idx="1828">
                  <c:v>2.2906791281087635E-2</c:v>
                </c:pt>
                <c:pt idx="1829">
                  <c:v>2.2900690151566039E-2</c:v>
                </c:pt>
                <c:pt idx="1830">
                  <c:v>2.2894632646108803E-2</c:v>
                </c:pt>
                <c:pt idx="1831">
                  <c:v>2.2888618764795865E-2</c:v>
                </c:pt>
                <c:pt idx="1832">
                  <c:v>2.2882648507467351E-2</c:v>
                </c:pt>
                <c:pt idx="1833">
                  <c:v>2.2876721874283135E-2</c:v>
                </c:pt>
                <c:pt idx="1834">
                  <c:v>2.2870838865323151E-2</c:v>
                </c:pt>
                <c:pt idx="1835">
                  <c:v>2.2864999480347592E-2</c:v>
                </c:pt>
                <c:pt idx="1836">
                  <c:v>2.2859203719436394E-2</c:v>
                </c:pt>
                <c:pt idx="1837">
                  <c:v>2.2853451582749429E-2</c:v>
                </c:pt>
                <c:pt idx="1838">
                  <c:v>2.2846120079105248E-2</c:v>
                </c:pt>
                <c:pt idx="1839">
                  <c:v>2.2842078181648517E-2</c:v>
                </c:pt>
                <c:pt idx="1840">
                  <c:v>2.2836456917154635E-2</c:v>
                </c:pt>
                <c:pt idx="1841">
                  <c:v>2.2830879276884986E-2</c:v>
                </c:pt>
                <c:pt idx="1842">
                  <c:v>2.2825345260519825E-2</c:v>
                </c:pt>
                <c:pt idx="1843">
                  <c:v>2.2819407326495345E-2</c:v>
                </c:pt>
                <c:pt idx="1844">
                  <c:v>2.2813633551637125E-2</c:v>
                </c:pt>
                <c:pt idx="1845">
                  <c:v>2.2808236639679791E-2</c:v>
                </c:pt>
                <c:pt idx="1846">
                  <c:v>2.2803645436342279E-2</c:v>
                </c:pt>
                <c:pt idx="1847">
                  <c:v>2.2798329540458795E-2</c:v>
                </c:pt>
                <c:pt idx="1848">
                  <c:v>2.2793057268639672E-2</c:v>
                </c:pt>
                <c:pt idx="1849">
                  <c:v>2.2787828620964845E-2</c:v>
                </c:pt>
                <c:pt idx="1850">
                  <c:v>2.2781906440858535E-2</c:v>
                </c:pt>
                <c:pt idx="1851">
                  <c:v>2.2777502197728339E-2</c:v>
                </c:pt>
                <c:pt idx="1852">
                  <c:v>2.2772404422246595E-2</c:v>
                </c:pt>
                <c:pt idx="1853">
                  <c:v>2.2767350270909148E-2</c:v>
                </c:pt>
                <c:pt idx="1854">
                  <c:v>2.2762339743556126E-2</c:v>
                </c:pt>
                <c:pt idx="1855">
                  <c:v>2.2757372840187529E-2</c:v>
                </c:pt>
                <c:pt idx="1856">
                  <c:v>2.2752449560963228E-2</c:v>
                </c:pt>
                <c:pt idx="1857">
                  <c:v>2.2747569905723353E-2</c:v>
                </c:pt>
                <c:pt idx="1858">
                  <c:v>2.274273387470771E-2</c:v>
                </c:pt>
                <c:pt idx="1859">
                  <c:v>2.2737941467596556E-2</c:v>
                </c:pt>
                <c:pt idx="1860">
                  <c:v>2.2733192684549763E-2</c:v>
                </c:pt>
                <c:pt idx="1861">
                  <c:v>2.2728487525567331E-2</c:v>
                </c:pt>
                <c:pt idx="1862">
                  <c:v>2.2723825990729196E-2</c:v>
                </c:pt>
                <c:pt idx="1863">
                  <c:v>2.2719208079875486E-2</c:v>
                </c:pt>
                <c:pt idx="1864">
                  <c:v>2.27146337930062E-2</c:v>
                </c:pt>
                <c:pt idx="1865">
                  <c:v>2.2710103130281212E-2</c:v>
                </c:pt>
                <c:pt idx="1866">
                  <c:v>2.2705616091540648E-2</c:v>
                </c:pt>
                <c:pt idx="1867">
                  <c:v>2.2701172676864445E-2</c:v>
                </c:pt>
                <c:pt idx="1868">
                  <c:v>2.2696772886332539E-2</c:v>
                </c:pt>
                <c:pt idx="1869">
                  <c:v>2.2692416719625186E-2</c:v>
                </c:pt>
                <c:pt idx="1870">
                  <c:v>2.2688104177062129E-2</c:v>
                </c:pt>
                <c:pt idx="1871">
                  <c:v>2.268383525864337E-2</c:v>
                </c:pt>
                <c:pt idx="1872">
                  <c:v>2.2679609964049163E-2</c:v>
                </c:pt>
                <c:pt idx="1873">
                  <c:v>2.2675428293599253E-2</c:v>
                </c:pt>
                <c:pt idx="1874">
                  <c:v>2.2671290247213705E-2</c:v>
                </c:pt>
                <c:pt idx="1875">
                  <c:v>2.266719582481258E-2</c:v>
                </c:pt>
                <c:pt idx="1876">
                  <c:v>2.2663145026475817E-2</c:v>
                </c:pt>
                <c:pt idx="1877">
                  <c:v>2.2655737852401714E-2</c:v>
                </c:pt>
                <c:pt idx="1878">
                  <c:v>2.2654354759987783E-2</c:v>
                </c:pt>
                <c:pt idx="1879">
                  <c:v>2.2650697947188547E-2</c:v>
                </c:pt>
                <c:pt idx="1880">
                  <c:v>2.2646827876924291E-2</c:v>
                </c:pt>
                <c:pt idx="1881">
                  <c:v>2.264300143064446E-2</c:v>
                </c:pt>
                <c:pt idx="1882">
                  <c:v>2.2639218608508926E-2</c:v>
                </c:pt>
                <c:pt idx="1883">
                  <c:v>2.2635479410277881E-2</c:v>
                </c:pt>
                <c:pt idx="1884">
                  <c:v>2.2631783836031261E-2</c:v>
                </c:pt>
                <c:pt idx="1885">
                  <c:v>2.2628131885928937E-2</c:v>
                </c:pt>
                <c:pt idx="1886">
                  <c:v>2.2624523559731102E-2</c:v>
                </c:pt>
                <c:pt idx="1887">
                  <c:v>2.2620958857677564E-2</c:v>
                </c:pt>
                <c:pt idx="1888">
                  <c:v>2.2617437779448579E-2</c:v>
                </c:pt>
                <c:pt idx="1889">
                  <c:v>2.2613960325363891E-2</c:v>
                </c:pt>
                <c:pt idx="1890">
                  <c:v>2.2610526495263628E-2</c:v>
                </c:pt>
                <c:pt idx="1891">
                  <c:v>2.2607136289227725E-2</c:v>
                </c:pt>
                <c:pt idx="1892">
                  <c:v>2.2603789707096311E-2</c:v>
                </c:pt>
                <c:pt idx="1893">
                  <c:v>2.2600503539145222E-2</c:v>
                </c:pt>
                <c:pt idx="1894">
                  <c:v>2.2597227415026566E-2</c:v>
                </c:pt>
                <c:pt idx="1895">
                  <c:v>2.2594011704848427E-2</c:v>
                </c:pt>
                <c:pt idx="1896">
                  <c:v>2.2590839618814584E-2</c:v>
                </c:pt>
                <c:pt idx="1897">
                  <c:v>2.2587711156605295E-2</c:v>
                </c:pt>
                <c:pt idx="1898">
                  <c:v>2.2585116163984509E-2</c:v>
                </c:pt>
                <c:pt idx="1899">
                  <c:v>2.2581154206582355E-2</c:v>
                </c:pt>
                <c:pt idx="1900">
                  <c:v>2.2578732444804572E-2</c:v>
                </c:pt>
                <c:pt idx="1901">
                  <c:v>2.2575215114324365E-2</c:v>
                </c:pt>
                <c:pt idx="1902">
                  <c:v>2.2573817854896205E-2</c:v>
                </c:pt>
                <c:pt idx="1903">
                  <c:v>2.2570056418587114E-2</c:v>
                </c:pt>
                <c:pt idx="1904">
                  <c:v>2.2567251668901278E-2</c:v>
                </c:pt>
                <c:pt idx="1905">
                  <c:v>2.2564490548662164E-2</c:v>
                </c:pt>
                <c:pt idx="1906">
                  <c:v>2.2561773057976353E-2</c:v>
                </c:pt>
                <c:pt idx="1907">
                  <c:v>2.2559099196737264E-2</c:v>
                </c:pt>
                <c:pt idx="1908">
                  <c:v>2.2556468965024834E-2</c:v>
                </c:pt>
                <c:pt idx="1909">
                  <c:v>2.2553882362839062E-2</c:v>
                </c:pt>
                <c:pt idx="1910">
                  <c:v>2.2551339390073366E-2</c:v>
                </c:pt>
                <c:pt idx="1911">
                  <c:v>2.2548840046834329E-2</c:v>
                </c:pt>
                <c:pt idx="1912">
                  <c:v>2.2546384333068659E-2</c:v>
                </c:pt>
                <c:pt idx="1913">
                  <c:v>2.2543972248776356E-2</c:v>
                </c:pt>
                <c:pt idx="1914">
                  <c:v>2.2541603794010712E-2</c:v>
                </c:pt>
                <c:pt idx="1915">
                  <c:v>2.2539278968638499E-2</c:v>
                </c:pt>
                <c:pt idx="1916">
                  <c:v>2.2536997772819589E-2</c:v>
                </c:pt>
                <c:pt idx="1917">
                  <c:v>2.2534760206420756E-2</c:v>
                </c:pt>
                <c:pt idx="1918">
                  <c:v>2.2532566269521936E-2</c:v>
                </c:pt>
                <c:pt idx="1919">
                  <c:v>2.2530415962096484E-2</c:v>
                </c:pt>
                <c:pt idx="1920">
                  <c:v>2.2528309284091108E-2</c:v>
                </c:pt>
                <c:pt idx="1921">
                  <c:v>2.25262462355591E-2</c:v>
                </c:pt>
                <c:pt idx="1922">
                  <c:v>2.2524226816500459E-2</c:v>
                </c:pt>
                <c:pt idx="1923">
                  <c:v>2.2522251026915185E-2</c:v>
                </c:pt>
                <c:pt idx="1924">
                  <c:v>2.2520318866749989E-2</c:v>
                </c:pt>
                <c:pt idx="1925">
                  <c:v>2.2518430336058159E-2</c:v>
                </c:pt>
                <c:pt idx="1926">
                  <c:v>2.2516585434786407E-2</c:v>
                </c:pt>
                <c:pt idx="1927">
                  <c:v>2.2514784163014667E-2</c:v>
                </c:pt>
                <c:pt idx="1928">
                  <c:v>2.2513606806269237E-2</c:v>
                </c:pt>
                <c:pt idx="1929">
                  <c:v>2.2509423049088539E-2</c:v>
                </c:pt>
                <c:pt idx="1930">
                  <c:v>2.2507532083784199E-2</c:v>
                </c:pt>
                <c:pt idx="1931">
                  <c:v>2.2506151251775464E-2</c:v>
                </c:pt>
                <c:pt idx="1932">
                  <c:v>2.2504580789215467E-2</c:v>
                </c:pt>
                <c:pt idx="1933">
                  <c:v>2.2503053950480023E-2</c:v>
                </c:pt>
                <c:pt idx="1934">
                  <c:v>2.2501570735649068E-2</c:v>
                </c:pt>
                <c:pt idx="1935">
                  <c:v>2.2500131145042346E-2</c:v>
                </c:pt>
                <c:pt idx="1936">
                  <c:v>2.249873517818024E-2</c:v>
                </c:pt>
                <c:pt idx="1937">
                  <c:v>2.2497382835382496E-2</c:v>
                </c:pt>
                <c:pt idx="1938">
                  <c:v>2.2496074116569176E-2</c:v>
                </c:pt>
                <c:pt idx="1939">
                  <c:v>2.2494809021580409E-2</c:v>
                </c:pt>
                <c:pt idx="1940">
                  <c:v>2.2493587550735938E-2</c:v>
                </c:pt>
                <c:pt idx="1941">
                  <c:v>2.2492409703716021E-2</c:v>
                </c:pt>
                <c:pt idx="1942">
                  <c:v>2.2491275480680528E-2</c:v>
                </c:pt>
                <c:pt idx="1943">
                  <c:v>2.2489881294553982E-2</c:v>
                </c:pt>
                <c:pt idx="1944">
                  <c:v>2.2489137906642753E-2</c:v>
                </c:pt>
                <c:pt idx="1945">
                  <c:v>2.2488134555560535E-2</c:v>
                </c:pt>
                <c:pt idx="1946">
                  <c:v>2.2487041285685905E-2</c:v>
                </c:pt>
                <c:pt idx="1947">
                  <c:v>2.2486258725189501E-2</c:v>
                </c:pt>
                <c:pt idx="1948">
                  <c:v>2.2485386245980621E-2</c:v>
                </c:pt>
                <c:pt idx="1949">
                  <c:v>2.2484442543984073E-2</c:v>
                </c:pt>
                <c:pt idx="1950">
                  <c:v>2.2483663544639043E-2</c:v>
                </c:pt>
                <c:pt idx="1951">
                  <c:v>2.2483030552180594E-2</c:v>
                </c:pt>
                <c:pt idx="1952">
                  <c:v>2.2482332568829477E-2</c:v>
                </c:pt>
                <c:pt idx="1953">
                  <c:v>2.2481678209382849E-2</c:v>
                </c:pt>
                <c:pt idx="1954">
                  <c:v>2.248098378710317E-2</c:v>
                </c:pt>
                <c:pt idx="1955">
                  <c:v>2.2480500362442868E-2</c:v>
                </c:pt>
                <c:pt idx="1956">
                  <c:v>2.2479976874869578E-2</c:v>
                </c:pt>
                <c:pt idx="1957">
                  <c:v>2.247949701136065E-2</c:v>
                </c:pt>
                <c:pt idx="1958">
                  <c:v>2.2479060771676274E-2</c:v>
                </c:pt>
                <c:pt idx="1959">
                  <c:v>2.2478668156136195E-2</c:v>
                </c:pt>
                <c:pt idx="1960">
                  <c:v>2.2478319164340732E-2</c:v>
                </c:pt>
                <c:pt idx="1961">
                  <c:v>2.2478013796769503E-2</c:v>
                </c:pt>
                <c:pt idx="1962">
                  <c:v>2.247775205294289E-2</c:v>
                </c:pt>
                <c:pt idx="1963">
                  <c:v>2.2477533933100702E-2</c:v>
                </c:pt>
                <c:pt idx="1964">
                  <c:v>2.2477359437322875E-2</c:v>
                </c:pt>
                <c:pt idx="1965">
                  <c:v>2.2477228565529472E-2</c:v>
                </c:pt>
                <c:pt idx="1966">
                  <c:v>2.2477141317560623E-2</c:v>
                </c:pt>
                <c:pt idx="1967">
                  <c:v>2.2477097693576198E-2</c:v>
                </c:pt>
                <c:pt idx="1968">
                  <c:v>2.2477092203487814E-2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403968"/>
        <c:axId val="584467584"/>
      </c:lineChart>
      <c:dateAx>
        <c:axId val="584403968"/>
        <c:scaling>
          <c:orientation val="minMax"/>
          <c:max val="42917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467584"/>
        <c:crosses val="autoZero"/>
        <c:auto val="1"/>
        <c:lblOffset val="100"/>
        <c:baseTimeUnit val="days"/>
        <c:majorUnit val="3"/>
        <c:majorTimeUnit val="months"/>
      </c:dateAx>
      <c:valAx>
        <c:axId val="584467584"/>
        <c:scaling>
          <c:orientation val="minMax"/>
          <c:max val="5.0000000000000001E-3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44039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123825</xdr:rowOff>
        </xdr:from>
        <xdr:to>
          <xdr:col>10</xdr:col>
          <xdr:colOff>247650</xdr:colOff>
          <xdr:row>31</xdr:row>
          <xdr:rowOff>114300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47625</xdr:rowOff>
        </xdr:from>
        <xdr:to>
          <xdr:col>10</xdr:col>
          <xdr:colOff>247650</xdr:colOff>
          <xdr:row>29</xdr:row>
          <xdr:rowOff>38100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47625</xdr:rowOff>
        </xdr:from>
        <xdr:to>
          <xdr:col>10</xdr:col>
          <xdr:colOff>247650</xdr:colOff>
          <xdr:row>34</xdr:row>
          <xdr:rowOff>19050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85725</xdr:rowOff>
        </xdr:from>
        <xdr:to>
          <xdr:col>10</xdr:col>
          <xdr:colOff>247650</xdr:colOff>
          <xdr:row>26</xdr:row>
          <xdr:rowOff>76200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19050</xdr:rowOff>
        </xdr:from>
        <xdr:to>
          <xdr:col>10</xdr:col>
          <xdr:colOff>247650</xdr:colOff>
          <xdr:row>37</xdr:row>
          <xdr:rowOff>9525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123825</xdr:rowOff>
        </xdr:from>
        <xdr:to>
          <xdr:col>10</xdr:col>
          <xdr:colOff>247650</xdr:colOff>
          <xdr:row>39</xdr:row>
          <xdr:rowOff>114300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85725</xdr:rowOff>
        </xdr:from>
        <xdr:to>
          <xdr:col>10</xdr:col>
          <xdr:colOff>247650</xdr:colOff>
          <xdr:row>42</xdr:row>
          <xdr:rowOff>76200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66675</xdr:rowOff>
        </xdr:from>
        <xdr:to>
          <xdr:col>10</xdr:col>
          <xdr:colOff>247650</xdr:colOff>
          <xdr:row>45</xdr:row>
          <xdr:rowOff>57150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47</xdr:row>
          <xdr:rowOff>0</xdr:rowOff>
        </xdr:from>
        <xdr:to>
          <xdr:col>10</xdr:col>
          <xdr:colOff>257175</xdr:colOff>
          <xdr:row>48</xdr:row>
          <xdr:rowOff>133350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K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Stibor"/>
      <sheetName val="StiborSwapForBasisCalc"/>
      <sheetName val="Deposits"/>
      <sheetName val="FRA3M"/>
      <sheetName val="OIS"/>
      <sheetName val="Swaps3M"/>
      <sheetName val="BasisSwap3M6M"/>
      <sheetName val="BasisSwap1M3M"/>
    </sheetNames>
    <sheetDataSet>
      <sheetData sheetId="0"/>
      <sheetData sheetId="1">
        <row r="9">
          <cell r="J9" t="str">
            <v>SEK3M#0000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0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57" customWidth="1"/>
    <col min="3" max="3" width="20.28515625" style="157" bestFit="1" customWidth="1"/>
    <col min="4" max="4" width="31.7109375" style="157" bestFit="1" customWidth="1"/>
    <col min="5" max="8" width="2.7109375" style="157" customWidth="1"/>
    <col min="9" max="9" width="18.5703125" style="157" bestFit="1" customWidth="1"/>
    <col min="10" max="10" width="45.7109375" style="157" customWidth="1"/>
    <col min="11" max="11" width="2.7109375" style="157" customWidth="1"/>
    <col min="12" max="16384" width="8" style="157"/>
  </cols>
  <sheetData>
    <row r="1" spans="2:11" ht="12" thickBot="1" x14ac:dyDescent="0.25">
      <c r="B1" s="157" t="str">
        <f>_xll.qlxlVersion(TRUE,Trigger)</f>
        <v>QuantLibXL 1.7.0 - MS VC++ (version unknown) - Multithreaded Dynamic Runtime library - Release Configuration - Sep 24 2015 16:08:28</v>
      </c>
    </row>
    <row r="2" spans="2:11" ht="12" thickBot="1" x14ac:dyDescent="0.25">
      <c r="B2" s="198" t="s">
        <v>60</v>
      </c>
      <c r="C2" s="199"/>
      <c r="D2" s="199"/>
      <c r="E2" s="199"/>
      <c r="F2" s="158"/>
      <c r="H2" s="198" t="s">
        <v>72</v>
      </c>
      <c r="I2" s="199"/>
      <c r="J2" s="199"/>
      <c r="K2" s="200"/>
    </row>
    <row r="3" spans="2:11" x14ac:dyDescent="0.2">
      <c r="B3" s="159"/>
      <c r="C3" s="160"/>
      <c r="D3" s="161"/>
      <c r="E3" s="161"/>
      <c r="F3" s="158"/>
      <c r="H3" s="25"/>
      <c r="I3" s="26"/>
      <c r="J3" s="26"/>
      <c r="K3" s="28"/>
    </row>
    <row r="4" spans="2:11" x14ac:dyDescent="0.2">
      <c r="B4" s="159"/>
      <c r="C4" s="162" t="s">
        <v>59</v>
      </c>
      <c r="D4" s="201" t="s">
        <v>138</v>
      </c>
      <c r="E4" s="161"/>
      <c r="F4" s="158"/>
      <c r="H4" s="25"/>
      <c r="I4" s="164" t="s">
        <v>71</v>
      </c>
      <c r="J4" s="165" t="b">
        <v>0</v>
      </c>
      <c r="K4" s="166"/>
    </row>
    <row r="5" spans="2:11" x14ac:dyDescent="0.2">
      <c r="B5" s="159"/>
      <c r="C5" s="167" t="s">
        <v>58</v>
      </c>
      <c r="D5" s="168">
        <v>3</v>
      </c>
      <c r="E5" s="161"/>
      <c r="F5" s="158"/>
      <c r="H5" s="25"/>
      <c r="I5" s="164" t="s">
        <v>70</v>
      </c>
      <c r="J5" s="169"/>
      <c r="K5" s="166"/>
    </row>
    <row r="6" spans="2:11" x14ac:dyDescent="0.2">
      <c r="B6" s="159"/>
      <c r="C6" s="167" t="s">
        <v>57</v>
      </c>
      <c r="D6" s="168" t="str">
        <f>_xll.qlPeriodEquivalent(D5&amp;"M")</f>
        <v>3M</v>
      </c>
      <c r="E6" s="161"/>
      <c r="F6" s="158"/>
      <c r="H6" s="25"/>
      <c r="I6" s="164" t="s">
        <v>69</v>
      </c>
      <c r="J6" s="170" t="b">
        <v>1</v>
      </c>
      <c r="K6" s="166"/>
    </row>
    <row r="7" spans="2:11" ht="12" thickBot="1" x14ac:dyDescent="0.25">
      <c r="B7" s="159"/>
      <c r="C7" s="167" t="s">
        <v>56</v>
      </c>
      <c r="D7" s="168" t="str">
        <f>Months&amp;"L"</f>
        <v>3L</v>
      </c>
      <c r="E7" s="161"/>
      <c r="F7" s="158"/>
      <c r="H7" s="37"/>
      <c r="I7" s="38"/>
      <c r="J7" s="38"/>
      <c r="K7" s="39"/>
    </row>
    <row r="8" spans="2:11" ht="12" thickBot="1" x14ac:dyDescent="0.25">
      <c r="B8" s="159"/>
      <c r="C8" s="167" t="s">
        <v>55</v>
      </c>
      <c r="D8" s="168" t="s">
        <v>123</v>
      </c>
      <c r="E8" s="161"/>
      <c r="F8" s="158"/>
      <c r="H8" s="171"/>
      <c r="I8" s="171"/>
      <c r="J8" s="171"/>
      <c r="K8" s="171"/>
    </row>
    <row r="9" spans="2:11" ht="19.5" customHeight="1" thickBot="1" x14ac:dyDescent="0.25">
      <c r="B9" s="159"/>
      <c r="C9" s="167" t="s">
        <v>54</v>
      </c>
      <c r="D9" s="168" t="str">
        <f>Currency&amp;"_YC"&amp;IndexTenor&amp;"RH"</f>
        <v>SEK_YC3MRH</v>
      </c>
      <c r="E9" s="161"/>
      <c r="F9" s="158"/>
      <c r="H9" s="198" t="s">
        <v>68</v>
      </c>
      <c r="I9" s="199"/>
      <c r="J9" s="199"/>
      <c r="K9" s="200"/>
    </row>
    <row r="10" spans="2:11" x14ac:dyDescent="0.2">
      <c r="B10" s="159"/>
      <c r="C10" s="172" t="s">
        <v>53</v>
      </c>
      <c r="D10" s="168" t="b">
        <v>1</v>
      </c>
      <c r="E10" s="161"/>
      <c r="F10" s="158"/>
      <c r="H10" s="25"/>
      <c r="I10" s="26"/>
      <c r="J10" s="26"/>
      <c r="K10" s="28"/>
    </row>
    <row r="11" spans="2:11" x14ac:dyDescent="0.2">
      <c r="B11" s="159"/>
      <c r="C11" s="172" t="s">
        <v>52</v>
      </c>
      <c r="D11" s="173"/>
      <c r="E11" s="161"/>
      <c r="F11" s="158"/>
      <c r="H11" s="25"/>
      <c r="I11" s="174" t="s">
        <v>67</v>
      </c>
      <c r="J11" s="170" t="s">
        <v>140</v>
      </c>
      <c r="K11" s="28"/>
    </row>
    <row r="12" spans="2:11" x14ac:dyDescent="0.2">
      <c r="B12" s="159"/>
      <c r="C12" s="175" t="s">
        <v>51</v>
      </c>
      <c r="D12" s="176" t="b">
        <v>1</v>
      </c>
      <c r="E12" s="161"/>
      <c r="F12" s="158"/>
      <c r="H12" s="25"/>
      <c r="I12" s="174" t="s">
        <v>66</v>
      </c>
      <c r="J12" s="170" t="s">
        <v>65</v>
      </c>
      <c r="K12" s="28"/>
    </row>
    <row r="13" spans="2:11" x14ac:dyDescent="0.2">
      <c r="B13" s="159"/>
      <c r="C13" s="177"/>
      <c r="D13" s="177"/>
      <c r="E13" s="161"/>
      <c r="F13" s="158"/>
      <c r="H13" s="25"/>
      <c r="I13" s="174" t="s">
        <v>84</v>
      </c>
      <c r="J13" s="165" t="s">
        <v>83</v>
      </c>
      <c r="K13" s="28"/>
    </row>
    <row r="14" spans="2:11" x14ac:dyDescent="0.2">
      <c r="B14" s="159"/>
      <c r="C14" s="178" t="s">
        <v>50</v>
      </c>
      <c r="D14" s="179" t="str">
        <f>_xll.qlPiecewiseYieldCurve(D16,NDays,Calendar,_xll.ohPack(Selected!D2:D126),DayCounter,,,Accuracy,TraitsID,InterpolatorID,Permanent,,ObjectOverwrite)</f>
        <v>_SEKYC3M#0001</v>
      </c>
      <c r="E14" s="161"/>
      <c r="F14" s="158"/>
      <c r="H14" s="25"/>
      <c r="I14" s="174" t="s">
        <v>82</v>
      </c>
      <c r="J14" s="165" t="s">
        <v>141</v>
      </c>
      <c r="K14" s="28"/>
    </row>
    <row r="15" spans="2:11" x14ac:dyDescent="0.2">
      <c r="B15" s="159"/>
      <c r="C15" s="180" t="s">
        <v>32</v>
      </c>
      <c r="D15" s="181" t="str">
        <f>_xll.ohRangeRetrieveError(YieldCurve)</f>
        <v/>
      </c>
      <c r="E15" s="161"/>
      <c r="F15" s="158"/>
      <c r="H15" s="25"/>
      <c r="I15" s="174" t="s">
        <v>81</v>
      </c>
      <c r="J15" s="165" t="str">
        <f>Currency&amp;"ON"</f>
        <v>SEKON</v>
      </c>
      <c r="K15" s="28"/>
    </row>
    <row r="16" spans="2:11" ht="12" thickBot="1" x14ac:dyDescent="0.25">
      <c r="B16" s="159"/>
      <c r="C16" s="178" t="s">
        <v>49</v>
      </c>
      <c r="D16" s="182" t="str">
        <f>"_"&amp;Currency&amp;"YC"&amp;IndexTenor</f>
        <v>_SEKYC3M</v>
      </c>
      <c r="E16" s="161"/>
      <c r="F16" s="158"/>
      <c r="H16" s="37"/>
      <c r="I16" s="38"/>
      <c r="J16" s="38"/>
      <c r="K16" s="39"/>
    </row>
    <row r="17" spans="1:6" x14ac:dyDescent="0.2">
      <c r="B17" s="159"/>
      <c r="C17" s="183" t="s">
        <v>48</v>
      </c>
      <c r="D17" s="184">
        <v>2</v>
      </c>
      <c r="E17" s="161"/>
      <c r="F17" s="158"/>
    </row>
    <row r="18" spans="1:6" x14ac:dyDescent="0.2">
      <c r="B18" s="159"/>
      <c r="C18" s="183" t="s">
        <v>47</v>
      </c>
      <c r="D18" s="185" t="s">
        <v>139</v>
      </c>
      <c r="E18" s="161"/>
      <c r="F18" s="158"/>
    </row>
    <row r="19" spans="1:6" x14ac:dyDescent="0.2">
      <c r="B19" s="159"/>
      <c r="C19" s="183" t="s">
        <v>46</v>
      </c>
      <c r="D19" s="186"/>
      <c r="E19" s="161"/>
      <c r="F19" s="158"/>
    </row>
    <row r="20" spans="1:6" x14ac:dyDescent="0.2">
      <c r="B20" s="159"/>
      <c r="C20" s="183" t="s">
        <v>45</v>
      </c>
      <c r="D20" s="187"/>
      <c r="E20" s="161"/>
      <c r="F20" s="158"/>
    </row>
    <row r="21" spans="1:6" x14ac:dyDescent="0.2">
      <c r="B21" s="159"/>
      <c r="C21" s="183" t="s">
        <v>44</v>
      </c>
      <c r="D21" s="188" t="s">
        <v>43</v>
      </c>
      <c r="E21" s="161"/>
      <c r="F21" s="158"/>
    </row>
    <row r="22" spans="1:6" x14ac:dyDescent="0.2">
      <c r="B22" s="159"/>
      <c r="C22" s="180" t="s">
        <v>42</v>
      </c>
      <c r="D22" s="189" t="s">
        <v>41</v>
      </c>
      <c r="E22" s="161"/>
      <c r="F22" s="158"/>
    </row>
    <row r="23" spans="1:6" x14ac:dyDescent="0.2">
      <c r="B23" s="159"/>
      <c r="C23" s="177"/>
      <c r="D23" s="177"/>
      <c r="E23" s="161"/>
      <c r="F23" s="158"/>
    </row>
    <row r="24" spans="1:6" x14ac:dyDescent="0.2">
      <c r="B24" s="159"/>
      <c r="C24" s="190">
        <f>_xll.qlTermStructureReferenceDate(YieldCurve)</f>
        <v>42276</v>
      </c>
      <c r="D24" s="191">
        <f>MAX(_xll.ohPack(Selected!J1:J126))</f>
        <v>1.003711465838504</v>
      </c>
      <c r="E24" s="161"/>
      <c r="F24" s="158"/>
    </row>
    <row r="25" spans="1:6" x14ac:dyDescent="0.2">
      <c r="B25" s="159"/>
      <c r="C25" s="192" t="e">
        <f ca="1">MAX(_xll.ohPack(Selected!I2:I126))</f>
        <v>#NAME?</v>
      </c>
      <c r="D25" s="168">
        <f>MIN(_xll.ohPack(Selected!J1:J126))</f>
        <v>0.51473186642113877</v>
      </c>
      <c r="E25" s="161"/>
      <c r="F25" s="158"/>
    </row>
    <row r="26" spans="1:6" x14ac:dyDescent="0.2">
      <c r="A26" s="193"/>
      <c r="B26" s="161"/>
      <c r="C26" s="192" t="s">
        <v>32</v>
      </c>
      <c r="D26" s="194" t="str">
        <f>_xll.ohRangeRetrieveError(Selected!J1)</f>
        <v/>
      </c>
      <c r="E26" s="161"/>
      <c r="F26" s="158"/>
    </row>
    <row r="27" spans="1:6" ht="11.25" customHeight="1" x14ac:dyDescent="0.2">
      <c r="A27" s="193"/>
      <c r="B27" s="161"/>
      <c r="C27" s="192" t="str">
        <f>[1]Stibor!$J$9</f>
        <v>SEK3M#0000</v>
      </c>
      <c r="D27" s="168" t="b">
        <f>_xll.qlRelinkableHandleLinkTo(C27,YieldCurve)</f>
        <v>1</v>
      </c>
      <c r="E27" s="161"/>
      <c r="F27" s="158"/>
    </row>
    <row r="28" spans="1:6" x14ac:dyDescent="0.2">
      <c r="A28" s="193"/>
      <c r="B28" s="161"/>
      <c r="C28" s="195" t="s">
        <v>86</v>
      </c>
      <c r="D28" s="46" t="b">
        <v>0</v>
      </c>
      <c r="E28" s="161"/>
      <c r="F28" s="158"/>
    </row>
    <row r="29" spans="1:6" ht="12" thickBot="1" x14ac:dyDescent="0.25">
      <c r="A29" s="193"/>
      <c r="B29" s="161"/>
      <c r="C29" s="196"/>
      <c r="D29" s="75"/>
      <c r="E29" s="161"/>
      <c r="F29" s="158"/>
    </row>
    <row r="30" spans="1:6" x14ac:dyDescent="0.2">
      <c r="B30" s="197"/>
      <c r="C30" s="197"/>
      <c r="D30" s="197"/>
      <c r="E30" s="197"/>
    </row>
  </sheetData>
  <dataValidations count="7">
    <dataValidation type="list" allowBlank="1" showInputMessage="1" showErrorMessage="1" sqref="D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1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J13:J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"EUR,USD,GBP,JPY,CHF,AUD,CNY,CNH,HKD,RMB,SEK,PLN,HUF,CZK"</formula1>
    </dataValidation>
    <dataValidation type="list" allowBlank="1" showInputMessage="1" showErrorMessage="1" sqref="D18">
      <formula1>"NullCalendar,Australia,China,HongKong::HKEx,Sweden,CzechRepublic::PSE,Poland,Hungary"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45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42578125" style="17" hidden="1" customWidth="1" outlineLevel="1"/>
    <col min="2" max="2" width="23.42578125" style="17" bestFit="1" customWidth="1" collapsed="1"/>
    <col min="3" max="3" width="9" style="17" bestFit="1" customWidth="1"/>
    <col min="4" max="5" width="8" style="17" bestFit="1" customWidth="1"/>
    <col min="6" max="7" width="9" style="17" bestFit="1" customWidth="1"/>
    <col min="8" max="9" width="17.28515625" style="17" bestFit="1" customWidth="1"/>
    <col min="10" max="10" width="3" style="1" bestFit="1" customWidth="1"/>
    <col min="11" max="11" width="14.140625" style="1" bestFit="1" customWidth="1"/>
    <col min="12" max="12" width="6" style="1" hidden="1" customWidth="1" outlineLevel="1"/>
    <col min="13" max="13" width="7" style="1" hidden="1" customWidth="1" outlineLevel="1"/>
    <col min="14" max="14" width="9.140625" style="1" collapsed="1"/>
    <col min="15" max="16384" width="9.140625" style="1"/>
  </cols>
  <sheetData>
    <row r="1" spans="1:13" ht="33.75" customHeight="1" x14ac:dyDescent="0.2">
      <c r="A1" s="79" t="s">
        <v>31</v>
      </c>
      <c r="B1" s="79" t="s">
        <v>87</v>
      </c>
      <c r="C1" s="79" t="s">
        <v>30</v>
      </c>
      <c r="D1" s="79" t="s">
        <v>29</v>
      </c>
      <c r="E1" s="79" t="s">
        <v>28</v>
      </c>
      <c r="F1" s="79" t="s">
        <v>27</v>
      </c>
      <c r="G1" s="79" t="s">
        <v>26</v>
      </c>
      <c r="H1" s="79" t="s">
        <v>25</v>
      </c>
      <c r="I1" s="79" t="s">
        <v>24</v>
      </c>
    </row>
    <row r="2" spans="1:13" x14ac:dyDescent="0.2">
      <c r="A2" s="146" t="str">
        <f>Deposits!J3</f>
        <v>obj_00209#0001</v>
      </c>
      <c r="B2" s="72" t="str">
        <f>_xll.qlRateHelperQuoteName(A2)</f>
        <v>SEKSND_SYNTH3M_Quote</v>
      </c>
      <c r="C2" s="71">
        <f>_xll.qlRateHelperQuoteValue($A2,Trigger)</f>
        <v>-2.3240000000000001E-3</v>
      </c>
      <c r="D2" s="71"/>
      <c r="E2" s="70" t="b">
        <v>0</v>
      </c>
      <c r="F2" s="70">
        <v>10</v>
      </c>
      <c r="G2" s="70">
        <v>1</v>
      </c>
      <c r="H2" s="69">
        <f>_xll.qlRateHelperEarliestDate($A2,Trigger)</f>
        <v>42276</v>
      </c>
      <c r="I2" s="68" t="e">
        <f ca="1">_xll.qlRateHelperLatestDate($A2,Trigger)</f>
        <v>#NAME?</v>
      </c>
      <c r="J2" s="1">
        <v>40</v>
      </c>
      <c r="K2" s="1" t="s">
        <v>23</v>
      </c>
    </row>
    <row r="3" spans="1:13" s="61" customFormat="1" x14ac:dyDescent="0.2">
      <c r="A3" s="146" t="str">
        <f>Deposits!J4</f>
        <v>obj_00203#0001</v>
      </c>
      <c r="B3" s="72" t="str">
        <f>_xll.qlRateHelperQuoteName(A3)</f>
        <v>SEKSWD_SYNTH3M_Quote</v>
      </c>
      <c r="C3" s="71">
        <f>_xll.qlRateHelperQuoteValue($A3,Trigger)</f>
        <v>-2.3370000000000001E-3</v>
      </c>
      <c r="D3" s="71"/>
      <c r="E3" s="70" t="b">
        <v>0</v>
      </c>
      <c r="F3" s="70">
        <v>10</v>
      </c>
      <c r="G3" s="70">
        <v>1</v>
      </c>
      <c r="H3" s="69">
        <f>_xll.qlRateHelperEarliestDate($A3,Trigger)</f>
        <v>42276</v>
      </c>
      <c r="I3" s="68" t="e">
        <f ca="1">_xll.qlRateHelperLatestDate($A3,Trigger)</f>
        <v>#NAME?</v>
      </c>
    </row>
    <row r="4" spans="1:13" s="61" customFormat="1" x14ac:dyDescent="0.2">
      <c r="A4" s="146" t="str">
        <f>Deposits!J5</f>
        <v>obj_00206#0001</v>
      </c>
      <c r="B4" s="72" t="str">
        <f>_xll.qlRateHelperQuoteName(A4)</f>
        <v>SEK2WD_SYNTH3M_Quote</v>
      </c>
      <c r="C4" s="71">
        <f>_xll.qlRateHelperQuoteValue($A4,Trigger)</f>
        <v>-2.362E-3</v>
      </c>
      <c r="D4" s="71"/>
      <c r="E4" s="70" t="b">
        <v>0</v>
      </c>
      <c r="F4" s="70">
        <v>10</v>
      </c>
      <c r="G4" s="70">
        <v>1</v>
      </c>
      <c r="H4" s="69">
        <f>_xll.qlRateHelperEarliestDate($A4,Trigger)</f>
        <v>42276</v>
      </c>
      <c r="I4" s="68" t="e">
        <f ca="1">_xll.qlRateHelperLatestDate($A4,Trigger)</f>
        <v>#NAME?</v>
      </c>
    </row>
    <row r="5" spans="1:13" s="61" customFormat="1" x14ac:dyDescent="0.2">
      <c r="A5" s="146" t="str">
        <f>Deposits!J6</f>
        <v>obj_00205#0001</v>
      </c>
      <c r="B5" s="72" t="str">
        <f>_xll.qlRateHelperQuoteName(A5)</f>
        <v>SEK3WD_SYNTH3M_Quote</v>
      </c>
      <c r="C5" s="71">
        <f>_xll.qlRateHelperQuoteValue($A5,Trigger)</f>
        <v>-2.3969999999999998E-3</v>
      </c>
      <c r="D5" s="71"/>
      <c r="E5" s="70" t="b">
        <v>0</v>
      </c>
      <c r="F5" s="70">
        <v>10</v>
      </c>
      <c r="G5" s="70">
        <v>1</v>
      </c>
      <c r="H5" s="69">
        <f>_xll.qlRateHelperEarliestDate($A5,Trigger)</f>
        <v>42276</v>
      </c>
      <c r="I5" s="68" t="e">
        <f ca="1">_xll.qlRateHelperLatestDate($A5,Trigger)</f>
        <v>#NAME?</v>
      </c>
    </row>
    <row r="6" spans="1:13" x14ac:dyDescent="0.2">
      <c r="A6" s="146" t="str">
        <f>Deposits!J7</f>
        <v>obj_00207#0001</v>
      </c>
      <c r="B6" s="72" t="str">
        <f>_xll.qlRateHelperQuoteName(A6)</f>
        <v>SEK1MD_SYNTH3M_Quote</v>
      </c>
      <c r="C6" s="71">
        <f>_xll.qlRateHelperQuoteValue($A6,Trigger)</f>
        <v>-2.4580000000000001E-3</v>
      </c>
      <c r="D6" s="71"/>
      <c r="E6" s="70" t="b">
        <v>1</v>
      </c>
      <c r="F6" s="70">
        <v>10</v>
      </c>
      <c r="G6" s="70">
        <v>1</v>
      </c>
      <c r="H6" s="69">
        <f>_xll.qlRateHelperEarliestDate($A6,Trigger)</f>
        <v>42276</v>
      </c>
      <c r="I6" s="68" t="e">
        <f ca="1">_xll.qlRateHelperLatestDate($A6,Trigger)</f>
        <v>#NAME?</v>
      </c>
      <c r="J6" s="1">
        <v>70</v>
      </c>
      <c r="K6" s="1" t="s">
        <v>22</v>
      </c>
    </row>
    <row r="7" spans="1:13" x14ac:dyDescent="0.2">
      <c r="A7" s="146" t="str">
        <f>Deposits!J8</f>
        <v>obj_0020a#0001</v>
      </c>
      <c r="B7" s="72" t="str">
        <f>_xll.qlRateHelperQuoteName(A7)</f>
        <v>SEK2MD_SYNTH3M_Quote</v>
      </c>
      <c r="C7" s="71">
        <f>_xll.qlRateHelperQuoteValue($A7,Trigger)</f>
        <v>-2.6970000000000002E-3</v>
      </c>
      <c r="D7" s="71"/>
      <c r="E7" s="70" t="b">
        <v>1</v>
      </c>
      <c r="F7" s="70">
        <v>10</v>
      </c>
      <c r="G7" s="70">
        <v>1</v>
      </c>
      <c r="H7" s="69">
        <f>_xll.qlRateHelperEarliestDate($A7,Trigger)</f>
        <v>42276</v>
      </c>
      <c r="I7" s="68" t="e">
        <f ca="1">_xll.qlRateHelperLatestDate($A7,Trigger)</f>
        <v>#NAME?</v>
      </c>
    </row>
    <row r="8" spans="1:13" x14ac:dyDescent="0.2">
      <c r="A8" s="146" t="str">
        <f>Deposits!J9</f>
        <v>obj_00208#0001</v>
      </c>
      <c r="B8" s="72" t="str">
        <f>_xll.qlRateHelperQuoteName(A8)</f>
        <v>SEK3MD_SYNTH3M_Quote</v>
      </c>
      <c r="C8" s="71">
        <f>_xll.qlRateHelperQuoteValue($A8,Trigger)</f>
        <v>-2.81E-3</v>
      </c>
      <c r="D8" s="71"/>
      <c r="E8" s="70" t="b">
        <v>1</v>
      </c>
      <c r="F8" s="70">
        <v>70</v>
      </c>
      <c r="G8" s="70">
        <v>1</v>
      </c>
      <c r="H8" s="69">
        <f>_xll.qlRateHelperEarliestDate($A8,Trigger)</f>
        <v>42276</v>
      </c>
      <c r="I8" s="68" t="e">
        <f ca="1">_xll.qlRateHelperLatestDate($A8,Trigger)</f>
        <v>#NAME?</v>
      </c>
    </row>
    <row r="9" spans="1:13" ht="11.25" customHeight="1" x14ac:dyDescent="0.2">
      <c r="A9" s="147" t="str">
        <f>'IMM FRA'!J3</f>
        <v>obj_00211#0001</v>
      </c>
      <c r="B9" s="77" t="str">
        <f>_xll.qlRateHelperQuoteName(A9)</f>
        <v>FUTSEK3F1_Quote</v>
      </c>
      <c r="C9" s="145">
        <f>_xll.qlRateHelperQuoteValue($A9,Trigger)</f>
        <v>100.315</v>
      </c>
      <c r="D9" s="76">
        <f>_xll.qlFuturesRateHelperConvexityAdjustment($A9,Trigger)</f>
        <v>0</v>
      </c>
      <c r="E9" s="75" t="b">
        <v>1</v>
      </c>
      <c r="F9" s="75">
        <v>60</v>
      </c>
      <c r="G9" s="75">
        <v>7</v>
      </c>
      <c r="H9" s="74">
        <f>_xll.qlRateHelperEarliestDate($A9,Trigger)</f>
        <v>42354</v>
      </c>
      <c r="I9" s="73" t="e">
        <f ca="1">_xll.qlRateHelperLatestDate($A9,Trigger)</f>
        <v>#NAME?</v>
      </c>
      <c r="L9" s="1" t="b">
        <f>AND(_xll.qlASXIsASXdate(H9),IF(ISERROR(C9),FALSE,TRUE))</f>
        <v>0</v>
      </c>
      <c r="M9" s="61" t="b">
        <f>AND(NOT(_xll.qlASXIsASXdate(H9)),IF(ISERROR(C9),FALSE,TRUE))</f>
        <v>1</v>
      </c>
    </row>
    <row r="10" spans="1:13" x14ac:dyDescent="0.2">
      <c r="A10" s="146" t="str">
        <f>'IMM FRA'!J4</f>
        <v>obj_00216#0001</v>
      </c>
      <c r="B10" s="72" t="str">
        <f>_xll.qlRateHelperQuoteName(A10)</f>
        <v>FUTSEK3F2_Quote</v>
      </c>
      <c r="C10" s="78">
        <f>_xll.qlRateHelperQuoteValue($A10,Trigger)</f>
        <v>100.315</v>
      </c>
      <c r="D10" s="71">
        <f>_xll.qlFuturesRateHelperConvexityAdjustment($A10,Trigger)</f>
        <v>0</v>
      </c>
      <c r="E10" s="70" t="b">
        <v>1</v>
      </c>
      <c r="F10" s="70">
        <v>60</v>
      </c>
      <c r="G10" s="70">
        <v>7</v>
      </c>
      <c r="H10" s="69">
        <f>_xll.qlRateHelperEarliestDate($A10,Trigger)</f>
        <v>42445</v>
      </c>
      <c r="I10" s="68" t="e">
        <f ca="1">_xll.qlRateHelperLatestDate($A10,Trigger)</f>
        <v>#NAME?</v>
      </c>
      <c r="L10" s="61" t="b">
        <f>AND(_xll.qlASXIsASXdate(H10),IF(ISERROR(C10),FALSE,TRUE))</f>
        <v>0</v>
      </c>
      <c r="M10" s="61" t="b">
        <f>AND(NOT(_xll.qlASXIsASXdate(H10)),IF(ISERROR(C10),FALSE,TRUE))</f>
        <v>1</v>
      </c>
    </row>
    <row r="11" spans="1:13" x14ac:dyDescent="0.2">
      <c r="A11" s="146" t="str">
        <f>'IMM FRA'!J5</f>
        <v>obj_00210#0001</v>
      </c>
      <c r="B11" s="72" t="str">
        <f>_xll.qlRateHelperQuoteName(A11)</f>
        <v>FUTSEK3F3_Quote</v>
      </c>
      <c r="C11" s="78">
        <f>_xll.qlRateHelperQuoteValue($A11,Trigger)</f>
        <v>100.27249999999999</v>
      </c>
      <c r="D11" s="71">
        <f>_xll.qlFuturesRateHelperConvexityAdjustment($A11,Trigger)</f>
        <v>0</v>
      </c>
      <c r="E11" s="70" t="b">
        <v>1</v>
      </c>
      <c r="F11" s="70">
        <v>60</v>
      </c>
      <c r="G11" s="70">
        <v>21</v>
      </c>
      <c r="H11" s="69">
        <f>_xll.qlRateHelperEarliestDate($A11,Trigger)</f>
        <v>42536</v>
      </c>
      <c r="I11" s="68" t="e">
        <f ca="1">_xll.qlRateHelperLatestDate($A11,Trigger)</f>
        <v>#NAME?</v>
      </c>
      <c r="L11" s="61" t="b">
        <f>AND(_xll.qlASXIsASXdate(H11),IF(ISERROR(C11),FALSE,TRUE))</f>
        <v>0</v>
      </c>
      <c r="M11" s="61" t="b">
        <f>AND(NOT(_xll.qlASXIsASXdate(H11)),IF(ISERROR(C11),FALSE,TRUE))</f>
        <v>1</v>
      </c>
    </row>
    <row r="12" spans="1:13" x14ac:dyDescent="0.2">
      <c r="A12" s="146" t="str">
        <f>'IMM FRA'!J6</f>
        <v>obj_00218#0001</v>
      </c>
      <c r="B12" s="72" t="str">
        <f>_xll.qlRateHelperQuoteName(A12)</f>
        <v>FUTSEK3F4_Quote</v>
      </c>
      <c r="C12" s="78">
        <f>_xll.qlRateHelperQuoteValue($A12,Trigger)</f>
        <v>100.2</v>
      </c>
      <c r="D12" s="71">
        <f>_xll.qlFuturesRateHelperConvexityAdjustment($A12,Trigger)</f>
        <v>0</v>
      </c>
      <c r="E12" s="70" t="b">
        <v>1</v>
      </c>
      <c r="F12" s="70">
        <v>60</v>
      </c>
      <c r="G12" s="70">
        <v>21</v>
      </c>
      <c r="H12" s="69">
        <f>_xll.qlRateHelperEarliestDate($A12,Trigger)</f>
        <v>42634</v>
      </c>
      <c r="I12" s="68" t="e">
        <f ca="1">_xll.qlRateHelperLatestDate($A12,Trigger)</f>
        <v>#NAME?</v>
      </c>
      <c r="L12" s="61" t="b">
        <f>AND(_xll.qlASXIsASXdate(H12),IF(ISERROR(C12),FALSE,TRUE))</f>
        <v>0</v>
      </c>
      <c r="M12" s="61" t="b">
        <f>AND(NOT(_xll.qlASXIsASXdate(H12)),IF(ISERROR(C12),FALSE,TRUE))</f>
        <v>1</v>
      </c>
    </row>
    <row r="13" spans="1:13" x14ac:dyDescent="0.2">
      <c r="A13" s="146" t="str">
        <f>'IMM FRA'!J7</f>
        <v>obj_00214#0001</v>
      </c>
      <c r="B13" s="72" t="str">
        <f>_xll.qlRateHelperQuoteName(A13)</f>
        <v>FUTSEK3F5_Quote</v>
      </c>
      <c r="C13" s="78">
        <f>_xll.qlRateHelperQuoteValue($A13,Trigger)</f>
        <v>100.1075</v>
      </c>
      <c r="D13" s="71">
        <f>_xll.qlFuturesRateHelperConvexityAdjustment($A13,Trigger)</f>
        <v>0</v>
      </c>
      <c r="E13" s="70" t="b">
        <v>1</v>
      </c>
      <c r="F13" s="70">
        <v>60</v>
      </c>
      <c r="G13" s="70">
        <v>21</v>
      </c>
      <c r="H13" s="69">
        <f>_xll.qlRateHelperEarliestDate($A13,Trigger)</f>
        <v>42725</v>
      </c>
      <c r="I13" s="68" t="e">
        <f ca="1">_xll.qlRateHelperLatestDate($A13,Trigger)</f>
        <v>#NAME?</v>
      </c>
      <c r="L13" s="61" t="b">
        <f>AND(_xll.qlASXIsASXdate(H13),IF(ISERROR(C13),FALSE,TRUE))</f>
        <v>0</v>
      </c>
      <c r="M13" s="61" t="b">
        <f>AND(NOT(_xll.qlASXIsASXdate(H13)),IF(ISERROR(C13),FALSE,TRUE))</f>
        <v>1</v>
      </c>
    </row>
    <row r="14" spans="1:13" x14ac:dyDescent="0.2">
      <c r="A14" s="146" t="str">
        <f>'IMM FRA'!J8</f>
        <v>obj_0020d#0001</v>
      </c>
      <c r="B14" s="72" t="str">
        <f>_xll.qlRateHelperQuoteName(A14)</f>
        <v>FUTSEK3F6_Quote</v>
      </c>
      <c r="C14" s="78">
        <f>_xll.qlRateHelperQuoteValue($A14,Trigger)</f>
        <v>100</v>
      </c>
      <c r="D14" s="71">
        <f>_xll.qlFuturesRateHelperConvexityAdjustment($A14,Trigger)</f>
        <v>0</v>
      </c>
      <c r="E14" s="70" t="b">
        <v>1</v>
      </c>
      <c r="F14" s="70">
        <v>60</v>
      </c>
      <c r="G14" s="70">
        <v>21</v>
      </c>
      <c r="H14" s="69">
        <f>_xll.qlRateHelperEarliestDate($A14,Trigger)</f>
        <v>42809</v>
      </c>
      <c r="I14" s="68" t="e">
        <f ca="1">_xll.qlRateHelperLatestDate($A14,Trigger)</f>
        <v>#NAME?</v>
      </c>
      <c r="L14" s="61" t="b">
        <f>AND(_xll.qlASXIsASXdate(H14),IF(ISERROR(C14),FALSE,TRUE))</f>
        <v>0</v>
      </c>
      <c r="M14" s="61" t="b">
        <f>AND(NOT(_xll.qlASXIsASXdate(H14)),IF(ISERROR(C14),FALSE,TRUE))</f>
        <v>1</v>
      </c>
    </row>
    <row r="15" spans="1:13" x14ac:dyDescent="0.2">
      <c r="A15" s="146" t="str">
        <f>'IMM FRA'!J9</f>
        <v>obj_00219#0001</v>
      </c>
      <c r="B15" s="72" t="str">
        <f>_xll.qlRateHelperQuoteName(A15)</f>
        <v>FUTSEK3F7_Quote</v>
      </c>
      <c r="C15" s="78">
        <f>_xll.qlRateHelperQuoteValue($A15,Trigger)</f>
        <v>99.882499999999993</v>
      </c>
      <c r="D15" s="71">
        <f>_xll.qlFuturesRateHelperConvexityAdjustment($A15,Trigger)</f>
        <v>0</v>
      </c>
      <c r="E15" s="70" t="b">
        <v>1</v>
      </c>
      <c r="F15" s="70">
        <v>60</v>
      </c>
      <c r="G15" s="70">
        <v>21</v>
      </c>
      <c r="H15" s="69">
        <f>_xll.qlRateHelperEarliestDate($A15,Trigger)</f>
        <v>42907</v>
      </c>
      <c r="I15" s="68" t="e">
        <f ca="1">_xll.qlRateHelperLatestDate($A15,Trigger)</f>
        <v>#NAME?</v>
      </c>
      <c r="L15" s="61" t="b">
        <f>AND(_xll.qlASXIsASXdate(H15),IF(ISERROR(C15),FALSE,TRUE))</f>
        <v>0</v>
      </c>
      <c r="M15" s="61" t="b">
        <f>AND(NOT(_xll.qlASXIsASXdate(H15)),IF(ISERROR(C15),FALSE,TRUE))</f>
        <v>1</v>
      </c>
    </row>
    <row r="16" spans="1:13" x14ac:dyDescent="0.2">
      <c r="A16" s="146" t="str">
        <f>'IMM FRA'!J10</f>
        <v>obj_00215#0001</v>
      </c>
      <c r="B16" s="72" t="str">
        <f>_xll.qlRateHelperQuoteName(A16)</f>
        <v>FUTSEK3F8_Quote</v>
      </c>
      <c r="C16" s="78">
        <f>_xll.qlRateHelperQuoteValue($A16,Trigger)</f>
        <v>99.76</v>
      </c>
      <c r="D16" s="71">
        <f>_xll.qlFuturesRateHelperConvexityAdjustment($A16,Trigger)</f>
        <v>0</v>
      </c>
      <c r="E16" s="70" t="b">
        <v>1</v>
      </c>
      <c r="F16" s="70">
        <v>60</v>
      </c>
      <c r="G16" s="70">
        <v>21</v>
      </c>
      <c r="H16" s="69">
        <f>_xll.qlRateHelperEarliestDate($A16,Trigger)</f>
        <v>42998</v>
      </c>
      <c r="I16" s="68" t="e">
        <f ca="1">_xll.qlRateHelperLatestDate($A16,Trigger)</f>
        <v>#NAME?</v>
      </c>
      <c r="L16" s="61" t="b">
        <f>AND(_xll.qlASXIsASXdate(H16),IF(ISERROR(C16),FALSE,TRUE))</f>
        <v>0</v>
      </c>
      <c r="M16" s="61" t="b">
        <f>AND(NOT(_xll.qlASXIsASXdate(H16)),IF(ISERROR(C16),FALSE,TRUE))</f>
        <v>1</v>
      </c>
    </row>
    <row r="17" spans="1:13" x14ac:dyDescent="0.2">
      <c r="A17" s="146" t="str">
        <f>'IMM FRA'!J11</f>
        <v>obj_0020e#0001</v>
      </c>
      <c r="B17" s="72" t="str">
        <f>_xll.qlRateHelperQuoteName(A17)</f>
        <v>FUTSEK3F9_Quote</v>
      </c>
      <c r="C17" s="78">
        <f>_xll.qlRateHelperQuoteValue($A17,Trigger)</f>
        <v>99.637500000000003</v>
      </c>
      <c r="D17" s="71">
        <f>_xll.qlFuturesRateHelperConvexityAdjustment($A17,Trigger)</f>
        <v>0</v>
      </c>
      <c r="E17" s="70" t="b">
        <v>1</v>
      </c>
      <c r="F17" s="70">
        <v>60</v>
      </c>
      <c r="G17" s="70">
        <v>21</v>
      </c>
      <c r="H17" s="69">
        <f>_xll.qlRateHelperEarliestDate($A17,Trigger)</f>
        <v>43089</v>
      </c>
      <c r="I17" s="68" t="e">
        <f ca="1">_xll.qlRateHelperLatestDate($A17,Trigger)</f>
        <v>#NAME?</v>
      </c>
      <c r="L17" s="61" t="b">
        <f>AND(_xll.qlASXIsASXdate(H17),IF(ISERROR(C17),FALSE,TRUE))</f>
        <v>0</v>
      </c>
      <c r="M17" s="61" t="b">
        <f>AND(NOT(_xll.qlASXIsASXdate(H17)),IF(ISERROR(C17),FALSE,TRUE))</f>
        <v>1</v>
      </c>
    </row>
    <row r="18" spans="1:13" x14ac:dyDescent="0.2">
      <c r="A18" s="146" t="str">
        <f>'IMM FRA'!J12</f>
        <v>obj_00217#0001</v>
      </c>
      <c r="B18" s="72" t="str">
        <f>_xll.qlRateHelperQuoteName(A18)</f>
        <v>FUTSEK3F10_Quote</v>
      </c>
      <c r="C18" s="78">
        <f>_xll.qlRateHelperQuoteValue($A18,Trigger)</f>
        <v>99.515000000000001</v>
      </c>
      <c r="D18" s="71">
        <f>_xll.qlFuturesRateHelperConvexityAdjustment($A18,Trigger)</f>
        <v>0</v>
      </c>
      <c r="E18" s="70" t="b">
        <v>1</v>
      </c>
      <c r="F18" s="70">
        <v>60</v>
      </c>
      <c r="G18" s="70">
        <v>21</v>
      </c>
      <c r="H18" s="69">
        <f>_xll.qlRateHelperEarliestDate($A18,Trigger)</f>
        <v>43180</v>
      </c>
      <c r="I18" s="68" t="e">
        <f ca="1">_xll.qlRateHelperLatestDate($A18,Trigger)</f>
        <v>#NAME?</v>
      </c>
      <c r="L18" s="61" t="b">
        <f>AND(_xll.qlASXIsASXdate(H18),IF(ISERROR(C18),FALSE,TRUE))</f>
        <v>0</v>
      </c>
      <c r="M18" s="61" t="b">
        <f>AND(NOT(_xll.qlASXIsASXdate(H18)),IF(ISERROR(C18),FALSE,TRUE))</f>
        <v>1</v>
      </c>
    </row>
    <row r="19" spans="1:13" x14ac:dyDescent="0.2">
      <c r="A19" s="146" t="str">
        <f>'IMM FRA'!J13</f>
        <v>obj_00212#0001</v>
      </c>
      <c r="B19" s="72" t="str">
        <f>_xll.qlRateHelperQuoteName(A19)</f>
        <v>FUTSEK3F11_Quote</v>
      </c>
      <c r="C19" s="78">
        <f>_xll.qlRateHelperQuoteValue($A19,Trigger)</f>
        <v>99.392499999999998</v>
      </c>
      <c r="D19" s="71">
        <f>_xll.qlFuturesRateHelperConvexityAdjustment($A19,Trigger)</f>
        <v>0</v>
      </c>
      <c r="E19" s="70" t="b">
        <v>1</v>
      </c>
      <c r="F19" s="70">
        <v>60</v>
      </c>
      <c r="G19" s="70">
        <v>21</v>
      </c>
      <c r="H19" s="69">
        <f>_xll.qlRateHelperEarliestDate($A19,Trigger)</f>
        <v>43271</v>
      </c>
      <c r="I19" s="68" t="e">
        <f ca="1">_xll.qlRateHelperLatestDate($A19,Trigger)</f>
        <v>#NAME?</v>
      </c>
      <c r="L19" s="61" t="b">
        <f>AND(_xll.qlASXIsASXdate(H19),IF(ISERROR(C19),FALSE,TRUE))</f>
        <v>0</v>
      </c>
      <c r="M19" s="61" t="b">
        <f>AND(NOT(_xll.qlASXIsASXdate(H19)),IF(ISERROR(C19),FALSE,TRUE))</f>
        <v>1</v>
      </c>
    </row>
    <row r="20" spans="1:13" x14ac:dyDescent="0.2">
      <c r="A20" s="146" t="str">
        <f>'IMM FRA'!J14</f>
        <v>obj_0020c#0001</v>
      </c>
      <c r="B20" s="72" t="str">
        <f>_xll.qlRateHelperQuoteName(A20)</f>
        <v>FUTSEK3F12_Quote</v>
      </c>
      <c r="C20" s="78">
        <f>_xll.qlRateHelperQuoteValue($A20,Trigger)</f>
        <v>99.27</v>
      </c>
      <c r="D20" s="71">
        <f>_xll.qlFuturesRateHelperConvexityAdjustment($A20,Trigger)</f>
        <v>0</v>
      </c>
      <c r="E20" s="70" t="b">
        <v>1</v>
      </c>
      <c r="F20" s="70">
        <v>60</v>
      </c>
      <c r="G20" s="70">
        <v>21</v>
      </c>
      <c r="H20" s="69">
        <f>_xll.qlRateHelperEarliestDate($A20,Trigger)</f>
        <v>43362</v>
      </c>
      <c r="I20" s="68" t="e">
        <f ca="1">_xll.qlRateHelperLatestDate($A20,Trigger)</f>
        <v>#NAME?</v>
      </c>
      <c r="L20" s="61" t="b">
        <f>AND(_xll.qlASXIsASXdate(H20),IF(ISERROR(C20),FALSE,TRUE))</f>
        <v>0</v>
      </c>
      <c r="M20" s="61" t="b">
        <f>AND(NOT(_xll.qlASXIsASXdate(H20)),IF(ISERROR(C20),FALSE,TRUE))</f>
        <v>1</v>
      </c>
    </row>
    <row r="21" spans="1:13" x14ac:dyDescent="0.2">
      <c r="A21" s="146" t="str">
        <f>'IMM FRA'!J15</f>
        <v>obj_00213#0001</v>
      </c>
      <c r="B21" s="72" t="str">
        <f>_xll.qlRateHelperQuoteName(A21)</f>
        <v>FUTSEK3F13_Quote</v>
      </c>
      <c r="C21" s="78" t="e">
        <f>_xll.qlRateHelperQuoteValue($A21,Trigger)</f>
        <v>#NUM!</v>
      </c>
      <c r="D21" s="71">
        <f>_xll.qlFuturesRateHelperConvexityAdjustment($A21,Trigger)</f>
        <v>0</v>
      </c>
      <c r="E21" s="70" t="b">
        <v>0</v>
      </c>
      <c r="F21" s="70">
        <v>60</v>
      </c>
      <c r="G21" s="70">
        <v>21</v>
      </c>
      <c r="H21" s="69">
        <f>_xll.qlRateHelperEarliestDate($A21,Trigger)</f>
        <v>43453</v>
      </c>
      <c r="I21" s="68" t="e">
        <f ca="1">_xll.qlRateHelperLatestDate($A21,Trigger)</f>
        <v>#NAME?</v>
      </c>
      <c r="L21" s="61" t="b">
        <f>AND(_xll.qlASXIsASXdate(H21),IF(ISERROR(C21),FALSE,TRUE))</f>
        <v>0</v>
      </c>
      <c r="M21" s="61" t="b">
        <f>AND(NOT(_xll.qlASXIsASXdate(H21)),IF(ISERROR(C21),FALSE,TRUE))</f>
        <v>0</v>
      </c>
    </row>
    <row r="22" spans="1:13" x14ac:dyDescent="0.2">
      <c r="A22" s="146" t="str">
        <f>'IMM FRA'!J16</f>
        <v>obj_0020b#0001</v>
      </c>
      <c r="B22" s="72" t="str">
        <f>_xll.qlRateHelperQuoteName(A22)</f>
        <v>FUTSEK3F14_Quote</v>
      </c>
      <c r="C22" s="78" t="e">
        <f>_xll.qlRateHelperQuoteValue($A22,Trigger)</f>
        <v>#NUM!</v>
      </c>
      <c r="D22" s="71">
        <f>_xll.qlFuturesRateHelperConvexityAdjustment($A22,Trigger)</f>
        <v>0</v>
      </c>
      <c r="E22" s="70" t="b">
        <v>0</v>
      </c>
      <c r="F22" s="70">
        <v>60</v>
      </c>
      <c r="G22" s="70">
        <v>21</v>
      </c>
      <c r="H22" s="69">
        <f>_xll.qlRateHelperEarliestDate($A22,Trigger)</f>
        <v>43544</v>
      </c>
      <c r="I22" s="68" t="e">
        <f ca="1">_xll.qlRateHelperLatestDate($A22,Trigger)</f>
        <v>#NAME?</v>
      </c>
      <c r="L22" s="61" t="b">
        <f>AND(_xll.qlASXIsASXdate(H22),IF(ISERROR(C22),FALSE,TRUE))</f>
        <v>0</v>
      </c>
      <c r="M22" s="61" t="b">
        <f>AND(NOT(_xll.qlASXIsASXdate(H22)),IF(ISERROR(C22),FALSE,TRUE))</f>
        <v>0</v>
      </c>
    </row>
    <row r="23" spans="1:13" x14ac:dyDescent="0.2">
      <c r="A23" s="146" t="str">
        <f>'IMM FRA'!J17</f>
        <v>obj_0020f#0001</v>
      </c>
      <c r="B23" s="72" t="str">
        <f>_xll.qlRateHelperQuoteName(A23)</f>
        <v>FUTSEK3F15_Quote</v>
      </c>
      <c r="C23" s="78" t="e">
        <f>_xll.qlRateHelperQuoteValue($A23,Trigger)</f>
        <v>#NUM!</v>
      </c>
      <c r="D23" s="71">
        <f>_xll.qlFuturesRateHelperConvexityAdjustment($A23,Trigger)</f>
        <v>0</v>
      </c>
      <c r="E23" s="70" t="b">
        <v>0</v>
      </c>
      <c r="F23" s="70">
        <v>60</v>
      </c>
      <c r="G23" s="70">
        <v>21</v>
      </c>
      <c r="H23" s="69">
        <f>_xll.qlRateHelperEarliestDate($A23,Trigger)</f>
        <v>43635</v>
      </c>
      <c r="I23" s="68" t="e">
        <f ca="1">_xll.qlRateHelperLatestDate($A23,Trigger)</f>
        <v>#NAME?</v>
      </c>
      <c r="L23" s="61" t="b">
        <f>AND(_xll.qlASXIsASXdate(H23),IF(ISERROR(C23),FALSE,TRUE))</f>
        <v>0</v>
      </c>
      <c r="M23" s="61" t="b">
        <f>AND(NOT(_xll.qlASXIsASXdate(H23)),IF(ISERROR(C23),FALSE,TRUE))</f>
        <v>0</v>
      </c>
    </row>
    <row r="24" spans="1:13" x14ac:dyDescent="0.2">
      <c r="A24" s="147" t="str">
        <f>Swaps!L5</f>
        <v>obj_0025e#0001</v>
      </c>
      <c r="B24" s="77" t="str">
        <f>SUBSTITUTE(_xll.qlRateHelperQuoteName(A24),"6AB","3ABBASIS")</f>
        <v>SEKAB3S1Y_Quote</v>
      </c>
      <c r="C24" s="76">
        <f>_xll.qlRateHelperQuoteValue($A24,Trigger)</f>
        <v>-2.9749999999999998E-3</v>
      </c>
      <c r="D24" s="76">
        <f>_xll.qlSwapRateHelperSpread($A24,Trigger)</f>
        <v>0</v>
      </c>
      <c r="E24" s="75" t="b">
        <v>0</v>
      </c>
      <c r="F24" s="75">
        <v>70</v>
      </c>
      <c r="G24" s="75">
        <v>1</v>
      </c>
      <c r="H24" s="74">
        <f>_xll.qlRateHelperEarliestDate($A24,Trigger)</f>
        <v>42276</v>
      </c>
      <c r="I24" s="73" t="e">
        <f ca="1">_xll.qlRateHelperLatestDate($A24,Trigger)</f>
        <v>#NAME?</v>
      </c>
      <c r="K24" s="24"/>
    </row>
    <row r="25" spans="1:13" x14ac:dyDescent="0.2">
      <c r="A25" s="146" t="str">
        <f>Swaps!L6</f>
        <v>obj_0026a#0001</v>
      </c>
      <c r="B25" s="72" t="str">
        <f>SUBSTITUTE(_xll.qlRateHelperQuoteName(A25),"6AB","3ABBASIS")</f>
        <v>SEKAB3S15M_Quote</v>
      </c>
      <c r="C25" s="71" t="e">
        <f>_xll.qlRateHelperQuoteValue($A25,Trigger)</f>
        <v>#NUM!</v>
      </c>
      <c r="D25" s="71">
        <f>_xll.qlSwapRateHelperSpread($A25,Trigger)</f>
        <v>0</v>
      </c>
      <c r="E25" s="70" t="b">
        <v>0</v>
      </c>
      <c r="F25" s="70">
        <v>50</v>
      </c>
      <c r="G25" s="70">
        <v>1</v>
      </c>
      <c r="H25" s="69">
        <f>_xll.qlRateHelperEarliestDate($A25,Trigger)</f>
        <v>42276</v>
      </c>
      <c r="I25" s="68" t="e">
        <f ca="1">_xll.qlRateHelperLatestDate($A25,Trigger)</f>
        <v>#NAME?</v>
      </c>
      <c r="K25" s="24"/>
    </row>
    <row r="26" spans="1:13" x14ac:dyDescent="0.2">
      <c r="A26" s="146" t="str">
        <f>Swaps!L7</f>
        <v>obj_00269#0001</v>
      </c>
      <c r="B26" s="72" t="str">
        <f>SUBSTITUTE(_xll.qlRateHelperQuoteName(A26),"6AB","3ABBASIS")</f>
        <v>SEKAB3S18M_Quote</v>
      </c>
      <c r="C26" s="71" t="e">
        <f>_xll.qlRateHelperQuoteValue($A26,Trigger)</f>
        <v>#NUM!</v>
      </c>
      <c r="D26" s="71">
        <f>_xll.qlSwapRateHelperSpread($A26,Trigger)</f>
        <v>0</v>
      </c>
      <c r="E26" s="70" t="b">
        <v>0</v>
      </c>
      <c r="F26" s="70">
        <v>50</v>
      </c>
      <c r="G26" s="70">
        <v>1</v>
      </c>
      <c r="H26" s="69">
        <f>_xll.qlRateHelperEarliestDate($A26,Trigger)</f>
        <v>42276</v>
      </c>
      <c r="I26" s="68" t="e">
        <f ca="1">_xll.qlRateHelperLatestDate($A26,Trigger)</f>
        <v>#NAME?</v>
      </c>
      <c r="K26" s="24"/>
    </row>
    <row r="27" spans="1:13" x14ac:dyDescent="0.2">
      <c r="A27" s="146" t="str">
        <f>Swaps!L8</f>
        <v>obj_0026f#0001</v>
      </c>
      <c r="B27" s="72" t="str">
        <f>SUBSTITUTE(_xll.qlRateHelperQuoteName(A27),"6AB","3ABBASIS")</f>
        <v>SEKAB3S21M_Quote</v>
      </c>
      <c r="C27" s="71" t="e">
        <f>_xll.qlRateHelperQuoteValue($A27,Trigger)</f>
        <v>#NUM!</v>
      </c>
      <c r="D27" s="71">
        <f>_xll.qlSwapRateHelperSpread($A27,Trigger)</f>
        <v>0</v>
      </c>
      <c r="E27" s="70" t="b">
        <v>0</v>
      </c>
      <c r="F27" s="70">
        <v>50</v>
      </c>
      <c r="G27" s="70">
        <v>1</v>
      </c>
      <c r="H27" s="69">
        <f>_xll.qlRateHelperEarliestDate($A27,Trigger)</f>
        <v>42276</v>
      </c>
      <c r="I27" s="68" t="e">
        <f ca="1">_xll.qlRateHelperLatestDate($A27,Trigger)</f>
        <v>#NAME?</v>
      </c>
      <c r="K27" s="24"/>
    </row>
    <row r="28" spans="1:13" x14ac:dyDescent="0.2">
      <c r="A28" s="146" t="str">
        <f>Swaps!L9</f>
        <v>obj_00268#0001</v>
      </c>
      <c r="B28" s="72" t="str">
        <f>SUBSTITUTE(_xll.qlRateHelperQuoteName(A28),"6AB","3ABBASIS")</f>
        <v>SEKAB3S2Y_Quote</v>
      </c>
      <c r="C28" s="71">
        <f>_xll.qlRateHelperQuoteValue($A28,Trigger)</f>
        <v>-1.6250000000000001E-3</v>
      </c>
      <c r="D28" s="71">
        <f>_xll.qlSwapRateHelperSpread($A28,Trigger)</f>
        <v>0</v>
      </c>
      <c r="E28" s="70" t="b">
        <v>1</v>
      </c>
      <c r="F28" s="70">
        <v>70</v>
      </c>
      <c r="G28" s="70">
        <v>1</v>
      </c>
      <c r="H28" s="69">
        <f>_xll.qlRateHelperEarliestDate($A28,Trigger)</f>
        <v>42276</v>
      </c>
      <c r="I28" s="68" t="e">
        <f ca="1">_xll.qlRateHelperLatestDate($A28,Trigger)</f>
        <v>#NAME?</v>
      </c>
      <c r="K28" s="24"/>
    </row>
    <row r="29" spans="1:13" x14ac:dyDescent="0.2">
      <c r="A29" s="146" t="str">
        <f>Swaps!L10</f>
        <v>obj_00261#0001</v>
      </c>
      <c r="B29" s="72" t="str">
        <f>SUBSTITUTE(_xll.qlRateHelperQuoteName(A29),"6AB","3ABBASIS")</f>
        <v>SEKAB3S3Y_Quote</v>
      </c>
      <c r="C29" s="71">
        <f>_xll.qlRateHelperQuoteValue($A29,Trigger)</f>
        <v>3.7500000000000001E-4</v>
      </c>
      <c r="D29" s="71">
        <f>_xll.qlSwapRateHelperSpread($A29,Trigger)</f>
        <v>0</v>
      </c>
      <c r="E29" s="70" t="b">
        <v>1</v>
      </c>
      <c r="F29" s="70">
        <v>70</v>
      </c>
      <c r="G29" s="70">
        <v>1</v>
      </c>
      <c r="H29" s="69">
        <f>_xll.qlRateHelperEarliestDate($A29,Trigger)</f>
        <v>42276</v>
      </c>
      <c r="I29" s="68" t="e">
        <f ca="1">_xll.qlRateHelperLatestDate($A29,Trigger)</f>
        <v>#NAME?</v>
      </c>
      <c r="K29" s="24"/>
    </row>
    <row r="30" spans="1:13" x14ac:dyDescent="0.2">
      <c r="A30" s="146" t="str">
        <f>Swaps!L11</f>
        <v>obj_0026c#0001</v>
      </c>
      <c r="B30" s="72" t="str">
        <f>SUBSTITUTE(_xll.qlRateHelperQuoteName(A30),"6AB","3ABBASIS")</f>
        <v>SEKAB3S4Y_Quote</v>
      </c>
      <c r="C30" s="71">
        <f>_xll.qlRateHelperQuoteValue($A30,Trigger)</f>
        <v>2.65E-3</v>
      </c>
      <c r="D30" s="71">
        <f>_xll.qlSwapRateHelperSpread($A30,Trigger)</f>
        <v>0</v>
      </c>
      <c r="E30" s="70" t="b">
        <v>1</v>
      </c>
      <c r="F30" s="70">
        <v>50</v>
      </c>
      <c r="G30" s="70">
        <v>1</v>
      </c>
      <c r="H30" s="69">
        <f>_xll.qlRateHelperEarliestDate($A30,Trigger)</f>
        <v>42276</v>
      </c>
      <c r="I30" s="68" t="e">
        <f ca="1">_xll.qlRateHelperLatestDate($A30,Trigger)</f>
        <v>#NAME?</v>
      </c>
      <c r="K30" s="24"/>
    </row>
    <row r="31" spans="1:13" x14ac:dyDescent="0.2">
      <c r="A31" s="146" t="str">
        <f>Swaps!L12</f>
        <v>obj_00265#0001</v>
      </c>
      <c r="B31" s="72" t="str">
        <f>SUBSTITUTE(_xll.qlRateHelperQuoteName(A31),"6AB","3ABBASIS")</f>
        <v>SEKAB3S5Y_Quote</v>
      </c>
      <c r="C31" s="71">
        <f>_xll.qlRateHelperQuoteValue($A31,Trigger)</f>
        <v>5.1249999999999993E-3</v>
      </c>
      <c r="D31" s="71">
        <f>_xll.qlSwapRateHelperSpread($A31,Trigger)</f>
        <v>0</v>
      </c>
      <c r="E31" s="70" t="b">
        <v>1</v>
      </c>
      <c r="F31" s="70">
        <v>50</v>
      </c>
      <c r="G31" s="70">
        <v>1</v>
      </c>
      <c r="H31" s="69">
        <f>_xll.qlRateHelperEarliestDate($A31,Trigger)</f>
        <v>42276</v>
      </c>
      <c r="I31" s="68" t="e">
        <f ca="1">_xll.qlRateHelperLatestDate($A31,Trigger)</f>
        <v>#NAME?</v>
      </c>
      <c r="K31" s="24"/>
    </row>
    <row r="32" spans="1:13" x14ac:dyDescent="0.2">
      <c r="A32" s="146" t="str">
        <f>Swaps!L13</f>
        <v>obj_00264#0001</v>
      </c>
      <c r="B32" s="72" t="str">
        <f>SUBSTITUTE(_xll.qlRateHelperQuoteName(A32),"6AB","3ABBASIS")</f>
        <v>SEKAB3S6Y_Quote</v>
      </c>
      <c r="C32" s="71">
        <f>_xll.qlRateHelperQuoteValue($A32,Trigger)</f>
        <v>7.4249999999999993E-3</v>
      </c>
      <c r="D32" s="71">
        <f>_xll.qlSwapRateHelperSpread($A32,Trigger)</f>
        <v>0</v>
      </c>
      <c r="E32" s="70" t="b">
        <v>1</v>
      </c>
      <c r="F32" s="70">
        <v>50</v>
      </c>
      <c r="G32" s="70">
        <v>1</v>
      </c>
      <c r="H32" s="69">
        <f>_xll.qlRateHelperEarliestDate($A32,Trigger)</f>
        <v>42276</v>
      </c>
      <c r="I32" s="68" t="e">
        <f ca="1">_xll.qlRateHelperLatestDate($A32,Trigger)</f>
        <v>#NAME?</v>
      </c>
      <c r="K32" s="24"/>
    </row>
    <row r="33" spans="1:11" x14ac:dyDescent="0.2">
      <c r="A33" s="146" t="str">
        <f>Swaps!L14</f>
        <v>obj_00271#0001</v>
      </c>
      <c r="B33" s="72" t="str">
        <f>SUBSTITUTE(_xll.qlRateHelperQuoteName(A33),"6AB","3ABBASIS")</f>
        <v>SEKAB3S7Y_Quote</v>
      </c>
      <c r="C33" s="71">
        <f>_xll.qlRateHelperQuoteValue($A33,Trigger)</f>
        <v>9.4750000000000008E-3</v>
      </c>
      <c r="D33" s="71">
        <f>_xll.qlSwapRateHelperSpread($A33,Trigger)</f>
        <v>0</v>
      </c>
      <c r="E33" s="70" t="b">
        <v>1</v>
      </c>
      <c r="F33" s="70">
        <v>50</v>
      </c>
      <c r="G33" s="70">
        <v>1</v>
      </c>
      <c r="H33" s="69">
        <f>_xll.qlRateHelperEarliestDate($A33,Trigger)</f>
        <v>42276</v>
      </c>
      <c r="I33" s="68" t="e">
        <f ca="1">_xll.qlRateHelperLatestDate($A33,Trigger)</f>
        <v>#NAME?</v>
      </c>
      <c r="K33" s="24"/>
    </row>
    <row r="34" spans="1:11" x14ac:dyDescent="0.2">
      <c r="A34" s="146" t="str">
        <f>Swaps!L15</f>
        <v>obj_00270#0001</v>
      </c>
      <c r="B34" s="72" t="str">
        <f>SUBSTITUTE(_xll.qlRateHelperQuoteName(A34),"6AB","3ABBASIS")</f>
        <v>SEKAB3S8Y_Quote</v>
      </c>
      <c r="C34" s="71">
        <f>_xll.qlRateHelperQuoteValue($A34,Trigger)</f>
        <v>1.1200000000000002E-2</v>
      </c>
      <c r="D34" s="71">
        <f>_xll.qlSwapRateHelperSpread($A34,Trigger)</f>
        <v>0</v>
      </c>
      <c r="E34" s="70" t="b">
        <v>1</v>
      </c>
      <c r="F34" s="70">
        <v>50</v>
      </c>
      <c r="G34" s="70">
        <v>1</v>
      </c>
      <c r="H34" s="69">
        <f>_xll.qlRateHelperEarliestDate($A34,Trigger)</f>
        <v>42276</v>
      </c>
      <c r="I34" s="68" t="e">
        <f ca="1">_xll.qlRateHelperLatestDate($A34,Trigger)</f>
        <v>#NAME?</v>
      </c>
      <c r="K34" s="24"/>
    </row>
    <row r="35" spans="1:11" x14ac:dyDescent="0.2">
      <c r="A35" s="146" t="str">
        <f>Swaps!L16</f>
        <v>obj_0026e#0001</v>
      </c>
      <c r="B35" s="72" t="str">
        <f>SUBSTITUTE(_xll.qlRateHelperQuoteName(A35),"6AB","3ABBASIS")</f>
        <v>SEKAB3S9Y_Quote</v>
      </c>
      <c r="C35" s="71">
        <f>_xll.qlRateHelperQuoteValue($A35,Trigger)</f>
        <v>1.2600000000000002E-2</v>
      </c>
      <c r="D35" s="71">
        <f>_xll.qlSwapRateHelperSpread($A35,Trigger)</f>
        <v>0</v>
      </c>
      <c r="E35" s="70" t="b">
        <v>1</v>
      </c>
      <c r="F35" s="70">
        <v>50</v>
      </c>
      <c r="G35" s="70">
        <v>1</v>
      </c>
      <c r="H35" s="69">
        <f>_xll.qlRateHelperEarliestDate($A35,Trigger)</f>
        <v>42276</v>
      </c>
      <c r="I35" s="68" t="e">
        <f ca="1">_xll.qlRateHelperLatestDate($A35,Trigger)</f>
        <v>#NAME?</v>
      </c>
      <c r="K35" s="24"/>
    </row>
    <row r="36" spans="1:11" x14ac:dyDescent="0.2">
      <c r="A36" s="146" t="str">
        <f>Swaps!L17</f>
        <v>obj_00267#0001</v>
      </c>
      <c r="B36" s="72" t="str">
        <f>SUBSTITUTE(_xll.qlRateHelperQuoteName(A36),"6AB","3ABBASIS")</f>
        <v>SEKAB3S10Y_Quote</v>
      </c>
      <c r="C36" s="71">
        <f>_xll.qlRateHelperQuoteValue($A36,Trigger)</f>
        <v>1.3824999999999999E-2</v>
      </c>
      <c r="D36" s="71">
        <f>_xll.qlSwapRateHelperSpread($A36,Trigger)</f>
        <v>0</v>
      </c>
      <c r="E36" s="70" t="b">
        <v>1</v>
      </c>
      <c r="F36" s="70">
        <v>50</v>
      </c>
      <c r="G36" s="70">
        <v>1</v>
      </c>
      <c r="H36" s="69">
        <f>_xll.qlRateHelperEarliestDate($A36,Trigger)</f>
        <v>42276</v>
      </c>
      <c r="I36" s="68" t="e">
        <f ca="1">_xll.qlRateHelperLatestDate($A36,Trigger)</f>
        <v>#NAME?</v>
      </c>
      <c r="K36" s="24"/>
    </row>
    <row r="37" spans="1:11" x14ac:dyDescent="0.2">
      <c r="A37" s="146" t="str">
        <f>Swaps!L18</f>
        <v>obj_00260#0001</v>
      </c>
      <c r="B37" s="72" t="str">
        <f>SUBSTITUTE(_xll.qlRateHelperQuoteName(A37),"6AB","3ABBASIS")</f>
        <v>SEKAB3S12Y_Quote</v>
      </c>
      <c r="C37" s="71">
        <f>_xll.qlRateHelperQuoteValue($A37,Trigger)</f>
        <v>1.5824999999999999E-2</v>
      </c>
      <c r="D37" s="71">
        <f>_xll.qlSwapRateHelperSpread($A37,Trigger)</f>
        <v>0</v>
      </c>
      <c r="E37" s="70" t="b">
        <v>1</v>
      </c>
      <c r="F37" s="70">
        <v>50</v>
      </c>
      <c r="G37" s="70">
        <v>1</v>
      </c>
      <c r="H37" s="69">
        <f>_xll.qlRateHelperEarliestDate($A37,Trigger)</f>
        <v>42276</v>
      </c>
      <c r="I37" s="68" t="e">
        <f ca="1">_xll.qlRateHelperLatestDate($A37,Trigger)</f>
        <v>#NAME?</v>
      </c>
      <c r="K37" s="24"/>
    </row>
    <row r="38" spans="1:11" x14ac:dyDescent="0.2">
      <c r="A38" s="146" t="str">
        <f>Swaps!L19</f>
        <v>obj_00273#0001</v>
      </c>
      <c r="B38" s="72" t="str">
        <f>SUBSTITUTE(_xll.qlRateHelperQuoteName(A38),"6AB","3ABBASIS")</f>
        <v>SEKAB3S15Y_Quote</v>
      </c>
      <c r="C38" s="71">
        <f>_xll.qlRateHelperQuoteValue($A38,Trigger)</f>
        <v>1.8075000000000001E-2</v>
      </c>
      <c r="D38" s="71">
        <f>_xll.qlSwapRateHelperSpread($A38,Trigger)</f>
        <v>0</v>
      </c>
      <c r="E38" s="70" t="b">
        <v>1</v>
      </c>
      <c r="F38" s="70">
        <v>50</v>
      </c>
      <c r="G38" s="70">
        <v>1</v>
      </c>
      <c r="H38" s="69">
        <f>_xll.qlRateHelperEarliestDate($A38,Trigger)</f>
        <v>42276</v>
      </c>
      <c r="I38" s="68" t="e">
        <f ca="1">_xll.qlRateHelperLatestDate($A38,Trigger)</f>
        <v>#NAME?</v>
      </c>
      <c r="K38" s="24"/>
    </row>
    <row r="39" spans="1:11" x14ac:dyDescent="0.2">
      <c r="A39" s="146" t="str">
        <f>Swaps!L20</f>
        <v>obj_0026b#0001</v>
      </c>
      <c r="B39" s="72" t="str">
        <f>SUBSTITUTE(_xll.qlRateHelperQuoteName(A39),"6AB","3ABBASIS")</f>
        <v>SEKAB3S20Y_Quote</v>
      </c>
      <c r="C39" s="71">
        <f>_xll.qlRateHelperQuoteValue($A39,Trigger)</f>
        <v>2.0175000000000002E-2</v>
      </c>
      <c r="D39" s="71">
        <f>_xll.qlSwapRateHelperSpread($A39,Trigger)</f>
        <v>0</v>
      </c>
      <c r="E39" s="70" t="b">
        <v>1</v>
      </c>
      <c r="F39" s="70">
        <v>50</v>
      </c>
      <c r="G39" s="70">
        <v>1</v>
      </c>
      <c r="H39" s="69">
        <f>_xll.qlRateHelperEarliestDate($A39,Trigger)</f>
        <v>42276</v>
      </c>
      <c r="I39" s="68" t="e">
        <f ca="1">_xll.qlRateHelperLatestDate($A39,Trigger)</f>
        <v>#NAME?</v>
      </c>
      <c r="K39" s="24"/>
    </row>
    <row r="40" spans="1:11" x14ac:dyDescent="0.2">
      <c r="A40" s="146" t="str">
        <f>Swaps!L21</f>
        <v>obj_00272#0001</v>
      </c>
      <c r="B40" s="72" t="str">
        <f>SUBSTITUTE(_xll.qlRateHelperQuoteName(A40),"6AB","3ABBASIS")</f>
        <v>SEKAB3S25Y_Quote</v>
      </c>
      <c r="C40" s="71">
        <f>_xll.qlRateHelperQuoteValue($A40,Trigger)</f>
        <v>2.1075E-2</v>
      </c>
      <c r="D40" s="71">
        <f>_xll.qlSwapRateHelperSpread($A40,Trigger)</f>
        <v>0</v>
      </c>
      <c r="E40" s="70" t="b">
        <v>1</v>
      </c>
      <c r="F40" s="70">
        <v>50</v>
      </c>
      <c r="G40" s="70">
        <v>1</v>
      </c>
      <c r="H40" s="69">
        <f>_xll.qlRateHelperEarliestDate($A40,Trigger)</f>
        <v>42276</v>
      </c>
      <c r="I40" s="68" t="e">
        <f ca="1">_xll.qlRateHelperLatestDate($A40,Trigger)</f>
        <v>#NAME?</v>
      </c>
      <c r="K40" s="24"/>
    </row>
    <row r="41" spans="1:11" x14ac:dyDescent="0.2">
      <c r="A41" s="146" t="str">
        <f>Swaps!L22</f>
        <v>obj_00263#0001</v>
      </c>
      <c r="B41" s="72" t="str">
        <f>SUBSTITUTE(_xll.qlRateHelperQuoteName(A41),"6AB","3ABBASIS")</f>
        <v>SEKAB3S27Y_Quote</v>
      </c>
      <c r="C41" s="71" t="e">
        <f>_xll.qlRateHelperQuoteValue($A41,Trigger)</f>
        <v>#NUM!</v>
      </c>
      <c r="D41" s="71">
        <f>_xll.qlSwapRateHelperSpread($A41,Trigger)</f>
        <v>0</v>
      </c>
      <c r="E41" s="70" t="b">
        <v>0</v>
      </c>
      <c r="F41" s="70">
        <v>50</v>
      </c>
      <c r="G41" s="70">
        <v>1</v>
      </c>
      <c r="H41" s="69">
        <f>_xll.qlRateHelperEarliestDate($A41,Trigger)</f>
        <v>42276</v>
      </c>
      <c r="I41" s="68" t="e">
        <f ca="1">_xll.qlRateHelperLatestDate($A41,Trigger)</f>
        <v>#NAME?</v>
      </c>
      <c r="K41" s="24"/>
    </row>
    <row r="42" spans="1:11" x14ac:dyDescent="0.2">
      <c r="A42" s="146" t="str">
        <f>Swaps!L23</f>
        <v>obj_00262#0001</v>
      </c>
      <c r="B42" s="72" t="str">
        <f>SUBSTITUTE(_xll.qlRateHelperQuoteName(A42),"6AB","3ABBASIS")</f>
        <v>SEKAB3S30Y_Quote</v>
      </c>
      <c r="C42" s="71">
        <f>_xll.qlRateHelperQuoteValue($A42,Trigger)</f>
        <v>2.1375000000000002E-2</v>
      </c>
      <c r="D42" s="71">
        <f>_xll.qlSwapRateHelperSpread($A42,Trigger)</f>
        <v>0</v>
      </c>
      <c r="E42" s="70" t="b">
        <v>1</v>
      </c>
      <c r="F42" s="70">
        <v>50</v>
      </c>
      <c r="G42" s="70">
        <v>1</v>
      </c>
      <c r="H42" s="69">
        <f>_xll.qlRateHelperEarliestDate($A42,Trigger)</f>
        <v>42276</v>
      </c>
      <c r="I42" s="68" t="e">
        <f ca="1">_xll.qlRateHelperLatestDate($A42,Trigger)</f>
        <v>#NAME?</v>
      </c>
      <c r="K42" s="24"/>
    </row>
    <row r="43" spans="1:11" x14ac:dyDescent="0.2">
      <c r="A43" s="146" t="str">
        <f>Swaps!L24</f>
        <v>obj_0026d#0001</v>
      </c>
      <c r="B43" s="72" t="str">
        <f>SUBSTITUTE(_xll.qlRateHelperQuoteName(A43),"6AB","3ABBASIS")</f>
        <v>SEKAB3S35Y_Quote</v>
      </c>
      <c r="C43" s="71" t="e">
        <f>_xll.qlRateHelperQuoteValue($A43,Trigger)</f>
        <v>#NUM!</v>
      </c>
      <c r="D43" s="71">
        <f>_xll.qlSwapRateHelperSpread($A43,Trigger)</f>
        <v>0</v>
      </c>
      <c r="E43" s="70" t="b">
        <v>0</v>
      </c>
      <c r="F43" s="70">
        <v>50</v>
      </c>
      <c r="G43" s="70">
        <v>1</v>
      </c>
      <c r="H43" s="69">
        <f>_xll.qlRateHelperEarliestDate($A43,Trigger)</f>
        <v>42276</v>
      </c>
      <c r="I43" s="68" t="e">
        <f ca="1">_xll.qlRateHelperLatestDate($A43,Trigger)</f>
        <v>#NAME?</v>
      </c>
      <c r="K43" s="24"/>
    </row>
    <row r="44" spans="1:11" x14ac:dyDescent="0.2">
      <c r="A44" s="146" t="str">
        <f>Swaps!L25</f>
        <v>obj_00266#0001</v>
      </c>
      <c r="B44" s="72" t="str">
        <f>SUBSTITUTE(_xll.qlRateHelperQuoteName(A44),"6AB","3ABBASIS")</f>
        <v>SEKAB3S40Y_Quote</v>
      </c>
      <c r="C44" s="71" t="e">
        <f>_xll.qlRateHelperQuoteValue($A44,Trigger)</f>
        <v>#NUM!</v>
      </c>
      <c r="D44" s="71">
        <f>_xll.qlSwapRateHelperSpread($A44,Trigger)</f>
        <v>0</v>
      </c>
      <c r="E44" s="70" t="b">
        <v>0</v>
      </c>
      <c r="F44" s="70">
        <v>50</v>
      </c>
      <c r="G44" s="70">
        <v>1</v>
      </c>
      <c r="H44" s="69">
        <f>_xll.qlRateHelperEarliestDate($A44,Trigger)</f>
        <v>42276</v>
      </c>
      <c r="I44" s="68" t="e">
        <f ca="1">_xll.qlRateHelperLatestDate($A44,Trigger)</f>
        <v>#NAME?</v>
      </c>
      <c r="K44" s="24"/>
    </row>
    <row r="45" spans="1:11" x14ac:dyDescent="0.2">
      <c r="A45" s="35" t="str">
        <f>Swaps!L26</f>
        <v>obj_0025f#0001</v>
      </c>
      <c r="B45" s="67" t="str">
        <f>SUBSTITUTE(_xll.qlRateHelperQuoteName(A45),"6AB","3ABBASIS")</f>
        <v>SEKAB3S50Y_Quote</v>
      </c>
      <c r="C45" s="66" t="e">
        <f>_xll.qlRateHelperQuoteValue($A45,Trigger)</f>
        <v>#NUM!</v>
      </c>
      <c r="D45" s="66">
        <f>_xll.qlSwapRateHelperSpread($A45,Trigger)</f>
        <v>0</v>
      </c>
      <c r="E45" s="65" t="b">
        <v>0</v>
      </c>
      <c r="F45" s="65">
        <v>50</v>
      </c>
      <c r="G45" s="65">
        <v>1</v>
      </c>
      <c r="H45" s="64">
        <f>_xll.qlRateHelperEarliestDate($A45,Trigger)</f>
        <v>42276</v>
      </c>
      <c r="I45" s="63" t="e">
        <f ca="1">_xll.qlRateHelperLatestDate($A45,Trigger)</f>
        <v>#NAME?</v>
      </c>
      <c r="K45" s="24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25.7109375" style="17" hidden="1" customWidth="1"/>
    <col min="5" max="5" width="23.42578125" style="62" bestFit="1" customWidth="1"/>
    <col min="6" max="6" width="9" style="17" bestFit="1" customWidth="1"/>
    <col min="7" max="7" width="8" style="17" bestFit="1" customWidth="1"/>
    <col min="8" max="9" width="17.28515625" style="17" bestFit="1" customWidth="1"/>
    <col min="10" max="10" width="12" style="1" bestFit="1" customWidth="1"/>
    <col min="11" max="11" width="9.140625" style="1"/>
    <col min="12" max="12" width="19" style="1" bestFit="1" customWidth="1"/>
    <col min="13" max="13" width="9.28515625" style="1" bestFit="1" customWidth="1"/>
    <col min="14" max="16384" width="9.140625" style="1"/>
  </cols>
  <sheetData>
    <row r="1" spans="1:13" ht="23.25" customHeight="1" thickBot="1" x14ac:dyDescent="0.25">
      <c r="A1" s="263" t="s">
        <v>40</v>
      </c>
      <c r="B1" s="264"/>
      <c r="D1" s="59" t="s">
        <v>39</v>
      </c>
      <c r="E1" s="2" t="s">
        <v>124</v>
      </c>
      <c r="F1" s="3" t="s">
        <v>38</v>
      </c>
      <c r="G1" s="3"/>
      <c r="H1" s="3" t="s">
        <v>25</v>
      </c>
      <c r="I1" s="4" t="s">
        <v>24</v>
      </c>
      <c r="J1" s="5">
        <f t="array" ref="J1:J126">_xll.qlPiecewiseYieldCurveData(YieldCurve)</f>
        <v>1</v>
      </c>
    </row>
    <row r="2" spans="1:13" x14ac:dyDescent="0.2">
      <c r="A2" s="6" t="s">
        <v>37</v>
      </c>
      <c r="B2" s="7">
        <v>6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obj_00207</v>
      </c>
      <c r="E2" s="8" t="str">
        <f>SUBSTITUTE(_xll.qlRateHelperQuoteName(D2),"6AB","3ABBASIS")</f>
        <v>SEK1MD_SYNTH3M_Quote</v>
      </c>
      <c r="F2" s="9">
        <f>_xll.qlRateHelperRate($D2)</f>
        <v>-2.4580000000000001E-3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8">
        <f>_xll.qlRateHelperEarliestDate($D2)</f>
        <v>42276</v>
      </c>
      <c r="I2" s="19" t="e">
        <f ca="1">_xll.qlRateHelperLatestDate($D2)</f>
        <v>#NAME?</v>
      </c>
      <c r="J2" s="5">
        <v>1.0002048752986237</v>
      </c>
      <c r="M2" s="10"/>
    </row>
    <row r="3" spans="1:13" x14ac:dyDescent="0.2">
      <c r="A3" s="11" t="s">
        <v>36</v>
      </c>
      <c r="B3" s="12">
        <v>0</v>
      </c>
      <c r="D3" s="8" t="str">
        <v>obj_0020a</v>
      </c>
      <c r="E3" s="8" t="str">
        <f>SUBSTITUTE(_xll.qlRateHelperQuoteName(D3),"6AB","3ABBASIS")</f>
        <v>SEK2MD_SYNTH3M_Quote</v>
      </c>
      <c r="F3" s="9">
        <f>_xll.qlRateHelperRate($D3)</f>
        <v>-2.6970000000000002E-3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8">
        <f>_xll.qlRateHelperEarliestDate($D3)</f>
        <v>42276</v>
      </c>
      <c r="I3" s="19" t="e">
        <f ca="1">_xll.qlRateHelperLatestDate($D3)</f>
        <v>#NAME?</v>
      </c>
      <c r="J3" s="5">
        <v>1.0004646991783568</v>
      </c>
      <c r="M3" s="10"/>
    </row>
    <row r="4" spans="1:13" x14ac:dyDescent="0.2">
      <c r="A4" s="11" t="s">
        <v>35</v>
      </c>
      <c r="B4" s="12">
        <v>2</v>
      </c>
      <c r="D4" s="8" t="str">
        <v>obj_00208</v>
      </c>
      <c r="E4" s="8" t="str">
        <f>SUBSTITUTE(_xll.qlRateHelperQuoteName(D4),"6AB","3ABBASIS")</f>
        <v>SEK3MD_SYNTH3M_Quote</v>
      </c>
      <c r="F4" s="9">
        <f>_xll.qlRateHelperRate($D4)</f>
        <v>-2.81E-3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8">
        <f>_xll.qlRateHelperEarliestDate($D4)</f>
        <v>42276</v>
      </c>
      <c r="I4" s="19" t="e">
        <f ca="1">_xll.qlRateHelperLatestDate($D4)</f>
        <v>#NAME?</v>
      </c>
      <c r="J4" s="5">
        <v>1.0007108104481659</v>
      </c>
      <c r="M4" s="10"/>
    </row>
    <row r="5" spans="1:13" x14ac:dyDescent="0.2">
      <c r="A5" s="11" t="s">
        <v>34</v>
      </c>
      <c r="B5" s="13" t="s">
        <v>33</v>
      </c>
      <c r="D5" s="8" t="str">
        <v>obj_00211</v>
      </c>
      <c r="E5" s="8" t="str">
        <f>SUBSTITUTE(_xll.qlRateHelperQuoteName(D5),"6AB","3ABBASIS")</f>
        <v>FUTSEK3F1_Quote</v>
      </c>
      <c r="F5" s="9">
        <f>_xll.qlRateHelperRate($D5)</f>
        <v>-3.1499999999999861E-3</v>
      </c>
      <c r="G5" s="9">
        <f>IF(ISERROR(_xll.qlSwapRateHelperSpread($D5)),IF(ISERROR(_xll.qlFuturesRateHelperConvexityAdjustment($D5)),"--",_xll.qlFuturesRateHelperConvexityAdjustment($D5)),_xll.qlSwapRateHelperSpread($D5))</f>
        <v>0</v>
      </c>
      <c r="H5" s="18">
        <f>_xll.qlRateHelperEarliestDate($D5)</f>
        <v>42354</v>
      </c>
      <c r="I5" s="19" t="e">
        <f ca="1">_xll.qlRateHelperLatestDate($D5)</f>
        <v>#NAME?</v>
      </c>
      <c r="J5" s="5">
        <v>1.0013974149627041</v>
      </c>
      <c r="M5" s="10"/>
    </row>
    <row r="6" spans="1:13" x14ac:dyDescent="0.2">
      <c r="A6" s="61"/>
      <c r="B6" s="61"/>
      <c r="D6" s="8" t="str">
        <v>obj_00216</v>
      </c>
      <c r="E6" s="8" t="str">
        <f>SUBSTITUTE(_xll.qlRateHelperQuoteName(D6),"6AB","3ABBASIS")</f>
        <v>FUTSEK3F2_Quote</v>
      </c>
      <c r="F6" s="9">
        <f>_xll.qlRateHelperRate($D6)</f>
        <v>-3.1499999999999861E-3</v>
      </c>
      <c r="G6" s="9">
        <f>IF(ISERROR(_xll.qlSwapRateHelperSpread($D6)),IF(ISERROR(_xll.qlFuturesRateHelperConvexityAdjustment($D6)),"--",_xll.qlFuturesRateHelperConvexityAdjustment($D6)),_xll.qlSwapRateHelperSpread($D6))</f>
        <v>0</v>
      </c>
      <c r="H6" s="18">
        <f>_xll.qlRateHelperEarliestDate($D6)</f>
        <v>42445</v>
      </c>
      <c r="I6" s="19" t="e">
        <f ca="1">_xll.qlRateHelperLatestDate($D6)</f>
        <v>#NAME?</v>
      </c>
      <c r="J6" s="5">
        <v>1.0022041893351188</v>
      </c>
      <c r="M6" s="10"/>
    </row>
    <row r="7" spans="1:13" x14ac:dyDescent="0.2">
      <c r="A7" s="61"/>
      <c r="B7" s="61"/>
      <c r="D7" s="8" t="str">
        <v>obj_00210</v>
      </c>
      <c r="E7" s="8" t="str">
        <f>SUBSTITUTE(_xll.qlRateHelperQuoteName(D7),"6AB","3ABBASIS")</f>
        <v>FUTSEK3F3_Quote</v>
      </c>
      <c r="F7" s="9">
        <f>_xll.qlRateHelperRate($D7)</f>
        <v>-2.7249999999998664E-3</v>
      </c>
      <c r="G7" s="9">
        <f>IF(ISERROR(_xll.qlSwapRateHelperSpread($D7)),IF(ISERROR(_xll.qlFuturesRateHelperConvexityAdjustment($D7)),"--",_xll.qlFuturesRateHelperConvexityAdjustment($D7)),_xll.qlSwapRateHelperSpread($D7))</f>
        <v>0</v>
      </c>
      <c r="H7" s="18">
        <f>_xll.qlRateHelperEarliestDate($D7)</f>
        <v>42536</v>
      </c>
      <c r="I7" s="19" t="e">
        <f ca="1">_xll.qlRateHelperLatestDate($D7)</f>
        <v>#NAME?</v>
      </c>
      <c r="J7" s="5">
        <v>1.0028942504435578</v>
      </c>
      <c r="M7" s="10"/>
    </row>
    <row r="8" spans="1:13" x14ac:dyDescent="0.2">
      <c r="A8" s="61"/>
      <c r="D8" s="8" t="str">
        <v>obj_00218</v>
      </c>
      <c r="E8" s="8" t="str">
        <f>SUBSTITUTE(_xll.qlRateHelperQuoteName(D8),"6AB","3ABBASIS")</f>
        <v>FUTSEK3F4_Quote</v>
      </c>
      <c r="F8" s="9">
        <f>_xll.qlRateHelperRate($D8)</f>
        <v>-2.0000000000000018E-3</v>
      </c>
      <c r="G8" s="9">
        <f>IF(ISERROR(_xll.qlSwapRateHelperSpread($D8)),IF(ISERROR(_xll.qlFuturesRateHelperConvexityAdjustment($D8)),"--",_xll.qlFuturesRateHelperConvexityAdjustment($D8)),_xll.qlSwapRateHelperSpread($D8))</f>
        <v>0</v>
      </c>
      <c r="H8" s="18">
        <f>_xll.qlRateHelperEarliestDate($D8)</f>
        <v>42634</v>
      </c>
      <c r="I8" s="19" t="e">
        <f ca="1">_xll.qlRateHelperLatestDate($D8)</f>
        <v>#NAME?</v>
      </c>
      <c r="J8" s="5">
        <v>1.0034417183820599</v>
      </c>
      <c r="M8" s="10"/>
    </row>
    <row r="9" spans="1:13" x14ac:dyDescent="0.2">
      <c r="A9" s="61"/>
      <c r="D9" s="8" t="str">
        <v>obj_00214</v>
      </c>
      <c r="E9" s="8" t="str">
        <f>SUBSTITUTE(_xll.qlRateHelperQuoteName(D9),"6AB","3ABBASIS")</f>
        <v>FUTSEK3F5_Quote</v>
      </c>
      <c r="F9" s="9">
        <f>_xll.qlRateHelperRate($D9)</f>
        <v>-1.0749999999999371E-3</v>
      </c>
      <c r="G9" s="9">
        <f>IF(ISERROR(_xll.qlSwapRateHelperSpread($D9)),IF(ISERROR(_xll.qlFuturesRateHelperConvexityAdjustment($D9)),"--",_xll.qlFuturesRateHelperConvexityAdjustment($D9)),_xll.qlSwapRateHelperSpread($D9))</f>
        <v>0</v>
      </c>
      <c r="H9" s="18">
        <f>_xll.qlRateHelperEarliestDate($D9)</f>
        <v>42725</v>
      </c>
      <c r="I9" s="19" t="e">
        <f ca="1">_xll.qlRateHelperLatestDate($D9)</f>
        <v>#NAME?</v>
      </c>
      <c r="J9" s="5">
        <v>1.003711465838504</v>
      </c>
      <c r="M9" s="10"/>
    </row>
    <row r="10" spans="1:13" x14ac:dyDescent="0.2">
      <c r="A10" s="61"/>
      <c r="D10" s="8" t="str">
        <v>obj_0020d</v>
      </c>
      <c r="E10" s="8" t="str">
        <f>SUBSTITUTE(_xll.qlRateHelperQuoteName(D10),"6AB","3ABBASIS")</f>
        <v>FUTSEK3F6_Quote</v>
      </c>
      <c r="F10" s="9">
        <f>_xll.qlRateHelperRate($D10)</f>
        <v>0</v>
      </c>
      <c r="G10" s="9">
        <f>IF(ISERROR(_xll.qlSwapRateHelperSpread($D10)),IF(ISERROR(_xll.qlFuturesRateHelperConvexityAdjustment($D10)),"--",_xll.qlFuturesRateHelperConvexityAdjustment($D10)),_xll.qlSwapRateHelperSpread($D10))</f>
        <v>0</v>
      </c>
      <c r="H10" s="18">
        <f>_xll.qlRateHelperEarliestDate($D10)</f>
        <v>42809</v>
      </c>
      <c r="I10" s="19" t="e">
        <f ca="1">_xll.qlRateHelperLatestDate($D10)</f>
        <v>#NAME?</v>
      </c>
      <c r="J10" s="5">
        <v>1.0037016453356926</v>
      </c>
      <c r="M10" s="10"/>
    </row>
    <row r="11" spans="1:13" x14ac:dyDescent="0.2">
      <c r="D11" s="8" t="str">
        <v>obj_00268</v>
      </c>
      <c r="E11" s="8" t="str">
        <f>SUBSTITUTE(_xll.qlRateHelperQuoteName(D11),"6AB","3ABBASIS")</f>
        <v>SEKAB3S2Y_Quote</v>
      </c>
      <c r="F11" s="9">
        <f>_xll.qlRateHelperRate($D11)</f>
        <v>-1.6250000000000001E-3</v>
      </c>
      <c r="G11" s="9">
        <f>IF(ISERROR(_xll.qlSwapRateHelperSpread($D11)),IF(ISERROR(_xll.qlFuturesRateHelperConvexityAdjustment($D11)),"--",_xll.qlFuturesRateHelperConvexityAdjustment($D11)),_xll.qlSwapRateHelperSpread($D11))</f>
        <v>0</v>
      </c>
      <c r="H11" s="18">
        <f>_xll.qlRateHelperEarliestDate($D11)</f>
        <v>42276</v>
      </c>
      <c r="I11" s="19" t="e">
        <f ca="1">_xll.qlRateHelperLatestDate($D11)</f>
        <v>#NAME?</v>
      </c>
      <c r="J11" s="5">
        <v>1.0032639122101383</v>
      </c>
      <c r="M11" s="10"/>
    </row>
    <row r="12" spans="1:13" x14ac:dyDescent="0.2">
      <c r="A12" s="14"/>
      <c r="D12" s="8" t="str">
        <v>obj_00261</v>
      </c>
      <c r="E12" s="8" t="str">
        <f>SUBSTITUTE(_xll.qlRateHelperQuoteName(D12),"6AB","3ABBASIS")</f>
        <v>SEKAB3S3Y_Quote</v>
      </c>
      <c r="F12" s="9">
        <f>_xll.qlRateHelperRate($D12)</f>
        <v>3.7500000000000001E-4</v>
      </c>
      <c r="G12" s="9">
        <f>IF(ISERROR(_xll.qlSwapRateHelperSpread($D12)),IF(ISERROR(_xll.qlFuturesRateHelperConvexityAdjustment($D12)),"--",_xll.qlFuturesRateHelperConvexityAdjustment($D12)),_xll.qlSwapRateHelperSpread($D12))</f>
        <v>0</v>
      </c>
      <c r="H12" s="18">
        <f>_xll.qlRateHelperEarliestDate($D12)</f>
        <v>42276</v>
      </c>
      <c r="I12" s="19" t="e">
        <f ca="1">_xll.qlRateHelperLatestDate($D12)</f>
        <v>#NAME?</v>
      </c>
      <c r="J12" s="5">
        <v>0.99888567137365036</v>
      </c>
      <c r="M12" s="10"/>
    </row>
    <row r="13" spans="1:13" x14ac:dyDescent="0.2">
      <c r="A13" s="14"/>
      <c r="D13" s="8" t="str">
        <v>obj_0026c</v>
      </c>
      <c r="E13" s="8" t="str">
        <f>SUBSTITUTE(_xll.qlRateHelperQuoteName(D13),"6AB","3ABBASIS")</f>
        <v>SEKAB3S4Y_Quote</v>
      </c>
      <c r="F13" s="9">
        <f>_xll.qlRateHelperRate($D13)</f>
        <v>2.65E-3</v>
      </c>
      <c r="G13" s="9">
        <f>IF(ISERROR(_xll.qlSwapRateHelperSpread($D13)),IF(ISERROR(_xll.qlFuturesRateHelperConvexityAdjustment($D13)),"--",_xll.qlFuturesRateHelperConvexityAdjustment($D13)),_xll.qlSwapRateHelperSpread($D13))</f>
        <v>0</v>
      </c>
      <c r="H13" s="18">
        <f>_xll.qlRateHelperEarliestDate($D13)</f>
        <v>42276</v>
      </c>
      <c r="I13" s="19" t="e">
        <f ca="1">_xll.qlRateHelperLatestDate($D13)</f>
        <v>#NAME?</v>
      </c>
      <c r="J13" s="5">
        <v>0.9894384228015084</v>
      </c>
      <c r="M13" s="10"/>
    </row>
    <row r="14" spans="1:13" x14ac:dyDescent="0.2">
      <c r="D14" s="8" t="str">
        <v>obj_00265</v>
      </c>
      <c r="E14" s="8" t="str">
        <f>SUBSTITUTE(_xll.qlRateHelperQuoteName(D14),"6AB","3ABBASIS")</f>
        <v>SEKAB3S5Y_Quote</v>
      </c>
      <c r="F14" s="9">
        <f>_xll.qlRateHelperRate($D14)</f>
        <v>5.1249999999999993E-3</v>
      </c>
      <c r="G14" s="9">
        <f>IF(ISERROR(_xll.qlSwapRateHelperSpread($D14)),IF(ISERROR(_xll.qlFuturesRateHelperConvexityAdjustment($D14)),"--",_xll.qlFuturesRateHelperConvexityAdjustment($D14)),_xll.qlSwapRateHelperSpread($D14))</f>
        <v>0</v>
      </c>
      <c r="H14" s="18">
        <f>_xll.qlRateHelperEarliestDate($D14)</f>
        <v>42276</v>
      </c>
      <c r="I14" s="19" t="e">
        <f ca="1">_xll.qlRateHelperLatestDate($D14)</f>
        <v>#NAME?</v>
      </c>
      <c r="J14" s="5">
        <v>0.97460109072909096</v>
      </c>
      <c r="M14" s="10"/>
    </row>
    <row r="15" spans="1:13" x14ac:dyDescent="0.2">
      <c r="D15" s="8" t="str">
        <v>obj_00264</v>
      </c>
      <c r="E15" s="8" t="str">
        <f>SUBSTITUTE(_xll.qlRateHelperQuoteName(D15),"6AB","3ABBASIS")</f>
        <v>SEKAB3S6Y_Quote</v>
      </c>
      <c r="F15" s="9">
        <f>_xll.qlRateHelperRate($D15)</f>
        <v>7.4249999999999993E-3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8">
        <f>_xll.qlRateHelperEarliestDate($D15)</f>
        <v>42276</v>
      </c>
      <c r="I15" s="19" t="e">
        <f ca="1">_xll.qlRateHelperLatestDate($D15)</f>
        <v>#NAME?</v>
      </c>
      <c r="J15" s="5">
        <v>0.95612096374872657</v>
      </c>
      <c r="M15" s="10"/>
    </row>
    <row r="16" spans="1:13" x14ac:dyDescent="0.2">
      <c r="D16" s="8" t="str">
        <v>obj_00271</v>
      </c>
      <c r="E16" s="8" t="str">
        <f>SUBSTITUTE(_xll.qlRateHelperQuoteName(D16),"6AB","3ABBASIS")</f>
        <v>SEKAB3S7Y_Quote</v>
      </c>
      <c r="F16" s="9">
        <f>_xll.qlRateHelperRate($D16)</f>
        <v>9.4750000000000008E-3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8">
        <f>_xll.qlRateHelperEarliestDate($D16)</f>
        <v>42276</v>
      </c>
      <c r="I16" s="19" t="e">
        <f ca="1">_xll.qlRateHelperLatestDate($D16)</f>
        <v>#NAME?</v>
      </c>
      <c r="J16" s="5">
        <v>0.93517017810627601</v>
      </c>
      <c r="M16" s="10"/>
    </row>
    <row r="17" spans="4:13" x14ac:dyDescent="0.2">
      <c r="D17" s="8" t="str">
        <v>obj_00270</v>
      </c>
      <c r="E17" s="8" t="str">
        <f>SUBSTITUTE(_xll.qlRateHelperQuoteName(D17),"6AB","3ABBASIS")</f>
        <v>SEKAB3S8Y_Quote</v>
      </c>
      <c r="F17" s="9">
        <f>_xll.qlRateHelperRate($D17)</f>
        <v>1.1200000000000002E-2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8">
        <f>_xll.qlRateHelperEarliestDate($D17)</f>
        <v>42276</v>
      </c>
      <c r="I17" s="19" t="e">
        <f ca="1">_xll.qlRateHelperLatestDate($D17)</f>
        <v>#NAME?</v>
      </c>
      <c r="J17" s="5">
        <v>0.91316988267256283</v>
      </c>
      <c r="M17" s="10"/>
    </row>
    <row r="18" spans="4:13" x14ac:dyDescent="0.2">
      <c r="D18" s="8" t="str">
        <v>obj_0026e</v>
      </c>
      <c r="E18" s="8" t="str">
        <f>SUBSTITUTE(_xll.qlRateHelperQuoteName(D18),"6AB","3ABBASIS")</f>
        <v>SEKAB3S9Y_Quote</v>
      </c>
      <c r="F18" s="9">
        <f>_xll.qlRateHelperRate($D18)</f>
        <v>1.2600000000000002E-2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8">
        <f>_xll.qlRateHelperEarliestDate($D18)</f>
        <v>42276</v>
      </c>
      <c r="I18" s="19" t="e">
        <f ca="1">_xll.qlRateHelperLatestDate($D18)</f>
        <v>#NAME?</v>
      </c>
      <c r="J18" s="5">
        <v>0.891088926573119</v>
      </c>
      <c r="M18" s="10"/>
    </row>
    <row r="19" spans="4:13" x14ac:dyDescent="0.2">
      <c r="D19" s="8" t="str">
        <v>obj_00267</v>
      </c>
      <c r="E19" s="8" t="str">
        <f>SUBSTITUTE(_xll.qlRateHelperQuoteName(D19),"6AB","3ABBASIS")</f>
        <v>SEKAB3S10Y_Quote</v>
      </c>
      <c r="F19" s="9">
        <f>_xll.qlRateHelperRate($D19)</f>
        <v>1.3824999999999999E-2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8">
        <f>_xll.qlRateHelperEarliestDate($D19)</f>
        <v>42276</v>
      </c>
      <c r="I19" s="19" t="e">
        <f ca="1">_xll.qlRateHelperLatestDate($D19)</f>
        <v>#NAME?</v>
      </c>
      <c r="J19" s="5">
        <v>0.86856034052234943</v>
      </c>
      <c r="M19" s="10"/>
    </row>
    <row r="20" spans="4:13" x14ac:dyDescent="0.2">
      <c r="D20" s="8" t="str">
        <v>obj_00260</v>
      </c>
      <c r="E20" s="8" t="str">
        <f>SUBSTITUTE(_xll.qlRateHelperQuoteName(D20),"6AB","3ABBASIS")</f>
        <v>SEKAB3S12Y_Quote</v>
      </c>
      <c r="F20" s="9">
        <f>_xll.qlRateHelperRate($D20)</f>
        <v>1.5824999999999999E-2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8">
        <f>_xll.qlRateHelperEarliestDate($D20)</f>
        <v>42276</v>
      </c>
      <c r="I20" s="19" t="e">
        <f ca="1">_xll.qlRateHelperLatestDate($D20)</f>
        <v>#NAME?</v>
      </c>
      <c r="J20" s="5">
        <v>0.82321527577280895</v>
      </c>
      <c r="M20" s="10"/>
    </row>
    <row r="21" spans="4:13" x14ac:dyDescent="0.2">
      <c r="D21" s="8" t="str">
        <v>obj_00273</v>
      </c>
      <c r="E21" s="8" t="str">
        <f>SUBSTITUTE(_xll.qlRateHelperQuoteName(D21),"6AB","3ABBASIS")</f>
        <v>SEKAB3S15Y_Quote</v>
      </c>
      <c r="F21" s="9">
        <f>_xll.qlRateHelperRate($D21)</f>
        <v>1.8075000000000001E-2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8">
        <f>_xll.qlRateHelperEarliestDate($D21)</f>
        <v>42276</v>
      </c>
      <c r="I21" s="19" t="e">
        <f ca="1">_xll.qlRateHelperLatestDate($D21)</f>
        <v>#NAME?</v>
      </c>
      <c r="J21" s="5">
        <v>0.75597808171345737</v>
      </c>
      <c r="M21" s="10"/>
    </row>
    <row r="22" spans="4:13" x14ac:dyDescent="0.2">
      <c r="D22" s="8" t="str">
        <v>obj_0026b</v>
      </c>
      <c r="E22" s="8" t="str">
        <f>SUBSTITUTE(_xll.qlRateHelperQuoteName(D22),"6AB","3ABBASIS")</f>
        <v>SEKAB3S20Y_Quote</v>
      </c>
      <c r="F22" s="9">
        <f>_xll.qlRateHelperRate($D22)</f>
        <v>2.0175000000000002E-2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8">
        <f>_xll.qlRateHelperEarliestDate($D22)</f>
        <v>42276</v>
      </c>
      <c r="I22" s="19" t="e">
        <f ca="1">_xll.qlRateHelperLatestDate($D22)</f>
        <v>#NAME?</v>
      </c>
      <c r="J22" s="5">
        <v>0.65770679526030995</v>
      </c>
      <c r="M22" s="10"/>
    </row>
    <row r="23" spans="4:13" x14ac:dyDescent="0.2">
      <c r="D23" s="8" t="str">
        <v>obj_00272</v>
      </c>
      <c r="E23" s="8" t="str">
        <f>SUBSTITUTE(_xll.qlRateHelperQuoteName(D23),"6AB","3ABBASIS")</f>
        <v>SEKAB3S25Y_Quote</v>
      </c>
      <c r="F23" s="9">
        <f>_xll.qlRateHelperRate($D23)</f>
        <v>2.1075E-2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8">
        <f>_xll.qlRateHelperEarliestDate($D23)</f>
        <v>42276</v>
      </c>
      <c r="I23" s="19" t="e">
        <f ca="1">_xll.qlRateHelperLatestDate($D23)</f>
        <v>#NAME?</v>
      </c>
      <c r="J23" s="5">
        <v>0.57837775576387018</v>
      </c>
      <c r="M23" s="10"/>
    </row>
    <row r="24" spans="4:13" x14ac:dyDescent="0.2">
      <c r="D24" s="8" t="str">
        <v>obj_00262</v>
      </c>
      <c r="E24" s="8" t="str">
        <f>SUBSTITUTE(_xll.qlRateHelperQuoteName(D24),"6AB","3ABBASIS")</f>
        <v>SEKAB3S30Y_Quote</v>
      </c>
      <c r="F24" s="9">
        <f>_xll.qlRateHelperRate($D24)</f>
        <v>2.1375000000000002E-2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8">
        <f>_xll.qlRateHelperEarliestDate($D24)</f>
        <v>42276</v>
      </c>
      <c r="I24" s="19" t="e">
        <f ca="1">_xll.qlRateHelperLatestDate($D24)</f>
        <v>#NAME?</v>
      </c>
      <c r="J24" s="5">
        <v>0.51473186642113877</v>
      </c>
      <c r="M24" s="10"/>
    </row>
    <row r="25" spans="4:13" x14ac:dyDescent="0.2">
      <c r="D25" s="8" t="e">
        <v>#N/A</v>
      </c>
      <c r="E25" s="8" t="e">
        <f>SUBSTITUTE(_xll.qlRateHelperQuoteName(D25),"6AB","3ABBASIS")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8" t="e">
        <f>_xll.qlRateHelperEarliestDate($D25)</f>
        <v>#VALUE!</v>
      </c>
      <c r="I25" s="19" t="e">
        <f ca="1">_xll.qlRateHelperLatestDate($D25)</f>
        <v>#NAME?</v>
      </c>
      <c r="J25" s="5" t="e">
        <v>#N/A</v>
      </c>
      <c r="M25" s="10"/>
    </row>
    <row r="26" spans="4:13" x14ac:dyDescent="0.2">
      <c r="D26" s="8" t="e">
        <v>#N/A</v>
      </c>
      <c r="E26" s="8" t="e">
        <f>SUBSTITUTE(_xll.qlRateHelperQuoteName(D26),"6AB","3ABBASIS")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8" t="e">
        <f>_xll.qlRateHelperEarliestDate($D26)</f>
        <v>#VALUE!</v>
      </c>
      <c r="I26" s="19" t="e">
        <f ca="1">_xll.qlRateHelperLatestDate($D26)</f>
        <v>#NAME?</v>
      </c>
      <c r="J26" s="5" t="e">
        <v>#N/A</v>
      </c>
      <c r="M26" s="10"/>
    </row>
    <row r="27" spans="4:13" x14ac:dyDescent="0.2">
      <c r="D27" s="8" t="e">
        <v>#N/A</v>
      </c>
      <c r="E27" s="8" t="e">
        <f>SUBSTITUTE(_xll.qlRateHelperQuoteName(D27),"6AB","3ABBASIS")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8" t="e">
        <f>_xll.qlRateHelperEarliestDate($D27)</f>
        <v>#VALUE!</v>
      </c>
      <c r="I27" s="19" t="e">
        <f ca="1">_xll.qlRateHelperLatestDate($D27)</f>
        <v>#NAME?</v>
      </c>
      <c r="J27" s="5" t="e">
        <v>#N/A</v>
      </c>
      <c r="M27" s="10"/>
    </row>
    <row r="28" spans="4:13" x14ac:dyDescent="0.2">
      <c r="D28" s="8" t="e">
        <v>#N/A</v>
      </c>
      <c r="E28" s="8" t="e">
        <f>SUBSTITUTE(_xll.qlRateHelperQuoteName(D28),"6AB","3ABBASIS")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8" t="e">
        <f>_xll.qlRateHelperEarliestDate($D28)</f>
        <v>#VALUE!</v>
      </c>
      <c r="I28" s="19" t="e">
        <f ca="1">_xll.qlRateHelperLatestDate($D28)</f>
        <v>#NAME?</v>
      </c>
      <c r="J28" s="5" t="e">
        <v>#N/A</v>
      </c>
      <c r="M28" s="10"/>
    </row>
    <row r="29" spans="4:13" x14ac:dyDescent="0.2">
      <c r="D29" s="8" t="e">
        <v>#N/A</v>
      </c>
      <c r="E29" s="8" t="e">
        <f>SUBSTITUTE(_xll.qlRateHelperQuoteName(D29),"6AB","3ABBASIS")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8" t="e">
        <f>_xll.qlRateHelperEarliestDate($D29)</f>
        <v>#VALUE!</v>
      </c>
      <c r="I29" s="19" t="e">
        <f ca="1">_xll.qlRateHelperLatestDate($D29)</f>
        <v>#NAME?</v>
      </c>
      <c r="J29" s="5" t="e">
        <v>#N/A</v>
      </c>
      <c r="M29" s="10"/>
    </row>
    <row r="30" spans="4:13" x14ac:dyDescent="0.2">
      <c r="D30" s="8" t="e">
        <v>#N/A</v>
      </c>
      <c r="E30" s="8" t="e">
        <f>SUBSTITUTE(_xll.qlRateHelperQuoteName(D30),"6AB","3ABBASIS")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8" t="e">
        <f>_xll.qlRateHelperEarliestDate($D30)</f>
        <v>#VALUE!</v>
      </c>
      <c r="I30" s="19" t="e">
        <f ca="1">_xll.qlRateHelperLatestDate($D30)</f>
        <v>#NAME?</v>
      </c>
      <c r="J30" s="5" t="e">
        <v>#N/A</v>
      </c>
    </row>
    <row r="31" spans="4:13" x14ac:dyDescent="0.2">
      <c r="D31" s="8" t="e">
        <v>#N/A</v>
      </c>
      <c r="E31" s="8" t="e">
        <f>SUBSTITUTE(_xll.qlRateHelperQuoteName(D31),"6AB","3ABBASIS")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8" t="e">
        <f>_xll.qlRateHelperEarliestDate($D31)</f>
        <v>#VALUE!</v>
      </c>
      <c r="I31" s="19" t="e">
        <f ca="1">_xll.qlRateHelperLatestDate($D31)</f>
        <v>#NAME?</v>
      </c>
      <c r="J31" s="5" t="e">
        <v>#N/A</v>
      </c>
    </row>
    <row r="32" spans="4:13" x14ac:dyDescent="0.2">
      <c r="D32" s="8" t="e">
        <v>#N/A</v>
      </c>
      <c r="E32" s="8" t="e">
        <f>SUBSTITUTE(_xll.qlRateHelperQuoteName(D32),"6AB","3ABBASIS")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8" t="e">
        <f>_xll.qlRateHelperEarliestDate($D32)</f>
        <v>#VALUE!</v>
      </c>
      <c r="I32" s="19" t="e">
        <f ca="1">_xll.qlRateHelperLatestDate($D32)</f>
        <v>#NAME?</v>
      </c>
      <c r="J32" s="5" t="e">
        <v>#N/A</v>
      </c>
    </row>
    <row r="33" spans="4:10" x14ac:dyDescent="0.2">
      <c r="D33" s="8" t="e">
        <v>#N/A</v>
      </c>
      <c r="E33" s="8" t="e">
        <f>SUBSTITUTE(_xll.qlRateHelperQuoteName(D33),"6AB","3ABBASIS")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8" t="e">
        <f>_xll.qlRateHelperEarliestDate($D33)</f>
        <v>#VALUE!</v>
      </c>
      <c r="I33" s="19" t="e">
        <f ca="1">_xll.qlRateHelperLatestDate($D33)</f>
        <v>#NAME?</v>
      </c>
      <c r="J33" s="5" t="e">
        <v>#N/A</v>
      </c>
    </row>
    <row r="34" spans="4:10" x14ac:dyDescent="0.2">
      <c r="D34" s="8" t="e">
        <v>#N/A</v>
      </c>
      <c r="E34" s="8" t="e">
        <f>SUBSTITUTE(_xll.qlRateHelperQuoteName(D34),"6AB","3ABBASIS")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8" t="e">
        <f>_xll.qlRateHelperEarliestDate($D34)</f>
        <v>#VALUE!</v>
      </c>
      <c r="I34" s="19" t="e">
        <f ca="1">_xll.qlRateHelperLatestDate($D34)</f>
        <v>#NAME?</v>
      </c>
      <c r="J34" s="5" t="e">
        <v>#N/A</v>
      </c>
    </row>
    <row r="35" spans="4:10" x14ac:dyDescent="0.2">
      <c r="D35" s="8" t="e">
        <v>#N/A</v>
      </c>
      <c r="E35" s="8" t="e">
        <f>SUBSTITUTE(_xll.qlRateHelperQuoteName(D35),"6AB","3ABBASIS")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8" t="e">
        <f>_xll.qlRateHelperEarliestDate($D35)</f>
        <v>#VALUE!</v>
      </c>
      <c r="I35" s="19" t="e">
        <f ca="1">_xll.qlRateHelperLatestDate($D35)</f>
        <v>#NAME?</v>
      </c>
      <c r="J35" s="5" t="e">
        <v>#N/A</v>
      </c>
    </row>
    <row r="36" spans="4:10" x14ac:dyDescent="0.2">
      <c r="D36" s="8" t="e">
        <v>#N/A</v>
      </c>
      <c r="E36" s="8" t="e">
        <f>SUBSTITUTE(_xll.qlRateHelperQuoteName(D36),"6AB","3ABBASIS")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8" t="e">
        <f>_xll.qlRateHelperEarliestDate($D36)</f>
        <v>#VALUE!</v>
      </c>
      <c r="I36" s="19" t="e">
        <f ca="1">_xll.qlRateHelperLatestDate($D36)</f>
        <v>#NAME?</v>
      </c>
      <c r="J36" s="5" t="e">
        <v>#N/A</v>
      </c>
    </row>
    <row r="37" spans="4:10" x14ac:dyDescent="0.2">
      <c r="D37" s="8" t="e">
        <v>#N/A</v>
      </c>
      <c r="E37" s="8" t="e">
        <f>SUBSTITUTE(_xll.qlRateHelperQuoteName(D37),"6AB","3ABBASIS")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8" t="e">
        <f>_xll.qlRateHelperEarliestDate($D37)</f>
        <v>#VALUE!</v>
      </c>
      <c r="I37" s="19" t="e">
        <f ca="1">_xll.qlRateHelperLatestDate($D37)</f>
        <v>#NAME?</v>
      </c>
      <c r="J37" s="5" t="e">
        <v>#N/A</v>
      </c>
    </row>
    <row r="38" spans="4:10" x14ac:dyDescent="0.2">
      <c r="D38" s="8" t="e">
        <v>#N/A</v>
      </c>
      <c r="E38" s="8" t="e">
        <f>SUBSTITUTE(_xll.qlRateHelperQuoteName(D38),"6AB","3ABBASIS")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8" t="e">
        <f>_xll.qlRateHelperEarliestDate($D38)</f>
        <v>#VALUE!</v>
      </c>
      <c r="I38" s="19" t="e">
        <f ca="1">_xll.qlRateHelperLatestDate($D38)</f>
        <v>#NAME?</v>
      </c>
      <c r="J38" s="5" t="e">
        <v>#N/A</v>
      </c>
    </row>
    <row r="39" spans="4:10" x14ac:dyDescent="0.2">
      <c r="D39" s="8" t="e">
        <v>#N/A</v>
      </c>
      <c r="E39" s="8" t="e">
        <f>SUBSTITUTE(_xll.qlRateHelperQuoteName(D39),"6AB","3ABBASIS")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8" t="e">
        <f>_xll.qlRateHelperEarliestDate($D39)</f>
        <v>#VALUE!</v>
      </c>
      <c r="I39" s="19" t="e">
        <f ca="1">_xll.qlRateHelperLatestDate($D39)</f>
        <v>#NAME?</v>
      </c>
      <c r="J39" s="5" t="e">
        <v>#N/A</v>
      </c>
    </row>
    <row r="40" spans="4:10" x14ac:dyDescent="0.2">
      <c r="D40" s="8" t="e">
        <v>#N/A</v>
      </c>
      <c r="E40" s="8" t="e">
        <f>SUBSTITUTE(_xll.qlRateHelperQuoteName(D40),"6AB","3ABBASIS")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8" t="e">
        <f>_xll.qlRateHelperEarliestDate($D40)</f>
        <v>#VALUE!</v>
      </c>
      <c r="I40" s="19" t="e">
        <f ca="1">_xll.qlRateHelperLatestDate($D40)</f>
        <v>#NAME?</v>
      </c>
      <c r="J40" s="5" t="e">
        <v>#N/A</v>
      </c>
    </row>
    <row r="41" spans="4:10" x14ac:dyDescent="0.2">
      <c r="D41" s="8" t="e">
        <v>#N/A</v>
      </c>
      <c r="E41" s="8" t="e">
        <f>SUBSTITUTE(_xll.qlRateHelperQuoteName(D41),"6AB","3ABBASIS")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8" t="e">
        <f>_xll.qlRateHelperEarliestDate($D41)</f>
        <v>#VALUE!</v>
      </c>
      <c r="I41" s="19" t="e">
        <f ca="1">_xll.qlRateHelperLatestDate($D41)</f>
        <v>#NAME?</v>
      </c>
      <c r="J41" s="5" t="e">
        <v>#N/A</v>
      </c>
    </row>
    <row r="42" spans="4:10" x14ac:dyDescent="0.2">
      <c r="D42" s="8" t="e">
        <v>#N/A</v>
      </c>
      <c r="E42" s="8" t="e">
        <f>SUBSTITUTE(_xll.qlRateHelperQuoteName(D42),"6AB","3ABBASIS")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8" t="e">
        <f>_xll.qlRateHelperEarliestDate($D42)</f>
        <v>#VALUE!</v>
      </c>
      <c r="I42" s="19" t="e">
        <f ca="1">_xll.qlRateHelperLatestDate($D42)</f>
        <v>#NAME?</v>
      </c>
      <c r="J42" s="5" t="e">
        <v>#N/A</v>
      </c>
    </row>
    <row r="43" spans="4:10" x14ac:dyDescent="0.2">
      <c r="D43" s="8" t="e">
        <v>#N/A</v>
      </c>
      <c r="E43" s="8" t="e">
        <f>SUBSTITUTE(_xll.qlRateHelperQuoteName(D43),"6AB","3ABBASIS")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8" t="e">
        <f>_xll.qlRateHelperEarliestDate($D43)</f>
        <v>#VALUE!</v>
      </c>
      <c r="I43" s="19" t="e">
        <f ca="1">_xll.qlRateHelperLatestDate($D43)</f>
        <v>#NAME?</v>
      </c>
      <c r="J43" s="5" t="e">
        <v>#N/A</v>
      </c>
    </row>
    <row r="44" spans="4:10" x14ac:dyDescent="0.2">
      <c r="D44" s="8" t="e">
        <v>#N/A</v>
      </c>
      <c r="E44" s="8" t="e">
        <f>SUBSTITUTE(_xll.qlRateHelperQuoteName(D44),"6AB","3ABBASIS")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8" t="e">
        <f>_xll.qlRateHelperEarliestDate($D44)</f>
        <v>#VALUE!</v>
      </c>
      <c r="I44" s="19" t="e">
        <f ca="1">_xll.qlRateHelperLatestDate($D44)</f>
        <v>#NAME?</v>
      </c>
      <c r="J44" s="5" t="e">
        <v>#N/A</v>
      </c>
    </row>
    <row r="45" spans="4:10" x14ac:dyDescent="0.2">
      <c r="D45" s="8" t="e">
        <v>#N/A</v>
      </c>
      <c r="E45" s="8" t="e">
        <f>SUBSTITUTE(_xll.qlRateHelperQuoteName(D45),"6AB","3ABBASIS")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8" t="e">
        <f>_xll.qlRateHelperEarliestDate($D45)</f>
        <v>#VALUE!</v>
      </c>
      <c r="I45" s="19" t="e">
        <f ca="1">_xll.qlRateHelperLatestDate($D45)</f>
        <v>#NAME?</v>
      </c>
      <c r="J45" s="5" t="e">
        <v>#N/A</v>
      </c>
    </row>
    <row r="46" spans="4:10" x14ac:dyDescent="0.2">
      <c r="D46" s="8" t="e">
        <v>#N/A</v>
      </c>
      <c r="E46" s="8" t="e">
        <f>SUBSTITUTE(_xll.qlRateHelperQuoteName(D46),"6AB","3ABBASIS")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8" t="e">
        <f>_xll.qlRateHelperEarliestDate($D46)</f>
        <v>#VALUE!</v>
      </c>
      <c r="I46" s="19" t="e">
        <f ca="1">_xll.qlRateHelperLatestDate($D46)</f>
        <v>#NAME?</v>
      </c>
      <c r="J46" s="5" t="e">
        <v>#N/A</v>
      </c>
    </row>
    <row r="47" spans="4:10" x14ac:dyDescent="0.2">
      <c r="D47" s="8" t="e">
        <v>#N/A</v>
      </c>
      <c r="E47" s="8" t="e">
        <f>SUBSTITUTE(_xll.qlRateHelperQuoteName(D47),"6AB","3ABBASIS")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8" t="e">
        <f>_xll.qlRateHelperEarliestDate($D47)</f>
        <v>#VALUE!</v>
      </c>
      <c r="I47" s="19" t="e">
        <f ca="1">_xll.qlRateHelperLatestDate($D47)</f>
        <v>#NAME?</v>
      </c>
      <c r="J47" s="5" t="e">
        <v>#N/A</v>
      </c>
    </row>
    <row r="48" spans="4:10" x14ac:dyDescent="0.2">
      <c r="D48" s="8" t="e">
        <v>#N/A</v>
      </c>
      <c r="E48" s="8" t="e">
        <f>SUBSTITUTE(_xll.qlRateHelperQuoteName(D48),"6AB","3ABBASIS")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8" t="e">
        <f>_xll.qlRateHelperEarliestDate($D48)</f>
        <v>#VALUE!</v>
      </c>
      <c r="I48" s="19" t="e">
        <f ca="1">_xll.qlRateHelperLatestDate($D48)</f>
        <v>#NAME?</v>
      </c>
      <c r="J48" s="5" t="e">
        <v>#N/A</v>
      </c>
    </row>
    <row r="49" spans="4:10" x14ac:dyDescent="0.2">
      <c r="D49" s="8" t="e">
        <v>#N/A</v>
      </c>
      <c r="E49" s="8" t="e">
        <f>SUBSTITUTE(_xll.qlRateHelperQuoteName(D49),"6AB","3ABBASIS")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8" t="e">
        <f>_xll.qlRateHelperEarliestDate($D49)</f>
        <v>#VALUE!</v>
      </c>
      <c r="I49" s="19" t="e">
        <f ca="1">_xll.qlRateHelperLatestDate($D49)</f>
        <v>#NAME?</v>
      </c>
      <c r="J49" s="5" t="e">
        <v>#N/A</v>
      </c>
    </row>
    <row r="50" spans="4:10" x14ac:dyDescent="0.2">
      <c r="D50" s="8" t="e">
        <v>#N/A</v>
      </c>
      <c r="E50" s="8" t="e">
        <f>SUBSTITUTE(_xll.qlRateHelperQuoteName(D50),"6AB","3ABBASIS")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8" t="e">
        <f>_xll.qlRateHelperEarliestDate($D50)</f>
        <v>#VALUE!</v>
      </c>
      <c r="I50" s="19" t="e">
        <f ca="1">_xll.qlRateHelperLatestDate($D50)</f>
        <v>#NAME?</v>
      </c>
      <c r="J50" s="5" t="e">
        <v>#N/A</v>
      </c>
    </row>
    <row r="51" spans="4:10" x14ac:dyDescent="0.2">
      <c r="D51" s="8" t="e">
        <v>#N/A</v>
      </c>
      <c r="E51" s="8" t="e">
        <f>SUBSTITUTE(_xll.qlRateHelperQuoteName(D51),"6AB","3ABBASIS")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8" t="e">
        <f>_xll.qlRateHelperEarliestDate($D51)</f>
        <v>#VALUE!</v>
      </c>
      <c r="I51" s="19" t="e">
        <f ca="1">_xll.qlRateHelperLatestDate($D51)</f>
        <v>#NAME?</v>
      </c>
      <c r="J51" s="5" t="e">
        <v>#N/A</v>
      </c>
    </row>
    <row r="52" spans="4:10" x14ac:dyDescent="0.2">
      <c r="D52" s="8" t="e">
        <v>#N/A</v>
      </c>
      <c r="E52" s="8" t="e">
        <f>SUBSTITUTE(_xll.qlRateHelperQuoteName(D52),"6AB","3ABBASIS")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8" t="e">
        <f>_xll.qlRateHelperEarliestDate($D52)</f>
        <v>#VALUE!</v>
      </c>
      <c r="I52" s="19" t="e">
        <f ca="1">_xll.qlRateHelperLatestDate($D52)</f>
        <v>#NAME?</v>
      </c>
      <c r="J52" s="5" t="e">
        <v>#N/A</v>
      </c>
    </row>
    <row r="53" spans="4:10" x14ac:dyDescent="0.2">
      <c r="D53" s="8" t="e">
        <v>#N/A</v>
      </c>
      <c r="E53" s="8" t="e">
        <f>SUBSTITUTE(_xll.qlRateHelperQuoteName(D53),"6AB","3ABBASIS")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8" t="e">
        <f>_xll.qlRateHelperEarliestDate($D53)</f>
        <v>#VALUE!</v>
      </c>
      <c r="I53" s="19" t="e">
        <f ca="1">_xll.qlRateHelperLatestDate($D53)</f>
        <v>#NAME?</v>
      </c>
      <c r="J53" s="5" t="e">
        <v>#N/A</v>
      </c>
    </row>
    <row r="54" spans="4:10" x14ac:dyDescent="0.2">
      <c r="D54" s="8" t="e">
        <v>#N/A</v>
      </c>
      <c r="E54" s="8" t="e">
        <f>SUBSTITUTE(_xll.qlRateHelperQuoteName(D54),"6AB","3ABBASIS")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8" t="e">
        <f>_xll.qlRateHelperEarliestDate($D54)</f>
        <v>#VALUE!</v>
      </c>
      <c r="I54" s="19" t="e">
        <f ca="1">_xll.qlRateHelperLatestDate($D54)</f>
        <v>#NAME?</v>
      </c>
      <c r="J54" s="5" t="e">
        <v>#N/A</v>
      </c>
    </row>
    <row r="55" spans="4:10" x14ac:dyDescent="0.2">
      <c r="D55" s="8" t="e">
        <v>#N/A</v>
      </c>
      <c r="E55" s="8" t="e">
        <f>SUBSTITUTE(_xll.qlRateHelperQuoteName(D55),"6AB","3ABBASIS")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8" t="e">
        <f>_xll.qlRateHelperEarliestDate($D55)</f>
        <v>#VALUE!</v>
      </c>
      <c r="I55" s="19" t="e">
        <f ca="1">_xll.qlRateHelperLatestDate($D55)</f>
        <v>#NAME?</v>
      </c>
      <c r="J55" s="5" t="e">
        <v>#N/A</v>
      </c>
    </row>
    <row r="56" spans="4:10" x14ac:dyDescent="0.2">
      <c r="D56" s="8" t="e">
        <v>#N/A</v>
      </c>
      <c r="E56" s="8" t="e">
        <f>SUBSTITUTE(_xll.qlRateHelperQuoteName(D56),"6AB","3ABBASIS")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8" t="e">
        <f>_xll.qlRateHelperEarliestDate($D56)</f>
        <v>#VALUE!</v>
      </c>
      <c r="I56" s="19" t="e">
        <f ca="1">_xll.qlRateHelperLatestDate($D56)</f>
        <v>#NAME?</v>
      </c>
      <c r="J56" s="5" t="e">
        <v>#N/A</v>
      </c>
    </row>
    <row r="57" spans="4:10" x14ac:dyDescent="0.2">
      <c r="D57" s="8" t="e">
        <v>#N/A</v>
      </c>
      <c r="E57" s="8" t="e">
        <f>SUBSTITUTE(_xll.qlRateHelperQuoteName(D57),"6AB","3ABBASIS")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8" t="e">
        <f>_xll.qlRateHelperEarliestDate($D57)</f>
        <v>#VALUE!</v>
      </c>
      <c r="I57" s="19" t="e">
        <f ca="1">_xll.qlRateHelperLatestDate($D57)</f>
        <v>#NAME?</v>
      </c>
      <c r="J57" s="5" t="e">
        <v>#N/A</v>
      </c>
    </row>
    <row r="58" spans="4:10" x14ac:dyDescent="0.2">
      <c r="D58" s="8" t="e">
        <v>#N/A</v>
      </c>
      <c r="E58" s="8" t="e">
        <f>SUBSTITUTE(_xll.qlRateHelperQuoteName(D58),"6AB","3ABBASIS")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8" t="e">
        <f>_xll.qlRateHelperEarliestDate($D58)</f>
        <v>#VALUE!</v>
      </c>
      <c r="I58" s="19" t="e">
        <f ca="1">_xll.qlRateHelperLatestDate($D58)</f>
        <v>#NAME?</v>
      </c>
      <c r="J58" s="5" t="e">
        <v>#N/A</v>
      </c>
    </row>
    <row r="59" spans="4:10" x14ac:dyDescent="0.2">
      <c r="D59" s="8" t="e">
        <v>#N/A</v>
      </c>
      <c r="E59" s="8" t="e">
        <f>SUBSTITUTE(_xll.qlRateHelperQuoteName(D59),"6AB","3ABBASIS")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8" t="e">
        <f>_xll.qlRateHelperEarliestDate($D59)</f>
        <v>#VALUE!</v>
      </c>
      <c r="I59" s="19" t="e">
        <f ca="1">_xll.qlRateHelperLatestDate($D59)</f>
        <v>#NAME?</v>
      </c>
      <c r="J59" s="5" t="e">
        <v>#N/A</v>
      </c>
    </row>
    <row r="60" spans="4:10" x14ac:dyDescent="0.2">
      <c r="D60" s="8" t="e">
        <v>#N/A</v>
      </c>
      <c r="E60" s="8" t="e">
        <f>SUBSTITUTE(_xll.qlRateHelperQuoteName(D60),"6AB","3ABBASIS")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8" t="e">
        <f>_xll.qlRateHelperEarliestDate($D60)</f>
        <v>#VALUE!</v>
      </c>
      <c r="I60" s="19" t="e">
        <f ca="1">_xll.qlRateHelperLatestDate($D60)</f>
        <v>#NAME?</v>
      </c>
      <c r="J60" s="5" t="e">
        <v>#N/A</v>
      </c>
    </row>
    <row r="61" spans="4:10" x14ac:dyDescent="0.2">
      <c r="D61" s="8" t="e">
        <v>#N/A</v>
      </c>
      <c r="E61" s="8" t="e">
        <f>SUBSTITUTE(_xll.qlRateHelperQuoteName(D61),"6AB","3ABBASIS")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8" t="e">
        <f>_xll.qlRateHelperEarliestDate($D61)</f>
        <v>#VALUE!</v>
      </c>
      <c r="I61" s="19" t="e">
        <f ca="1">_xll.qlRateHelperLatestDate($D61)</f>
        <v>#NAME?</v>
      </c>
      <c r="J61" s="5" t="e">
        <v>#N/A</v>
      </c>
    </row>
    <row r="62" spans="4:10" x14ac:dyDescent="0.2">
      <c r="D62" s="8" t="e">
        <v>#N/A</v>
      </c>
      <c r="E62" s="8" t="e">
        <f>SUBSTITUTE(_xll.qlRateHelperQuoteName(D62),"6AB","3ABBASIS")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8" t="e">
        <f>_xll.qlRateHelperEarliestDate($D62)</f>
        <v>#VALUE!</v>
      </c>
      <c r="I62" s="19" t="e">
        <f ca="1">_xll.qlRateHelperLatestDate($D62)</f>
        <v>#NAME?</v>
      </c>
      <c r="J62" s="5" t="e">
        <v>#N/A</v>
      </c>
    </row>
    <row r="63" spans="4:10" x14ac:dyDescent="0.2">
      <c r="D63" s="8" t="e">
        <v>#N/A</v>
      </c>
      <c r="E63" s="8" t="e">
        <f>SUBSTITUTE(_xll.qlRateHelperQuoteName(D63),"6AB","3ABBASIS")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8" t="e">
        <f>_xll.qlRateHelperEarliestDate($D63)</f>
        <v>#VALUE!</v>
      </c>
      <c r="I63" s="19" t="e">
        <f ca="1">_xll.qlRateHelperLatestDate($D63)</f>
        <v>#NAME?</v>
      </c>
      <c r="J63" s="5" t="e">
        <v>#N/A</v>
      </c>
    </row>
    <row r="64" spans="4:10" x14ac:dyDescent="0.2">
      <c r="D64" s="8" t="e">
        <v>#N/A</v>
      </c>
      <c r="E64" s="8" t="e">
        <f>SUBSTITUTE(_xll.qlRateHelperQuoteName(D64),"6AB","3ABBASIS")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8" t="e">
        <f>_xll.qlRateHelperEarliestDate($D64)</f>
        <v>#VALUE!</v>
      </c>
      <c r="I64" s="19" t="e">
        <f ca="1">_xll.qlRateHelperLatestDate($D64)</f>
        <v>#NAME?</v>
      </c>
      <c r="J64" s="5" t="e">
        <v>#N/A</v>
      </c>
    </row>
    <row r="65" spans="4:10" x14ac:dyDescent="0.2">
      <c r="D65" s="8" t="e">
        <v>#N/A</v>
      </c>
      <c r="E65" s="8" t="e">
        <f>SUBSTITUTE(_xll.qlRateHelperQuoteName(D65),"6AB","3ABBASIS")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8" t="e">
        <f>_xll.qlRateHelperEarliestDate($D65)</f>
        <v>#VALUE!</v>
      </c>
      <c r="I65" s="19" t="e">
        <f ca="1">_xll.qlRateHelperLatestDate($D65)</f>
        <v>#NAME?</v>
      </c>
      <c r="J65" s="5" t="e">
        <v>#N/A</v>
      </c>
    </row>
    <row r="66" spans="4:10" x14ac:dyDescent="0.2">
      <c r="D66" s="8" t="e">
        <v>#N/A</v>
      </c>
      <c r="E66" s="8" t="e">
        <f>SUBSTITUTE(_xll.qlRateHelperQuoteName(D66),"6AB","3ABBASIS")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8" t="e">
        <f>_xll.qlRateHelperEarliestDate($D66)</f>
        <v>#VALUE!</v>
      </c>
      <c r="I66" s="19" t="e">
        <f ca="1">_xll.qlRateHelperLatestDate($D66)</f>
        <v>#NAME?</v>
      </c>
      <c r="J66" s="5" t="e">
        <v>#N/A</v>
      </c>
    </row>
    <row r="67" spans="4:10" x14ac:dyDescent="0.2">
      <c r="D67" s="8" t="e">
        <v>#N/A</v>
      </c>
      <c r="E67" s="8" t="e">
        <f>SUBSTITUTE(_xll.qlRateHelperQuoteName(D67),"6AB","3ABBASIS")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8" t="e">
        <f>_xll.qlRateHelperEarliestDate($D67)</f>
        <v>#VALUE!</v>
      </c>
      <c r="I67" s="19" t="e">
        <f ca="1">_xll.qlRateHelperLatestDate($D67)</f>
        <v>#NAME?</v>
      </c>
      <c r="J67" s="5" t="e">
        <v>#N/A</v>
      </c>
    </row>
    <row r="68" spans="4:10" x14ac:dyDescent="0.2">
      <c r="D68" s="8" t="e">
        <v>#N/A</v>
      </c>
      <c r="E68" s="8" t="e">
        <f>SUBSTITUTE(_xll.qlRateHelperQuoteName(D68),"6AB","3ABBASIS")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8" t="e">
        <f>_xll.qlRateHelperEarliestDate($D68)</f>
        <v>#VALUE!</v>
      </c>
      <c r="I68" s="19" t="e">
        <f ca="1">_xll.qlRateHelperLatestDate($D68)</f>
        <v>#NAME?</v>
      </c>
      <c r="J68" s="5" t="e">
        <v>#N/A</v>
      </c>
    </row>
    <row r="69" spans="4:10" x14ac:dyDescent="0.2">
      <c r="D69" s="8" t="e">
        <v>#N/A</v>
      </c>
      <c r="E69" s="8" t="e">
        <f>SUBSTITUTE(_xll.qlRateHelperQuoteName(D69),"6AB","3ABBASIS")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8" t="e">
        <f>_xll.qlRateHelperEarliestDate($D69)</f>
        <v>#VALUE!</v>
      </c>
      <c r="I69" s="19" t="e">
        <f ca="1">_xll.qlRateHelperLatestDate($D69)</f>
        <v>#NAME?</v>
      </c>
      <c r="J69" s="5" t="e">
        <v>#N/A</v>
      </c>
    </row>
    <row r="70" spans="4:10" x14ac:dyDescent="0.2">
      <c r="D70" s="8" t="e">
        <v>#N/A</v>
      </c>
      <c r="E70" s="8" t="e">
        <f>SUBSTITUTE(_xll.qlRateHelperQuoteName(D70),"6AB","3ABBASIS")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8" t="e">
        <f>_xll.qlRateHelperEarliestDate($D70)</f>
        <v>#VALUE!</v>
      </c>
      <c r="I70" s="19" t="e">
        <f ca="1">_xll.qlRateHelperLatestDate($D70)</f>
        <v>#NAME?</v>
      </c>
      <c r="J70" s="5" t="e">
        <v>#N/A</v>
      </c>
    </row>
    <row r="71" spans="4:10" x14ac:dyDescent="0.2">
      <c r="D71" s="8" t="e">
        <v>#N/A</v>
      </c>
      <c r="E71" s="8" t="e">
        <f>SUBSTITUTE(_xll.qlRateHelperQuoteName(D71),"6AB","3ABBASIS")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8" t="e">
        <f>_xll.qlRateHelperEarliestDate($D71)</f>
        <v>#VALUE!</v>
      </c>
      <c r="I71" s="19" t="e">
        <f ca="1">_xll.qlRateHelperLatestDate($D71)</f>
        <v>#NAME?</v>
      </c>
      <c r="J71" s="5" t="e">
        <v>#N/A</v>
      </c>
    </row>
    <row r="72" spans="4:10" x14ac:dyDescent="0.2">
      <c r="D72" s="8" t="e">
        <v>#N/A</v>
      </c>
      <c r="E72" s="8" t="e">
        <f>SUBSTITUTE(_xll.qlRateHelperQuoteName(D72),"6AB","3ABBASIS")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8" t="e">
        <f>_xll.qlRateHelperEarliestDate($D72)</f>
        <v>#VALUE!</v>
      </c>
      <c r="I72" s="19" t="e">
        <f ca="1">_xll.qlRateHelperLatestDate($D72)</f>
        <v>#NAME?</v>
      </c>
      <c r="J72" s="5" t="e">
        <v>#N/A</v>
      </c>
    </row>
    <row r="73" spans="4:10" x14ac:dyDescent="0.2">
      <c r="D73" s="8" t="e">
        <v>#N/A</v>
      </c>
      <c r="E73" s="8" t="e">
        <f>SUBSTITUTE(_xll.qlRateHelperQuoteName(D73),"6AB","3ABBASIS")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8" t="e">
        <f>_xll.qlRateHelperEarliestDate($D73)</f>
        <v>#VALUE!</v>
      </c>
      <c r="I73" s="19" t="e">
        <f ca="1">_xll.qlRateHelperLatestDate($D73)</f>
        <v>#NAME?</v>
      </c>
      <c r="J73" s="5" t="e">
        <v>#N/A</v>
      </c>
    </row>
    <row r="74" spans="4:10" x14ac:dyDescent="0.2">
      <c r="D74" s="8" t="e">
        <v>#N/A</v>
      </c>
      <c r="E74" s="8" t="e">
        <f>SUBSTITUTE(_xll.qlRateHelperQuoteName(D74),"6AB","3ABBASIS")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8" t="e">
        <f>_xll.qlRateHelperEarliestDate($D74)</f>
        <v>#VALUE!</v>
      </c>
      <c r="I74" s="19" t="e">
        <f ca="1">_xll.qlRateHelperLatestDate($D74)</f>
        <v>#NAME?</v>
      </c>
      <c r="J74" s="5" t="e">
        <v>#N/A</v>
      </c>
    </row>
    <row r="75" spans="4:10" x14ac:dyDescent="0.2">
      <c r="D75" s="8" t="e">
        <v>#N/A</v>
      </c>
      <c r="E75" s="8" t="e">
        <f>SUBSTITUTE(_xll.qlRateHelperQuoteName(D75),"6AB","3ABBASIS")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8" t="e">
        <f>_xll.qlRateHelperEarliestDate($D75)</f>
        <v>#VALUE!</v>
      </c>
      <c r="I75" s="19" t="e">
        <f ca="1">_xll.qlRateHelperLatestDate($D75)</f>
        <v>#NAME?</v>
      </c>
      <c r="J75" s="5" t="e">
        <v>#N/A</v>
      </c>
    </row>
    <row r="76" spans="4:10" x14ac:dyDescent="0.2">
      <c r="D76" s="8" t="e">
        <v>#N/A</v>
      </c>
      <c r="E76" s="8" t="e">
        <f>SUBSTITUTE(_xll.qlRateHelperQuoteName(D76),"6AB","3ABBASIS")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8" t="e">
        <f>_xll.qlRateHelperEarliestDate($D76)</f>
        <v>#VALUE!</v>
      </c>
      <c r="I76" s="19" t="e">
        <f ca="1">_xll.qlRateHelperLatestDate($D76)</f>
        <v>#NAME?</v>
      </c>
      <c r="J76" s="5" t="e">
        <v>#N/A</v>
      </c>
    </row>
    <row r="77" spans="4:10" x14ac:dyDescent="0.2">
      <c r="D77" s="8" t="e">
        <v>#N/A</v>
      </c>
      <c r="E77" s="8" t="e">
        <f>SUBSTITUTE(_xll.qlRateHelperQuoteName(D77),"6AB","3ABBASIS")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8" t="e">
        <f>_xll.qlRateHelperEarliestDate($D77)</f>
        <v>#VALUE!</v>
      </c>
      <c r="I77" s="19" t="e">
        <f ca="1">_xll.qlRateHelperLatestDate($D77)</f>
        <v>#NAME?</v>
      </c>
      <c r="J77" s="5" t="e">
        <v>#N/A</v>
      </c>
    </row>
    <row r="78" spans="4:10" x14ac:dyDescent="0.2">
      <c r="D78" s="8" t="e">
        <v>#N/A</v>
      </c>
      <c r="E78" s="8" t="e">
        <f>SUBSTITUTE(_xll.qlRateHelperQuoteName(D78),"6AB","3ABBASIS")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8" t="e">
        <f>_xll.qlRateHelperEarliestDate($D78)</f>
        <v>#VALUE!</v>
      </c>
      <c r="I78" s="19" t="e">
        <f ca="1">_xll.qlRateHelperLatestDate($D78)</f>
        <v>#NAME?</v>
      </c>
      <c r="J78" s="5" t="e">
        <v>#N/A</v>
      </c>
    </row>
    <row r="79" spans="4:10" x14ac:dyDescent="0.2">
      <c r="D79" s="8" t="e">
        <v>#N/A</v>
      </c>
      <c r="E79" s="8" t="e">
        <f>SUBSTITUTE(_xll.qlRateHelperQuoteName(D79),"6AB","3ABBASIS")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8" t="e">
        <f>_xll.qlRateHelperEarliestDate($D79)</f>
        <v>#VALUE!</v>
      </c>
      <c r="I79" s="19" t="e">
        <f ca="1">_xll.qlRateHelperLatestDate($D79)</f>
        <v>#NAME?</v>
      </c>
      <c r="J79" s="5" t="e">
        <v>#N/A</v>
      </c>
    </row>
    <row r="80" spans="4:10" x14ac:dyDescent="0.2">
      <c r="D80" s="8" t="e">
        <v>#N/A</v>
      </c>
      <c r="E80" s="8" t="e">
        <f>SUBSTITUTE(_xll.qlRateHelperQuoteName(D80),"6AB","3ABBASIS")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8" t="e">
        <f>_xll.qlRateHelperEarliestDate($D80)</f>
        <v>#VALUE!</v>
      </c>
      <c r="I80" s="19" t="e">
        <f ca="1">_xll.qlRateHelperLatestDate($D80)</f>
        <v>#NAME?</v>
      </c>
      <c r="J80" s="5" t="e">
        <v>#N/A</v>
      </c>
    </row>
    <row r="81" spans="4:10" x14ac:dyDescent="0.2">
      <c r="D81" s="8" t="e">
        <v>#N/A</v>
      </c>
      <c r="E81" s="8" t="e">
        <f>SUBSTITUTE(_xll.qlRateHelperQuoteName(D81),"6AB","3ABBASIS")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8" t="e">
        <f>_xll.qlRateHelperEarliestDate($D81)</f>
        <v>#VALUE!</v>
      </c>
      <c r="I81" s="19" t="e">
        <f ca="1">_xll.qlRateHelperLatestDate($D81)</f>
        <v>#NAME?</v>
      </c>
      <c r="J81" s="5" t="e">
        <v>#N/A</v>
      </c>
    </row>
    <row r="82" spans="4:10" x14ac:dyDescent="0.2">
      <c r="D82" s="8" t="e">
        <v>#N/A</v>
      </c>
      <c r="E82" s="8" t="e">
        <f>SUBSTITUTE(_xll.qlRateHelperQuoteName(D82),"6AB","3ABBASIS")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8" t="e">
        <f>_xll.qlRateHelperEarliestDate($D82)</f>
        <v>#VALUE!</v>
      </c>
      <c r="I82" s="19" t="e">
        <f ca="1">_xll.qlRateHelperLatestDate($D82)</f>
        <v>#NAME?</v>
      </c>
      <c r="J82" s="5" t="e">
        <v>#N/A</v>
      </c>
    </row>
    <row r="83" spans="4:10" x14ac:dyDescent="0.2">
      <c r="D83" s="8" t="e">
        <v>#N/A</v>
      </c>
      <c r="E83" s="8" t="e">
        <f>SUBSTITUTE(_xll.qlRateHelperQuoteName(D83),"6AB","3ABBASIS")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8" t="e">
        <f>_xll.qlRateHelperEarliestDate($D83)</f>
        <v>#VALUE!</v>
      </c>
      <c r="I83" s="19" t="e">
        <f ca="1">_xll.qlRateHelperLatestDate($D83)</f>
        <v>#NAME?</v>
      </c>
      <c r="J83" s="5" t="e">
        <v>#N/A</v>
      </c>
    </row>
    <row r="84" spans="4:10" x14ac:dyDescent="0.2">
      <c r="D84" s="8" t="e">
        <v>#N/A</v>
      </c>
      <c r="E84" s="8" t="e">
        <f>SUBSTITUTE(_xll.qlRateHelperQuoteName(D84),"6AB","3ABBASIS")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8" t="e">
        <f>_xll.qlRateHelperEarliestDate($D84)</f>
        <v>#VALUE!</v>
      </c>
      <c r="I84" s="19" t="e">
        <f ca="1">_xll.qlRateHelperLatestDate($D84)</f>
        <v>#NAME?</v>
      </c>
      <c r="J84" s="5" t="e">
        <v>#N/A</v>
      </c>
    </row>
    <row r="85" spans="4:10" x14ac:dyDescent="0.2">
      <c r="D85" s="8" t="e">
        <v>#N/A</v>
      </c>
      <c r="E85" s="8" t="e">
        <f>SUBSTITUTE(_xll.qlRateHelperQuoteName(D85),"6AB","3ABBASIS")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8" t="e">
        <f>_xll.qlRateHelperEarliestDate($D85)</f>
        <v>#VALUE!</v>
      </c>
      <c r="I85" s="19" t="e">
        <f ca="1">_xll.qlRateHelperLatestDate($D85)</f>
        <v>#NAME?</v>
      </c>
      <c r="J85" s="5" t="e">
        <v>#N/A</v>
      </c>
    </row>
    <row r="86" spans="4:10" x14ac:dyDescent="0.2">
      <c r="D86" s="8" t="e">
        <v>#N/A</v>
      </c>
      <c r="E86" s="8" t="e">
        <f>SUBSTITUTE(_xll.qlRateHelperQuoteName(D86),"6AB","3ABBASIS")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8" t="e">
        <f>_xll.qlRateHelperEarliestDate($D86)</f>
        <v>#VALUE!</v>
      </c>
      <c r="I86" s="19" t="e">
        <f ca="1">_xll.qlRateHelperLatestDate($D86)</f>
        <v>#NAME?</v>
      </c>
      <c r="J86" s="5" t="e">
        <v>#N/A</v>
      </c>
    </row>
    <row r="87" spans="4:10" x14ac:dyDescent="0.2">
      <c r="D87" s="8" t="e">
        <v>#N/A</v>
      </c>
      <c r="E87" s="8" t="e">
        <f>SUBSTITUTE(_xll.qlRateHelperQuoteName(D87),"6AB","3ABBASIS")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8" t="e">
        <f>_xll.qlRateHelperEarliestDate($D87)</f>
        <v>#VALUE!</v>
      </c>
      <c r="I87" s="19" t="e">
        <f ca="1">_xll.qlRateHelperLatestDate($D87)</f>
        <v>#NAME?</v>
      </c>
      <c r="J87" s="5" t="e">
        <v>#N/A</v>
      </c>
    </row>
    <row r="88" spans="4:10" x14ac:dyDescent="0.2">
      <c r="D88" s="8" t="e">
        <v>#N/A</v>
      </c>
      <c r="E88" s="8" t="e">
        <f>SUBSTITUTE(_xll.qlRateHelperQuoteName(D88),"6AB","3ABBASIS")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8" t="e">
        <f>_xll.qlRateHelperEarliestDate($D88)</f>
        <v>#VALUE!</v>
      </c>
      <c r="I88" s="19" t="e">
        <f ca="1">_xll.qlRateHelperLatestDate($D88)</f>
        <v>#NAME?</v>
      </c>
      <c r="J88" s="5" t="e">
        <v>#N/A</v>
      </c>
    </row>
    <row r="89" spans="4:10" x14ac:dyDescent="0.2">
      <c r="D89" s="8" t="e">
        <v>#N/A</v>
      </c>
      <c r="E89" s="8" t="e">
        <f>SUBSTITUTE(_xll.qlRateHelperQuoteName(D89),"6AB","3ABBASIS")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8" t="e">
        <f>_xll.qlRateHelperEarliestDate($D89)</f>
        <v>#VALUE!</v>
      </c>
      <c r="I89" s="19" t="e">
        <f ca="1">_xll.qlRateHelperLatestDate($D89)</f>
        <v>#NAME?</v>
      </c>
      <c r="J89" s="5" t="e">
        <v>#N/A</v>
      </c>
    </row>
    <row r="90" spans="4:10" x14ac:dyDescent="0.2">
      <c r="D90" s="8" t="e">
        <v>#N/A</v>
      </c>
      <c r="E90" s="8" t="e">
        <f>SUBSTITUTE(_xll.qlRateHelperQuoteName(D90),"6AB","3ABBASIS")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8" t="e">
        <f>_xll.qlRateHelperEarliestDate($D90)</f>
        <v>#VALUE!</v>
      </c>
      <c r="I90" s="19" t="e">
        <f ca="1">_xll.qlRateHelperLatestDate($D90)</f>
        <v>#NAME?</v>
      </c>
      <c r="J90" s="5" t="e">
        <v>#N/A</v>
      </c>
    </row>
    <row r="91" spans="4:10" x14ac:dyDescent="0.2">
      <c r="D91" s="8" t="e">
        <v>#N/A</v>
      </c>
      <c r="E91" s="8" t="e">
        <f>SUBSTITUTE(_xll.qlRateHelperQuoteName(D91),"6AB","3ABBASIS")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8" t="e">
        <f>_xll.qlRateHelperEarliestDate($D91)</f>
        <v>#VALUE!</v>
      </c>
      <c r="I91" s="19" t="e">
        <f ca="1">_xll.qlRateHelperLatestDate($D91)</f>
        <v>#NAME?</v>
      </c>
      <c r="J91" s="5" t="e">
        <v>#N/A</v>
      </c>
    </row>
    <row r="92" spans="4:10" x14ac:dyDescent="0.2">
      <c r="D92" s="8" t="e">
        <v>#N/A</v>
      </c>
      <c r="E92" s="8" t="e">
        <f>SUBSTITUTE(_xll.qlRateHelperQuoteName(D92),"6AB","3ABBASIS")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8" t="e">
        <f>_xll.qlRateHelperEarliestDate($D92)</f>
        <v>#VALUE!</v>
      </c>
      <c r="I92" s="19" t="e">
        <f ca="1">_xll.qlRateHelperLatestDate($D92)</f>
        <v>#NAME?</v>
      </c>
      <c r="J92" s="5" t="e">
        <v>#N/A</v>
      </c>
    </row>
    <row r="93" spans="4:10" x14ac:dyDescent="0.2">
      <c r="D93" s="8" t="e">
        <v>#N/A</v>
      </c>
      <c r="E93" s="8" t="e">
        <f>SUBSTITUTE(_xll.qlRateHelperQuoteName(D93),"6AB","3ABBASIS")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8" t="e">
        <f>_xll.qlRateHelperEarliestDate($D93)</f>
        <v>#VALUE!</v>
      </c>
      <c r="I93" s="19" t="e">
        <f ca="1">_xll.qlRateHelperLatestDate($D93)</f>
        <v>#NAME?</v>
      </c>
      <c r="J93" s="5" t="e">
        <v>#N/A</v>
      </c>
    </row>
    <row r="94" spans="4:10" x14ac:dyDescent="0.2">
      <c r="D94" s="8" t="e">
        <v>#N/A</v>
      </c>
      <c r="E94" s="8" t="e">
        <f>SUBSTITUTE(_xll.qlRateHelperQuoteName(D94),"6AB","3ABBASIS")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8" t="e">
        <f>_xll.qlRateHelperEarliestDate($D94)</f>
        <v>#VALUE!</v>
      </c>
      <c r="I94" s="19" t="e">
        <f ca="1">_xll.qlRateHelperLatestDate($D94)</f>
        <v>#NAME?</v>
      </c>
      <c r="J94" s="5" t="e">
        <v>#N/A</v>
      </c>
    </row>
    <row r="95" spans="4:10" x14ac:dyDescent="0.2">
      <c r="D95" s="8" t="e">
        <v>#N/A</v>
      </c>
      <c r="E95" s="8" t="e">
        <f>SUBSTITUTE(_xll.qlRateHelperQuoteName(D95),"6AB","3ABBASIS")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8" t="e">
        <f>_xll.qlRateHelperEarliestDate($D95)</f>
        <v>#VALUE!</v>
      </c>
      <c r="I95" s="19" t="e">
        <f ca="1">_xll.qlRateHelperLatestDate($D95)</f>
        <v>#NAME?</v>
      </c>
      <c r="J95" s="5" t="e">
        <v>#N/A</v>
      </c>
    </row>
    <row r="96" spans="4:10" x14ac:dyDescent="0.2">
      <c r="D96" s="8" t="e">
        <v>#N/A</v>
      </c>
      <c r="E96" s="8" t="e">
        <f>SUBSTITUTE(_xll.qlRateHelperQuoteName(D96),"6AB","3ABBASIS")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8" t="e">
        <f>_xll.qlRateHelperEarliestDate($D96)</f>
        <v>#VALUE!</v>
      </c>
      <c r="I96" s="19" t="e">
        <f ca="1">_xll.qlRateHelperLatestDate($D96)</f>
        <v>#NAME?</v>
      </c>
      <c r="J96" s="5" t="e">
        <v>#N/A</v>
      </c>
    </row>
    <row r="97" spans="4:10" x14ac:dyDescent="0.2">
      <c r="D97" s="8" t="e">
        <v>#N/A</v>
      </c>
      <c r="E97" s="8" t="e">
        <f>SUBSTITUTE(_xll.qlRateHelperQuoteName(D97),"6AB","3ABBASIS")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8" t="e">
        <f>_xll.qlRateHelperEarliestDate($D97)</f>
        <v>#VALUE!</v>
      </c>
      <c r="I97" s="19" t="e">
        <f ca="1">_xll.qlRateHelperLatestDate($D97)</f>
        <v>#NAME?</v>
      </c>
      <c r="J97" s="5" t="e">
        <v>#N/A</v>
      </c>
    </row>
    <row r="98" spans="4:10" x14ac:dyDescent="0.2">
      <c r="D98" s="8" t="e">
        <v>#N/A</v>
      </c>
      <c r="E98" s="8" t="e">
        <f>SUBSTITUTE(_xll.qlRateHelperQuoteName(D98),"6AB","3ABBASIS")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8" t="e">
        <f>_xll.qlRateHelperEarliestDate($D98)</f>
        <v>#VALUE!</v>
      </c>
      <c r="I98" s="19" t="e">
        <f ca="1">_xll.qlRateHelperLatestDate($D98)</f>
        <v>#NAME?</v>
      </c>
      <c r="J98" s="5" t="e">
        <v>#N/A</v>
      </c>
    </row>
    <row r="99" spans="4:10" x14ac:dyDescent="0.2">
      <c r="D99" s="8" t="e">
        <v>#N/A</v>
      </c>
      <c r="E99" s="8" t="e">
        <f>SUBSTITUTE(_xll.qlRateHelperQuoteName(D99),"6AB","3ABBASIS")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8" t="e">
        <f>_xll.qlRateHelperEarliestDate($D99)</f>
        <v>#VALUE!</v>
      </c>
      <c r="I99" s="19" t="e">
        <f ca="1">_xll.qlRateHelperLatestDate($D99)</f>
        <v>#NAME?</v>
      </c>
      <c r="J99" s="5" t="e">
        <v>#N/A</v>
      </c>
    </row>
    <row r="100" spans="4:10" x14ac:dyDescent="0.2">
      <c r="D100" s="8" t="e">
        <v>#N/A</v>
      </c>
      <c r="E100" s="8" t="e">
        <f>SUBSTITUTE(_xll.qlRateHelperQuoteName(D100),"6AB","3ABBASIS")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8" t="e">
        <f>_xll.qlRateHelperEarliestDate($D100)</f>
        <v>#VALUE!</v>
      </c>
      <c r="I100" s="19" t="e">
        <f ca="1">_xll.qlRateHelperLatestDate($D100)</f>
        <v>#NAME?</v>
      </c>
      <c r="J100" s="5" t="e">
        <v>#N/A</v>
      </c>
    </row>
    <row r="101" spans="4:10" x14ac:dyDescent="0.2">
      <c r="D101" s="8" t="e">
        <v>#N/A</v>
      </c>
      <c r="E101" s="8" t="e">
        <f>SUBSTITUTE(_xll.qlRateHelperQuoteName(D101),"6AB","3ABBASIS")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8" t="e">
        <f>_xll.qlRateHelperEarliestDate($D101)</f>
        <v>#VALUE!</v>
      </c>
      <c r="I101" s="19" t="e">
        <f ca="1">_xll.qlRateHelperLatestDate($D101)</f>
        <v>#NAME?</v>
      </c>
      <c r="J101" s="5" t="e">
        <v>#N/A</v>
      </c>
    </row>
    <row r="102" spans="4:10" x14ac:dyDescent="0.2">
      <c r="D102" s="8" t="e">
        <v>#N/A</v>
      </c>
      <c r="E102" s="8" t="e">
        <f>SUBSTITUTE(_xll.qlRateHelperQuoteName(D102),"6AB","3ABBASIS")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8" t="e">
        <f>_xll.qlRateHelperEarliestDate($D102)</f>
        <v>#VALUE!</v>
      </c>
      <c r="I102" s="19" t="e">
        <f ca="1">_xll.qlRateHelperLatestDate($D102)</f>
        <v>#NAME?</v>
      </c>
      <c r="J102" s="5" t="e">
        <v>#N/A</v>
      </c>
    </row>
    <row r="103" spans="4:10" x14ac:dyDescent="0.2">
      <c r="D103" s="8" t="e">
        <v>#N/A</v>
      </c>
      <c r="E103" s="8" t="e">
        <f>SUBSTITUTE(_xll.qlRateHelperQuoteName(D103),"6AB","3ABBASIS")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8" t="e">
        <f>_xll.qlRateHelperEarliestDate($D103)</f>
        <v>#VALUE!</v>
      </c>
      <c r="I103" s="19" t="e">
        <f ca="1">_xll.qlRateHelperLatestDate($D103)</f>
        <v>#NAME?</v>
      </c>
      <c r="J103" s="5" t="e">
        <v>#N/A</v>
      </c>
    </row>
    <row r="104" spans="4:10" x14ac:dyDescent="0.2">
      <c r="D104" s="8" t="e">
        <v>#N/A</v>
      </c>
      <c r="E104" s="8" t="e">
        <f>SUBSTITUTE(_xll.qlRateHelperQuoteName(D104),"6AB","3ABBASIS")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8" t="e">
        <f>_xll.qlRateHelperEarliestDate($D104)</f>
        <v>#VALUE!</v>
      </c>
      <c r="I104" s="19" t="e">
        <f ca="1">_xll.qlRateHelperLatestDate($D104)</f>
        <v>#NAME?</v>
      </c>
      <c r="J104" s="5" t="e">
        <v>#N/A</v>
      </c>
    </row>
    <row r="105" spans="4:10" x14ac:dyDescent="0.2">
      <c r="D105" s="8" t="e">
        <v>#N/A</v>
      </c>
      <c r="E105" s="8" t="e">
        <f>SUBSTITUTE(_xll.qlRateHelperQuoteName(D105),"6AB","3ABBASIS")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8" t="e">
        <f>_xll.qlRateHelperEarliestDate($D105)</f>
        <v>#VALUE!</v>
      </c>
      <c r="I105" s="19" t="e">
        <f ca="1">_xll.qlRateHelperLatestDate($D105)</f>
        <v>#NAME?</v>
      </c>
      <c r="J105" s="5" t="e">
        <v>#N/A</v>
      </c>
    </row>
    <row r="106" spans="4:10" x14ac:dyDescent="0.2">
      <c r="D106" s="8" t="e">
        <v>#N/A</v>
      </c>
      <c r="E106" s="8" t="e">
        <f>SUBSTITUTE(_xll.qlRateHelperQuoteName(D106),"6AB","3ABBASIS")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8" t="e">
        <f>_xll.qlRateHelperEarliestDate($D106)</f>
        <v>#VALUE!</v>
      </c>
      <c r="I106" s="19" t="e">
        <f ca="1">_xll.qlRateHelperLatestDate($D106)</f>
        <v>#NAME?</v>
      </c>
      <c r="J106" s="5" t="e">
        <v>#N/A</v>
      </c>
    </row>
    <row r="107" spans="4:10" x14ac:dyDescent="0.2">
      <c r="D107" s="8" t="e">
        <v>#N/A</v>
      </c>
      <c r="E107" s="8" t="e">
        <f>SUBSTITUTE(_xll.qlRateHelperQuoteName(D107),"6AB","3ABBASIS")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8" t="e">
        <f>_xll.qlRateHelperEarliestDate($D107)</f>
        <v>#VALUE!</v>
      </c>
      <c r="I107" s="19" t="e">
        <f ca="1">_xll.qlRateHelperLatestDate($D107)</f>
        <v>#NAME?</v>
      </c>
      <c r="J107" s="5" t="e">
        <v>#N/A</v>
      </c>
    </row>
    <row r="108" spans="4:10" x14ac:dyDescent="0.2">
      <c r="D108" s="8" t="e">
        <v>#N/A</v>
      </c>
      <c r="E108" s="8" t="e">
        <f>SUBSTITUTE(_xll.qlRateHelperQuoteName(D108),"6AB","3ABBASIS")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8" t="e">
        <f>_xll.qlRateHelperEarliestDate($D108)</f>
        <v>#VALUE!</v>
      </c>
      <c r="I108" s="19" t="e">
        <f ca="1">_xll.qlRateHelperLatestDate($D108)</f>
        <v>#NAME?</v>
      </c>
      <c r="J108" s="5" t="e">
        <v>#N/A</v>
      </c>
    </row>
    <row r="109" spans="4:10" x14ac:dyDescent="0.2">
      <c r="D109" s="8" t="e">
        <v>#N/A</v>
      </c>
      <c r="E109" s="8" t="e">
        <f>SUBSTITUTE(_xll.qlRateHelperQuoteName(D109),"6AB","3ABBASIS")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8" t="e">
        <f>_xll.qlRateHelperEarliestDate($D109)</f>
        <v>#VALUE!</v>
      </c>
      <c r="I109" s="19" t="e">
        <f ca="1">_xll.qlRateHelperLatestDate($D109)</f>
        <v>#NAME?</v>
      </c>
      <c r="J109" s="5" t="e">
        <v>#N/A</v>
      </c>
    </row>
    <row r="110" spans="4:10" x14ac:dyDescent="0.2">
      <c r="D110" s="8" t="e">
        <v>#N/A</v>
      </c>
      <c r="E110" s="8" t="e">
        <f>SUBSTITUTE(_xll.qlRateHelperQuoteName(D110),"6AB","3ABBASIS")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8" t="e">
        <f>_xll.qlRateHelperEarliestDate($D110)</f>
        <v>#VALUE!</v>
      </c>
      <c r="I110" s="19" t="e">
        <f ca="1">_xll.qlRateHelperLatestDate($D110)</f>
        <v>#NAME?</v>
      </c>
      <c r="J110" s="5" t="e">
        <v>#N/A</v>
      </c>
    </row>
    <row r="111" spans="4:10" x14ac:dyDescent="0.2">
      <c r="D111" s="8" t="e">
        <v>#N/A</v>
      </c>
      <c r="E111" s="8" t="e">
        <f>SUBSTITUTE(_xll.qlRateHelperQuoteName(D111),"6AB","3ABBASIS")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8" t="e">
        <f>_xll.qlRateHelperEarliestDate($D111)</f>
        <v>#VALUE!</v>
      </c>
      <c r="I111" s="19" t="e">
        <f ca="1">_xll.qlRateHelperLatestDate($D111)</f>
        <v>#NAME?</v>
      </c>
      <c r="J111" s="5" t="e">
        <v>#N/A</v>
      </c>
    </row>
    <row r="112" spans="4:10" x14ac:dyDescent="0.2">
      <c r="D112" s="8" t="e">
        <v>#N/A</v>
      </c>
      <c r="E112" s="8" t="e">
        <f>SUBSTITUTE(_xll.qlRateHelperQuoteName(D112),"6AB","3ABBASIS")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8" t="e">
        <f>_xll.qlRateHelperEarliestDate($D112)</f>
        <v>#VALUE!</v>
      </c>
      <c r="I112" s="19" t="e">
        <f ca="1">_xll.qlRateHelperLatestDate($D112)</f>
        <v>#NAME?</v>
      </c>
      <c r="J112" s="5" t="e">
        <v>#N/A</v>
      </c>
    </row>
    <row r="113" spans="4:10" x14ac:dyDescent="0.2">
      <c r="D113" s="8" t="e">
        <v>#N/A</v>
      </c>
      <c r="E113" s="8" t="e">
        <f>SUBSTITUTE(_xll.qlRateHelperQuoteName(D113),"6AB","3ABBASIS")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8" t="e">
        <f>_xll.qlRateHelperEarliestDate($D113)</f>
        <v>#VALUE!</v>
      </c>
      <c r="I113" s="19" t="e">
        <f ca="1">_xll.qlRateHelperLatestDate($D113)</f>
        <v>#NAME?</v>
      </c>
      <c r="J113" s="5" t="e">
        <v>#N/A</v>
      </c>
    </row>
    <row r="114" spans="4:10" x14ac:dyDescent="0.2">
      <c r="D114" s="8" t="e">
        <v>#N/A</v>
      </c>
      <c r="E114" s="8" t="e">
        <f>SUBSTITUTE(_xll.qlRateHelperQuoteName(D114),"6AB","3ABBASIS")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8" t="e">
        <f>_xll.qlRateHelperEarliestDate($D114)</f>
        <v>#VALUE!</v>
      </c>
      <c r="I114" s="19" t="e">
        <f ca="1">_xll.qlRateHelperLatestDate($D114)</f>
        <v>#NAME?</v>
      </c>
      <c r="J114" s="5" t="e">
        <v>#N/A</v>
      </c>
    </row>
    <row r="115" spans="4:10" x14ac:dyDescent="0.2">
      <c r="D115" s="8" t="e">
        <v>#N/A</v>
      </c>
      <c r="E115" s="8" t="e">
        <f>SUBSTITUTE(_xll.qlRateHelperQuoteName(D115),"6AB","3ABBASIS")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8" t="e">
        <f>_xll.qlRateHelperEarliestDate($D115)</f>
        <v>#VALUE!</v>
      </c>
      <c r="I115" s="19" t="e">
        <f ca="1">_xll.qlRateHelperLatestDate($D115)</f>
        <v>#NAME?</v>
      </c>
      <c r="J115" s="5" t="e">
        <v>#N/A</v>
      </c>
    </row>
    <row r="116" spans="4:10" x14ac:dyDescent="0.2">
      <c r="D116" s="8" t="e">
        <v>#N/A</v>
      </c>
      <c r="E116" s="8" t="e">
        <f>SUBSTITUTE(_xll.qlRateHelperQuoteName(D116),"6AB","3ABBASIS")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8" t="e">
        <f>_xll.qlRateHelperEarliestDate($D116)</f>
        <v>#VALUE!</v>
      </c>
      <c r="I116" s="19" t="e">
        <f ca="1">_xll.qlRateHelperLatestDate($D116)</f>
        <v>#NAME?</v>
      </c>
      <c r="J116" s="5" t="e">
        <v>#N/A</v>
      </c>
    </row>
    <row r="117" spans="4:10" x14ac:dyDescent="0.2">
      <c r="D117" s="8" t="e">
        <v>#N/A</v>
      </c>
      <c r="E117" s="8" t="e">
        <f>SUBSTITUTE(_xll.qlRateHelperQuoteName(D117),"6AB","3ABBASIS")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8" t="e">
        <f>_xll.qlRateHelperEarliestDate($D117)</f>
        <v>#VALUE!</v>
      </c>
      <c r="I117" s="19" t="e">
        <f ca="1">_xll.qlRateHelperLatestDate($D117)</f>
        <v>#NAME?</v>
      </c>
      <c r="J117" s="5" t="e">
        <v>#N/A</v>
      </c>
    </row>
    <row r="118" spans="4:10" x14ac:dyDescent="0.2">
      <c r="D118" s="8" t="e">
        <v>#N/A</v>
      </c>
      <c r="E118" s="8" t="e">
        <f>SUBSTITUTE(_xll.qlRateHelperQuoteName(D118),"6AB","3ABBASIS")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8" t="e">
        <f>_xll.qlRateHelperEarliestDate($D118)</f>
        <v>#VALUE!</v>
      </c>
      <c r="I118" s="19" t="e">
        <f ca="1">_xll.qlRateHelperLatestDate($D118)</f>
        <v>#NAME?</v>
      </c>
      <c r="J118" s="5" t="e">
        <v>#N/A</v>
      </c>
    </row>
    <row r="119" spans="4:10" x14ac:dyDescent="0.2">
      <c r="D119" s="8" t="e">
        <v>#N/A</v>
      </c>
      <c r="E119" s="8" t="e">
        <f>SUBSTITUTE(_xll.qlRateHelperQuoteName(D119),"6AB","3ABBASIS")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8" t="e">
        <f>_xll.qlRateHelperEarliestDate($D119)</f>
        <v>#VALUE!</v>
      </c>
      <c r="I119" s="19" t="e">
        <f ca="1">_xll.qlRateHelperLatestDate($D119)</f>
        <v>#NAME?</v>
      </c>
      <c r="J119" s="5" t="e">
        <v>#N/A</v>
      </c>
    </row>
    <row r="120" spans="4:10" x14ac:dyDescent="0.2">
      <c r="D120" s="8" t="e">
        <v>#N/A</v>
      </c>
      <c r="E120" s="8" t="e">
        <f>SUBSTITUTE(_xll.qlRateHelperQuoteName(D120),"6AB","3ABBASIS")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8" t="e">
        <f>_xll.qlRateHelperEarliestDate($D120)</f>
        <v>#VALUE!</v>
      </c>
      <c r="I120" s="19" t="e">
        <f ca="1">_xll.qlRateHelperLatestDate($D120)</f>
        <v>#NAME?</v>
      </c>
      <c r="J120" s="5" t="e">
        <v>#N/A</v>
      </c>
    </row>
    <row r="121" spans="4:10" x14ac:dyDescent="0.2">
      <c r="D121" s="8" t="e">
        <v>#N/A</v>
      </c>
      <c r="E121" s="8" t="e">
        <f>SUBSTITUTE(_xll.qlRateHelperQuoteName(D121),"6AB","3ABBASIS")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8" t="e">
        <f>_xll.qlRateHelperEarliestDate($D121)</f>
        <v>#VALUE!</v>
      </c>
      <c r="I121" s="19" t="e">
        <f ca="1">_xll.qlRateHelperLatestDate($D121)</f>
        <v>#NAME?</v>
      </c>
      <c r="J121" s="5" t="e">
        <v>#N/A</v>
      </c>
    </row>
    <row r="122" spans="4:10" x14ac:dyDescent="0.2">
      <c r="D122" s="8" t="e">
        <v>#N/A</v>
      </c>
      <c r="E122" s="8" t="e">
        <f>SUBSTITUTE(_xll.qlRateHelperQuoteName(D122),"6AB","3ABBASIS")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8" t="e">
        <f>_xll.qlRateHelperEarliestDate($D122)</f>
        <v>#VALUE!</v>
      </c>
      <c r="I122" s="19" t="e">
        <f ca="1">_xll.qlRateHelperLatestDate($D122)</f>
        <v>#NAME?</v>
      </c>
      <c r="J122" s="5" t="e">
        <v>#N/A</v>
      </c>
    </row>
    <row r="123" spans="4:10" x14ac:dyDescent="0.2">
      <c r="D123" s="8" t="e">
        <v>#N/A</v>
      </c>
      <c r="E123" s="8" t="e">
        <f>SUBSTITUTE(_xll.qlRateHelperQuoteName(D123),"6AB","3ABBASIS")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8" t="e">
        <f>_xll.qlRateHelperEarliestDate($D123)</f>
        <v>#VALUE!</v>
      </c>
      <c r="I123" s="19" t="e">
        <f ca="1">_xll.qlRateHelperLatestDate($D123)</f>
        <v>#NAME?</v>
      </c>
      <c r="J123" s="5" t="e">
        <v>#N/A</v>
      </c>
    </row>
    <row r="124" spans="4:10" x14ac:dyDescent="0.2">
      <c r="D124" s="8" t="e">
        <v>#N/A</v>
      </c>
      <c r="E124" s="8" t="e">
        <f>SUBSTITUTE(_xll.qlRateHelperQuoteName(D124),"6AB","3ABBASIS")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8" t="e">
        <f>_xll.qlRateHelperEarliestDate($D124)</f>
        <v>#VALUE!</v>
      </c>
      <c r="I124" s="19" t="e">
        <f ca="1">_xll.qlRateHelperLatestDate($D124)</f>
        <v>#NAME?</v>
      </c>
      <c r="J124" s="5" t="e">
        <v>#N/A</v>
      </c>
    </row>
    <row r="125" spans="4:10" x14ac:dyDescent="0.2">
      <c r="D125" s="8" t="e">
        <v>#N/A</v>
      </c>
      <c r="E125" s="8" t="e">
        <f>SUBSTITUTE(_xll.qlRateHelperQuoteName(D125),"6AB","3ABBASIS")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8" t="e">
        <f>_xll.qlRateHelperEarliestDate($D125)</f>
        <v>#VALUE!</v>
      </c>
      <c r="I125" s="19" t="e">
        <f ca="1">_xll.qlRateHelperLatestDate($D125)</f>
        <v>#NAME?</v>
      </c>
      <c r="J125" s="5" t="e">
        <v>#N/A</v>
      </c>
    </row>
    <row r="126" spans="4:10" ht="12" thickBot="1" x14ac:dyDescent="0.25">
      <c r="D126" s="15" t="e">
        <v>#N/A</v>
      </c>
      <c r="E126" s="8" t="e">
        <f>SUBSTITUTE(_xll.qlRateHelperQuoteName(D126),"6AB","3ABBASIS")</f>
        <v>#VALUE!</v>
      </c>
      <c r="F126" s="16" t="e">
        <f>_xll.qlRateHelperRate($D126)</f>
        <v>#VALUE!</v>
      </c>
      <c r="G126" s="1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0" t="e">
        <f>_xll.qlRateHelperEarliestDate($D126)</f>
        <v>#VALUE!</v>
      </c>
      <c r="I126" s="21" t="e">
        <f ca="1">_xll.qlRateHelperLatestDate($D126)</f>
        <v>#NAME?</v>
      </c>
      <c r="J126" s="5" t="e">
        <v>#N/A</v>
      </c>
    </row>
    <row r="127" spans="4:10" x14ac:dyDescent="0.2">
      <c r="E127" s="149"/>
      <c r="H127" s="22"/>
      <c r="I127" s="22"/>
    </row>
    <row r="128" spans="4:10" x14ac:dyDescent="0.2">
      <c r="H128" s="22"/>
      <c r="I128" s="22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29" customWidth="1"/>
    <col min="2" max="2" width="6.42578125" style="29" customWidth="1"/>
    <col min="3" max="3" width="5" style="29" bestFit="1" customWidth="1"/>
    <col min="4" max="4" width="10" style="29" bestFit="1" customWidth="1"/>
    <col min="5" max="5" width="19.28515625" style="29" bestFit="1" customWidth="1"/>
    <col min="6" max="6" width="5.28515625" style="29" customWidth="1"/>
    <col min="7" max="7" width="19.28515625" style="29" bestFit="1" customWidth="1"/>
    <col min="8" max="8" width="19.28515625" style="29" customWidth="1"/>
    <col min="9" max="9" width="21.42578125" style="29" bestFit="1" customWidth="1"/>
    <col min="10" max="10" width="25" style="29" bestFit="1" customWidth="1"/>
    <col min="11" max="11" width="20.7109375" style="29" customWidth="1"/>
    <col min="12" max="12" width="2.7109375" style="29" customWidth="1"/>
    <col min="13" max="16384" width="9.140625" style="29"/>
  </cols>
  <sheetData>
    <row r="1" spans="1:12" ht="11.25" customHeight="1" x14ac:dyDescent="0.25">
      <c r="A1" s="25"/>
      <c r="B1" s="26"/>
      <c r="C1" s="26"/>
      <c r="D1" s="26"/>
      <c r="E1" s="26"/>
      <c r="F1" s="26"/>
      <c r="G1" s="26"/>
      <c r="H1" s="23" t="s">
        <v>61</v>
      </c>
      <c r="I1" s="27" t="str">
        <f>Currency&amp;"_YC"&amp;$H$1&amp;"RH"</f>
        <v>SEK_YC3MRH</v>
      </c>
      <c r="J1" s="32" t="str">
        <f>$I$1&amp;"_Deposits.xml"</f>
        <v>SEK_YC3MRH_Deposits.xml</v>
      </c>
      <c r="K1" s="1"/>
      <c r="L1" s="28" t="s">
        <v>137</v>
      </c>
    </row>
    <row r="2" spans="1:12" ht="23.25" customHeight="1" x14ac:dyDescent="0.25">
      <c r="A2" s="30"/>
      <c r="B2" s="31" t="s">
        <v>117</v>
      </c>
      <c r="C2" s="31" t="s">
        <v>118</v>
      </c>
      <c r="D2" s="31" t="s">
        <v>119</v>
      </c>
      <c r="E2" s="31" t="s">
        <v>120</v>
      </c>
      <c r="F2" s="31" t="s">
        <v>121</v>
      </c>
      <c r="G2" s="31" t="s">
        <v>122</v>
      </c>
      <c r="H2" s="31" t="s">
        <v>85</v>
      </c>
      <c r="I2" s="31" t="s">
        <v>64</v>
      </c>
      <c r="J2" s="33" t="str">
        <f>IF(Serialize,_xll.ohObjectSave(J3:J9,SerializationPath&amp;J1,FileOverwrite,Serialize),"---")</f>
        <v>---</v>
      </c>
      <c r="K2" s="34" t="str">
        <f>_xll.ohRangeRetrieveError(J2)</f>
        <v/>
      </c>
      <c r="L2" s="28" t="s">
        <v>137</v>
      </c>
    </row>
    <row r="3" spans="1:12" ht="11.25" customHeight="1" x14ac:dyDescent="0.25">
      <c r="A3" s="30"/>
      <c r="B3" s="163" t="s">
        <v>125</v>
      </c>
      <c r="C3" s="163">
        <v>2</v>
      </c>
      <c r="D3" s="202" t="s">
        <v>139</v>
      </c>
      <c r="E3" s="202" t="s">
        <v>129</v>
      </c>
      <c r="F3" s="202" t="b">
        <v>1</v>
      </c>
      <c r="G3" s="202" t="s">
        <v>141</v>
      </c>
      <c r="H3" s="202" t="str">
        <f>_xll.qlIborIndex(,,"1D",C3,Currency,D3,E3,F3,G3,,,Trigger,ObjectOverwrite)</f>
        <v>obj_00204#0001</v>
      </c>
      <c r="I3" s="203" t="str">
        <f t="shared" ref="I3:I9" si="0">Currency&amp;B3&amp;"D_SYNTH"&amp;$H$1&amp;QuoteSuffix</f>
        <v>SEKSND_SYNTH3M_Quote</v>
      </c>
      <c r="J3" s="204" t="str">
        <f>_xll.qlDepositRateHelper(,I3,H3,Permanent,Trigger,ObjectOverwrite)</f>
        <v>obj_00209#0001</v>
      </c>
      <c r="K3" s="205" t="str">
        <f>_xll.ohRangeRetrieveError(J3)</f>
        <v/>
      </c>
      <c r="L3" s="28" t="s">
        <v>137</v>
      </c>
    </row>
    <row r="4" spans="1:12" ht="11.25" customHeight="1" x14ac:dyDescent="0.25">
      <c r="A4" s="30"/>
      <c r="B4" s="206" t="s">
        <v>126</v>
      </c>
      <c r="C4" s="206">
        <v>2</v>
      </c>
      <c r="D4" s="207" t="s">
        <v>139</v>
      </c>
      <c r="E4" s="207" t="s">
        <v>129</v>
      </c>
      <c r="F4" s="207" t="b">
        <v>1</v>
      </c>
      <c r="G4" s="207" t="s">
        <v>141</v>
      </c>
      <c r="H4" s="207" t="str">
        <f>_xll.qlIborIndex(,,"1W",C4,Currency,D4,E4,F4,G4,,,Trigger,ObjectOverwrite)</f>
        <v>obj_00201#0001</v>
      </c>
      <c r="I4" s="208" t="str">
        <f t="shared" si="0"/>
        <v>SEKSWD_SYNTH3M_Quote</v>
      </c>
      <c r="J4" s="209" t="str">
        <f>_xll.qlDepositRateHelper(,I4,H4,Permanent,Trigger,ObjectOverwrite)</f>
        <v>obj_00203#0001</v>
      </c>
      <c r="K4" s="210" t="str">
        <f>_xll.ohRangeRetrieveError(J4)</f>
        <v/>
      </c>
      <c r="L4" s="28" t="s">
        <v>137</v>
      </c>
    </row>
    <row r="5" spans="1:12" ht="11.25" customHeight="1" x14ac:dyDescent="0.25">
      <c r="A5" s="30"/>
      <c r="B5" s="206" t="s">
        <v>127</v>
      </c>
      <c r="C5" s="206">
        <v>2</v>
      </c>
      <c r="D5" s="207" t="s">
        <v>139</v>
      </c>
      <c r="E5" s="207" t="s">
        <v>129</v>
      </c>
      <c r="F5" s="207" t="b">
        <v>1</v>
      </c>
      <c r="G5" s="207" t="s">
        <v>141</v>
      </c>
      <c r="H5" s="207" t="str">
        <f>_xll.qlIborIndex(,,B5,C5,Currency,D5,E5,F5,G5,,,Trigger,ObjectOverwrite)</f>
        <v>obj_00202#0001</v>
      </c>
      <c r="I5" s="208" t="str">
        <f t="shared" si="0"/>
        <v>SEK2WD_SYNTH3M_Quote</v>
      </c>
      <c r="J5" s="209" t="str">
        <f>_xll.qlDepositRateHelper(,I5,H5,Permanent,Trigger,ObjectOverwrite)</f>
        <v>obj_00206#0001</v>
      </c>
      <c r="K5" s="210" t="str">
        <f>_xll.ohRangeRetrieveError(J5)</f>
        <v/>
      </c>
      <c r="L5" s="28" t="s">
        <v>137</v>
      </c>
    </row>
    <row r="6" spans="1:12" ht="11.25" customHeight="1" x14ac:dyDescent="0.25">
      <c r="A6" s="30"/>
      <c r="B6" s="206" t="s">
        <v>128</v>
      </c>
      <c r="C6" s="206">
        <v>2</v>
      </c>
      <c r="D6" s="207" t="s">
        <v>139</v>
      </c>
      <c r="E6" s="207" t="s">
        <v>129</v>
      </c>
      <c r="F6" s="207" t="b">
        <v>1</v>
      </c>
      <c r="G6" s="207" t="s">
        <v>141</v>
      </c>
      <c r="H6" s="207" t="str">
        <f>_xll.qlIborIndex(,,B6,C6,Currency,D6,E6,F6,G6,,,Trigger,ObjectOverwrite)</f>
        <v>obj_001fe#0001</v>
      </c>
      <c r="I6" s="208" t="str">
        <f t="shared" si="0"/>
        <v>SEK3WD_SYNTH3M_Quote</v>
      </c>
      <c r="J6" s="209" t="str">
        <f>_xll.qlDepositRateHelper(,I6,H6,Permanent,Trigger,ObjectOverwrite)</f>
        <v>obj_00205#0001</v>
      </c>
      <c r="K6" s="210" t="str">
        <f>_xll.ohRangeRetrieveError(J6)</f>
        <v/>
      </c>
      <c r="L6" s="28" t="s">
        <v>137</v>
      </c>
    </row>
    <row r="7" spans="1:12" ht="11.25" customHeight="1" x14ac:dyDescent="0.25">
      <c r="A7" s="30"/>
      <c r="B7" s="206" t="s">
        <v>63</v>
      </c>
      <c r="C7" s="206">
        <v>2</v>
      </c>
      <c r="D7" s="207" t="s">
        <v>139</v>
      </c>
      <c r="E7" s="207" t="s">
        <v>76</v>
      </c>
      <c r="F7" s="207" t="b">
        <v>1</v>
      </c>
      <c r="G7" s="207" t="s">
        <v>141</v>
      </c>
      <c r="H7" s="207" t="str">
        <f>_xll.qlIborIndex(,,B7,C7,Currency,D7,E7,F7,G7,,,Trigger,ObjectOverwrite)</f>
        <v>obj_00200#0001</v>
      </c>
      <c r="I7" s="208" t="str">
        <f t="shared" si="0"/>
        <v>SEK1MD_SYNTH3M_Quote</v>
      </c>
      <c r="J7" s="209" t="str">
        <f>_xll.qlDepositRateHelper(,I7,H7,Permanent,Trigger,ObjectOverwrite)</f>
        <v>obj_00207#0001</v>
      </c>
      <c r="K7" s="210" t="str">
        <f>_xll.ohRangeRetrieveError(J7)</f>
        <v/>
      </c>
      <c r="L7" s="28" t="s">
        <v>137</v>
      </c>
    </row>
    <row r="8" spans="1:12" ht="11.25" customHeight="1" x14ac:dyDescent="0.25">
      <c r="A8" s="30"/>
      <c r="B8" s="206" t="s">
        <v>62</v>
      </c>
      <c r="C8" s="206">
        <v>2</v>
      </c>
      <c r="D8" s="207" t="s">
        <v>139</v>
      </c>
      <c r="E8" s="207" t="s">
        <v>76</v>
      </c>
      <c r="F8" s="207" t="b">
        <v>1</v>
      </c>
      <c r="G8" s="207" t="s">
        <v>141</v>
      </c>
      <c r="H8" s="207" t="str">
        <f>_xll.qlIborIndex(,,B8,C8,Currency,D8,E8,F8,G8,,,Trigger,ObjectOverwrite)</f>
        <v>obj_001ff#0001</v>
      </c>
      <c r="I8" s="208" t="str">
        <f t="shared" si="0"/>
        <v>SEK2MD_SYNTH3M_Quote</v>
      </c>
      <c r="J8" s="209" t="str">
        <f>_xll.qlDepositRateHelper(,I8,H8,Permanent,Trigger,ObjectOverwrite)</f>
        <v>obj_0020a#0001</v>
      </c>
      <c r="K8" s="210" t="str">
        <f>_xll.ohRangeRetrieveError(J8)</f>
        <v/>
      </c>
      <c r="L8" s="28" t="s">
        <v>137</v>
      </c>
    </row>
    <row r="9" spans="1:12" ht="11.25" customHeight="1" x14ac:dyDescent="0.25">
      <c r="A9" s="30"/>
      <c r="B9" s="46" t="s">
        <v>61</v>
      </c>
      <c r="C9" s="46">
        <v>2</v>
      </c>
      <c r="D9" s="211" t="s">
        <v>139</v>
      </c>
      <c r="E9" s="211" t="s">
        <v>76</v>
      </c>
      <c r="F9" s="211" t="b">
        <v>1</v>
      </c>
      <c r="G9" s="211" t="s">
        <v>141</v>
      </c>
      <c r="H9" s="211" t="str">
        <f>_xll.qlIborIndex(,,B9,C9,Currency,D9,E9,F9,G9,,,Trigger,ObjectOverwrite)</f>
        <v>obj_001fd#0001</v>
      </c>
      <c r="I9" s="36" t="str">
        <f t="shared" si="0"/>
        <v>SEK3MD_SYNTH3M_Quote</v>
      </c>
      <c r="J9" s="57" t="str">
        <f>_xll.qlDepositRateHelper(,I9,H9,Permanent,Trigger,ObjectOverwrite)</f>
        <v>obj_00208#0001</v>
      </c>
      <c r="K9" s="212" t="str">
        <f>_xll.ohRangeRetrieveError(J9)</f>
        <v/>
      </c>
      <c r="L9" s="28" t="s">
        <v>137</v>
      </c>
    </row>
    <row r="10" spans="1:12" ht="11.25" customHeight="1" thickBot="1" x14ac:dyDescent="0.3">
      <c r="A10" s="37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9"/>
    </row>
  </sheetData>
  <dataValidations count="3"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  <dataValidation type="list" allowBlank="1" showInputMessage="1" showErrorMessage="1" sqref="D3:D9">
      <formula1>"NullCalendar,Australia,China,HongKong::HKEx,Sweden,CzechRepublic::PSE,Poland,Hungary"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8"/>
  <sheetViews>
    <sheetView workbookViewId="0">
      <selection activeCell="J2" sqref="J2"/>
    </sheetView>
  </sheetViews>
  <sheetFormatPr defaultRowHeight="13.5" x14ac:dyDescent="0.25"/>
  <cols>
    <col min="1" max="1" width="2.7109375" style="29" customWidth="1"/>
    <col min="2" max="2" width="3" style="29" bestFit="1" customWidth="1"/>
    <col min="3" max="3" width="8" style="29" bestFit="1" customWidth="1"/>
    <col min="4" max="4" width="6" style="29" bestFit="1" customWidth="1"/>
    <col min="5" max="5" width="8" style="29" bestFit="1" customWidth="1"/>
    <col min="6" max="6" width="10" style="29" bestFit="1" customWidth="1"/>
    <col min="7" max="7" width="10" style="29" customWidth="1"/>
    <col min="8" max="8" width="17.28515625" style="29" bestFit="1" customWidth="1"/>
    <col min="9" max="9" width="14.140625" style="29" bestFit="1" customWidth="1"/>
    <col min="10" max="10" width="26.140625" style="29" bestFit="1" customWidth="1"/>
    <col min="11" max="11" width="20.7109375" style="29" customWidth="1"/>
    <col min="12" max="12" width="2.7109375" style="29" customWidth="1"/>
    <col min="13" max="16384" width="9.140625" style="29"/>
  </cols>
  <sheetData>
    <row r="1" spans="1:14" x14ac:dyDescent="0.25">
      <c r="A1" s="25"/>
      <c r="B1" s="40"/>
      <c r="C1" s="40"/>
      <c r="D1" s="40"/>
      <c r="E1" s="40"/>
      <c r="F1" s="40"/>
      <c r="G1" s="40"/>
      <c r="H1" s="23" t="str">
        <f>IndexTenor</f>
        <v>3M</v>
      </c>
      <c r="I1" s="41" t="str">
        <f>Currency&amp;"_YC"&amp;$H$1&amp;"RH"</f>
        <v>SEK_YC3MRH</v>
      </c>
      <c r="J1" s="32" t="str">
        <f>$I$1&amp;"_Futures"&amp;$H$1&amp;".xml"</f>
        <v>SEK_YC3MRH_Futures3M.xml</v>
      </c>
      <c r="K1" s="42"/>
      <c r="L1" s="28"/>
      <c r="N1" s="43"/>
    </row>
    <row r="2" spans="1:14" ht="27" customHeight="1" x14ac:dyDescent="0.25">
      <c r="A2" s="25"/>
      <c r="B2" s="44" t="s">
        <v>75</v>
      </c>
      <c r="C2" s="44" t="s">
        <v>131</v>
      </c>
      <c r="D2" s="31" t="s">
        <v>74</v>
      </c>
      <c r="E2" s="44" t="s">
        <v>132</v>
      </c>
      <c r="F2" s="44" t="s">
        <v>133</v>
      </c>
      <c r="G2" s="44"/>
      <c r="H2" s="31" t="s">
        <v>64</v>
      </c>
      <c r="I2" s="31" t="s">
        <v>73</v>
      </c>
      <c r="J2" s="33" t="str">
        <f>IF(Serialize,_xll.ohObjectSave(J3:J17,SerializationPath&amp;J1,FileOverwrite,Serialize),"---")</f>
        <v>---</v>
      </c>
      <c r="K2" s="34" t="str">
        <f>_xll.ohRangeRetrieveError(J2)</f>
        <v/>
      </c>
      <c r="L2" s="28"/>
    </row>
    <row r="3" spans="1:14" ht="11.25" customHeight="1" x14ac:dyDescent="0.25">
      <c r="A3" s="45"/>
      <c r="B3" s="213">
        <v>1</v>
      </c>
      <c r="C3" s="213" t="s">
        <v>116</v>
      </c>
      <c r="D3" s="163" t="b">
        <v>1</v>
      </c>
      <c r="E3" s="213" t="str">
        <f t="array" ref="E3:E17">_xll.qlIMMNextCodes(_xll.qlSettingsEvaluationDate(Trigger)-1,$D3:$D17)</f>
        <v>Z5</v>
      </c>
      <c r="F3" s="214">
        <f>_xll.qlIMMdate(E3)</f>
        <v>42354</v>
      </c>
      <c r="G3" s="214" t="str">
        <f t="shared" ref="G3:G17" si="0">PROPER(Currency)&amp;FamilyName&amp;$H$1</f>
        <v>Sekibor3M</v>
      </c>
      <c r="H3" s="215" t="str">
        <f t="shared" ref="H3:H17" si="1">"FUT"&amp;Currency&amp;"3F"&amp;B3&amp;QuoteSuffix</f>
        <v>FUTSEK3F1_Quote</v>
      </c>
      <c r="I3" s="225">
        <v>0</v>
      </c>
      <c r="J3" s="216" t="str">
        <f>_xll.qlFuturesRateHelper(,$H3,$C3,$F3,G3,$I3,Permanent,Trigger,ObjectOverwrite)</f>
        <v>obj_00211#0001</v>
      </c>
      <c r="K3" s="217" t="str">
        <f>_xll.ohRangeRetrieveError(J3)</f>
        <v/>
      </c>
      <c r="L3" s="28"/>
    </row>
    <row r="4" spans="1:14" ht="11.25" customHeight="1" x14ac:dyDescent="0.25">
      <c r="A4" s="45"/>
      <c r="B4" s="218">
        <v>2</v>
      </c>
      <c r="C4" s="218" t="s">
        <v>116</v>
      </c>
      <c r="D4" s="206" t="b">
        <v>1</v>
      </c>
      <c r="E4" s="218" t="str">
        <v>H6</v>
      </c>
      <c r="F4" s="219">
        <f>_xll.qlIMMdate(E4)</f>
        <v>42445</v>
      </c>
      <c r="G4" s="219" t="str">
        <f t="shared" si="0"/>
        <v>Sekibor3M</v>
      </c>
      <c r="H4" s="220" t="str">
        <f t="shared" si="1"/>
        <v>FUTSEK3F2_Quote</v>
      </c>
      <c r="I4" s="226">
        <v>0</v>
      </c>
      <c r="J4" s="221" t="str">
        <f>_xll.qlFuturesRateHelper(,$H4,$C4,$F4,G4,$I4,Permanent,Trigger,ObjectOverwrite)</f>
        <v>obj_00216#0001</v>
      </c>
      <c r="K4" s="222" t="str">
        <f>_xll.ohRangeRetrieveError(J4)</f>
        <v/>
      </c>
      <c r="L4" s="28"/>
    </row>
    <row r="5" spans="1:14" ht="11.25" customHeight="1" x14ac:dyDescent="0.25">
      <c r="A5" s="45"/>
      <c r="B5" s="218">
        <v>3</v>
      </c>
      <c r="C5" s="218" t="s">
        <v>116</v>
      </c>
      <c r="D5" s="206" t="b">
        <v>1</v>
      </c>
      <c r="E5" s="218" t="str">
        <v>M6</v>
      </c>
      <c r="F5" s="219">
        <f>_xll.qlIMMdate(E5)</f>
        <v>42536</v>
      </c>
      <c r="G5" s="219" t="str">
        <f t="shared" si="0"/>
        <v>Sekibor3M</v>
      </c>
      <c r="H5" s="220" t="str">
        <f t="shared" si="1"/>
        <v>FUTSEK3F3_Quote</v>
      </c>
      <c r="I5" s="226">
        <v>0</v>
      </c>
      <c r="J5" s="221" t="str">
        <f>_xll.qlFuturesRateHelper(,$H5,$C5,$F5,G5,$I5,Permanent,Trigger,ObjectOverwrite)</f>
        <v>obj_00210#0001</v>
      </c>
      <c r="K5" s="222" t="str">
        <f>_xll.ohRangeRetrieveError(J5)</f>
        <v/>
      </c>
      <c r="L5" s="28"/>
    </row>
    <row r="6" spans="1:14" ht="11.25" customHeight="1" x14ac:dyDescent="0.25">
      <c r="A6" s="45"/>
      <c r="B6" s="218">
        <v>4</v>
      </c>
      <c r="C6" s="218" t="s">
        <v>116</v>
      </c>
      <c r="D6" s="206" t="b">
        <v>1</v>
      </c>
      <c r="E6" s="218" t="str">
        <v>U6</v>
      </c>
      <c r="F6" s="219">
        <f>_xll.qlIMMdate(E6)</f>
        <v>42634</v>
      </c>
      <c r="G6" s="219" t="str">
        <f t="shared" si="0"/>
        <v>Sekibor3M</v>
      </c>
      <c r="H6" s="220" t="str">
        <f t="shared" si="1"/>
        <v>FUTSEK3F4_Quote</v>
      </c>
      <c r="I6" s="226">
        <v>0</v>
      </c>
      <c r="J6" s="221" t="str">
        <f>_xll.qlFuturesRateHelper(,$H6,$C6,$F6,G6,$I6,Permanent,Trigger,ObjectOverwrite)</f>
        <v>obj_00218#0001</v>
      </c>
      <c r="K6" s="222" t="str">
        <f>_xll.ohRangeRetrieveError(J6)</f>
        <v/>
      </c>
      <c r="L6" s="28"/>
    </row>
    <row r="7" spans="1:14" ht="11.25" customHeight="1" x14ac:dyDescent="0.25">
      <c r="A7" s="45"/>
      <c r="B7" s="218">
        <v>5</v>
      </c>
      <c r="C7" s="218" t="s">
        <v>116</v>
      </c>
      <c r="D7" s="206" t="b">
        <v>1</v>
      </c>
      <c r="E7" s="218" t="str">
        <v>Z6</v>
      </c>
      <c r="F7" s="219">
        <f>_xll.qlIMMdate(E7)</f>
        <v>42725</v>
      </c>
      <c r="G7" s="219" t="str">
        <f t="shared" si="0"/>
        <v>Sekibor3M</v>
      </c>
      <c r="H7" s="220" t="str">
        <f t="shared" si="1"/>
        <v>FUTSEK3F5_Quote</v>
      </c>
      <c r="I7" s="226">
        <v>0</v>
      </c>
      <c r="J7" s="221" t="str">
        <f>_xll.qlFuturesRateHelper(,$H7,$C7,$F7,G7,$I7,Permanent,Trigger,ObjectOverwrite)</f>
        <v>obj_00214#0001</v>
      </c>
      <c r="K7" s="222" t="str">
        <f>_xll.ohRangeRetrieveError(J7)</f>
        <v/>
      </c>
      <c r="L7" s="28"/>
    </row>
    <row r="8" spans="1:14" ht="11.25" customHeight="1" x14ac:dyDescent="0.25">
      <c r="A8" s="45"/>
      <c r="B8" s="218">
        <v>6</v>
      </c>
      <c r="C8" s="218" t="s">
        <v>116</v>
      </c>
      <c r="D8" s="206" t="b">
        <v>1</v>
      </c>
      <c r="E8" s="218" t="str">
        <v>H7</v>
      </c>
      <c r="F8" s="219">
        <f>_xll.qlIMMdate(E8)</f>
        <v>42809</v>
      </c>
      <c r="G8" s="219" t="str">
        <f t="shared" si="0"/>
        <v>Sekibor3M</v>
      </c>
      <c r="H8" s="220" t="str">
        <f t="shared" si="1"/>
        <v>FUTSEK3F6_Quote</v>
      </c>
      <c r="I8" s="226">
        <v>0</v>
      </c>
      <c r="J8" s="221" t="str">
        <f>_xll.qlFuturesRateHelper(,$H8,$C8,$F8,G8,$I8,Permanent,Trigger,ObjectOverwrite)</f>
        <v>obj_0020d#0001</v>
      </c>
      <c r="K8" s="222" t="str">
        <f>_xll.ohRangeRetrieveError(J8)</f>
        <v/>
      </c>
      <c r="L8" s="28"/>
    </row>
    <row r="9" spans="1:14" ht="11.25" customHeight="1" x14ac:dyDescent="0.25">
      <c r="A9" s="45"/>
      <c r="B9" s="218">
        <v>7</v>
      </c>
      <c r="C9" s="218" t="s">
        <v>116</v>
      </c>
      <c r="D9" s="206" t="b">
        <v>1</v>
      </c>
      <c r="E9" s="218" t="str">
        <v>M7</v>
      </c>
      <c r="F9" s="219">
        <f>_xll.qlIMMdate(E9)</f>
        <v>42907</v>
      </c>
      <c r="G9" s="219" t="str">
        <f t="shared" si="0"/>
        <v>Sekibor3M</v>
      </c>
      <c r="H9" s="220" t="str">
        <f t="shared" si="1"/>
        <v>FUTSEK3F7_Quote</v>
      </c>
      <c r="I9" s="226">
        <v>0</v>
      </c>
      <c r="J9" s="221" t="str">
        <f>_xll.qlFuturesRateHelper(,$H9,$C9,$F9,G9,$I9,Permanent,Trigger,ObjectOverwrite)</f>
        <v>obj_00219#0001</v>
      </c>
      <c r="K9" s="222" t="str">
        <f>_xll.ohRangeRetrieveError(J9)</f>
        <v/>
      </c>
      <c r="L9" s="28"/>
    </row>
    <row r="10" spans="1:14" ht="11.25" customHeight="1" x14ac:dyDescent="0.25">
      <c r="A10" s="45"/>
      <c r="B10" s="218">
        <v>8</v>
      </c>
      <c r="C10" s="218" t="s">
        <v>116</v>
      </c>
      <c r="D10" s="206" t="b">
        <v>1</v>
      </c>
      <c r="E10" s="218" t="str">
        <v>U7</v>
      </c>
      <c r="F10" s="219">
        <f>_xll.qlIMMdate(E10)</f>
        <v>42998</v>
      </c>
      <c r="G10" s="219" t="str">
        <f t="shared" si="0"/>
        <v>Sekibor3M</v>
      </c>
      <c r="H10" s="220" t="str">
        <f t="shared" si="1"/>
        <v>FUTSEK3F8_Quote</v>
      </c>
      <c r="I10" s="226">
        <v>0</v>
      </c>
      <c r="J10" s="221" t="str">
        <f>_xll.qlFuturesRateHelper(,$H10,$C10,$F10,G10,$I10,Permanent,Trigger,ObjectOverwrite)</f>
        <v>obj_00215#0001</v>
      </c>
      <c r="K10" s="222" t="str">
        <f>_xll.ohRangeRetrieveError(J10)</f>
        <v/>
      </c>
      <c r="L10" s="28"/>
      <c r="M10" s="48"/>
    </row>
    <row r="11" spans="1:14" ht="11.25" customHeight="1" x14ac:dyDescent="0.25">
      <c r="A11" s="45"/>
      <c r="B11" s="218">
        <v>9</v>
      </c>
      <c r="C11" s="218" t="s">
        <v>116</v>
      </c>
      <c r="D11" s="206" t="b">
        <v>1</v>
      </c>
      <c r="E11" s="218" t="str">
        <v>Z7</v>
      </c>
      <c r="F11" s="219">
        <f>_xll.qlIMMdate(E11)</f>
        <v>43089</v>
      </c>
      <c r="G11" s="219" t="str">
        <f t="shared" si="0"/>
        <v>Sekibor3M</v>
      </c>
      <c r="H11" s="220" t="str">
        <f t="shared" si="1"/>
        <v>FUTSEK3F9_Quote</v>
      </c>
      <c r="I11" s="226">
        <v>0</v>
      </c>
      <c r="J11" s="221" t="str">
        <f>_xll.qlFuturesRateHelper(,$H11,$C11,$F11,G11,$I11,Permanent,Trigger,ObjectOverwrite)</f>
        <v>obj_0020e#0001</v>
      </c>
      <c r="K11" s="222" t="str">
        <f>_xll.ohRangeRetrieveError(J11)</f>
        <v/>
      </c>
      <c r="L11" s="28"/>
      <c r="M11" s="48"/>
    </row>
    <row r="12" spans="1:14" ht="11.25" customHeight="1" x14ac:dyDescent="0.25">
      <c r="A12" s="45"/>
      <c r="B12" s="218">
        <v>10</v>
      </c>
      <c r="C12" s="218" t="s">
        <v>116</v>
      </c>
      <c r="D12" s="206" t="b">
        <v>1</v>
      </c>
      <c r="E12" s="218" t="str">
        <v>H8</v>
      </c>
      <c r="F12" s="219">
        <f>_xll.qlIMMdate(E12)</f>
        <v>43180</v>
      </c>
      <c r="G12" s="219" t="str">
        <f t="shared" si="0"/>
        <v>Sekibor3M</v>
      </c>
      <c r="H12" s="220" t="str">
        <f t="shared" si="1"/>
        <v>FUTSEK3F10_Quote</v>
      </c>
      <c r="I12" s="226">
        <v>0</v>
      </c>
      <c r="J12" s="221" t="str">
        <f>_xll.qlFuturesRateHelper(,$H12,$C12,$F12,G12,$I12,Permanent,Trigger,ObjectOverwrite)</f>
        <v>obj_00217#0001</v>
      </c>
      <c r="K12" s="222" t="str">
        <f>_xll.ohRangeRetrieveError(J12)</f>
        <v/>
      </c>
      <c r="L12" s="28"/>
      <c r="M12" s="48"/>
    </row>
    <row r="13" spans="1:14" ht="11.25" customHeight="1" x14ac:dyDescent="0.25">
      <c r="A13" s="45"/>
      <c r="B13" s="218">
        <v>11</v>
      </c>
      <c r="C13" s="218" t="s">
        <v>116</v>
      </c>
      <c r="D13" s="206" t="b">
        <v>1</v>
      </c>
      <c r="E13" s="218" t="str">
        <v>M8</v>
      </c>
      <c r="F13" s="219">
        <f>_xll.qlIMMdate(E13)</f>
        <v>43271</v>
      </c>
      <c r="G13" s="219" t="str">
        <f t="shared" si="0"/>
        <v>Sekibor3M</v>
      </c>
      <c r="H13" s="220" t="str">
        <f t="shared" si="1"/>
        <v>FUTSEK3F11_Quote</v>
      </c>
      <c r="I13" s="226">
        <v>0</v>
      </c>
      <c r="J13" s="221" t="str">
        <f>_xll.qlFuturesRateHelper(,$H13,$C13,$F13,G13,$I13,Permanent,Trigger,ObjectOverwrite)</f>
        <v>obj_00212#0001</v>
      </c>
      <c r="K13" s="222" t="str">
        <f>_xll.ohRangeRetrieveError(J13)</f>
        <v/>
      </c>
      <c r="L13" s="28"/>
      <c r="M13" s="48"/>
    </row>
    <row r="14" spans="1:14" ht="11.25" customHeight="1" x14ac:dyDescent="0.25">
      <c r="A14" s="45"/>
      <c r="B14" s="218">
        <v>12</v>
      </c>
      <c r="C14" s="218" t="s">
        <v>116</v>
      </c>
      <c r="D14" s="206" t="b">
        <v>1</v>
      </c>
      <c r="E14" s="218" t="str">
        <v>U8</v>
      </c>
      <c r="F14" s="219">
        <f>_xll.qlIMMdate(E14)</f>
        <v>43362</v>
      </c>
      <c r="G14" s="219" t="str">
        <f t="shared" si="0"/>
        <v>Sekibor3M</v>
      </c>
      <c r="H14" s="220" t="str">
        <f t="shared" si="1"/>
        <v>FUTSEK3F12_Quote</v>
      </c>
      <c r="I14" s="226">
        <v>0</v>
      </c>
      <c r="J14" s="221" t="str">
        <f>_xll.qlFuturesRateHelper(,$H14,$C14,$F14,G14,$I14,Permanent,Trigger,ObjectOverwrite)</f>
        <v>obj_0020c#0001</v>
      </c>
      <c r="K14" s="222" t="str">
        <f>_xll.ohRangeRetrieveError(J14)</f>
        <v/>
      </c>
      <c r="L14" s="28"/>
      <c r="M14" s="48"/>
    </row>
    <row r="15" spans="1:14" ht="11.25" customHeight="1" x14ac:dyDescent="0.25">
      <c r="A15" s="45"/>
      <c r="B15" s="218">
        <v>13</v>
      </c>
      <c r="C15" s="218" t="s">
        <v>116</v>
      </c>
      <c r="D15" s="206" t="b">
        <v>1</v>
      </c>
      <c r="E15" s="218" t="str">
        <v>Z8</v>
      </c>
      <c r="F15" s="219">
        <f>_xll.qlIMMdate(E15)</f>
        <v>43453</v>
      </c>
      <c r="G15" s="219" t="str">
        <f t="shared" si="0"/>
        <v>Sekibor3M</v>
      </c>
      <c r="H15" s="220" t="str">
        <f t="shared" si="1"/>
        <v>FUTSEK3F13_Quote</v>
      </c>
      <c r="I15" s="226">
        <v>0</v>
      </c>
      <c r="J15" s="221" t="str">
        <f>_xll.qlFuturesRateHelper(,$H15,$C15,$F15,G15,$I15,Permanent,Trigger,ObjectOverwrite)</f>
        <v>obj_00213#0001</v>
      </c>
      <c r="K15" s="222" t="str">
        <f>_xll.ohRangeRetrieveError(J15)</f>
        <v/>
      </c>
      <c r="L15" s="28"/>
      <c r="M15" s="48"/>
    </row>
    <row r="16" spans="1:14" ht="11.25" customHeight="1" x14ac:dyDescent="0.25">
      <c r="A16" s="45"/>
      <c r="B16" s="218">
        <v>14</v>
      </c>
      <c r="C16" s="218" t="s">
        <v>116</v>
      </c>
      <c r="D16" s="206" t="b">
        <v>1</v>
      </c>
      <c r="E16" s="218" t="str">
        <v>H9</v>
      </c>
      <c r="F16" s="219">
        <f>_xll.qlIMMdate(E16)</f>
        <v>43544</v>
      </c>
      <c r="G16" s="219" t="str">
        <f t="shared" si="0"/>
        <v>Sekibor3M</v>
      </c>
      <c r="H16" s="220" t="str">
        <f t="shared" si="1"/>
        <v>FUTSEK3F14_Quote</v>
      </c>
      <c r="I16" s="226">
        <v>0</v>
      </c>
      <c r="J16" s="221" t="str">
        <f>_xll.qlFuturesRateHelper(,$H16,$C16,$F16,G16,$I16,Permanent,Trigger,ObjectOverwrite)</f>
        <v>obj_0020b#0001</v>
      </c>
      <c r="K16" s="222" t="str">
        <f>_xll.ohRangeRetrieveError(J16)</f>
        <v/>
      </c>
      <c r="L16" s="28"/>
      <c r="M16" s="48"/>
    </row>
    <row r="17" spans="1:13" ht="11.25" customHeight="1" x14ac:dyDescent="0.25">
      <c r="A17" s="45"/>
      <c r="B17" s="148">
        <v>15</v>
      </c>
      <c r="C17" s="148" t="s">
        <v>116</v>
      </c>
      <c r="D17" s="46" t="b">
        <v>1</v>
      </c>
      <c r="E17" s="148" t="str">
        <v>M9</v>
      </c>
      <c r="F17" s="155">
        <f>_xll.qlIMMdate(E17)</f>
        <v>43635</v>
      </c>
      <c r="G17" s="155" t="str">
        <f t="shared" si="0"/>
        <v>Sekibor3M</v>
      </c>
      <c r="H17" s="47" t="str">
        <f t="shared" si="1"/>
        <v>FUTSEK3F15_Quote</v>
      </c>
      <c r="I17" s="227">
        <v>0</v>
      </c>
      <c r="J17" s="223" t="str">
        <f>_xll.qlFuturesRateHelper(,$H17,$C17,$F17,G17,$I17,Permanent,Trigger,ObjectOverwrite)</f>
        <v>obj_0020f#0001</v>
      </c>
      <c r="K17" s="224" t="str">
        <f>_xll.ohRangeRetrieveError(J17)</f>
        <v/>
      </c>
      <c r="L17" s="28"/>
      <c r="M17" s="48"/>
    </row>
    <row r="18" spans="1:13" ht="11.25" customHeight="1" thickBot="1" x14ac:dyDescent="0.3">
      <c r="A18" s="49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39"/>
    </row>
  </sheetData>
  <dataValidations count="1">
    <dataValidation type="list" allowBlank="1" showInputMessage="1" showErrorMessage="1" sqref="C3:C17">
      <formula1>"IMM,ASX"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G155"/>
  <sheetViews>
    <sheetView workbookViewId="0">
      <selection activeCell="L2" sqref="L2"/>
    </sheetView>
  </sheetViews>
  <sheetFormatPr defaultRowHeight="11.25" x14ac:dyDescent="0.2"/>
  <cols>
    <col min="1" max="1" width="2.7109375" style="1" customWidth="1"/>
    <col min="2" max="2" width="5.7109375" style="1" customWidth="1"/>
    <col min="3" max="3" width="5.7109375" style="61" customWidth="1"/>
    <col min="4" max="4" width="3.85546875" style="1" bestFit="1" customWidth="1"/>
    <col min="5" max="6" width="5" style="1" bestFit="1" customWidth="1"/>
    <col min="7" max="7" width="11" style="1" bestFit="1" customWidth="1"/>
    <col min="8" max="9" width="19.28515625" style="1" bestFit="1" customWidth="1"/>
    <col min="10" max="10" width="8" style="1" bestFit="1" customWidth="1"/>
    <col min="11" max="11" width="18.28515625" style="1" bestFit="1" customWidth="1"/>
    <col min="12" max="12" width="22" style="17" bestFit="1" customWidth="1"/>
    <col min="13" max="13" width="20.7109375" style="1" customWidth="1"/>
    <col min="14" max="14" width="2.7109375" style="1" customWidth="1"/>
    <col min="15" max="15" width="2.5703125" style="1" customWidth="1"/>
    <col min="16" max="16" width="4" style="1" customWidth="1"/>
    <col min="17" max="17" width="3.140625" style="1" customWidth="1"/>
    <col min="18" max="18" width="2.7109375" style="1" customWidth="1"/>
    <col min="19" max="19" width="17.28515625" style="1" bestFit="1" customWidth="1"/>
    <col min="20" max="20" width="7" style="1" bestFit="1" customWidth="1"/>
    <col min="21" max="21" width="8" style="1" bestFit="1" customWidth="1"/>
    <col min="22" max="22" width="19.28515625" style="1" bestFit="1" customWidth="1"/>
    <col min="23" max="23" width="17.28515625" style="1" bestFit="1" customWidth="1"/>
    <col min="24" max="24" width="13.140625" style="1" bestFit="1" customWidth="1"/>
    <col min="25" max="25" width="18.28515625" style="1" bestFit="1" customWidth="1"/>
    <col min="26" max="26" width="12" style="1" bestFit="1" customWidth="1"/>
    <col min="27" max="27" width="17.28515625" style="1" bestFit="1" customWidth="1"/>
    <col min="28" max="28" width="12" style="1" bestFit="1" customWidth="1"/>
    <col min="29" max="30" width="15.140625" style="1" bestFit="1" customWidth="1"/>
    <col min="31" max="31" width="6" style="1" bestFit="1" customWidth="1"/>
    <col min="32" max="32" width="8" style="1" bestFit="1" customWidth="1"/>
    <col min="33" max="33" width="13.140625" style="1" bestFit="1" customWidth="1"/>
    <col min="34" max="34" width="11" style="1" bestFit="1" customWidth="1"/>
    <col min="35" max="35" width="8" style="1" bestFit="1" customWidth="1"/>
    <col min="36" max="36" width="5" style="1" bestFit="1" customWidth="1"/>
    <col min="37" max="37" width="20.28515625" style="1" bestFit="1" customWidth="1"/>
    <col min="38" max="38" width="19.28515625" style="1" bestFit="1" customWidth="1"/>
    <col min="39" max="40" width="5" style="1" bestFit="1" customWidth="1"/>
    <col min="41" max="16384" width="9.140625" style="1"/>
  </cols>
  <sheetData>
    <row r="1" spans="1:59" ht="12" x14ac:dyDescent="0.2">
      <c r="A1" s="30"/>
      <c r="B1" s="26"/>
      <c r="C1" s="26"/>
      <c r="D1" s="26"/>
      <c r="E1" s="26"/>
      <c r="F1" s="26"/>
      <c r="G1" s="26"/>
      <c r="H1" s="26"/>
      <c r="J1" s="23" t="str">
        <f>IndexTenor</f>
        <v>3M</v>
      </c>
      <c r="K1" s="23" t="str">
        <f>Currency&amp;"_YC"&amp;$J$1&amp;"RH"</f>
        <v>SEK_YC3MRH</v>
      </c>
      <c r="L1" s="52" t="str">
        <f>K1&amp;"_Swaps.xml"</f>
        <v>SEK_YC3MRH_Swaps.xml</v>
      </c>
      <c r="M1" s="26"/>
      <c r="N1" s="51"/>
    </row>
    <row r="2" spans="1:59" ht="36" customHeight="1" x14ac:dyDescent="0.2">
      <c r="A2" s="30"/>
      <c r="B2" s="31" t="s">
        <v>134</v>
      </c>
      <c r="C2" s="31" t="s">
        <v>135</v>
      </c>
      <c r="D2" s="31"/>
      <c r="E2" s="31"/>
      <c r="F2" s="31"/>
      <c r="G2" s="31" t="s">
        <v>80</v>
      </c>
      <c r="H2" s="31" t="s">
        <v>79</v>
      </c>
      <c r="I2" s="31" t="s">
        <v>78</v>
      </c>
      <c r="J2" s="31" t="s">
        <v>77</v>
      </c>
      <c r="K2" s="31" t="s">
        <v>64</v>
      </c>
      <c r="L2" s="53" t="str">
        <f>IF(Serialize,_xll.ohObjectSave(L3:L27,SerializationPath&amp;L1,FileOverwrite,Serialize),"---")</f>
        <v>---</v>
      </c>
      <c r="M2" s="54" t="str">
        <f>_xll.ohRangeRetrieveError(L2)</f>
        <v/>
      </c>
      <c r="N2" s="51"/>
    </row>
    <row r="3" spans="1:59" x14ac:dyDescent="0.2">
      <c r="A3" s="25"/>
      <c r="B3" s="26"/>
      <c r="C3" s="26"/>
      <c r="D3" s="26"/>
      <c r="E3" s="26"/>
      <c r="F3" s="26"/>
      <c r="G3" s="26"/>
      <c r="H3" s="26"/>
      <c r="I3" s="26"/>
      <c r="J3" s="26"/>
      <c r="K3" s="26"/>
      <c r="L3" s="55" t="str">
        <f>_xll.qlIborIndex(,FamilyName,IndexTenor,NDays,Currency,Calendar,"Modified Following",TRUE,"actual/360",,,Trigger,ObjectOverwrite)</f>
        <v>obj_001fc#0001</v>
      </c>
      <c r="M3" s="56" t="str">
        <f>_xll.ohRangeRetrieveError(L3)</f>
        <v/>
      </c>
      <c r="N3" s="51"/>
    </row>
    <row r="4" spans="1:59" x14ac:dyDescent="0.2">
      <c r="A4" s="25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51"/>
      <c r="P4" s="61"/>
      <c r="Q4" s="61"/>
      <c r="R4" s="61"/>
    </row>
    <row r="5" spans="1:59" x14ac:dyDescent="0.2">
      <c r="A5" s="30"/>
      <c r="B5" s="237">
        <v>2</v>
      </c>
      <c r="C5" s="237" t="s">
        <v>136</v>
      </c>
      <c r="D5" s="238" t="s">
        <v>21</v>
      </c>
      <c r="E5" s="237" t="s">
        <v>142</v>
      </c>
      <c r="F5" s="237" t="s">
        <v>143</v>
      </c>
      <c r="G5" s="237" t="s">
        <v>144</v>
      </c>
      <c r="H5" s="163" t="s">
        <v>76</v>
      </c>
      <c r="I5" s="239" t="s">
        <v>83</v>
      </c>
      <c r="J5" s="239">
        <v>0</v>
      </c>
      <c r="K5" s="204" t="str">
        <f t="shared" ref="K5:K26" si="0">Currency&amp;$E5&amp;$F5&amp;$D5&amp;"_Quote"</f>
        <v>SEKAB3S1Y_Quote</v>
      </c>
      <c r="L5" s="240" t="str">
        <f>_xll.qlSwapRateHelper2(,$K5,B5,$D5,Calendar,$G5,$H5,$I5,$L$3,$J5,C5,Discounting,,,Permanent,,ObjectOverwrite)</f>
        <v>obj_0025e#0001</v>
      </c>
      <c r="M5" s="228" t="str">
        <f>_xll.ohRangeRetrieveError(L5)</f>
        <v/>
      </c>
      <c r="N5" s="51"/>
      <c r="P5" s="61"/>
      <c r="Q5" s="61"/>
      <c r="R5" s="61"/>
    </row>
    <row r="6" spans="1:59" x14ac:dyDescent="0.2">
      <c r="A6" s="30"/>
      <c r="B6" s="230">
        <v>2</v>
      </c>
      <c r="C6" s="230" t="s">
        <v>136</v>
      </c>
      <c r="D6" s="231" t="s">
        <v>20</v>
      </c>
      <c r="E6" s="230" t="s">
        <v>142</v>
      </c>
      <c r="F6" s="230" t="s">
        <v>143</v>
      </c>
      <c r="G6" s="230" t="s">
        <v>144</v>
      </c>
      <c r="H6" s="206" t="s">
        <v>76</v>
      </c>
      <c r="I6" s="232" t="s">
        <v>83</v>
      </c>
      <c r="J6" s="232">
        <v>0</v>
      </c>
      <c r="K6" s="209" t="str">
        <f t="shared" si="0"/>
        <v>SEKAB3S15M_Quote</v>
      </c>
      <c r="L6" s="233" t="str">
        <f>_xll.qlSwapRateHelper2(,$K6,B6,$D6,Calendar,$G6,$H6,$I6,$L$3,$J6,C6,Discounting,,,Permanent,,ObjectOverwrite)</f>
        <v>obj_0026a#0001</v>
      </c>
      <c r="M6" s="229" t="str">
        <f>_xll.ohRangeRetrieveError(L6)</f>
        <v/>
      </c>
      <c r="N6" s="51"/>
      <c r="P6" s="61"/>
      <c r="Q6" s="61"/>
      <c r="R6" s="61"/>
    </row>
    <row r="7" spans="1:59" x14ac:dyDescent="0.2">
      <c r="A7" s="30"/>
      <c r="B7" s="230">
        <v>2</v>
      </c>
      <c r="C7" s="230" t="s">
        <v>136</v>
      </c>
      <c r="D7" s="231" t="s">
        <v>19</v>
      </c>
      <c r="E7" s="230" t="s">
        <v>142</v>
      </c>
      <c r="F7" s="230" t="s">
        <v>143</v>
      </c>
      <c r="G7" s="230" t="s">
        <v>144</v>
      </c>
      <c r="H7" s="206" t="s">
        <v>76</v>
      </c>
      <c r="I7" s="232" t="s">
        <v>83</v>
      </c>
      <c r="J7" s="232">
        <v>0</v>
      </c>
      <c r="K7" s="209" t="str">
        <f t="shared" si="0"/>
        <v>SEKAB3S18M_Quote</v>
      </c>
      <c r="L7" s="233" t="str">
        <f>_xll.qlSwapRateHelper2(,$K7,B7,$D7,Calendar,$G7,$H7,$I7,$L$3,$J7,C7,Discounting,,,Permanent,,ObjectOverwrite)</f>
        <v>obj_00269#0001</v>
      </c>
      <c r="M7" s="229" t="str">
        <f>_xll.ohRangeRetrieveError(L7)</f>
        <v/>
      </c>
      <c r="N7" s="51"/>
      <c r="P7" s="61"/>
      <c r="Q7" s="61"/>
      <c r="R7" s="61"/>
    </row>
    <row r="8" spans="1:59" x14ac:dyDescent="0.2">
      <c r="A8" s="30"/>
      <c r="B8" s="230">
        <v>2</v>
      </c>
      <c r="C8" s="230" t="s">
        <v>136</v>
      </c>
      <c r="D8" s="231" t="s">
        <v>18</v>
      </c>
      <c r="E8" s="230" t="s">
        <v>142</v>
      </c>
      <c r="F8" s="230" t="s">
        <v>143</v>
      </c>
      <c r="G8" s="230" t="s">
        <v>144</v>
      </c>
      <c r="H8" s="206" t="s">
        <v>76</v>
      </c>
      <c r="I8" s="232" t="s">
        <v>83</v>
      </c>
      <c r="J8" s="232">
        <v>0</v>
      </c>
      <c r="K8" s="209" t="str">
        <f t="shared" si="0"/>
        <v>SEKAB3S21M_Quote</v>
      </c>
      <c r="L8" s="233" t="str">
        <f>_xll.qlSwapRateHelper2(,$K8,B8,$D8,Calendar,$G8,$H8,$I8,$L$3,$J8,C8,Discounting,,,Permanent,,ObjectOverwrite)</f>
        <v>obj_0026f#0001</v>
      </c>
      <c r="M8" s="229" t="str">
        <f>_xll.ohRangeRetrieveError(L8)</f>
        <v/>
      </c>
      <c r="N8" s="51"/>
      <c r="P8" s="61"/>
      <c r="Q8" s="61"/>
      <c r="R8" s="61"/>
      <c r="S8" s="255"/>
      <c r="T8" s="255"/>
      <c r="U8" s="255"/>
      <c r="V8" s="255"/>
      <c r="W8" s="255"/>
      <c r="X8" s="255"/>
      <c r="Y8" s="255"/>
      <c r="Z8" s="255"/>
      <c r="AA8" s="255"/>
      <c r="AB8" s="255"/>
      <c r="AC8" s="255"/>
      <c r="AD8" s="255"/>
      <c r="AE8" s="255"/>
      <c r="AF8" s="255"/>
      <c r="AG8" s="255"/>
      <c r="AH8" s="255"/>
      <c r="AI8" s="255"/>
      <c r="AJ8" s="255"/>
      <c r="AK8" s="255"/>
      <c r="AL8" s="255"/>
      <c r="AM8" s="255"/>
      <c r="AN8" s="255"/>
    </row>
    <row r="9" spans="1:59" x14ac:dyDescent="0.2">
      <c r="A9" s="30"/>
      <c r="B9" s="230">
        <v>2</v>
      </c>
      <c r="C9" s="230" t="s">
        <v>136</v>
      </c>
      <c r="D9" s="231" t="s">
        <v>17</v>
      </c>
      <c r="E9" s="230" t="s">
        <v>142</v>
      </c>
      <c r="F9" s="230" t="s">
        <v>143</v>
      </c>
      <c r="G9" s="230" t="s">
        <v>144</v>
      </c>
      <c r="H9" s="206" t="s">
        <v>76</v>
      </c>
      <c r="I9" s="232" t="s">
        <v>83</v>
      </c>
      <c r="J9" s="232">
        <v>0</v>
      </c>
      <c r="K9" s="209" t="str">
        <f t="shared" si="0"/>
        <v>SEKAB3S2Y_Quote</v>
      </c>
      <c r="L9" s="233" t="str">
        <f>_xll.qlSwapRateHelper2(,$K9,B9,$D9,Calendar,$G9,$H9,$I9,$L$3,$J9,C9,Discounting,,,Permanent,,ObjectOverwrite)</f>
        <v>obj_00268#0001</v>
      </c>
      <c r="M9" s="229" t="str">
        <f>_xll.ohRangeRetrieveError(L9)</f>
        <v/>
      </c>
      <c r="N9" s="51"/>
      <c r="P9" s="61"/>
      <c r="Q9" s="61"/>
      <c r="R9" s="61"/>
      <c r="S9" s="256"/>
      <c r="T9" s="257"/>
      <c r="U9" s="257"/>
      <c r="V9" s="256"/>
      <c r="W9" s="256"/>
      <c r="X9" s="258"/>
      <c r="Y9" s="259"/>
      <c r="Z9" s="258"/>
      <c r="AA9" s="256"/>
      <c r="AB9" s="258"/>
      <c r="AC9" s="260"/>
      <c r="AD9" s="261"/>
      <c r="AE9" s="261"/>
      <c r="AF9" s="262"/>
      <c r="AG9" s="261"/>
      <c r="AH9" s="261"/>
      <c r="AI9" s="261"/>
      <c r="AJ9" s="261"/>
      <c r="AK9" s="261"/>
      <c r="AL9" s="259"/>
      <c r="AM9" s="259"/>
      <c r="AN9" s="259"/>
      <c r="AO9" s="252"/>
      <c r="AP9" s="252"/>
      <c r="AQ9" s="252"/>
      <c r="AR9" s="252"/>
      <c r="AS9" s="252"/>
      <c r="AT9" s="252"/>
      <c r="AU9" s="252"/>
      <c r="AV9" s="252"/>
      <c r="AW9" s="252"/>
      <c r="AX9" s="252"/>
      <c r="AY9" s="252"/>
      <c r="AZ9" s="252"/>
      <c r="BA9" s="252"/>
      <c r="BB9" s="252"/>
      <c r="BC9" s="252"/>
      <c r="BD9" s="252"/>
      <c r="BE9" s="252"/>
      <c r="BF9" s="252"/>
      <c r="BG9" s="252"/>
    </row>
    <row r="10" spans="1:59" x14ac:dyDescent="0.2">
      <c r="A10" s="30"/>
      <c r="B10" s="230">
        <v>2</v>
      </c>
      <c r="C10" s="230" t="s">
        <v>136</v>
      </c>
      <c r="D10" s="231" t="s">
        <v>16</v>
      </c>
      <c r="E10" s="230" t="s">
        <v>142</v>
      </c>
      <c r="F10" s="230" t="s">
        <v>143</v>
      </c>
      <c r="G10" s="230" t="s">
        <v>144</v>
      </c>
      <c r="H10" s="206" t="s">
        <v>76</v>
      </c>
      <c r="I10" s="232" t="s">
        <v>83</v>
      </c>
      <c r="J10" s="232">
        <v>0</v>
      </c>
      <c r="K10" s="209" t="str">
        <f t="shared" si="0"/>
        <v>SEKAB3S3Y_Quote</v>
      </c>
      <c r="L10" s="233" t="str">
        <f>_xll.qlSwapRateHelper2(,$K10,B10,$D10,Calendar,$G10,$H10,$I10,$L$3,$J10,C10,Discounting,,,Permanent,,ObjectOverwrite)</f>
        <v>obj_00261#0001</v>
      </c>
      <c r="M10" s="229" t="str">
        <f>_xll.ohRangeRetrieveError(L10)</f>
        <v/>
      </c>
      <c r="N10" s="51"/>
      <c r="R10" s="61"/>
      <c r="S10" s="256"/>
      <c r="T10" s="257"/>
      <c r="U10" s="257"/>
      <c r="V10" s="256"/>
      <c r="W10" s="256"/>
      <c r="X10" s="258"/>
      <c r="Y10" s="259"/>
      <c r="Z10" s="258"/>
      <c r="AA10" s="256"/>
      <c r="AB10" s="258"/>
      <c r="AC10" s="260"/>
      <c r="AD10" s="261"/>
      <c r="AE10" s="261"/>
      <c r="AF10" s="262"/>
      <c r="AG10" s="261"/>
      <c r="AH10" s="261"/>
      <c r="AI10" s="261"/>
      <c r="AJ10" s="261"/>
      <c r="AK10" s="261"/>
      <c r="AL10" s="259"/>
      <c r="AM10" s="259"/>
      <c r="AN10" s="259"/>
      <c r="AO10" s="252"/>
      <c r="AP10" s="252"/>
      <c r="AQ10" s="252"/>
      <c r="AR10" s="252"/>
      <c r="AS10" s="252"/>
      <c r="AT10" s="252"/>
      <c r="AU10" s="252"/>
      <c r="AV10" s="252"/>
      <c r="AW10" s="252"/>
      <c r="AX10" s="252"/>
      <c r="AY10" s="252"/>
      <c r="AZ10" s="252"/>
      <c r="BA10" s="252"/>
      <c r="BB10" s="252"/>
      <c r="BC10" s="252"/>
      <c r="BD10" s="252"/>
      <c r="BE10" s="252"/>
      <c r="BF10" s="252"/>
      <c r="BG10" s="252"/>
    </row>
    <row r="11" spans="1:59" x14ac:dyDescent="0.2">
      <c r="A11" s="30"/>
      <c r="B11" s="230">
        <v>2</v>
      </c>
      <c r="C11" s="230" t="s">
        <v>136</v>
      </c>
      <c r="D11" s="231" t="s">
        <v>15</v>
      </c>
      <c r="E11" s="230" t="s">
        <v>142</v>
      </c>
      <c r="F11" s="230" t="s">
        <v>143</v>
      </c>
      <c r="G11" s="230" t="s">
        <v>144</v>
      </c>
      <c r="H11" s="206" t="s">
        <v>76</v>
      </c>
      <c r="I11" s="232" t="s">
        <v>83</v>
      </c>
      <c r="J11" s="232">
        <v>0</v>
      </c>
      <c r="K11" s="209" t="str">
        <f t="shared" si="0"/>
        <v>SEKAB3S4Y_Quote</v>
      </c>
      <c r="L11" s="233" t="str">
        <f>_xll.qlSwapRateHelper2(,$K11,B11,$D11,Calendar,$G11,$H11,$I11,$L$3,$J11,C11,Discounting,,,Permanent,,ObjectOverwrite)</f>
        <v>obj_0026c#0001</v>
      </c>
      <c r="M11" s="229" t="str">
        <f>_xll.ohRangeRetrieveError(L11)</f>
        <v/>
      </c>
      <c r="N11" s="51"/>
      <c r="R11" s="61"/>
      <c r="S11" s="256"/>
      <c r="T11" s="257"/>
      <c r="U11" s="257"/>
      <c r="V11" s="256"/>
      <c r="W11" s="256"/>
      <c r="X11" s="258"/>
      <c r="Y11" s="259"/>
      <c r="Z11" s="258"/>
      <c r="AA11" s="256"/>
      <c r="AB11" s="258"/>
      <c r="AC11" s="260"/>
      <c r="AD11" s="261"/>
      <c r="AE11" s="261"/>
      <c r="AF11" s="262"/>
      <c r="AG11" s="261"/>
      <c r="AH11" s="261"/>
      <c r="AI11" s="261"/>
      <c r="AJ11" s="261"/>
      <c r="AK11" s="261"/>
      <c r="AL11" s="259"/>
      <c r="AM11" s="259"/>
      <c r="AN11" s="259"/>
      <c r="AO11" s="252"/>
      <c r="AP11" s="252"/>
      <c r="AQ11" s="252"/>
      <c r="AR11" s="252"/>
      <c r="AS11" s="252"/>
      <c r="AT11" s="252"/>
      <c r="AU11" s="252"/>
      <c r="AV11" s="252"/>
      <c r="AW11" s="252"/>
      <c r="AX11" s="252"/>
      <c r="AY11" s="252"/>
      <c r="AZ11" s="252"/>
      <c r="BA11" s="252"/>
      <c r="BB11" s="252"/>
      <c r="BC11" s="252"/>
      <c r="BD11" s="252"/>
      <c r="BE11" s="252"/>
      <c r="BF11" s="252"/>
      <c r="BG11" s="252"/>
    </row>
    <row r="12" spans="1:59" x14ac:dyDescent="0.2">
      <c r="A12" s="30"/>
      <c r="B12" s="230">
        <v>2</v>
      </c>
      <c r="C12" s="230" t="s">
        <v>136</v>
      </c>
      <c r="D12" s="231" t="s">
        <v>14</v>
      </c>
      <c r="E12" s="230" t="s">
        <v>142</v>
      </c>
      <c r="F12" s="230" t="s">
        <v>143</v>
      </c>
      <c r="G12" s="230" t="s">
        <v>144</v>
      </c>
      <c r="H12" s="206" t="s">
        <v>76</v>
      </c>
      <c r="I12" s="232" t="s">
        <v>83</v>
      </c>
      <c r="J12" s="232">
        <v>0</v>
      </c>
      <c r="K12" s="209" t="str">
        <f t="shared" si="0"/>
        <v>SEKAB3S5Y_Quote</v>
      </c>
      <c r="L12" s="233" t="str">
        <f>_xll.qlSwapRateHelper2(,$K12,B12,$D12,Calendar,$G12,$H12,$I12,$L$3,$J12,C12,Discounting,,,Permanent,,ObjectOverwrite)</f>
        <v>obj_00265#0001</v>
      </c>
      <c r="M12" s="229" t="str">
        <f>_xll.ohRangeRetrieveError(L12)</f>
        <v/>
      </c>
      <c r="N12" s="51"/>
      <c r="R12" s="61"/>
      <c r="S12" s="256"/>
      <c r="T12" s="257"/>
      <c r="U12" s="257"/>
      <c r="V12" s="256"/>
      <c r="W12" s="256"/>
      <c r="X12" s="258"/>
      <c r="Y12" s="259"/>
      <c r="Z12" s="258"/>
      <c r="AA12" s="256"/>
      <c r="AB12" s="258"/>
      <c r="AC12" s="260"/>
      <c r="AD12" s="261"/>
      <c r="AE12" s="261"/>
      <c r="AF12" s="262"/>
      <c r="AG12" s="261"/>
      <c r="AH12" s="261"/>
      <c r="AI12" s="261"/>
      <c r="AJ12" s="261"/>
      <c r="AK12" s="261"/>
      <c r="AL12" s="259"/>
      <c r="AM12" s="259"/>
      <c r="AN12" s="259"/>
      <c r="AO12" s="252"/>
      <c r="AP12" s="252"/>
      <c r="AQ12" s="252"/>
      <c r="AR12" s="252"/>
      <c r="AS12" s="252"/>
      <c r="AT12" s="252"/>
      <c r="AU12" s="252"/>
      <c r="AV12" s="252"/>
      <c r="AW12" s="252"/>
      <c r="AX12" s="252"/>
      <c r="AY12" s="252"/>
      <c r="AZ12" s="252"/>
      <c r="BA12" s="252"/>
      <c r="BB12" s="252"/>
      <c r="BC12" s="252"/>
      <c r="BD12" s="252"/>
      <c r="BE12" s="252"/>
      <c r="BF12" s="252"/>
      <c r="BG12" s="252"/>
    </row>
    <row r="13" spans="1:59" x14ac:dyDescent="0.2">
      <c r="A13" s="30"/>
      <c r="B13" s="230">
        <v>2</v>
      </c>
      <c r="C13" s="230" t="s">
        <v>136</v>
      </c>
      <c r="D13" s="231" t="s">
        <v>13</v>
      </c>
      <c r="E13" s="230" t="s">
        <v>142</v>
      </c>
      <c r="F13" s="230" t="s">
        <v>143</v>
      </c>
      <c r="G13" s="230" t="s">
        <v>144</v>
      </c>
      <c r="H13" s="206" t="s">
        <v>76</v>
      </c>
      <c r="I13" s="232" t="s">
        <v>83</v>
      </c>
      <c r="J13" s="232">
        <v>0</v>
      </c>
      <c r="K13" s="209" t="str">
        <f t="shared" si="0"/>
        <v>SEKAB3S6Y_Quote</v>
      </c>
      <c r="L13" s="233" t="str">
        <f>_xll.qlSwapRateHelper2(,$K13,B13,$D13,Calendar,$G13,$H13,$I13,$L$3,$J13,C13,Discounting,,,Permanent,,ObjectOverwrite)</f>
        <v>obj_00264#0001</v>
      </c>
      <c r="M13" s="229" t="str">
        <f>_xll.ohRangeRetrieveError(L13)</f>
        <v/>
      </c>
      <c r="N13" s="51"/>
      <c r="R13" s="61"/>
      <c r="S13" s="256"/>
      <c r="T13" s="257"/>
      <c r="U13" s="257"/>
      <c r="V13" s="256"/>
      <c r="W13" s="256"/>
      <c r="X13" s="258"/>
      <c r="Y13" s="259"/>
      <c r="Z13" s="258"/>
      <c r="AA13" s="256"/>
      <c r="AB13" s="258"/>
      <c r="AC13" s="260"/>
      <c r="AD13" s="261"/>
      <c r="AE13" s="261"/>
      <c r="AF13" s="262"/>
      <c r="AG13" s="261"/>
      <c r="AH13" s="261"/>
      <c r="AI13" s="261"/>
      <c r="AJ13" s="261"/>
      <c r="AK13" s="261"/>
      <c r="AL13" s="259"/>
      <c r="AM13" s="259"/>
      <c r="AN13" s="259"/>
      <c r="AO13" s="252"/>
      <c r="AP13" s="252"/>
      <c r="AQ13" s="252"/>
      <c r="AR13" s="252"/>
      <c r="AS13" s="252"/>
      <c r="AT13" s="252"/>
      <c r="AU13" s="252"/>
      <c r="AV13" s="252"/>
      <c r="AW13" s="252"/>
      <c r="AX13" s="252"/>
      <c r="AY13" s="252"/>
      <c r="AZ13" s="252"/>
      <c r="BA13" s="252"/>
      <c r="BB13" s="252"/>
      <c r="BC13" s="252"/>
      <c r="BD13" s="252"/>
      <c r="BE13" s="252"/>
      <c r="BF13" s="252"/>
      <c r="BG13" s="252"/>
    </row>
    <row r="14" spans="1:59" x14ac:dyDescent="0.2">
      <c r="A14" s="30"/>
      <c r="B14" s="230">
        <v>2</v>
      </c>
      <c r="C14" s="230" t="s">
        <v>136</v>
      </c>
      <c r="D14" s="231" t="s">
        <v>12</v>
      </c>
      <c r="E14" s="230" t="s">
        <v>142</v>
      </c>
      <c r="F14" s="230" t="s">
        <v>143</v>
      </c>
      <c r="G14" s="230" t="s">
        <v>144</v>
      </c>
      <c r="H14" s="206" t="s">
        <v>76</v>
      </c>
      <c r="I14" s="232" t="s">
        <v>83</v>
      </c>
      <c r="J14" s="232">
        <v>0</v>
      </c>
      <c r="K14" s="209" t="str">
        <f t="shared" si="0"/>
        <v>SEKAB3S7Y_Quote</v>
      </c>
      <c r="L14" s="233" t="str">
        <f>_xll.qlSwapRateHelper2(,$K14,B14,$D14,Calendar,$G14,$H14,$I14,$L$3,$J14,C14,Discounting,,,Permanent,,ObjectOverwrite)</f>
        <v>obj_00271#0001</v>
      </c>
      <c r="M14" s="229" t="str">
        <f>_xll.ohRangeRetrieveError(L14)</f>
        <v/>
      </c>
      <c r="N14" s="51"/>
      <c r="S14" s="256"/>
      <c r="T14" s="257"/>
      <c r="U14" s="257"/>
      <c r="V14" s="256"/>
      <c r="W14" s="256"/>
      <c r="X14" s="258"/>
      <c r="Y14" s="259"/>
      <c r="Z14" s="258"/>
      <c r="AA14" s="256"/>
      <c r="AB14" s="258"/>
      <c r="AC14" s="260"/>
      <c r="AD14" s="261"/>
      <c r="AE14" s="261"/>
      <c r="AF14" s="262"/>
      <c r="AG14" s="261"/>
      <c r="AH14" s="261"/>
      <c r="AI14" s="261"/>
      <c r="AJ14" s="261"/>
      <c r="AK14" s="261"/>
      <c r="AL14" s="259"/>
      <c r="AM14" s="259"/>
      <c r="AN14" s="259"/>
      <c r="AO14" s="252"/>
      <c r="AP14" s="252"/>
      <c r="AQ14" s="252"/>
      <c r="AR14" s="252"/>
      <c r="AS14" s="252"/>
      <c r="AT14" s="252"/>
      <c r="AU14" s="252"/>
      <c r="AV14" s="252"/>
      <c r="AW14" s="252"/>
      <c r="AX14" s="252"/>
      <c r="AY14" s="252"/>
      <c r="AZ14" s="252"/>
      <c r="BA14" s="252"/>
      <c r="BB14" s="252"/>
      <c r="BC14" s="252"/>
      <c r="BD14" s="252"/>
      <c r="BE14" s="252"/>
      <c r="BF14" s="252"/>
      <c r="BG14" s="252"/>
    </row>
    <row r="15" spans="1:59" x14ac:dyDescent="0.2">
      <c r="A15" s="30"/>
      <c r="B15" s="230">
        <v>2</v>
      </c>
      <c r="C15" s="230" t="s">
        <v>136</v>
      </c>
      <c r="D15" s="231" t="s">
        <v>11</v>
      </c>
      <c r="E15" s="230" t="s">
        <v>142</v>
      </c>
      <c r="F15" s="230" t="s">
        <v>143</v>
      </c>
      <c r="G15" s="230" t="s">
        <v>144</v>
      </c>
      <c r="H15" s="206" t="s">
        <v>76</v>
      </c>
      <c r="I15" s="232" t="s">
        <v>83</v>
      </c>
      <c r="J15" s="232">
        <v>0</v>
      </c>
      <c r="K15" s="209" t="str">
        <f t="shared" si="0"/>
        <v>SEKAB3S8Y_Quote</v>
      </c>
      <c r="L15" s="233" t="str">
        <f>_xll.qlSwapRateHelper2(,$K15,B15,$D15,Calendar,$G15,$H15,$I15,$L$3,$J15,C15,Discounting,,,Permanent,,ObjectOverwrite)</f>
        <v>obj_00270#0001</v>
      </c>
      <c r="M15" s="229" t="str">
        <f>_xll.ohRangeRetrieveError(L15)</f>
        <v/>
      </c>
      <c r="N15" s="51"/>
      <c r="S15" s="256"/>
      <c r="T15" s="257"/>
      <c r="U15" s="257"/>
      <c r="V15" s="256"/>
      <c r="W15" s="256"/>
      <c r="X15" s="258"/>
      <c r="Y15" s="259"/>
      <c r="Z15" s="258"/>
      <c r="AA15" s="256"/>
      <c r="AB15" s="258"/>
      <c r="AC15" s="260"/>
      <c r="AD15" s="261"/>
      <c r="AE15" s="261"/>
      <c r="AF15" s="262"/>
      <c r="AG15" s="261"/>
      <c r="AH15" s="261"/>
      <c r="AI15" s="261"/>
      <c r="AJ15" s="261"/>
      <c r="AK15" s="261"/>
      <c r="AL15" s="259"/>
      <c r="AM15" s="259"/>
      <c r="AN15" s="259"/>
      <c r="AO15" s="252"/>
      <c r="AP15" s="252"/>
      <c r="AQ15" s="252"/>
      <c r="AR15" s="252"/>
      <c r="AS15" s="252"/>
      <c r="AT15" s="252"/>
      <c r="AU15" s="252"/>
      <c r="AV15" s="252"/>
      <c r="AW15" s="252"/>
      <c r="AX15" s="252"/>
      <c r="AY15" s="252"/>
      <c r="AZ15" s="252"/>
      <c r="BA15" s="252"/>
      <c r="BB15" s="252"/>
      <c r="BC15" s="252"/>
      <c r="BD15" s="252"/>
      <c r="BE15" s="252"/>
      <c r="BF15" s="252"/>
      <c r="BG15" s="252"/>
    </row>
    <row r="16" spans="1:59" x14ac:dyDescent="0.2">
      <c r="A16" s="30"/>
      <c r="B16" s="230">
        <v>2</v>
      </c>
      <c r="C16" s="230" t="s">
        <v>136</v>
      </c>
      <c r="D16" s="231" t="s">
        <v>10</v>
      </c>
      <c r="E16" s="230" t="s">
        <v>142</v>
      </c>
      <c r="F16" s="230" t="s">
        <v>143</v>
      </c>
      <c r="G16" s="230" t="s">
        <v>144</v>
      </c>
      <c r="H16" s="206" t="s">
        <v>76</v>
      </c>
      <c r="I16" s="232" t="s">
        <v>83</v>
      </c>
      <c r="J16" s="232">
        <v>0</v>
      </c>
      <c r="K16" s="209" t="str">
        <f t="shared" si="0"/>
        <v>SEKAB3S9Y_Quote</v>
      </c>
      <c r="L16" s="233" t="str">
        <f>_xll.qlSwapRateHelper2(,$K16,B16,$D16,Calendar,$G16,$H16,$I16,$L$3,$J16,C16,Discounting,,,Permanent,,ObjectOverwrite)</f>
        <v>obj_0026e#0001</v>
      </c>
      <c r="M16" s="229" t="str">
        <f>_xll.ohRangeRetrieveError(L16)</f>
        <v/>
      </c>
      <c r="N16" s="51"/>
      <c r="S16" s="256"/>
      <c r="T16" s="257"/>
      <c r="U16" s="257"/>
      <c r="V16" s="256"/>
      <c r="W16" s="256"/>
      <c r="X16" s="258"/>
      <c r="Y16" s="259"/>
      <c r="Z16" s="258"/>
      <c r="AA16" s="256"/>
      <c r="AB16" s="258"/>
      <c r="AC16" s="260"/>
      <c r="AD16" s="261"/>
      <c r="AE16" s="261"/>
      <c r="AF16" s="262"/>
      <c r="AG16" s="261"/>
      <c r="AH16" s="261"/>
      <c r="AI16" s="261"/>
      <c r="AJ16" s="261"/>
      <c r="AK16" s="261"/>
      <c r="AL16" s="259"/>
      <c r="AM16" s="259"/>
      <c r="AN16" s="259"/>
      <c r="AO16" s="252"/>
      <c r="AP16" s="252"/>
      <c r="AQ16" s="252"/>
      <c r="AR16" s="252"/>
      <c r="AS16" s="252"/>
      <c r="AT16" s="252"/>
      <c r="AU16" s="252"/>
      <c r="AV16" s="252"/>
      <c r="AW16" s="252"/>
      <c r="AX16" s="252"/>
      <c r="AY16" s="252"/>
      <c r="AZ16" s="252"/>
      <c r="BA16" s="252"/>
      <c r="BB16" s="252"/>
      <c r="BC16" s="252"/>
      <c r="BD16" s="252"/>
      <c r="BE16" s="252"/>
      <c r="BF16" s="252"/>
      <c r="BG16" s="252"/>
    </row>
    <row r="17" spans="1:59" x14ac:dyDescent="0.2">
      <c r="A17" s="30"/>
      <c r="B17" s="230">
        <v>2</v>
      </c>
      <c r="C17" s="230" t="s">
        <v>136</v>
      </c>
      <c r="D17" s="231" t="s">
        <v>9</v>
      </c>
      <c r="E17" s="230" t="s">
        <v>142</v>
      </c>
      <c r="F17" s="230" t="s">
        <v>143</v>
      </c>
      <c r="G17" s="230" t="s">
        <v>144</v>
      </c>
      <c r="H17" s="206" t="s">
        <v>76</v>
      </c>
      <c r="I17" s="232" t="s">
        <v>83</v>
      </c>
      <c r="J17" s="232">
        <v>0</v>
      </c>
      <c r="K17" s="209" t="str">
        <f t="shared" si="0"/>
        <v>SEKAB3S10Y_Quote</v>
      </c>
      <c r="L17" s="233" t="str">
        <f>_xll.qlSwapRateHelper2(,$K17,B17,$D17,Calendar,$G17,$H17,$I17,$L$3,$J17,C17,Discounting,,,Permanent,,ObjectOverwrite)</f>
        <v>obj_00267#0001</v>
      </c>
      <c r="M17" s="229" t="str">
        <f>_xll.ohRangeRetrieveError(L17)</f>
        <v/>
      </c>
      <c r="N17" s="51"/>
      <c r="S17" s="256"/>
      <c r="T17" s="257"/>
      <c r="U17" s="257"/>
      <c r="V17" s="256"/>
      <c r="W17" s="256"/>
      <c r="X17" s="258"/>
      <c r="Y17" s="259"/>
      <c r="Z17" s="258"/>
      <c r="AA17" s="256"/>
      <c r="AB17" s="258"/>
      <c r="AC17" s="260"/>
      <c r="AD17" s="261"/>
      <c r="AE17" s="261"/>
      <c r="AF17" s="262"/>
      <c r="AG17" s="261"/>
      <c r="AH17" s="261"/>
      <c r="AI17" s="261"/>
      <c r="AJ17" s="261"/>
      <c r="AK17" s="261"/>
      <c r="AL17" s="259"/>
      <c r="AM17" s="259"/>
      <c r="AN17" s="259"/>
      <c r="AO17" s="252"/>
      <c r="AP17" s="252"/>
      <c r="AQ17" s="252"/>
      <c r="AR17" s="252"/>
      <c r="AS17" s="252"/>
      <c r="AT17" s="252"/>
      <c r="AU17" s="252"/>
      <c r="AV17" s="252"/>
      <c r="AW17" s="252"/>
      <c r="AX17" s="252"/>
      <c r="AY17" s="252"/>
      <c r="AZ17" s="252"/>
      <c r="BA17" s="252"/>
      <c r="BB17" s="252"/>
      <c r="BC17" s="252"/>
      <c r="BD17" s="252"/>
      <c r="BE17" s="252"/>
      <c r="BF17" s="252"/>
      <c r="BG17" s="252"/>
    </row>
    <row r="18" spans="1:59" x14ac:dyDescent="0.2">
      <c r="A18" s="30"/>
      <c r="B18" s="230">
        <v>2</v>
      </c>
      <c r="C18" s="230" t="s">
        <v>136</v>
      </c>
      <c r="D18" s="231" t="s">
        <v>8</v>
      </c>
      <c r="E18" s="230" t="s">
        <v>142</v>
      </c>
      <c r="F18" s="230" t="s">
        <v>143</v>
      </c>
      <c r="G18" s="230" t="s">
        <v>144</v>
      </c>
      <c r="H18" s="206" t="s">
        <v>76</v>
      </c>
      <c r="I18" s="232" t="s">
        <v>83</v>
      </c>
      <c r="J18" s="232">
        <v>0</v>
      </c>
      <c r="K18" s="209" t="str">
        <f t="shared" si="0"/>
        <v>SEKAB3S12Y_Quote</v>
      </c>
      <c r="L18" s="233" t="str">
        <f>_xll.qlSwapRateHelper2(,$K18,B18,$D18,Calendar,$G18,$H18,$I18,$L$3,$J18,C18,Discounting,,,Permanent,,ObjectOverwrite)</f>
        <v>obj_00260#0001</v>
      </c>
      <c r="M18" s="229" t="str">
        <f>_xll.ohRangeRetrieveError(L18)</f>
        <v/>
      </c>
      <c r="N18" s="51"/>
      <c r="S18" s="256"/>
      <c r="T18" s="257"/>
      <c r="U18" s="257"/>
      <c r="V18" s="256"/>
      <c r="W18" s="256"/>
      <c r="X18" s="258"/>
      <c r="Y18" s="259"/>
      <c r="Z18" s="258"/>
      <c r="AA18" s="256"/>
      <c r="AB18" s="258"/>
      <c r="AC18" s="260"/>
      <c r="AD18" s="261"/>
      <c r="AE18" s="261"/>
      <c r="AF18" s="262"/>
      <c r="AG18" s="261"/>
      <c r="AH18" s="261"/>
      <c r="AI18" s="261"/>
      <c r="AJ18" s="261"/>
      <c r="AK18" s="261"/>
      <c r="AL18" s="259"/>
      <c r="AM18" s="259"/>
      <c r="AN18" s="259"/>
      <c r="AO18" s="252"/>
      <c r="AP18" s="252"/>
      <c r="AQ18" s="252"/>
      <c r="AR18" s="252"/>
      <c r="AS18" s="252"/>
      <c r="AT18" s="252"/>
      <c r="AU18" s="252"/>
      <c r="AV18" s="252"/>
      <c r="AW18" s="252"/>
      <c r="AX18" s="252"/>
      <c r="AY18" s="252"/>
      <c r="AZ18" s="252"/>
      <c r="BA18" s="252"/>
      <c r="BB18" s="252"/>
      <c r="BC18" s="252"/>
      <c r="BD18" s="252"/>
      <c r="BE18" s="252"/>
      <c r="BF18" s="252"/>
      <c r="BG18" s="252"/>
    </row>
    <row r="19" spans="1:59" x14ac:dyDescent="0.2">
      <c r="A19" s="30"/>
      <c r="B19" s="230">
        <v>2</v>
      </c>
      <c r="C19" s="230" t="s">
        <v>136</v>
      </c>
      <c r="D19" s="231" t="s">
        <v>7</v>
      </c>
      <c r="E19" s="230" t="s">
        <v>142</v>
      </c>
      <c r="F19" s="230" t="s">
        <v>143</v>
      </c>
      <c r="G19" s="230" t="s">
        <v>144</v>
      </c>
      <c r="H19" s="206" t="s">
        <v>76</v>
      </c>
      <c r="I19" s="232" t="s">
        <v>83</v>
      </c>
      <c r="J19" s="232">
        <v>0</v>
      </c>
      <c r="K19" s="209" t="str">
        <f t="shared" si="0"/>
        <v>SEKAB3S15Y_Quote</v>
      </c>
      <c r="L19" s="233" t="str">
        <f>_xll.qlSwapRateHelper2(,$K19,B19,$D19,Calendar,$G19,$H19,$I19,$L$3,$J19,C19,Discounting,,,Permanent,,ObjectOverwrite)</f>
        <v>obj_00273#0001</v>
      </c>
      <c r="M19" s="229" t="str">
        <f>_xll.ohRangeRetrieveError(L19)</f>
        <v/>
      </c>
      <c r="N19" s="51"/>
      <c r="S19" s="256"/>
      <c r="T19" s="257"/>
      <c r="U19" s="257"/>
      <c r="V19" s="256"/>
      <c r="W19" s="256"/>
      <c r="X19" s="258"/>
      <c r="Y19" s="259"/>
      <c r="Z19" s="258"/>
      <c r="AA19" s="256"/>
      <c r="AB19" s="258"/>
      <c r="AC19" s="260"/>
      <c r="AD19" s="261"/>
      <c r="AE19" s="261"/>
      <c r="AF19" s="262"/>
      <c r="AG19" s="261"/>
      <c r="AH19" s="261"/>
      <c r="AI19" s="261"/>
      <c r="AJ19" s="261"/>
      <c r="AK19" s="261"/>
      <c r="AL19" s="259"/>
      <c r="AM19" s="259"/>
      <c r="AN19" s="259"/>
      <c r="AO19" s="252"/>
      <c r="AP19" s="252"/>
      <c r="AQ19" s="252"/>
      <c r="AR19" s="252"/>
      <c r="AS19" s="252"/>
      <c r="AT19" s="252"/>
      <c r="AU19" s="252"/>
      <c r="AV19" s="252"/>
      <c r="AW19" s="252"/>
      <c r="AX19" s="252"/>
      <c r="AY19" s="252"/>
      <c r="AZ19" s="252"/>
      <c r="BA19" s="252"/>
      <c r="BB19" s="252"/>
      <c r="BC19" s="252"/>
      <c r="BD19" s="252"/>
      <c r="BE19" s="252"/>
      <c r="BF19" s="252"/>
      <c r="BG19" s="252"/>
    </row>
    <row r="20" spans="1:59" x14ac:dyDescent="0.2">
      <c r="A20" s="30"/>
      <c r="B20" s="230">
        <v>2</v>
      </c>
      <c r="C20" s="230" t="s">
        <v>136</v>
      </c>
      <c r="D20" s="231" t="s">
        <v>6</v>
      </c>
      <c r="E20" s="230" t="s">
        <v>142</v>
      </c>
      <c r="F20" s="230" t="s">
        <v>143</v>
      </c>
      <c r="G20" s="230" t="s">
        <v>144</v>
      </c>
      <c r="H20" s="206" t="s">
        <v>76</v>
      </c>
      <c r="I20" s="232" t="s">
        <v>83</v>
      </c>
      <c r="J20" s="232">
        <v>0</v>
      </c>
      <c r="K20" s="209" t="str">
        <f t="shared" si="0"/>
        <v>SEKAB3S20Y_Quote</v>
      </c>
      <c r="L20" s="233" t="str">
        <f>_xll.qlSwapRateHelper2(,$K20,B20,$D20,Calendar,$G20,$H20,$I20,$L$3,$J20,C20,Discounting,,,Permanent,,ObjectOverwrite)</f>
        <v>obj_0026b#0001</v>
      </c>
      <c r="M20" s="229" t="str">
        <f>_xll.ohRangeRetrieveError(L20)</f>
        <v/>
      </c>
      <c r="N20" s="51"/>
      <c r="S20" s="256"/>
      <c r="T20" s="257"/>
      <c r="U20" s="257"/>
      <c r="V20" s="256"/>
      <c r="W20" s="256"/>
      <c r="X20" s="258"/>
      <c r="Y20" s="259"/>
      <c r="Z20" s="258"/>
      <c r="AA20" s="256"/>
      <c r="AB20" s="258"/>
      <c r="AC20" s="260"/>
      <c r="AD20" s="261"/>
      <c r="AE20" s="261"/>
      <c r="AF20" s="262"/>
      <c r="AG20" s="261"/>
      <c r="AH20" s="261"/>
      <c r="AI20" s="261"/>
      <c r="AJ20" s="261"/>
      <c r="AK20" s="261"/>
      <c r="AL20" s="259"/>
      <c r="AM20" s="259"/>
      <c r="AN20" s="259"/>
      <c r="AO20" s="252"/>
      <c r="AP20" s="252"/>
      <c r="AQ20" s="252"/>
      <c r="AR20" s="252"/>
      <c r="AS20" s="252"/>
      <c r="AT20" s="252"/>
      <c r="AU20" s="252"/>
      <c r="AV20" s="252"/>
      <c r="AW20" s="252"/>
      <c r="AX20" s="252"/>
      <c r="AY20" s="252"/>
      <c r="AZ20" s="252"/>
      <c r="BA20" s="252"/>
      <c r="BB20" s="252"/>
      <c r="BC20" s="252"/>
      <c r="BD20" s="252"/>
      <c r="BE20" s="252"/>
      <c r="BF20" s="252"/>
      <c r="BG20" s="252"/>
    </row>
    <row r="21" spans="1:59" x14ac:dyDescent="0.2">
      <c r="A21" s="30"/>
      <c r="B21" s="230">
        <v>2</v>
      </c>
      <c r="C21" s="230" t="s">
        <v>136</v>
      </c>
      <c r="D21" s="231" t="s">
        <v>5</v>
      </c>
      <c r="E21" s="230" t="s">
        <v>142</v>
      </c>
      <c r="F21" s="230" t="s">
        <v>143</v>
      </c>
      <c r="G21" s="230" t="s">
        <v>144</v>
      </c>
      <c r="H21" s="206" t="s">
        <v>76</v>
      </c>
      <c r="I21" s="232" t="s">
        <v>83</v>
      </c>
      <c r="J21" s="232">
        <v>0</v>
      </c>
      <c r="K21" s="209" t="str">
        <f t="shared" si="0"/>
        <v>SEKAB3S25Y_Quote</v>
      </c>
      <c r="L21" s="233" t="str">
        <f>_xll.qlSwapRateHelper2(,$K21,B21,$D21,Calendar,$G21,$H21,$I21,$L$3,$J21,C21,Discounting,,,Permanent,,ObjectOverwrite)</f>
        <v>obj_00272#0001</v>
      </c>
      <c r="M21" s="229" t="str">
        <f>_xll.ohRangeRetrieveError(L21)</f>
        <v/>
      </c>
      <c r="N21" s="51"/>
      <c r="S21" s="256"/>
      <c r="T21" s="257"/>
      <c r="U21" s="257"/>
      <c r="V21" s="256"/>
      <c r="W21" s="256"/>
      <c r="X21" s="258"/>
      <c r="Y21" s="259"/>
      <c r="Z21" s="258"/>
      <c r="AA21" s="256"/>
      <c r="AB21" s="258"/>
      <c r="AC21" s="260"/>
      <c r="AD21" s="261"/>
      <c r="AE21" s="261"/>
      <c r="AF21" s="262"/>
      <c r="AG21" s="261"/>
      <c r="AH21" s="261"/>
      <c r="AI21" s="261"/>
      <c r="AJ21" s="261"/>
      <c r="AK21" s="261"/>
      <c r="AL21" s="259"/>
      <c r="AM21" s="259"/>
      <c r="AN21" s="259"/>
      <c r="AO21" s="252"/>
      <c r="AP21" s="252"/>
      <c r="AQ21" s="252"/>
      <c r="AR21" s="252"/>
      <c r="AS21" s="252"/>
      <c r="AT21" s="252"/>
      <c r="AU21" s="252"/>
      <c r="AV21" s="252"/>
      <c r="AW21" s="252"/>
      <c r="AX21" s="252"/>
      <c r="AY21" s="252"/>
      <c r="AZ21" s="252"/>
      <c r="BA21" s="252"/>
      <c r="BB21" s="252"/>
      <c r="BC21" s="252"/>
      <c r="BD21" s="252"/>
      <c r="BE21" s="252"/>
      <c r="BF21" s="252"/>
      <c r="BG21" s="252"/>
    </row>
    <row r="22" spans="1:59" x14ac:dyDescent="0.2">
      <c r="A22" s="30"/>
      <c r="B22" s="230">
        <v>2</v>
      </c>
      <c r="C22" s="230" t="s">
        <v>136</v>
      </c>
      <c r="D22" s="231" t="s">
        <v>4</v>
      </c>
      <c r="E22" s="230" t="s">
        <v>142</v>
      </c>
      <c r="F22" s="230" t="s">
        <v>143</v>
      </c>
      <c r="G22" s="230" t="s">
        <v>144</v>
      </c>
      <c r="H22" s="206" t="s">
        <v>76</v>
      </c>
      <c r="I22" s="232" t="s">
        <v>83</v>
      </c>
      <c r="J22" s="232">
        <v>0</v>
      </c>
      <c r="K22" s="209" t="str">
        <f t="shared" si="0"/>
        <v>SEKAB3S27Y_Quote</v>
      </c>
      <c r="L22" s="233" t="str">
        <f>_xll.qlSwapRateHelper2(,$K22,B22,$D22,Calendar,$G22,$H22,$I22,$L$3,$J22,C22,Discounting,,,Permanent,,ObjectOverwrite)</f>
        <v>obj_00263#0001</v>
      </c>
      <c r="M22" s="229" t="str">
        <f>_xll.ohRangeRetrieveError(L22)</f>
        <v/>
      </c>
      <c r="N22" s="51"/>
      <c r="S22" s="256"/>
      <c r="T22" s="257"/>
      <c r="U22" s="257"/>
      <c r="V22" s="256"/>
      <c r="W22" s="256"/>
      <c r="X22" s="258"/>
      <c r="Y22" s="259"/>
      <c r="Z22" s="258"/>
      <c r="AA22" s="256"/>
      <c r="AB22" s="258"/>
      <c r="AC22" s="260"/>
      <c r="AD22" s="261"/>
      <c r="AE22" s="261"/>
      <c r="AF22" s="262"/>
      <c r="AG22" s="261"/>
      <c r="AH22" s="261"/>
      <c r="AI22" s="261"/>
      <c r="AJ22" s="261"/>
      <c r="AK22" s="261"/>
      <c r="AL22" s="259"/>
      <c r="AM22" s="259"/>
      <c r="AN22" s="259"/>
      <c r="AO22" s="252"/>
      <c r="AP22" s="252"/>
      <c r="AQ22" s="252"/>
      <c r="AR22" s="252"/>
      <c r="AS22" s="252"/>
      <c r="AT22" s="252"/>
      <c r="AU22" s="252"/>
      <c r="AV22" s="252"/>
      <c r="AW22" s="252"/>
      <c r="AX22" s="252"/>
      <c r="AY22" s="252"/>
      <c r="AZ22" s="252"/>
      <c r="BA22" s="252"/>
      <c r="BB22" s="252"/>
      <c r="BC22" s="252"/>
      <c r="BD22" s="252"/>
      <c r="BE22" s="252"/>
      <c r="BF22" s="252"/>
      <c r="BG22" s="252"/>
    </row>
    <row r="23" spans="1:59" x14ac:dyDescent="0.2">
      <c r="A23" s="30"/>
      <c r="B23" s="230">
        <v>2</v>
      </c>
      <c r="C23" s="230" t="s">
        <v>136</v>
      </c>
      <c r="D23" s="231" t="s">
        <v>3</v>
      </c>
      <c r="E23" s="230" t="s">
        <v>142</v>
      </c>
      <c r="F23" s="230" t="s">
        <v>143</v>
      </c>
      <c r="G23" s="230" t="s">
        <v>144</v>
      </c>
      <c r="H23" s="206" t="s">
        <v>76</v>
      </c>
      <c r="I23" s="232" t="s">
        <v>83</v>
      </c>
      <c r="J23" s="232">
        <v>0</v>
      </c>
      <c r="K23" s="209" t="str">
        <f t="shared" si="0"/>
        <v>SEKAB3S30Y_Quote</v>
      </c>
      <c r="L23" s="233" t="str">
        <f>_xll.qlSwapRateHelper2(,$K23,B23,$D23,Calendar,$G23,$H23,$I23,$L$3,$J23,C23,Discounting,,,Permanent,,ObjectOverwrite)</f>
        <v>obj_00262#0001</v>
      </c>
      <c r="M23" s="229" t="str">
        <f>_xll.ohRangeRetrieveError(L23)</f>
        <v/>
      </c>
      <c r="N23" s="51"/>
      <c r="S23" s="256"/>
      <c r="T23" s="257"/>
      <c r="U23" s="257"/>
      <c r="V23" s="256"/>
      <c r="W23" s="256"/>
      <c r="X23" s="258"/>
      <c r="Y23" s="259"/>
      <c r="Z23" s="258"/>
      <c r="AA23" s="256"/>
      <c r="AB23" s="258"/>
      <c r="AC23" s="260"/>
      <c r="AD23" s="261"/>
      <c r="AE23" s="261"/>
      <c r="AF23" s="262"/>
      <c r="AG23" s="261"/>
      <c r="AH23" s="261"/>
      <c r="AI23" s="261"/>
      <c r="AJ23" s="261"/>
      <c r="AK23" s="261"/>
      <c r="AL23" s="259"/>
      <c r="AM23" s="259"/>
      <c r="AN23" s="259"/>
      <c r="AO23" s="252"/>
      <c r="AP23" s="252"/>
      <c r="AQ23" s="252"/>
      <c r="AR23" s="252"/>
      <c r="AS23" s="252"/>
      <c r="AT23" s="252"/>
      <c r="AU23" s="252"/>
      <c r="AV23" s="252"/>
      <c r="AW23" s="252"/>
      <c r="AX23" s="252"/>
      <c r="AY23" s="252"/>
      <c r="AZ23" s="252"/>
      <c r="BA23" s="252"/>
      <c r="BB23" s="252"/>
      <c r="BC23" s="252"/>
      <c r="BD23" s="252"/>
      <c r="BE23" s="252"/>
      <c r="BF23" s="252"/>
      <c r="BG23" s="252"/>
    </row>
    <row r="24" spans="1:59" x14ac:dyDescent="0.2">
      <c r="A24" s="30"/>
      <c r="B24" s="230">
        <v>2</v>
      </c>
      <c r="C24" s="230" t="s">
        <v>136</v>
      </c>
      <c r="D24" s="231" t="s">
        <v>2</v>
      </c>
      <c r="E24" s="230" t="s">
        <v>142</v>
      </c>
      <c r="F24" s="230" t="s">
        <v>143</v>
      </c>
      <c r="G24" s="230" t="s">
        <v>144</v>
      </c>
      <c r="H24" s="206" t="s">
        <v>76</v>
      </c>
      <c r="I24" s="232" t="s">
        <v>83</v>
      </c>
      <c r="J24" s="232">
        <v>0</v>
      </c>
      <c r="K24" s="209" t="str">
        <f t="shared" si="0"/>
        <v>SEKAB3S35Y_Quote</v>
      </c>
      <c r="L24" s="233" t="str">
        <f>_xll.qlSwapRateHelper2(,$K24,B24,$D24,Calendar,$G24,$H24,$I24,$L$3,$J24,C24,Discounting,,,Permanent,,ObjectOverwrite)</f>
        <v>obj_0026d#0001</v>
      </c>
      <c r="M24" s="229" t="str">
        <f>_xll.ohRangeRetrieveError(L24)</f>
        <v/>
      </c>
      <c r="N24" s="51"/>
      <c r="S24" s="256"/>
      <c r="T24" s="257"/>
      <c r="U24" s="257"/>
      <c r="V24" s="256"/>
      <c r="W24" s="256"/>
      <c r="X24" s="258"/>
      <c r="Y24" s="259"/>
      <c r="Z24" s="258"/>
      <c r="AA24" s="256"/>
      <c r="AB24" s="258"/>
      <c r="AC24" s="260"/>
      <c r="AD24" s="261"/>
      <c r="AE24" s="261"/>
      <c r="AF24" s="262"/>
      <c r="AG24" s="261"/>
      <c r="AH24" s="261"/>
      <c r="AI24" s="261"/>
      <c r="AJ24" s="261"/>
      <c r="AK24" s="261"/>
      <c r="AL24" s="259"/>
      <c r="AM24" s="259"/>
      <c r="AN24" s="259"/>
      <c r="AO24" s="252"/>
      <c r="AP24" s="252"/>
      <c r="AQ24" s="252"/>
      <c r="AR24" s="252"/>
      <c r="AS24" s="252"/>
      <c r="AT24" s="252"/>
      <c r="AU24" s="252"/>
      <c r="AV24" s="252"/>
      <c r="AW24" s="252"/>
      <c r="AX24" s="252"/>
      <c r="AY24" s="252"/>
      <c r="AZ24" s="252"/>
      <c r="BA24" s="252"/>
      <c r="BB24" s="252"/>
      <c r="BC24" s="252"/>
      <c r="BD24" s="252"/>
      <c r="BE24" s="252"/>
      <c r="BF24" s="252"/>
      <c r="BG24" s="252"/>
    </row>
    <row r="25" spans="1:59" x14ac:dyDescent="0.2">
      <c r="A25" s="30"/>
      <c r="B25" s="230">
        <v>2</v>
      </c>
      <c r="C25" s="230" t="s">
        <v>136</v>
      </c>
      <c r="D25" s="231" t="s">
        <v>1</v>
      </c>
      <c r="E25" s="230" t="s">
        <v>142</v>
      </c>
      <c r="F25" s="230" t="s">
        <v>143</v>
      </c>
      <c r="G25" s="230" t="s">
        <v>144</v>
      </c>
      <c r="H25" s="206" t="s">
        <v>76</v>
      </c>
      <c r="I25" s="232" t="s">
        <v>83</v>
      </c>
      <c r="J25" s="232">
        <v>0</v>
      </c>
      <c r="K25" s="209" t="str">
        <f t="shared" si="0"/>
        <v>SEKAB3S40Y_Quote</v>
      </c>
      <c r="L25" s="233" t="str">
        <f>_xll.qlSwapRateHelper2(,$K25,B25,$D25,Calendar,$G25,$H25,$I25,$L$3,$J25,C25,Discounting,,,Permanent,,ObjectOverwrite)</f>
        <v>obj_00266#0001</v>
      </c>
      <c r="M25" s="229" t="str">
        <f>_xll.ohRangeRetrieveError(L25)</f>
        <v/>
      </c>
      <c r="N25" s="51"/>
      <c r="S25" s="256"/>
      <c r="T25" s="257"/>
      <c r="U25" s="257"/>
      <c r="V25" s="256"/>
      <c r="W25" s="256"/>
      <c r="X25" s="258"/>
      <c r="Y25" s="259"/>
      <c r="Z25" s="258"/>
      <c r="AA25" s="256"/>
      <c r="AB25" s="258"/>
      <c r="AC25" s="260"/>
      <c r="AD25" s="261"/>
      <c r="AE25" s="261"/>
      <c r="AF25" s="262"/>
      <c r="AG25" s="261"/>
      <c r="AH25" s="261"/>
      <c r="AI25" s="261"/>
      <c r="AJ25" s="261"/>
      <c r="AK25" s="261"/>
      <c r="AL25" s="259"/>
      <c r="AM25" s="259"/>
      <c r="AN25" s="259"/>
      <c r="AO25" s="252"/>
      <c r="AP25" s="252"/>
      <c r="AQ25" s="252"/>
      <c r="AR25" s="252"/>
      <c r="AS25" s="252"/>
      <c r="AT25" s="252"/>
      <c r="AU25" s="252"/>
      <c r="AV25" s="252"/>
      <c r="AW25" s="252"/>
      <c r="AX25" s="252"/>
      <c r="AY25" s="252"/>
      <c r="AZ25" s="252"/>
      <c r="BA25" s="252"/>
      <c r="BB25" s="252"/>
      <c r="BC25" s="252"/>
      <c r="BD25" s="252"/>
      <c r="BE25" s="252"/>
      <c r="BF25" s="252"/>
      <c r="BG25" s="252"/>
    </row>
    <row r="26" spans="1:59" x14ac:dyDescent="0.2">
      <c r="A26" s="30"/>
      <c r="B26" s="156">
        <v>2</v>
      </c>
      <c r="C26" s="156" t="s">
        <v>136</v>
      </c>
      <c r="D26" s="58" t="s">
        <v>0</v>
      </c>
      <c r="E26" s="156" t="s">
        <v>142</v>
      </c>
      <c r="F26" s="156" t="s">
        <v>143</v>
      </c>
      <c r="G26" s="156" t="s">
        <v>144</v>
      </c>
      <c r="H26" s="46" t="s">
        <v>76</v>
      </c>
      <c r="I26" s="234" t="s">
        <v>83</v>
      </c>
      <c r="J26" s="234">
        <v>0</v>
      </c>
      <c r="K26" s="57" t="str">
        <f t="shared" si="0"/>
        <v>SEKAB3S50Y_Quote</v>
      </c>
      <c r="L26" s="235" t="str">
        <f>_xll.qlSwapRateHelper2(,$K26,B26,$D26,Calendar,$G26,$H26,$I26,$L$3,$J26,C26,Discounting,,,Permanent,,ObjectOverwrite)</f>
        <v>obj_0025f#0001</v>
      </c>
      <c r="M26" s="236" t="str">
        <f>_xll.ohRangeRetrieveError(L26)</f>
        <v/>
      </c>
      <c r="N26" s="51"/>
      <c r="S26" s="256"/>
      <c r="T26" s="257"/>
      <c r="U26" s="257"/>
      <c r="V26" s="256"/>
      <c r="W26" s="256"/>
      <c r="X26" s="258"/>
      <c r="Y26" s="259"/>
      <c r="Z26" s="258"/>
      <c r="AA26" s="256"/>
      <c r="AB26" s="258"/>
      <c r="AC26" s="260"/>
      <c r="AD26" s="261"/>
      <c r="AE26" s="261"/>
      <c r="AF26" s="262"/>
      <c r="AG26" s="261"/>
      <c r="AH26" s="261"/>
      <c r="AI26" s="261"/>
      <c r="AJ26" s="261"/>
      <c r="AK26" s="261"/>
      <c r="AL26" s="259"/>
      <c r="AM26" s="259"/>
      <c r="AN26" s="259"/>
      <c r="AO26" s="252"/>
      <c r="AP26" s="252"/>
      <c r="AQ26" s="252"/>
      <c r="AR26" s="252"/>
      <c r="AS26" s="252"/>
      <c r="AT26" s="252"/>
      <c r="AU26" s="252"/>
      <c r="AV26" s="252"/>
      <c r="AW26" s="252"/>
      <c r="AX26" s="252"/>
      <c r="AY26" s="252"/>
      <c r="AZ26" s="252"/>
      <c r="BA26" s="252"/>
      <c r="BB26" s="252"/>
      <c r="BC26" s="252"/>
      <c r="BD26" s="252"/>
      <c r="BE26" s="252"/>
      <c r="BF26" s="252"/>
      <c r="BG26" s="252"/>
    </row>
    <row r="27" spans="1:59" ht="12" thickBot="1" x14ac:dyDescent="0.25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51"/>
      <c r="S27" s="256"/>
      <c r="T27" s="257"/>
      <c r="U27" s="257"/>
      <c r="V27" s="256"/>
      <c r="W27" s="256"/>
      <c r="X27" s="258"/>
      <c r="Y27" s="259"/>
      <c r="Z27" s="258"/>
      <c r="AA27" s="256"/>
      <c r="AB27" s="258"/>
      <c r="AC27" s="260"/>
      <c r="AD27" s="261"/>
      <c r="AE27" s="261"/>
      <c r="AF27" s="262"/>
      <c r="AG27" s="261"/>
      <c r="AH27" s="261"/>
      <c r="AI27" s="261"/>
      <c r="AJ27" s="261"/>
      <c r="AK27" s="261"/>
      <c r="AL27" s="259"/>
      <c r="AM27" s="259"/>
      <c r="AN27" s="259"/>
      <c r="AO27" s="252"/>
      <c r="AP27" s="252"/>
      <c r="AQ27" s="252"/>
      <c r="AR27" s="252"/>
      <c r="AS27" s="252"/>
      <c r="AT27" s="252"/>
      <c r="AU27" s="252"/>
      <c r="AV27" s="252"/>
      <c r="AW27" s="252"/>
      <c r="AX27" s="252"/>
      <c r="AY27" s="252"/>
      <c r="AZ27" s="252"/>
      <c r="BA27" s="252"/>
      <c r="BB27" s="252"/>
      <c r="BC27" s="252"/>
      <c r="BD27" s="252"/>
      <c r="BE27" s="252"/>
      <c r="BF27" s="252"/>
      <c r="BG27" s="252"/>
    </row>
    <row r="28" spans="1:59" x14ac:dyDescent="0.2">
      <c r="A28" s="134"/>
      <c r="B28" s="134"/>
      <c r="C28" s="134"/>
      <c r="D28" s="134"/>
      <c r="E28" s="134"/>
      <c r="F28" s="134"/>
      <c r="G28" s="134"/>
      <c r="H28" s="134"/>
      <c r="I28" s="134"/>
      <c r="J28" s="134"/>
      <c r="K28" s="134"/>
      <c r="L28" s="149"/>
      <c r="M28" s="134"/>
      <c r="N28" s="134"/>
      <c r="S28" s="256"/>
      <c r="T28" s="257"/>
      <c r="U28" s="257"/>
      <c r="V28" s="256"/>
      <c r="W28" s="256"/>
      <c r="X28" s="258"/>
      <c r="Y28" s="259"/>
      <c r="Z28" s="258"/>
      <c r="AA28" s="256"/>
      <c r="AB28" s="258"/>
      <c r="AC28" s="260"/>
      <c r="AD28" s="261"/>
      <c r="AE28" s="261"/>
      <c r="AF28" s="262"/>
      <c r="AG28" s="261"/>
      <c r="AH28" s="261"/>
      <c r="AI28" s="261"/>
      <c r="AJ28" s="261"/>
      <c r="AK28" s="261"/>
      <c r="AL28" s="259"/>
      <c r="AM28" s="259"/>
      <c r="AN28" s="259"/>
      <c r="AO28" s="252"/>
      <c r="AP28" s="252"/>
      <c r="AQ28" s="252"/>
      <c r="AR28" s="252"/>
      <c r="AS28" s="252"/>
      <c r="AT28" s="252"/>
      <c r="AU28" s="252"/>
      <c r="AV28" s="252"/>
      <c r="AW28" s="252"/>
      <c r="AX28" s="252"/>
      <c r="AY28" s="252"/>
      <c r="AZ28" s="252"/>
      <c r="BA28" s="252"/>
      <c r="BB28" s="252"/>
      <c r="BC28" s="252"/>
      <c r="BD28" s="252"/>
      <c r="BE28" s="252"/>
      <c r="BF28" s="252"/>
      <c r="BG28" s="252"/>
    </row>
    <row r="29" spans="1:59" x14ac:dyDescent="0.2">
      <c r="S29" s="256"/>
      <c r="T29" s="257"/>
      <c r="U29" s="257"/>
      <c r="V29" s="256"/>
      <c r="W29" s="256"/>
      <c r="X29" s="258"/>
      <c r="Y29" s="259"/>
      <c r="Z29" s="258"/>
      <c r="AA29" s="256"/>
      <c r="AB29" s="258"/>
      <c r="AC29" s="260"/>
      <c r="AD29" s="261"/>
      <c r="AE29" s="261"/>
      <c r="AF29" s="262"/>
      <c r="AG29" s="261"/>
      <c r="AH29" s="261"/>
      <c r="AI29" s="261"/>
      <c r="AJ29" s="261"/>
      <c r="AK29" s="261"/>
      <c r="AL29" s="259"/>
      <c r="AM29" s="259"/>
      <c r="AN29" s="259"/>
      <c r="AO29" s="252"/>
      <c r="AP29" s="252"/>
      <c r="AQ29" s="252"/>
      <c r="AR29" s="252"/>
      <c r="AS29" s="252"/>
      <c r="AT29" s="252"/>
      <c r="AU29" s="252"/>
      <c r="AV29" s="252"/>
      <c r="AW29" s="252"/>
      <c r="AX29" s="252"/>
      <c r="AY29" s="252"/>
      <c r="AZ29" s="252"/>
      <c r="BA29" s="252"/>
      <c r="BB29" s="252"/>
      <c r="BC29" s="252"/>
      <c r="BD29" s="252"/>
      <c r="BE29" s="252"/>
      <c r="BF29" s="252"/>
      <c r="BG29" s="252"/>
    </row>
    <row r="30" spans="1:59" x14ac:dyDescent="0.2">
      <c r="S30" s="256"/>
      <c r="T30" s="257"/>
      <c r="U30" s="257"/>
      <c r="V30" s="256"/>
      <c r="W30" s="256"/>
      <c r="X30" s="258"/>
      <c r="Y30" s="259"/>
      <c r="Z30" s="258"/>
      <c r="AA30" s="256"/>
      <c r="AB30" s="258"/>
      <c r="AC30" s="260"/>
      <c r="AD30" s="261"/>
      <c r="AE30" s="261"/>
      <c r="AF30" s="262"/>
      <c r="AG30" s="261"/>
      <c r="AH30" s="261"/>
      <c r="AI30" s="261"/>
      <c r="AJ30" s="261"/>
      <c r="AK30" s="261"/>
      <c r="AL30" s="259"/>
      <c r="AM30" s="259"/>
      <c r="AN30" s="259"/>
      <c r="AO30" s="252"/>
      <c r="AP30" s="252"/>
      <c r="AQ30" s="252"/>
      <c r="AR30" s="252"/>
      <c r="AS30" s="252"/>
      <c r="AT30" s="252"/>
      <c r="AU30" s="252"/>
      <c r="AV30" s="252"/>
      <c r="AW30" s="252"/>
      <c r="AX30" s="252"/>
      <c r="AY30" s="252"/>
      <c r="AZ30" s="252"/>
      <c r="BA30" s="252"/>
      <c r="BB30" s="252"/>
      <c r="BC30" s="252"/>
      <c r="BD30" s="252"/>
      <c r="BE30" s="252"/>
      <c r="BF30" s="252"/>
      <c r="BG30" s="252"/>
    </row>
    <row r="31" spans="1:59" x14ac:dyDescent="0.2">
      <c r="S31" s="256"/>
      <c r="T31" s="257"/>
      <c r="U31" s="257"/>
      <c r="V31" s="256"/>
      <c r="W31" s="256"/>
      <c r="X31" s="258"/>
      <c r="Y31" s="259"/>
      <c r="Z31" s="258"/>
      <c r="AA31" s="256"/>
      <c r="AB31" s="258"/>
      <c r="AC31" s="260"/>
      <c r="AD31" s="261"/>
      <c r="AE31" s="261"/>
      <c r="AF31" s="262"/>
      <c r="AG31" s="261"/>
      <c r="AH31" s="261"/>
      <c r="AI31" s="261"/>
      <c r="AJ31" s="261"/>
      <c r="AK31" s="261"/>
      <c r="AL31" s="259"/>
      <c r="AM31" s="259"/>
      <c r="AN31" s="259"/>
      <c r="AO31" s="252"/>
      <c r="AP31" s="252"/>
      <c r="AQ31" s="252"/>
      <c r="AR31" s="252"/>
      <c r="AS31" s="252"/>
      <c r="AT31" s="252"/>
      <c r="AU31" s="252"/>
      <c r="AV31" s="252"/>
      <c r="AW31" s="252"/>
      <c r="AX31" s="252"/>
      <c r="AY31" s="252"/>
      <c r="AZ31" s="252"/>
      <c r="BA31" s="252"/>
      <c r="BB31" s="252"/>
      <c r="BC31" s="252"/>
      <c r="BD31" s="252"/>
      <c r="BE31" s="252"/>
      <c r="BF31" s="252"/>
      <c r="BG31" s="252"/>
    </row>
    <row r="32" spans="1:59" x14ac:dyDescent="0.2">
      <c r="S32" s="256"/>
      <c r="T32" s="257"/>
      <c r="U32" s="257"/>
      <c r="V32" s="256"/>
      <c r="W32" s="256"/>
      <c r="X32" s="258"/>
      <c r="Y32" s="259"/>
      <c r="Z32" s="258"/>
      <c r="AA32" s="256"/>
      <c r="AB32" s="258"/>
      <c r="AC32" s="260"/>
      <c r="AD32" s="261"/>
      <c r="AE32" s="261"/>
      <c r="AF32" s="262"/>
      <c r="AG32" s="261"/>
      <c r="AH32" s="261"/>
      <c r="AI32" s="261"/>
      <c r="AJ32" s="261"/>
      <c r="AK32" s="261"/>
      <c r="AL32" s="259"/>
      <c r="AM32" s="259"/>
      <c r="AN32" s="259"/>
      <c r="AO32" s="252"/>
      <c r="AP32" s="252"/>
      <c r="AQ32" s="252"/>
      <c r="AR32" s="252"/>
      <c r="AS32" s="252"/>
      <c r="AT32" s="252"/>
      <c r="AU32" s="252"/>
      <c r="AV32" s="252"/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</row>
    <row r="33" spans="19:59" x14ac:dyDescent="0.2">
      <c r="S33" s="256"/>
      <c r="T33" s="257"/>
      <c r="U33" s="257"/>
      <c r="V33" s="256"/>
      <c r="W33" s="256"/>
      <c r="X33" s="258"/>
      <c r="Y33" s="259"/>
      <c r="Z33" s="258"/>
      <c r="AA33" s="256"/>
      <c r="AB33" s="258"/>
      <c r="AC33" s="260"/>
      <c r="AD33" s="261"/>
      <c r="AE33" s="261"/>
      <c r="AF33" s="262"/>
      <c r="AG33" s="261"/>
      <c r="AH33" s="261"/>
      <c r="AI33" s="261"/>
      <c r="AJ33" s="261"/>
      <c r="AK33" s="261"/>
      <c r="AL33" s="259"/>
      <c r="AM33" s="259"/>
      <c r="AN33" s="259"/>
      <c r="AO33" s="252"/>
      <c r="AP33" s="252"/>
      <c r="AQ33" s="252"/>
      <c r="AR33" s="252"/>
      <c r="AS33" s="252"/>
      <c r="AT33" s="252"/>
      <c r="AU33" s="252"/>
      <c r="AV33" s="252"/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</row>
    <row r="34" spans="19:59" x14ac:dyDescent="0.2">
      <c r="S34" s="256"/>
      <c r="T34" s="257"/>
      <c r="U34" s="257"/>
      <c r="V34" s="256"/>
      <c r="W34" s="256"/>
      <c r="X34" s="258"/>
      <c r="Y34" s="259"/>
      <c r="Z34" s="258"/>
      <c r="AA34" s="256"/>
      <c r="AB34" s="258"/>
      <c r="AC34" s="260"/>
      <c r="AD34" s="261"/>
      <c r="AE34" s="261"/>
      <c r="AF34" s="262"/>
      <c r="AG34" s="261"/>
      <c r="AH34" s="261"/>
      <c r="AI34" s="261"/>
      <c r="AJ34" s="261"/>
      <c r="AK34" s="261"/>
      <c r="AL34" s="259"/>
      <c r="AM34" s="259"/>
      <c r="AN34" s="259"/>
      <c r="AO34" s="252"/>
      <c r="AP34" s="252"/>
      <c r="AQ34" s="252"/>
      <c r="AR34" s="252"/>
      <c r="AS34" s="252"/>
      <c r="AT34" s="252"/>
      <c r="AU34" s="252"/>
      <c r="AV34" s="252"/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</row>
    <row r="35" spans="19:59" x14ac:dyDescent="0.2">
      <c r="S35" s="256"/>
      <c r="T35" s="257"/>
      <c r="U35" s="257"/>
      <c r="V35" s="256"/>
      <c r="W35" s="256"/>
      <c r="X35" s="258"/>
      <c r="Y35" s="259"/>
      <c r="Z35" s="258"/>
      <c r="AA35" s="256"/>
      <c r="AB35" s="258"/>
      <c r="AC35" s="260"/>
      <c r="AD35" s="261"/>
      <c r="AE35" s="261"/>
      <c r="AF35" s="262"/>
      <c r="AG35" s="261"/>
      <c r="AH35" s="261"/>
      <c r="AI35" s="261"/>
      <c r="AJ35" s="261"/>
      <c r="AK35" s="261"/>
      <c r="AL35" s="259"/>
      <c r="AM35" s="259"/>
      <c r="AN35" s="259"/>
      <c r="AO35" s="252"/>
      <c r="AP35" s="252"/>
      <c r="AQ35" s="252"/>
      <c r="AR35" s="252"/>
      <c r="AS35" s="252"/>
      <c r="AT35" s="252"/>
      <c r="AU35" s="252"/>
      <c r="AV35" s="252"/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</row>
    <row r="36" spans="19:59" x14ac:dyDescent="0.2">
      <c r="S36" s="256"/>
      <c r="T36" s="257"/>
      <c r="U36" s="257"/>
      <c r="V36" s="256"/>
      <c r="W36" s="256"/>
      <c r="X36" s="258"/>
      <c r="Y36" s="259"/>
      <c r="Z36" s="258"/>
      <c r="AA36" s="256"/>
      <c r="AB36" s="258"/>
      <c r="AC36" s="260"/>
      <c r="AD36" s="261"/>
      <c r="AE36" s="261"/>
      <c r="AF36" s="262"/>
      <c r="AG36" s="261"/>
      <c r="AH36" s="261"/>
      <c r="AI36" s="261"/>
      <c r="AJ36" s="261"/>
      <c r="AK36" s="261"/>
      <c r="AL36" s="259"/>
      <c r="AM36" s="259"/>
      <c r="AN36" s="259"/>
      <c r="AO36" s="252"/>
      <c r="AP36" s="252"/>
      <c r="AQ36" s="252"/>
      <c r="AR36" s="252"/>
      <c r="AS36" s="252"/>
      <c r="AT36" s="252"/>
      <c r="AU36" s="252"/>
      <c r="AV36" s="252"/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</row>
    <row r="37" spans="19:59" x14ac:dyDescent="0.2">
      <c r="S37" s="256"/>
      <c r="T37" s="257"/>
      <c r="U37" s="257"/>
      <c r="V37" s="256"/>
      <c r="W37" s="256"/>
      <c r="X37" s="258"/>
      <c r="Y37" s="259"/>
      <c r="Z37" s="258"/>
      <c r="AA37" s="256"/>
      <c r="AB37" s="258"/>
      <c r="AC37" s="260"/>
      <c r="AD37" s="261"/>
      <c r="AE37" s="261"/>
      <c r="AF37" s="262"/>
      <c r="AG37" s="261"/>
      <c r="AH37" s="261"/>
      <c r="AI37" s="261"/>
      <c r="AJ37" s="261"/>
      <c r="AK37" s="261"/>
      <c r="AL37" s="259"/>
      <c r="AM37" s="259"/>
      <c r="AN37" s="259"/>
      <c r="AO37" s="252"/>
      <c r="AP37" s="252"/>
      <c r="AQ37" s="252"/>
      <c r="AR37" s="252"/>
      <c r="AS37" s="252"/>
      <c r="AT37" s="252"/>
      <c r="AU37" s="252"/>
      <c r="AV37" s="252"/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</row>
    <row r="38" spans="19:59" x14ac:dyDescent="0.2">
      <c r="S38" s="256"/>
      <c r="T38" s="257"/>
      <c r="U38" s="257"/>
      <c r="V38" s="256"/>
      <c r="W38" s="256"/>
      <c r="X38" s="258"/>
      <c r="Y38" s="259"/>
      <c r="Z38" s="258"/>
      <c r="AA38" s="256"/>
      <c r="AB38" s="258"/>
      <c r="AC38" s="260"/>
      <c r="AD38" s="261"/>
      <c r="AE38" s="261"/>
      <c r="AF38" s="262"/>
      <c r="AG38" s="261"/>
      <c r="AH38" s="261"/>
      <c r="AI38" s="261"/>
      <c r="AJ38" s="261"/>
      <c r="AK38" s="261"/>
      <c r="AL38" s="259"/>
      <c r="AM38" s="259"/>
      <c r="AN38" s="259"/>
      <c r="AO38" s="252"/>
      <c r="AP38" s="252"/>
      <c r="AQ38" s="252"/>
      <c r="AR38" s="252"/>
      <c r="AS38" s="252"/>
      <c r="AT38" s="252"/>
      <c r="AU38" s="252"/>
      <c r="AV38" s="252"/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</row>
    <row r="39" spans="19:59" x14ac:dyDescent="0.2">
      <c r="S39" s="256"/>
      <c r="T39" s="257"/>
      <c r="U39" s="257"/>
      <c r="V39" s="256"/>
      <c r="W39" s="256"/>
      <c r="X39" s="258"/>
      <c r="Y39" s="259"/>
      <c r="Z39" s="258"/>
      <c r="AA39" s="256"/>
      <c r="AB39" s="258"/>
      <c r="AC39" s="260"/>
      <c r="AD39" s="261"/>
      <c r="AE39" s="261"/>
      <c r="AF39" s="262"/>
      <c r="AG39" s="261"/>
      <c r="AH39" s="261"/>
      <c r="AI39" s="261"/>
      <c r="AJ39" s="261"/>
      <c r="AK39" s="261"/>
      <c r="AL39" s="259"/>
      <c r="AM39" s="259"/>
      <c r="AN39" s="259"/>
      <c r="AO39" s="252"/>
      <c r="AP39" s="252"/>
      <c r="AQ39" s="252"/>
      <c r="AR39" s="252"/>
      <c r="AS39" s="252"/>
      <c r="AT39" s="252"/>
      <c r="AU39" s="252"/>
      <c r="AV39" s="252"/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</row>
    <row r="40" spans="19:59" x14ac:dyDescent="0.2">
      <c r="S40" s="256"/>
      <c r="T40" s="257"/>
      <c r="U40" s="257"/>
      <c r="V40" s="256"/>
      <c r="W40" s="256"/>
      <c r="X40" s="258"/>
      <c r="Y40" s="259"/>
      <c r="Z40" s="258"/>
      <c r="AA40" s="256"/>
      <c r="AB40" s="258"/>
      <c r="AC40" s="260"/>
      <c r="AD40" s="261"/>
      <c r="AE40" s="261"/>
      <c r="AF40" s="262"/>
      <c r="AG40" s="261"/>
      <c r="AH40" s="261"/>
      <c r="AI40" s="261"/>
      <c r="AJ40" s="261"/>
      <c r="AK40" s="261"/>
      <c r="AL40" s="259"/>
      <c r="AM40" s="259"/>
      <c r="AN40" s="259"/>
      <c r="AO40" s="252"/>
      <c r="AP40" s="252"/>
      <c r="AQ40" s="252"/>
      <c r="AR40" s="252"/>
      <c r="AS40" s="252"/>
      <c r="AT40" s="252"/>
      <c r="AU40" s="252"/>
      <c r="AV40" s="252"/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</row>
    <row r="41" spans="19:59" x14ac:dyDescent="0.2">
      <c r="S41" s="256"/>
      <c r="T41" s="257"/>
      <c r="U41" s="257"/>
      <c r="V41" s="256"/>
      <c r="W41" s="256"/>
      <c r="X41" s="258"/>
      <c r="Y41" s="259"/>
      <c r="Z41" s="258"/>
      <c r="AA41" s="256"/>
      <c r="AB41" s="258"/>
      <c r="AC41" s="260"/>
      <c r="AD41" s="261"/>
      <c r="AE41" s="261"/>
      <c r="AF41" s="262"/>
      <c r="AG41" s="261"/>
      <c r="AH41" s="261"/>
      <c r="AI41" s="261"/>
      <c r="AJ41" s="261"/>
      <c r="AK41" s="261"/>
      <c r="AL41" s="259"/>
      <c r="AM41" s="259"/>
      <c r="AN41" s="259"/>
      <c r="AO41" s="252"/>
      <c r="AP41" s="252"/>
      <c r="AQ41" s="252"/>
      <c r="AR41" s="252"/>
      <c r="AS41" s="252"/>
      <c r="AT41" s="252"/>
      <c r="AU41" s="252"/>
      <c r="AV41" s="252"/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</row>
    <row r="42" spans="19:59" x14ac:dyDescent="0.2">
      <c r="S42" s="256"/>
      <c r="T42" s="257"/>
      <c r="U42" s="257"/>
      <c r="V42" s="256"/>
      <c r="W42" s="256"/>
      <c r="X42" s="258"/>
      <c r="Y42" s="259"/>
      <c r="Z42" s="258"/>
      <c r="AA42" s="256"/>
      <c r="AB42" s="258"/>
      <c r="AC42" s="260"/>
      <c r="AD42" s="261"/>
      <c r="AE42" s="261"/>
      <c r="AF42" s="262"/>
      <c r="AG42" s="261"/>
      <c r="AH42" s="261"/>
      <c r="AI42" s="261"/>
      <c r="AJ42" s="261"/>
      <c r="AK42" s="261"/>
      <c r="AL42" s="259"/>
      <c r="AM42" s="259"/>
      <c r="AN42" s="259"/>
      <c r="AO42" s="252"/>
      <c r="AP42" s="252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</row>
    <row r="43" spans="19:59" x14ac:dyDescent="0.2">
      <c r="S43" s="256"/>
      <c r="T43" s="257"/>
      <c r="U43" s="257"/>
      <c r="V43" s="256"/>
      <c r="W43" s="256"/>
      <c r="X43" s="258"/>
      <c r="Y43" s="259"/>
      <c r="Z43" s="258"/>
      <c r="AA43" s="256"/>
      <c r="AB43" s="258"/>
      <c r="AC43" s="260"/>
      <c r="AD43" s="261"/>
      <c r="AE43" s="261"/>
      <c r="AF43" s="262"/>
      <c r="AG43" s="261"/>
      <c r="AH43" s="261"/>
      <c r="AI43" s="261"/>
      <c r="AJ43" s="261"/>
      <c r="AK43" s="261"/>
      <c r="AL43" s="259"/>
      <c r="AM43" s="259"/>
      <c r="AN43" s="259"/>
      <c r="AO43" s="252"/>
      <c r="AP43" s="252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</row>
    <row r="44" spans="19:59" x14ac:dyDescent="0.2">
      <c r="S44" s="256"/>
      <c r="T44" s="257"/>
      <c r="U44" s="257"/>
      <c r="V44" s="256"/>
      <c r="W44" s="256"/>
      <c r="X44" s="258"/>
      <c r="Y44" s="259"/>
      <c r="Z44" s="258"/>
      <c r="AA44" s="256"/>
      <c r="AB44" s="258"/>
      <c r="AC44" s="260"/>
      <c r="AD44" s="261"/>
      <c r="AE44" s="261"/>
      <c r="AF44" s="262"/>
      <c r="AG44" s="261"/>
      <c r="AH44" s="261"/>
      <c r="AI44" s="261"/>
      <c r="AJ44" s="261"/>
      <c r="AK44" s="261"/>
      <c r="AL44" s="259"/>
      <c r="AM44" s="259"/>
      <c r="AN44" s="259"/>
      <c r="AO44" s="252"/>
      <c r="AP44" s="252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</row>
    <row r="45" spans="19:59" x14ac:dyDescent="0.2">
      <c r="S45" s="256"/>
      <c r="T45" s="257"/>
      <c r="U45" s="257"/>
      <c r="V45" s="256"/>
      <c r="W45" s="256"/>
      <c r="X45" s="258"/>
      <c r="Y45" s="259"/>
      <c r="Z45" s="258"/>
      <c r="AA45" s="256"/>
      <c r="AB45" s="258"/>
      <c r="AC45" s="260"/>
      <c r="AD45" s="261"/>
      <c r="AE45" s="261"/>
      <c r="AF45" s="262"/>
      <c r="AG45" s="261"/>
      <c r="AH45" s="261"/>
      <c r="AI45" s="261"/>
      <c r="AJ45" s="261"/>
      <c r="AK45" s="261"/>
      <c r="AL45" s="259"/>
      <c r="AM45" s="259"/>
      <c r="AN45" s="259"/>
      <c r="AO45" s="252"/>
      <c r="AP45" s="252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</row>
    <row r="46" spans="19:59" x14ac:dyDescent="0.2">
      <c r="S46" s="256"/>
      <c r="T46" s="257"/>
      <c r="U46" s="257"/>
      <c r="V46" s="256"/>
      <c r="W46" s="256"/>
      <c r="X46" s="258"/>
      <c r="Y46" s="259"/>
      <c r="Z46" s="258"/>
      <c r="AA46" s="256"/>
      <c r="AB46" s="258"/>
      <c r="AC46" s="260"/>
      <c r="AD46" s="261"/>
      <c r="AE46" s="261"/>
      <c r="AF46" s="262"/>
      <c r="AG46" s="261"/>
      <c r="AH46" s="261"/>
      <c r="AI46" s="261"/>
      <c r="AJ46" s="261"/>
      <c r="AK46" s="261"/>
      <c r="AL46" s="259"/>
      <c r="AM46" s="259"/>
      <c r="AN46" s="259"/>
      <c r="AO46" s="252"/>
      <c r="AP46" s="252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</row>
    <row r="47" spans="19:59" x14ac:dyDescent="0.2">
      <c r="S47" s="256"/>
      <c r="T47" s="257"/>
      <c r="U47" s="257"/>
      <c r="V47" s="256"/>
      <c r="W47" s="256"/>
      <c r="X47" s="258"/>
      <c r="Y47" s="259"/>
      <c r="Z47" s="258"/>
      <c r="AA47" s="256"/>
      <c r="AB47" s="258"/>
      <c r="AC47" s="260"/>
      <c r="AD47" s="261"/>
      <c r="AE47" s="261"/>
      <c r="AF47" s="262"/>
      <c r="AG47" s="261"/>
      <c r="AH47" s="261"/>
      <c r="AI47" s="261"/>
      <c r="AJ47" s="261"/>
      <c r="AK47" s="261"/>
      <c r="AL47" s="259"/>
      <c r="AM47" s="259"/>
      <c r="AN47" s="259"/>
      <c r="AO47" s="252"/>
      <c r="AP47" s="252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</row>
    <row r="48" spans="19:59" x14ac:dyDescent="0.2">
      <c r="S48" s="256"/>
      <c r="T48" s="257"/>
      <c r="U48" s="257"/>
      <c r="V48" s="256"/>
      <c r="W48" s="256"/>
      <c r="X48" s="258"/>
      <c r="Y48" s="259"/>
      <c r="Z48" s="258"/>
      <c r="AA48" s="256"/>
      <c r="AB48" s="258"/>
      <c r="AC48" s="260"/>
      <c r="AD48" s="261"/>
      <c r="AE48" s="261"/>
      <c r="AF48" s="262"/>
      <c r="AG48" s="261"/>
      <c r="AH48" s="261"/>
      <c r="AI48" s="261"/>
      <c r="AJ48" s="261"/>
      <c r="AK48" s="261"/>
      <c r="AL48" s="259"/>
      <c r="AM48" s="259"/>
      <c r="AN48" s="259"/>
      <c r="AO48" s="252"/>
      <c r="AP48" s="252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</row>
    <row r="49" spans="19:59" x14ac:dyDescent="0.2">
      <c r="S49" s="256"/>
      <c r="T49" s="257"/>
      <c r="U49" s="257"/>
      <c r="V49" s="256"/>
      <c r="W49" s="256"/>
      <c r="X49" s="258"/>
      <c r="Y49" s="259"/>
      <c r="Z49" s="258"/>
      <c r="AA49" s="256"/>
      <c r="AB49" s="258"/>
      <c r="AC49" s="260"/>
      <c r="AD49" s="261"/>
      <c r="AE49" s="261"/>
      <c r="AF49" s="262"/>
      <c r="AG49" s="261"/>
      <c r="AH49" s="261"/>
      <c r="AI49" s="261"/>
      <c r="AJ49" s="261"/>
      <c r="AK49" s="261"/>
      <c r="AL49" s="259"/>
      <c r="AM49" s="259"/>
      <c r="AN49" s="259"/>
      <c r="AO49" s="252"/>
      <c r="AP49" s="252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</row>
    <row r="50" spans="19:59" x14ac:dyDescent="0.2">
      <c r="S50" s="256"/>
      <c r="T50" s="257"/>
      <c r="U50" s="257"/>
      <c r="V50" s="256"/>
      <c r="W50" s="256"/>
      <c r="X50" s="258"/>
      <c r="Y50" s="259"/>
      <c r="Z50" s="258"/>
      <c r="AA50" s="256"/>
      <c r="AB50" s="258"/>
      <c r="AC50" s="260"/>
      <c r="AD50" s="261"/>
      <c r="AE50" s="261"/>
      <c r="AF50" s="262"/>
      <c r="AG50" s="261"/>
      <c r="AH50" s="261"/>
      <c r="AI50" s="261"/>
      <c r="AJ50" s="261"/>
      <c r="AK50" s="261"/>
      <c r="AL50" s="259"/>
      <c r="AM50" s="259"/>
      <c r="AN50" s="259"/>
      <c r="AO50" s="252"/>
      <c r="AP50" s="252"/>
      <c r="AQ50" s="252"/>
      <c r="AR50" s="252"/>
      <c r="AS50" s="252"/>
      <c r="AT50" s="252"/>
      <c r="AU50" s="252"/>
      <c r="AV50" s="252"/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</row>
    <row r="51" spans="19:59" x14ac:dyDescent="0.2">
      <c r="S51" s="256"/>
      <c r="T51" s="257"/>
      <c r="U51" s="257"/>
      <c r="V51" s="256"/>
      <c r="W51" s="256"/>
      <c r="X51" s="258"/>
      <c r="Y51" s="259"/>
      <c r="Z51" s="258"/>
      <c r="AA51" s="256"/>
      <c r="AB51" s="258"/>
      <c r="AC51" s="260"/>
      <c r="AD51" s="261"/>
      <c r="AE51" s="261"/>
      <c r="AF51" s="262"/>
      <c r="AG51" s="261"/>
      <c r="AH51" s="261"/>
      <c r="AI51" s="261"/>
      <c r="AJ51" s="261"/>
      <c r="AK51" s="261"/>
      <c r="AL51" s="259"/>
      <c r="AM51" s="259"/>
      <c r="AN51" s="259"/>
      <c r="AO51" s="252"/>
      <c r="AP51" s="252"/>
      <c r="AQ51" s="252"/>
      <c r="AR51" s="252"/>
      <c r="AS51" s="252"/>
      <c r="AT51" s="252"/>
      <c r="AU51" s="252"/>
      <c r="AV51" s="252"/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</row>
    <row r="52" spans="19:59" x14ac:dyDescent="0.2">
      <c r="S52" s="256"/>
      <c r="T52" s="257"/>
      <c r="U52" s="257"/>
      <c r="V52" s="256"/>
      <c r="W52" s="256"/>
      <c r="X52" s="258"/>
      <c r="Y52" s="259"/>
      <c r="Z52" s="258"/>
      <c r="AA52" s="256"/>
      <c r="AB52" s="258"/>
      <c r="AC52" s="260"/>
      <c r="AD52" s="261"/>
      <c r="AE52" s="261"/>
      <c r="AF52" s="262"/>
      <c r="AG52" s="261"/>
      <c r="AH52" s="261"/>
      <c r="AI52" s="261"/>
      <c r="AJ52" s="261"/>
      <c r="AK52" s="261"/>
      <c r="AL52" s="259"/>
      <c r="AM52" s="259"/>
      <c r="AN52" s="259"/>
      <c r="AO52" s="252"/>
      <c r="AP52" s="252"/>
      <c r="AQ52" s="252"/>
      <c r="AR52" s="252"/>
      <c r="AS52" s="252"/>
      <c r="AT52" s="252"/>
      <c r="AU52" s="252"/>
      <c r="AV52" s="252"/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</row>
    <row r="53" spans="19:59" x14ac:dyDescent="0.2">
      <c r="S53" s="256"/>
      <c r="T53" s="257"/>
      <c r="U53" s="257"/>
      <c r="V53" s="256"/>
      <c r="W53" s="256"/>
      <c r="X53" s="258"/>
      <c r="Y53" s="259"/>
      <c r="Z53" s="258"/>
      <c r="AA53" s="256"/>
      <c r="AB53" s="258"/>
      <c r="AC53" s="260"/>
      <c r="AD53" s="261"/>
      <c r="AE53" s="261"/>
      <c r="AF53" s="262"/>
      <c r="AG53" s="261"/>
      <c r="AH53" s="261"/>
      <c r="AI53" s="261"/>
      <c r="AJ53" s="261"/>
      <c r="AK53" s="261"/>
      <c r="AL53" s="259"/>
      <c r="AM53" s="259"/>
      <c r="AN53" s="259"/>
      <c r="AO53" s="252"/>
      <c r="AP53" s="252"/>
      <c r="AQ53" s="252"/>
      <c r="AR53" s="252"/>
      <c r="AS53" s="252"/>
      <c r="AT53" s="252"/>
      <c r="AU53" s="252"/>
      <c r="AV53" s="252"/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</row>
    <row r="54" spans="19:59" x14ac:dyDescent="0.2">
      <c r="S54" s="256"/>
      <c r="T54" s="257"/>
      <c r="U54" s="257"/>
      <c r="V54" s="256"/>
      <c r="W54" s="256"/>
      <c r="X54" s="258"/>
      <c r="Y54" s="259"/>
      <c r="Z54" s="258"/>
      <c r="AA54" s="256"/>
      <c r="AB54" s="258"/>
      <c r="AC54" s="260"/>
      <c r="AD54" s="261"/>
      <c r="AE54" s="261"/>
      <c r="AF54" s="262"/>
      <c r="AG54" s="261"/>
      <c r="AH54" s="261"/>
      <c r="AI54" s="261"/>
      <c r="AJ54" s="261"/>
      <c r="AK54" s="261"/>
      <c r="AL54" s="259"/>
      <c r="AM54" s="259"/>
      <c r="AN54" s="259"/>
      <c r="AO54" s="252"/>
      <c r="AP54" s="252"/>
      <c r="AQ54" s="252"/>
      <c r="AR54" s="252"/>
      <c r="AS54" s="252"/>
      <c r="AT54" s="252"/>
      <c r="AU54" s="252"/>
      <c r="AV54" s="252"/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</row>
    <row r="55" spans="19:59" x14ac:dyDescent="0.2">
      <c r="S55" s="256"/>
      <c r="T55" s="257"/>
      <c r="U55" s="257"/>
      <c r="V55" s="256"/>
      <c r="W55" s="256"/>
      <c r="X55" s="258"/>
      <c r="Y55" s="259"/>
      <c r="Z55" s="258"/>
      <c r="AA55" s="256"/>
      <c r="AB55" s="258"/>
      <c r="AC55" s="260"/>
      <c r="AD55" s="261"/>
      <c r="AE55" s="261"/>
      <c r="AF55" s="262"/>
      <c r="AG55" s="261"/>
      <c r="AH55" s="261"/>
      <c r="AI55" s="261"/>
      <c r="AJ55" s="261"/>
      <c r="AK55" s="261"/>
      <c r="AL55" s="259"/>
      <c r="AM55" s="259"/>
      <c r="AN55" s="259"/>
      <c r="AO55" s="252"/>
      <c r="AP55" s="252"/>
      <c r="AQ55" s="252"/>
      <c r="AR55" s="252"/>
      <c r="AS55" s="252"/>
      <c r="AT55" s="252"/>
      <c r="AU55" s="252"/>
      <c r="AV55" s="252"/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</row>
    <row r="56" spans="19:59" x14ac:dyDescent="0.2">
      <c r="S56" s="256"/>
      <c r="T56" s="257"/>
      <c r="U56" s="257"/>
      <c r="V56" s="256"/>
      <c r="W56" s="256"/>
      <c r="X56" s="258"/>
      <c r="Y56" s="259"/>
      <c r="Z56" s="258"/>
      <c r="AA56" s="256"/>
      <c r="AB56" s="258"/>
      <c r="AC56" s="260"/>
      <c r="AD56" s="261"/>
      <c r="AE56" s="261"/>
      <c r="AF56" s="262"/>
      <c r="AG56" s="261"/>
      <c r="AH56" s="261"/>
      <c r="AI56" s="261"/>
      <c r="AJ56" s="261"/>
      <c r="AK56" s="261"/>
      <c r="AL56" s="259"/>
      <c r="AM56" s="259"/>
      <c r="AN56" s="259"/>
      <c r="AO56" s="252"/>
      <c r="AP56" s="252"/>
      <c r="AQ56" s="252"/>
      <c r="AR56" s="252"/>
      <c r="AS56" s="252"/>
      <c r="AT56" s="252"/>
      <c r="AU56" s="252"/>
      <c r="AV56" s="252"/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</row>
    <row r="57" spans="19:59" x14ac:dyDescent="0.2">
      <c r="S57" s="256"/>
      <c r="T57" s="257"/>
      <c r="U57" s="257"/>
      <c r="V57" s="256"/>
      <c r="W57" s="256"/>
      <c r="X57" s="258"/>
      <c r="Y57" s="259"/>
      <c r="Z57" s="258"/>
      <c r="AA57" s="256"/>
      <c r="AB57" s="258"/>
      <c r="AC57" s="260"/>
      <c r="AD57" s="261"/>
      <c r="AE57" s="261"/>
      <c r="AF57" s="262"/>
      <c r="AG57" s="261"/>
      <c r="AH57" s="261"/>
      <c r="AI57" s="261"/>
      <c r="AJ57" s="261"/>
      <c r="AK57" s="261"/>
      <c r="AL57" s="259"/>
      <c r="AM57" s="259"/>
      <c r="AN57" s="259"/>
      <c r="AO57" s="252"/>
      <c r="AP57" s="252"/>
      <c r="AQ57" s="252"/>
      <c r="AR57" s="252"/>
      <c r="AS57" s="252"/>
      <c r="AT57" s="252"/>
      <c r="AU57" s="252"/>
      <c r="AV57" s="252"/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</row>
    <row r="58" spans="19:59" x14ac:dyDescent="0.2">
      <c r="S58" s="256"/>
      <c r="T58" s="257"/>
      <c r="U58" s="257"/>
      <c r="V58" s="256"/>
      <c r="W58" s="256"/>
      <c r="X58" s="258"/>
      <c r="Y58" s="259"/>
      <c r="Z58" s="258"/>
      <c r="AA58" s="256"/>
      <c r="AB58" s="258"/>
      <c r="AC58" s="260"/>
      <c r="AD58" s="261"/>
      <c r="AE58" s="261"/>
      <c r="AF58" s="262"/>
      <c r="AG58" s="261"/>
      <c r="AH58" s="261"/>
      <c r="AI58" s="261"/>
      <c r="AJ58" s="261"/>
      <c r="AK58" s="261"/>
      <c r="AL58" s="259"/>
      <c r="AM58" s="259"/>
      <c r="AN58" s="259"/>
      <c r="AO58" s="252"/>
      <c r="AP58" s="252"/>
      <c r="AQ58" s="252"/>
      <c r="AR58" s="252"/>
      <c r="AS58" s="252"/>
      <c r="AT58" s="252"/>
      <c r="AU58" s="252"/>
      <c r="AV58" s="252"/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</row>
    <row r="59" spans="19:59" x14ac:dyDescent="0.2">
      <c r="S59" s="256"/>
      <c r="T59" s="257"/>
      <c r="U59" s="257"/>
      <c r="V59" s="256"/>
      <c r="W59" s="256"/>
      <c r="X59" s="258"/>
      <c r="Y59" s="259"/>
      <c r="Z59" s="258"/>
      <c r="AA59" s="256"/>
      <c r="AB59" s="258"/>
      <c r="AC59" s="260"/>
      <c r="AD59" s="261"/>
      <c r="AE59" s="261"/>
      <c r="AF59" s="262"/>
      <c r="AG59" s="261"/>
      <c r="AH59" s="261"/>
      <c r="AI59" s="261"/>
      <c r="AJ59" s="261"/>
      <c r="AK59" s="261"/>
      <c r="AL59" s="259"/>
      <c r="AM59" s="259"/>
      <c r="AN59" s="259"/>
      <c r="AO59" s="252"/>
      <c r="AP59" s="252"/>
      <c r="AQ59" s="252"/>
      <c r="AR59" s="252"/>
      <c r="AS59" s="252"/>
      <c r="AT59" s="252"/>
      <c r="AU59" s="252"/>
      <c r="AV59" s="252"/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</row>
    <row r="60" spans="19:59" x14ac:dyDescent="0.2">
      <c r="S60" s="256"/>
      <c r="T60" s="257"/>
      <c r="U60" s="257"/>
      <c r="V60" s="256"/>
      <c r="W60" s="256"/>
      <c r="X60" s="258"/>
      <c r="Y60" s="259"/>
      <c r="Z60" s="258"/>
      <c r="AA60" s="256"/>
      <c r="AB60" s="258"/>
      <c r="AC60" s="260"/>
      <c r="AD60" s="261"/>
      <c r="AE60" s="261"/>
      <c r="AF60" s="262"/>
      <c r="AG60" s="261"/>
      <c r="AH60" s="261"/>
      <c r="AI60" s="261"/>
      <c r="AJ60" s="261"/>
      <c r="AK60" s="261"/>
      <c r="AL60" s="259"/>
      <c r="AM60" s="259"/>
      <c r="AN60" s="259"/>
      <c r="AO60" s="252"/>
      <c r="AP60" s="252"/>
      <c r="AQ60" s="252"/>
      <c r="AR60" s="252"/>
      <c r="AS60" s="252"/>
      <c r="AT60" s="252"/>
      <c r="AU60" s="252"/>
      <c r="AV60" s="252"/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</row>
    <row r="61" spans="19:59" x14ac:dyDescent="0.2">
      <c r="S61" s="256"/>
      <c r="T61" s="257"/>
      <c r="U61" s="257"/>
      <c r="V61" s="256"/>
      <c r="W61" s="256"/>
      <c r="X61" s="258"/>
      <c r="Y61" s="259"/>
      <c r="Z61" s="258"/>
      <c r="AA61" s="256"/>
      <c r="AB61" s="258"/>
      <c r="AC61" s="260"/>
      <c r="AD61" s="261"/>
      <c r="AE61" s="261"/>
      <c r="AF61" s="262"/>
      <c r="AG61" s="261"/>
      <c r="AH61" s="261"/>
      <c r="AI61" s="261"/>
      <c r="AJ61" s="261"/>
      <c r="AK61" s="261"/>
      <c r="AL61" s="259"/>
      <c r="AM61" s="259"/>
      <c r="AN61" s="259"/>
      <c r="AO61" s="252"/>
      <c r="AP61" s="252"/>
      <c r="AQ61" s="252"/>
      <c r="AR61" s="252"/>
      <c r="AS61" s="252"/>
      <c r="AT61" s="252"/>
      <c r="AU61" s="252"/>
      <c r="AV61" s="252"/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</row>
    <row r="62" spans="19:59" x14ac:dyDescent="0.2">
      <c r="S62" s="256"/>
      <c r="T62" s="257"/>
      <c r="U62" s="257"/>
      <c r="V62" s="256"/>
      <c r="W62" s="256"/>
      <c r="X62" s="258"/>
      <c r="Y62" s="259"/>
      <c r="Z62" s="258"/>
      <c r="AA62" s="256"/>
      <c r="AB62" s="258"/>
      <c r="AC62" s="260"/>
      <c r="AD62" s="261"/>
      <c r="AE62" s="261"/>
      <c r="AF62" s="262"/>
      <c r="AG62" s="261"/>
      <c r="AH62" s="261"/>
      <c r="AI62" s="261"/>
      <c r="AJ62" s="261"/>
      <c r="AK62" s="261"/>
      <c r="AL62" s="259"/>
      <c r="AM62" s="259"/>
      <c r="AN62" s="259"/>
      <c r="AO62" s="252"/>
      <c r="AP62" s="252"/>
      <c r="AQ62" s="252"/>
      <c r="AR62" s="252"/>
      <c r="AS62" s="252"/>
      <c r="AT62" s="252"/>
      <c r="AU62" s="252"/>
      <c r="AV62" s="252"/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</row>
    <row r="63" spans="19:59" x14ac:dyDescent="0.2">
      <c r="S63" s="256"/>
      <c r="T63" s="257"/>
      <c r="U63" s="257"/>
      <c r="V63" s="256"/>
      <c r="W63" s="256"/>
      <c r="X63" s="258"/>
      <c r="Y63" s="259"/>
      <c r="Z63" s="258"/>
      <c r="AA63" s="256"/>
      <c r="AB63" s="258"/>
      <c r="AC63" s="260"/>
      <c r="AD63" s="261"/>
      <c r="AE63" s="261"/>
      <c r="AF63" s="262"/>
      <c r="AG63" s="261"/>
      <c r="AH63" s="261"/>
      <c r="AI63" s="261"/>
      <c r="AJ63" s="261"/>
      <c r="AK63" s="261"/>
      <c r="AL63" s="259"/>
      <c r="AM63" s="259"/>
      <c r="AN63" s="259"/>
      <c r="AO63" s="252"/>
      <c r="AP63" s="252"/>
      <c r="AQ63" s="252"/>
      <c r="AR63" s="252"/>
      <c r="AS63" s="252"/>
      <c r="AT63" s="252"/>
      <c r="AU63" s="252"/>
      <c r="AV63" s="252"/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</row>
    <row r="64" spans="19:59" x14ac:dyDescent="0.2">
      <c r="S64" s="256"/>
      <c r="T64" s="257"/>
      <c r="U64" s="257"/>
      <c r="V64" s="256"/>
      <c r="W64" s="256"/>
      <c r="X64" s="258"/>
      <c r="Y64" s="259"/>
      <c r="Z64" s="258"/>
      <c r="AA64" s="256"/>
      <c r="AB64" s="258"/>
      <c r="AC64" s="260"/>
      <c r="AD64" s="261"/>
      <c r="AE64" s="261"/>
      <c r="AF64" s="262"/>
      <c r="AG64" s="261"/>
      <c r="AH64" s="261"/>
      <c r="AI64" s="261"/>
      <c r="AJ64" s="261"/>
      <c r="AK64" s="261"/>
      <c r="AL64" s="259"/>
      <c r="AM64" s="259"/>
      <c r="AN64" s="259"/>
      <c r="AO64" s="252"/>
      <c r="AP64" s="252"/>
      <c r="AQ64" s="252"/>
      <c r="AR64" s="252"/>
      <c r="AS64" s="252"/>
      <c r="AT64" s="252"/>
      <c r="AU64" s="252"/>
      <c r="AV64" s="252"/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</row>
    <row r="65" spans="19:59" x14ac:dyDescent="0.2">
      <c r="S65" s="256"/>
      <c r="T65" s="257"/>
      <c r="U65" s="257"/>
      <c r="V65" s="256"/>
      <c r="W65" s="256"/>
      <c r="X65" s="258"/>
      <c r="Y65" s="259"/>
      <c r="Z65" s="258"/>
      <c r="AA65" s="256"/>
      <c r="AB65" s="258"/>
      <c r="AC65" s="260"/>
      <c r="AD65" s="261"/>
      <c r="AE65" s="261"/>
      <c r="AF65" s="262"/>
      <c r="AG65" s="261"/>
      <c r="AH65" s="261"/>
      <c r="AI65" s="261"/>
      <c r="AJ65" s="261"/>
      <c r="AK65" s="261"/>
      <c r="AL65" s="259"/>
      <c r="AM65" s="259"/>
      <c r="AN65" s="259"/>
      <c r="AO65" s="252"/>
      <c r="AP65" s="252"/>
      <c r="AQ65" s="252"/>
      <c r="AR65" s="252"/>
      <c r="AS65" s="252"/>
      <c r="AT65" s="252"/>
      <c r="AU65" s="252"/>
      <c r="AV65" s="252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</row>
    <row r="66" spans="19:59" x14ac:dyDescent="0.2">
      <c r="S66" s="256"/>
      <c r="T66" s="257"/>
      <c r="U66" s="257"/>
      <c r="V66" s="256"/>
      <c r="W66" s="256"/>
      <c r="X66" s="258"/>
      <c r="Y66" s="259"/>
      <c r="Z66" s="258"/>
      <c r="AA66" s="256"/>
      <c r="AB66" s="258"/>
      <c r="AC66" s="260"/>
      <c r="AD66" s="261"/>
      <c r="AE66" s="261"/>
      <c r="AF66" s="262"/>
      <c r="AG66" s="261"/>
      <c r="AH66" s="261"/>
      <c r="AI66" s="261"/>
      <c r="AJ66" s="261"/>
      <c r="AK66" s="261"/>
      <c r="AL66" s="259"/>
      <c r="AM66" s="259"/>
      <c r="AN66" s="259"/>
      <c r="AO66" s="252"/>
      <c r="AP66" s="252"/>
      <c r="AQ66" s="252"/>
      <c r="AR66" s="252"/>
      <c r="AS66" s="252"/>
      <c r="AT66" s="252"/>
      <c r="AU66" s="252"/>
      <c r="AV66" s="252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</row>
    <row r="67" spans="19:59" x14ac:dyDescent="0.2">
      <c r="S67" s="256"/>
      <c r="T67" s="257"/>
      <c r="U67" s="257"/>
      <c r="V67" s="256"/>
      <c r="W67" s="256"/>
      <c r="X67" s="258"/>
      <c r="Y67" s="259"/>
      <c r="Z67" s="258"/>
      <c r="AA67" s="256"/>
      <c r="AB67" s="258"/>
      <c r="AC67" s="260"/>
      <c r="AD67" s="261"/>
      <c r="AE67" s="261"/>
      <c r="AF67" s="262"/>
      <c r="AG67" s="261"/>
      <c r="AH67" s="261"/>
      <c r="AI67" s="261"/>
      <c r="AJ67" s="261"/>
      <c r="AK67" s="261"/>
      <c r="AL67" s="259"/>
      <c r="AM67" s="259"/>
      <c r="AN67" s="259"/>
      <c r="AO67" s="252"/>
      <c r="AP67" s="252"/>
      <c r="AQ67" s="252"/>
      <c r="AR67" s="252"/>
      <c r="AS67" s="252"/>
      <c r="AT67" s="252"/>
      <c r="AU67" s="252"/>
      <c r="AV67" s="252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</row>
    <row r="68" spans="19:59" x14ac:dyDescent="0.2">
      <c r="S68" s="256"/>
      <c r="T68" s="257"/>
      <c r="U68" s="257"/>
      <c r="V68" s="256"/>
      <c r="W68" s="256"/>
      <c r="X68" s="258"/>
      <c r="Y68" s="259"/>
      <c r="Z68" s="258"/>
      <c r="AA68" s="256"/>
      <c r="AB68" s="258"/>
      <c r="AC68" s="260"/>
      <c r="AD68" s="261"/>
      <c r="AE68" s="261"/>
      <c r="AF68" s="262"/>
      <c r="AG68" s="261"/>
      <c r="AH68" s="261"/>
      <c r="AI68" s="261"/>
      <c r="AJ68" s="261"/>
      <c r="AK68" s="261"/>
      <c r="AL68" s="259"/>
      <c r="AM68" s="259"/>
      <c r="AN68" s="259"/>
      <c r="AO68" s="252"/>
      <c r="AP68" s="252"/>
      <c r="AQ68" s="252"/>
      <c r="AR68" s="252"/>
      <c r="AS68" s="252"/>
      <c r="AT68" s="252"/>
      <c r="AU68" s="252"/>
      <c r="AV68" s="252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</row>
    <row r="69" spans="19:59" x14ac:dyDescent="0.2">
      <c r="S69" s="256"/>
      <c r="T69" s="257"/>
      <c r="U69" s="257"/>
      <c r="V69" s="256"/>
      <c r="W69" s="256"/>
      <c r="X69" s="258"/>
      <c r="Y69" s="259"/>
      <c r="Z69" s="258"/>
      <c r="AA69" s="256"/>
      <c r="AB69" s="258"/>
      <c r="AC69" s="260"/>
      <c r="AD69" s="261"/>
      <c r="AE69" s="261"/>
      <c r="AF69" s="262"/>
      <c r="AG69" s="261"/>
      <c r="AH69" s="261"/>
      <c r="AI69" s="261"/>
      <c r="AJ69" s="261"/>
      <c r="AK69" s="261"/>
      <c r="AL69" s="259"/>
      <c r="AM69" s="259"/>
      <c r="AN69" s="259"/>
      <c r="AO69" s="252"/>
      <c r="AP69" s="252"/>
      <c r="AQ69" s="252"/>
      <c r="AR69" s="252"/>
      <c r="AS69" s="252"/>
      <c r="AT69" s="252"/>
      <c r="AU69" s="252"/>
      <c r="AV69" s="252"/>
      <c r="AW69" s="252"/>
      <c r="AX69" s="252"/>
      <c r="AY69" s="252"/>
      <c r="AZ69" s="252"/>
      <c r="BA69" s="252"/>
      <c r="BB69" s="252"/>
      <c r="BC69" s="252"/>
      <c r="BD69" s="252"/>
      <c r="BE69" s="252"/>
      <c r="BF69" s="252"/>
      <c r="BG69" s="252"/>
    </row>
    <row r="70" spans="19:59" x14ac:dyDescent="0.2">
      <c r="S70" s="256"/>
      <c r="T70" s="257"/>
      <c r="U70" s="257"/>
      <c r="V70" s="256"/>
      <c r="W70" s="256"/>
      <c r="X70" s="258"/>
      <c r="Y70" s="259"/>
      <c r="Z70" s="258"/>
      <c r="AA70" s="256"/>
      <c r="AB70" s="258"/>
      <c r="AC70" s="260"/>
      <c r="AD70" s="261"/>
      <c r="AE70" s="261"/>
      <c r="AF70" s="262"/>
      <c r="AG70" s="261"/>
      <c r="AH70" s="261"/>
      <c r="AI70" s="261"/>
      <c r="AJ70" s="261"/>
      <c r="AK70" s="261"/>
      <c r="AL70" s="259"/>
      <c r="AM70" s="259"/>
      <c r="AN70" s="259"/>
      <c r="AO70" s="252"/>
      <c r="AP70" s="252"/>
      <c r="AQ70" s="252"/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</row>
    <row r="71" spans="19:59" x14ac:dyDescent="0.2">
      <c r="S71" s="256"/>
      <c r="T71" s="257"/>
      <c r="U71" s="257"/>
      <c r="V71" s="256"/>
      <c r="W71" s="256"/>
      <c r="X71" s="258"/>
      <c r="Y71" s="259"/>
      <c r="Z71" s="258"/>
      <c r="AA71" s="256"/>
      <c r="AB71" s="258"/>
      <c r="AC71" s="260"/>
      <c r="AD71" s="261"/>
      <c r="AE71" s="261"/>
      <c r="AF71" s="262"/>
      <c r="AG71" s="261"/>
      <c r="AH71" s="261"/>
      <c r="AI71" s="261"/>
      <c r="AJ71" s="261"/>
      <c r="AK71" s="261"/>
      <c r="AL71" s="259"/>
      <c r="AM71" s="259"/>
      <c r="AN71" s="259"/>
      <c r="AO71" s="252"/>
      <c r="AP71" s="252"/>
      <c r="AQ71" s="252"/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</row>
    <row r="72" spans="19:59" x14ac:dyDescent="0.2">
      <c r="S72" s="256"/>
      <c r="T72" s="257"/>
      <c r="U72" s="257"/>
      <c r="V72" s="256"/>
      <c r="W72" s="256"/>
      <c r="X72" s="258"/>
      <c r="Y72" s="259"/>
      <c r="Z72" s="258"/>
      <c r="AA72" s="256"/>
      <c r="AB72" s="258"/>
      <c r="AC72" s="260"/>
      <c r="AD72" s="261"/>
      <c r="AE72" s="261"/>
      <c r="AF72" s="262"/>
      <c r="AG72" s="261"/>
      <c r="AH72" s="261"/>
      <c r="AI72" s="261"/>
      <c r="AJ72" s="261"/>
      <c r="AK72" s="261"/>
      <c r="AL72" s="259"/>
      <c r="AM72" s="259"/>
      <c r="AN72" s="259"/>
      <c r="AO72" s="252"/>
      <c r="AP72" s="252"/>
      <c r="AQ72" s="252"/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</row>
    <row r="73" spans="19:59" x14ac:dyDescent="0.2">
      <c r="S73" s="256"/>
      <c r="T73" s="257"/>
      <c r="U73" s="257"/>
      <c r="V73" s="256"/>
      <c r="W73" s="256"/>
      <c r="X73" s="258"/>
      <c r="Y73" s="259"/>
      <c r="Z73" s="258"/>
      <c r="AA73" s="256"/>
      <c r="AB73" s="258"/>
      <c r="AC73" s="260"/>
      <c r="AD73" s="261"/>
      <c r="AE73" s="261"/>
      <c r="AF73" s="262"/>
      <c r="AG73" s="261"/>
      <c r="AH73" s="261"/>
      <c r="AI73" s="261"/>
      <c r="AJ73" s="261"/>
      <c r="AK73" s="261"/>
      <c r="AL73" s="259"/>
      <c r="AM73" s="259"/>
      <c r="AN73" s="259"/>
      <c r="AO73" s="252"/>
      <c r="AP73" s="252"/>
      <c r="AQ73" s="252"/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</row>
    <row r="74" spans="19:59" x14ac:dyDescent="0.2">
      <c r="S74" s="256"/>
      <c r="T74" s="257"/>
      <c r="U74" s="257"/>
      <c r="V74" s="256"/>
      <c r="W74" s="256"/>
      <c r="X74" s="258"/>
      <c r="Y74" s="259"/>
      <c r="Z74" s="258"/>
      <c r="AA74" s="256"/>
      <c r="AB74" s="258"/>
      <c r="AC74" s="260"/>
      <c r="AD74" s="261"/>
      <c r="AE74" s="261"/>
      <c r="AF74" s="262"/>
      <c r="AG74" s="261"/>
      <c r="AH74" s="261"/>
      <c r="AI74" s="261"/>
      <c r="AJ74" s="261"/>
      <c r="AK74" s="261"/>
      <c r="AL74" s="259"/>
      <c r="AM74" s="259"/>
      <c r="AN74" s="259"/>
      <c r="AO74" s="252"/>
      <c r="AP74" s="252"/>
      <c r="AQ74" s="252"/>
      <c r="AR74" s="252"/>
      <c r="AS74" s="252"/>
      <c r="AT74" s="252"/>
      <c r="AU74" s="252"/>
      <c r="AV74" s="252"/>
      <c r="AW74" s="252"/>
      <c r="AX74" s="252"/>
      <c r="AY74" s="252"/>
      <c r="AZ74" s="252"/>
      <c r="BA74" s="252"/>
      <c r="BB74" s="252"/>
      <c r="BC74" s="252"/>
      <c r="BD74" s="252"/>
      <c r="BE74" s="252"/>
      <c r="BF74" s="252"/>
      <c r="BG74" s="252"/>
    </row>
    <row r="75" spans="19:59" x14ac:dyDescent="0.2">
      <c r="S75" s="256"/>
      <c r="T75" s="257"/>
      <c r="U75" s="257"/>
      <c r="V75" s="256"/>
      <c r="W75" s="256"/>
      <c r="X75" s="258"/>
      <c r="Y75" s="259"/>
      <c r="Z75" s="258"/>
      <c r="AA75" s="256"/>
      <c r="AB75" s="258"/>
      <c r="AC75" s="260"/>
      <c r="AD75" s="261"/>
      <c r="AE75" s="261"/>
      <c r="AF75" s="262"/>
      <c r="AG75" s="261"/>
      <c r="AH75" s="261"/>
      <c r="AI75" s="261"/>
      <c r="AJ75" s="261"/>
      <c r="AK75" s="261"/>
      <c r="AL75" s="259"/>
      <c r="AM75" s="259"/>
      <c r="AN75" s="259"/>
      <c r="AO75" s="252"/>
      <c r="AP75" s="252"/>
      <c r="AQ75" s="252"/>
      <c r="AR75" s="252"/>
      <c r="AS75" s="252"/>
      <c r="AT75" s="252"/>
      <c r="AU75" s="252"/>
      <c r="AV75" s="252"/>
      <c r="AW75" s="252"/>
      <c r="AX75" s="252"/>
      <c r="AY75" s="252"/>
      <c r="AZ75" s="252"/>
      <c r="BA75" s="252"/>
      <c r="BB75" s="252"/>
      <c r="BC75" s="252"/>
      <c r="BD75" s="252"/>
      <c r="BE75" s="252"/>
      <c r="BF75" s="252"/>
      <c r="BG75" s="252"/>
    </row>
    <row r="76" spans="19:59" x14ac:dyDescent="0.2">
      <c r="S76" s="256"/>
      <c r="T76" s="257"/>
      <c r="U76" s="257"/>
      <c r="V76" s="256"/>
      <c r="W76" s="256"/>
      <c r="X76" s="258"/>
      <c r="Y76" s="259"/>
      <c r="Z76" s="258"/>
      <c r="AA76" s="256"/>
      <c r="AB76" s="258"/>
      <c r="AC76" s="260"/>
      <c r="AD76" s="261"/>
      <c r="AE76" s="261"/>
      <c r="AF76" s="262"/>
      <c r="AG76" s="261"/>
      <c r="AH76" s="261"/>
      <c r="AI76" s="261"/>
      <c r="AJ76" s="261"/>
      <c r="AK76" s="261"/>
      <c r="AL76" s="259"/>
      <c r="AM76" s="259"/>
      <c r="AN76" s="259"/>
      <c r="AO76" s="252"/>
      <c r="AP76" s="252"/>
      <c r="AQ76" s="252"/>
      <c r="AR76" s="252"/>
      <c r="AS76" s="252"/>
      <c r="AT76" s="252"/>
      <c r="AU76" s="252"/>
      <c r="AV76" s="252"/>
      <c r="AW76" s="252"/>
      <c r="AX76" s="252"/>
      <c r="AY76" s="252"/>
      <c r="AZ76" s="252"/>
      <c r="BA76" s="252"/>
      <c r="BB76" s="252"/>
      <c r="BC76" s="252"/>
      <c r="BD76" s="252"/>
      <c r="BE76" s="252"/>
      <c r="BF76" s="252"/>
      <c r="BG76" s="252"/>
    </row>
    <row r="77" spans="19:59" x14ac:dyDescent="0.2">
      <c r="S77" s="256"/>
      <c r="T77" s="257"/>
      <c r="U77" s="257"/>
      <c r="V77" s="256"/>
      <c r="W77" s="256"/>
      <c r="X77" s="258"/>
      <c r="Y77" s="259"/>
      <c r="Z77" s="258"/>
      <c r="AA77" s="256"/>
      <c r="AB77" s="258"/>
      <c r="AC77" s="260"/>
      <c r="AD77" s="261"/>
      <c r="AE77" s="261"/>
      <c r="AF77" s="262"/>
      <c r="AG77" s="261"/>
      <c r="AH77" s="261"/>
      <c r="AI77" s="261"/>
      <c r="AJ77" s="261"/>
      <c r="AK77" s="261"/>
      <c r="AL77" s="259"/>
      <c r="AM77" s="259"/>
      <c r="AN77" s="259"/>
      <c r="AO77" s="252"/>
      <c r="AP77" s="252"/>
      <c r="AQ77" s="252"/>
      <c r="AR77" s="252"/>
      <c r="AS77" s="252"/>
      <c r="AT77" s="252"/>
      <c r="AU77" s="252"/>
      <c r="AV77" s="252"/>
      <c r="AW77" s="252"/>
      <c r="AX77" s="252"/>
      <c r="AY77" s="252"/>
      <c r="AZ77" s="252"/>
      <c r="BA77" s="252"/>
      <c r="BB77" s="252"/>
      <c r="BC77" s="252"/>
      <c r="BD77" s="252"/>
      <c r="BE77" s="252"/>
      <c r="BF77" s="252"/>
      <c r="BG77" s="252"/>
    </row>
    <row r="78" spans="19:59" x14ac:dyDescent="0.2">
      <c r="S78" s="256"/>
      <c r="T78" s="257"/>
      <c r="U78" s="257"/>
      <c r="V78" s="256"/>
      <c r="W78" s="256"/>
      <c r="X78" s="258"/>
      <c r="Y78" s="259"/>
      <c r="Z78" s="258"/>
      <c r="AA78" s="256"/>
      <c r="AB78" s="258"/>
      <c r="AC78" s="260"/>
      <c r="AD78" s="261"/>
      <c r="AE78" s="261"/>
      <c r="AF78" s="262"/>
      <c r="AG78" s="261"/>
      <c r="AH78" s="261"/>
      <c r="AI78" s="261"/>
      <c r="AJ78" s="261"/>
      <c r="AK78" s="261"/>
      <c r="AL78" s="259"/>
      <c r="AM78" s="259"/>
      <c r="AN78" s="259"/>
      <c r="AO78" s="252"/>
      <c r="AP78" s="252"/>
      <c r="AQ78" s="252"/>
      <c r="AR78" s="252"/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</row>
    <row r="79" spans="19:59" x14ac:dyDescent="0.2">
      <c r="S79" s="256"/>
      <c r="T79" s="257"/>
      <c r="U79" s="257"/>
      <c r="V79" s="256"/>
      <c r="W79" s="256"/>
      <c r="X79" s="258"/>
      <c r="Y79" s="259"/>
      <c r="Z79" s="258"/>
      <c r="AA79" s="256"/>
      <c r="AB79" s="258"/>
      <c r="AC79" s="260"/>
      <c r="AD79" s="261"/>
      <c r="AE79" s="261"/>
      <c r="AF79" s="262"/>
      <c r="AG79" s="261"/>
      <c r="AH79" s="261"/>
      <c r="AI79" s="261"/>
      <c r="AJ79" s="261"/>
      <c r="AK79" s="261"/>
      <c r="AL79" s="259"/>
      <c r="AM79" s="259"/>
      <c r="AN79" s="259"/>
      <c r="AO79" s="252"/>
      <c r="AP79" s="252"/>
      <c r="AQ79" s="252"/>
      <c r="AR79" s="252"/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</row>
    <row r="80" spans="19:59" x14ac:dyDescent="0.2">
      <c r="S80" s="256"/>
      <c r="T80" s="257"/>
      <c r="U80" s="257"/>
      <c r="V80" s="256"/>
      <c r="W80" s="256"/>
      <c r="X80" s="258"/>
      <c r="Y80" s="259"/>
      <c r="Z80" s="258"/>
      <c r="AA80" s="256"/>
      <c r="AB80" s="258"/>
      <c r="AC80" s="260"/>
      <c r="AD80" s="261"/>
      <c r="AE80" s="261"/>
      <c r="AF80" s="262"/>
      <c r="AG80" s="261"/>
      <c r="AH80" s="261"/>
      <c r="AI80" s="261"/>
      <c r="AJ80" s="261"/>
      <c r="AK80" s="261"/>
      <c r="AL80" s="259"/>
      <c r="AM80" s="259"/>
      <c r="AN80" s="259"/>
      <c r="AO80" s="252"/>
      <c r="AP80" s="252"/>
      <c r="AQ80" s="252"/>
      <c r="AR80" s="252"/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</row>
    <row r="81" spans="19:59" x14ac:dyDescent="0.2">
      <c r="S81" s="256"/>
      <c r="T81" s="257"/>
      <c r="U81" s="257"/>
      <c r="V81" s="256"/>
      <c r="W81" s="256"/>
      <c r="X81" s="258"/>
      <c r="Y81" s="259"/>
      <c r="Z81" s="258"/>
      <c r="AA81" s="256"/>
      <c r="AB81" s="258"/>
      <c r="AC81" s="260"/>
      <c r="AD81" s="261"/>
      <c r="AE81" s="261"/>
      <c r="AF81" s="262"/>
      <c r="AG81" s="261"/>
      <c r="AH81" s="261"/>
      <c r="AI81" s="261"/>
      <c r="AJ81" s="261"/>
      <c r="AK81" s="261"/>
      <c r="AL81" s="259"/>
      <c r="AM81" s="259"/>
      <c r="AN81" s="259"/>
      <c r="AO81" s="252"/>
      <c r="AP81" s="252"/>
      <c r="AQ81" s="252"/>
      <c r="AR81" s="252"/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</row>
    <row r="82" spans="19:59" x14ac:dyDescent="0.2">
      <c r="S82" s="256"/>
      <c r="T82" s="257"/>
      <c r="U82" s="257"/>
      <c r="V82" s="256"/>
      <c r="W82" s="256"/>
      <c r="X82" s="258"/>
      <c r="Y82" s="259"/>
      <c r="Z82" s="258"/>
      <c r="AA82" s="256"/>
      <c r="AB82" s="258"/>
      <c r="AC82" s="260"/>
      <c r="AD82" s="261"/>
      <c r="AE82" s="261"/>
      <c r="AF82" s="262"/>
      <c r="AG82" s="261"/>
      <c r="AH82" s="261"/>
      <c r="AI82" s="261"/>
      <c r="AJ82" s="261"/>
      <c r="AK82" s="261"/>
      <c r="AL82" s="259"/>
      <c r="AM82" s="259"/>
      <c r="AN82" s="259"/>
      <c r="AO82" s="252"/>
      <c r="AP82" s="252"/>
      <c r="AQ82" s="252"/>
      <c r="AR82" s="252"/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</row>
    <row r="83" spans="19:59" x14ac:dyDescent="0.2">
      <c r="S83" s="256"/>
      <c r="T83" s="257"/>
      <c r="U83" s="257"/>
      <c r="V83" s="256"/>
      <c r="W83" s="256"/>
      <c r="X83" s="258"/>
      <c r="Y83" s="259"/>
      <c r="Z83" s="258"/>
      <c r="AA83" s="256"/>
      <c r="AB83" s="258"/>
      <c r="AC83" s="260"/>
      <c r="AD83" s="261"/>
      <c r="AE83" s="261"/>
      <c r="AF83" s="262"/>
      <c r="AG83" s="261"/>
      <c r="AH83" s="261"/>
      <c r="AI83" s="261"/>
      <c r="AJ83" s="261"/>
      <c r="AK83" s="261"/>
      <c r="AL83" s="259"/>
      <c r="AM83" s="259"/>
      <c r="AN83" s="259"/>
      <c r="AO83" s="252"/>
      <c r="AP83" s="252"/>
      <c r="AQ83" s="252"/>
      <c r="AR83" s="252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</row>
    <row r="84" spans="19:59" x14ac:dyDescent="0.2">
      <c r="S84" s="256"/>
      <c r="T84" s="257"/>
      <c r="U84" s="257"/>
      <c r="V84" s="256"/>
      <c r="W84" s="256"/>
      <c r="X84" s="258"/>
      <c r="Y84" s="259"/>
      <c r="Z84" s="258"/>
      <c r="AA84" s="256"/>
      <c r="AB84" s="258"/>
      <c r="AC84" s="260"/>
      <c r="AD84" s="261"/>
      <c r="AE84" s="261"/>
      <c r="AF84" s="262"/>
      <c r="AG84" s="261"/>
      <c r="AH84" s="261"/>
      <c r="AI84" s="261"/>
      <c r="AJ84" s="261"/>
      <c r="AK84" s="261"/>
      <c r="AL84" s="259"/>
      <c r="AM84" s="259"/>
      <c r="AN84" s="259"/>
      <c r="AO84" s="252"/>
      <c r="AP84" s="252"/>
      <c r="AQ84" s="252"/>
      <c r="AR84" s="252"/>
      <c r="AS84" s="252"/>
      <c r="AT84" s="252"/>
      <c r="AU84" s="252"/>
      <c r="AV84" s="252"/>
      <c r="AW84" s="252"/>
      <c r="AX84" s="252"/>
      <c r="AY84" s="252"/>
      <c r="AZ84" s="252"/>
      <c r="BA84" s="252"/>
      <c r="BB84" s="252"/>
      <c r="BC84" s="252"/>
      <c r="BD84" s="252"/>
      <c r="BE84" s="252"/>
      <c r="BF84" s="252"/>
      <c r="BG84" s="252"/>
    </row>
    <row r="85" spans="19:59" x14ac:dyDescent="0.2">
      <c r="S85" s="256"/>
      <c r="T85" s="257"/>
      <c r="U85" s="257"/>
      <c r="V85" s="256"/>
      <c r="W85" s="256"/>
      <c r="X85" s="258"/>
      <c r="Y85" s="259"/>
      <c r="Z85" s="258"/>
      <c r="AA85" s="256"/>
      <c r="AB85" s="258"/>
      <c r="AC85" s="260"/>
      <c r="AD85" s="261"/>
      <c r="AE85" s="261"/>
      <c r="AF85" s="262"/>
      <c r="AG85" s="261"/>
      <c r="AH85" s="261"/>
      <c r="AI85" s="261"/>
      <c r="AJ85" s="261"/>
      <c r="AK85" s="261"/>
      <c r="AL85" s="259"/>
      <c r="AM85" s="259"/>
      <c r="AN85" s="259"/>
      <c r="AO85" s="252"/>
      <c r="AP85" s="252"/>
      <c r="AQ85" s="252"/>
      <c r="AR85" s="252"/>
      <c r="AS85" s="252"/>
      <c r="AT85" s="252"/>
      <c r="AU85" s="252"/>
      <c r="AV85" s="252"/>
      <c r="AW85" s="252"/>
      <c r="AX85" s="252"/>
      <c r="AY85" s="252"/>
      <c r="AZ85" s="252"/>
      <c r="BA85" s="252"/>
      <c r="BB85" s="252"/>
      <c r="BC85" s="252"/>
      <c r="BD85" s="252"/>
      <c r="BE85" s="252"/>
      <c r="BF85" s="252"/>
      <c r="BG85" s="252"/>
    </row>
    <row r="86" spans="19:59" x14ac:dyDescent="0.2">
      <c r="S86" s="256"/>
      <c r="T86" s="257"/>
      <c r="U86" s="257"/>
      <c r="V86" s="256"/>
      <c r="W86" s="256"/>
      <c r="X86" s="258"/>
      <c r="Y86" s="259"/>
      <c r="Z86" s="258"/>
      <c r="AA86" s="256"/>
      <c r="AB86" s="258"/>
      <c r="AC86" s="260"/>
      <c r="AD86" s="261"/>
      <c r="AE86" s="261"/>
      <c r="AF86" s="262"/>
      <c r="AG86" s="261"/>
      <c r="AH86" s="261"/>
      <c r="AI86" s="261"/>
      <c r="AJ86" s="261"/>
      <c r="AK86" s="261"/>
      <c r="AL86" s="259"/>
      <c r="AM86" s="259"/>
      <c r="AN86" s="259"/>
      <c r="AO86" s="252"/>
      <c r="AP86" s="252"/>
      <c r="AQ86" s="252"/>
      <c r="AR86" s="252"/>
      <c r="AS86" s="252"/>
      <c r="AT86" s="252"/>
      <c r="AU86" s="252"/>
      <c r="AV86" s="252"/>
      <c r="AW86" s="252"/>
      <c r="AX86" s="252"/>
      <c r="AY86" s="252"/>
      <c r="AZ86" s="252"/>
      <c r="BA86" s="252"/>
      <c r="BB86" s="252"/>
      <c r="BC86" s="252"/>
      <c r="BD86" s="252"/>
      <c r="BE86" s="252"/>
      <c r="BF86" s="252"/>
      <c r="BG86" s="252"/>
    </row>
    <row r="87" spans="19:59" x14ac:dyDescent="0.2">
      <c r="S87" s="256"/>
      <c r="T87" s="257"/>
      <c r="U87" s="257"/>
      <c r="V87" s="256"/>
      <c r="W87" s="256"/>
      <c r="X87" s="258"/>
      <c r="Y87" s="259"/>
      <c r="Z87" s="258"/>
      <c r="AA87" s="256"/>
      <c r="AB87" s="258"/>
      <c r="AC87" s="260"/>
      <c r="AD87" s="261"/>
      <c r="AE87" s="261"/>
      <c r="AF87" s="262"/>
      <c r="AG87" s="261"/>
      <c r="AH87" s="261"/>
      <c r="AI87" s="261"/>
      <c r="AJ87" s="261"/>
      <c r="AK87" s="261"/>
      <c r="AL87" s="259"/>
      <c r="AM87" s="259"/>
      <c r="AN87" s="259"/>
      <c r="AO87" s="252"/>
      <c r="AP87" s="252"/>
      <c r="AQ87" s="252"/>
      <c r="AR87" s="252"/>
      <c r="AS87" s="252"/>
      <c r="AT87" s="252"/>
      <c r="AU87" s="252"/>
      <c r="AV87" s="252"/>
      <c r="AW87" s="252"/>
      <c r="AX87" s="252"/>
      <c r="AY87" s="252"/>
      <c r="AZ87" s="252"/>
      <c r="BA87" s="252"/>
      <c r="BB87" s="252"/>
      <c r="BC87" s="252"/>
      <c r="BD87" s="252"/>
      <c r="BE87" s="252"/>
      <c r="BF87" s="252"/>
      <c r="BG87" s="252"/>
    </row>
    <row r="88" spans="19:59" x14ac:dyDescent="0.2">
      <c r="S88" s="256"/>
      <c r="T88" s="257"/>
      <c r="U88" s="257"/>
      <c r="V88" s="256"/>
      <c r="W88" s="256"/>
      <c r="X88" s="258"/>
      <c r="Y88" s="259"/>
      <c r="Z88" s="258"/>
      <c r="AA88" s="256"/>
      <c r="AB88" s="258"/>
      <c r="AC88" s="260"/>
      <c r="AD88" s="261"/>
      <c r="AE88" s="261"/>
      <c r="AF88" s="262"/>
      <c r="AG88" s="261"/>
      <c r="AH88" s="261"/>
      <c r="AI88" s="261"/>
      <c r="AJ88" s="261"/>
      <c r="AK88" s="261"/>
      <c r="AL88" s="259"/>
      <c r="AM88" s="259"/>
      <c r="AN88" s="259"/>
      <c r="AO88" s="252"/>
      <c r="AP88" s="252"/>
      <c r="AQ88" s="252"/>
      <c r="AR88" s="252"/>
      <c r="AS88" s="252"/>
      <c r="AT88" s="252"/>
      <c r="AU88" s="252"/>
      <c r="AV88" s="252"/>
      <c r="AW88" s="252"/>
      <c r="AX88" s="252"/>
      <c r="AY88" s="252"/>
      <c r="AZ88" s="252"/>
      <c r="BA88" s="252"/>
      <c r="BB88" s="252"/>
      <c r="BC88" s="252"/>
      <c r="BD88" s="252"/>
      <c r="BE88" s="252"/>
      <c r="BF88" s="252"/>
      <c r="BG88" s="252"/>
    </row>
    <row r="89" spans="19:59" x14ac:dyDescent="0.2">
      <c r="S89" s="256"/>
      <c r="T89" s="257"/>
      <c r="U89" s="257"/>
      <c r="V89" s="256"/>
      <c r="W89" s="256"/>
      <c r="X89" s="258"/>
      <c r="Y89" s="259"/>
      <c r="Z89" s="258"/>
      <c r="AA89" s="256"/>
      <c r="AB89" s="258"/>
      <c r="AC89" s="260"/>
      <c r="AD89" s="261"/>
      <c r="AE89" s="261"/>
      <c r="AF89" s="262"/>
      <c r="AG89" s="261"/>
      <c r="AH89" s="261"/>
      <c r="AI89" s="261"/>
      <c r="AJ89" s="261"/>
      <c r="AK89" s="261"/>
      <c r="AL89" s="259"/>
      <c r="AM89" s="259"/>
      <c r="AN89" s="259"/>
      <c r="AO89" s="252"/>
      <c r="AP89" s="252"/>
      <c r="AQ89" s="252"/>
      <c r="AR89" s="252"/>
      <c r="AS89" s="252"/>
      <c r="AT89" s="252"/>
      <c r="AU89" s="252"/>
      <c r="AV89" s="252"/>
      <c r="AW89" s="252"/>
      <c r="AX89" s="252"/>
      <c r="AY89" s="252"/>
      <c r="AZ89" s="252"/>
      <c r="BA89" s="252"/>
      <c r="BB89" s="252"/>
      <c r="BC89" s="252"/>
      <c r="BD89" s="252"/>
      <c r="BE89" s="252"/>
      <c r="BF89" s="252"/>
      <c r="BG89" s="252"/>
    </row>
    <row r="90" spans="19:59" x14ac:dyDescent="0.2">
      <c r="S90" s="256"/>
      <c r="T90" s="257"/>
      <c r="U90" s="257"/>
      <c r="V90" s="256"/>
      <c r="W90" s="256"/>
      <c r="X90" s="258"/>
      <c r="Y90" s="259"/>
      <c r="Z90" s="258"/>
      <c r="AA90" s="256"/>
      <c r="AB90" s="258"/>
      <c r="AC90" s="260"/>
      <c r="AD90" s="261"/>
      <c r="AE90" s="261"/>
      <c r="AF90" s="262"/>
      <c r="AG90" s="261"/>
      <c r="AH90" s="261"/>
      <c r="AI90" s="261"/>
      <c r="AJ90" s="261"/>
      <c r="AK90" s="261"/>
      <c r="AL90" s="259"/>
      <c r="AM90" s="259"/>
      <c r="AN90" s="259"/>
      <c r="AO90" s="252"/>
      <c r="AP90" s="252"/>
      <c r="AQ90" s="252"/>
      <c r="AR90" s="252"/>
      <c r="AS90" s="252"/>
      <c r="AT90" s="252"/>
      <c r="AU90" s="252"/>
      <c r="AV90" s="252"/>
      <c r="AW90" s="252"/>
      <c r="AX90" s="252"/>
      <c r="AY90" s="252"/>
      <c r="AZ90" s="252"/>
      <c r="BA90" s="252"/>
      <c r="BB90" s="252"/>
      <c r="BC90" s="252"/>
      <c r="BD90" s="252"/>
      <c r="BE90" s="252"/>
      <c r="BF90" s="252"/>
      <c r="BG90" s="252"/>
    </row>
    <row r="91" spans="19:59" x14ac:dyDescent="0.2">
      <c r="S91" s="256"/>
      <c r="T91" s="257"/>
      <c r="U91" s="257"/>
      <c r="V91" s="256"/>
      <c r="W91" s="256"/>
      <c r="X91" s="258"/>
      <c r="Y91" s="259"/>
      <c r="Z91" s="258"/>
      <c r="AA91" s="256"/>
      <c r="AB91" s="258"/>
      <c r="AC91" s="260"/>
      <c r="AD91" s="261"/>
      <c r="AE91" s="261"/>
      <c r="AF91" s="262"/>
      <c r="AG91" s="261"/>
      <c r="AH91" s="261"/>
      <c r="AI91" s="261"/>
      <c r="AJ91" s="261"/>
      <c r="AK91" s="261"/>
      <c r="AL91" s="259"/>
      <c r="AM91" s="259"/>
      <c r="AN91" s="259"/>
      <c r="AO91" s="252"/>
      <c r="AP91" s="252"/>
      <c r="AQ91" s="252"/>
      <c r="AR91" s="252"/>
      <c r="AS91" s="252"/>
      <c r="AT91" s="252"/>
      <c r="AU91" s="252"/>
      <c r="AV91" s="252"/>
      <c r="AW91" s="252"/>
      <c r="AX91" s="252"/>
      <c r="AY91" s="252"/>
      <c r="AZ91" s="252"/>
      <c r="BA91" s="252"/>
      <c r="BB91" s="252"/>
      <c r="BC91" s="252"/>
      <c r="BD91" s="252"/>
      <c r="BE91" s="252"/>
      <c r="BF91" s="252"/>
      <c r="BG91" s="252"/>
    </row>
    <row r="92" spans="19:59" x14ac:dyDescent="0.2">
      <c r="S92" s="256"/>
      <c r="T92" s="257"/>
      <c r="U92" s="257"/>
      <c r="V92" s="256"/>
      <c r="W92" s="256"/>
      <c r="X92" s="258"/>
      <c r="Y92" s="259"/>
      <c r="Z92" s="258"/>
      <c r="AA92" s="256"/>
      <c r="AB92" s="258"/>
      <c r="AC92" s="260"/>
      <c r="AD92" s="261"/>
      <c r="AE92" s="261"/>
      <c r="AF92" s="262"/>
      <c r="AG92" s="261"/>
      <c r="AH92" s="261"/>
      <c r="AI92" s="261"/>
      <c r="AJ92" s="261"/>
      <c r="AK92" s="261"/>
      <c r="AL92" s="259"/>
      <c r="AM92" s="259"/>
      <c r="AN92" s="259"/>
      <c r="AO92" s="252"/>
      <c r="AP92" s="252"/>
      <c r="AQ92" s="252"/>
      <c r="AR92" s="252"/>
      <c r="AS92" s="252"/>
      <c r="AT92" s="252"/>
      <c r="AU92" s="252"/>
      <c r="AV92" s="252"/>
      <c r="AW92" s="252"/>
      <c r="AX92" s="252"/>
      <c r="AY92" s="252"/>
      <c r="AZ92" s="252"/>
      <c r="BA92" s="252"/>
      <c r="BB92" s="252"/>
      <c r="BC92" s="252"/>
      <c r="BD92" s="252"/>
      <c r="BE92" s="252"/>
      <c r="BF92" s="252"/>
      <c r="BG92" s="252"/>
    </row>
    <row r="93" spans="19:59" x14ac:dyDescent="0.2">
      <c r="S93" s="256"/>
      <c r="T93" s="257"/>
      <c r="U93" s="257"/>
      <c r="V93" s="256"/>
      <c r="W93" s="256"/>
      <c r="X93" s="258"/>
      <c r="Y93" s="259"/>
      <c r="Z93" s="258"/>
      <c r="AA93" s="256"/>
      <c r="AB93" s="258"/>
      <c r="AC93" s="260"/>
      <c r="AD93" s="261"/>
      <c r="AE93" s="261"/>
      <c r="AF93" s="262"/>
      <c r="AG93" s="261"/>
      <c r="AH93" s="261"/>
      <c r="AI93" s="261"/>
      <c r="AJ93" s="261"/>
      <c r="AK93" s="261"/>
      <c r="AL93" s="259"/>
      <c r="AM93" s="259"/>
      <c r="AN93" s="259"/>
      <c r="AO93" s="252"/>
      <c r="AP93" s="252"/>
      <c r="AQ93" s="252"/>
      <c r="AR93" s="252"/>
      <c r="AS93" s="252"/>
      <c r="AT93" s="252"/>
      <c r="AU93" s="252"/>
      <c r="AV93" s="252"/>
      <c r="AW93" s="252"/>
      <c r="AX93" s="252"/>
      <c r="AY93" s="252"/>
      <c r="AZ93" s="252"/>
      <c r="BA93" s="252"/>
      <c r="BB93" s="252"/>
      <c r="BC93" s="252"/>
      <c r="BD93" s="252"/>
      <c r="BE93" s="252"/>
      <c r="BF93" s="252"/>
      <c r="BG93" s="252"/>
    </row>
    <row r="94" spans="19:59" x14ac:dyDescent="0.2">
      <c r="S94" s="256"/>
      <c r="T94" s="257"/>
      <c r="U94" s="257"/>
      <c r="V94" s="256"/>
      <c r="W94" s="256"/>
      <c r="X94" s="258"/>
      <c r="Y94" s="259"/>
      <c r="Z94" s="258"/>
      <c r="AA94" s="256"/>
      <c r="AB94" s="258"/>
      <c r="AC94" s="260"/>
      <c r="AD94" s="261"/>
      <c r="AE94" s="261"/>
      <c r="AF94" s="262"/>
      <c r="AG94" s="261"/>
      <c r="AH94" s="261"/>
      <c r="AI94" s="261"/>
      <c r="AJ94" s="261"/>
      <c r="AK94" s="261"/>
      <c r="AL94" s="259"/>
      <c r="AM94" s="259"/>
      <c r="AN94" s="259"/>
      <c r="AO94" s="252"/>
      <c r="AP94" s="252"/>
      <c r="AQ94" s="252"/>
      <c r="AR94" s="252"/>
      <c r="AS94" s="252"/>
      <c r="AT94" s="252"/>
      <c r="AU94" s="252"/>
      <c r="AV94" s="252"/>
      <c r="AW94" s="252"/>
      <c r="AX94" s="252"/>
      <c r="AY94" s="252"/>
      <c r="AZ94" s="252"/>
      <c r="BA94" s="252"/>
      <c r="BB94" s="252"/>
      <c r="BC94" s="252"/>
      <c r="BD94" s="252"/>
      <c r="BE94" s="252"/>
      <c r="BF94" s="252"/>
      <c r="BG94" s="252"/>
    </row>
    <row r="95" spans="19:59" x14ac:dyDescent="0.2">
      <c r="S95" s="256"/>
      <c r="T95" s="257"/>
      <c r="U95" s="257"/>
      <c r="V95" s="256"/>
      <c r="W95" s="256"/>
      <c r="X95" s="258"/>
      <c r="Y95" s="259"/>
      <c r="Z95" s="258"/>
      <c r="AA95" s="256"/>
      <c r="AB95" s="258"/>
      <c r="AC95" s="260"/>
      <c r="AD95" s="261"/>
      <c r="AE95" s="261"/>
      <c r="AF95" s="262"/>
      <c r="AG95" s="261"/>
      <c r="AH95" s="261"/>
      <c r="AI95" s="261"/>
      <c r="AJ95" s="261"/>
      <c r="AK95" s="261"/>
      <c r="AL95" s="259"/>
      <c r="AM95" s="259"/>
      <c r="AN95" s="259"/>
      <c r="AO95" s="252"/>
      <c r="AP95" s="252"/>
      <c r="AQ95" s="252"/>
      <c r="AR95" s="252"/>
      <c r="AS95" s="252"/>
      <c r="AT95" s="252"/>
      <c r="AU95" s="252"/>
      <c r="AV95" s="252"/>
      <c r="AW95" s="252"/>
      <c r="AX95" s="252"/>
      <c r="AY95" s="252"/>
      <c r="AZ95" s="252"/>
      <c r="BA95" s="252"/>
      <c r="BB95" s="252"/>
      <c r="BC95" s="252"/>
      <c r="BD95" s="252"/>
      <c r="BE95" s="252"/>
      <c r="BF95" s="252"/>
      <c r="BG95" s="252"/>
    </row>
    <row r="96" spans="19:59" x14ac:dyDescent="0.2">
      <c r="S96" s="256"/>
      <c r="T96" s="257"/>
      <c r="U96" s="257"/>
      <c r="V96" s="256"/>
      <c r="W96" s="256"/>
      <c r="X96" s="258"/>
      <c r="Y96" s="259"/>
      <c r="Z96" s="258"/>
      <c r="AA96" s="256"/>
      <c r="AB96" s="258"/>
      <c r="AC96" s="260"/>
      <c r="AD96" s="261"/>
      <c r="AE96" s="261"/>
      <c r="AF96" s="262"/>
      <c r="AG96" s="261"/>
      <c r="AH96" s="261"/>
      <c r="AI96" s="261"/>
      <c r="AJ96" s="261"/>
      <c r="AK96" s="261"/>
      <c r="AL96" s="259"/>
      <c r="AM96" s="259"/>
      <c r="AN96" s="259"/>
      <c r="AO96" s="252"/>
      <c r="AP96" s="252"/>
      <c r="AQ96" s="252"/>
      <c r="AR96" s="252"/>
      <c r="AS96" s="252"/>
      <c r="AT96" s="252"/>
      <c r="AU96" s="252"/>
      <c r="AV96" s="252"/>
      <c r="AW96" s="252"/>
      <c r="AX96" s="252"/>
      <c r="AY96" s="252"/>
      <c r="AZ96" s="252"/>
      <c r="BA96" s="252"/>
      <c r="BB96" s="252"/>
      <c r="BC96" s="252"/>
      <c r="BD96" s="252"/>
      <c r="BE96" s="252"/>
      <c r="BF96" s="252"/>
      <c r="BG96" s="252"/>
    </row>
    <row r="97" spans="19:59" x14ac:dyDescent="0.2">
      <c r="S97" s="256"/>
      <c r="T97" s="257"/>
      <c r="U97" s="257"/>
      <c r="V97" s="256"/>
      <c r="W97" s="256"/>
      <c r="X97" s="258"/>
      <c r="Y97" s="259"/>
      <c r="Z97" s="258"/>
      <c r="AA97" s="256"/>
      <c r="AB97" s="258"/>
      <c r="AC97" s="260"/>
      <c r="AD97" s="261"/>
      <c r="AE97" s="261"/>
      <c r="AF97" s="262"/>
      <c r="AG97" s="261"/>
      <c r="AH97" s="261"/>
      <c r="AI97" s="261"/>
      <c r="AJ97" s="261"/>
      <c r="AK97" s="261"/>
      <c r="AL97" s="259"/>
      <c r="AM97" s="259"/>
      <c r="AN97" s="259"/>
      <c r="AO97" s="252"/>
      <c r="AP97" s="252"/>
      <c r="AQ97" s="252"/>
      <c r="AR97" s="252"/>
      <c r="AS97" s="252"/>
      <c r="AT97" s="252"/>
      <c r="AU97" s="252"/>
      <c r="AV97" s="252"/>
      <c r="AW97" s="252"/>
      <c r="AX97" s="252"/>
      <c r="AY97" s="252"/>
      <c r="AZ97" s="252"/>
      <c r="BA97" s="252"/>
      <c r="BB97" s="252"/>
      <c r="BC97" s="252"/>
      <c r="BD97" s="252"/>
      <c r="BE97" s="252"/>
      <c r="BF97" s="252"/>
      <c r="BG97" s="252"/>
    </row>
    <row r="98" spans="19:59" x14ac:dyDescent="0.2">
      <c r="S98" s="256"/>
      <c r="T98" s="257"/>
      <c r="U98" s="257"/>
      <c r="V98" s="256"/>
      <c r="W98" s="256"/>
      <c r="X98" s="258"/>
      <c r="Y98" s="259"/>
      <c r="Z98" s="258"/>
      <c r="AA98" s="256"/>
      <c r="AB98" s="258"/>
      <c r="AC98" s="260"/>
      <c r="AD98" s="261"/>
      <c r="AE98" s="261"/>
      <c r="AF98" s="262"/>
      <c r="AG98" s="261"/>
      <c r="AH98" s="261"/>
      <c r="AI98" s="261"/>
      <c r="AJ98" s="261"/>
      <c r="AK98" s="261"/>
      <c r="AL98" s="259"/>
      <c r="AM98" s="259"/>
      <c r="AN98" s="259"/>
      <c r="AO98" s="252"/>
      <c r="AP98" s="252"/>
      <c r="AQ98" s="252"/>
      <c r="AR98" s="252"/>
      <c r="AS98" s="252"/>
      <c r="AT98" s="252"/>
      <c r="AU98" s="252"/>
      <c r="AV98" s="252"/>
      <c r="AW98" s="252"/>
      <c r="AX98" s="252"/>
      <c r="AY98" s="252"/>
      <c r="AZ98" s="252"/>
      <c r="BA98" s="252"/>
      <c r="BB98" s="252"/>
      <c r="BC98" s="252"/>
      <c r="BD98" s="252"/>
      <c r="BE98" s="252"/>
      <c r="BF98" s="252"/>
      <c r="BG98" s="252"/>
    </row>
    <row r="99" spans="19:59" x14ac:dyDescent="0.2">
      <c r="S99" s="256"/>
      <c r="T99" s="257"/>
      <c r="U99" s="257"/>
      <c r="V99" s="256"/>
      <c r="W99" s="256"/>
      <c r="X99" s="258"/>
      <c r="Y99" s="259"/>
      <c r="Z99" s="258"/>
      <c r="AA99" s="256"/>
      <c r="AB99" s="258"/>
      <c r="AC99" s="260"/>
      <c r="AD99" s="261"/>
      <c r="AE99" s="261"/>
      <c r="AF99" s="262"/>
      <c r="AG99" s="261"/>
      <c r="AH99" s="261"/>
      <c r="AI99" s="261"/>
      <c r="AJ99" s="261"/>
      <c r="AK99" s="261"/>
      <c r="AL99" s="259"/>
      <c r="AM99" s="259"/>
      <c r="AN99" s="259"/>
      <c r="AO99" s="252"/>
      <c r="AP99" s="252"/>
      <c r="AQ99" s="252"/>
      <c r="AR99" s="252"/>
      <c r="AS99" s="252"/>
      <c r="AT99" s="252"/>
      <c r="AU99" s="252"/>
      <c r="AV99" s="252"/>
      <c r="AW99" s="252"/>
      <c r="AX99" s="252"/>
      <c r="AY99" s="252"/>
      <c r="AZ99" s="252"/>
      <c r="BA99" s="252"/>
      <c r="BB99" s="252"/>
      <c r="BC99" s="252"/>
      <c r="BD99" s="252"/>
      <c r="BE99" s="252"/>
      <c r="BF99" s="252"/>
      <c r="BG99" s="252"/>
    </row>
    <row r="100" spans="19:59" x14ac:dyDescent="0.2">
      <c r="S100" s="256"/>
      <c r="T100" s="257"/>
      <c r="U100" s="257"/>
      <c r="V100" s="256"/>
      <c r="W100" s="256"/>
      <c r="X100" s="258"/>
      <c r="Y100" s="259"/>
      <c r="Z100" s="258"/>
      <c r="AA100" s="256"/>
      <c r="AB100" s="258"/>
      <c r="AC100" s="260"/>
      <c r="AD100" s="261"/>
      <c r="AE100" s="261"/>
      <c r="AF100" s="262"/>
      <c r="AG100" s="261"/>
      <c r="AH100" s="261"/>
      <c r="AI100" s="261"/>
      <c r="AJ100" s="261"/>
      <c r="AK100" s="261"/>
      <c r="AL100" s="259"/>
      <c r="AM100" s="259"/>
      <c r="AN100" s="259"/>
      <c r="AO100" s="252"/>
      <c r="AP100" s="252"/>
      <c r="AQ100" s="252"/>
      <c r="AR100" s="252"/>
      <c r="AS100" s="252"/>
      <c r="AT100" s="252"/>
      <c r="AU100" s="252"/>
      <c r="AV100" s="252"/>
      <c r="AW100" s="252"/>
      <c r="AX100" s="252"/>
      <c r="AY100" s="252"/>
      <c r="AZ100" s="252"/>
      <c r="BA100" s="252"/>
      <c r="BB100" s="252"/>
      <c r="BC100" s="252"/>
      <c r="BD100" s="252"/>
      <c r="BE100" s="252"/>
      <c r="BF100" s="252"/>
      <c r="BG100" s="252"/>
    </row>
    <row r="101" spans="19:59" x14ac:dyDescent="0.2">
      <c r="S101" s="256"/>
      <c r="T101" s="257"/>
      <c r="U101" s="257"/>
      <c r="V101" s="256"/>
      <c r="W101" s="256"/>
      <c r="X101" s="258"/>
      <c r="Y101" s="259"/>
      <c r="Z101" s="258"/>
      <c r="AA101" s="256"/>
      <c r="AB101" s="258"/>
      <c r="AC101" s="260"/>
      <c r="AD101" s="261"/>
      <c r="AE101" s="261"/>
      <c r="AF101" s="262"/>
      <c r="AG101" s="261"/>
      <c r="AH101" s="261"/>
      <c r="AI101" s="261"/>
      <c r="AJ101" s="261"/>
      <c r="AK101" s="261"/>
      <c r="AL101" s="259"/>
      <c r="AM101" s="259"/>
      <c r="AN101" s="259"/>
      <c r="AO101" s="252"/>
      <c r="AP101" s="252"/>
      <c r="AQ101" s="252"/>
      <c r="AR101" s="252"/>
      <c r="AS101" s="252"/>
      <c r="AT101" s="252"/>
      <c r="AU101" s="252"/>
      <c r="AV101" s="252"/>
      <c r="AW101" s="252"/>
      <c r="AX101" s="252"/>
      <c r="AY101" s="252"/>
      <c r="AZ101" s="252"/>
      <c r="BA101" s="252"/>
      <c r="BB101" s="252"/>
      <c r="BC101" s="252"/>
      <c r="BD101" s="252"/>
      <c r="BE101" s="252"/>
      <c r="BF101" s="252"/>
      <c r="BG101" s="252"/>
    </row>
    <row r="102" spans="19:59" x14ac:dyDescent="0.2">
      <c r="S102" s="256"/>
      <c r="T102" s="257"/>
      <c r="U102" s="257"/>
      <c r="V102" s="256"/>
      <c r="W102" s="256"/>
      <c r="X102" s="258"/>
      <c r="Y102" s="259"/>
      <c r="Z102" s="258"/>
      <c r="AA102" s="256"/>
      <c r="AB102" s="258"/>
      <c r="AC102" s="260"/>
      <c r="AD102" s="261"/>
      <c r="AE102" s="261"/>
      <c r="AF102" s="262"/>
      <c r="AG102" s="261"/>
      <c r="AH102" s="261"/>
      <c r="AI102" s="261"/>
      <c r="AJ102" s="261"/>
      <c r="AK102" s="261"/>
      <c r="AL102" s="259"/>
      <c r="AM102" s="259"/>
      <c r="AN102" s="259"/>
      <c r="AO102" s="252"/>
      <c r="AP102" s="252"/>
      <c r="AQ102" s="252"/>
      <c r="AR102" s="252"/>
      <c r="AS102" s="252"/>
      <c r="AT102" s="252"/>
      <c r="AU102" s="252"/>
      <c r="AV102" s="252"/>
      <c r="AW102" s="252"/>
      <c r="AX102" s="252"/>
      <c r="AY102" s="252"/>
      <c r="AZ102" s="252"/>
      <c r="BA102" s="252"/>
      <c r="BB102" s="252"/>
      <c r="BC102" s="252"/>
      <c r="BD102" s="252"/>
      <c r="BE102" s="252"/>
      <c r="BF102" s="252"/>
      <c r="BG102" s="252"/>
    </row>
    <row r="103" spans="19:59" x14ac:dyDescent="0.2">
      <c r="S103" s="256"/>
      <c r="T103" s="257"/>
      <c r="U103" s="257"/>
      <c r="V103" s="256"/>
      <c r="W103" s="256"/>
      <c r="X103" s="258"/>
      <c r="Y103" s="259"/>
      <c r="Z103" s="258"/>
      <c r="AA103" s="256"/>
      <c r="AB103" s="258"/>
      <c r="AC103" s="260"/>
      <c r="AD103" s="261"/>
      <c r="AE103" s="261"/>
      <c r="AF103" s="262"/>
      <c r="AG103" s="261"/>
      <c r="AH103" s="261"/>
      <c r="AI103" s="261"/>
      <c r="AJ103" s="261"/>
      <c r="AK103" s="261"/>
      <c r="AL103" s="259"/>
      <c r="AM103" s="259"/>
      <c r="AN103" s="259"/>
      <c r="AO103" s="252"/>
      <c r="AP103" s="252"/>
      <c r="AQ103" s="252"/>
      <c r="AR103" s="252"/>
      <c r="AS103" s="252"/>
      <c r="AT103" s="252"/>
      <c r="AU103" s="252"/>
      <c r="AV103" s="252"/>
      <c r="AW103" s="252"/>
      <c r="AX103" s="252"/>
      <c r="AY103" s="252"/>
      <c r="AZ103" s="252"/>
      <c r="BA103" s="252"/>
      <c r="BB103" s="252"/>
      <c r="BC103" s="252"/>
      <c r="BD103" s="252"/>
      <c r="BE103" s="252"/>
      <c r="BF103" s="252"/>
      <c r="BG103" s="252"/>
    </row>
    <row r="104" spans="19:59" x14ac:dyDescent="0.2">
      <c r="S104" s="256"/>
      <c r="T104" s="257"/>
      <c r="U104" s="257"/>
      <c r="V104" s="256"/>
      <c r="W104" s="256"/>
      <c r="X104" s="258"/>
      <c r="Y104" s="259"/>
      <c r="Z104" s="258"/>
      <c r="AA104" s="256"/>
      <c r="AB104" s="258"/>
      <c r="AC104" s="260"/>
      <c r="AD104" s="261"/>
      <c r="AE104" s="261"/>
      <c r="AF104" s="262"/>
      <c r="AG104" s="261"/>
      <c r="AH104" s="261"/>
      <c r="AI104" s="261"/>
      <c r="AJ104" s="261"/>
      <c r="AK104" s="261"/>
      <c r="AL104" s="259"/>
      <c r="AM104" s="259"/>
      <c r="AN104" s="259"/>
      <c r="AO104" s="252"/>
      <c r="AP104" s="252"/>
      <c r="AQ104" s="252"/>
      <c r="AR104" s="252"/>
      <c r="AS104" s="252"/>
      <c r="AT104" s="252"/>
      <c r="AU104" s="252"/>
      <c r="AV104" s="252"/>
      <c r="AW104" s="252"/>
      <c r="AX104" s="252"/>
      <c r="AY104" s="252"/>
      <c r="AZ104" s="252"/>
      <c r="BA104" s="252"/>
      <c r="BB104" s="252"/>
      <c r="BC104" s="252"/>
      <c r="BD104" s="252"/>
      <c r="BE104" s="252"/>
      <c r="BF104" s="252"/>
      <c r="BG104" s="252"/>
    </row>
    <row r="105" spans="19:59" x14ac:dyDescent="0.2">
      <c r="S105" s="256"/>
      <c r="T105" s="257"/>
      <c r="U105" s="257"/>
      <c r="V105" s="256"/>
      <c r="W105" s="256"/>
      <c r="X105" s="258"/>
      <c r="Y105" s="259"/>
      <c r="Z105" s="258"/>
      <c r="AA105" s="256"/>
      <c r="AB105" s="258"/>
      <c r="AC105" s="260"/>
      <c r="AD105" s="261"/>
      <c r="AE105" s="261"/>
      <c r="AF105" s="262"/>
      <c r="AG105" s="261"/>
      <c r="AH105" s="261"/>
      <c r="AI105" s="261"/>
      <c r="AJ105" s="261"/>
      <c r="AK105" s="261"/>
      <c r="AL105" s="259"/>
      <c r="AM105" s="259"/>
      <c r="AN105" s="259"/>
      <c r="AO105" s="252"/>
      <c r="AP105" s="252"/>
      <c r="AQ105" s="252"/>
      <c r="AR105" s="252"/>
      <c r="AS105" s="252"/>
      <c r="AT105" s="252"/>
      <c r="AU105" s="252"/>
      <c r="AV105" s="252"/>
      <c r="AW105" s="252"/>
      <c r="AX105" s="252"/>
      <c r="AY105" s="252"/>
      <c r="AZ105" s="252"/>
      <c r="BA105" s="252"/>
      <c r="BB105" s="252"/>
      <c r="BC105" s="252"/>
      <c r="BD105" s="252"/>
      <c r="BE105" s="252"/>
      <c r="BF105" s="252"/>
      <c r="BG105" s="252"/>
    </row>
    <row r="106" spans="19:59" x14ac:dyDescent="0.2">
      <c r="S106" s="256"/>
      <c r="T106" s="257"/>
      <c r="U106" s="257"/>
      <c r="V106" s="256"/>
      <c r="W106" s="256"/>
      <c r="X106" s="258"/>
      <c r="Y106" s="259"/>
      <c r="Z106" s="258"/>
      <c r="AA106" s="256"/>
      <c r="AB106" s="258"/>
      <c r="AC106" s="260"/>
      <c r="AD106" s="261"/>
      <c r="AE106" s="261"/>
      <c r="AF106" s="262"/>
      <c r="AG106" s="261"/>
      <c r="AH106" s="261"/>
      <c r="AI106" s="261"/>
      <c r="AJ106" s="261"/>
      <c r="AK106" s="261"/>
      <c r="AL106" s="259"/>
      <c r="AM106" s="259"/>
      <c r="AN106" s="259"/>
      <c r="AO106" s="252"/>
      <c r="AP106" s="252"/>
      <c r="AQ106" s="252"/>
      <c r="AR106" s="252"/>
      <c r="AS106" s="252"/>
      <c r="AT106" s="252"/>
      <c r="AU106" s="252"/>
      <c r="AV106" s="252"/>
      <c r="AW106" s="252"/>
      <c r="AX106" s="252"/>
      <c r="AY106" s="252"/>
      <c r="AZ106" s="252"/>
      <c r="BA106" s="252"/>
      <c r="BB106" s="252"/>
      <c r="BC106" s="252"/>
      <c r="BD106" s="252"/>
      <c r="BE106" s="252"/>
      <c r="BF106" s="252"/>
      <c r="BG106" s="252"/>
    </row>
    <row r="107" spans="19:59" x14ac:dyDescent="0.2">
      <c r="S107" s="256"/>
      <c r="T107" s="257"/>
      <c r="U107" s="257"/>
      <c r="V107" s="256"/>
      <c r="W107" s="256"/>
      <c r="X107" s="258"/>
      <c r="Y107" s="259"/>
      <c r="Z107" s="258"/>
      <c r="AA107" s="256"/>
      <c r="AB107" s="258"/>
      <c r="AC107" s="260"/>
      <c r="AD107" s="261"/>
      <c r="AE107" s="261"/>
      <c r="AF107" s="262"/>
      <c r="AG107" s="261"/>
      <c r="AH107" s="261"/>
      <c r="AI107" s="261"/>
      <c r="AJ107" s="261"/>
      <c r="AK107" s="261"/>
      <c r="AL107" s="259"/>
      <c r="AM107" s="259"/>
      <c r="AN107" s="259"/>
      <c r="AO107" s="252"/>
      <c r="AP107" s="252"/>
      <c r="AQ107" s="252"/>
      <c r="AR107" s="252"/>
      <c r="AS107" s="252"/>
      <c r="AT107" s="252"/>
      <c r="AU107" s="252"/>
      <c r="AV107" s="252"/>
      <c r="AW107" s="252"/>
      <c r="AX107" s="252"/>
      <c r="AY107" s="252"/>
      <c r="AZ107" s="252"/>
      <c r="BA107" s="252"/>
      <c r="BB107" s="252"/>
      <c r="BC107" s="252"/>
      <c r="BD107" s="252"/>
      <c r="BE107" s="252"/>
      <c r="BF107" s="252"/>
      <c r="BG107" s="252"/>
    </row>
    <row r="108" spans="19:59" x14ac:dyDescent="0.2">
      <c r="S108" s="256"/>
      <c r="T108" s="257"/>
      <c r="U108" s="257"/>
      <c r="V108" s="256"/>
      <c r="W108" s="256"/>
      <c r="X108" s="258"/>
      <c r="Y108" s="259"/>
      <c r="Z108" s="258"/>
      <c r="AA108" s="256"/>
      <c r="AB108" s="258"/>
      <c r="AC108" s="260"/>
      <c r="AD108" s="261"/>
      <c r="AE108" s="261"/>
      <c r="AF108" s="262"/>
      <c r="AG108" s="261"/>
      <c r="AH108" s="261"/>
      <c r="AI108" s="261"/>
      <c r="AJ108" s="261"/>
      <c r="AK108" s="261"/>
      <c r="AL108" s="259"/>
      <c r="AM108" s="259"/>
      <c r="AN108" s="259"/>
      <c r="AO108" s="252"/>
      <c r="AP108" s="252"/>
      <c r="AQ108" s="252"/>
      <c r="AR108" s="252"/>
      <c r="AS108" s="252"/>
      <c r="AT108" s="252"/>
      <c r="AU108" s="252"/>
      <c r="AV108" s="252"/>
      <c r="AW108" s="252"/>
      <c r="AX108" s="252"/>
      <c r="AY108" s="252"/>
      <c r="AZ108" s="252"/>
      <c r="BA108" s="252"/>
      <c r="BB108" s="252"/>
      <c r="BC108" s="252"/>
      <c r="BD108" s="252"/>
      <c r="BE108" s="252"/>
      <c r="BF108" s="252"/>
      <c r="BG108" s="252"/>
    </row>
    <row r="109" spans="19:59" x14ac:dyDescent="0.2">
      <c r="S109" s="256"/>
      <c r="T109" s="257"/>
      <c r="U109" s="257"/>
      <c r="V109" s="256"/>
      <c r="W109" s="256"/>
      <c r="X109" s="258"/>
      <c r="Y109" s="259"/>
      <c r="Z109" s="258"/>
      <c r="AA109" s="256"/>
      <c r="AB109" s="258"/>
      <c r="AC109" s="260"/>
      <c r="AD109" s="261"/>
      <c r="AE109" s="261"/>
      <c r="AF109" s="262"/>
      <c r="AG109" s="261"/>
      <c r="AH109" s="261"/>
      <c r="AI109" s="261"/>
      <c r="AJ109" s="261"/>
      <c r="AK109" s="261"/>
      <c r="AL109" s="259"/>
      <c r="AM109" s="259"/>
      <c r="AN109" s="259"/>
      <c r="AO109" s="252"/>
      <c r="AP109" s="252"/>
      <c r="AQ109" s="252"/>
      <c r="AR109" s="252"/>
      <c r="AS109" s="252"/>
      <c r="AT109" s="252"/>
      <c r="AU109" s="252"/>
      <c r="AV109" s="252"/>
      <c r="AW109" s="252"/>
      <c r="AX109" s="252"/>
      <c r="AY109" s="252"/>
      <c r="AZ109" s="252"/>
      <c r="BA109" s="252"/>
      <c r="BB109" s="252"/>
      <c r="BC109" s="252"/>
      <c r="BD109" s="252"/>
      <c r="BE109" s="252"/>
      <c r="BF109" s="252"/>
      <c r="BG109" s="252"/>
    </row>
    <row r="110" spans="19:59" x14ac:dyDescent="0.2">
      <c r="S110" s="256"/>
      <c r="T110" s="257"/>
      <c r="U110" s="257"/>
      <c r="V110" s="256"/>
      <c r="W110" s="256"/>
      <c r="X110" s="258"/>
      <c r="Y110" s="259"/>
      <c r="Z110" s="258"/>
      <c r="AA110" s="256"/>
      <c r="AB110" s="258"/>
      <c r="AC110" s="260"/>
      <c r="AD110" s="261"/>
      <c r="AE110" s="261"/>
      <c r="AF110" s="262"/>
      <c r="AG110" s="261"/>
      <c r="AH110" s="261"/>
      <c r="AI110" s="261"/>
      <c r="AJ110" s="261"/>
      <c r="AK110" s="261"/>
      <c r="AL110" s="259"/>
      <c r="AM110" s="259"/>
      <c r="AN110" s="259"/>
      <c r="AO110" s="252"/>
      <c r="AP110" s="252"/>
      <c r="AQ110" s="252"/>
      <c r="AR110" s="252"/>
      <c r="AS110" s="252"/>
      <c r="AT110" s="252"/>
      <c r="AU110" s="252"/>
      <c r="AV110" s="252"/>
      <c r="AW110" s="252"/>
      <c r="AX110" s="252"/>
      <c r="AY110" s="252"/>
      <c r="AZ110" s="252"/>
      <c r="BA110" s="252"/>
      <c r="BB110" s="252"/>
      <c r="BC110" s="252"/>
      <c r="BD110" s="252"/>
      <c r="BE110" s="252"/>
      <c r="BF110" s="252"/>
      <c r="BG110" s="252"/>
    </row>
    <row r="111" spans="19:59" x14ac:dyDescent="0.2">
      <c r="S111" s="256"/>
      <c r="T111" s="257"/>
      <c r="U111" s="257"/>
      <c r="V111" s="256"/>
      <c r="W111" s="256"/>
      <c r="X111" s="258"/>
      <c r="Y111" s="259"/>
      <c r="Z111" s="258"/>
      <c r="AA111" s="256"/>
      <c r="AB111" s="258"/>
      <c r="AC111" s="260"/>
      <c r="AD111" s="261"/>
      <c r="AE111" s="261"/>
      <c r="AF111" s="262"/>
      <c r="AG111" s="261"/>
      <c r="AH111" s="261"/>
      <c r="AI111" s="261"/>
      <c r="AJ111" s="261"/>
      <c r="AK111" s="261"/>
      <c r="AL111" s="259"/>
      <c r="AM111" s="259"/>
      <c r="AN111" s="259"/>
      <c r="AO111" s="252"/>
      <c r="AP111" s="252"/>
      <c r="AQ111" s="252"/>
      <c r="AR111" s="252"/>
      <c r="AS111" s="252"/>
      <c r="AT111" s="252"/>
      <c r="AU111" s="252"/>
      <c r="AV111" s="252"/>
      <c r="AW111" s="252"/>
      <c r="AX111" s="252"/>
      <c r="AY111" s="252"/>
      <c r="AZ111" s="252"/>
      <c r="BA111" s="252"/>
      <c r="BB111" s="252"/>
      <c r="BC111" s="252"/>
      <c r="BD111" s="252"/>
      <c r="BE111" s="252"/>
      <c r="BF111" s="252"/>
      <c r="BG111" s="252"/>
    </row>
    <row r="112" spans="19:59" x14ac:dyDescent="0.2">
      <c r="S112" s="256"/>
      <c r="T112" s="257"/>
      <c r="U112" s="257"/>
      <c r="V112" s="256"/>
      <c r="W112" s="256"/>
      <c r="X112" s="258"/>
      <c r="Y112" s="259"/>
      <c r="Z112" s="258"/>
      <c r="AA112" s="256"/>
      <c r="AB112" s="258"/>
      <c r="AC112" s="260"/>
      <c r="AD112" s="261"/>
      <c r="AE112" s="261"/>
      <c r="AF112" s="262"/>
      <c r="AG112" s="261"/>
      <c r="AH112" s="261"/>
      <c r="AI112" s="261"/>
      <c r="AJ112" s="261"/>
      <c r="AK112" s="261"/>
      <c r="AL112" s="259"/>
      <c r="AM112" s="259"/>
      <c r="AN112" s="259"/>
      <c r="AO112" s="252"/>
      <c r="AP112" s="252"/>
      <c r="AQ112" s="252"/>
      <c r="AR112" s="252"/>
      <c r="AS112" s="252"/>
      <c r="AT112" s="252"/>
      <c r="AU112" s="252"/>
      <c r="AV112" s="252"/>
      <c r="AW112" s="252"/>
      <c r="AX112" s="252"/>
      <c r="AY112" s="252"/>
      <c r="AZ112" s="252"/>
      <c r="BA112" s="252"/>
      <c r="BB112" s="252"/>
      <c r="BC112" s="252"/>
      <c r="BD112" s="252"/>
      <c r="BE112" s="252"/>
      <c r="BF112" s="252"/>
      <c r="BG112" s="252"/>
    </row>
    <row r="113" spans="19:59" x14ac:dyDescent="0.2">
      <c r="S113" s="256"/>
      <c r="T113" s="257"/>
      <c r="U113" s="257"/>
      <c r="V113" s="256"/>
      <c r="W113" s="256"/>
      <c r="X113" s="258"/>
      <c r="Y113" s="259"/>
      <c r="Z113" s="258"/>
      <c r="AA113" s="256"/>
      <c r="AB113" s="258"/>
      <c r="AC113" s="260"/>
      <c r="AD113" s="261"/>
      <c r="AE113" s="261"/>
      <c r="AF113" s="262"/>
      <c r="AG113" s="261"/>
      <c r="AH113" s="261"/>
      <c r="AI113" s="261"/>
      <c r="AJ113" s="261"/>
      <c r="AK113" s="261"/>
      <c r="AL113" s="259"/>
      <c r="AM113" s="259"/>
      <c r="AN113" s="259"/>
      <c r="AO113" s="252"/>
      <c r="AP113" s="252"/>
      <c r="AQ113" s="252"/>
      <c r="AR113" s="252"/>
      <c r="AS113" s="252"/>
      <c r="AT113" s="252"/>
      <c r="AU113" s="252"/>
      <c r="AV113" s="252"/>
      <c r="AW113" s="252"/>
      <c r="AX113" s="252"/>
      <c r="AY113" s="252"/>
      <c r="AZ113" s="252"/>
      <c r="BA113" s="252"/>
      <c r="BB113" s="252"/>
      <c r="BC113" s="252"/>
      <c r="BD113" s="252"/>
      <c r="BE113" s="252"/>
      <c r="BF113" s="252"/>
      <c r="BG113" s="252"/>
    </row>
    <row r="114" spans="19:59" x14ac:dyDescent="0.2">
      <c r="S114" s="256"/>
      <c r="T114" s="257"/>
      <c r="U114" s="257"/>
      <c r="V114" s="256"/>
      <c r="W114" s="256"/>
      <c r="X114" s="258"/>
      <c r="Y114" s="259"/>
      <c r="Z114" s="258"/>
      <c r="AA114" s="256"/>
      <c r="AB114" s="258"/>
      <c r="AC114" s="260"/>
      <c r="AD114" s="261"/>
      <c r="AE114" s="261"/>
      <c r="AF114" s="262"/>
      <c r="AG114" s="261"/>
      <c r="AH114" s="261"/>
      <c r="AI114" s="261"/>
      <c r="AJ114" s="261"/>
      <c r="AK114" s="261"/>
      <c r="AL114" s="259"/>
      <c r="AM114" s="259"/>
      <c r="AN114" s="259"/>
      <c r="AO114" s="252"/>
      <c r="AP114" s="252"/>
      <c r="AQ114" s="252"/>
      <c r="AR114" s="252"/>
      <c r="AS114" s="252"/>
      <c r="AT114" s="252"/>
      <c r="AU114" s="252"/>
      <c r="AV114" s="252"/>
      <c r="AW114" s="252"/>
      <c r="AX114" s="252"/>
      <c r="AY114" s="252"/>
      <c r="AZ114" s="252"/>
      <c r="BA114" s="252"/>
      <c r="BB114" s="252"/>
      <c r="BC114" s="252"/>
      <c r="BD114" s="252"/>
      <c r="BE114" s="252"/>
      <c r="BF114" s="252"/>
      <c r="BG114" s="252"/>
    </row>
    <row r="115" spans="19:59" x14ac:dyDescent="0.2">
      <c r="S115" s="256"/>
      <c r="T115" s="257"/>
      <c r="U115" s="257"/>
      <c r="V115" s="256"/>
      <c r="W115" s="256"/>
      <c r="X115" s="258"/>
      <c r="Y115" s="259"/>
      <c r="Z115" s="258"/>
      <c r="AA115" s="256"/>
      <c r="AB115" s="258"/>
      <c r="AC115" s="260"/>
      <c r="AD115" s="261"/>
      <c r="AE115" s="261"/>
      <c r="AF115" s="262"/>
      <c r="AG115" s="261"/>
      <c r="AH115" s="261"/>
      <c r="AI115" s="261"/>
      <c r="AJ115" s="261"/>
      <c r="AK115" s="261"/>
      <c r="AL115" s="259"/>
      <c r="AM115" s="259"/>
      <c r="AN115" s="259"/>
      <c r="AO115" s="252"/>
      <c r="AP115" s="252"/>
      <c r="AQ115" s="252"/>
      <c r="AR115" s="252"/>
      <c r="AS115" s="252"/>
      <c r="AT115" s="252"/>
      <c r="AU115" s="252"/>
      <c r="AV115" s="252"/>
      <c r="AW115" s="252"/>
      <c r="AX115" s="252"/>
      <c r="AY115" s="252"/>
      <c r="AZ115" s="252"/>
      <c r="BA115" s="252"/>
      <c r="BB115" s="252"/>
      <c r="BC115" s="252"/>
      <c r="BD115" s="252"/>
      <c r="BE115" s="252"/>
      <c r="BF115" s="252"/>
      <c r="BG115" s="252"/>
    </row>
    <row r="116" spans="19:59" x14ac:dyDescent="0.2">
      <c r="S116" s="256"/>
      <c r="T116" s="257"/>
      <c r="U116" s="257"/>
      <c r="V116" s="256"/>
      <c r="W116" s="256"/>
      <c r="X116" s="258"/>
      <c r="Y116" s="259"/>
      <c r="Z116" s="258"/>
      <c r="AA116" s="256"/>
      <c r="AB116" s="258"/>
      <c r="AC116" s="260"/>
      <c r="AD116" s="261"/>
      <c r="AE116" s="261"/>
      <c r="AF116" s="262"/>
      <c r="AG116" s="261"/>
      <c r="AH116" s="261"/>
      <c r="AI116" s="261"/>
      <c r="AJ116" s="261"/>
      <c r="AK116" s="261"/>
      <c r="AL116" s="259"/>
      <c r="AM116" s="259"/>
      <c r="AN116" s="259"/>
      <c r="AO116" s="252"/>
      <c r="AP116" s="252"/>
      <c r="AQ116" s="252"/>
      <c r="AR116" s="252"/>
      <c r="AS116" s="252"/>
      <c r="AT116" s="252"/>
      <c r="AU116" s="252"/>
      <c r="AV116" s="252"/>
      <c r="AW116" s="252"/>
      <c r="AX116" s="252"/>
      <c r="AY116" s="252"/>
      <c r="AZ116" s="252"/>
      <c r="BA116" s="252"/>
      <c r="BB116" s="252"/>
      <c r="BC116" s="252"/>
      <c r="BD116" s="252"/>
      <c r="BE116" s="252"/>
      <c r="BF116" s="252"/>
      <c r="BG116" s="252"/>
    </row>
    <row r="117" spans="19:59" x14ac:dyDescent="0.2">
      <c r="S117" s="256"/>
      <c r="T117" s="257"/>
      <c r="U117" s="257"/>
      <c r="V117" s="256"/>
      <c r="W117" s="256"/>
      <c r="X117" s="258"/>
      <c r="Y117" s="259"/>
      <c r="Z117" s="258"/>
      <c r="AA117" s="256"/>
      <c r="AB117" s="258"/>
      <c r="AC117" s="260"/>
      <c r="AD117" s="261"/>
      <c r="AE117" s="261"/>
      <c r="AF117" s="262"/>
      <c r="AG117" s="261"/>
      <c r="AH117" s="261"/>
      <c r="AI117" s="261"/>
      <c r="AJ117" s="261"/>
      <c r="AK117" s="261"/>
      <c r="AL117" s="259"/>
      <c r="AM117" s="259"/>
      <c r="AN117" s="259"/>
      <c r="AO117" s="252"/>
      <c r="AP117" s="252"/>
      <c r="AQ117" s="252"/>
      <c r="AR117" s="252"/>
      <c r="AS117" s="252"/>
      <c r="AT117" s="252"/>
      <c r="AU117" s="252"/>
      <c r="AV117" s="252"/>
      <c r="AW117" s="252"/>
      <c r="AX117" s="252"/>
      <c r="AY117" s="252"/>
      <c r="AZ117" s="252"/>
      <c r="BA117" s="252"/>
      <c r="BB117" s="252"/>
      <c r="BC117" s="252"/>
      <c r="BD117" s="252"/>
      <c r="BE117" s="252"/>
      <c r="BF117" s="252"/>
      <c r="BG117" s="252"/>
    </row>
    <row r="118" spans="19:59" x14ac:dyDescent="0.2">
      <c r="S118" s="256"/>
      <c r="T118" s="257"/>
      <c r="U118" s="257"/>
      <c r="V118" s="256"/>
      <c r="W118" s="256"/>
      <c r="X118" s="258"/>
      <c r="Y118" s="259"/>
      <c r="Z118" s="258"/>
      <c r="AA118" s="256"/>
      <c r="AB118" s="258"/>
      <c r="AC118" s="260"/>
      <c r="AD118" s="261"/>
      <c r="AE118" s="261"/>
      <c r="AF118" s="262"/>
      <c r="AG118" s="261"/>
      <c r="AH118" s="261"/>
      <c r="AI118" s="261"/>
      <c r="AJ118" s="261"/>
      <c r="AK118" s="261"/>
      <c r="AL118" s="259"/>
      <c r="AM118" s="259"/>
      <c r="AN118" s="259"/>
      <c r="AO118" s="252"/>
      <c r="AP118" s="252"/>
      <c r="AQ118" s="252"/>
      <c r="AR118" s="252"/>
      <c r="AS118" s="252"/>
      <c r="AT118" s="252"/>
      <c r="AU118" s="252"/>
      <c r="AV118" s="252"/>
      <c r="AW118" s="252"/>
      <c r="AX118" s="252"/>
      <c r="AY118" s="252"/>
      <c r="AZ118" s="252"/>
      <c r="BA118" s="252"/>
      <c r="BB118" s="252"/>
      <c r="BC118" s="252"/>
      <c r="BD118" s="252"/>
      <c r="BE118" s="252"/>
      <c r="BF118" s="252"/>
      <c r="BG118" s="252"/>
    </row>
    <row r="119" spans="19:59" x14ac:dyDescent="0.2">
      <c r="S119" s="256"/>
      <c r="T119" s="257"/>
      <c r="U119" s="257"/>
      <c r="V119" s="256"/>
      <c r="W119" s="256"/>
      <c r="X119" s="258"/>
      <c r="Y119" s="259"/>
      <c r="Z119" s="258"/>
      <c r="AA119" s="256"/>
      <c r="AB119" s="258"/>
      <c r="AC119" s="260"/>
      <c r="AD119" s="261"/>
      <c r="AE119" s="261"/>
      <c r="AF119" s="262"/>
      <c r="AG119" s="261"/>
      <c r="AH119" s="261"/>
      <c r="AI119" s="261"/>
      <c r="AJ119" s="261"/>
      <c r="AK119" s="261"/>
      <c r="AL119" s="259"/>
      <c r="AM119" s="259"/>
      <c r="AN119" s="259"/>
      <c r="AO119" s="252"/>
      <c r="AP119" s="252"/>
      <c r="AQ119" s="252"/>
      <c r="AR119" s="252"/>
      <c r="AS119" s="252"/>
      <c r="AT119" s="252"/>
      <c r="AU119" s="252"/>
      <c r="AV119" s="252"/>
      <c r="AW119" s="252"/>
      <c r="AX119" s="252"/>
      <c r="AY119" s="252"/>
      <c r="AZ119" s="252"/>
      <c r="BA119" s="252"/>
      <c r="BB119" s="252"/>
      <c r="BC119" s="252"/>
      <c r="BD119" s="252"/>
      <c r="BE119" s="252"/>
      <c r="BF119" s="252"/>
      <c r="BG119" s="252"/>
    </row>
    <row r="120" spans="19:59" x14ac:dyDescent="0.2">
      <c r="S120" s="256"/>
      <c r="T120" s="257"/>
      <c r="U120" s="257"/>
      <c r="V120" s="256"/>
      <c r="W120" s="256"/>
      <c r="X120" s="258"/>
      <c r="Y120" s="259"/>
      <c r="Z120" s="258"/>
      <c r="AA120" s="256"/>
      <c r="AB120" s="258"/>
      <c r="AC120" s="260"/>
      <c r="AD120" s="261"/>
      <c r="AE120" s="261"/>
      <c r="AF120" s="262"/>
      <c r="AG120" s="261"/>
      <c r="AH120" s="261"/>
      <c r="AI120" s="261"/>
      <c r="AJ120" s="261"/>
      <c r="AK120" s="261"/>
      <c r="AL120" s="259"/>
      <c r="AM120" s="259"/>
      <c r="AN120" s="259"/>
      <c r="AO120" s="252"/>
      <c r="AP120" s="252"/>
      <c r="AQ120" s="252"/>
      <c r="AR120" s="252"/>
      <c r="AS120" s="252"/>
      <c r="AT120" s="252"/>
      <c r="AU120" s="252"/>
      <c r="AV120" s="252"/>
      <c r="AW120" s="252"/>
      <c r="AX120" s="252"/>
      <c r="AY120" s="252"/>
      <c r="AZ120" s="252"/>
      <c r="BA120" s="252"/>
      <c r="BB120" s="252"/>
      <c r="BC120" s="252"/>
      <c r="BD120" s="252"/>
      <c r="BE120" s="252"/>
      <c r="BF120" s="252"/>
      <c r="BG120" s="252"/>
    </row>
    <row r="121" spans="19:59" x14ac:dyDescent="0.2">
      <c r="S121" s="256"/>
      <c r="T121" s="257"/>
      <c r="U121" s="257"/>
      <c r="V121" s="256"/>
      <c r="W121" s="256"/>
      <c r="X121" s="258"/>
      <c r="Y121" s="259"/>
      <c r="Z121" s="258"/>
      <c r="AA121" s="256"/>
      <c r="AB121" s="258"/>
      <c r="AC121" s="260"/>
      <c r="AD121" s="261"/>
      <c r="AE121" s="261"/>
      <c r="AF121" s="262"/>
      <c r="AG121" s="261"/>
      <c r="AH121" s="261"/>
      <c r="AI121" s="261"/>
      <c r="AJ121" s="261"/>
      <c r="AK121" s="261"/>
      <c r="AL121" s="259"/>
      <c r="AM121" s="259"/>
      <c r="AN121" s="259"/>
      <c r="AO121" s="252"/>
      <c r="AP121" s="252"/>
      <c r="AQ121" s="252"/>
      <c r="AR121" s="252"/>
      <c r="AS121" s="252"/>
      <c r="AT121" s="252"/>
      <c r="AU121" s="252"/>
      <c r="AV121" s="252"/>
      <c r="AW121" s="252"/>
      <c r="AX121" s="252"/>
      <c r="AY121" s="252"/>
      <c r="AZ121" s="252"/>
      <c r="BA121" s="252"/>
      <c r="BB121" s="252"/>
      <c r="BC121" s="252"/>
      <c r="BD121" s="252"/>
      <c r="BE121" s="252"/>
      <c r="BF121" s="252"/>
      <c r="BG121" s="252"/>
    </row>
    <row r="122" spans="19:59" x14ac:dyDescent="0.2">
      <c r="S122" s="256"/>
      <c r="T122" s="257"/>
      <c r="U122" s="257"/>
      <c r="V122" s="256"/>
      <c r="W122" s="256"/>
      <c r="X122" s="258"/>
      <c r="Y122" s="259"/>
      <c r="Z122" s="258"/>
      <c r="AA122" s="256"/>
      <c r="AB122" s="258"/>
      <c r="AC122" s="260"/>
      <c r="AD122" s="261"/>
      <c r="AE122" s="261"/>
      <c r="AF122" s="262"/>
      <c r="AG122" s="261"/>
      <c r="AH122" s="261"/>
      <c r="AI122" s="261"/>
      <c r="AJ122" s="261"/>
      <c r="AK122" s="261"/>
      <c r="AL122" s="259"/>
      <c r="AM122" s="259"/>
      <c r="AN122" s="259"/>
      <c r="AO122" s="252"/>
      <c r="AP122" s="252"/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</row>
    <row r="123" spans="19:59" x14ac:dyDescent="0.2">
      <c r="S123" s="256"/>
      <c r="T123" s="257"/>
      <c r="U123" s="257"/>
      <c r="V123" s="256"/>
      <c r="W123" s="256"/>
      <c r="X123" s="258"/>
      <c r="Y123" s="259"/>
      <c r="Z123" s="258"/>
      <c r="AA123" s="256"/>
      <c r="AB123" s="258"/>
      <c r="AC123" s="260"/>
      <c r="AD123" s="261"/>
      <c r="AE123" s="261"/>
      <c r="AF123" s="262"/>
      <c r="AG123" s="261"/>
      <c r="AH123" s="261"/>
      <c r="AI123" s="261"/>
      <c r="AJ123" s="261"/>
      <c r="AK123" s="261"/>
      <c r="AL123" s="259"/>
      <c r="AM123" s="259"/>
      <c r="AN123" s="259"/>
      <c r="AO123" s="252"/>
      <c r="AP123" s="252"/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</row>
    <row r="124" spans="19:59" x14ac:dyDescent="0.2">
      <c r="S124" s="256"/>
      <c r="T124" s="257"/>
      <c r="U124" s="257"/>
      <c r="V124" s="256"/>
      <c r="W124" s="256"/>
      <c r="X124" s="258"/>
      <c r="Y124" s="259"/>
      <c r="Z124" s="258"/>
      <c r="AA124" s="256"/>
      <c r="AB124" s="258"/>
      <c r="AC124" s="260"/>
      <c r="AD124" s="261"/>
      <c r="AE124" s="261"/>
      <c r="AF124" s="262"/>
      <c r="AG124" s="261"/>
      <c r="AH124" s="261"/>
      <c r="AI124" s="261"/>
      <c r="AJ124" s="261"/>
      <c r="AK124" s="261"/>
      <c r="AL124" s="259"/>
      <c r="AM124" s="259"/>
      <c r="AN124" s="259"/>
      <c r="AO124" s="252"/>
      <c r="AP124" s="252"/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</row>
    <row r="125" spans="19:59" x14ac:dyDescent="0.2">
      <c r="S125" s="256"/>
      <c r="T125" s="257"/>
      <c r="U125" s="257"/>
      <c r="V125" s="256"/>
      <c r="W125" s="256"/>
      <c r="X125" s="258"/>
      <c r="Y125" s="259"/>
      <c r="Z125" s="258"/>
      <c r="AA125" s="256"/>
      <c r="AB125" s="258"/>
      <c r="AC125" s="260"/>
      <c r="AD125" s="261"/>
      <c r="AE125" s="261"/>
      <c r="AF125" s="262"/>
      <c r="AG125" s="261"/>
      <c r="AH125" s="261"/>
      <c r="AI125" s="261"/>
      <c r="AJ125" s="261"/>
      <c r="AK125" s="261"/>
      <c r="AL125" s="259"/>
      <c r="AM125" s="259"/>
      <c r="AN125" s="259"/>
      <c r="AO125" s="252"/>
      <c r="AP125" s="252"/>
      <c r="AQ125" s="252"/>
      <c r="AR125" s="252"/>
      <c r="AS125" s="252"/>
      <c r="AT125" s="252"/>
      <c r="AU125" s="252"/>
      <c r="AV125" s="252"/>
      <c r="AW125" s="252"/>
      <c r="AX125" s="252"/>
      <c r="AY125" s="252"/>
      <c r="AZ125" s="252"/>
      <c r="BA125" s="252"/>
      <c r="BB125" s="252"/>
      <c r="BC125" s="252"/>
      <c r="BD125" s="252"/>
      <c r="BE125" s="252"/>
      <c r="BF125" s="252"/>
      <c r="BG125" s="252"/>
    </row>
    <row r="126" spans="19:59" x14ac:dyDescent="0.2">
      <c r="S126" s="256"/>
      <c r="T126" s="257"/>
      <c r="U126" s="257"/>
      <c r="V126" s="256"/>
      <c r="W126" s="256"/>
      <c r="X126" s="258"/>
      <c r="Y126" s="259"/>
      <c r="Z126" s="258"/>
      <c r="AA126" s="256"/>
      <c r="AB126" s="258"/>
      <c r="AC126" s="260"/>
      <c r="AD126" s="261"/>
      <c r="AE126" s="261"/>
      <c r="AF126" s="262"/>
      <c r="AG126" s="261"/>
      <c r="AH126" s="261"/>
      <c r="AI126" s="261"/>
      <c r="AJ126" s="261"/>
      <c r="AK126" s="261"/>
      <c r="AL126" s="259"/>
      <c r="AM126" s="259"/>
      <c r="AN126" s="259"/>
      <c r="AO126" s="252"/>
      <c r="AP126" s="252"/>
      <c r="AQ126" s="252"/>
      <c r="AR126" s="252"/>
      <c r="AS126" s="252"/>
      <c r="AT126" s="252"/>
      <c r="AU126" s="252"/>
      <c r="AV126" s="252"/>
      <c r="AW126" s="252"/>
      <c r="AX126" s="252"/>
      <c r="AY126" s="252"/>
      <c r="AZ126" s="252"/>
      <c r="BA126" s="252"/>
      <c r="BB126" s="252"/>
      <c r="BC126" s="252"/>
      <c r="BD126" s="252"/>
      <c r="BE126" s="252"/>
      <c r="BF126" s="252"/>
      <c r="BG126" s="252"/>
    </row>
    <row r="127" spans="19:59" x14ac:dyDescent="0.2">
      <c r="S127" s="256"/>
      <c r="T127" s="257"/>
      <c r="U127" s="257"/>
      <c r="V127" s="256"/>
      <c r="W127" s="256"/>
      <c r="X127" s="258"/>
      <c r="Y127" s="259"/>
      <c r="Z127" s="258"/>
      <c r="AA127" s="256"/>
      <c r="AB127" s="258"/>
      <c r="AC127" s="260"/>
      <c r="AD127" s="261"/>
      <c r="AE127" s="261"/>
      <c r="AF127" s="262"/>
      <c r="AG127" s="261"/>
      <c r="AH127" s="261"/>
      <c r="AI127" s="261"/>
      <c r="AJ127" s="261"/>
      <c r="AK127" s="261"/>
      <c r="AL127" s="259"/>
      <c r="AM127" s="259"/>
      <c r="AN127" s="259"/>
      <c r="AO127" s="252"/>
      <c r="AP127" s="252"/>
      <c r="AQ127" s="252"/>
      <c r="AR127" s="252"/>
      <c r="AS127" s="252"/>
      <c r="AT127" s="252"/>
      <c r="AU127" s="252"/>
      <c r="AV127" s="252"/>
      <c r="AW127" s="252"/>
      <c r="AX127" s="252"/>
      <c r="AY127" s="252"/>
      <c r="AZ127" s="252"/>
      <c r="BA127" s="252"/>
      <c r="BB127" s="252"/>
      <c r="BC127" s="252"/>
      <c r="BD127" s="252"/>
      <c r="BE127" s="252"/>
      <c r="BF127" s="252"/>
      <c r="BG127" s="252"/>
    </row>
    <row r="128" spans="19:59" x14ac:dyDescent="0.2">
      <c r="S128" s="256"/>
      <c r="T128" s="257"/>
      <c r="U128" s="257"/>
      <c r="V128" s="256"/>
      <c r="W128" s="256"/>
      <c r="X128" s="258"/>
      <c r="Y128" s="259"/>
      <c r="Z128" s="258"/>
      <c r="AA128" s="256"/>
      <c r="AB128" s="258"/>
      <c r="AC128" s="260"/>
      <c r="AD128" s="261"/>
      <c r="AE128" s="261"/>
      <c r="AF128" s="262"/>
      <c r="AG128" s="261"/>
      <c r="AH128" s="261"/>
      <c r="AI128" s="261"/>
      <c r="AJ128" s="261"/>
      <c r="AK128" s="261"/>
      <c r="AL128" s="259"/>
      <c r="AM128" s="259"/>
      <c r="AN128" s="259"/>
      <c r="AO128" s="252"/>
      <c r="AP128" s="252"/>
      <c r="AQ128" s="252"/>
      <c r="AR128" s="252"/>
      <c r="AS128" s="252"/>
      <c r="AT128" s="252"/>
      <c r="AU128" s="252"/>
      <c r="AV128" s="252"/>
      <c r="AW128" s="252"/>
      <c r="AX128" s="252"/>
      <c r="AY128" s="252"/>
      <c r="AZ128" s="252"/>
      <c r="BA128" s="252"/>
      <c r="BB128" s="252"/>
      <c r="BC128" s="252"/>
      <c r="BD128" s="252"/>
      <c r="BE128" s="252"/>
      <c r="BF128" s="252"/>
      <c r="BG128" s="252"/>
    </row>
    <row r="129" spans="19:59" x14ac:dyDescent="0.2">
      <c r="S129" s="256"/>
      <c r="T129" s="257"/>
      <c r="U129" s="257"/>
      <c r="V129" s="256"/>
      <c r="W129" s="256"/>
      <c r="X129" s="258"/>
      <c r="Y129" s="259"/>
      <c r="Z129" s="258"/>
      <c r="AA129" s="256"/>
      <c r="AB129" s="258"/>
      <c r="AC129" s="260"/>
      <c r="AD129" s="261"/>
      <c r="AE129" s="261"/>
      <c r="AF129" s="262"/>
      <c r="AG129" s="261"/>
      <c r="AH129" s="261"/>
      <c r="AI129" s="261"/>
      <c r="AJ129" s="261"/>
      <c r="AK129" s="261"/>
      <c r="AL129" s="259"/>
      <c r="AM129" s="259"/>
      <c r="AN129" s="259"/>
      <c r="AO129" s="252"/>
      <c r="AP129" s="252"/>
      <c r="AQ129" s="252"/>
      <c r="AR129" s="252"/>
      <c r="AS129" s="252"/>
      <c r="AT129" s="252"/>
      <c r="AU129" s="252"/>
      <c r="AV129" s="252"/>
      <c r="AW129" s="252"/>
      <c r="AX129" s="252"/>
      <c r="AY129" s="252"/>
      <c r="AZ129" s="252"/>
      <c r="BA129" s="252"/>
      <c r="BB129" s="252"/>
      <c r="BC129" s="252"/>
      <c r="BD129" s="252"/>
      <c r="BE129" s="252"/>
      <c r="BF129" s="252"/>
      <c r="BG129" s="252"/>
    </row>
    <row r="130" spans="19:59" x14ac:dyDescent="0.2">
      <c r="S130" s="256"/>
      <c r="T130" s="257"/>
      <c r="U130" s="257"/>
      <c r="V130" s="256"/>
      <c r="W130" s="256"/>
      <c r="X130" s="258"/>
      <c r="Y130" s="259"/>
      <c r="Z130" s="258"/>
      <c r="AA130" s="256"/>
      <c r="AB130" s="258"/>
      <c r="AC130" s="260"/>
      <c r="AD130" s="261"/>
      <c r="AE130" s="261"/>
      <c r="AF130" s="262"/>
      <c r="AG130" s="261"/>
      <c r="AH130" s="261"/>
      <c r="AI130" s="261"/>
      <c r="AJ130" s="261"/>
      <c r="AK130" s="261"/>
      <c r="AL130" s="259"/>
      <c r="AM130" s="259"/>
      <c r="AN130" s="259"/>
      <c r="AO130" s="252"/>
      <c r="AP130" s="252"/>
      <c r="AQ130" s="252"/>
      <c r="AR130" s="252"/>
      <c r="AS130" s="252"/>
      <c r="AT130" s="252"/>
      <c r="AU130" s="252"/>
      <c r="AV130" s="252"/>
      <c r="AW130" s="252"/>
      <c r="AX130" s="252"/>
      <c r="AY130" s="252"/>
      <c r="AZ130" s="252"/>
      <c r="BA130" s="252"/>
      <c r="BB130" s="252"/>
      <c r="BC130" s="252"/>
      <c r="BD130" s="252"/>
      <c r="BE130" s="252"/>
      <c r="BF130" s="252"/>
      <c r="BG130" s="252"/>
    </row>
    <row r="131" spans="19:59" x14ac:dyDescent="0.2">
      <c r="S131" s="256"/>
      <c r="T131" s="257"/>
      <c r="U131" s="257"/>
      <c r="V131" s="256"/>
      <c r="W131" s="256"/>
      <c r="X131" s="258"/>
      <c r="Y131" s="259"/>
      <c r="Z131" s="258"/>
      <c r="AA131" s="256"/>
      <c r="AB131" s="258"/>
      <c r="AC131" s="260"/>
      <c r="AD131" s="261"/>
      <c r="AE131" s="261"/>
      <c r="AF131" s="262"/>
      <c r="AG131" s="261"/>
      <c r="AH131" s="261"/>
      <c r="AI131" s="261"/>
      <c r="AJ131" s="261"/>
      <c r="AK131" s="261"/>
      <c r="AL131" s="259"/>
      <c r="AM131" s="259"/>
      <c r="AN131" s="259"/>
      <c r="AO131" s="252"/>
      <c r="AP131" s="252"/>
      <c r="AQ131" s="252"/>
      <c r="AR131" s="252"/>
      <c r="AS131" s="252"/>
      <c r="AT131" s="252"/>
      <c r="AU131" s="252"/>
      <c r="AV131" s="252"/>
      <c r="AW131" s="252"/>
      <c r="AX131" s="252"/>
      <c r="AY131" s="252"/>
      <c r="AZ131" s="252"/>
      <c r="BA131" s="252"/>
      <c r="BB131" s="252"/>
      <c r="BC131" s="252"/>
      <c r="BD131" s="252"/>
      <c r="BE131" s="252"/>
      <c r="BF131" s="252"/>
      <c r="BG131" s="252"/>
    </row>
    <row r="132" spans="19:59" x14ac:dyDescent="0.2">
      <c r="S132" s="256"/>
      <c r="T132" s="257"/>
      <c r="U132" s="257"/>
      <c r="V132" s="256"/>
      <c r="W132" s="256"/>
      <c r="X132" s="258"/>
      <c r="Y132" s="259"/>
      <c r="Z132" s="258"/>
      <c r="AA132" s="256"/>
      <c r="AB132" s="258"/>
      <c r="AC132" s="260"/>
      <c r="AD132" s="261"/>
      <c r="AE132" s="261"/>
      <c r="AF132" s="262"/>
      <c r="AG132" s="261"/>
      <c r="AH132" s="261"/>
      <c r="AI132" s="261"/>
      <c r="AJ132" s="261"/>
      <c r="AK132" s="261"/>
      <c r="AL132" s="259"/>
      <c r="AM132" s="259"/>
      <c r="AN132" s="259"/>
      <c r="AO132" s="252"/>
      <c r="AP132" s="252"/>
      <c r="AQ132" s="252"/>
      <c r="AR132" s="252"/>
      <c r="AS132" s="252"/>
      <c r="AT132" s="252"/>
      <c r="AU132" s="252"/>
      <c r="AV132" s="252"/>
      <c r="AW132" s="252"/>
      <c r="AX132" s="252"/>
      <c r="AY132" s="252"/>
      <c r="AZ132" s="252"/>
      <c r="BA132" s="252"/>
      <c r="BB132" s="252"/>
      <c r="BC132" s="252"/>
      <c r="BD132" s="252"/>
      <c r="BE132" s="252"/>
      <c r="BF132" s="252"/>
      <c r="BG132" s="252"/>
    </row>
    <row r="133" spans="19:59" x14ac:dyDescent="0.2">
      <c r="S133" s="256"/>
      <c r="T133" s="257"/>
      <c r="U133" s="257"/>
      <c r="V133" s="256"/>
      <c r="W133" s="256"/>
      <c r="X133" s="258"/>
      <c r="Y133" s="259"/>
      <c r="Z133" s="258"/>
      <c r="AA133" s="256"/>
      <c r="AB133" s="258"/>
      <c r="AC133" s="260"/>
      <c r="AD133" s="261"/>
      <c r="AE133" s="261"/>
      <c r="AF133" s="262"/>
      <c r="AG133" s="261"/>
      <c r="AH133" s="261"/>
      <c r="AI133" s="261"/>
      <c r="AJ133" s="261"/>
      <c r="AK133" s="261"/>
      <c r="AL133" s="259"/>
      <c r="AM133" s="259"/>
      <c r="AN133" s="259"/>
      <c r="AO133" s="252"/>
      <c r="AP133" s="252"/>
      <c r="AQ133" s="252"/>
      <c r="AR133" s="252"/>
      <c r="AS133" s="252"/>
      <c r="AT133" s="252"/>
      <c r="AU133" s="252"/>
      <c r="AV133" s="252"/>
      <c r="AW133" s="252"/>
      <c r="AX133" s="252"/>
      <c r="AY133" s="252"/>
      <c r="AZ133" s="252"/>
      <c r="BA133" s="252"/>
      <c r="BB133" s="252"/>
      <c r="BC133" s="252"/>
      <c r="BD133" s="252"/>
      <c r="BE133" s="252"/>
      <c r="BF133" s="252"/>
      <c r="BG133" s="252"/>
    </row>
    <row r="134" spans="19:59" x14ac:dyDescent="0.2">
      <c r="S134" s="256"/>
      <c r="T134" s="257"/>
      <c r="U134" s="257"/>
      <c r="V134" s="256"/>
      <c r="W134" s="256"/>
      <c r="X134" s="258"/>
      <c r="Y134" s="259"/>
      <c r="Z134" s="258"/>
      <c r="AA134" s="256"/>
      <c r="AB134" s="258"/>
      <c r="AC134" s="260"/>
      <c r="AD134" s="261"/>
      <c r="AE134" s="261"/>
      <c r="AF134" s="262"/>
      <c r="AG134" s="261"/>
      <c r="AH134" s="261"/>
      <c r="AI134" s="261"/>
      <c r="AJ134" s="261"/>
      <c r="AK134" s="261"/>
      <c r="AL134" s="259"/>
      <c r="AM134" s="259"/>
      <c r="AN134" s="259"/>
      <c r="AO134" s="252"/>
      <c r="AP134" s="252"/>
      <c r="AQ134" s="252"/>
      <c r="AR134" s="252"/>
      <c r="AS134" s="252"/>
      <c r="AT134" s="252"/>
      <c r="AU134" s="252"/>
      <c r="AV134" s="252"/>
      <c r="AW134" s="252"/>
      <c r="AX134" s="252"/>
      <c r="AY134" s="252"/>
      <c r="AZ134" s="252"/>
      <c r="BA134" s="252"/>
      <c r="BB134" s="252"/>
      <c r="BC134" s="252"/>
      <c r="BD134" s="252"/>
      <c r="BE134" s="252"/>
      <c r="BF134" s="252"/>
      <c r="BG134" s="252"/>
    </row>
    <row r="135" spans="19:59" x14ac:dyDescent="0.2">
      <c r="S135" s="256"/>
      <c r="T135" s="257"/>
      <c r="U135" s="257"/>
      <c r="V135" s="256"/>
      <c r="W135" s="256"/>
      <c r="X135" s="258"/>
      <c r="Y135" s="259"/>
      <c r="Z135" s="258"/>
      <c r="AA135" s="256"/>
      <c r="AB135" s="258"/>
      <c r="AC135" s="260"/>
      <c r="AD135" s="261"/>
      <c r="AE135" s="261"/>
      <c r="AF135" s="262"/>
      <c r="AG135" s="261"/>
      <c r="AH135" s="261"/>
      <c r="AI135" s="261"/>
      <c r="AJ135" s="261"/>
      <c r="AK135" s="261"/>
      <c r="AL135" s="259"/>
      <c r="AM135" s="259"/>
      <c r="AN135" s="259"/>
      <c r="AO135" s="252"/>
      <c r="AP135" s="252"/>
      <c r="AQ135" s="252"/>
      <c r="AR135" s="252"/>
      <c r="AS135" s="252"/>
      <c r="AT135" s="252"/>
      <c r="AU135" s="252"/>
      <c r="AV135" s="252"/>
      <c r="AW135" s="252"/>
      <c r="AX135" s="252"/>
      <c r="AY135" s="252"/>
      <c r="AZ135" s="252"/>
      <c r="BA135" s="252"/>
      <c r="BB135" s="252"/>
      <c r="BC135" s="252"/>
      <c r="BD135" s="252"/>
      <c r="BE135" s="252"/>
      <c r="BF135" s="252"/>
      <c r="BG135" s="252"/>
    </row>
    <row r="136" spans="19:59" x14ac:dyDescent="0.2">
      <c r="S136" s="256"/>
      <c r="T136" s="257"/>
      <c r="U136" s="257"/>
      <c r="V136" s="256"/>
      <c r="W136" s="256"/>
      <c r="X136" s="258"/>
      <c r="Y136" s="259"/>
      <c r="Z136" s="258"/>
      <c r="AA136" s="256"/>
      <c r="AB136" s="258"/>
      <c r="AC136" s="260"/>
      <c r="AD136" s="261"/>
      <c r="AE136" s="261"/>
      <c r="AF136" s="262"/>
      <c r="AG136" s="261"/>
      <c r="AH136" s="261"/>
      <c r="AI136" s="261"/>
      <c r="AJ136" s="261"/>
      <c r="AK136" s="261"/>
      <c r="AL136" s="259"/>
      <c r="AM136" s="259"/>
      <c r="AN136" s="259"/>
      <c r="AO136" s="252"/>
      <c r="AP136" s="252"/>
      <c r="AQ136" s="252"/>
      <c r="AR136" s="252"/>
      <c r="AS136" s="252"/>
      <c r="AT136" s="252"/>
      <c r="AU136" s="252"/>
      <c r="AV136" s="252"/>
      <c r="AW136" s="252"/>
      <c r="AX136" s="252"/>
      <c r="AY136" s="252"/>
      <c r="AZ136" s="252"/>
      <c r="BA136" s="252"/>
      <c r="BB136" s="252"/>
      <c r="BC136" s="252"/>
      <c r="BD136" s="252"/>
      <c r="BE136" s="252"/>
      <c r="BF136" s="252"/>
      <c r="BG136" s="252"/>
    </row>
    <row r="137" spans="19:59" x14ac:dyDescent="0.2">
      <c r="S137" s="256"/>
      <c r="T137" s="257"/>
      <c r="U137" s="257"/>
      <c r="V137" s="256"/>
      <c r="W137" s="256"/>
      <c r="X137" s="258"/>
      <c r="Y137" s="259"/>
      <c r="Z137" s="258"/>
      <c r="AA137" s="256"/>
      <c r="AB137" s="258"/>
      <c r="AC137" s="260"/>
      <c r="AD137" s="261"/>
      <c r="AE137" s="261"/>
      <c r="AF137" s="262"/>
      <c r="AG137" s="261"/>
      <c r="AH137" s="261"/>
      <c r="AI137" s="261"/>
      <c r="AJ137" s="261"/>
      <c r="AK137" s="261"/>
      <c r="AL137" s="259"/>
      <c r="AM137" s="259"/>
      <c r="AN137" s="259"/>
      <c r="AO137" s="252"/>
      <c r="AP137" s="252"/>
      <c r="AQ137" s="252"/>
      <c r="AR137" s="252"/>
      <c r="AS137" s="252"/>
      <c r="AT137" s="252"/>
      <c r="AU137" s="252"/>
      <c r="AV137" s="252"/>
      <c r="AW137" s="252"/>
      <c r="AX137" s="252"/>
      <c r="AY137" s="252"/>
      <c r="AZ137" s="252"/>
      <c r="BA137" s="252"/>
      <c r="BB137" s="252"/>
      <c r="BC137" s="252"/>
      <c r="BD137" s="252"/>
      <c r="BE137" s="252"/>
      <c r="BF137" s="252"/>
      <c r="BG137" s="252"/>
    </row>
    <row r="138" spans="19:59" x14ac:dyDescent="0.2">
      <c r="S138" s="256"/>
      <c r="T138" s="257"/>
      <c r="U138" s="257"/>
      <c r="V138" s="256"/>
      <c r="W138" s="256"/>
      <c r="X138" s="258"/>
      <c r="Y138" s="259"/>
      <c r="Z138" s="258"/>
      <c r="AA138" s="256"/>
      <c r="AB138" s="258"/>
      <c r="AC138" s="260"/>
      <c r="AD138" s="261"/>
      <c r="AE138" s="261"/>
      <c r="AF138" s="262"/>
      <c r="AG138" s="261"/>
      <c r="AH138" s="261"/>
      <c r="AI138" s="261"/>
      <c r="AJ138" s="261"/>
      <c r="AK138" s="261"/>
      <c r="AL138" s="259"/>
      <c r="AM138" s="259"/>
      <c r="AN138" s="259"/>
      <c r="AO138" s="252"/>
      <c r="AP138" s="252"/>
      <c r="AQ138" s="252"/>
      <c r="AR138" s="252"/>
      <c r="AS138" s="252"/>
      <c r="AT138" s="252"/>
      <c r="AU138" s="252"/>
      <c r="AV138" s="252"/>
      <c r="AW138" s="252"/>
      <c r="AX138" s="252"/>
      <c r="AY138" s="252"/>
      <c r="AZ138" s="252"/>
      <c r="BA138" s="252"/>
      <c r="BB138" s="252"/>
      <c r="BC138" s="252"/>
      <c r="BD138" s="252"/>
      <c r="BE138" s="252"/>
      <c r="BF138" s="252"/>
      <c r="BG138" s="252"/>
    </row>
    <row r="139" spans="19:59" x14ac:dyDescent="0.2">
      <c r="S139" s="256"/>
      <c r="T139" s="257"/>
      <c r="U139" s="257"/>
      <c r="V139" s="256"/>
      <c r="W139" s="256"/>
      <c r="X139" s="258"/>
      <c r="Y139" s="259"/>
      <c r="Z139" s="258"/>
      <c r="AA139" s="256"/>
      <c r="AB139" s="258"/>
      <c r="AC139" s="260"/>
      <c r="AD139" s="261"/>
      <c r="AE139" s="261"/>
      <c r="AF139" s="262"/>
      <c r="AG139" s="261"/>
      <c r="AH139" s="261"/>
      <c r="AI139" s="261"/>
      <c r="AJ139" s="261"/>
      <c r="AK139" s="261"/>
      <c r="AL139" s="259"/>
      <c r="AM139" s="259"/>
      <c r="AN139" s="259"/>
      <c r="AO139" s="252"/>
      <c r="AP139" s="252"/>
      <c r="AQ139" s="252"/>
      <c r="AR139" s="252"/>
      <c r="AS139" s="252"/>
      <c r="AT139" s="252"/>
      <c r="AU139" s="252"/>
      <c r="AV139" s="252"/>
      <c r="AW139" s="252"/>
      <c r="AX139" s="252"/>
      <c r="AY139" s="252"/>
      <c r="AZ139" s="252"/>
      <c r="BA139" s="252"/>
      <c r="BB139" s="252"/>
      <c r="BC139" s="252"/>
      <c r="BD139" s="252"/>
      <c r="BE139" s="252"/>
      <c r="BF139" s="252"/>
      <c r="BG139" s="252"/>
    </row>
    <row r="140" spans="19:59" x14ac:dyDescent="0.2">
      <c r="S140" s="256"/>
      <c r="T140" s="257"/>
      <c r="U140" s="257"/>
      <c r="V140" s="256"/>
      <c r="W140" s="256"/>
      <c r="X140" s="258"/>
      <c r="Y140" s="259"/>
      <c r="Z140" s="258"/>
      <c r="AA140" s="256"/>
      <c r="AB140" s="258"/>
      <c r="AC140" s="260"/>
      <c r="AD140" s="261"/>
      <c r="AE140" s="261"/>
      <c r="AF140" s="262"/>
      <c r="AG140" s="261"/>
      <c r="AH140" s="261"/>
      <c r="AI140" s="261"/>
      <c r="AJ140" s="261"/>
      <c r="AK140" s="261"/>
      <c r="AL140" s="259"/>
      <c r="AM140" s="259"/>
      <c r="AN140" s="259"/>
      <c r="AO140" s="252"/>
      <c r="AP140" s="252"/>
      <c r="AQ140" s="252"/>
      <c r="AR140" s="252"/>
      <c r="AS140" s="252"/>
      <c r="AT140" s="252"/>
      <c r="AU140" s="252"/>
      <c r="AV140" s="252"/>
      <c r="AW140" s="252"/>
      <c r="AX140" s="252"/>
      <c r="AY140" s="252"/>
      <c r="AZ140" s="252"/>
      <c r="BA140" s="252"/>
      <c r="BB140" s="252"/>
      <c r="BC140" s="252"/>
      <c r="BD140" s="252"/>
      <c r="BE140" s="252"/>
      <c r="BF140" s="252"/>
      <c r="BG140" s="252"/>
    </row>
    <row r="141" spans="19:59" x14ac:dyDescent="0.2">
      <c r="S141" s="256"/>
      <c r="T141" s="257"/>
      <c r="U141" s="257"/>
      <c r="V141" s="256"/>
      <c r="W141" s="256"/>
      <c r="X141" s="258"/>
      <c r="Y141" s="259"/>
      <c r="Z141" s="258"/>
      <c r="AA141" s="256"/>
      <c r="AB141" s="258"/>
      <c r="AC141" s="260"/>
      <c r="AD141" s="261"/>
      <c r="AE141" s="261"/>
      <c r="AF141" s="262"/>
      <c r="AG141" s="261"/>
      <c r="AH141" s="261"/>
      <c r="AI141" s="261"/>
      <c r="AJ141" s="261"/>
      <c r="AK141" s="261"/>
      <c r="AL141" s="259"/>
      <c r="AM141" s="259"/>
      <c r="AN141" s="259"/>
      <c r="AO141" s="252"/>
      <c r="AP141" s="252"/>
      <c r="AQ141" s="252"/>
      <c r="AR141" s="252"/>
      <c r="AS141" s="252"/>
      <c r="AT141" s="252"/>
      <c r="AU141" s="252"/>
      <c r="AV141" s="252"/>
      <c r="AW141" s="252"/>
      <c r="AX141" s="252"/>
      <c r="AY141" s="252"/>
      <c r="AZ141" s="252"/>
      <c r="BA141" s="252"/>
      <c r="BB141" s="252"/>
      <c r="BC141" s="252"/>
      <c r="BD141" s="252"/>
      <c r="BE141" s="252"/>
      <c r="BF141" s="252"/>
      <c r="BG141" s="252"/>
    </row>
    <row r="142" spans="19:59" x14ac:dyDescent="0.2">
      <c r="S142" s="256"/>
      <c r="T142" s="257"/>
      <c r="U142" s="257"/>
      <c r="V142" s="256"/>
      <c r="W142" s="256"/>
      <c r="X142" s="258"/>
      <c r="Y142" s="259"/>
      <c r="Z142" s="258"/>
      <c r="AA142" s="256"/>
      <c r="AB142" s="258"/>
      <c r="AC142" s="260"/>
      <c r="AD142" s="261"/>
      <c r="AE142" s="261"/>
      <c r="AF142" s="262"/>
      <c r="AG142" s="261"/>
      <c r="AH142" s="261"/>
      <c r="AI142" s="261"/>
      <c r="AJ142" s="261"/>
      <c r="AK142" s="261"/>
      <c r="AL142" s="259"/>
      <c r="AM142" s="259"/>
      <c r="AN142" s="259"/>
      <c r="AO142" s="252"/>
      <c r="AP142" s="252"/>
      <c r="AQ142" s="252"/>
      <c r="AR142" s="252"/>
      <c r="AS142" s="252"/>
      <c r="AT142" s="252"/>
      <c r="AU142" s="252"/>
      <c r="AV142" s="252"/>
      <c r="AW142" s="252"/>
      <c r="AX142" s="252"/>
      <c r="AY142" s="252"/>
      <c r="AZ142" s="252"/>
      <c r="BA142" s="252"/>
      <c r="BB142" s="252"/>
      <c r="BC142" s="252"/>
      <c r="BD142" s="252"/>
      <c r="BE142" s="252"/>
      <c r="BF142" s="252"/>
      <c r="BG142" s="252"/>
    </row>
    <row r="143" spans="19:59" x14ac:dyDescent="0.2">
      <c r="S143" s="256"/>
      <c r="T143" s="257"/>
      <c r="U143" s="257"/>
      <c r="V143" s="256"/>
      <c r="W143" s="256"/>
      <c r="X143" s="258"/>
      <c r="Y143" s="259"/>
      <c r="Z143" s="258"/>
      <c r="AA143" s="256"/>
      <c r="AB143" s="258"/>
      <c r="AC143" s="260"/>
      <c r="AD143" s="261"/>
      <c r="AE143" s="261"/>
      <c r="AF143" s="262"/>
      <c r="AG143" s="261"/>
      <c r="AH143" s="261"/>
      <c r="AI143" s="261"/>
      <c r="AJ143" s="261"/>
      <c r="AK143" s="261"/>
      <c r="AL143" s="259"/>
      <c r="AM143" s="259"/>
      <c r="AN143" s="259"/>
      <c r="AO143" s="252"/>
      <c r="AP143" s="252"/>
      <c r="AQ143" s="252"/>
      <c r="AR143" s="252"/>
      <c r="AS143" s="252"/>
      <c r="AT143" s="252"/>
      <c r="AU143" s="252"/>
      <c r="AV143" s="252"/>
      <c r="AW143" s="252"/>
      <c r="AX143" s="252"/>
      <c r="AY143" s="252"/>
      <c r="AZ143" s="252"/>
      <c r="BA143" s="252"/>
      <c r="BB143" s="252"/>
      <c r="BC143" s="252"/>
      <c r="BD143" s="252"/>
      <c r="BE143" s="252"/>
      <c r="BF143" s="252"/>
      <c r="BG143" s="252"/>
    </row>
    <row r="144" spans="19:59" x14ac:dyDescent="0.2">
      <c r="S144" s="256"/>
      <c r="T144" s="257"/>
      <c r="U144" s="257"/>
      <c r="V144" s="256"/>
      <c r="W144" s="256"/>
      <c r="X144" s="258"/>
      <c r="Y144" s="259"/>
      <c r="Z144" s="258"/>
      <c r="AA144" s="256"/>
      <c r="AB144" s="258"/>
      <c r="AC144" s="260"/>
      <c r="AD144" s="261"/>
      <c r="AE144" s="261"/>
      <c r="AF144" s="262"/>
      <c r="AG144" s="261"/>
      <c r="AH144" s="261"/>
      <c r="AI144" s="261"/>
      <c r="AJ144" s="261"/>
      <c r="AK144" s="261"/>
      <c r="AL144" s="259"/>
      <c r="AM144" s="259"/>
      <c r="AN144" s="259"/>
      <c r="AO144" s="252"/>
      <c r="AP144" s="252"/>
      <c r="AQ144" s="252"/>
      <c r="AR144" s="252"/>
      <c r="AS144" s="252"/>
      <c r="AT144" s="252"/>
      <c r="AU144" s="252"/>
      <c r="AV144" s="252"/>
      <c r="AW144" s="252"/>
      <c r="AX144" s="252"/>
      <c r="AY144" s="252"/>
      <c r="AZ144" s="252"/>
      <c r="BA144" s="252"/>
      <c r="BB144" s="252"/>
      <c r="BC144" s="252"/>
      <c r="BD144" s="252"/>
      <c r="BE144" s="252"/>
      <c r="BF144" s="252"/>
      <c r="BG144" s="252"/>
    </row>
    <row r="145" spans="19:59" x14ac:dyDescent="0.2">
      <c r="S145" s="256"/>
      <c r="T145" s="257"/>
      <c r="U145" s="257"/>
      <c r="V145" s="256"/>
      <c r="W145" s="256"/>
      <c r="X145" s="258"/>
      <c r="Y145" s="259"/>
      <c r="Z145" s="258"/>
      <c r="AA145" s="256"/>
      <c r="AB145" s="258"/>
      <c r="AC145" s="260"/>
      <c r="AD145" s="261"/>
      <c r="AE145" s="261"/>
      <c r="AF145" s="262"/>
      <c r="AG145" s="261"/>
      <c r="AH145" s="261"/>
      <c r="AI145" s="261"/>
      <c r="AJ145" s="261"/>
      <c r="AK145" s="261"/>
      <c r="AL145" s="259"/>
      <c r="AM145" s="259"/>
      <c r="AN145" s="259"/>
      <c r="AO145" s="252"/>
      <c r="AP145" s="252"/>
      <c r="AQ145" s="252"/>
      <c r="AR145" s="252"/>
      <c r="AS145" s="252"/>
      <c r="AT145" s="252"/>
      <c r="AU145" s="252"/>
      <c r="AV145" s="252"/>
      <c r="AW145" s="252"/>
      <c r="AX145" s="252"/>
      <c r="AY145" s="252"/>
      <c r="AZ145" s="252"/>
      <c r="BA145" s="252"/>
      <c r="BB145" s="252"/>
      <c r="BC145" s="252"/>
      <c r="BD145" s="252"/>
      <c r="BE145" s="252"/>
      <c r="BF145" s="252"/>
      <c r="BG145" s="252"/>
    </row>
    <row r="146" spans="19:59" x14ac:dyDescent="0.2">
      <c r="S146" s="256"/>
      <c r="T146" s="257"/>
      <c r="U146" s="257"/>
      <c r="V146" s="256"/>
      <c r="W146" s="256"/>
      <c r="X146" s="258"/>
      <c r="Y146" s="259"/>
      <c r="Z146" s="258"/>
      <c r="AA146" s="256"/>
      <c r="AB146" s="258"/>
      <c r="AC146" s="260"/>
      <c r="AD146" s="261"/>
      <c r="AE146" s="261"/>
      <c r="AF146" s="262"/>
      <c r="AG146" s="261"/>
      <c r="AH146" s="261"/>
      <c r="AI146" s="261"/>
      <c r="AJ146" s="261"/>
      <c r="AK146" s="261"/>
      <c r="AL146" s="259"/>
      <c r="AM146" s="259"/>
      <c r="AN146" s="259"/>
      <c r="AO146" s="252"/>
      <c r="AP146" s="252"/>
      <c r="AQ146" s="252"/>
      <c r="AR146" s="252"/>
      <c r="AS146" s="252"/>
      <c r="AT146" s="252"/>
      <c r="AU146" s="252"/>
      <c r="AV146" s="252"/>
      <c r="AW146" s="252"/>
      <c r="AX146" s="252"/>
      <c r="AY146" s="252"/>
      <c r="AZ146" s="252"/>
      <c r="BA146" s="252"/>
      <c r="BB146" s="252"/>
      <c r="BC146" s="252"/>
      <c r="BD146" s="252"/>
      <c r="BE146" s="252"/>
      <c r="BF146" s="252"/>
      <c r="BG146" s="252"/>
    </row>
    <row r="147" spans="19:59" x14ac:dyDescent="0.2">
      <c r="S147" s="256"/>
      <c r="T147" s="257"/>
      <c r="U147" s="257"/>
      <c r="V147" s="256"/>
      <c r="W147" s="256"/>
      <c r="X147" s="258"/>
      <c r="Y147" s="259"/>
      <c r="Z147" s="258"/>
      <c r="AA147" s="256"/>
      <c r="AB147" s="258"/>
      <c r="AC147" s="260"/>
      <c r="AD147" s="261"/>
      <c r="AE147" s="261"/>
      <c r="AF147" s="262"/>
      <c r="AG147" s="261"/>
      <c r="AH147" s="261"/>
      <c r="AI147" s="261"/>
      <c r="AJ147" s="261"/>
      <c r="AK147" s="261"/>
      <c r="AL147" s="259"/>
      <c r="AM147" s="259"/>
      <c r="AN147" s="259"/>
      <c r="AO147" s="252"/>
      <c r="AP147" s="252"/>
      <c r="AQ147" s="252"/>
      <c r="AR147" s="252"/>
      <c r="AS147" s="252"/>
      <c r="AT147" s="252"/>
      <c r="AU147" s="252"/>
      <c r="AV147" s="252"/>
      <c r="AW147" s="252"/>
      <c r="AX147" s="252"/>
      <c r="AY147" s="252"/>
      <c r="AZ147" s="252"/>
      <c r="BA147" s="252"/>
      <c r="BB147" s="252"/>
      <c r="BC147" s="252"/>
      <c r="BD147" s="252"/>
      <c r="BE147" s="252"/>
      <c r="BF147" s="252"/>
      <c r="BG147" s="252"/>
    </row>
    <row r="148" spans="19:59" x14ac:dyDescent="0.2">
      <c r="S148" s="256"/>
      <c r="T148" s="257"/>
      <c r="U148" s="257"/>
      <c r="V148" s="256"/>
      <c r="W148" s="256"/>
      <c r="X148" s="258"/>
      <c r="Y148" s="259"/>
      <c r="Z148" s="258"/>
      <c r="AA148" s="256"/>
      <c r="AB148" s="258"/>
      <c r="AC148" s="260"/>
      <c r="AD148" s="261"/>
      <c r="AE148" s="261"/>
      <c r="AF148" s="262"/>
      <c r="AG148" s="261"/>
      <c r="AH148" s="261"/>
      <c r="AI148" s="261"/>
      <c r="AJ148" s="261"/>
      <c r="AK148" s="261"/>
      <c r="AL148" s="259"/>
      <c r="AM148" s="259"/>
      <c r="AN148" s="259"/>
      <c r="AO148" s="252"/>
      <c r="AP148" s="252"/>
      <c r="AQ148" s="252"/>
      <c r="AR148" s="252"/>
      <c r="AS148" s="252"/>
      <c r="AT148" s="252"/>
      <c r="AU148" s="252"/>
      <c r="AV148" s="252"/>
      <c r="AW148" s="252"/>
      <c r="AX148" s="252"/>
      <c r="AY148" s="252"/>
      <c r="AZ148" s="252"/>
      <c r="BA148" s="252"/>
      <c r="BB148" s="252"/>
      <c r="BC148" s="252"/>
      <c r="BD148" s="252"/>
      <c r="BE148" s="252"/>
      <c r="BF148" s="252"/>
      <c r="BG148" s="252"/>
    </row>
    <row r="149" spans="19:59" x14ac:dyDescent="0.2">
      <c r="S149" s="256"/>
      <c r="T149" s="257"/>
      <c r="U149" s="257"/>
      <c r="V149" s="256"/>
      <c r="W149" s="256"/>
      <c r="X149" s="258"/>
      <c r="Y149" s="259"/>
      <c r="Z149" s="258"/>
      <c r="AA149" s="256"/>
      <c r="AB149" s="258"/>
      <c r="AC149" s="260"/>
      <c r="AD149" s="261"/>
      <c r="AE149" s="261"/>
      <c r="AF149" s="262"/>
      <c r="AG149" s="261"/>
      <c r="AH149" s="261"/>
      <c r="AI149" s="261"/>
      <c r="AJ149" s="261"/>
      <c r="AK149" s="261"/>
      <c r="AL149" s="259"/>
      <c r="AM149" s="259"/>
      <c r="AN149" s="259"/>
      <c r="AO149" s="252"/>
      <c r="AP149" s="252"/>
      <c r="AQ149" s="252"/>
      <c r="AR149" s="252"/>
      <c r="AS149" s="252"/>
      <c r="AT149" s="252"/>
      <c r="AU149" s="252"/>
      <c r="AV149" s="252"/>
      <c r="AW149" s="252"/>
      <c r="AX149" s="252"/>
      <c r="AY149" s="252"/>
      <c r="AZ149" s="252"/>
      <c r="BA149" s="252"/>
      <c r="BB149" s="252"/>
      <c r="BC149" s="252"/>
      <c r="BD149" s="252"/>
      <c r="BE149" s="252"/>
      <c r="BF149" s="252"/>
      <c r="BG149" s="252"/>
    </row>
    <row r="150" spans="19:59" x14ac:dyDescent="0.2">
      <c r="S150" s="256"/>
      <c r="T150" s="257"/>
      <c r="U150" s="257"/>
      <c r="V150" s="256"/>
      <c r="W150" s="256"/>
      <c r="X150" s="258"/>
      <c r="Y150" s="259"/>
      <c r="Z150" s="258"/>
      <c r="AA150" s="256"/>
      <c r="AB150" s="258"/>
      <c r="AC150" s="260"/>
      <c r="AD150" s="261"/>
      <c r="AE150" s="261"/>
      <c r="AF150" s="262"/>
      <c r="AG150" s="261"/>
      <c r="AH150" s="261"/>
      <c r="AI150" s="261"/>
      <c r="AJ150" s="261"/>
      <c r="AK150" s="261"/>
      <c r="AL150" s="259"/>
      <c r="AM150" s="259"/>
      <c r="AN150" s="259"/>
      <c r="AO150" s="252"/>
      <c r="AP150" s="252"/>
      <c r="AQ150" s="252"/>
      <c r="AR150" s="252"/>
      <c r="AS150" s="252"/>
      <c r="AT150" s="252"/>
      <c r="AU150" s="252"/>
      <c r="AV150" s="252"/>
      <c r="AW150" s="252"/>
      <c r="AX150" s="252"/>
      <c r="AY150" s="252"/>
      <c r="AZ150" s="252"/>
      <c r="BA150" s="252"/>
      <c r="BB150" s="252"/>
      <c r="BC150" s="252"/>
      <c r="BD150" s="252"/>
      <c r="BE150" s="252"/>
      <c r="BF150" s="252"/>
      <c r="BG150" s="252"/>
    </row>
    <row r="151" spans="19:59" x14ac:dyDescent="0.2">
      <c r="S151" s="256"/>
      <c r="T151" s="257"/>
      <c r="U151" s="257"/>
      <c r="V151" s="256"/>
      <c r="W151" s="256"/>
      <c r="X151" s="258"/>
      <c r="Y151" s="259"/>
      <c r="Z151" s="258"/>
      <c r="AA151" s="256"/>
      <c r="AB151" s="258"/>
      <c r="AC151" s="260"/>
      <c r="AD151" s="261"/>
      <c r="AE151" s="261"/>
      <c r="AF151" s="262"/>
      <c r="AG151" s="261"/>
      <c r="AH151" s="261"/>
      <c r="AI151" s="261"/>
      <c r="AJ151" s="261"/>
      <c r="AK151" s="261"/>
      <c r="AL151" s="259"/>
      <c r="AM151" s="259"/>
      <c r="AN151" s="259"/>
      <c r="AO151" s="252"/>
      <c r="AP151" s="252"/>
      <c r="AQ151" s="252"/>
      <c r="AR151" s="252"/>
      <c r="AS151" s="252"/>
      <c r="AT151" s="252"/>
      <c r="AU151" s="252"/>
      <c r="AV151" s="252"/>
      <c r="AW151" s="252"/>
      <c r="AX151" s="252"/>
      <c r="AY151" s="252"/>
      <c r="AZ151" s="252"/>
      <c r="BA151" s="252"/>
      <c r="BB151" s="252"/>
      <c r="BC151" s="252"/>
      <c r="BD151" s="252"/>
      <c r="BE151" s="252"/>
      <c r="BF151" s="252"/>
      <c r="BG151" s="252"/>
    </row>
    <row r="152" spans="19:59" x14ac:dyDescent="0.2">
      <c r="S152" s="256"/>
      <c r="T152" s="257"/>
      <c r="U152" s="257"/>
      <c r="V152" s="256"/>
      <c r="W152" s="256"/>
      <c r="X152" s="258"/>
      <c r="Y152" s="259"/>
      <c r="Z152" s="258"/>
      <c r="AA152" s="256"/>
      <c r="AB152" s="258"/>
      <c r="AC152" s="260"/>
      <c r="AD152" s="261"/>
      <c r="AE152" s="261"/>
      <c r="AF152" s="262"/>
      <c r="AG152" s="261"/>
      <c r="AH152" s="261"/>
      <c r="AI152" s="261"/>
      <c r="AJ152" s="261"/>
      <c r="AK152" s="261"/>
      <c r="AL152" s="259"/>
      <c r="AM152" s="259"/>
      <c r="AN152" s="259"/>
      <c r="AO152" s="252"/>
      <c r="AP152" s="252"/>
      <c r="AQ152" s="252"/>
      <c r="AR152" s="252"/>
      <c r="AS152" s="252"/>
      <c r="AT152" s="252"/>
      <c r="AU152" s="252"/>
      <c r="AV152" s="252"/>
      <c r="AW152" s="252"/>
      <c r="AX152" s="252"/>
      <c r="AY152" s="252"/>
      <c r="AZ152" s="252"/>
      <c r="BA152" s="252"/>
      <c r="BB152" s="252"/>
      <c r="BC152" s="252"/>
      <c r="BD152" s="252"/>
      <c r="BE152" s="252"/>
      <c r="BF152" s="252"/>
      <c r="BG152" s="252"/>
    </row>
    <row r="153" spans="19:59" x14ac:dyDescent="0.2">
      <c r="S153" s="256"/>
      <c r="T153" s="257"/>
      <c r="U153" s="257"/>
      <c r="V153" s="256"/>
      <c r="W153" s="256"/>
      <c r="X153" s="258"/>
      <c r="Y153" s="259"/>
      <c r="Z153" s="258"/>
      <c r="AA153" s="256"/>
      <c r="AB153" s="258"/>
      <c r="AC153" s="260"/>
      <c r="AD153" s="261"/>
      <c r="AE153" s="261"/>
      <c r="AF153" s="262"/>
      <c r="AG153" s="261"/>
      <c r="AH153" s="261"/>
      <c r="AI153" s="261"/>
      <c r="AJ153" s="261"/>
      <c r="AK153" s="261"/>
      <c r="AL153" s="259"/>
      <c r="AM153" s="259"/>
      <c r="AN153" s="259"/>
      <c r="AO153" s="252"/>
      <c r="AP153" s="252"/>
      <c r="AQ153" s="252"/>
      <c r="AR153" s="252"/>
      <c r="AS153" s="252"/>
      <c r="AT153" s="252"/>
      <c r="AU153" s="252"/>
      <c r="AV153" s="252"/>
      <c r="AW153" s="252"/>
      <c r="AX153" s="252"/>
      <c r="AY153" s="252"/>
      <c r="AZ153" s="252"/>
      <c r="BA153" s="252"/>
      <c r="BB153" s="252"/>
      <c r="BC153" s="252"/>
      <c r="BD153" s="252"/>
      <c r="BE153" s="252"/>
      <c r="BF153" s="252"/>
      <c r="BG153" s="252"/>
    </row>
    <row r="154" spans="19:59" x14ac:dyDescent="0.2">
      <c r="S154" s="256"/>
      <c r="T154" s="257"/>
      <c r="U154" s="257"/>
      <c r="V154" s="256"/>
      <c r="W154" s="256"/>
      <c r="X154" s="258"/>
      <c r="Y154" s="259"/>
      <c r="Z154" s="258"/>
      <c r="AA154" s="256"/>
      <c r="AB154" s="258"/>
      <c r="AC154" s="260"/>
      <c r="AD154" s="261"/>
      <c r="AE154" s="261"/>
      <c r="AF154" s="262"/>
      <c r="AG154" s="261"/>
      <c r="AH154" s="261"/>
      <c r="AI154" s="261"/>
      <c r="AJ154" s="261"/>
      <c r="AK154" s="261"/>
      <c r="AL154" s="259"/>
      <c r="AM154" s="259"/>
      <c r="AN154" s="259"/>
      <c r="AO154" s="252"/>
      <c r="AP154" s="252"/>
      <c r="AQ154" s="252"/>
      <c r="AR154" s="252"/>
      <c r="AS154" s="252"/>
      <c r="AT154" s="252"/>
      <c r="AU154" s="252"/>
      <c r="AV154" s="252"/>
      <c r="AW154" s="252"/>
      <c r="AX154" s="252"/>
      <c r="AY154" s="252"/>
      <c r="AZ154" s="252"/>
      <c r="BA154" s="252"/>
      <c r="BB154" s="252"/>
      <c r="BC154" s="252"/>
      <c r="BD154" s="252"/>
      <c r="BE154" s="252"/>
      <c r="BF154" s="252"/>
      <c r="BG154" s="252"/>
    </row>
    <row r="155" spans="19:59" x14ac:dyDescent="0.2">
      <c r="S155" s="249"/>
      <c r="T155" s="250"/>
      <c r="U155" s="250"/>
      <c r="V155" s="249"/>
      <c r="W155" s="249"/>
      <c r="X155" s="251"/>
      <c r="Y155" s="252"/>
      <c r="Z155" s="251"/>
      <c r="AA155" s="249"/>
      <c r="AB155" s="251"/>
      <c r="AC155" s="253"/>
      <c r="AD155" s="24"/>
      <c r="AE155" s="24"/>
      <c r="AF155" s="254"/>
      <c r="AG155" s="24"/>
      <c r="AH155" s="24"/>
      <c r="AI155" s="24"/>
      <c r="AJ155" s="24"/>
      <c r="AK155" s="24"/>
      <c r="AL155" s="252"/>
      <c r="AM155" s="252"/>
      <c r="AN155" s="252"/>
      <c r="AO155" s="252"/>
      <c r="AP155" s="252"/>
      <c r="AQ155" s="252"/>
      <c r="AR155" s="252"/>
      <c r="AS155" s="252"/>
      <c r="AT155" s="252"/>
      <c r="AU155" s="252"/>
      <c r="AV155" s="252"/>
      <c r="AW155" s="252"/>
      <c r="AX155" s="252"/>
      <c r="AY155" s="252"/>
      <c r="AZ155" s="252"/>
      <c r="BA155" s="252"/>
      <c r="BB155" s="252"/>
      <c r="BC155" s="252"/>
      <c r="BD155" s="252"/>
      <c r="BE155" s="252"/>
      <c r="BF155" s="252"/>
      <c r="BG155" s="252"/>
    </row>
  </sheetData>
  <dataValidations count="3">
    <dataValidation type="list" allowBlank="1" showInputMessage="1" showErrorMessage="1" sqref="H5:H26">
      <formula1>"Following,Modified Following,Preceding,Modified Preceding,Month End Reference,Unadjusted Month End,Unadjusted"</formula1>
    </dataValidation>
    <dataValidation type="list" allowBlank="1" showInputMessage="1" showErrorMessage="1" sqref="I5:I2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5:G26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61" customWidth="1"/>
    <col min="2" max="2" width="6" style="80" bestFit="1" customWidth="1"/>
    <col min="3" max="3" width="17.28515625" style="80" bestFit="1" customWidth="1"/>
    <col min="4" max="4" width="7" style="61" bestFit="1" customWidth="1"/>
    <col min="5" max="5" width="17.28515625" style="61" bestFit="1" customWidth="1"/>
    <col min="6" max="6" width="20.28515625" style="80" bestFit="1" customWidth="1"/>
    <col min="7" max="8" width="7" style="80" customWidth="1"/>
    <col min="9" max="9" width="11" style="80" bestFit="1" customWidth="1"/>
    <col min="10" max="10" width="15.140625" style="80" bestFit="1" customWidth="1"/>
    <col min="11" max="11" width="10" style="61" customWidth="1"/>
    <col min="12" max="12" width="4" style="61" customWidth="1"/>
    <col min="13" max="13" width="15.140625" style="61" hidden="1" customWidth="1" outlineLevel="1"/>
    <col min="14" max="14" width="19.28515625" style="61" bestFit="1" customWidth="1" collapsed="1"/>
    <col min="15" max="15" width="17.28515625" style="61" bestFit="1" customWidth="1"/>
    <col min="16" max="16" width="13" style="61" customWidth="1"/>
    <col min="17" max="17" width="8" style="61" hidden="1" customWidth="1" outlineLevel="1"/>
    <col min="18" max="18" width="17.28515625" style="61" hidden="1" customWidth="1" outlineLevel="1"/>
    <col min="19" max="19" width="15.140625" style="82" hidden="1" customWidth="1" outlineLevel="1"/>
    <col min="20" max="20" width="16.140625" style="61" customWidth="1" collapsed="1"/>
    <col min="21" max="21" width="12" style="61" bestFit="1" customWidth="1"/>
    <col min="22" max="22" width="7.5703125" style="61" customWidth="1"/>
    <col min="23" max="23" width="19.28515625" style="61" bestFit="1" customWidth="1"/>
    <col min="24" max="25" width="17.28515625" style="61" bestFit="1" customWidth="1"/>
    <col min="26" max="27" width="15.140625" style="61" bestFit="1" customWidth="1"/>
    <col min="28" max="28" width="13.140625" style="61" bestFit="1" customWidth="1"/>
    <col min="29" max="16384" width="9.140625" style="61"/>
  </cols>
  <sheetData>
    <row r="1" spans="1:28" s="80" customFormat="1" ht="12" hidden="1" outlineLevel="1" thickBot="1" x14ac:dyDescent="0.25">
      <c r="A1" s="87"/>
      <c r="B1" s="84" t="s">
        <v>88</v>
      </c>
      <c r="C1" s="86"/>
      <c r="D1" s="84"/>
      <c r="E1" s="85"/>
      <c r="F1" s="88"/>
      <c r="G1" s="87" t="s">
        <v>89</v>
      </c>
      <c r="H1" s="116"/>
      <c r="I1" s="88"/>
      <c r="J1" s="116"/>
      <c r="K1" s="88"/>
    </row>
    <row r="2" spans="1:28" hidden="1" outlineLevel="1" x14ac:dyDescent="0.2">
      <c r="A2" s="89"/>
      <c r="B2" s="117" t="s">
        <v>90</v>
      </c>
      <c r="C2" s="118" t="s">
        <v>91</v>
      </c>
      <c r="D2" s="118" t="s">
        <v>58</v>
      </c>
      <c r="E2" s="118" t="s">
        <v>92</v>
      </c>
      <c r="F2" s="119" t="s">
        <v>93</v>
      </c>
      <c r="G2" s="117" t="s">
        <v>91</v>
      </c>
      <c r="H2" s="118" t="s">
        <v>92</v>
      </c>
      <c r="I2" s="119" t="s">
        <v>94</v>
      </c>
      <c r="J2" s="118" t="s">
        <v>95</v>
      </c>
      <c r="K2" s="119" t="s">
        <v>96</v>
      </c>
      <c r="L2" s="80"/>
      <c r="M2" s="80"/>
    </row>
    <row r="3" spans="1:28" hidden="1" outlineLevel="1" x14ac:dyDescent="0.2">
      <c r="A3" s="120"/>
      <c r="B3" s="121" t="str">
        <f>_xll.qlPeriodEquivalent(D3&amp;"M")</f>
        <v>1Y</v>
      </c>
      <c r="C3" s="122">
        <f>_xll.qlDateEndOfMonth(EDATE(_xll.qlSettingsEvaluationDate(Trigger),-1))</f>
        <v>42247</v>
      </c>
      <c r="D3" s="90">
        <v>12</v>
      </c>
      <c r="E3" s="122">
        <f t="shared" ref="E3:E16" si="0">EDATE($Y$19,$D3)</f>
        <v>42642</v>
      </c>
      <c r="F3" s="136">
        <f>IF(D3&lt;=12,1,IF(D3&lt;=24,3,IF(D3&lt;=120,6,IF(D3&lt;=240,12,IF(D3&lt;=360,36,60)))))</f>
        <v>1</v>
      </c>
      <c r="G3" s="137">
        <f>IF(J3&gt;=0,ROUNDDOWN(J3*10,2)/10,ROUNDUP(J3*10,2)/10)</f>
        <v>-4.0000000000000001E-3</v>
      </c>
      <c r="H3" s="138">
        <f>IF(K3-J3&gt;1%,(QUOTIENT(K3*10000,50)+1)*0.5%,(QUOTIENT(K3*10000,10)+1)*0.1%)</f>
        <v>0</v>
      </c>
      <c r="I3" s="139">
        <f>IF(H3-G3&lt;0.5%,0.05%,IF(H3-G3&lt;1%,0.1%,IF(H3-G3&lt;2%,0.25%,0.5%)))</f>
        <v>5.0000000000000001E-4</v>
      </c>
      <c r="J3" s="138">
        <f>MIN(_xll.ohPack($Z$19:INDEX($Z$19:$Z$3552,MATCH(E3+1,$Y$19:$Y$3552,1),1)))</f>
        <v>-3.2006306229335202E-3</v>
      </c>
      <c r="K3" s="139">
        <f>MAX(_xll.ohPack($Z$19:INDEX($Z$19:$Z$3552,MATCH(E3+1,$Y$19:$Y$3552,1),1)))</f>
        <v>-1.918661628976779E-3</v>
      </c>
      <c r="L3" s="80"/>
      <c r="M3" s="80"/>
      <c r="N3" s="144"/>
    </row>
    <row r="4" spans="1:28" ht="12" hidden="1" customHeight="1" outlineLevel="1" x14ac:dyDescent="0.25">
      <c r="A4" s="120"/>
      <c r="B4" s="121" t="str">
        <f>_xll.qlPeriodEquivalent(D4&amp;"M")</f>
        <v>2Y</v>
      </c>
      <c r="C4" s="122">
        <f>_xll.qlDateEndOfMonth(EDATE(_xll.qlIMMNextDate(_xll.qlSettingsEvaluationDate(Trigger)-1,TRUE),-3))</f>
        <v>42277</v>
      </c>
      <c r="D4" s="90">
        <v>24</v>
      </c>
      <c r="E4" s="122">
        <f t="shared" si="0"/>
        <v>43007</v>
      </c>
      <c r="F4" s="136">
        <f t="shared" ref="F4:F16" si="1">IF(D4&lt;=12,1,IF(D4&lt;=24,3,IF(D4&lt;=120,6,IF(D4&lt;=240,12,IF(D4&lt;=360,36,60)))))</f>
        <v>3</v>
      </c>
      <c r="G4" s="137">
        <f t="shared" ref="G4:G16" si="2">IF(J4&gt;=0,ROUNDDOWN(J4*10,2)/10,ROUNDUP(J4*10,2)/10)</f>
        <v>-4.0000000000000001E-3</v>
      </c>
      <c r="H4" s="138">
        <f t="shared" ref="H4:H16" si="3">IF(K4-J4&gt;1%,(QUOTIENT(K4*10000,50)+1)*0.5%,(QUOTIENT(K4*10000,10)+1)*0.1%)</f>
        <v>3.0000000000000001E-3</v>
      </c>
      <c r="I4" s="139">
        <f t="shared" ref="I4:I16" si="4">IF(H4-G4&lt;0.5%,0.05%,IF(H4-G4&lt;1%,0.1%,IF(H4-G4&lt;2%,0.25%,0.5%)))</f>
        <v>1E-3</v>
      </c>
      <c r="J4" s="138">
        <f>MIN(_xll.ohPack($Z$19:INDEX($Z$19:$Z$3552,MATCH(E4+1,$Y$19:$Y$3552,1),1)))</f>
        <v>-3.2006306229335202E-3</v>
      </c>
      <c r="K4" s="139">
        <f>MAX(_xll.ohPack($Z$19:INDEX($Z$19:$Z$3552,MATCH(E4+1,$Y$19:$Y$3552,1),1)))</f>
        <v>2.6798544680212573E-3</v>
      </c>
      <c r="L4" s="80"/>
      <c r="M4" s="80"/>
      <c r="X4" s="60"/>
      <c r="Y4" s="60"/>
      <c r="Z4" s="60"/>
      <c r="AA4" s="60"/>
      <c r="AB4" s="60"/>
    </row>
    <row r="5" spans="1:28" hidden="1" outlineLevel="1" x14ac:dyDescent="0.2">
      <c r="A5" s="120"/>
      <c r="B5" s="121" t="str">
        <f>_xll.qlPeriodEquivalent(D5&amp;"M")</f>
        <v>5Y</v>
      </c>
      <c r="C5" s="12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5" s="90">
        <v>60</v>
      </c>
      <c r="E5" s="122">
        <f t="shared" si="0"/>
        <v>44103</v>
      </c>
      <c r="F5" s="136">
        <f t="shared" si="1"/>
        <v>6</v>
      </c>
      <c r="G5" s="137">
        <f t="shared" si="2"/>
        <v>-4.0000000000000001E-3</v>
      </c>
      <c r="H5" s="138">
        <f t="shared" si="3"/>
        <v>0.02</v>
      </c>
      <c r="I5" s="139">
        <f t="shared" si="4"/>
        <v>5.0000000000000001E-3</v>
      </c>
      <c r="J5" s="138">
        <f>MIN(_xll.ohPack($Z$19:INDEX($Z$19:$Z$3552,MATCH(E5+1,$Y$19:$Y$3552,1),1)))</f>
        <v>-3.2006306229335202E-3</v>
      </c>
      <c r="K5" s="139">
        <f>MAX(_xll.ohPack($Z$19:INDEX($Z$19:$Z$3552,MATCH(E5+1,$Y$19:$Y$3552,1),1)))</f>
        <v>1.76079231091835E-2</v>
      </c>
      <c r="L5" s="80"/>
      <c r="M5" s="80"/>
    </row>
    <row r="6" spans="1:28" hidden="1" outlineLevel="1" x14ac:dyDescent="0.2">
      <c r="A6" s="120" t="s">
        <v>97</v>
      </c>
      <c r="B6" s="121" t="str">
        <f>_xll.qlPeriodEquivalent(D6&amp;"M")</f>
        <v>10Y</v>
      </c>
      <c r="C6" s="122">
        <f>C5</f>
        <v>42185</v>
      </c>
      <c r="D6" s="90">
        <v>120</v>
      </c>
      <c r="E6" s="122">
        <f t="shared" si="0"/>
        <v>45929</v>
      </c>
      <c r="F6" s="136">
        <f t="shared" si="1"/>
        <v>6</v>
      </c>
      <c r="G6" s="137">
        <f t="shared" si="2"/>
        <v>-4.0000000000000001E-3</v>
      </c>
      <c r="H6" s="138">
        <f t="shared" si="3"/>
        <v>0.03</v>
      </c>
      <c r="I6" s="139">
        <f t="shared" si="4"/>
        <v>5.0000000000000001E-3</v>
      </c>
      <c r="J6" s="138">
        <f>MIN(_xll.ohPack($Z$19:INDEX($Z$19:$Z$3552,MATCH(E6+1,$Y$19:$Y$3552,1),1)))</f>
        <v>-3.2006306229335202E-3</v>
      </c>
      <c r="K6" s="139">
        <f>MAX(_xll.ohPack($Z$19:INDEX($Z$19:$Z$3552,MATCH(E6+1,$Y$19:$Y$3552,1),1)))</f>
        <v>2.5959814044244883E-2</v>
      </c>
      <c r="L6" s="80"/>
      <c r="M6" s="80"/>
    </row>
    <row r="7" spans="1:28" hidden="1" outlineLevel="1" x14ac:dyDescent="0.2">
      <c r="A7" s="120"/>
      <c r="B7" s="121" t="str">
        <f>_xll.qlPeriodEquivalent(D7&amp;"M")</f>
        <v>20Y</v>
      </c>
      <c r="C7" s="122">
        <f>IF(AND(MONTH(C6)=12),C6,_xll.qlDateEndOfMonth(EDATE(C6,-6)))</f>
        <v>42004</v>
      </c>
      <c r="D7" s="90">
        <v>240</v>
      </c>
      <c r="E7" s="122">
        <f t="shared" si="0"/>
        <v>49581</v>
      </c>
      <c r="F7" s="136">
        <f t="shared" si="1"/>
        <v>12</v>
      </c>
      <c r="G7" s="137">
        <f t="shared" si="2"/>
        <v>-4.0000000000000001E-3</v>
      </c>
      <c r="H7" s="138">
        <f t="shared" si="3"/>
        <v>0.03</v>
      </c>
      <c r="I7" s="139">
        <f t="shared" si="4"/>
        <v>5.0000000000000001E-3</v>
      </c>
      <c r="J7" s="138">
        <f>MIN(_xll.ohPack($Z$19:INDEX($Z$19:$Z$3552,MATCH(E7+1,$Y$19:$Y$3552,1),1)))</f>
        <v>-3.2006306229335202E-3</v>
      </c>
      <c r="K7" s="139">
        <f>MAX(_xll.ohPack($Z$19:INDEX($Z$19:$Z$3552,MATCH(E7+1,$Y$19:$Y$3552,1),1)))</f>
        <v>2.8352520957738003E-2</v>
      </c>
      <c r="L7" s="80"/>
      <c r="M7" s="80"/>
    </row>
    <row r="8" spans="1:28" hidden="1" outlineLevel="1" x14ac:dyDescent="0.2">
      <c r="A8" s="120"/>
      <c r="B8" s="121" t="str">
        <f>_xll.qlPeriodEquivalent(D8&amp;"M")</f>
        <v>30Y</v>
      </c>
      <c r="C8" s="122">
        <f>C7</f>
        <v>42004</v>
      </c>
      <c r="D8" s="90">
        <v>360</v>
      </c>
      <c r="E8" s="122">
        <f t="shared" si="0"/>
        <v>53234</v>
      </c>
      <c r="F8" s="136">
        <f t="shared" si="1"/>
        <v>36</v>
      </c>
      <c r="G8" s="137">
        <f t="shared" si="2"/>
        <v>-4.0000000000000001E-3</v>
      </c>
      <c r="H8" s="138">
        <f t="shared" si="3"/>
        <v>0.03</v>
      </c>
      <c r="I8" s="139">
        <f t="shared" si="4"/>
        <v>5.0000000000000001E-3</v>
      </c>
      <c r="J8" s="138">
        <f>MIN(_xll.ohPack($Z$19:INDEX($Z$19:$Z$3552,MATCH(E8+1,$Y$19:$Y$3552,1),1)))</f>
        <v>-3.2006306229335202E-3</v>
      </c>
      <c r="K8" s="139">
        <f>MAX(_xll.ohPack($Z$19:INDEX($Z$19:$Z$3552,MATCH(E8+1,$Y$19:$Y$3552,1),1)))</f>
        <v>2.8352520957738003E-2</v>
      </c>
      <c r="L8" s="80"/>
      <c r="M8" s="80"/>
      <c r="AA8" s="91"/>
    </row>
    <row r="9" spans="1:28" ht="12" hidden="1" outlineLevel="1" thickBot="1" x14ac:dyDescent="0.25">
      <c r="A9" s="120"/>
      <c r="B9" s="121" t="str">
        <f>_xll.qlPeriodEquivalent(D9&amp;"M")</f>
        <v>60Y</v>
      </c>
      <c r="C9" s="122">
        <f>C8</f>
        <v>42004</v>
      </c>
      <c r="D9" s="90">
        <f>60*12</f>
        <v>720</v>
      </c>
      <c r="E9" s="122">
        <f t="shared" si="0"/>
        <v>64191</v>
      </c>
      <c r="F9" s="136">
        <f t="shared" si="1"/>
        <v>60</v>
      </c>
      <c r="G9" s="137">
        <f t="shared" si="2"/>
        <v>-4.0000000000000001E-3</v>
      </c>
      <c r="H9" s="138">
        <f t="shared" si="3"/>
        <v>0.03</v>
      </c>
      <c r="I9" s="139">
        <f t="shared" si="4"/>
        <v>5.0000000000000001E-3</v>
      </c>
      <c r="J9" s="138">
        <f>MIN(_xll.ohPack($Z$19:INDEX($Z$19:$Z$3552,MATCH(E9+1,$Y$19:$Y$3552,1),1)))</f>
        <v>-3.2006306229335202E-3</v>
      </c>
      <c r="K9" s="139">
        <f>MAX(_xll.ohPack($Z$19:INDEX($Z$19:$Z$3552,MATCH(E9+1,$Y$19:$Y$3552,1),1)))</f>
        <v>2.8352520957738003E-2</v>
      </c>
      <c r="L9" s="80"/>
      <c r="M9" s="80"/>
      <c r="AA9" s="91"/>
    </row>
    <row r="10" spans="1:28" hidden="1" outlineLevel="1" x14ac:dyDescent="0.2">
      <c r="A10" s="127"/>
      <c r="B10" s="128" t="str">
        <f>_xll.qlPeriodEquivalent(D10&amp;"M")</f>
        <v>1Y</v>
      </c>
      <c r="C10" s="129">
        <f>C3</f>
        <v>42247</v>
      </c>
      <c r="D10" s="130">
        <v>12</v>
      </c>
      <c r="E10" s="129">
        <f t="shared" si="0"/>
        <v>42642</v>
      </c>
      <c r="F10" s="140">
        <f t="shared" si="1"/>
        <v>1</v>
      </c>
      <c r="G10" s="141">
        <f t="shared" si="2"/>
        <v>-4.0000000000000001E-3</v>
      </c>
      <c r="H10" s="142">
        <f t="shared" si="3"/>
        <v>-1E-3</v>
      </c>
      <c r="I10" s="143">
        <f t="shared" si="4"/>
        <v>5.0000000000000001E-4</v>
      </c>
      <c r="J10" s="142">
        <f>MIN(_xll.ohPack($AA$19:INDEX($AA$19:$AA$3552,MATCH(E10+1,$Y$19:$Y$3552,1),1)))</f>
        <v>-3.219877733280363E-3</v>
      </c>
      <c r="K10" s="143">
        <f>MAX(_xll.ohPack($AA$19:INDEX($AA$19:$AA$3552,MATCH(E10+1,$Y$19:$Y$3552,1),1)))</f>
        <v>-2.2793133617726724E-3</v>
      </c>
      <c r="L10" s="80"/>
      <c r="M10" s="80"/>
    </row>
    <row r="11" spans="1:28" hidden="1" outlineLevel="1" x14ac:dyDescent="0.2">
      <c r="A11" s="120"/>
      <c r="B11" s="121" t="str">
        <f>_xll.qlPeriodEquivalent(D11&amp;"M")</f>
        <v>2Y</v>
      </c>
      <c r="C11" s="122">
        <f t="shared" ref="C11:C16" si="5">C4</f>
        <v>42277</v>
      </c>
      <c r="D11" s="90">
        <v>24</v>
      </c>
      <c r="E11" s="122">
        <f t="shared" si="0"/>
        <v>43007</v>
      </c>
      <c r="F11" s="136">
        <f t="shared" si="1"/>
        <v>3</v>
      </c>
      <c r="G11" s="137">
        <f t="shared" si="2"/>
        <v>-4.0000000000000001E-3</v>
      </c>
      <c r="H11" s="138">
        <f t="shared" si="3"/>
        <v>3.0000000000000001E-3</v>
      </c>
      <c r="I11" s="139">
        <f t="shared" si="4"/>
        <v>1E-3</v>
      </c>
      <c r="J11" s="138">
        <f>MIN(_xll.ohPack($AA$19:INDEX($AA$19:$AA$3552,MATCH(E11+1,$Y$19:$Y$3552,1),1)))</f>
        <v>-3.219877733280363E-3</v>
      </c>
      <c r="K11" s="139">
        <f>MAX(_xll.ohPack($AA$19:INDEX($AA$19:$AA$3552,MATCH(E11+1,$Y$19:$Y$3552,1),1)))</f>
        <v>2.216832588697315E-3</v>
      </c>
      <c r="L11" s="80"/>
      <c r="M11" s="80"/>
    </row>
    <row r="12" spans="1:28" hidden="1" outlineLevel="1" x14ac:dyDescent="0.2">
      <c r="A12" s="120"/>
      <c r="B12" s="121" t="str">
        <f>_xll.qlPeriodEquivalent(D12&amp;"M")</f>
        <v>5Y</v>
      </c>
      <c r="C12" s="122">
        <f t="shared" si="5"/>
        <v>42185</v>
      </c>
      <c r="D12" s="90">
        <v>60</v>
      </c>
      <c r="E12" s="122">
        <f t="shared" si="0"/>
        <v>44103</v>
      </c>
      <c r="F12" s="136">
        <f t="shared" si="1"/>
        <v>6</v>
      </c>
      <c r="G12" s="137">
        <f t="shared" si="2"/>
        <v>-4.0000000000000001E-3</v>
      </c>
      <c r="H12" s="138">
        <f t="shared" si="3"/>
        <v>0.02</v>
      </c>
      <c r="I12" s="139">
        <f t="shared" si="4"/>
        <v>5.0000000000000001E-3</v>
      </c>
      <c r="J12" s="138">
        <f>MIN(_xll.ohPack($AA$19:INDEX($AA$19:$AA$3552,MATCH(E12+1,$Y$19:$Y$3552,1),1)))</f>
        <v>-3.219877733280363E-3</v>
      </c>
      <c r="K12" s="139">
        <f>MAX(_xll.ohPack($AA$19:INDEX($AA$19:$AA$3552,MATCH(E12+1,$Y$19:$Y$3552,1),1)))</f>
        <v>1.7144175865038136E-2</v>
      </c>
      <c r="L12" s="80"/>
      <c r="M12" s="80"/>
    </row>
    <row r="13" spans="1:28" hidden="1" outlineLevel="1" x14ac:dyDescent="0.2">
      <c r="A13" s="120" t="s">
        <v>98</v>
      </c>
      <c r="B13" s="121" t="str">
        <f>_xll.qlPeriodEquivalent(D13&amp;"M")</f>
        <v>10Y</v>
      </c>
      <c r="C13" s="122">
        <f t="shared" si="5"/>
        <v>42185</v>
      </c>
      <c r="D13" s="90">
        <v>120</v>
      </c>
      <c r="E13" s="122">
        <f t="shared" si="0"/>
        <v>45929</v>
      </c>
      <c r="F13" s="136">
        <f t="shared" si="1"/>
        <v>6</v>
      </c>
      <c r="G13" s="137">
        <f t="shared" si="2"/>
        <v>-4.0000000000000001E-3</v>
      </c>
      <c r="H13" s="138">
        <f t="shared" si="3"/>
        <v>0.03</v>
      </c>
      <c r="I13" s="139">
        <f t="shared" si="4"/>
        <v>5.0000000000000001E-3</v>
      </c>
      <c r="J13" s="138">
        <f>MIN(_xll.ohPack($AA$19:INDEX($AA$19:$AA$3552,MATCH(E13+1,$Y$19:$Y$3552,1),1)))</f>
        <v>-3.219877733280363E-3</v>
      </c>
      <c r="K13" s="139">
        <f>MAX(_xll.ohPack($AA$19:INDEX($AA$19:$AA$3552,MATCH(E13+1,$Y$19:$Y$3552,1),1)))</f>
        <v>2.5809465144677191E-2</v>
      </c>
      <c r="L13" s="80"/>
      <c r="M13" s="80"/>
    </row>
    <row r="14" spans="1:28" hidden="1" outlineLevel="1" x14ac:dyDescent="0.2">
      <c r="A14" s="120"/>
      <c r="B14" s="121" t="str">
        <f>_xll.qlPeriodEquivalent(D14&amp;"M")</f>
        <v>20Y</v>
      </c>
      <c r="C14" s="122">
        <f t="shared" si="5"/>
        <v>42004</v>
      </c>
      <c r="D14" s="90">
        <v>240</v>
      </c>
      <c r="E14" s="122">
        <f t="shared" si="0"/>
        <v>49581</v>
      </c>
      <c r="F14" s="136">
        <f t="shared" si="1"/>
        <v>12</v>
      </c>
      <c r="G14" s="137">
        <f t="shared" si="2"/>
        <v>-4.0000000000000001E-3</v>
      </c>
      <c r="H14" s="138">
        <f t="shared" si="3"/>
        <v>0.03</v>
      </c>
      <c r="I14" s="139">
        <f t="shared" si="4"/>
        <v>5.0000000000000001E-3</v>
      </c>
      <c r="J14" s="138">
        <f>MIN(_xll.ohPack($AA$19:INDEX($AA$19:$AA$3552,MATCH(E14+1,$Y$19:$Y$3552,1),1)))</f>
        <v>-3.219877733280363E-3</v>
      </c>
      <c r="K14" s="139">
        <f>MAX(_xll.ohPack($AA$19:INDEX($AA$19:$AA$3552,MATCH(E14+1,$Y$19:$Y$3552,1),1)))</f>
        <v>2.8252350583413133E-2</v>
      </c>
      <c r="L14" s="80"/>
      <c r="M14" s="80"/>
    </row>
    <row r="15" spans="1:28" hidden="1" outlineLevel="1" x14ac:dyDescent="0.2">
      <c r="A15" s="120"/>
      <c r="B15" s="121" t="str">
        <f>_xll.qlPeriodEquivalent(D15&amp;"M")</f>
        <v>30Y</v>
      </c>
      <c r="C15" s="122">
        <f t="shared" si="5"/>
        <v>42004</v>
      </c>
      <c r="D15" s="90">
        <v>360</v>
      </c>
      <c r="E15" s="122">
        <f t="shared" si="0"/>
        <v>53234</v>
      </c>
      <c r="F15" s="136">
        <f t="shared" si="1"/>
        <v>36</v>
      </c>
      <c r="G15" s="137">
        <f t="shared" si="2"/>
        <v>-4.0000000000000001E-3</v>
      </c>
      <c r="H15" s="138">
        <f t="shared" si="3"/>
        <v>0.03</v>
      </c>
      <c r="I15" s="139">
        <f t="shared" si="4"/>
        <v>5.0000000000000001E-3</v>
      </c>
      <c r="J15" s="138">
        <f>MIN(_xll.ohPack($AA$19:INDEX($AA$19:$AA$3552,MATCH(E15+1,$Y$19:$Y$3552,1),1)))</f>
        <v>-3.219877733280363E-3</v>
      </c>
      <c r="K15" s="139">
        <f>MAX(_xll.ohPack($AA$19:INDEX($AA$19:$AA$3552,MATCH(E15+1,$Y$19:$Y$3552,1),1)))</f>
        <v>2.8252350583413133E-2</v>
      </c>
      <c r="L15" s="80"/>
      <c r="M15" s="80"/>
    </row>
    <row r="16" spans="1:28" ht="12" hidden="1" outlineLevel="1" thickBot="1" x14ac:dyDescent="0.25">
      <c r="A16" s="133"/>
      <c r="B16" s="121" t="str">
        <f>_xll.qlPeriodEquivalent(D16&amp;"M")</f>
        <v>60Y</v>
      </c>
      <c r="C16" s="122">
        <f t="shared" si="5"/>
        <v>42004</v>
      </c>
      <c r="D16" s="90">
        <v>720</v>
      </c>
      <c r="E16" s="122">
        <f t="shared" si="0"/>
        <v>64191</v>
      </c>
      <c r="F16" s="136">
        <f t="shared" si="1"/>
        <v>60</v>
      </c>
      <c r="G16" s="137">
        <f t="shared" si="2"/>
        <v>-4.0000000000000001E-3</v>
      </c>
      <c r="H16" s="138">
        <f t="shared" si="3"/>
        <v>0.03</v>
      </c>
      <c r="I16" s="139">
        <f t="shared" si="4"/>
        <v>5.0000000000000001E-3</v>
      </c>
      <c r="J16" s="138">
        <f>MIN(_xll.ohPack($AA$19:INDEX($AA$19:$AA$3552,MATCH(E16+1,$Y$19:$Y$3552,1),1)))</f>
        <v>-3.219877733280363E-3</v>
      </c>
      <c r="K16" s="139">
        <f>MAX(_xll.ohPack($AA$19:INDEX($AA$19:$AA$3552,MATCH(E16+1,$Y$19:$Y$3552,1),1)))</f>
        <v>2.8252350583413133E-2</v>
      </c>
      <c r="L16" s="80"/>
      <c r="M16" s="80"/>
      <c r="Z16" s="92" t="s">
        <v>99</v>
      </c>
      <c r="AA16" s="92" t="s">
        <v>100</v>
      </c>
    </row>
    <row r="17" spans="1:27" ht="12" collapsed="1" thickBot="1" x14ac:dyDescent="0.25">
      <c r="A17" s="134"/>
      <c r="B17" s="135"/>
      <c r="C17" s="135"/>
      <c r="D17" s="134"/>
      <c r="E17" s="134"/>
      <c r="F17" s="135"/>
      <c r="G17" s="135"/>
      <c r="H17" s="135"/>
      <c r="I17" s="135"/>
      <c r="J17" s="135"/>
      <c r="K17" s="134"/>
      <c r="L17" s="110"/>
      <c r="M17" s="110"/>
      <c r="Z17" s="96" t="str">
        <f>_xll.qlIborIndex(,FamilyName,IndexTenor,NDays,Currency,Calendar,"mf",TRUE,MoneyMarketDayCounter,YieldCurve,,YieldCurve)</f>
        <v>obj_00275#0001</v>
      </c>
      <c r="AA17" s="96" t="str">
        <f>_xll.qlOvernightIndex(,FamilyName,NDays,Currency,Calendar,MoneyMarketDayCounter,YieldCurve,,YieldCurve)</f>
        <v>obj_00276#0001</v>
      </c>
    </row>
    <row r="18" spans="1:27" ht="12" thickBot="1" x14ac:dyDescent="0.25">
      <c r="M18" s="93" t="s">
        <v>101</v>
      </c>
      <c r="N18" s="93" t="s">
        <v>145</v>
      </c>
      <c r="O18" s="94" t="s">
        <v>102</v>
      </c>
      <c r="P18" s="124" t="s">
        <v>30</v>
      </c>
      <c r="Q18" s="94" t="s">
        <v>103</v>
      </c>
      <c r="R18" s="94" t="s">
        <v>104</v>
      </c>
      <c r="S18" s="94" t="s">
        <v>105</v>
      </c>
      <c r="T18" s="109" t="s">
        <v>106</v>
      </c>
      <c r="U18" s="92" t="s">
        <v>107</v>
      </c>
      <c r="V18" s="80"/>
      <c r="W18" s="97" t="s">
        <v>108</v>
      </c>
      <c r="X18" s="98" t="s">
        <v>104</v>
      </c>
      <c r="Y18" s="98" t="s">
        <v>102</v>
      </c>
      <c r="Z18" s="99" t="s">
        <v>109</v>
      </c>
      <c r="AA18" s="100" t="s">
        <v>98</v>
      </c>
    </row>
    <row r="19" spans="1:27" ht="12" thickBot="1" x14ac:dyDescent="0.25">
      <c r="J19" s="81" t="s">
        <v>110</v>
      </c>
      <c r="M19" s="242" t="str">
        <f t="array" ref="M19:M33">_xll.ohFilter(RateHelpers!A9:A23,IF(ISERROR(RateHelpers!C9:C23),FALSE,TRUE))</f>
        <v>obj_00211#0001</v>
      </c>
      <c r="N19" s="103" t="str">
        <f>_xll.qlRateHelperQuoteName(M19)</f>
        <v>FUTSEK3F1_Quote</v>
      </c>
      <c r="O19" s="101">
        <f>_xll.qlRateHelperEarliestDate(M19)</f>
        <v>42354</v>
      </c>
      <c r="P19" s="112">
        <f>(100-_xll.qlRateHelperQuoteValue(M19,"ohTrigger(Trigger,RecalcTrigger))"))/100</f>
        <v>-3.1499999999999775E-3</v>
      </c>
      <c r="Q19" s="110" t="e">
        <f>NA()</f>
        <v>#N/A</v>
      </c>
      <c r="R19" s="101">
        <f>_xll.qlInterestRateIndexFixingDate(IborIndex,O19)</f>
        <v>42352</v>
      </c>
      <c r="S19" s="112">
        <f>_xll.qlIndexFixing(IborIndex,R19,TRUE,RecalcTrigger)</f>
        <v>-3.1499999991402416E-3</v>
      </c>
      <c r="T19" s="125">
        <f t="shared" ref="T19:T33" si="6">S19-P19</f>
        <v>8.597358935880095E-13</v>
      </c>
      <c r="U19" s="113">
        <f t="array" ref="U19">MAX(ABS(_xll.ohPack(T19:T24)))</f>
        <v>1.0357960149309786E-12</v>
      </c>
      <c r="V19" s="95"/>
      <c r="W19" s="103" t="s">
        <v>111</v>
      </c>
      <c r="X19" s="104">
        <f>_xll.qlSettingsEvaluationDate(Trigger)</f>
        <v>42272</v>
      </c>
      <c r="Y19" s="104">
        <f>_xll.qlCalendarAdvance(Calendar,X19,NDays&amp;"D")</f>
        <v>42276</v>
      </c>
      <c r="Z19" s="105">
        <f t="array" ref="Z19:Z3552">IFERROR(_xll.qlIndexFixing(IborIndex,X19:X3552,TRUE,RecalcTrigger),NA())</f>
        <v>-2.8100000000002697E-3</v>
      </c>
      <c r="AA19" s="102">
        <f t="array" ref="AA19:AA3552">IFERROR(_xll.qlIndexFixing(OverNightIndex,Y19:Y3552,TRUE,RecalcTrigger),NA())</f>
        <v>-2.3482236773864074E-3</v>
      </c>
    </row>
    <row r="20" spans="1:27" ht="12" thickBot="1" x14ac:dyDescent="0.25">
      <c r="J20" s="83"/>
      <c r="M20" s="242" t="str">
        <v>obj_00216#0001</v>
      </c>
      <c r="N20" s="103" t="str">
        <f>_xll.qlRateHelperQuoteName(M20)</f>
        <v>FUTSEK3F2_Quote</v>
      </c>
      <c r="O20" s="101">
        <f>_xll.qlRateHelperEarliestDate(M20)</f>
        <v>42445</v>
      </c>
      <c r="P20" s="112">
        <f>(100-_xll.qlRateHelperQuoteValue(M20,"ohTrigger(Trigger,RecalcTrigger))"))/100</f>
        <v>-3.1499999999999775E-3</v>
      </c>
      <c r="Q20" s="110" t="e">
        <f>NA()</f>
        <v>#N/A</v>
      </c>
      <c r="R20" s="101">
        <f>_xll.qlInterestRateIndexFixingDate(IborIndex,O20)</f>
        <v>42443</v>
      </c>
      <c r="S20" s="112">
        <f>_xll.qlIndexFixing(IborIndex,R20,TRUE,RecalcTrigger)</f>
        <v>-3.1499999999997836E-3</v>
      </c>
      <c r="T20" s="125">
        <f t="shared" si="6"/>
        <v>1.9385534844040819E-16</v>
      </c>
      <c r="U20" s="241"/>
      <c r="W20" s="103" t="str">
        <f>W19</f>
        <v>1D</v>
      </c>
      <c r="X20" s="101">
        <f>_xll.qlCalendarAdvance(Calendar,X19,W20,"f",FALSE)</f>
        <v>42275</v>
      </c>
      <c r="Y20" s="104">
        <f>_xll.qlCalendarAdvance(Calendar,X20,NDays&amp;"D")</f>
        <v>42277</v>
      </c>
      <c r="Z20" s="105">
        <v>-2.8180926856941498E-3</v>
      </c>
      <c r="AA20" s="102">
        <v>-2.3537030304776607E-3</v>
      </c>
    </row>
    <row r="21" spans="1:27" ht="12" thickBot="1" x14ac:dyDescent="0.25">
      <c r="M21" s="242" t="str">
        <v>obj_00210#0001</v>
      </c>
      <c r="N21" s="103" t="str">
        <f>_xll.qlRateHelperQuoteName(M21)</f>
        <v>FUTSEK3F3_Quote</v>
      </c>
      <c r="O21" s="101">
        <f>_xll.qlRateHelperEarliestDate(M21)</f>
        <v>42536</v>
      </c>
      <c r="P21" s="112">
        <f>(100-_xll.qlRateHelperQuoteValue(M21,"ohTrigger(Trigger,RecalcTrigger))"))/100</f>
        <v>-2.7249999999999375E-3</v>
      </c>
      <c r="Q21" s="110" t="e">
        <f>NA()</f>
        <v>#N/A</v>
      </c>
      <c r="R21" s="101">
        <f>_xll.qlInterestRateIndexFixingDate(IborIndex,O21)</f>
        <v>42534</v>
      </c>
      <c r="S21" s="112">
        <f>_xll.qlIndexFixing(IborIndex,R21,TRUE,RecalcTrigger)</f>
        <v>-2.7250000010357336E-3</v>
      </c>
      <c r="T21" s="125">
        <f t="shared" si="6"/>
        <v>-1.0357960149309786E-12</v>
      </c>
      <c r="U21" s="241"/>
      <c r="W21" s="103" t="str">
        <f t="shared" ref="W21:W84" si="7">W20</f>
        <v>1D</v>
      </c>
      <c r="X21" s="101">
        <f>_xll.qlCalendarAdvance(Calendar,X20,W21,"f",FALSE)</f>
        <v>42276</v>
      </c>
      <c r="Y21" s="104">
        <f>_xll.qlCalendarAdvance(Calendar,X21,NDays&amp;"D")</f>
        <v>42278</v>
      </c>
      <c r="Z21" s="105">
        <v>-2.8373514137230585E-3</v>
      </c>
      <c r="AA21" s="102">
        <v>-2.3617107711482177E-3</v>
      </c>
    </row>
    <row r="22" spans="1:27" ht="23.25" thickBot="1" x14ac:dyDescent="0.25">
      <c r="J22" s="154" t="s">
        <v>130</v>
      </c>
      <c r="M22" s="242" t="str">
        <v>obj_00218#0001</v>
      </c>
      <c r="N22" s="103" t="str">
        <f>_xll.qlRateHelperQuoteName(M22)</f>
        <v>FUTSEK3F4_Quote</v>
      </c>
      <c r="O22" s="101">
        <f>_xll.qlRateHelperEarliestDate(M22)</f>
        <v>42634</v>
      </c>
      <c r="P22" s="112">
        <f>(100-_xll.qlRateHelperQuoteValue(M22,"ohTrigger(Trigger,RecalcTrigger))"))/100</f>
        <v>-2.0000000000000282E-3</v>
      </c>
      <c r="Q22" s="110" t="e">
        <f>NA()</f>
        <v>#N/A</v>
      </c>
      <c r="R22" s="101">
        <f>_xll.qlInterestRateIndexFixingDate(IborIndex,O22)</f>
        <v>42632</v>
      </c>
      <c r="S22" s="112">
        <f>_xll.qlIndexFixing(IborIndex,R22,TRUE,RecalcTrigger)</f>
        <v>-1.9999999997473809E-3</v>
      </c>
      <c r="T22" s="125">
        <f t="shared" si="6"/>
        <v>2.5264729544560716E-13</v>
      </c>
      <c r="U22" s="241"/>
      <c r="W22" s="103" t="str">
        <f t="shared" si="7"/>
        <v>1D</v>
      </c>
      <c r="X22" s="101">
        <f>_xll.qlCalendarAdvance(Calendar,X21,W22,"f",FALSE)</f>
        <v>42277</v>
      </c>
      <c r="Y22" s="104">
        <f>_xll.qlCalendarAdvance(Calendar,X22,NDays&amp;"D")</f>
        <v>42279</v>
      </c>
      <c r="Z22" s="105">
        <v>-2.842573441941654E-3</v>
      </c>
      <c r="AA22" s="102">
        <v>-2.3669557519179207E-3</v>
      </c>
    </row>
    <row r="23" spans="1:27" ht="12" thickBot="1" x14ac:dyDescent="0.25">
      <c r="J23" s="153" t="str">
        <f>ROUNDDOWN((_xll.qlTermStructureMaxDate(YieldCurve,Trigger)-_xll.qlTermStructureReferenceDate(YieldCurve,Trigger))/365,)&amp;"Y"</f>
        <v>30Y</v>
      </c>
      <c r="M23" s="242" t="str">
        <v>obj_00214#0001</v>
      </c>
      <c r="N23" s="103" t="str">
        <f>_xll.qlRateHelperQuoteName(M23)</f>
        <v>FUTSEK3F5_Quote</v>
      </c>
      <c r="O23" s="101">
        <f>_xll.qlRateHelperEarliestDate(M23)</f>
        <v>42725</v>
      </c>
      <c r="P23" s="112">
        <f>(100-_xll.qlRateHelperQuoteValue(M23,"ohTrigger(Trigger,RecalcTrigger))"))/100</f>
        <v>-1.0750000000000171E-3</v>
      </c>
      <c r="Q23" s="110" t="e">
        <f>NA()</f>
        <v>#N/A</v>
      </c>
      <c r="R23" s="101">
        <f>_xll.qlInterestRateIndexFixingDate(IborIndex,O23)</f>
        <v>42723</v>
      </c>
      <c r="S23" s="112">
        <f>_xll.qlIndexFixing(IborIndex,R23,TRUE,RecalcTrigger)</f>
        <v>-1.0750000000001592E-3</v>
      </c>
      <c r="T23" s="125">
        <f t="shared" si="6"/>
        <v>-1.4203048459560108E-16</v>
      </c>
      <c r="U23" s="241"/>
      <c r="W23" s="103" t="str">
        <f t="shared" si="7"/>
        <v>1D</v>
      </c>
      <c r="X23" s="101">
        <f>_xll.qlCalendarAdvance(Calendar,X22,W23,"f",FALSE)</f>
        <v>42278</v>
      </c>
      <c r="Y23" s="104">
        <f>_xll.qlCalendarAdvance(Calendar,X23,NDays&amp;"D")</f>
        <v>42282</v>
      </c>
      <c r="Z23" s="105">
        <v>-2.8613454920006537E-3</v>
      </c>
      <c r="AA23" s="102">
        <v>-2.3729500156033367E-3</v>
      </c>
    </row>
    <row r="24" spans="1:27" x14ac:dyDescent="0.2">
      <c r="M24" s="242" t="str">
        <v>obj_0020d#0001</v>
      </c>
      <c r="N24" s="103" t="str">
        <f>_xll.qlRateHelperQuoteName(M24)</f>
        <v>FUTSEK3F6_Quote</v>
      </c>
      <c r="O24" s="101">
        <f>_xll.qlRateHelperEarliestDate(M24)</f>
        <v>42809</v>
      </c>
      <c r="P24" s="112">
        <f>(100-_xll.qlRateHelperQuoteValue(M24,"ohTrigger(Trigger,RecalcTrigger))"))/100</f>
        <v>0</v>
      </c>
      <c r="Q24" s="110" t="e">
        <f>NA()</f>
        <v>#N/A</v>
      </c>
      <c r="R24" s="101">
        <f>_xll.qlInterestRateIndexFixingDate(IborIndex,O24)</f>
        <v>42807</v>
      </c>
      <c r="S24" s="112">
        <f>_xll.qlIndexFixing(IborIndex,R24,TRUE,RecalcTrigger)</f>
        <v>0</v>
      </c>
      <c r="T24" s="125">
        <f t="shared" si="6"/>
        <v>0</v>
      </c>
      <c r="U24" s="241"/>
      <c r="W24" s="103" t="str">
        <f t="shared" si="7"/>
        <v>1D</v>
      </c>
      <c r="X24" s="101">
        <f>_xll.qlCalendarAdvance(Calendar,X23,W24,"f",FALSE)</f>
        <v>42279</v>
      </c>
      <c r="Y24" s="104">
        <f>_xll.qlCalendarAdvance(Calendar,X24,NDays&amp;"D")</f>
        <v>42283</v>
      </c>
      <c r="Z24" s="105">
        <v>-2.8719113387979636E-3</v>
      </c>
      <c r="AA24" s="102">
        <v>-2.3796935621245296E-3</v>
      </c>
    </row>
    <row r="25" spans="1:27" x14ac:dyDescent="0.2">
      <c r="M25" s="242" t="str">
        <v>obj_00219#0001</v>
      </c>
      <c r="N25" s="103" t="str">
        <f>_xll.qlRateHelperQuoteName(M25)</f>
        <v>FUTSEK3F7_Quote</v>
      </c>
      <c r="O25" s="101">
        <f>_xll.qlRateHelperEarliestDate(M25)</f>
        <v>42907</v>
      </c>
      <c r="P25" s="112">
        <f>(100-_xll.qlRateHelperQuoteValue(M25,"ohTrigger(Trigger,RecalcTrigger))"))/100</f>
        <v>1.1750000000000681E-3</v>
      </c>
      <c r="Q25" s="110" t="e">
        <f>NA()</f>
        <v>#N/A</v>
      </c>
      <c r="R25" s="101">
        <f>_xll.qlInterestRateIndexFixingDate(IborIndex,O25)</f>
        <v>42905</v>
      </c>
      <c r="S25" s="112">
        <f>_xll.qlIndexFixing(IborIndex,R25,TRUE,RecalcTrigger)</f>
        <v>1.4740230514984438E-3</v>
      </c>
      <c r="T25" s="125">
        <f t="shared" si="6"/>
        <v>2.990230514983757E-4</v>
      </c>
      <c r="W25" s="103" t="str">
        <f t="shared" si="7"/>
        <v>1D</v>
      </c>
      <c r="X25" s="101">
        <f>_xll.qlCalendarAdvance(Calendar,X24,W25,"f",FALSE)</f>
        <v>42282</v>
      </c>
      <c r="Y25" s="104">
        <f>_xll.qlCalendarAdvance(Calendar,X25,NDays&amp;"D")</f>
        <v>42284</v>
      </c>
      <c r="Z25" s="105">
        <v>-2.8774189051571993E-3</v>
      </c>
      <c r="AA25" s="102">
        <v>-2.3956623220122708E-3</v>
      </c>
    </row>
    <row r="26" spans="1:27" x14ac:dyDescent="0.2">
      <c r="M26" s="242" t="str">
        <v>obj_00215#0001</v>
      </c>
      <c r="N26" s="103" t="str">
        <f>_xll.qlRateHelperQuoteName(M26)</f>
        <v>FUTSEK3F8_Quote</v>
      </c>
      <c r="O26" s="101">
        <f>_xll.qlRateHelperEarliestDate(M26)</f>
        <v>42998</v>
      </c>
      <c r="P26" s="112">
        <f>(100-_xll.qlRateHelperQuoteValue(M26,"ohTrigger(Trigger,RecalcTrigger))"))/100</f>
        <v>2.399999999999949E-3</v>
      </c>
      <c r="Q26" s="110" t="e">
        <f>NA()</f>
        <v>#N/A</v>
      </c>
      <c r="R26" s="101">
        <f>_xll.qlInterestRateIndexFixingDate(IborIndex,O26)</f>
        <v>42996</v>
      </c>
      <c r="S26" s="112">
        <f>_xll.qlIndexFixing(IborIndex,R26,TRUE,RecalcTrigger)</f>
        <v>2.5778083251597425E-3</v>
      </c>
      <c r="T26" s="125">
        <f t="shared" si="6"/>
        <v>1.7780832515979341E-4</v>
      </c>
      <c r="W26" s="103" t="str">
        <f t="shared" si="7"/>
        <v>1D</v>
      </c>
      <c r="X26" s="101">
        <f>_xll.qlCalendarAdvance(Calendar,X25,W26,"f",FALSE)</f>
        <v>42283</v>
      </c>
      <c r="Y26" s="104">
        <f>_xll.qlCalendarAdvance(Calendar,X26,NDays&amp;"D")</f>
        <v>42285</v>
      </c>
      <c r="Z26" s="105">
        <v>-2.8854060466119449E-3</v>
      </c>
      <c r="AA26" s="102">
        <v>-2.4141605756078377E-3</v>
      </c>
    </row>
    <row r="27" spans="1:27" x14ac:dyDescent="0.2">
      <c r="M27" s="242" t="str">
        <v>obj_0020e#0001</v>
      </c>
      <c r="N27" s="103" t="str">
        <f>_xll.qlRateHelperQuoteName(M27)</f>
        <v>FUTSEK3F9_Quote</v>
      </c>
      <c r="O27" s="101">
        <f>_xll.qlRateHelperEarliestDate(M27)</f>
        <v>43089</v>
      </c>
      <c r="P27" s="112">
        <f>(100-_xll.qlRateHelperQuoteValue(M27,"ohTrigger(Trigger,RecalcTrigger))"))/100</f>
        <v>3.6249999999999716E-3</v>
      </c>
      <c r="Q27" s="110" t="e">
        <f>NA()</f>
        <v>#N/A</v>
      </c>
      <c r="R27" s="101">
        <f>_xll.qlInterestRateIndexFixingDate(IborIndex,O27)</f>
        <v>43087</v>
      </c>
      <c r="S27" s="112">
        <f>_xll.qlIndexFixing(IborIndex,R27,TRUE,RecalcTrigger)</f>
        <v>3.6279630854583189E-3</v>
      </c>
      <c r="T27" s="125">
        <f t="shared" si="6"/>
        <v>2.9630854583473538E-6</v>
      </c>
      <c r="W27" s="103" t="str">
        <f t="shared" si="7"/>
        <v>1D</v>
      </c>
      <c r="X27" s="101">
        <f>_xll.qlCalendarAdvance(Calendar,X26,W27,"f",FALSE)</f>
        <v>42284</v>
      </c>
      <c r="Y27" s="104">
        <f>_xll.qlCalendarAdvance(Calendar,X27,NDays&amp;"D")</f>
        <v>42286</v>
      </c>
      <c r="Z27" s="105">
        <v>-2.8980132815679691E-3</v>
      </c>
      <c r="AA27" s="102">
        <v>-2.4246505355884906E-3</v>
      </c>
    </row>
    <row r="28" spans="1:27" x14ac:dyDescent="0.2">
      <c r="M28" s="242" t="str">
        <v>obj_00217#0001</v>
      </c>
      <c r="N28" s="103" t="str">
        <f>_xll.qlRateHelperQuoteName(M28)</f>
        <v>FUTSEK3F10_Quote</v>
      </c>
      <c r="O28" s="101">
        <f>_xll.qlRateHelperEarliestDate(M28)</f>
        <v>43180</v>
      </c>
      <c r="P28" s="112">
        <f>(100-_xll.qlRateHelperQuoteValue(M28,"ohTrigger(Trigger,RecalcTrigger))"))/100</f>
        <v>4.8499999999999941E-3</v>
      </c>
      <c r="Q28" s="110" t="e">
        <f>NA()</f>
        <v>#N/A</v>
      </c>
      <c r="R28" s="101">
        <f>_xll.qlInterestRateIndexFixingDate(IborIndex,O28)</f>
        <v>43178</v>
      </c>
      <c r="S28" s="112">
        <f>_xll.qlIndexFixing(IborIndex,R28,TRUE,RecalcTrigger)</f>
        <v>4.7521923406558114E-3</v>
      </c>
      <c r="T28" s="125">
        <f t="shared" si="6"/>
        <v>-9.7807659344182653E-5</v>
      </c>
      <c r="W28" s="103" t="str">
        <f t="shared" si="7"/>
        <v>1D</v>
      </c>
      <c r="X28" s="101">
        <f>_xll.qlCalendarAdvance(Calendar,X27,W28,"f",FALSE)</f>
        <v>42285</v>
      </c>
      <c r="Y28" s="104">
        <f>_xll.qlCalendarAdvance(Calendar,X28,NDays&amp;"D")</f>
        <v>42289</v>
      </c>
      <c r="Z28" s="105">
        <v>-2.9168263021102192E-3</v>
      </c>
      <c r="AA28" s="102">
        <v>-2.4358897780452082E-3</v>
      </c>
    </row>
    <row r="29" spans="1:27" x14ac:dyDescent="0.2">
      <c r="M29" s="242" t="str">
        <v>obj_00212#0001</v>
      </c>
      <c r="N29" s="103" t="str">
        <f>_xll.qlRateHelperQuoteName(M29)</f>
        <v>FUTSEK3F11_Quote</v>
      </c>
      <c r="O29" s="101">
        <f>_xll.qlRateHelperEarliestDate(M29)</f>
        <v>43271</v>
      </c>
      <c r="P29" s="112">
        <f>(100-_xll.qlRateHelperQuoteValue(M29,"ohTrigger(Trigger,RecalcTrigger))"))/100</f>
        <v>6.075000000000017E-3</v>
      </c>
      <c r="Q29" s="110" t="e">
        <f>NA()</f>
        <v>#N/A</v>
      </c>
      <c r="R29" s="101">
        <f>_xll.qlInterestRateIndexFixingDate(IborIndex,O29)</f>
        <v>43269</v>
      </c>
      <c r="S29" s="112">
        <f>_xll.qlIndexFixing(IborIndex,R29,TRUE,RecalcTrigger)</f>
        <v>5.9201844501543125E-3</v>
      </c>
      <c r="T29" s="125">
        <f t="shared" si="6"/>
        <v>-1.5481554984570454E-4</v>
      </c>
      <c r="W29" s="103" t="str">
        <f t="shared" si="7"/>
        <v>1D</v>
      </c>
      <c r="X29" s="101">
        <f>_xll.qlCalendarAdvance(Calendar,X28,W29,"f",FALSE)</f>
        <v>42286</v>
      </c>
      <c r="Y29" s="104">
        <f>_xll.qlCalendarAdvance(Calendar,X29,NDays&amp;"D")</f>
        <v>42290</v>
      </c>
      <c r="Z29" s="105">
        <v>-2.9245068870326317E-3</v>
      </c>
      <c r="AA29" s="102">
        <v>-2.4478783029779905E-3</v>
      </c>
    </row>
    <row r="30" spans="1:27" x14ac:dyDescent="0.2">
      <c r="M30" s="242" t="str">
        <v>obj_0020c#0001</v>
      </c>
      <c r="N30" s="103" t="str">
        <f>_xll.qlRateHelperQuoteName(M30)</f>
        <v>FUTSEK3F12_Quote</v>
      </c>
      <c r="O30" s="101">
        <f>_xll.qlRateHelperEarliestDate(M30)</f>
        <v>43362</v>
      </c>
      <c r="P30" s="112">
        <f>(100-_xll.qlRateHelperQuoteValue(M30,"ohTrigger(Trigger,RecalcTrigger))"))/100</f>
        <v>7.30000000000004E-3</v>
      </c>
      <c r="Q30" s="110" t="e">
        <f>NA()</f>
        <v>#N/A</v>
      </c>
      <c r="R30" s="101">
        <f>_xll.qlInterestRateIndexFixingDate(IborIndex,O30)</f>
        <v>43360</v>
      </c>
      <c r="S30" s="112">
        <f>_xll.qlIndexFixing(IborIndex,R30,TRUE,RecalcTrigger)</f>
        <v>7.1399885014696522E-3</v>
      </c>
      <c r="T30" s="125">
        <f t="shared" si="6"/>
        <v>-1.6001149853038781E-4</v>
      </c>
      <c r="W30" s="103" t="str">
        <f t="shared" si="7"/>
        <v>1D</v>
      </c>
      <c r="X30" s="101">
        <f>_xll.qlCalendarAdvance(Calendar,X29,W30,"f",FALSE)</f>
        <v>42289</v>
      </c>
      <c r="Y30" s="104">
        <f>_xll.qlCalendarAdvance(Calendar,X30,NDays&amp;"D")</f>
        <v>42291</v>
      </c>
      <c r="Z30" s="105">
        <v>-2.9321007200511233E-3</v>
      </c>
      <c r="AA30" s="102">
        <v>-2.4743359540879695E-3</v>
      </c>
    </row>
    <row r="31" spans="1:27" x14ac:dyDescent="0.2">
      <c r="M31" s="242" t="e">
        <v>#N/A</v>
      </c>
      <c r="N31" s="103" t="e">
        <f>_xll.qlRateHelperQuoteName(M31)</f>
        <v>#VALUE!</v>
      </c>
      <c r="O31" s="101" t="e">
        <f>_xll.qlRateHelperEarliestDate(M31)</f>
        <v>#VALUE!</v>
      </c>
      <c r="P31" s="112" t="e">
        <f>(100-_xll.qlRateHelperQuoteValue(M31,"ohTrigger(Trigger,RecalcTrigger))"))/100</f>
        <v>#VALUE!</v>
      </c>
      <c r="Q31" s="110" t="e">
        <f>NA()</f>
        <v>#N/A</v>
      </c>
      <c r="R31" s="101" t="e">
        <f>_xll.qlInterestRateIndexFixingDate(IborIndex,O31)</f>
        <v>#NUM!</v>
      </c>
      <c r="S31" s="112" t="e">
        <f>_xll.qlIndexFixing(IborIndex,R31,TRUE,RecalcTrigger)</f>
        <v>#NUM!</v>
      </c>
      <c r="T31" s="125" t="e">
        <f t="shared" si="6"/>
        <v>#NUM!</v>
      </c>
      <c r="W31" s="103" t="str">
        <f t="shared" si="7"/>
        <v>1D</v>
      </c>
      <c r="X31" s="101">
        <f>_xll.qlCalendarAdvance(Calendar,X30,W31,"f",FALSE)</f>
        <v>42290</v>
      </c>
      <c r="Y31" s="104">
        <f>_xll.qlCalendarAdvance(Calendar,X31,NDays&amp;"D")</f>
        <v>42292</v>
      </c>
      <c r="Z31" s="105">
        <v>-2.9395993211099049E-3</v>
      </c>
      <c r="AA31" s="102">
        <v>-2.5033252255912686E-3</v>
      </c>
    </row>
    <row r="32" spans="1:27" x14ac:dyDescent="0.2">
      <c r="M32" s="242" t="e">
        <v>#N/A</v>
      </c>
      <c r="N32" s="103" t="e">
        <f>_xll.qlRateHelperQuoteName(M32)</f>
        <v>#VALUE!</v>
      </c>
      <c r="O32" s="101" t="e">
        <f>_xll.qlRateHelperEarliestDate(M32)</f>
        <v>#VALUE!</v>
      </c>
      <c r="P32" s="112" t="e">
        <f>(100-_xll.qlRateHelperQuoteValue(M32,"ohTrigger(Trigger,RecalcTrigger))"))/100</f>
        <v>#VALUE!</v>
      </c>
      <c r="Q32" s="110" t="e">
        <f>NA()</f>
        <v>#N/A</v>
      </c>
      <c r="R32" s="101" t="e">
        <f>_xll.qlInterestRateIndexFixingDate(IborIndex,O32)</f>
        <v>#NUM!</v>
      </c>
      <c r="S32" s="112" t="e">
        <f>_xll.qlIndexFixing(IborIndex,R32,TRUE,RecalcTrigger)</f>
        <v>#NUM!</v>
      </c>
      <c r="T32" s="125" t="e">
        <f t="shared" si="6"/>
        <v>#NUM!</v>
      </c>
      <c r="W32" s="103" t="str">
        <f t="shared" si="7"/>
        <v>1D</v>
      </c>
      <c r="X32" s="101">
        <f>_xll.qlCalendarAdvance(Calendar,X31,W32,"f",FALSE)</f>
        <v>42291</v>
      </c>
      <c r="Y32" s="104">
        <f>_xll.qlCalendarAdvance(Calendar,X32,NDays&amp;"D")</f>
        <v>42293</v>
      </c>
      <c r="Z32" s="105">
        <v>-2.950886697648264E-3</v>
      </c>
      <c r="AA32" s="102">
        <v>-2.5190601615854291E-3</v>
      </c>
    </row>
    <row r="33" spans="10:27" ht="12" thickBot="1" x14ac:dyDescent="0.25">
      <c r="M33" s="243" t="e">
        <v>#N/A</v>
      </c>
      <c r="N33" s="103" t="e">
        <f>_xll.qlRateHelperQuoteName(M33)</f>
        <v>#VALUE!</v>
      </c>
      <c r="O33" s="101" t="e">
        <f>_xll.qlRateHelperEarliestDate(M33)</f>
        <v>#VALUE!</v>
      </c>
      <c r="P33" s="112" t="e">
        <f>(100-_xll.qlRateHelperQuoteValue(M33,"ohTrigger(Trigger,RecalcTrigger))"))/100</f>
        <v>#VALUE!</v>
      </c>
      <c r="Q33" s="110" t="e">
        <f>NA()</f>
        <v>#N/A</v>
      </c>
      <c r="R33" s="101" t="e">
        <f>_xll.qlInterestRateIndexFixingDate(IborIndex,O33)</f>
        <v>#NUM!</v>
      </c>
      <c r="S33" s="112" t="e">
        <f>_xll.qlIndexFixing(IborIndex,R33,TRUE,RecalcTrigger)</f>
        <v>#NUM!</v>
      </c>
      <c r="T33" s="125" t="e">
        <f t="shared" si="6"/>
        <v>#NUM!</v>
      </c>
      <c r="W33" s="103" t="str">
        <f t="shared" si="7"/>
        <v>1D</v>
      </c>
      <c r="X33" s="101">
        <f>_xll.qlCalendarAdvance(Calendar,X32,W33,"f",FALSE)</f>
        <v>42292</v>
      </c>
      <c r="Y33" s="104">
        <f>_xll.qlCalendarAdvance(Calendar,X33,NDays&amp;"D")</f>
        <v>42296</v>
      </c>
      <c r="Z33" s="105">
        <v>-2.9684718066631632E-3</v>
      </c>
      <c r="AA33" s="102">
        <v>-2.5355443793761978E-3</v>
      </c>
    </row>
    <row r="34" spans="10:27" ht="12" thickBot="1" x14ac:dyDescent="0.25">
      <c r="M34" s="134"/>
      <c r="N34" s="131"/>
      <c r="O34" s="134"/>
      <c r="P34" s="134"/>
      <c r="Q34" s="134"/>
      <c r="R34" s="134"/>
      <c r="S34" s="134"/>
      <c r="T34" s="132"/>
      <c r="W34" s="103" t="str">
        <f t="shared" si="7"/>
        <v>1D</v>
      </c>
      <c r="X34" s="101">
        <f>_xll.qlCalendarAdvance(Calendar,X33,W34,"f",FALSE)</f>
        <v>42293</v>
      </c>
      <c r="Y34" s="104">
        <f>_xll.qlCalendarAdvance(Calendar,X34,NDays&amp;"D")</f>
        <v>42297</v>
      </c>
      <c r="Z34" s="105">
        <v>-2.9753670490758563E-3</v>
      </c>
      <c r="AA34" s="102">
        <v>-2.5527778791234468E-3</v>
      </c>
    </row>
    <row r="35" spans="10:27" x14ac:dyDescent="0.2">
      <c r="M35" s="93" t="s">
        <v>101</v>
      </c>
      <c r="N35" s="93" t="s">
        <v>112</v>
      </c>
      <c r="O35" s="94" t="s">
        <v>24</v>
      </c>
      <c r="P35" s="124" t="s">
        <v>30</v>
      </c>
      <c r="Q35" s="94" t="s">
        <v>113</v>
      </c>
      <c r="R35" s="94" t="s">
        <v>114</v>
      </c>
      <c r="S35" s="94" t="s">
        <v>105</v>
      </c>
      <c r="T35" s="109" t="s">
        <v>106</v>
      </c>
      <c r="U35" s="92" t="s">
        <v>107</v>
      </c>
      <c r="W35" s="103" t="str">
        <f t="shared" si="7"/>
        <v>1D</v>
      </c>
      <c r="X35" s="101">
        <f>_xll.qlCalendarAdvance(Calendar,X34,W35,"f",FALSE)</f>
        <v>42296</v>
      </c>
      <c r="Y35" s="104">
        <f>_xll.qlCalendarAdvance(Calendar,X35,NDays&amp;"D")</f>
        <v>42298</v>
      </c>
      <c r="Z35" s="105">
        <v>-2.9821161803488408E-3</v>
      </c>
      <c r="AA35" s="102">
        <v>-2.5897238545091739E-3</v>
      </c>
    </row>
    <row r="36" spans="10:27" x14ac:dyDescent="0.2">
      <c r="M36" s="123" t="str">
        <f t="array" ref="M36:M57">_xll.ohFilter(RateHelpers!A24:A45,IF(ISERROR(RateHelpers!C24:C45),FALSE,TRUE))</f>
        <v>obj_0025e#0001</v>
      </c>
      <c r="N36" s="103" t="str">
        <f>_xll.qlRateHelperQuoteName(M36)</f>
        <v>SEKAB3S1Y_Quote</v>
      </c>
      <c r="O36" s="101" t="e">
        <f ca="1">_xll.qlRateHelperLatestDate(M36)</f>
        <v>#NAME?</v>
      </c>
      <c r="P36" s="150">
        <f>_xll.qlRateHelperQuoteValue(M36,_xll.ohTrigger(RecalcTrigger,Trigger))</f>
        <v>-2.9749999999999998E-3</v>
      </c>
      <c r="Q36" s="245" t="str">
        <f>SUBSTITUTE(SUBSTITUTE(N36,"_Quote",""),"SEKAB3S","")</f>
        <v>1Y</v>
      </c>
      <c r="R36" s="101" t="str">
        <f>_xll.qlSwapIndex(,FamilyName,Q36,NDays,Currency,Calendar,"1Y","modified following",BondBasisDayCounter,IborIndex,Discounting,,Trigger)</f>
        <v>obj_0027c#0001</v>
      </c>
      <c r="S36" s="150">
        <f>_xll.qlIndexFixing(R36,$X$19,TRUE,Trigger)</f>
        <v>-2.9768976195208604E-3</v>
      </c>
      <c r="T36" s="151">
        <f t="shared" ref="T36:T57" si="8">S36-P36</f>
        <v>-1.8976195208606633E-6</v>
      </c>
      <c r="U36" s="152">
        <f t="array" ref="U36">MAX(ABS(T36:T43))</f>
        <v>1.8976195208606633E-6</v>
      </c>
      <c r="W36" s="103" t="str">
        <f t="shared" si="7"/>
        <v>1D</v>
      </c>
      <c r="X36" s="101">
        <f>_xll.qlCalendarAdvance(Calendar,X35,W36,"f",FALSE)</f>
        <v>42297</v>
      </c>
      <c r="Y36" s="104">
        <f>_xll.qlCalendarAdvance(Calendar,X36,NDays&amp;"D")</f>
        <v>42299</v>
      </c>
      <c r="Z36" s="105">
        <v>-2.9887107207851715E-3</v>
      </c>
      <c r="AA36" s="102">
        <v>-2.6292046939602187E-3</v>
      </c>
    </row>
    <row r="37" spans="10:27" x14ac:dyDescent="0.2">
      <c r="M37" s="123" t="str">
        <v>obj_00268#0001</v>
      </c>
      <c r="N37" s="103" t="str">
        <f>_xll.qlRateHelperQuoteName(M37)</f>
        <v>SEKAB3S2Y_Quote</v>
      </c>
      <c r="O37" s="101" t="e">
        <f ca="1">_xll.qlRateHelperLatestDate(M37)</f>
        <v>#NAME?</v>
      </c>
      <c r="P37" s="150">
        <f>_xll.qlRateHelperQuoteValue(M37,_xll.ohTrigger(RecalcTrigger,Trigger))</f>
        <v>-1.6250000000000001E-3</v>
      </c>
      <c r="Q37" s="245" t="str">
        <f t="shared" ref="Q37:Q57" si="9">SUBSTITUTE(SUBSTITUTE(N37,"_Quote",""),"SEKAB3S","")</f>
        <v>2Y</v>
      </c>
      <c r="R37" s="101" t="str">
        <f>_xll.qlSwapIndex(,FamilyName,Q37,NDays,Currency,Calendar,"1Y","modified following",BondBasisDayCounter,IborIndex,Discounting,,Trigger)</f>
        <v>obj_00284#0001</v>
      </c>
      <c r="S37" s="150">
        <f>_xll.qlIndexFixing(R37,$X$19,TRUE,Trigger)</f>
        <v>-1.625000000146096E-3</v>
      </c>
      <c r="T37" s="151">
        <f t="shared" si="8"/>
        <v>-1.4609580906155273E-13</v>
      </c>
      <c r="W37" s="103" t="str">
        <f t="shared" si="7"/>
        <v>1D</v>
      </c>
      <c r="X37" s="101">
        <f>_xll.qlCalendarAdvance(Calendar,X36,W37,"f",FALSE)</f>
        <v>42298</v>
      </c>
      <c r="Y37" s="104">
        <f>_xll.qlCalendarAdvance(Calendar,X37,NDays&amp;"D")</f>
        <v>42300</v>
      </c>
      <c r="Z37" s="105">
        <v>-2.9983469458308015E-3</v>
      </c>
      <c r="AA37" s="102">
        <v>-2.6501846010118513E-3</v>
      </c>
    </row>
    <row r="38" spans="10:27" x14ac:dyDescent="0.2">
      <c r="M38" s="123" t="str">
        <v>obj_00261#0001</v>
      </c>
      <c r="N38" s="103" t="str">
        <f>_xll.qlRateHelperQuoteName(M38)</f>
        <v>SEKAB3S3Y_Quote</v>
      </c>
      <c r="O38" s="101" t="e">
        <f ca="1">_xll.qlRateHelperLatestDate(M38)</f>
        <v>#NAME?</v>
      </c>
      <c r="P38" s="150">
        <f>_xll.qlRateHelperQuoteValue(M38,_xll.ohTrigger(RecalcTrigger,Trigger))</f>
        <v>3.7500000000000001E-4</v>
      </c>
      <c r="Q38" s="245" t="str">
        <f t="shared" si="9"/>
        <v>3Y</v>
      </c>
      <c r="R38" s="101" t="str">
        <f>_xll.qlSwapIndex(,FamilyName,Q38,NDays,Currency,Calendar,"1Y","modified following",BondBasisDayCounter,IborIndex,Discounting,,Trigger)</f>
        <v>obj_00277#0001</v>
      </c>
      <c r="S38" s="150">
        <f>_xll.qlIndexFixing(R38,$X$19,TRUE,Trigger)</f>
        <v>3.7500000037666128E-4</v>
      </c>
      <c r="T38" s="151">
        <f t="shared" si="8"/>
        <v>3.7666126728036486E-13</v>
      </c>
      <c r="W38" s="103" t="str">
        <f t="shared" si="7"/>
        <v>1D</v>
      </c>
      <c r="X38" s="101">
        <f>_xll.qlCalendarAdvance(Calendar,X37,W38,"f",FALSE)</f>
        <v>42299</v>
      </c>
      <c r="Y38" s="104">
        <f>_xll.qlCalendarAdvance(Calendar,X38,NDays&amp;"D")</f>
        <v>42303</v>
      </c>
      <c r="Z38" s="105">
        <v>-3.0133733815370608E-3</v>
      </c>
      <c r="AA38" s="102">
        <v>-2.6719137893005396E-3</v>
      </c>
    </row>
    <row r="39" spans="10:27" x14ac:dyDescent="0.2">
      <c r="M39" s="123" t="str">
        <v>obj_0026c#0001</v>
      </c>
      <c r="N39" s="103" t="str">
        <f>_xll.qlRateHelperQuoteName(M39)</f>
        <v>SEKAB3S4Y_Quote</v>
      </c>
      <c r="O39" s="101" t="e">
        <f ca="1">_xll.qlRateHelperLatestDate(M39)</f>
        <v>#NAME?</v>
      </c>
      <c r="P39" s="150">
        <f>_xll.qlRateHelperQuoteValue(M39,_xll.ohTrigger(RecalcTrigger,Trigger))</f>
        <v>2.65E-3</v>
      </c>
      <c r="Q39" s="245" t="str">
        <f t="shared" si="9"/>
        <v>4Y</v>
      </c>
      <c r="R39" s="101" t="str">
        <f>_xll.qlSwapIndex(,FamilyName,Q39,NDays,Currency,Calendar,"1Y","modified following",BondBasisDayCounter,IborIndex,Discounting,,Trigger)</f>
        <v>obj_0027d#0001</v>
      </c>
      <c r="S39" s="150">
        <f>_xll.qlIndexFixing(R39,$X$19,TRUE,Trigger)</f>
        <v>2.6500000001315649E-3</v>
      </c>
      <c r="T39" s="151">
        <f t="shared" si="8"/>
        <v>1.31564897865033E-13</v>
      </c>
      <c r="W39" s="103" t="str">
        <f t="shared" si="7"/>
        <v>1D</v>
      </c>
      <c r="X39" s="101">
        <f>_xll.qlCalendarAdvance(Calendar,X38,W39,"f",FALSE)</f>
        <v>42300</v>
      </c>
      <c r="Y39" s="104">
        <f>_xll.qlCalendarAdvance(Calendar,X39,NDays&amp;"D")</f>
        <v>42304</v>
      </c>
      <c r="Z39" s="105">
        <v>-3.0190677735966853E-3</v>
      </c>
      <c r="AA39" s="102">
        <v>-2.6941495508925328E-3</v>
      </c>
    </row>
    <row r="40" spans="10:27" x14ac:dyDescent="0.2">
      <c r="M40" s="123" t="str">
        <v>obj_00265#0001</v>
      </c>
      <c r="N40" s="103" t="str">
        <f>_xll.qlRateHelperQuoteName(M40)</f>
        <v>SEKAB3S5Y_Quote</v>
      </c>
      <c r="O40" s="101" t="e">
        <f ca="1">_xll.qlRateHelperLatestDate(M40)</f>
        <v>#NAME?</v>
      </c>
      <c r="P40" s="150">
        <f>_xll.qlRateHelperQuoteValue(M40,_xll.ohTrigger(RecalcTrigger,Trigger))</f>
        <v>5.1249999999999993E-3</v>
      </c>
      <c r="Q40" s="245" t="str">
        <f t="shared" si="9"/>
        <v>5Y</v>
      </c>
      <c r="R40" s="101" t="str">
        <f>_xll.qlSwapIndex(,FamilyName,Q40,NDays,Currency,Calendar,"1Y","modified following",BondBasisDayCounter,IborIndex,Discounting,,Trigger)</f>
        <v>obj_00279#0001</v>
      </c>
      <c r="S40" s="150">
        <f>_xll.qlIndexFixing(R40,$X$19,TRUE,Trigger)</f>
        <v>5.1249999999741763E-3</v>
      </c>
      <c r="T40" s="151">
        <f t="shared" si="8"/>
        <v>-2.582309366339075E-14</v>
      </c>
      <c r="W40" s="103" t="str">
        <f t="shared" si="7"/>
        <v>1D</v>
      </c>
      <c r="X40" s="101">
        <f>_xll.qlCalendarAdvance(Calendar,X39,W40,"f",FALSE)</f>
        <v>42303</v>
      </c>
      <c r="Y40" s="104">
        <f>_xll.qlCalendarAdvance(Calendar,X40,NDays&amp;"D")</f>
        <v>42305</v>
      </c>
      <c r="Z40" s="105">
        <v>-3.0245566973426423E-3</v>
      </c>
      <c r="AA40" s="102">
        <v>-2.7367291369495561E-3</v>
      </c>
    </row>
    <row r="41" spans="10:27" x14ac:dyDescent="0.2">
      <c r="M41" s="123" t="str">
        <v>obj_00264#0001</v>
      </c>
      <c r="N41" s="103" t="str">
        <f>_xll.qlRateHelperQuoteName(M41)</f>
        <v>SEKAB3S6Y_Quote</v>
      </c>
      <c r="O41" s="101" t="e">
        <f ca="1">_xll.qlRateHelperLatestDate(M41)</f>
        <v>#NAME?</v>
      </c>
      <c r="P41" s="150">
        <f>_xll.qlRateHelperQuoteValue(M41,_xll.ohTrigger(RecalcTrigger,Trigger))</f>
        <v>7.4249999999999993E-3</v>
      </c>
      <c r="Q41" s="245" t="str">
        <f t="shared" si="9"/>
        <v>6Y</v>
      </c>
      <c r="R41" s="101" t="str">
        <f>_xll.qlSwapIndex(,FamilyName,Q41,NDays,Currency,Calendar,"1Y","modified following",BondBasisDayCounter,IborIndex,Discounting,,Trigger)</f>
        <v>obj_00282#0001</v>
      </c>
      <c r="S41" s="150">
        <f>_xll.qlIndexFixing(R41,$X$19,TRUE,Trigger)</f>
        <v>7.4250000003271577E-3</v>
      </c>
      <c r="T41" s="151">
        <f t="shared" si="8"/>
        <v>3.2715843922836996E-13</v>
      </c>
      <c r="W41" s="103" t="str">
        <f t="shared" si="7"/>
        <v>1D</v>
      </c>
      <c r="X41" s="101">
        <f>_xll.qlCalendarAdvance(Calendar,X40,W41,"f",FALSE)</f>
        <v>42304</v>
      </c>
      <c r="Y41" s="104">
        <f>_xll.qlCalendarAdvance(Calendar,X41,NDays&amp;"D")</f>
        <v>42306</v>
      </c>
      <c r="Z41" s="105">
        <v>-3.0298316732739173E-3</v>
      </c>
      <c r="AA41" s="102">
        <v>-2.7769937850052884E-3</v>
      </c>
    </row>
    <row r="42" spans="10:27" x14ac:dyDescent="0.2">
      <c r="M42" s="123" t="str">
        <v>obj_00271#0001</v>
      </c>
      <c r="N42" s="103" t="str">
        <f>_xll.qlRateHelperQuoteName(M42)</f>
        <v>SEKAB3S7Y_Quote</v>
      </c>
      <c r="O42" s="101" t="e">
        <f ca="1">_xll.qlRateHelperLatestDate(M42)</f>
        <v>#NAME?</v>
      </c>
      <c r="P42" s="150">
        <f>_xll.qlRateHelperQuoteValue(M42,_xll.ohTrigger(RecalcTrigger,Trigger))</f>
        <v>9.4750000000000008E-3</v>
      </c>
      <c r="Q42" s="245" t="str">
        <f t="shared" si="9"/>
        <v>7Y</v>
      </c>
      <c r="R42" s="101" t="str">
        <f>_xll.qlSwapIndex(,FamilyName,Q42,NDays,Currency,Calendar,"1Y","modified following",BondBasisDayCounter,IborIndex,Discounting,,Trigger)</f>
        <v>obj_00281#0001</v>
      </c>
      <c r="S42" s="150">
        <f>_xll.qlIndexFixing(R42,$X$19,TRUE,Trigger)</f>
        <v>9.4749999998533421E-3</v>
      </c>
      <c r="T42" s="151">
        <f t="shared" si="8"/>
        <v>-1.466587268295072E-13</v>
      </c>
      <c r="W42" s="103" t="str">
        <f t="shared" si="7"/>
        <v>1D</v>
      </c>
      <c r="X42" s="101">
        <f>_xll.qlCalendarAdvance(Calendar,X41,W42,"f",FALSE)</f>
        <v>42305</v>
      </c>
      <c r="Y42" s="104">
        <f>_xll.qlCalendarAdvance(Calendar,X42,NDays&amp;"D")</f>
        <v>42307</v>
      </c>
      <c r="Z42" s="105">
        <v>-3.033543190080366E-3</v>
      </c>
      <c r="AA42" s="102">
        <v>-2.7959374334152187E-3</v>
      </c>
    </row>
    <row r="43" spans="10:27" x14ac:dyDescent="0.2">
      <c r="M43" s="123" t="str">
        <v>obj_00270#0001</v>
      </c>
      <c r="N43" s="103" t="str">
        <f>_xll.qlRateHelperQuoteName(M43)</f>
        <v>SEKAB3S8Y_Quote</v>
      </c>
      <c r="O43" s="101" t="e">
        <f ca="1">_xll.qlRateHelperLatestDate(M43)</f>
        <v>#NAME?</v>
      </c>
      <c r="P43" s="150">
        <f>_xll.qlRateHelperQuoteValue(M43,_xll.ohTrigger(RecalcTrigger,Trigger))</f>
        <v>1.1200000000000002E-2</v>
      </c>
      <c r="Q43" s="245" t="str">
        <f t="shared" si="9"/>
        <v>8Y</v>
      </c>
      <c r="R43" s="101" t="str">
        <f>_xll.qlSwapIndex(,FamilyName,Q43,NDays,Currency,Calendar,"1Y","modified following",BondBasisDayCounter,IborIndex,Discounting,,Trigger)</f>
        <v>obj_00283#0001</v>
      </c>
      <c r="S43" s="150">
        <f>_xll.qlIndexFixing(R43,$X$19,TRUE,Trigger)</f>
        <v>1.1200000000227051E-2</v>
      </c>
      <c r="T43" s="151">
        <f t="shared" si="8"/>
        <v>2.270492821532244E-13</v>
      </c>
      <c r="W43" s="103" t="str">
        <f t="shared" si="7"/>
        <v>1D</v>
      </c>
      <c r="X43" s="101">
        <f>_xll.qlCalendarAdvance(Calendar,X42,W43,"f",FALSE)</f>
        <v>42306</v>
      </c>
      <c r="Y43" s="104">
        <f>_xll.qlCalendarAdvance(Calendar,X43,NDays&amp;"D")</f>
        <v>42310</v>
      </c>
      <c r="Z43" s="105">
        <v>-3.048791218949091E-3</v>
      </c>
      <c r="AA43" s="102">
        <v>-2.8141741180576219E-3</v>
      </c>
    </row>
    <row r="44" spans="10:27" x14ac:dyDescent="0.2">
      <c r="M44" s="123" t="str">
        <v>obj_0026e#0001</v>
      </c>
      <c r="N44" s="103" t="str">
        <f>_xll.qlRateHelperQuoteName(M44)</f>
        <v>SEKAB3S9Y_Quote</v>
      </c>
      <c r="O44" s="101" t="e">
        <f ca="1">_xll.qlRateHelperLatestDate(M44)</f>
        <v>#NAME?</v>
      </c>
      <c r="P44" s="150">
        <f>_xll.qlRateHelperQuoteValue(M44,_xll.ohTrigger(RecalcTrigger,Trigger))</f>
        <v>1.2600000000000002E-2</v>
      </c>
      <c r="Q44" s="245" t="str">
        <f t="shared" si="9"/>
        <v>9Y</v>
      </c>
      <c r="R44" s="101" t="str">
        <f>_xll.qlSwapIndex(,FamilyName,Q44,NDays,Currency,Calendar,"1Y","modified following",BondBasisDayCounter,IborIndex,Discounting,,Trigger)</f>
        <v>obj_00285#0001</v>
      </c>
      <c r="S44" s="150">
        <f>_xll.qlIndexFixing(R44,$X$19,TRUE,Trigger)</f>
        <v>1.2599999999918036E-2</v>
      </c>
      <c r="T44" s="151">
        <f t="shared" si="8"/>
        <v>-8.1965684239904135E-14</v>
      </c>
      <c r="W44" s="103" t="str">
        <f t="shared" si="7"/>
        <v>1D</v>
      </c>
      <c r="X44" s="101">
        <f>_xll.qlCalendarAdvance(Calendar,X43,W44,"f",FALSE)</f>
        <v>42307</v>
      </c>
      <c r="Y44" s="104">
        <f>_xll.qlCalendarAdvance(Calendar,X44,NDays&amp;"D")</f>
        <v>42311</v>
      </c>
      <c r="Z44" s="105">
        <v>-3.0530300646995816E-3</v>
      </c>
      <c r="AA44" s="102">
        <v>-2.8317038391323379E-3</v>
      </c>
    </row>
    <row r="45" spans="10:27" x14ac:dyDescent="0.2">
      <c r="M45" s="123" t="str">
        <v>obj_00267#0001</v>
      </c>
      <c r="N45" s="103" t="str">
        <f>_xll.qlRateHelperQuoteName(M45)</f>
        <v>SEKAB3S10Y_Quote</v>
      </c>
      <c r="O45" s="101" t="e">
        <f ca="1">_xll.qlRateHelperLatestDate(M45)</f>
        <v>#NAME?</v>
      </c>
      <c r="P45" s="150">
        <f>_xll.qlRateHelperQuoteValue(M45,_xll.ohTrigger(RecalcTrigger,Trigger))</f>
        <v>1.3824999999999999E-2</v>
      </c>
      <c r="Q45" s="245" t="str">
        <f t="shared" si="9"/>
        <v>10Y</v>
      </c>
      <c r="R45" s="101" t="str">
        <f>_xll.qlSwapIndex(,FamilyName,Q45,NDays,Currency,Calendar,"1Y","modified following",BondBasisDayCounter,IborIndex,Discounting,,Trigger)</f>
        <v>obj_0027f#0001</v>
      </c>
      <c r="S45" s="150">
        <f>_xll.qlIndexFixing(R45,$X$19,TRUE,Trigger)</f>
        <v>1.3824999999944746E-2</v>
      </c>
      <c r="T45" s="151">
        <f t="shared" si="8"/>
        <v>-5.5252677433337283E-14</v>
      </c>
      <c r="W45" s="103" t="str">
        <f t="shared" si="7"/>
        <v>1D</v>
      </c>
      <c r="X45" s="101">
        <f>_xll.qlCalendarAdvance(Calendar,X44,W45,"f",FALSE)</f>
        <v>42310</v>
      </c>
      <c r="Y45" s="104">
        <f>_xll.qlCalendarAdvance(Calendar,X45,NDays&amp;"D")</f>
        <v>42312</v>
      </c>
      <c r="Z45" s="105">
        <v>-3.057083167934791E-3</v>
      </c>
      <c r="AA45" s="102">
        <v>-2.8643839450337438E-3</v>
      </c>
    </row>
    <row r="46" spans="10:27" x14ac:dyDescent="0.2">
      <c r="M46" s="123" t="str">
        <v>obj_00260#0001</v>
      </c>
      <c r="N46" s="103" t="str">
        <f>_xll.qlRateHelperQuoteName(M46)</f>
        <v>SEKAB3S12Y_Quote</v>
      </c>
      <c r="O46" s="101" t="e">
        <f ca="1">_xll.qlRateHelperLatestDate(M46)</f>
        <v>#NAME?</v>
      </c>
      <c r="P46" s="150">
        <f>_xll.qlRateHelperQuoteValue(M46,_xll.ohTrigger(RecalcTrigger,Trigger))</f>
        <v>1.5824999999999999E-2</v>
      </c>
      <c r="Q46" s="245" t="str">
        <f t="shared" si="9"/>
        <v>12Y</v>
      </c>
      <c r="R46" s="101" t="str">
        <f>_xll.qlSwapIndex(,FamilyName,Q46,NDays,Currency,Calendar,"1Y","modified following",BondBasisDayCounter,IborIndex,Discounting,,Trigger)</f>
        <v>obj_0027b#0001</v>
      </c>
      <c r="S46" s="150">
        <f>_xll.qlIndexFixing(R46,$X$19,TRUE,Trigger)</f>
        <v>1.5825000000140373E-2</v>
      </c>
      <c r="T46" s="151">
        <f t="shared" si="8"/>
        <v>1.4037382367604323E-13</v>
      </c>
      <c r="W46" s="103" t="str">
        <f t="shared" si="7"/>
        <v>1D</v>
      </c>
      <c r="X46" s="101">
        <f>_xll.qlCalendarAdvance(Calendar,X45,W46,"f",FALSE)</f>
        <v>42311</v>
      </c>
      <c r="Y46" s="104">
        <f>_xll.qlCalendarAdvance(Calendar,X46,NDays&amp;"D")</f>
        <v>42313</v>
      </c>
      <c r="Z46" s="105">
        <v>-3.0609578654250407E-3</v>
      </c>
      <c r="AA46" s="102">
        <v>-2.8947530880740757E-3</v>
      </c>
    </row>
    <row r="47" spans="10:27" x14ac:dyDescent="0.2">
      <c r="M47" s="123" t="str">
        <v>obj_00273#0001</v>
      </c>
      <c r="N47" s="103" t="str">
        <f>_xll.qlRateHelperQuoteName(M47)</f>
        <v>SEKAB3S15Y_Quote</v>
      </c>
      <c r="O47" s="101" t="e">
        <f ca="1">_xll.qlRateHelperLatestDate(M47)</f>
        <v>#NAME?</v>
      </c>
      <c r="P47" s="150">
        <f>_xll.qlRateHelperQuoteValue(M47,_xll.ohTrigger(RecalcTrigger,Trigger))</f>
        <v>1.8075000000000001E-2</v>
      </c>
      <c r="Q47" s="245" t="str">
        <f t="shared" si="9"/>
        <v>15Y</v>
      </c>
      <c r="R47" s="101" t="str">
        <f>_xll.qlSwapIndex(,FamilyName,Q47,NDays,Currency,Calendar,"1Y","modified following",BondBasisDayCounter,IborIndex,Discounting,,Trigger)</f>
        <v>obj_0027a#0001</v>
      </c>
      <c r="S47" s="150">
        <f>_xll.qlIndexFixing(R47,$X$19,TRUE,Trigger)</f>
        <v>1.8075000000069372E-2</v>
      </c>
      <c r="T47" s="151">
        <f t="shared" si="8"/>
        <v>6.9371591804312516E-14</v>
      </c>
      <c r="W47" s="103" t="str">
        <f t="shared" si="7"/>
        <v>1D</v>
      </c>
      <c r="X47" s="101">
        <f>_xll.qlCalendarAdvance(Calendar,X46,W47,"f",FALSE)</f>
        <v>42312</v>
      </c>
      <c r="Y47" s="104">
        <f>_xll.qlCalendarAdvance(Calendar,X47,NDays&amp;"D")</f>
        <v>42314</v>
      </c>
      <c r="Z47" s="105">
        <v>-3.0669624642153557E-3</v>
      </c>
      <c r="AA47" s="102">
        <v>-2.908747992109717E-3</v>
      </c>
    </row>
    <row r="48" spans="10:27" x14ac:dyDescent="0.2">
      <c r="J48" s="126" t="b">
        <v>1</v>
      </c>
      <c r="M48" s="123" t="str">
        <v>obj_0026b#0001</v>
      </c>
      <c r="N48" s="103" t="str">
        <f>_xll.qlRateHelperQuoteName(M48)</f>
        <v>SEKAB3S20Y_Quote</v>
      </c>
      <c r="O48" s="101" t="e">
        <f ca="1">_xll.qlRateHelperLatestDate(M48)</f>
        <v>#NAME?</v>
      </c>
      <c r="P48" s="150">
        <f>_xll.qlRateHelperQuoteValue(M48,_xll.ohTrigger(RecalcTrigger,Trigger))</f>
        <v>2.0175000000000002E-2</v>
      </c>
      <c r="Q48" s="245" t="str">
        <f t="shared" si="9"/>
        <v>20Y</v>
      </c>
      <c r="R48" s="101" t="str">
        <f>_xll.qlSwapIndex(,FamilyName,Q48,NDays,Currency,Calendar,"1Y","modified following",BondBasisDayCounter,IborIndex,Discounting,,Trigger)</f>
        <v>obj_0027e#0001</v>
      </c>
      <c r="S48" s="150">
        <f>_xll.qlIndexFixing(R48,$X$19,TRUE,Trigger)</f>
        <v>2.0174999999944144E-2</v>
      </c>
      <c r="T48" s="151">
        <f t="shared" si="8"/>
        <v>-5.5858095926453188E-14</v>
      </c>
      <c r="W48" s="103" t="str">
        <f t="shared" si="7"/>
        <v>1D</v>
      </c>
      <c r="X48" s="101">
        <f>_xll.qlCalendarAdvance(Calendar,X47,W48,"f",FALSE)</f>
        <v>42313</v>
      </c>
      <c r="Y48" s="104">
        <f>_xll.qlCalendarAdvance(Calendar,X48,NDays&amp;"D")</f>
        <v>42317</v>
      </c>
      <c r="Z48" s="105">
        <v>-3.0748193315143372E-3</v>
      </c>
      <c r="AA48" s="102">
        <v>-2.9220359329373835E-3</v>
      </c>
    </row>
    <row r="49" spans="13:27" x14ac:dyDescent="0.2">
      <c r="M49" s="123" t="str">
        <v>obj_00272#0001</v>
      </c>
      <c r="N49" s="103" t="str">
        <f>_xll.qlRateHelperQuoteName(M49)</f>
        <v>SEKAB3S25Y_Quote</v>
      </c>
      <c r="O49" s="101" t="e">
        <f ca="1">_xll.qlRateHelperLatestDate(M49)</f>
        <v>#NAME?</v>
      </c>
      <c r="P49" s="150">
        <f>_xll.qlRateHelperQuoteValue(M49,_xll.ohTrigger(RecalcTrigger,Trigger))</f>
        <v>2.1075E-2</v>
      </c>
      <c r="Q49" s="245" t="str">
        <f t="shared" si="9"/>
        <v>25Y</v>
      </c>
      <c r="R49" s="101" t="str">
        <f>_xll.qlSwapIndex(,FamilyName,Q49,NDays,Currency,Calendar,"1Y","modified following",BondBasisDayCounter,IborIndex,Discounting,,Trigger)</f>
        <v>obj_00280#0001</v>
      </c>
      <c r="S49" s="150">
        <f>_xll.qlIndexFixing(R49,$X$19,TRUE,Trigger)</f>
        <v>2.1075000000024727E-2</v>
      </c>
      <c r="T49" s="151">
        <f t="shared" si="8"/>
        <v>2.4726748426573408E-14</v>
      </c>
      <c r="W49" s="103" t="str">
        <f t="shared" si="7"/>
        <v>1D</v>
      </c>
      <c r="X49" s="101">
        <f>_xll.qlCalendarAdvance(Calendar,X48,W49,"f",FALSE)</f>
        <v>42314</v>
      </c>
      <c r="Y49" s="104">
        <f>_xll.qlCalendarAdvance(Calendar,X49,NDays&amp;"D")</f>
        <v>42318</v>
      </c>
      <c r="Z49" s="105">
        <v>-3.077912050055167E-3</v>
      </c>
      <c r="AA49" s="102">
        <v>-2.9346169107569153E-3</v>
      </c>
    </row>
    <row r="50" spans="13:27" x14ac:dyDescent="0.2">
      <c r="M50" s="123" t="str">
        <v>obj_00262#0001</v>
      </c>
      <c r="N50" s="103" t="str">
        <f>_xll.qlRateHelperQuoteName(M50)</f>
        <v>SEKAB3S30Y_Quote</v>
      </c>
      <c r="O50" s="101" t="e">
        <f ca="1">_xll.qlRateHelperLatestDate(M50)</f>
        <v>#NAME?</v>
      </c>
      <c r="P50" s="150">
        <f>_xll.qlRateHelperQuoteValue(M50,_xll.ohTrigger(RecalcTrigger,Trigger))</f>
        <v>2.1375000000000002E-2</v>
      </c>
      <c r="Q50" s="245" t="str">
        <f t="shared" si="9"/>
        <v>30Y</v>
      </c>
      <c r="R50" s="101" t="str">
        <f>_xll.qlSwapIndex(,FamilyName,Q50,NDays,Currency,Calendar,"1Y","modified following",BondBasisDayCounter,IborIndex,Discounting,,Trigger)</f>
        <v>obj_00278#0001</v>
      </c>
      <c r="S50" s="150">
        <f>_xll.qlIndexFixing(R50,$X$19,TRUE,Trigger)</f>
        <v>2.1375000000016034E-2</v>
      </c>
      <c r="T50" s="151">
        <f t="shared" si="8"/>
        <v>1.6032314364977651E-14</v>
      </c>
      <c r="U50" s="111"/>
      <c r="W50" s="103" t="str">
        <f t="shared" si="7"/>
        <v>1D</v>
      </c>
      <c r="X50" s="101">
        <f>_xll.qlCalendarAdvance(Calendar,X49,W50,"f",FALSE)</f>
        <v>42317</v>
      </c>
      <c r="Y50" s="104">
        <f>_xll.qlCalendarAdvance(Calendar,X50,NDays&amp;"D")</f>
        <v>42319</v>
      </c>
      <c r="Z50" s="105">
        <v>-3.0808703824463973E-3</v>
      </c>
      <c r="AA50" s="102">
        <v>-2.9573980280295231E-3</v>
      </c>
    </row>
    <row r="51" spans="13:27" x14ac:dyDescent="0.2">
      <c r="M51" s="123" t="e">
        <v>#N/A</v>
      </c>
      <c r="N51" s="103" t="e">
        <f>_xll.qlRateHelperQuoteName(M51)</f>
        <v>#VALUE!</v>
      </c>
      <c r="O51" s="101" t="e">
        <f ca="1">_xll.qlRateHelperLatestDate(M51)</f>
        <v>#NAME?</v>
      </c>
      <c r="P51" s="150" t="e">
        <f>_xll.qlRateHelperQuoteValue(M51,_xll.ohTrigger(RecalcTrigger,Trigger))</f>
        <v>#VALUE!</v>
      </c>
      <c r="Q51" s="245" t="e">
        <f t="shared" si="9"/>
        <v>#VALUE!</v>
      </c>
      <c r="R51" s="101" t="e">
        <f>_xll.qlSwapIndex(,FamilyName,Q51,NDays,Currency,Calendar,"1Y","modified following",BondBasisDayCounter,IborIndex,Discounting,,Trigger)</f>
        <v>#VALUE!</v>
      </c>
      <c r="S51" s="150" t="e">
        <f>_xll.qlIndexFixing(R51,$X$19,TRUE,Trigger)</f>
        <v>#VALUE!</v>
      </c>
      <c r="T51" s="151" t="e">
        <f t="shared" si="8"/>
        <v>#VALUE!</v>
      </c>
      <c r="U51" s="111"/>
      <c r="W51" s="103" t="str">
        <f t="shared" si="7"/>
        <v>1D</v>
      </c>
      <c r="X51" s="101">
        <f>_xll.qlCalendarAdvance(Calendar,X50,W51,"f",FALSE)</f>
        <v>42318</v>
      </c>
      <c r="Y51" s="104">
        <f>_xll.qlCalendarAdvance(Calendar,X51,NDays&amp;"D")</f>
        <v>42320</v>
      </c>
      <c r="Z51" s="105">
        <v>-3.0837016651446875E-3</v>
      </c>
      <c r="AA51" s="102">
        <v>-2.9778711929129287E-3</v>
      </c>
    </row>
    <row r="52" spans="13:27" x14ac:dyDescent="0.2">
      <c r="M52" s="123" t="e">
        <v>#N/A</v>
      </c>
      <c r="N52" s="103" t="e">
        <f>_xll.qlRateHelperQuoteName(M52)</f>
        <v>#VALUE!</v>
      </c>
      <c r="O52" s="101" t="e">
        <f ca="1">_xll.qlRateHelperLatestDate(M52)</f>
        <v>#NAME?</v>
      </c>
      <c r="P52" s="150" t="e">
        <f>_xll.qlRateHelperQuoteValue(M52,_xll.ohTrigger(RecalcTrigger,Trigger))</f>
        <v>#VALUE!</v>
      </c>
      <c r="Q52" s="245" t="e">
        <f t="shared" si="9"/>
        <v>#VALUE!</v>
      </c>
      <c r="R52" s="101" t="e">
        <f>_xll.qlSwapIndex(,FamilyName,Q52,NDays,Currency,Calendar,"1Y","modified following",BondBasisDayCounter,IborIndex,Discounting,,Trigger)</f>
        <v>#VALUE!</v>
      </c>
      <c r="S52" s="150" t="e">
        <f>_xll.qlIndexFixing(R52,$X$19,TRUE,Trigger)</f>
        <v>#VALUE!</v>
      </c>
      <c r="T52" s="151" t="e">
        <f t="shared" si="8"/>
        <v>#VALUE!</v>
      </c>
      <c r="U52" s="111"/>
      <c r="W52" s="103" t="str">
        <f t="shared" si="7"/>
        <v>1D</v>
      </c>
      <c r="X52" s="101">
        <f>_xll.qlCalendarAdvance(Calendar,X51,W52,"f",FALSE)</f>
        <v>42319</v>
      </c>
      <c r="Y52" s="104">
        <f>_xll.qlCalendarAdvance(Calendar,X52,NDays&amp;"D")</f>
        <v>42321</v>
      </c>
      <c r="Z52" s="105">
        <v>-3.0884900575832873E-3</v>
      </c>
      <c r="AA52" s="102">
        <v>-2.9869173564511797E-3</v>
      </c>
    </row>
    <row r="53" spans="13:27" x14ac:dyDescent="0.2">
      <c r="M53" s="123" t="e">
        <v>#N/A</v>
      </c>
      <c r="N53" s="103" t="e">
        <f>_xll.qlRateHelperQuoteName(M53)</f>
        <v>#VALUE!</v>
      </c>
      <c r="O53" s="101" t="e">
        <f ca="1">_xll.qlRateHelperLatestDate(M53)</f>
        <v>#NAME?</v>
      </c>
      <c r="P53" s="150" t="e">
        <f>_xll.qlRateHelperQuoteValue(M53,_xll.ohTrigger(RecalcTrigger,Trigger))</f>
        <v>#VALUE!</v>
      </c>
      <c r="Q53" s="245" t="e">
        <f t="shared" si="9"/>
        <v>#VALUE!</v>
      </c>
      <c r="R53" s="101" t="e">
        <f>_xll.qlSwapIndex(,FamilyName,Q53,NDays,Currency,Calendar,"1Y","modified following",BondBasisDayCounter,IborIndex,Discounting,,Trigger)</f>
        <v>#VALUE!</v>
      </c>
      <c r="S53" s="150" t="e">
        <f>_xll.qlIndexFixing(R53,$X$19,TRUE,Trigger)</f>
        <v>#VALUE!</v>
      </c>
      <c r="T53" s="151" t="e">
        <f t="shared" si="8"/>
        <v>#VALUE!</v>
      </c>
      <c r="W53" s="103" t="str">
        <f t="shared" si="7"/>
        <v>1D</v>
      </c>
      <c r="X53" s="101">
        <f>_xll.qlCalendarAdvance(Calendar,X52,W53,"f",FALSE)</f>
        <v>42320</v>
      </c>
      <c r="Y53" s="104">
        <f>_xll.qlCalendarAdvance(Calendar,X53,NDays&amp;"D")</f>
        <v>42324</v>
      </c>
      <c r="Z53" s="105">
        <v>-3.093903026973877E-3</v>
      </c>
      <c r="AA53" s="102">
        <v>-2.9952565573809764E-3</v>
      </c>
    </row>
    <row r="54" spans="13:27" x14ac:dyDescent="0.2">
      <c r="M54" s="123" t="e">
        <v>#N/A</v>
      </c>
      <c r="N54" s="103" t="e">
        <f>_xll.qlRateHelperQuoteName(M54)</f>
        <v>#VALUE!</v>
      </c>
      <c r="O54" s="101" t="e">
        <f ca="1">_xll.qlRateHelperLatestDate(M54)</f>
        <v>#NAME?</v>
      </c>
      <c r="P54" s="150" t="e">
        <f>_xll.qlRateHelperQuoteValue(M54,_xll.ohTrigger(RecalcTrigger,Trigger))</f>
        <v>#VALUE!</v>
      </c>
      <c r="Q54" s="245" t="e">
        <f t="shared" si="9"/>
        <v>#VALUE!</v>
      </c>
      <c r="R54" s="101" t="e">
        <f>_xll.qlSwapIndex(,FamilyName,Q54,NDays,Currency,Calendar,"1Y","modified following",BondBasisDayCounter,IborIndex,Discounting,,Trigger)</f>
        <v>#VALUE!</v>
      </c>
      <c r="S54" s="150" t="e">
        <f>_xll.qlIndexFixing(R54,$X$19,TRUE,Trigger)</f>
        <v>#VALUE!</v>
      </c>
      <c r="T54" s="151" t="e">
        <f t="shared" si="8"/>
        <v>#VALUE!</v>
      </c>
      <c r="W54" s="103" t="str">
        <f t="shared" si="7"/>
        <v>1D</v>
      </c>
      <c r="X54" s="101">
        <f>_xll.qlCalendarAdvance(Calendar,X53,W54,"f",FALSE)</f>
        <v>42321</v>
      </c>
      <c r="Y54" s="104">
        <f>_xll.qlCalendarAdvance(Calendar,X54,NDays&amp;"D")</f>
        <v>42325</v>
      </c>
      <c r="Z54" s="105">
        <v>-3.0962091069252221E-3</v>
      </c>
      <c r="AA54" s="102">
        <v>-3.0028887956623507E-3</v>
      </c>
    </row>
    <row r="55" spans="13:27" x14ac:dyDescent="0.2">
      <c r="M55" s="123" t="e">
        <v>#N/A</v>
      </c>
      <c r="N55" s="103" t="e">
        <f>_xll.qlRateHelperQuoteName(M55)</f>
        <v>#VALUE!</v>
      </c>
      <c r="O55" s="101" t="e">
        <f ca="1">_xll.qlRateHelperLatestDate(M55)</f>
        <v>#NAME?</v>
      </c>
      <c r="P55" s="150" t="e">
        <f>_xll.qlRateHelperQuoteValue(M55,_xll.ohTrigger(RecalcTrigger,Trigger))</f>
        <v>#VALUE!</v>
      </c>
      <c r="Q55" s="245" t="e">
        <f t="shared" si="9"/>
        <v>#VALUE!</v>
      </c>
      <c r="R55" s="101" t="e">
        <f>_xll.qlSwapIndex(,FamilyName,Q55,NDays,Currency,Calendar,"1Y","modified following",BondBasisDayCounter,IborIndex,Discounting,,Trigger)</f>
        <v>#VALUE!</v>
      </c>
      <c r="S55" s="150" t="e">
        <f>_xll.qlIndexFixing(R55,$X$19,TRUE,Trigger)</f>
        <v>#VALUE!</v>
      </c>
      <c r="T55" s="151" t="e">
        <f t="shared" si="8"/>
        <v>#VALUE!</v>
      </c>
      <c r="U55" s="111"/>
      <c r="W55" s="103" t="str">
        <f t="shared" si="7"/>
        <v>1D</v>
      </c>
      <c r="X55" s="101">
        <f>_xll.qlCalendarAdvance(Calendar,X54,W55,"f",FALSE)</f>
        <v>42324</v>
      </c>
      <c r="Y55" s="104">
        <f>_xll.qlCalendarAdvance(Calendar,X55,NDays&amp;"D")</f>
        <v>42326</v>
      </c>
      <c r="Z55" s="105">
        <v>-3.0984321552767107E-3</v>
      </c>
      <c r="AA55" s="102">
        <v>-3.0157714664724722E-3</v>
      </c>
    </row>
    <row r="56" spans="13:27" x14ac:dyDescent="0.2">
      <c r="M56" s="123" t="e">
        <v>#N/A</v>
      </c>
      <c r="N56" s="103" t="e">
        <f>_xll.qlRateHelperQuoteName(M56)</f>
        <v>#VALUE!</v>
      </c>
      <c r="O56" s="101" t="e">
        <f ca="1">_xll.qlRateHelperLatestDate(M56)</f>
        <v>#NAME?</v>
      </c>
      <c r="P56" s="150" t="e">
        <f>_xll.qlRateHelperQuoteValue(M56,_xll.ohTrigger(RecalcTrigger,Trigger))</f>
        <v>#VALUE!</v>
      </c>
      <c r="Q56" s="245" t="e">
        <f t="shared" si="9"/>
        <v>#VALUE!</v>
      </c>
      <c r="R56" s="101" t="e">
        <f>_xll.qlSwapIndex(,FamilyName,Q56,NDays,Currency,Calendar,"1Y","modified following",BondBasisDayCounter,IborIndex,Discounting,,Trigger)</f>
        <v>#VALUE!</v>
      </c>
      <c r="S56" s="150" t="e">
        <f>_xll.qlIndexFixing(R56,$X$19,TRUE,Trigger)</f>
        <v>#VALUE!</v>
      </c>
      <c r="T56" s="151" t="e">
        <f t="shared" si="8"/>
        <v>#VALUE!</v>
      </c>
      <c r="U56" s="111"/>
      <c r="W56" s="103" t="str">
        <f t="shared" si="7"/>
        <v>1D</v>
      </c>
      <c r="X56" s="101">
        <f>_xll.qlCalendarAdvance(Calendar,X55,W56,"f",FALSE)</f>
        <v>42325</v>
      </c>
      <c r="Y56" s="104">
        <f>_xll.qlCalendarAdvance(Calendar,X56,NDays&amp;"D")</f>
        <v>42327</v>
      </c>
      <c r="Z56" s="105">
        <v>-3.1005795082886378E-3</v>
      </c>
      <c r="AA56" s="102">
        <v>-3.0263481233427925E-3</v>
      </c>
    </row>
    <row r="57" spans="13:27" ht="12" thickBot="1" x14ac:dyDescent="0.25">
      <c r="M57" s="244" t="e">
        <v>#N/A</v>
      </c>
      <c r="N57" s="114" t="e">
        <f>_xll.qlRateHelperQuoteName(M57)</f>
        <v>#VALUE!</v>
      </c>
      <c r="O57" s="108" t="e">
        <f ca="1">_xll.qlRateHelperLatestDate(M57)</f>
        <v>#NAME?</v>
      </c>
      <c r="P57" s="246" t="e">
        <f>_xll.qlRateHelperQuoteValue(M57,_xll.ohTrigger(RecalcTrigger,Trigger))</f>
        <v>#VALUE!</v>
      </c>
      <c r="Q57" s="247" t="e">
        <f t="shared" si="9"/>
        <v>#VALUE!</v>
      </c>
      <c r="R57" s="108" t="e">
        <f>_xll.qlSwapIndex(,FamilyName,Q57,NDays,Currency,Calendar,"1Y","modified following",BondBasisDayCounter,IborIndex,Discounting,,Trigger)</f>
        <v>#VALUE!</v>
      </c>
      <c r="S57" s="246" t="e">
        <f>_xll.qlIndexFixing(R57,$X$19,TRUE,Trigger)</f>
        <v>#VALUE!</v>
      </c>
      <c r="T57" s="248" t="e">
        <f t="shared" si="8"/>
        <v>#VALUE!</v>
      </c>
      <c r="U57" s="111"/>
      <c r="W57" s="103" t="str">
        <f t="shared" si="7"/>
        <v>1D</v>
      </c>
      <c r="X57" s="101">
        <f>_xll.qlCalendarAdvance(Calendar,X56,W57,"f",FALSE)</f>
        <v>42326</v>
      </c>
      <c r="Y57" s="104">
        <f>_xll.qlCalendarAdvance(Calendar,X57,NDays&amp;"D")</f>
        <v>42328</v>
      </c>
      <c r="Z57" s="105">
        <v>-3.104595605558552E-3</v>
      </c>
      <c r="AA57" s="102">
        <v>-3.0304455491414473E-3</v>
      </c>
    </row>
    <row r="58" spans="13:27" x14ac:dyDescent="0.2">
      <c r="S58" s="61"/>
      <c r="W58" s="103" t="str">
        <f t="shared" si="7"/>
        <v>1D</v>
      </c>
      <c r="X58" s="101">
        <f>_xll.qlCalendarAdvance(Calendar,X57,W58,"f",FALSE)</f>
        <v>42327</v>
      </c>
      <c r="Y58" s="104">
        <f>_xll.qlCalendarAdvance(Calendar,X58,NDays&amp;"D")</f>
        <v>42331</v>
      </c>
      <c r="Z58" s="105">
        <v>-3.1085586914528351E-3</v>
      </c>
      <c r="AA58" s="102">
        <v>-3.0338360124915198E-3</v>
      </c>
    </row>
    <row r="59" spans="13:27" x14ac:dyDescent="0.2">
      <c r="S59" s="61"/>
      <c r="W59" s="103" t="str">
        <f t="shared" si="7"/>
        <v>1D</v>
      </c>
      <c r="X59" s="101">
        <f>_xll.qlCalendarAdvance(Calendar,X58,W59,"f",FALSE)</f>
        <v>42328</v>
      </c>
      <c r="Y59" s="104">
        <f>_xll.qlCalendarAdvance(Calendar,X59,NDays&amp;"D")</f>
        <v>42332</v>
      </c>
      <c r="Z59" s="105">
        <v>-3.1104376109923559E-3</v>
      </c>
      <c r="AA59" s="102">
        <v>-3.0365195134329781E-3</v>
      </c>
    </row>
    <row r="60" spans="13:27" x14ac:dyDescent="0.2">
      <c r="S60" s="61"/>
      <c r="W60" s="103" t="str">
        <f t="shared" si="7"/>
        <v>1D</v>
      </c>
      <c r="X60" s="101">
        <f>_xll.qlCalendarAdvance(Calendar,X59,W60,"f",FALSE)</f>
        <v>42331</v>
      </c>
      <c r="Y60" s="104">
        <f>_xll.qlCalendarAdvance(Calendar,X60,NDays&amp;"D")</f>
        <v>42333</v>
      </c>
      <c r="Z60" s="105">
        <v>-3.1122848523596168E-3</v>
      </c>
      <c r="AA60" s="102">
        <v>-3.0395043109754383E-3</v>
      </c>
    </row>
    <row r="61" spans="13:27" x14ac:dyDescent="0.2">
      <c r="S61" s="61"/>
      <c r="W61" s="103" t="str">
        <f t="shared" si="7"/>
        <v>1D</v>
      </c>
      <c r="X61" s="101">
        <f>_xll.qlCalendarAdvance(Calendar,X60,W61,"f",FALSE)</f>
        <v>42332</v>
      </c>
      <c r="Y61" s="104">
        <f>_xll.qlCalendarAdvance(Calendar,X61,NDays&amp;"D")</f>
        <v>42334</v>
      </c>
      <c r="Z61" s="105">
        <v>-3.1141077516954442E-3</v>
      </c>
      <c r="AA61" s="102">
        <v>-3.0403196587114323E-3</v>
      </c>
    </row>
    <row r="62" spans="13:27" x14ac:dyDescent="0.2">
      <c r="S62" s="61"/>
      <c r="W62" s="103" t="str">
        <f t="shared" si="7"/>
        <v>1D</v>
      </c>
      <c r="X62" s="101">
        <f>_xll.qlCalendarAdvance(Calendar,X61,W62,"f",FALSE)</f>
        <v>42333</v>
      </c>
      <c r="Y62" s="104">
        <f>_xll.qlCalendarAdvance(Calendar,X62,NDays&amp;"D")</f>
        <v>42335</v>
      </c>
      <c r="Z62" s="105">
        <v>-3.117741874603828E-3</v>
      </c>
      <c r="AA62" s="102">
        <v>-3.0402829389641894E-3</v>
      </c>
    </row>
    <row r="63" spans="13:27" x14ac:dyDescent="0.2">
      <c r="S63" s="61"/>
      <c r="W63" s="103" t="str">
        <f t="shared" si="7"/>
        <v>1D</v>
      </c>
      <c r="X63" s="101">
        <f>_xll.qlCalendarAdvance(Calendar,X62,W63,"f",FALSE)</f>
        <v>42334</v>
      </c>
      <c r="Y63" s="104">
        <f>_xll.qlCalendarAdvance(Calendar,X63,NDays&amp;"D")</f>
        <v>42338</v>
      </c>
      <c r="Z63" s="105">
        <v>-3.1204001721916201E-3</v>
      </c>
      <c r="AA63" s="102">
        <v>-3.0403538481227343E-3</v>
      </c>
    </row>
    <row r="64" spans="13:27" x14ac:dyDescent="0.2">
      <c r="S64" s="61"/>
      <c r="W64" s="103" t="str">
        <f t="shared" si="7"/>
        <v>1D</v>
      </c>
      <c r="X64" s="101">
        <f>_xll.qlCalendarAdvance(Calendar,X63,W64,"f",FALSE)</f>
        <v>42335</v>
      </c>
      <c r="Y64" s="104">
        <f>_xll.qlCalendarAdvance(Calendar,X64,NDays&amp;"D")</f>
        <v>42339</v>
      </c>
      <c r="Z64" s="105">
        <v>-3.1222189421561447E-3</v>
      </c>
      <c r="AA64" s="102">
        <v>-3.0405323860271949E-3</v>
      </c>
    </row>
    <row r="65" spans="10:27" x14ac:dyDescent="0.2">
      <c r="S65" s="61"/>
      <c r="W65" s="103" t="str">
        <f t="shared" si="7"/>
        <v>1D</v>
      </c>
      <c r="X65" s="101">
        <f>_xll.qlCalendarAdvance(Calendar,X64,W65,"f",FALSE)</f>
        <v>42338</v>
      </c>
      <c r="Y65" s="104">
        <f>_xll.qlCalendarAdvance(Calendar,X65,NDays&amp;"D")</f>
        <v>42340</v>
      </c>
      <c r="Z65" s="105">
        <v>-3.124049004455209E-3</v>
      </c>
      <c r="AA65" s="102">
        <v>-3.0412225323406261E-3</v>
      </c>
    </row>
    <row r="66" spans="10:27" x14ac:dyDescent="0.2">
      <c r="S66" s="61"/>
      <c r="W66" s="103" t="str">
        <f t="shared" si="7"/>
        <v>1D</v>
      </c>
      <c r="X66" s="101">
        <f>_xll.qlCalendarAdvance(Calendar,X65,W66,"f",FALSE)</f>
        <v>42339</v>
      </c>
      <c r="Y66" s="104">
        <f>_xll.qlCalendarAdvance(Calendar,X66,NDays&amp;"D")</f>
        <v>42341</v>
      </c>
      <c r="Z66" s="105">
        <v>-3.1258888312696237E-3</v>
      </c>
      <c r="AA66" s="102">
        <v>-3.0423228255838097E-3</v>
      </c>
    </row>
    <row r="67" spans="10:27" x14ac:dyDescent="0.2">
      <c r="S67" s="61"/>
      <c r="W67" s="103" t="str">
        <f t="shared" si="7"/>
        <v>1D</v>
      </c>
      <c r="X67" s="101">
        <f>_xll.qlCalendarAdvance(Calendar,X66,W67,"f",FALSE)</f>
        <v>42340</v>
      </c>
      <c r="Y67" s="104">
        <f>_xll.qlCalendarAdvance(Calendar,X67,NDays&amp;"D")</f>
        <v>42342</v>
      </c>
      <c r="Z67" s="105">
        <v>-3.1277368947863478E-3</v>
      </c>
      <c r="AA67" s="102">
        <v>-3.0430395074976246E-3</v>
      </c>
    </row>
    <row r="68" spans="10:27" x14ac:dyDescent="0.2">
      <c r="S68" s="61"/>
      <c r="W68" s="103" t="str">
        <f t="shared" si="7"/>
        <v>1D</v>
      </c>
      <c r="X68" s="101">
        <f>_xll.qlCalendarAdvance(Calendar,X67,W68,"f",FALSE)</f>
        <v>42341</v>
      </c>
      <c r="Y68" s="104">
        <f>_xll.qlCalendarAdvance(Calendar,X68,NDays&amp;"D")</f>
        <v>42345</v>
      </c>
      <c r="Z68" s="105">
        <v>-3.1333152274480749E-3</v>
      </c>
      <c r="AA68" s="102">
        <v>-3.0438638182372912E-3</v>
      </c>
    </row>
    <row r="69" spans="10:27" x14ac:dyDescent="0.2">
      <c r="S69" s="61"/>
      <c r="W69" s="103" t="str">
        <f t="shared" si="7"/>
        <v>1D</v>
      </c>
      <c r="X69" s="101">
        <f>_xll.qlCalendarAdvance(Calendar,X68,W69,"f",FALSE)</f>
        <v>42342</v>
      </c>
      <c r="Y69" s="104">
        <f>_xll.qlCalendarAdvance(Calendar,X69,NDays&amp;"D")</f>
        <v>42346</v>
      </c>
      <c r="Z69" s="105">
        <v>-3.1351809596857905E-3</v>
      </c>
      <c r="AA69" s="102">
        <v>-3.0447957577628415E-3</v>
      </c>
    </row>
    <row r="70" spans="10:27" x14ac:dyDescent="0.2">
      <c r="S70" s="61"/>
      <c r="W70" s="103" t="str">
        <f t="shared" si="7"/>
        <v>1D</v>
      </c>
      <c r="X70" s="101">
        <f>_xll.qlCalendarAdvance(Calendar,X69,W70,"f",FALSE)</f>
        <v>42345</v>
      </c>
      <c r="Y70" s="104">
        <f>_xll.qlCalendarAdvance(Calendar,X70,NDays&amp;"D")</f>
        <v>42347</v>
      </c>
      <c r="Z70" s="105">
        <v>-3.1370472895939907E-3</v>
      </c>
      <c r="AA70" s="102">
        <v>-3.0469926097564937E-3</v>
      </c>
    </row>
    <row r="71" spans="10:27" x14ac:dyDescent="0.2">
      <c r="J71" s="61"/>
      <c r="S71" s="61"/>
      <c r="W71" s="103" t="str">
        <f t="shared" si="7"/>
        <v>1D</v>
      </c>
      <c r="X71" s="101">
        <f>_xll.qlCalendarAdvance(Calendar,X70,W71,"f",FALSE)</f>
        <v>42346</v>
      </c>
      <c r="Y71" s="104">
        <f>_xll.qlCalendarAdvance(Calendar,X71,NDays&amp;"D")</f>
        <v>42348</v>
      </c>
      <c r="Z71" s="105">
        <v>-3.1389126893767638E-3</v>
      </c>
      <c r="AA71" s="102">
        <v>-3.0495998037638472E-3</v>
      </c>
    </row>
    <row r="72" spans="10:27" x14ac:dyDescent="0.2">
      <c r="S72" s="61"/>
      <c r="W72" s="103" t="str">
        <f t="shared" si="7"/>
        <v>1D</v>
      </c>
      <c r="X72" s="101">
        <f>_xll.qlCalendarAdvance(Calendar,X71,W72,"f",FALSE)</f>
        <v>42347</v>
      </c>
      <c r="Y72" s="104">
        <f>_xll.qlCalendarAdvance(Calendar,X72,NDays&amp;"D")</f>
        <v>42349</v>
      </c>
      <c r="Z72" s="105">
        <v>-3.1407756312399546E-3</v>
      </c>
      <c r="AA72" s="102">
        <v>-3.0510698872987518E-3</v>
      </c>
    </row>
    <row r="73" spans="10:27" x14ac:dyDescent="0.2">
      <c r="S73" s="61"/>
      <c r="W73" s="103" t="str">
        <f t="shared" si="7"/>
        <v>1D</v>
      </c>
      <c r="X73" s="101">
        <f>_xll.qlCalendarAdvance(Calendar,X72,W73,"f",FALSE)</f>
        <v>42348</v>
      </c>
      <c r="Y73" s="104">
        <f>_xll.qlCalendarAdvance(Calendar,X73,NDays&amp;"D")</f>
        <v>42352</v>
      </c>
      <c r="Z73" s="105">
        <v>-3.1463344314034258E-3</v>
      </c>
      <c r="AA73" s="102">
        <v>-3.0526475996195401E-3</v>
      </c>
    </row>
    <row r="74" spans="10:27" x14ac:dyDescent="0.2">
      <c r="S74" s="61"/>
      <c r="W74" s="103" t="str">
        <f t="shared" si="7"/>
        <v>1D</v>
      </c>
      <c r="X74" s="101">
        <f>_xll.qlCalendarAdvance(Calendar,X73,W74,"f",FALSE)</f>
        <v>42349</v>
      </c>
      <c r="Y74" s="104">
        <f>_xll.qlCalendarAdvance(Calendar,X74,NDays&amp;"D")</f>
        <v>42353</v>
      </c>
      <c r="Z74" s="105">
        <v>-3.1481722636968086E-3</v>
      </c>
      <c r="AA74" s="102">
        <v>-3.0543329407661801E-3</v>
      </c>
    </row>
    <row r="75" spans="10:27" x14ac:dyDescent="0.2">
      <c r="S75" s="61"/>
      <c r="W75" s="103" t="str">
        <f t="shared" si="7"/>
        <v>1D</v>
      </c>
      <c r="X75" s="101">
        <f>_xll.qlCalendarAdvance(Calendar,X74,W75,"f",FALSE)</f>
        <v>42352</v>
      </c>
      <c r="Y75" s="104">
        <f>_xll.qlCalendarAdvance(Calendar,X75,NDays&amp;"D")</f>
        <v>42354</v>
      </c>
      <c r="Z75" s="105">
        <v>-3.1499999991402416E-3</v>
      </c>
      <c r="AA75" s="102">
        <v>-3.0580364085253109E-3</v>
      </c>
    </row>
    <row r="76" spans="10:27" x14ac:dyDescent="0.2">
      <c r="S76" s="61"/>
      <c r="W76" s="103" t="str">
        <f t="shared" si="7"/>
        <v>1D</v>
      </c>
      <c r="X76" s="101">
        <f>_xll.qlCalendarAdvance(Calendar,X75,W76,"f",FALSE)</f>
        <v>42353</v>
      </c>
      <c r="Y76" s="104">
        <f>_xll.qlCalendarAdvance(Calendar,X76,NDays&amp;"D")</f>
        <v>42355</v>
      </c>
      <c r="Z76" s="105">
        <v>-3.1518160503261573E-3</v>
      </c>
      <c r="AA76" s="102">
        <v>-3.0621505929717685E-3</v>
      </c>
    </row>
    <row r="77" spans="10:27" x14ac:dyDescent="0.2">
      <c r="S77" s="61"/>
      <c r="W77" s="103" t="str">
        <f t="shared" si="7"/>
        <v>1D</v>
      </c>
      <c r="X77" s="101">
        <f>_xll.qlCalendarAdvance(Calendar,X76,W77,"f",FALSE)</f>
        <v>42354</v>
      </c>
      <c r="Y77" s="104">
        <f>_xll.qlCalendarAdvance(Calendar,X77,NDays&amp;"D")</f>
        <v>42356</v>
      </c>
      <c r="Z77" s="105">
        <v>-3.1536185913327245E-3</v>
      </c>
      <c r="AA77" s="102">
        <v>-3.0643740780078588E-3</v>
      </c>
    </row>
    <row r="78" spans="10:27" x14ac:dyDescent="0.2">
      <c r="S78" s="61"/>
      <c r="W78" s="103" t="str">
        <f t="shared" si="7"/>
        <v>1D</v>
      </c>
      <c r="X78" s="101">
        <f>_xll.qlCalendarAdvance(Calendar,X77,W78,"f",FALSE)</f>
        <v>42355</v>
      </c>
      <c r="Y78" s="104">
        <f>_xll.qlCalendarAdvance(Calendar,X78,NDays&amp;"D")</f>
        <v>42359</v>
      </c>
      <c r="Z78" s="105">
        <v>-3.158926297824187E-3</v>
      </c>
      <c r="AA78" s="102">
        <v>-3.0717455131501481E-3</v>
      </c>
    </row>
    <row r="79" spans="10:27" x14ac:dyDescent="0.2">
      <c r="S79" s="61"/>
      <c r="W79" s="103" t="str">
        <f t="shared" si="7"/>
        <v>1D</v>
      </c>
      <c r="X79" s="101">
        <f>_xll.qlCalendarAdvance(Calendar,X78,W79,"f",FALSE)</f>
        <v>42356</v>
      </c>
      <c r="Y79" s="104">
        <f>_xll.qlCalendarAdvance(Calendar,X79,NDays&amp;"D")</f>
        <v>42360</v>
      </c>
      <c r="Z79" s="105">
        <v>-3.16065594267439E-3</v>
      </c>
      <c r="AA79" s="102">
        <v>-3.0799751925281171E-3</v>
      </c>
    </row>
    <row r="80" spans="10:27" x14ac:dyDescent="0.2">
      <c r="S80" s="61"/>
      <c r="W80" s="103" t="str">
        <f t="shared" si="7"/>
        <v>1D</v>
      </c>
      <c r="X80" s="101">
        <f>_xll.qlCalendarAdvance(Calendar,X79,W80,"f",FALSE)</f>
        <v>42359</v>
      </c>
      <c r="Y80" s="104">
        <f>_xll.qlCalendarAdvance(Calendar,X80,NDays&amp;"D")</f>
        <v>42361</v>
      </c>
      <c r="Z80" s="105">
        <v>-3.1623626496404731E-3</v>
      </c>
      <c r="AA80" s="102">
        <v>-3.0829288892553208E-3</v>
      </c>
    </row>
    <row r="81" spans="19:27" x14ac:dyDescent="0.2">
      <c r="S81" s="61"/>
      <c r="W81" s="103" t="str">
        <f t="shared" si="7"/>
        <v>1D</v>
      </c>
      <c r="X81" s="101">
        <f>_xll.qlCalendarAdvance(Calendar,X80,W81,"f",FALSE)</f>
        <v>42360</v>
      </c>
      <c r="Y81" s="104">
        <f>_xll.qlCalendarAdvance(Calendar,X81,NDays&amp;"D")</f>
        <v>42366</v>
      </c>
      <c r="Z81" s="105">
        <v>-3.1709883238121828E-3</v>
      </c>
      <c r="AA81" s="102">
        <v>-3.0915858783249206E-3</v>
      </c>
    </row>
    <row r="82" spans="19:27" x14ac:dyDescent="0.2">
      <c r="S82" s="61"/>
      <c r="W82" s="103" t="str">
        <f t="shared" si="7"/>
        <v>1D</v>
      </c>
      <c r="X82" s="101">
        <f>_xll.qlCalendarAdvance(Calendar,X81,W82,"f",FALSE)</f>
        <v>42361</v>
      </c>
      <c r="Y82" s="104">
        <f>_xll.qlCalendarAdvance(Calendar,X82,NDays&amp;"D")</f>
        <v>42367</v>
      </c>
      <c r="Z82" s="105">
        <v>-3.17201560624902E-3</v>
      </c>
      <c r="AA82" s="102">
        <v>-3.1001284995113565E-3</v>
      </c>
    </row>
    <row r="83" spans="19:27" x14ac:dyDescent="0.2">
      <c r="S83" s="61"/>
      <c r="W83" s="103" t="str">
        <f t="shared" si="7"/>
        <v>1D</v>
      </c>
      <c r="X83" s="101">
        <f>_xll.qlCalendarAdvance(Calendar,X82,W83,"f",FALSE)</f>
        <v>42366</v>
      </c>
      <c r="Y83" s="104">
        <f>_xll.qlCalendarAdvance(Calendar,X83,NDays&amp;"D")</f>
        <v>42368</v>
      </c>
      <c r="Z83" s="105">
        <v>-3.1739710038325435E-3</v>
      </c>
      <c r="AA83" s="102">
        <v>-3.1042338361220168E-3</v>
      </c>
    </row>
    <row r="84" spans="19:27" x14ac:dyDescent="0.2">
      <c r="S84" s="61"/>
      <c r="W84" s="103" t="str">
        <f t="shared" si="7"/>
        <v>1D</v>
      </c>
      <c r="X84" s="101">
        <f>_xll.qlCalendarAdvance(Calendar,X83,W84,"f",FALSE)</f>
        <v>42367</v>
      </c>
      <c r="Y84" s="104">
        <f>_xll.qlCalendarAdvance(Calendar,X84,NDays&amp;"D")</f>
        <v>42373</v>
      </c>
      <c r="Z84" s="105">
        <v>-3.1804226471445493E-3</v>
      </c>
      <c r="AA84" s="102">
        <v>-3.1083029205714041E-3</v>
      </c>
    </row>
    <row r="85" spans="19:27" x14ac:dyDescent="0.2">
      <c r="S85" s="61"/>
      <c r="W85" s="103" t="str">
        <f t="shared" ref="W85:W148" si="10">W84</f>
        <v>1D</v>
      </c>
      <c r="X85" s="101">
        <f>_xll.qlCalendarAdvance(Calendar,X84,W85,"f",FALSE)</f>
        <v>42368</v>
      </c>
      <c r="Y85" s="104">
        <f>_xll.qlCalendarAdvance(Calendar,X85,NDays&amp;"D")</f>
        <v>42374</v>
      </c>
      <c r="Z85" s="105">
        <v>-3.1816919170486752E-3</v>
      </c>
      <c r="AA85" s="102">
        <v>-3.1135575528207227E-3</v>
      </c>
    </row>
    <row r="86" spans="19:27" x14ac:dyDescent="0.2">
      <c r="S86" s="61"/>
      <c r="W86" s="103" t="str">
        <f t="shared" si="10"/>
        <v>1D</v>
      </c>
      <c r="X86" s="101">
        <f>_xll.qlCalendarAdvance(Calendar,X85,W86,"f",FALSE)</f>
        <v>42373</v>
      </c>
      <c r="Y86" s="104">
        <f>_xll.qlCalendarAdvance(Calendar,X86,NDays&amp;"D")</f>
        <v>42376</v>
      </c>
      <c r="Z86" s="105">
        <v>-3.1841141770258879E-3</v>
      </c>
      <c r="AA86" s="102">
        <v>-3.1187610097260787E-3</v>
      </c>
    </row>
    <row r="87" spans="19:27" x14ac:dyDescent="0.2">
      <c r="S87" s="61"/>
      <c r="W87" s="103" t="str">
        <f t="shared" si="10"/>
        <v>1D</v>
      </c>
      <c r="X87" s="101">
        <f>_xll.qlCalendarAdvance(Calendar,X86,W87,"f",FALSE)</f>
        <v>42374</v>
      </c>
      <c r="Y87" s="104">
        <f>_xll.qlCalendarAdvance(Calendar,X87,NDays&amp;"D")</f>
        <v>42377</v>
      </c>
      <c r="Z87" s="105">
        <v>-3.1852664516238229E-3</v>
      </c>
      <c r="AA87" s="102">
        <v>-3.1212967571381256E-3</v>
      </c>
    </row>
    <row r="88" spans="19:27" x14ac:dyDescent="0.2">
      <c r="S88" s="61"/>
      <c r="T88" s="82"/>
      <c r="W88" s="103" t="str">
        <f t="shared" si="10"/>
        <v>1D</v>
      </c>
      <c r="X88" s="101">
        <f>_xll.qlCalendarAdvance(Calendar,X87,W88,"f",FALSE)</f>
        <v>42376</v>
      </c>
      <c r="Y88" s="104">
        <f>_xll.qlCalendarAdvance(Calendar,X88,NDays&amp;"D")</f>
        <v>42380</v>
      </c>
      <c r="Z88" s="105">
        <v>-3.1884835609904197E-3</v>
      </c>
      <c r="AA88" s="102">
        <v>-3.1238009947553991E-3</v>
      </c>
    </row>
    <row r="89" spans="19:27" x14ac:dyDescent="0.2">
      <c r="S89" s="61"/>
      <c r="T89" s="82"/>
      <c r="W89" s="103" t="str">
        <f t="shared" si="10"/>
        <v>1D</v>
      </c>
      <c r="X89" s="101">
        <f>_xll.qlCalendarAdvance(Calendar,X88,W89,"f",FALSE)</f>
        <v>42377</v>
      </c>
      <c r="Y89" s="104">
        <f>_xll.qlCalendarAdvance(Calendar,X89,NDays&amp;"D")</f>
        <v>42381</v>
      </c>
      <c r="Z89" s="105">
        <v>-3.1894748335024063E-3</v>
      </c>
      <c r="AA89" s="102">
        <v>-3.126273722338091E-3</v>
      </c>
    </row>
    <row r="90" spans="19:27" x14ac:dyDescent="0.2">
      <c r="S90" s="61"/>
      <c r="T90" s="82"/>
      <c r="W90" s="103" t="str">
        <f t="shared" si="10"/>
        <v>1D</v>
      </c>
      <c r="X90" s="101">
        <f>_xll.qlCalendarAdvance(Calendar,X89,W90,"f",FALSE)</f>
        <v>42380</v>
      </c>
      <c r="Y90" s="104">
        <f>_xll.qlCalendarAdvance(Calendar,X90,NDays&amp;"D")</f>
        <v>42382</v>
      </c>
      <c r="Z90" s="105">
        <v>-3.1904249611413894E-3</v>
      </c>
      <c r="AA90" s="102">
        <v>-3.1310869116252249E-3</v>
      </c>
    </row>
    <row r="91" spans="19:27" x14ac:dyDescent="0.2">
      <c r="S91" s="61"/>
      <c r="T91" s="82"/>
      <c r="W91" s="103" t="str">
        <f t="shared" si="10"/>
        <v>1D</v>
      </c>
      <c r="X91" s="101">
        <f>_xll.qlCalendarAdvance(Calendar,X90,W91,"f",FALSE)</f>
        <v>42381</v>
      </c>
      <c r="Y91" s="104">
        <f>_xll.qlCalendarAdvance(Calendar,X91,NDays&amp;"D")</f>
        <v>42383</v>
      </c>
      <c r="Z91" s="105">
        <v>-3.1913335861632054E-3</v>
      </c>
      <c r="AA91" s="102">
        <v>-3.1358495335620518E-3</v>
      </c>
    </row>
    <row r="92" spans="19:27" x14ac:dyDescent="0.2">
      <c r="S92" s="61"/>
      <c r="T92" s="82"/>
      <c r="W92" s="103" t="str">
        <f t="shared" si="10"/>
        <v>1D</v>
      </c>
      <c r="X92" s="101">
        <f>_xll.qlCalendarAdvance(Calendar,X91,W92,"f",FALSE)</f>
        <v>42382</v>
      </c>
      <c r="Y92" s="104">
        <f>_xll.qlCalendarAdvance(Calendar,X92,NDays&amp;"D")</f>
        <v>42384</v>
      </c>
      <c r="Z92" s="105">
        <v>-3.192200350825008E-3</v>
      </c>
      <c r="AA92" s="102">
        <v>-3.1381647116912603E-3</v>
      </c>
    </row>
    <row r="93" spans="19:27" x14ac:dyDescent="0.2">
      <c r="S93" s="61"/>
      <c r="T93" s="82"/>
      <c r="W93" s="103" t="str">
        <f t="shared" si="10"/>
        <v>1D</v>
      </c>
      <c r="X93" s="101">
        <f>_xll.qlCalendarAdvance(Calendar,X92,W93,"f",FALSE)</f>
        <v>42383</v>
      </c>
      <c r="Y93" s="104">
        <f>_xll.qlCalendarAdvance(Calendar,X93,NDays&amp;"D")</f>
        <v>42387</v>
      </c>
      <c r="Z93" s="105">
        <v>-3.1945459051955193E-3</v>
      </c>
      <c r="AA93" s="102">
        <v>-3.1404483798258553E-3</v>
      </c>
    </row>
    <row r="94" spans="19:27" x14ac:dyDescent="0.2">
      <c r="S94" s="61"/>
      <c r="T94" s="82"/>
      <c r="W94" s="103" t="str">
        <f t="shared" si="10"/>
        <v>1D</v>
      </c>
      <c r="X94" s="101">
        <f>_xll.qlCalendarAdvance(Calendar,X93,W94,"f",FALSE)</f>
        <v>42384</v>
      </c>
      <c r="Y94" s="104">
        <f>_xll.qlCalendarAdvance(Calendar,X94,NDays&amp;"D")</f>
        <v>42388</v>
      </c>
      <c r="Z94" s="105">
        <v>-3.1952416509576208E-3</v>
      </c>
      <c r="AA94" s="102">
        <v>-3.1427005379258688E-3</v>
      </c>
    </row>
    <row r="95" spans="19:27" x14ac:dyDescent="0.2">
      <c r="S95" s="61"/>
      <c r="T95" s="82"/>
      <c r="W95" s="103" t="str">
        <f t="shared" si="10"/>
        <v>1D</v>
      </c>
      <c r="X95" s="101">
        <f>_xll.qlCalendarAdvance(Calendar,X94,W95,"f",FALSE)</f>
        <v>42387</v>
      </c>
      <c r="Y95" s="104">
        <f>_xll.qlCalendarAdvance(Calendar,X95,NDays&amp;"D")</f>
        <v>42389</v>
      </c>
      <c r="Z95" s="105">
        <v>-3.1958937476243951E-3</v>
      </c>
      <c r="AA95" s="102">
        <v>-3.1470723096305164E-3</v>
      </c>
    </row>
    <row r="96" spans="19:27" x14ac:dyDescent="0.2">
      <c r="S96" s="61"/>
      <c r="T96" s="82"/>
      <c r="W96" s="103" t="str">
        <f t="shared" si="10"/>
        <v>1D</v>
      </c>
      <c r="X96" s="101">
        <f>_xll.qlCalendarAdvance(Calendar,X95,W96,"f",FALSE)</f>
        <v>42388</v>
      </c>
      <c r="Y96" s="104">
        <f>_xll.qlCalendarAdvance(Calendar,X96,NDays&amp;"D")</f>
        <v>42390</v>
      </c>
      <c r="Z96" s="105">
        <v>-3.1965018374450903E-3</v>
      </c>
      <c r="AA96" s="102">
        <v>-3.15139407153886E-3</v>
      </c>
    </row>
    <row r="97" spans="19:27" x14ac:dyDescent="0.2">
      <c r="S97" s="61"/>
      <c r="T97" s="82"/>
      <c r="W97" s="103" t="str">
        <f t="shared" si="10"/>
        <v>1D</v>
      </c>
      <c r="X97" s="101">
        <f>_xll.qlCalendarAdvance(Calendar,X96,W97,"f",FALSE)</f>
        <v>42389</v>
      </c>
      <c r="Y97" s="104">
        <f>_xll.qlCalendarAdvance(Calendar,X97,NDays&amp;"D")</f>
        <v>42391</v>
      </c>
      <c r="Z97" s="105">
        <v>-3.1970655626689538E-3</v>
      </c>
      <c r="AA97" s="102">
        <v>-3.1534886802253581E-3</v>
      </c>
    </row>
    <row r="98" spans="19:27" x14ac:dyDescent="0.2">
      <c r="S98" s="61"/>
      <c r="T98" s="82"/>
      <c r="W98" s="103" t="str">
        <f t="shared" si="10"/>
        <v>1D</v>
      </c>
      <c r="X98" s="101">
        <f>_xll.qlCalendarAdvance(Calendar,X97,W98,"f",FALSE)</f>
        <v>42390</v>
      </c>
      <c r="Y98" s="104">
        <f>_xll.qlCalendarAdvance(Calendar,X98,NDays&amp;"D")</f>
        <v>42394</v>
      </c>
      <c r="Z98" s="105">
        <v>-3.1984869732212908E-3</v>
      </c>
      <c r="AA98" s="102">
        <v>-3.1555517789172427E-3</v>
      </c>
    </row>
    <row r="99" spans="19:27" x14ac:dyDescent="0.2">
      <c r="S99" s="61"/>
      <c r="T99" s="82"/>
      <c r="W99" s="103" t="str">
        <f t="shared" si="10"/>
        <v>1D</v>
      </c>
      <c r="X99" s="101">
        <f>_xll.qlCalendarAdvance(Calendar,X98,W99,"f",FALSE)</f>
        <v>42391</v>
      </c>
      <c r="Y99" s="104">
        <f>_xll.qlCalendarAdvance(Calendar,X99,NDays&amp;"D")</f>
        <v>42395</v>
      </c>
      <c r="Z99" s="105">
        <v>-3.1988696625147323E-3</v>
      </c>
      <c r="AA99" s="102">
        <v>-3.1575833676145137E-3</v>
      </c>
    </row>
    <row r="100" spans="19:27" x14ac:dyDescent="0.2">
      <c r="S100" s="61"/>
      <c r="T100" s="82"/>
      <c r="W100" s="103" t="str">
        <f t="shared" si="10"/>
        <v>1D</v>
      </c>
      <c r="X100" s="101">
        <f>_xll.qlCalendarAdvance(Calendar,X99,W100,"f",FALSE)</f>
        <v>42394</v>
      </c>
      <c r="Y100" s="104">
        <f>_xll.qlCalendarAdvance(Calendar,X100,NDays&amp;"D")</f>
        <v>42396</v>
      </c>
      <c r="Z100" s="105">
        <v>-3.1992061984303507E-3</v>
      </c>
      <c r="AA100" s="102">
        <v>-3.1615137474361177E-3</v>
      </c>
    </row>
    <row r="101" spans="19:27" x14ac:dyDescent="0.2">
      <c r="S101" s="61"/>
      <c r="T101" s="82"/>
      <c r="W101" s="103" t="str">
        <f t="shared" si="10"/>
        <v>1D</v>
      </c>
      <c r="X101" s="101">
        <f>_xll.qlCalendarAdvance(Calendar,X100,W101,"f",FALSE)</f>
        <v>42395</v>
      </c>
      <c r="Y101" s="104">
        <f>_xll.qlCalendarAdvance(Calendar,X101,NDays&amp;"D")</f>
        <v>42397</v>
      </c>
      <c r="Z101" s="105">
        <v>-3.1994962232116844E-3</v>
      </c>
      <c r="AA101" s="102">
        <v>-3.1653946236565034E-3</v>
      </c>
    </row>
    <row r="102" spans="19:27" x14ac:dyDescent="0.2">
      <c r="S102" s="61"/>
      <c r="T102" s="82"/>
      <c r="W102" s="103" t="str">
        <f t="shared" si="10"/>
        <v>1D</v>
      </c>
      <c r="X102" s="101">
        <f>_xll.qlCalendarAdvance(Calendar,X101,W102,"f",FALSE)</f>
        <v>42396</v>
      </c>
      <c r="Y102" s="104">
        <f>_xll.qlCalendarAdvance(Calendar,X102,NDays&amp;"D")</f>
        <v>42398</v>
      </c>
      <c r="Z102" s="105">
        <v>-3.1997393790965619E-3</v>
      </c>
      <c r="AA102" s="102">
        <v>-3.1672686629002911E-3</v>
      </c>
    </row>
    <row r="103" spans="19:27" x14ac:dyDescent="0.2">
      <c r="S103" s="61"/>
      <c r="T103" s="82"/>
      <c r="W103" s="103" t="str">
        <f t="shared" si="10"/>
        <v>1D</v>
      </c>
      <c r="X103" s="101">
        <f>_xll.qlCalendarAdvance(Calendar,X102,W103,"f",FALSE)</f>
        <v>42397</v>
      </c>
      <c r="Y103" s="104">
        <f>_xll.qlCalendarAdvance(Calendar,X103,NDays&amp;"D")</f>
        <v>42401</v>
      </c>
      <c r="Z103" s="105">
        <v>-3.2001840557296601E-3</v>
      </c>
      <c r="AA103" s="102">
        <v>-3.1691111922294013E-3</v>
      </c>
    </row>
    <row r="104" spans="19:27" x14ac:dyDescent="0.2">
      <c r="S104" s="61"/>
      <c r="T104" s="82"/>
      <c r="W104" s="103" t="str">
        <f t="shared" si="10"/>
        <v>1D</v>
      </c>
      <c r="X104" s="101">
        <f>_xll.qlCalendarAdvance(Calendar,X103,W104,"f",FALSE)</f>
        <v>42398</v>
      </c>
      <c r="Y104" s="104">
        <f>_xll.qlCalendarAdvance(Calendar,X104,NDays&amp;"D")</f>
        <v>42402</v>
      </c>
      <c r="Z104" s="105">
        <v>-3.2005987470808961E-3</v>
      </c>
      <c r="AA104" s="102">
        <v>-3.170922211603866E-3</v>
      </c>
    </row>
    <row r="105" spans="19:27" x14ac:dyDescent="0.2">
      <c r="S105" s="61"/>
      <c r="T105" s="82"/>
      <c r="W105" s="103" t="str">
        <f t="shared" si="10"/>
        <v>1D</v>
      </c>
      <c r="X105" s="101">
        <f>_xll.qlCalendarAdvance(Calendar,X104,W105,"f",FALSE)</f>
        <v>42401</v>
      </c>
      <c r="Y105" s="104">
        <f>_xll.qlCalendarAdvance(Calendar,X105,NDays&amp;"D")</f>
        <v>42403</v>
      </c>
      <c r="Z105" s="105">
        <v>-3.2006306229335202E-3</v>
      </c>
      <c r="AA105" s="102">
        <v>-3.1744112256149037E-3</v>
      </c>
    </row>
    <row r="106" spans="19:27" x14ac:dyDescent="0.2">
      <c r="S106" s="61"/>
      <c r="T106" s="82"/>
      <c r="W106" s="103" t="str">
        <f t="shared" si="10"/>
        <v>1D</v>
      </c>
      <c r="X106" s="101">
        <f>_xll.qlCalendarAdvance(Calendar,X105,W106,"f",FALSE)</f>
        <v>42402</v>
      </c>
      <c r="Y106" s="104">
        <f>_xll.qlCalendarAdvance(Calendar,X106,NDays&amp;"D")</f>
        <v>42404</v>
      </c>
      <c r="Z106" s="105">
        <v>-3.2006136498150539E-3</v>
      </c>
      <c r="AA106" s="102">
        <v>-3.1778511901547901E-3</v>
      </c>
    </row>
    <row r="107" spans="19:27" x14ac:dyDescent="0.2">
      <c r="S107" s="61"/>
      <c r="T107" s="82"/>
      <c r="W107" s="103" t="str">
        <f t="shared" si="10"/>
        <v>1D</v>
      </c>
      <c r="X107" s="101">
        <f>_xll.qlCalendarAdvance(Calendar,X106,W107,"f",FALSE)</f>
        <v>42403</v>
      </c>
      <c r="Y107" s="104">
        <f>_xll.qlCalendarAdvance(Calendar,X107,NDays&amp;"D")</f>
        <v>42405</v>
      </c>
      <c r="Z107" s="105">
        <v>-3.2000990888692992E-3</v>
      </c>
      <c r="AA107" s="102">
        <v>-3.1795046600358035E-3</v>
      </c>
    </row>
    <row r="108" spans="19:27" x14ac:dyDescent="0.2">
      <c r="S108" s="61"/>
      <c r="T108" s="82"/>
      <c r="W108" s="103" t="str">
        <f t="shared" si="10"/>
        <v>1D</v>
      </c>
      <c r="X108" s="101">
        <f>_xll.qlCalendarAdvance(Calendar,X107,W108,"f",FALSE)</f>
        <v>42404</v>
      </c>
      <c r="Y108" s="104">
        <f>_xll.qlCalendarAdvance(Calendar,X108,NDays&amp;"D")</f>
        <v>42408</v>
      </c>
      <c r="Z108" s="105">
        <v>-3.1995144399075285E-3</v>
      </c>
      <c r="AA108" s="102">
        <v>-3.1811266199222032E-3</v>
      </c>
    </row>
    <row r="109" spans="19:27" x14ac:dyDescent="0.2">
      <c r="S109" s="61"/>
      <c r="T109" s="82"/>
      <c r="W109" s="103" t="str">
        <f t="shared" si="10"/>
        <v>1D</v>
      </c>
      <c r="X109" s="101">
        <f>_xll.qlCalendarAdvance(Calendar,X108,W109,"f",FALSE)</f>
        <v>42405</v>
      </c>
      <c r="Y109" s="104">
        <f>_xll.qlCalendarAdvance(Calendar,X109,NDays&amp;"D")</f>
        <v>42409</v>
      </c>
      <c r="Z109" s="105">
        <v>-3.1997833883363747E-3</v>
      </c>
      <c r="AA109" s="102">
        <v>-3.1827170699738616E-3</v>
      </c>
    </row>
    <row r="110" spans="19:27" x14ac:dyDescent="0.2">
      <c r="S110" s="61"/>
      <c r="T110" s="82"/>
      <c r="W110" s="103" t="str">
        <f t="shared" si="10"/>
        <v>1D</v>
      </c>
      <c r="X110" s="101">
        <f>_xll.qlCalendarAdvance(Calendar,X109,W110,"f",FALSE)</f>
        <v>42408</v>
      </c>
      <c r="Y110" s="104">
        <f>_xll.qlCalendarAdvance(Calendar,X110,NDays&amp;"D")</f>
        <v>42410</v>
      </c>
      <c r="Z110" s="105">
        <v>-3.1994657245677516E-3</v>
      </c>
      <c r="AA110" s="102">
        <v>-3.185764744686459E-3</v>
      </c>
    </row>
    <row r="111" spans="19:27" x14ac:dyDescent="0.2">
      <c r="S111" s="61"/>
      <c r="T111" s="82"/>
      <c r="W111" s="103" t="str">
        <f t="shared" si="10"/>
        <v>1D</v>
      </c>
      <c r="X111" s="101">
        <f>_xll.qlCalendarAdvance(Calendar,X110,W111,"f",FALSE)</f>
        <v>42409</v>
      </c>
      <c r="Y111" s="104">
        <f>_xll.qlCalendarAdvance(Calendar,X111,NDays&amp;"D")</f>
        <v>42411</v>
      </c>
      <c r="Z111" s="105">
        <v>-3.199096679534108E-3</v>
      </c>
      <c r="AA111" s="102">
        <v>-3.1887637711136563E-3</v>
      </c>
    </row>
    <row r="112" spans="19:27" x14ac:dyDescent="0.2">
      <c r="S112" s="61"/>
      <c r="T112" s="82"/>
      <c r="W112" s="103" t="str">
        <f t="shared" si="10"/>
        <v>1D</v>
      </c>
      <c r="X112" s="101">
        <f>_xll.qlCalendarAdvance(Calendar,X111,W112,"f",FALSE)</f>
        <v>42410</v>
      </c>
      <c r="Y112" s="104">
        <f>_xll.qlCalendarAdvance(Calendar,X112,NDays&amp;"D")</f>
        <v>42412</v>
      </c>
      <c r="Z112" s="105">
        <v>-3.198675891471936E-3</v>
      </c>
      <c r="AA112" s="102">
        <v>-3.1901966715919272E-3</v>
      </c>
    </row>
    <row r="113" spans="19:27" x14ac:dyDescent="0.2">
      <c r="S113" s="61"/>
      <c r="T113" s="82"/>
      <c r="W113" s="103" t="str">
        <f t="shared" si="10"/>
        <v>1D</v>
      </c>
      <c r="X113" s="101">
        <f>_xll.qlCalendarAdvance(Calendar,X112,W113,"f",FALSE)</f>
        <v>42411</v>
      </c>
      <c r="Y113" s="104">
        <f>_xll.qlCalendarAdvance(Calendar,X113,NDays&amp;"D")</f>
        <v>42415</v>
      </c>
      <c r="Z113" s="105">
        <v>-3.1955904207223045E-3</v>
      </c>
      <c r="AA113" s="102">
        <v>-3.1915980621954887E-3</v>
      </c>
    </row>
    <row r="114" spans="19:27" x14ac:dyDescent="0.2">
      <c r="S114" s="61"/>
      <c r="T114" s="82"/>
      <c r="W114" s="103" t="str">
        <f t="shared" si="10"/>
        <v>1D</v>
      </c>
      <c r="X114" s="101">
        <f>_xll.qlCalendarAdvance(Calendar,X113,W114,"f",FALSE)</f>
        <v>42412</v>
      </c>
      <c r="Y114" s="104">
        <f>_xll.qlCalendarAdvance(Calendar,X114,NDays&amp;"D")</f>
        <v>42416</v>
      </c>
      <c r="Z114" s="105">
        <v>-3.1956937452734505E-3</v>
      </c>
      <c r="AA114" s="102">
        <v>-3.1929679429243407E-3</v>
      </c>
    </row>
    <row r="115" spans="19:27" x14ac:dyDescent="0.2">
      <c r="S115" s="61"/>
      <c r="T115" s="82"/>
      <c r="W115" s="103" t="str">
        <f t="shared" si="10"/>
        <v>1D</v>
      </c>
      <c r="X115" s="101">
        <f>_xll.qlCalendarAdvance(Calendar,X114,W115,"f",FALSE)</f>
        <v>42415</v>
      </c>
      <c r="Y115" s="104">
        <f>_xll.qlCalendarAdvance(Calendar,X115,NDays&amp;"D")</f>
        <v>42417</v>
      </c>
      <c r="Z115" s="105">
        <v>-3.1957831438051976E-3</v>
      </c>
      <c r="AA115" s="102">
        <v>-3.1955743050904317E-3</v>
      </c>
    </row>
    <row r="116" spans="19:27" x14ac:dyDescent="0.2">
      <c r="S116" s="61"/>
      <c r="T116" s="82"/>
      <c r="W116" s="103" t="str">
        <f t="shared" si="10"/>
        <v>1D</v>
      </c>
      <c r="X116" s="101">
        <f>_xll.qlCalendarAdvance(Calendar,X115,W116,"f",FALSE)</f>
        <v>42416</v>
      </c>
      <c r="Y116" s="104">
        <f>_xll.qlCalendarAdvance(Calendar,X116,NDays&amp;"D")</f>
        <v>42418</v>
      </c>
      <c r="Z116" s="105">
        <v>-3.1950443003871953E-3</v>
      </c>
      <c r="AA116" s="102">
        <v>-3.198132366692974E-3</v>
      </c>
    </row>
    <row r="117" spans="19:27" x14ac:dyDescent="0.2">
      <c r="S117" s="61"/>
      <c r="T117" s="82"/>
      <c r="W117" s="103" t="str">
        <f t="shared" si="10"/>
        <v>1D</v>
      </c>
      <c r="X117" s="101">
        <f>_xll.qlCalendarAdvance(Calendar,X116,W117,"f",FALSE)</f>
        <v>42417</v>
      </c>
      <c r="Y117" s="104">
        <f>_xll.qlCalendarAdvance(Calendar,X117,NDays&amp;"D")</f>
        <v>42419</v>
      </c>
      <c r="Z117" s="105">
        <v>-3.1942511815241659E-3</v>
      </c>
      <c r="AA117" s="102">
        <v>-3.1993446979283746E-3</v>
      </c>
    </row>
    <row r="118" spans="19:27" x14ac:dyDescent="0.2">
      <c r="S118" s="61"/>
      <c r="T118" s="82"/>
      <c r="W118" s="103" t="str">
        <f t="shared" si="10"/>
        <v>1D</v>
      </c>
      <c r="X118" s="101">
        <f>_xll.qlCalendarAdvance(Calendar,X117,W118,"f",FALSE)</f>
        <v>42418</v>
      </c>
      <c r="Y118" s="104">
        <f>_xll.qlCalendarAdvance(Calendar,X118,NDays&amp;"D")</f>
        <v>42422</v>
      </c>
      <c r="Z118" s="105">
        <v>-3.1905842403039961E-3</v>
      </c>
      <c r="AA118" s="102">
        <v>-3.2005255191291937E-3</v>
      </c>
    </row>
    <row r="119" spans="19:27" x14ac:dyDescent="0.2">
      <c r="S119" s="61"/>
      <c r="T119" s="82"/>
      <c r="W119" s="103" t="str">
        <f t="shared" si="10"/>
        <v>1D</v>
      </c>
      <c r="X119" s="101">
        <f>_xll.qlCalendarAdvance(Calendar,X118,W119,"f",FALSE)</f>
        <v>42419</v>
      </c>
      <c r="Y119" s="104">
        <f>_xll.qlCalendarAdvance(Calendar,X119,NDays&amp;"D")</f>
        <v>42423</v>
      </c>
      <c r="Z119" s="105">
        <v>-3.1905287159359474E-3</v>
      </c>
      <c r="AA119" s="102">
        <v>-3.2016748306151754E-3</v>
      </c>
    </row>
    <row r="120" spans="19:27" x14ac:dyDescent="0.2">
      <c r="S120" s="61"/>
      <c r="T120" s="82"/>
      <c r="W120" s="103" t="str">
        <f t="shared" si="10"/>
        <v>1D</v>
      </c>
      <c r="X120" s="101">
        <f>_xll.qlCalendarAdvance(Calendar,X119,W120,"f",FALSE)</f>
        <v>42422</v>
      </c>
      <c r="Y120" s="104">
        <f>_xll.qlCalendarAdvance(Calendar,X120,NDays&amp;"D")</f>
        <v>42424</v>
      </c>
      <c r="Z120" s="105">
        <v>-3.1894587930558771E-3</v>
      </c>
      <c r="AA120" s="102">
        <v>-3.2038399071598889E-3</v>
      </c>
    </row>
    <row r="121" spans="19:27" x14ac:dyDescent="0.2">
      <c r="S121" s="61"/>
      <c r="T121" s="82"/>
      <c r="W121" s="103" t="str">
        <f t="shared" si="10"/>
        <v>1D</v>
      </c>
      <c r="X121" s="101">
        <f>_xll.qlCalendarAdvance(Calendar,X120,W121,"f",FALSE)</f>
        <v>42423</v>
      </c>
      <c r="Y121" s="104">
        <f>_xll.qlCalendarAdvance(Calendar,X121,NDays&amp;"D")</f>
        <v>42425</v>
      </c>
      <c r="Z121" s="105">
        <v>-3.1883324239956323E-3</v>
      </c>
      <c r="AA121" s="102">
        <v>-3.2059569770925833E-3</v>
      </c>
    </row>
    <row r="122" spans="19:27" x14ac:dyDescent="0.2">
      <c r="S122" s="61"/>
      <c r="T122" s="82"/>
      <c r="W122" s="103" t="str">
        <f t="shared" si="10"/>
        <v>1D</v>
      </c>
      <c r="X122" s="101">
        <f>_xll.qlCalendarAdvance(Calendar,X121,W122,"f",FALSE)</f>
        <v>42424</v>
      </c>
      <c r="Y122" s="104">
        <f>_xll.qlCalendarAdvance(Calendar,X122,NDays&amp;"D")</f>
        <v>42426</v>
      </c>
      <c r="Z122" s="105">
        <v>-3.1871492469535134E-3</v>
      </c>
      <c r="AA122" s="102">
        <v>-3.2069487390051776E-3</v>
      </c>
    </row>
    <row r="123" spans="19:27" x14ac:dyDescent="0.2">
      <c r="S123" s="61"/>
      <c r="T123" s="82"/>
      <c r="W123" s="103" t="str">
        <f t="shared" si="10"/>
        <v>1D</v>
      </c>
      <c r="X123" s="101">
        <f>_xll.qlCalendarAdvance(Calendar,X122,W123,"f",FALSE)</f>
        <v>42425</v>
      </c>
      <c r="Y123" s="104">
        <f>_xll.qlCalendarAdvance(Calendar,X123,NDays&amp;"D")</f>
        <v>42429</v>
      </c>
      <c r="Z123" s="105">
        <v>-3.1808798959466057E-3</v>
      </c>
      <c r="AA123" s="102">
        <v>-3.2079089908831904E-3</v>
      </c>
    </row>
    <row r="124" spans="19:27" x14ac:dyDescent="0.2">
      <c r="S124" s="61"/>
      <c r="T124" s="82"/>
      <c r="W124" s="103" t="str">
        <f t="shared" si="10"/>
        <v>1D</v>
      </c>
      <c r="X124" s="101">
        <f>_xll.qlCalendarAdvance(Calendar,X123,W124,"f",FALSE)</f>
        <v>42426</v>
      </c>
      <c r="Y124" s="104">
        <f>_xll.qlCalendarAdvance(Calendar,X124,NDays&amp;"D")</f>
        <v>42430</v>
      </c>
      <c r="Z124" s="105">
        <v>-3.1794027964113119E-3</v>
      </c>
      <c r="AA124" s="102">
        <v>-3.2088377330463658E-3</v>
      </c>
    </row>
    <row r="125" spans="19:27" x14ac:dyDescent="0.2">
      <c r="S125" s="61"/>
      <c r="T125" s="82"/>
      <c r="W125" s="103" t="str">
        <f t="shared" si="10"/>
        <v>1D</v>
      </c>
      <c r="X125" s="101">
        <f>_xll.qlCalendarAdvance(Calendar,X124,W125,"f",FALSE)</f>
        <v>42429</v>
      </c>
      <c r="Y125" s="104">
        <f>_xll.qlCalendarAdvance(Calendar,X125,NDays&amp;"D")</f>
        <v>42431</v>
      </c>
      <c r="Z125" s="105">
        <v>-3.177866962837081E-3</v>
      </c>
      <c r="AA125" s="102">
        <v>-3.2105615512678654E-3</v>
      </c>
    </row>
    <row r="126" spans="19:27" x14ac:dyDescent="0.2">
      <c r="S126" s="61"/>
      <c r="T126" s="82"/>
      <c r="W126" s="103" t="str">
        <f t="shared" si="10"/>
        <v>1D</v>
      </c>
      <c r="X126" s="101">
        <f>_xll.qlCalendarAdvance(Calendar,X125,W126,"f",FALSE)</f>
        <v>42430</v>
      </c>
      <c r="Y126" s="104">
        <f>_xll.qlCalendarAdvance(Calendar,X126,NDays&amp;"D")</f>
        <v>42432</v>
      </c>
      <c r="Z126" s="105">
        <v>-3.1762720412744352E-3</v>
      </c>
      <c r="AA126" s="102">
        <v>-3.2122376023924204E-3</v>
      </c>
    </row>
    <row r="127" spans="19:27" x14ac:dyDescent="0.2">
      <c r="S127" s="61"/>
      <c r="T127" s="82"/>
      <c r="W127" s="103" t="str">
        <f t="shared" si="10"/>
        <v>1D</v>
      </c>
      <c r="X127" s="101">
        <f>_xll.qlCalendarAdvance(Calendar,X126,W127,"f",FALSE)</f>
        <v>42431</v>
      </c>
      <c r="Y127" s="104">
        <f>_xll.qlCalendarAdvance(Calendar,X127,NDays&amp;"D")</f>
        <v>42433</v>
      </c>
      <c r="Z127" s="105">
        <v>-3.1719041622157522E-3</v>
      </c>
      <c r="AA127" s="102">
        <v>-3.2130087949022723E-3</v>
      </c>
    </row>
    <row r="128" spans="19:27" x14ac:dyDescent="0.2">
      <c r="S128" s="61"/>
      <c r="T128" s="82"/>
      <c r="W128" s="103" t="str">
        <f t="shared" si="10"/>
        <v>1D</v>
      </c>
      <c r="X128" s="101">
        <f>_xll.qlCalendarAdvance(Calendar,X127,W128,"f",FALSE)</f>
        <v>42432</v>
      </c>
      <c r="Y128" s="104">
        <f>_xll.qlCalendarAdvance(Calendar,X128,NDays&amp;"D")</f>
        <v>42436</v>
      </c>
      <c r="Z128" s="105">
        <v>-3.1692943959863492E-3</v>
      </c>
      <c r="AA128" s="102">
        <v>-3.2137484776173508E-3</v>
      </c>
    </row>
    <row r="129" spans="19:27" x14ac:dyDescent="0.2">
      <c r="S129" s="61"/>
      <c r="T129" s="82"/>
      <c r="W129" s="103" t="str">
        <f t="shared" si="10"/>
        <v>1D</v>
      </c>
      <c r="X129" s="101">
        <f>_xll.qlCalendarAdvance(Calendar,X128,W129,"f",FALSE)</f>
        <v>42433</v>
      </c>
      <c r="Y129" s="104">
        <f>_xll.qlCalendarAdvance(Calendar,X129,NDays&amp;"D")</f>
        <v>42437</v>
      </c>
      <c r="Z129" s="105">
        <v>-3.1673987250930465E-3</v>
      </c>
      <c r="AA129" s="102">
        <v>-3.2144566504577199E-3</v>
      </c>
    </row>
    <row r="130" spans="19:27" x14ac:dyDescent="0.2">
      <c r="S130" s="61"/>
      <c r="T130" s="82"/>
      <c r="W130" s="103" t="str">
        <f t="shared" si="10"/>
        <v>1D</v>
      </c>
      <c r="X130" s="101">
        <f>_xll.qlCalendarAdvance(Calendar,X129,W130,"f",FALSE)</f>
        <v>42436</v>
      </c>
      <c r="Y130" s="104">
        <f>_xll.qlCalendarAdvance(Calendar,X130,NDays&amp;"D")</f>
        <v>42438</v>
      </c>
      <c r="Z130" s="105">
        <v>-3.1654418424332184E-3</v>
      </c>
      <c r="AA130" s="102">
        <v>-3.2157392376408467E-3</v>
      </c>
    </row>
    <row r="131" spans="19:27" x14ac:dyDescent="0.2">
      <c r="S131" s="61"/>
      <c r="T131" s="82"/>
      <c r="W131" s="103" t="str">
        <f t="shared" si="10"/>
        <v>1D</v>
      </c>
      <c r="X131" s="101">
        <f>_xll.qlCalendarAdvance(Calendar,X130,W131,"f",FALSE)</f>
        <v>42437</v>
      </c>
      <c r="Y131" s="104">
        <f>_xll.qlCalendarAdvance(Calendar,X131,NDays&amp;"D")</f>
        <v>42439</v>
      </c>
      <c r="Z131" s="105">
        <v>-3.1634233940317554E-3</v>
      </c>
      <c r="AA131" s="102">
        <v>-3.2169742425125492E-3</v>
      </c>
    </row>
    <row r="132" spans="19:27" x14ac:dyDescent="0.2">
      <c r="S132" s="61"/>
      <c r="T132" s="82"/>
      <c r="W132" s="103" t="str">
        <f t="shared" si="10"/>
        <v>1D</v>
      </c>
      <c r="X132" s="101">
        <f>_xll.qlCalendarAdvance(Calendar,X131,W132,"f",FALSE)</f>
        <v>42438</v>
      </c>
      <c r="Y132" s="104">
        <f>_xll.qlCalendarAdvance(Calendar,X132,NDays&amp;"D")</f>
        <v>42440</v>
      </c>
      <c r="Z132" s="105">
        <v>-3.1581834600409022E-3</v>
      </c>
      <c r="AA132" s="102">
        <v>-3.2175248658994349E-3</v>
      </c>
    </row>
    <row r="133" spans="19:27" x14ac:dyDescent="0.2">
      <c r="S133" s="61"/>
      <c r="T133" s="82"/>
      <c r="W133" s="103" t="str">
        <f t="shared" si="10"/>
        <v>1D</v>
      </c>
      <c r="X133" s="101">
        <f>_xll.qlCalendarAdvance(Calendar,X132,W133,"f",FALSE)</f>
        <v>42439</v>
      </c>
      <c r="Y133" s="104">
        <f>_xll.qlCalendarAdvance(Calendar,X133,NDays&amp;"D")</f>
        <v>42443</v>
      </c>
      <c r="Z133" s="105">
        <v>-3.1547268633887486E-3</v>
      </c>
      <c r="AA133" s="102">
        <v>-3.2180385487556862E-3</v>
      </c>
    </row>
    <row r="134" spans="19:27" x14ac:dyDescent="0.2">
      <c r="S134" s="61"/>
      <c r="T134" s="82"/>
      <c r="W134" s="103" t="str">
        <f t="shared" si="10"/>
        <v>1D</v>
      </c>
      <c r="X134" s="101">
        <f>_xll.qlCalendarAdvance(Calendar,X133,W134,"f",FALSE)</f>
        <v>42440</v>
      </c>
      <c r="Y134" s="104">
        <f>_xll.qlCalendarAdvance(Calendar,X134,NDays&amp;"D")</f>
        <v>42444</v>
      </c>
      <c r="Z134" s="105">
        <v>-3.1523952765286443E-3</v>
      </c>
      <c r="AA134" s="102">
        <v>-3.2184935689372196E-3</v>
      </c>
    </row>
    <row r="135" spans="19:27" x14ac:dyDescent="0.2">
      <c r="S135" s="61"/>
      <c r="T135" s="82"/>
      <c r="W135" s="103" t="str">
        <f t="shared" si="10"/>
        <v>1D</v>
      </c>
      <c r="X135" s="101">
        <f>_xll.qlCalendarAdvance(Calendar,X134,W135,"f",FALSE)</f>
        <v>42443</v>
      </c>
      <c r="Y135" s="104">
        <f>_xll.qlCalendarAdvance(Calendar,X135,NDays&amp;"D")</f>
        <v>42445</v>
      </c>
      <c r="Z135" s="105">
        <v>-3.1499999999997836E-3</v>
      </c>
      <c r="AA135" s="102">
        <v>-3.2191611788645602E-3</v>
      </c>
    </row>
    <row r="136" spans="19:27" x14ac:dyDescent="0.2">
      <c r="S136" s="61"/>
      <c r="T136" s="82"/>
      <c r="W136" s="103" t="str">
        <f t="shared" si="10"/>
        <v>1D</v>
      </c>
      <c r="X136" s="101">
        <f>_xll.qlCalendarAdvance(Calendar,X135,W136,"f",FALSE)</f>
        <v>42444</v>
      </c>
      <c r="Y136" s="104">
        <f>_xll.qlCalendarAdvance(Calendar,X136,NDays&amp;"D")</f>
        <v>42446</v>
      </c>
      <c r="Z136" s="105">
        <v>-3.1475408198194223E-3</v>
      </c>
      <c r="AA136" s="102">
        <v>-3.2196727179156781E-3</v>
      </c>
    </row>
    <row r="137" spans="19:27" x14ac:dyDescent="0.2">
      <c r="S137" s="61"/>
      <c r="T137" s="82"/>
      <c r="W137" s="103" t="str">
        <f t="shared" si="10"/>
        <v>1D</v>
      </c>
      <c r="X137" s="101">
        <f>_xll.qlCalendarAdvance(Calendar,X136,W137,"f",FALSE)</f>
        <v>42445</v>
      </c>
      <c r="Y137" s="104">
        <f>_xll.qlCalendarAdvance(Calendar,X137,NDays&amp;"D")</f>
        <v>42447</v>
      </c>
      <c r="Z137" s="105">
        <v>-3.1414150852811149E-3</v>
      </c>
      <c r="AA137" s="102">
        <v>-3.219807272283326E-3</v>
      </c>
    </row>
    <row r="138" spans="19:27" x14ac:dyDescent="0.2">
      <c r="S138" s="61"/>
      <c r="T138" s="82"/>
      <c r="W138" s="103" t="str">
        <f t="shared" si="10"/>
        <v>1D</v>
      </c>
      <c r="X138" s="101">
        <f>_xll.qlCalendarAdvance(Calendar,X137,W138,"f",FALSE)</f>
        <v>42446</v>
      </c>
      <c r="Y138" s="104">
        <f>_xll.qlCalendarAdvance(Calendar,X138,NDays&amp;"D")</f>
        <v>42450</v>
      </c>
      <c r="Z138" s="105">
        <v>-3.1370733846168989E-3</v>
      </c>
      <c r="AA138" s="102">
        <v>-3.219877733280363E-3</v>
      </c>
    </row>
    <row r="139" spans="19:27" x14ac:dyDescent="0.2">
      <c r="S139" s="61"/>
      <c r="T139" s="82"/>
      <c r="W139" s="103" t="str">
        <f t="shared" si="10"/>
        <v>1D</v>
      </c>
      <c r="X139" s="101">
        <f>_xll.qlCalendarAdvance(Calendar,X138,W139,"f",FALSE)</f>
        <v>42447</v>
      </c>
      <c r="Y139" s="104">
        <f>_xll.qlCalendarAdvance(Calendar,X139,NDays&amp;"D")</f>
        <v>42451</v>
      </c>
      <c r="Z139" s="105">
        <v>-3.1343012777341607E-3</v>
      </c>
      <c r="AA139" s="102">
        <v>-3.2195828754701949E-3</v>
      </c>
    </row>
    <row r="140" spans="19:27" x14ac:dyDescent="0.2">
      <c r="S140" s="61"/>
      <c r="T140" s="82"/>
      <c r="W140" s="103" t="str">
        <f t="shared" si="10"/>
        <v>1D</v>
      </c>
      <c r="X140" s="101">
        <f>_xll.qlCalendarAdvance(Calendar,X139,W140,"f",FALSE)</f>
        <v>42450</v>
      </c>
      <c r="Y140" s="104">
        <f>_xll.qlCalendarAdvance(Calendar,X140,NDays&amp;"D")</f>
        <v>42452</v>
      </c>
      <c r="Z140" s="105">
        <v>-3.1314680438292832E-3</v>
      </c>
      <c r="AA140" s="102">
        <v>-3.2189545429561761E-3</v>
      </c>
    </row>
    <row r="141" spans="19:27" x14ac:dyDescent="0.2">
      <c r="S141" s="61"/>
      <c r="T141" s="82"/>
      <c r="W141" s="103" t="str">
        <f t="shared" si="10"/>
        <v>1D</v>
      </c>
      <c r="X141" s="101">
        <f>_xll.qlCalendarAdvance(Calendar,X140,W141,"f",FALSE)</f>
        <v>42451</v>
      </c>
      <c r="Y141" s="104">
        <f>_xll.qlCalendarAdvance(Calendar,X141,NDays&amp;"D")</f>
        <v>42453</v>
      </c>
      <c r="Z141" s="105">
        <v>-3.1226180590460118E-3</v>
      </c>
      <c r="AA141" s="102">
        <v>-3.2185763518777222E-3</v>
      </c>
    </row>
    <row r="142" spans="19:27" x14ac:dyDescent="0.2">
      <c r="S142" s="61"/>
      <c r="T142" s="82"/>
      <c r="W142" s="103" t="str">
        <f t="shared" si="10"/>
        <v>1D</v>
      </c>
      <c r="X142" s="101">
        <f>_xll.qlCalendarAdvance(Calendar,X141,W142,"f",FALSE)</f>
        <v>42452</v>
      </c>
      <c r="Y142" s="104">
        <f>_xll.qlCalendarAdvance(Calendar,X142,NDays&amp;"D")</f>
        <v>42458</v>
      </c>
      <c r="Z142" s="105">
        <v>-3.113212194556997E-3</v>
      </c>
      <c r="AA142" s="102">
        <v>-3.2181340673487213E-3</v>
      </c>
    </row>
    <row r="143" spans="19:27" x14ac:dyDescent="0.2">
      <c r="S143" s="61"/>
      <c r="T143" s="82"/>
      <c r="W143" s="103" t="str">
        <f t="shared" si="10"/>
        <v>1D</v>
      </c>
      <c r="X143" s="101">
        <f>_xll.qlCalendarAdvance(Calendar,X142,W143,"f",FALSE)</f>
        <v>42453</v>
      </c>
      <c r="Y143" s="104">
        <f>_xll.qlCalendarAdvance(Calendar,X143,NDays&amp;"D")</f>
        <v>42459</v>
      </c>
      <c r="Z143" s="105">
        <v>-3.1099646822848556E-3</v>
      </c>
      <c r="AA143" s="102">
        <v>-3.2170071066772721E-3</v>
      </c>
    </row>
    <row r="144" spans="19:27" x14ac:dyDescent="0.2">
      <c r="S144" s="61"/>
      <c r="T144" s="82"/>
      <c r="W144" s="103" t="str">
        <f t="shared" si="10"/>
        <v>1D</v>
      </c>
      <c r="X144" s="101">
        <f>_xll.qlCalendarAdvance(Calendar,X143,W144,"f",FALSE)</f>
        <v>42458</v>
      </c>
      <c r="Y144" s="104">
        <f>_xll.qlCalendarAdvance(Calendar,X144,NDays&amp;"D")</f>
        <v>42460</v>
      </c>
      <c r="Z144" s="105">
        <v>-3.1087989416400189E-3</v>
      </c>
      <c r="AA144" s="102">
        <v>-3.215723997964659E-3</v>
      </c>
    </row>
    <row r="145" spans="19:27" x14ac:dyDescent="0.2">
      <c r="S145" s="61"/>
      <c r="T145" s="82"/>
      <c r="W145" s="103" t="str">
        <f t="shared" si="10"/>
        <v>1D</v>
      </c>
      <c r="X145" s="101">
        <f>_xll.qlCalendarAdvance(Calendar,X144,W145,"f",FALSE)</f>
        <v>42459</v>
      </c>
      <c r="Y145" s="104">
        <f>_xll.qlCalendarAdvance(Calendar,X145,NDays&amp;"D")</f>
        <v>42461</v>
      </c>
      <c r="Z145" s="105">
        <v>-3.1054627018149571E-3</v>
      </c>
      <c r="AA145" s="102">
        <v>-3.2149612476617406E-3</v>
      </c>
    </row>
    <row r="146" spans="19:27" x14ac:dyDescent="0.2">
      <c r="S146" s="61"/>
      <c r="T146" s="82"/>
      <c r="W146" s="103" t="str">
        <f t="shared" si="10"/>
        <v>1D</v>
      </c>
      <c r="X146" s="101">
        <f>_xll.qlCalendarAdvance(Calendar,X145,W146,"f",FALSE)</f>
        <v>42460</v>
      </c>
      <c r="Y146" s="104">
        <f>_xll.qlCalendarAdvance(Calendar,X146,NDays&amp;"D")</f>
        <v>42464</v>
      </c>
      <c r="Z146" s="105">
        <v>-3.0951159129439972E-3</v>
      </c>
      <c r="AA146" s="102">
        <v>-3.2141344041480835E-3</v>
      </c>
    </row>
    <row r="147" spans="19:27" x14ac:dyDescent="0.2">
      <c r="S147" s="61"/>
      <c r="T147" s="82"/>
      <c r="W147" s="103" t="str">
        <f t="shared" si="10"/>
        <v>1D</v>
      </c>
      <c r="X147" s="101">
        <f>_xll.qlCalendarAdvance(Calendar,X146,W147,"f",FALSE)</f>
        <v>42461</v>
      </c>
      <c r="Y147" s="104">
        <f>_xll.qlCalendarAdvance(Calendar,X147,NDays&amp;"D")</f>
        <v>42465</v>
      </c>
      <c r="Z147" s="105">
        <v>-3.0915559316562155E-3</v>
      </c>
      <c r="AA147" s="102">
        <v>-3.2132434674636556E-3</v>
      </c>
    </row>
    <row r="148" spans="19:27" x14ac:dyDescent="0.2">
      <c r="S148" s="61"/>
      <c r="T148" s="82"/>
      <c r="W148" s="103" t="str">
        <f t="shared" si="10"/>
        <v>1D</v>
      </c>
      <c r="X148" s="101">
        <f>_xll.qlCalendarAdvance(Calendar,X147,W148,"f",FALSE)</f>
        <v>42464</v>
      </c>
      <c r="Y148" s="104">
        <f>_xll.qlCalendarAdvance(Calendar,X148,NDays&amp;"D")</f>
        <v>42466</v>
      </c>
      <c r="Z148" s="105">
        <v>-3.0879412436005268E-3</v>
      </c>
      <c r="AA148" s="102">
        <v>-3.2112193054123495E-3</v>
      </c>
    </row>
    <row r="149" spans="19:27" x14ac:dyDescent="0.2">
      <c r="S149" s="61"/>
      <c r="T149" s="82"/>
      <c r="W149" s="103" t="str">
        <f t="shared" ref="W149:W212" si="11">W148</f>
        <v>1D</v>
      </c>
      <c r="X149" s="101">
        <f>_xll.qlCalendarAdvance(Calendar,X148,W149,"f",FALSE)</f>
        <v>42465</v>
      </c>
      <c r="Y149" s="104">
        <f>_xll.qlCalendarAdvance(Calendar,X149,NDays&amp;"D")</f>
        <v>42467</v>
      </c>
      <c r="Z149" s="105">
        <v>-3.0842723402150305E-3</v>
      </c>
      <c r="AA149" s="102">
        <v>-3.2090387887384608E-3</v>
      </c>
    </row>
    <row r="150" spans="19:27" x14ac:dyDescent="0.2">
      <c r="S150" s="61"/>
      <c r="T150" s="82"/>
      <c r="W150" s="103" t="str">
        <f t="shared" si="11"/>
        <v>1D</v>
      </c>
      <c r="X150" s="101">
        <f>_xll.qlCalendarAdvance(Calendar,X149,W150,"f",FALSE)</f>
        <v>42466</v>
      </c>
      <c r="Y150" s="104">
        <f>_xll.qlCalendarAdvance(Calendar,X150,NDays&amp;"D")</f>
        <v>42468</v>
      </c>
      <c r="Z150" s="105">
        <v>-3.0805497129382641E-3</v>
      </c>
      <c r="AA150" s="102">
        <v>-3.2078273860802753E-3</v>
      </c>
    </row>
    <row r="151" spans="19:27" x14ac:dyDescent="0.2">
      <c r="S151" s="61"/>
      <c r="T151" s="82"/>
      <c r="W151" s="103" t="str">
        <f t="shared" si="11"/>
        <v>1D</v>
      </c>
      <c r="X151" s="101">
        <f>_xll.qlCalendarAdvance(Calendar,X150,W151,"f",FALSE)</f>
        <v>42467</v>
      </c>
      <c r="Y151" s="104">
        <f>_xll.qlCalendarAdvance(Calendar,X151,NDays&amp;"D")</f>
        <v>42471</v>
      </c>
      <c r="Z151" s="105">
        <v>-3.0690644021321139E-3</v>
      </c>
      <c r="AA151" s="102">
        <v>-3.206551890251319E-3</v>
      </c>
    </row>
    <row r="152" spans="19:27" x14ac:dyDescent="0.2">
      <c r="S152" s="61"/>
      <c r="T152" s="82"/>
      <c r="W152" s="103" t="str">
        <f t="shared" si="11"/>
        <v>1D</v>
      </c>
      <c r="X152" s="101">
        <f>_xll.qlCalendarAdvance(Calendar,X151,W152,"f",FALSE)</f>
        <v>42468</v>
      </c>
      <c r="Y152" s="104">
        <f>_xll.qlCalendarAdvance(Calendar,X152,NDays&amp;"D")</f>
        <v>42472</v>
      </c>
      <c r="Z152" s="105">
        <v>-3.0651317936611572E-3</v>
      </c>
      <c r="AA152" s="102">
        <v>-3.2052123012515921E-3</v>
      </c>
    </row>
    <row r="153" spans="19:27" x14ac:dyDescent="0.2">
      <c r="S153" s="61"/>
      <c r="T153" s="82"/>
      <c r="W153" s="103" t="str">
        <f t="shared" si="11"/>
        <v>1D</v>
      </c>
      <c r="X153" s="101">
        <f>_xll.qlCalendarAdvance(Calendar,X152,W153,"f",FALSE)</f>
        <v>42471</v>
      </c>
      <c r="Y153" s="104">
        <f>_xll.qlCalendarAdvance(Calendar,X153,NDays&amp;"D")</f>
        <v>42473</v>
      </c>
      <c r="Z153" s="105">
        <v>-3.061147918482398E-3</v>
      </c>
      <c r="AA153" s="102">
        <v>-3.2022909935625066E-3</v>
      </c>
    </row>
    <row r="154" spans="19:27" x14ac:dyDescent="0.2">
      <c r="S154" s="61"/>
      <c r="T154" s="82"/>
      <c r="W154" s="103" t="str">
        <f t="shared" si="11"/>
        <v>1D</v>
      </c>
      <c r="X154" s="101">
        <f>_xll.qlCalendarAdvance(Calendar,X153,W154,"f",FALSE)</f>
        <v>42472</v>
      </c>
      <c r="Y154" s="104">
        <f>_xll.qlCalendarAdvance(Calendar,X154,NDays&amp;"D")</f>
        <v>42474</v>
      </c>
      <c r="Z154" s="105">
        <v>-3.0571132680339359E-3</v>
      </c>
      <c r="AA154" s="102">
        <v>-3.1992130131053287E-3</v>
      </c>
    </row>
    <row r="155" spans="19:27" x14ac:dyDescent="0.2">
      <c r="S155" s="61"/>
      <c r="T155" s="82"/>
      <c r="W155" s="103" t="str">
        <f t="shared" si="11"/>
        <v>1D</v>
      </c>
      <c r="X155" s="101">
        <f>_xll.qlCalendarAdvance(Calendar,X154,W155,"f",FALSE)</f>
        <v>42473</v>
      </c>
      <c r="Y155" s="104">
        <f>_xll.qlCalendarAdvance(Calendar,X155,NDays&amp;"D")</f>
        <v>42475</v>
      </c>
      <c r="Z155" s="105">
        <v>-3.0530283337525522E-3</v>
      </c>
      <c r="AA155" s="102">
        <v>-3.197552958131844E-3</v>
      </c>
    </row>
    <row r="156" spans="19:27" x14ac:dyDescent="0.2">
      <c r="S156" s="61"/>
      <c r="T156" s="82"/>
      <c r="W156" s="103" t="str">
        <f t="shared" si="11"/>
        <v>1D</v>
      </c>
      <c r="X156" s="101">
        <f>_xll.qlCalendarAdvance(Calendar,X155,W156,"f",FALSE)</f>
        <v>42474</v>
      </c>
      <c r="Y156" s="104">
        <f>_xll.qlCalendarAdvance(Calendar,X156,NDays&amp;"D")</f>
        <v>42478</v>
      </c>
      <c r="Z156" s="105">
        <v>-3.0404767422729751E-3</v>
      </c>
      <c r="AA156" s="102">
        <v>-3.1958288099076526E-3</v>
      </c>
    </row>
    <row r="157" spans="19:27" x14ac:dyDescent="0.2">
      <c r="S157" s="61"/>
      <c r="T157" s="82"/>
      <c r="W157" s="103" t="str">
        <f t="shared" si="11"/>
        <v>1D</v>
      </c>
      <c r="X157" s="101">
        <f>_xll.qlCalendarAdvance(Calendar,X156,W157,"f",FALSE)</f>
        <v>42475</v>
      </c>
      <c r="Y157" s="104">
        <f>_xll.qlCalendarAdvance(Calendar,X157,NDays&amp;"D")</f>
        <v>42479</v>
      </c>
      <c r="Z157" s="105">
        <v>-3.0361955870272794E-3</v>
      </c>
      <c r="AA157" s="102">
        <v>-3.1940405684727224E-3</v>
      </c>
    </row>
    <row r="158" spans="19:27" x14ac:dyDescent="0.2">
      <c r="S158" s="61"/>
      <c r="T158" s="82"/>
      <c r="W158" s="103" t="str">
        <f t="shared" si="11"/>
        <v>1D</v>
      </c>
      <c r="X158" s="101">
        <f>_xll.qlCalendarAdvance(Calendar,X157,W158,"f",FALSE)</f>
        <v>42478</v>
      </c>
      <c r="Y158" s="104">
        <f>_xll.qlCalendarAdvance(Calendar,X158,NDays&amp;"D")</f>
        <v>42480</v>
      </c>
      <c r="Z158" s="105">
        <v>-3.0318666051325689E-3</v>
      </c>
      <c r="AA158" s="102">
        <v>-3.1902221703949962E-3</v>
      </c>
    </row>
    <row r="159" spans="19:27" x14ac:dyDescent="0.2">
      <c r="S159" s="61"/>
      <c r="T159" s="82"/>
      <c r="W159" s="103" t="str">
        <f t="shared" si="11"/>
        <v>1D</v>
      </c>
      <c r="X159" s="101">
        <f>_xll.qlCalendarAdvance(Calendar,X158,W159,"f",FALSE)</f>
        <v>42479</v>
      </c>
      <c r="Y159" s="104">
        <f>_xll.qlCalendarAdvance(Calendar,X159,NDays&amp;"D")</f>
        <v>42481</v>
      </c>
      <c r="Z159" s="105">
        <v>-3.0274902880295779E-3</v>
      </c>
      <c r="AA159" s="102">
        <v>-3.1862466709053905E-3</v>
      </c>
    </row>
    <row r="160" spans="19:27" x14ac:dyDescent="0.2">
      <c r="S160" s="61"/>
      <c r="T160" s="82"/>
      <c r="W160" s="103" t="str">
        <f t="shared" si="11"/>
        <v>1D</v>
      </c>
      <c r="X160" s="101">
        <f>_xll.qlCalendarAdvance(Calendar,X159,W160,"f",FALSE)</f>
        <v>42480</v>
      </c>
      <c r="Y160" s="104">
        <f>_xll.qlCalendarAdvance(Calendar,X160,NDays&amp;"D")</f>
        <v>42482</v>
      </c>
      <c r="Z160" s="105">
        <v>-3.0230671271559663E-3</v>
      </c>
      <c r="AA160" s="102">
        <v>-3.1841379633767986E-3</v>
      </c>
    </row>
    <row r="161" spans="19:27" x14ac:dyDescent="0.2">
      <c r="S161" s="61"/>
      <c r="T161" s="82"/>
      <c r="W161" s="103" t="str">
        <f t="shared" si="11"/>
        <v>1D</v>
      </c>
      <c r="X161" s="101">
        <f>_xll.qlCalendarAdvance(Calendar,X160,W161,"f",FALSE)</f>
        <v>42481</v>
      </c>
      <c r="Y161" s="104">
        <f>_xll.qlCalendarAdvance(Calendar,X161,NDays&amp;"D")</f>
        <v>42485</v>
      </c>
      <c r="Z161" s="105">
        <v>-3.0095214963033767E-3</v>
      </c>
      <c r="AA161" s="102">
        <v>-3.181965162837308E-3</v>
      </c>
    </row>
    <row r="162" spans="19:27" x14ac:dyDescent="0.2">
      <c r="S162" s="61"/>
      <c r="T162" s="82"/>
      <c r="W162" s="103" t="str">
        <f t="shared" si="11"/>
        <v>1D</v>
      </c>
      <c r="X162" s="101">
        <f>_xll.qlCalendarAdvance(Calendar,X161,W162,"f",FALSE)</f>
        <v>42482</v>
      </c>
      <c r="Y162" s="104">
        <f>_xll.qlCalendarAdvance(Calendar,X162,NDays&amp;"D")</f>
        <v>42486</v>
      </c>
      <c r="Z162" s="105">
        <v>-3.0049158747440835E-3</v>
      </c>
      <c r="AA162" s="102">
        <v>-3.1797282690071427E-3</v>
      </c>
    </row>
    <row r="163" spans="19:27" x14ac:dyDescent="0.2">
      <c r="S163" s="61"/>
      <c r="T163" s="82"/>
      <c r="W163" s="103" t="str">
        <f t="shared" si="11"/>
        <v>1D</v>
      </c>
      <c r="X163" s="101">
        <f>_xll.qlCalendarAdvance(Calendar,X162,W163,"f",FALSE)</f>
        <v>42485</v>
      </c>
      <c r="Y163" s="104">
        <f>_xll.qlCalendarAdvance(Calendar,X163,NDays&amp;"D")</f>
        <v>42487</v>
      </c>
      <c r="Z163" s="105">
        <v>-3.0002658666169629E-3</v>
      </c>
      <c r="AA163" s="102">
        <v>-3.1750128349772311E-3</v>
      </c>
    </row>
    <row r="164" spans="19:27" x14ac:dyDescent="0.2">
      <c r="S164" s="61"/>
      <c r="T164" s="82"/>
      <c r="W164" s="103" t="str">
        <f t="shared" si="11"/>
        <v>1D</v>
      </c>
      <c r="X164" s="101">
        <f>_xll.qlCalendarAdvance(Calendar,X163,W164,"f",FALSE)</f>
        <v>42486</v>
      </c>
      <c r="Y164" s="104">
        <f>_xll.qlCalendarAdvance(Calendar,X164,NDays&amp;"D")</f>
        <v>42488</v>
      </c>
      <c r="Z164" s="105">
        <v>-2.9955719633640659E-3</v>
      </c>
      <c r="AA164" s="102">
        <v>-3.1701397616989979E-3</v>
      </c>
    </row>
    <row r="165" spans="19:27" x14ac:dyDescent="0.2">
      <c r="S165" s="61"/>
      <c r="T165" s="82"/>
      <c r="W165" s="103" t="str">
        <f t="shared" si="11"/>
        <v>1D</v>
      </c>
      <c r="X165" s="101">
        <f>_xll.qlCalendarAdvance(Calendar,X164,W165,"f",FALSE)</f>
        <v>42487</v>
      </c>
      <c r="Y165" s="104">
        <f>_xll.qlCalendarAdvance(Calendar,X165,NDays&amp;"D")</f>
        <v>42489</v>
      </c>
      <c r="Z165" s="105">
        <v>-2.9908346564283235E-3</v>
      </c>
      <c r="AA165" s="102">
        <v>-3.1675824017751708E-3</v>
      </c>
    </row>
    <row r="166" spans="19:27" x14ac:dyDescent="0.2">
      <c r="S166" s="61"/>
      <c r="T166" s="82"/>
      <c r="W166" s="103" t="str">
        <f t="shared" si="11"/>
        <v>1D</v>
      </c>
      <c r="X166" s="101">
        <f>_xll.qlCalendarAdvance(Calendar,X165,W166,"f",FALSE)</f>
        <v>42488</v>
      </c>
      <c r="Y166" s="104">
        <f>_xll.qlCalendarAdvance(Calendar,X166,NDays&amp;"D")</f>
        <v>42492</v>
      </c>
      <c r="Z166" s="105">
        <v>-2.9735948880209974E-3</v>
      </c>
      <c r="AA166" s="102">
        <v>-3.1636042748672821E-3</v>
      </c>
    </row>
    <row r="167" spans="19:27" x14ac:dyDescent="0.2">
      <c r="S167" s="61"/>
      <c r="T167" s="82"/>
      <c r="W167" s="103" t="str">
        <f t="shared" si="11"/>
        <v>1D</v>
      </c>
      <c r="X167" s="101">
        <f>_xll.qlCalendarAdvance(Calendar,X166,W167,"f",FALSE)</f>
        <v>42489</v>
      </c>
      <c r="Y167" s="104">
        <f>_xll.qlCalendarAdvance(Calendar,X167,NDays&amp;"D")</f>
        <v>42493</v>
      </c>
      <c r="Z167" s="105">
        <v>-2.9686739721379589E-3</v>
      </c>
      <c r="AA167" s="102">
        <v>-3.1566629861101703E-3</v>
      </c>
    </row>
    <row r="168" spans="19:27" x14ac:dyDescent="0.2">
      <c r="S168" s="61"/>
      <c r="T168" s="82"/>
      <c r="W168" s="103" t="str">
        <f t="shared" si="11"/>
        <v>1D</v>
      </c>
      <c r="X168" s="101">
        <f>_xll.qlCalendarAdvance(Calendar,X167,W168,"f",FALSE)</f>
        <v>42492</v>
      </c>
      <c r="Y168" s="104">
        <f>_xll.qlCalendarAdvance(Calendar,X168,NDays&amp;"D")</f>
        <v>42494</v>
      </c>
      <c r="Z168" s="105">
        <v>-2.9637123451230632E-3</v>
      </c>
      <c r="AA168" s="102">
        <v>-3.1508922850065346E-3</v>
      </c>
    </row>
    <row r="169" spans="19:27" x14ac:dyDescent="0.2">
      <c r="S169" s="61"/>
      <c r="T169" s="82"/>
      <c r="W169" s="103" t="str">
        <f t="shared" si="11"/>
        <v>1D</v>
      </c>
      <c r="X169" s="101">
        <f>_xll.qlCalendarAdvance(Calendar,X168,W169,"f",FALSE)</f>
        <v>42493</v>
      </c>
      <c r="Y169" s="104">
        <f>_xll.qlCalendarAdvance(Calendar,X169,NDays&amp;"D")</f>
        <v>42496</v>
      </c>
      <c r="Z169" s="105">
        <v>-2.9479846394217697E-3</v>
      </c>
      <c r="AA169" s="102">
        <v>-3.1478862725675683E-3</v>
      </c>
    </row>
    <row r="170" spans="19:27" x14ac:dyDescent="0.2">
      <c r="S170" s="61"/>
      <c r="T170" s="82"/>
      <c r="W170" s="103" t="str">
        <f t="shared" si="11"/>
        <v>1D</v>
      </c>
      <c r="X170" s="101">
        <f>_xll.qlCalendarAdvance(Calendar,X169,W170,"f",FALSE)</f>
        <v>42494</v>
      </c>
      <c r="Y170" s="104">
        <f>_xll.qlCalendarAdvance(Calendar,X170,NDays&amp;"D")</f>
        <v>42499</v>
      </c>
      <c r="Z170" s="105">
        <v>-2.9383105566369392E-3</v>
      </c>
      <c r="AA170" s="102">
        <v>-3.1448161670377672E-3</v>
      </c>
    </row>
    <row r="171" spans="19:27" x14ac:dyDescent="0.2">
      <c r="S171" s="61"/>
      <c r="T171" s="82"/>
      <c r="W171" s="103" t="str">
        <f t="shared" si="11"/>
        <v>1D</v>
      </c>
      <c r="X171" s="101">
        <f>_xll.qlCalendarAdvance(Calendar,X170,W171,"f",FALSE)</f>
        <v>42496</v>
      </c>
      <c r="Y171" s="104">
        <f>_xll.qlCalendarAdvance(Calendar,X171,NDays&amp;"D")</f>
        <v>42500</v>
      </c>
      <c r="Z171" s="105">
        <v>-2.9331148709939125E-3</v>
      </c>
      <c r="AA171" s="102">
        <v>-3.1416819681373553E-3</v>
      </c>
    </row>
    <row r="172" spans="19:27" x14ac:dyDescent="0.2">
      <c r="S172" s="61"/>
      <c r="T172" s="82"/>
      <c r="W172" s="103" t="str">
        <f t="shared" si="11"/>
        <v>1D</v>
      </c>
      <c r="X172" s="101">
        <f>_xll.qlCalendarAdvance(Calendar,X171,W172,"f",FALSE)</f>
        <v>42499</v>
      </c>
      <c r="Y172" s="104">
        <f>_xll.qlCalendarAdvance(Calendar,X172,NDays&amp;"D")</f>
        <v>42501</v>
      </c>
      <c r="Z172" s="105">
        <v>-2.9278818769553822E-3</v>
      </c>
      <c r="AA172" s="102">
        <v>-3.133485092698951E-3</v>
      </c>
    </row>
    <row r="173" spans="19:27" x14ac:dyDescent="0.2">
      <c r="S173" s="61"/>
      <c r="T173" s="82"/>
      <c r="W173" s="103" t="str">
        <f t="shared" si="11"/>
        <v>1D</v>
      </c>
      <c r="X173" s="101">
        <f>_xll.qlCalendarAdvance(Calendar,X172,W173,"f",FALSE)</f>
        <v>42500</v>
      </c>
      <c r="Y173" s="104">
        <f>_xll.qlCalendarAdvance(Calendar,X173,NDays&amp;"D")</f>
        <v>42502</v>
      </c>
      <c r="Z173" s="105">
        <v>-2.9226120606311969E-3</v>
      </c>
      <c r="AA173" s="102">
        <v>-3.1250495754742147E-3</v>
      </c>
    </row>
    <row r="174" spans="19:27" x14ac:dyDescent="0.2">
      <c r="S174" s="61"/>
      <c r="T174" s="82"/>
      <c r="W174" s="103" t="str">
        <f t="shared" si="11"/>
        <v>1D</v>
      </c>
      <c r="X174" s="101">
        <f>_xll.qlCalendarAdvance(Calendar,X173,W174,"f",FALSE)</f>
        <v>42501</v>
      </c>
      <c r="Y174" s="104">
        <f>_xll.qlCalendarAdvance(Calendar,X174,NDays&amp;"D")</f>
        <v>42503</v>
      </c>
      <c r="Z174" s="105">
        <v>-2.9114359486946888E-3</v>
      </c>
      <c r="AA174" s="102">
        <v>-3.1215308171894662E-3</v>
      </c>
    </row>
    <row r="175" spans="19:27" x14ac:dyDescent="0.2">
      <c r="S175" s="61"/>
      <c r="T175" s="82"/>
      <c r="W175" s="103" t="str">
        <f t="shared" si="11"/>
        <v>1D</v>
      </c>
      <c r="X175" s="101">
        <f>_xll.qlCalendarAdvance(Calendar,X174,W175,"f",FALSE)</f>
        <v>42502</v>
      </c>
      <c r="Y175" s="104">
        <f>_xll.qlCalendarAdvance(Calendar,X175,NDays&amp;"D")</f>
        <v>42507</v>
      </c>
      <c r="Z175" s="105">
        <v>-2.8957276587330324E-3</v>
      </c>
      <c r="AA175" s="102">
        <v>-3.1179479657739151E-3</v>
      </c>
    </row>
    <row r="176" spans="19:27" x14ac:dyDescent="0.2">
      <c r="S176" s="61"/>
      <c r="T176" s="82"/>
      <c r="W176" s="103" t="str">
        <f t="shared" si="11"/>
        <v>1D</v>
      </c>
      <c r="X176" s="101">
        <f>_xll.qlCalendarAdvance(Calendar,X175,W176,"f",FALSE)</f>
        <v>42503</v>
      </c>
      <c r="Y176" s="104">
        <f>_xll.qlCalendarAdvance(Calendar,X176,NDays&amp;"D")</f>
        <v>42508</v>
      </c>
      <c r="Z176" s="105">
        <v>-2.8902471171207583E-3</v>
      </c>
      <c r="AA176" s="102">
        <v>-3.1105417419796666E-3</v>
      </c>
    </row>
    <row r="177" spans="19:27" x14ac:dyDescent="0.2">
      <c r="S177" s="61"/>
      <c r="T177" s="82"/>
      <c r="W177" s="103" t="str">
        <f t="shared" si="11"/>
        <v>1D</v>
      </c>
      <c r="X177" s="101">
        <f>_xll.qlCalendarAdvance(Calendar,X176,W177,"f",FALSE)</f>
        <v>42507</v>
      </c>
      <c r="Y177" s="104">
        <f>_xll.qlCalendarAdvance(Calendar,X177,NDays&amp;"D")</f>
        <v>42509</v>
      </c>
      <c r="Z177" s="105">
        <v>-2.8847331560478071E-3</v>
      </c>
      <c r="AA177" s="102">
        <v>-3.1029756274048026E-3</v>
      </c>
    </row>
    <row r="178" spans="19:27" x14ac:dyDescent="0.2">
      <c r="S178" s="61"/>
      <c r="T178" s="82"/>
      <c r="W178" s="103" t="str">
        <f t="shared" si="11"/>
        <v>1D</v>
      </c>
      <c r="X178" s="101">
        <f>_xll.qlCalendarAdvance(Calendar,X177,W178,"f",FALSE)</f>
        <v>42508</v>
      </c>
      <c r="Y178" s="104">
        <f>_xll.qlCalendarAdvance(Calendar,X178,NDays&amp;"D")</f>
        <v>42510</v>
      </c>
      <c r="Z178" s="105">
        <v>-2.8731478562207162E-3</v>
      </c>
      <c r="AA178" s="102">
        <v>-3.0990723097357176E-3</v>
      </c>
    </row>
    <row r="179" spans="19:27" x14ac:dyDescent="0.2">
      <c r="S179" s="61"/>
      <c r="T179" s="82"/>
      <c r="W179" s="103" t="str">
        <f t="shared" si="11"/>
        <v>1D</v>
      </c>
      <c r="X179" s="101">
        <f>_xll.qlCalendarAdvance(Calendar,X178,W179,"f",FALSE)</f>
        <v>42509</v>
      </c>
      <c r="Y179" s="104">
        <f>_xll.qlCalendarAdvance(Calendar,X179,NDays&amp;"D")</f>
        <v>42513</v>
      </c>
      <c r="Z179" s="105">
        <v>-2.8623528396672397E-3</v>
      </c>
      <c r="AA179" s="102">
        <v>-3.0951048987359897E-3</v>
      </c>
    </row>
    <row r="180" spans="19:27" x14ac:dyDescent="0.2">
      <c r="S180" s="61"/>
      <c r="T180" s="82"/>
      <c r="W180" s="103" t="str">
        <f t="shared" si="11"/>
        <v>1D</v>
      </c>
      <c r="X180" s="101">
        <f>_xll.qlCalendarAdvance(Calendar,X179,W180,"f",FALSE)</f>
        <v>42510</v>
      </c>
      <c r="Y180" s="104">
        <f>_xll.qlCalendarAdvance(Calendar,X180,NDays&amp;"D")</f>
        <v>42514</v>
      </c>
      <c r="Z180" s="105">
        <v>-2.8566790731992847E-3</v>
      </c>
      <c r="AA180" s="102">
        <v>-3.0910733946054592E-3</v>
      </c>
    </row>
    <row r="181" spans="19:27" x14ac:dyDescent="0.2">
      <c r="S181" s="61"/>
      <c r="T181" s="82"/>
      <c r="W181" s="103" t="str">
        <f t="shared" si="11"/>
        <v>1D</v>
      </c>
      <c r="X181" s="101">
        <f>_xll.qlCalendarAdvance(Calendar,X180,W181,"f",FALSE)</f>
        <v>42513</v>
      </c>
      <c r="Y181" s="104">
        <f>_xll.qlCalendarAdvance(Calendar,X181,NDays&amp;"D")</f>
        <v>42515</v>
      </c>
      <c r="Z181" s="105">
        <v>-2.8509748040492105E-3</v>
      </c>
      <c r="AA181" s="102">
        <v>-3.0827703431324238E-3</v>
      </c>
    </row>
    <row r="182" spans="19:27" x14ac:dyDescent="0.2">
      <c r="S182" s="61"/>
      <c r="T182" s="82"/>
      <c r="W182" s="103" t="str">
        <f t="shared" si="11"/>
        <v>1D</v>
      </c>
      <c r="X182" s="101">
        <f>_xll.qlCalendarAdvance(Calendar,X181,W182,"f",FALSE)</f>
        <v>42514</v>
      </c>
      <c r="Y182" s="104">
        <f>_xll.qlCalendarAdvance(Calendar,X182,NDays&amp;"D")</f>
        <v>42516</v>
      </c>
      <c r="Z182" s="105">
        <v>-2.8452405183524965E-3</v>
      </c>
      <c r="AA182" s="102">
        <v>-3.074306445256525E-3</v>
      </c>
    </row>
    <row r="183" spans="19:27" x14ac:dyDescent="0.2">
      <c r="S183" s="61"/>
      <c r="T183" s="82"/>
      <c r="W183" s="103" t="str">
        <f t="shared" si="11"/>
        <v>1D</v>
      </c>
      <c r="X183" s="101">
        <f>_xll.qlCalendarAdvance(Calendar,X182,W183,"f",FALSE)</f>
        <v>42515</v>
      </c>
      <c r="Y183" s="104">
        <f>_xll.qlCalendarAdvance(Calendar,X183,NDays&amp;"D")</f>
        <v>42517</v>
      </c>
      <c r="Z183" s="105">
        <v>-2.8332835497516741E-3</v>
      </c>
      <c r="AA183" s="102">
        <v>-3.0699544747525565E-3</v>
      </c>
    </row>
    <row r="184" spans="19:27" x14ac:dyDescent="0.2">
      <c r="S184" s="61"/>
      <c r="T184" s="82"/>
      <c r="W184" s="103" t="str">
        <f t="shared" si="11"/>
        <v>1D</v>
      </c>
      <c r="X184" s="101">
        <f>_xll.qlCalendarAdvance(Calendar,X183,W184,"f",FALSE)</f>
        <v>42516</v>
      </c>
      <c r="Y184" s="104">
        <f>_xll.qlCalendarAdvance(Calendar,X184,NDays&amp;"D")</f>
        <v>42520</v>
      </c>
      <c r="Z184" s="105">
        <v>-2.8220129329257024E-3</v>
      </c>
      <c r="AA184" s="102">
        <v>-3.0655384109978812E-3</v>
      </c>
    </row>
    <row r="185" spans="19:27" x14ac:dyDescent="0.2">
      <c r="S185" s="61"/>
      <c r="T185" s="82"/>
      <c r="W185" s="103" t="str">
        <f t="shared" si="11"/>
        <v>1D</v>
      </c>
      <c r="X185" s="101">
        <f>_xll.qlCalendarAdvance(Calendar,X184,W185,"f",FALSE)</f>
        <v>42517</v>
      </c>
      <c r="Y185" s="104">
        <f>_xll.qlCalendarAdvance(Calendar,X185,NDays&amp;"D")</f>
        <v>42521</v>
      </c>
      <c r="Z185" s="105">
        <v>-2.8161358566331195E-3</v>
      </c>
      <c r="AA185" s="102">
        <v>-3.0610582539924991E-3</v>
      </c>
    </row>
    <row r="186" spans="19:27" x14ac:dyDescent="0.2">
      <c r="S186" s="61"/>
      <c r="T186" s="82"/>
      <c r="W186" s="103" t="str">
        <f t="shared" si="11"/>
        <v>1D</v>
      </c>
      <c r="X186" s="101">
        <f>_xll.qlCalendarAdvance(Calendar,X185,W186,"f",FALSE)</f>
        <v>42520</v>
      </c>
      <c r="Y186" s="104">
        <f>_xll.qlCalendarAdvance(Calendar,X186,NDays&amp;"D")</f>
        <v>42522</v>
      </c>
      <c r="Z186" s="105">
        <v>-2.8102316806623831E-3</v>
      </c>
      <c r="AA186" s="102">
        <v>-3.0518584235483814E-3</v>
      </c>
    </row>
    <row r="187" spans="19:27" x14ac:dyDescent="0.2">
      <c r="S187" s="61"/>
      <c r="T187" s="82"/>
      <c r="W187" s="103" t="str">
        <f t="shared" si="11"/>
        <v>1D</v>
      </c>
      <c r="X187" s="101">
        <f>_xll.qlCalendarAdvance(Calendar,X186,W187,"f",FALSE)</f>
        <v>42521</v>
      </c>
      <c r="Y187" s="104">
        <f>_xll.qlCalendarAdvance(Calendar,X187,NDays&amp;"D")</f>
        <v>42523</v>
      </c>
      <c r="Z187" s="105">
        <v>-2.8043008911680877E-3</v>
      </c>
      <c r="AA187" s="102">
        <v>-3.0424966931441588E-3</v>
      </c>
    </row>
    <row r="188" spans="19:27" x14ac:dyDescent="0.2">
      <c r="S188" s="61"/>
      <c r="T188" s="82"/>
      <c r="W188" s="103" t="str">
        <f t="shared" si="11"/>
        <v>1D</v>
      </c>
      <c r="X188" s="101">
        <f>_xll.qlCalendarAdvance(Calendar,X187,W188,"f",FALSE)</f>
        <v>42522</v>
      </c>
      <c r="Y188" s="104">
        <f>_xll.qlCalendarAdvance(Calendar,X188,NDays&amp;"D")</f>
        <v>42524</v>
      </c>
      <c r="Z188" s="105">
        <v>-2.7920062217505095E-3</v>
      </c>
      <c r="AA188" s="102">
        <v>-3.0376960698053068E-3</v>
      </c>
    </row>
    <row r="189" spans="19:27" x14ac:dyDescent="0.2">
      <c r="S189" s="61"/>
      <c r="T189" s="82"/>
      <c r="W189" s="103" t="str">
        <f t="shared" si="11"/>
        <v>1D</v>
      </c>
      <c r="X189" s="101">
        <f>_xll.qlCalendarAdvance(Calendar,X188,W189,"f",FALSE)</f>
        <v>42523</v>
      </c>
      <c r="Y189" s="104">
        <f>_xll.qlCalendarAdvance(Calendar,X189,NDays&amp;"D")</f>
        <v>42527</v>
      </c>
      <c r="Z189" s="105">
        <v>-2.7803213210832725E-3</v>
      </c>
      <c r="AA189" s="102">
        <v>-3.0328313530558759E-3</v>
      </c>
    </row>
    <row r="190" spans="19:27" x14ac:dyDescent="0.2">
      <c r="S190" s="61"/>
      <c r="T190" s="82"/>
      <c r="W190" s="103" t="str">
        <f t="shared" si="11"/>
        <v>1D</v>
      </c>
      <c r="X190" s="101">
        <f>_xll.qlCalendarAdvance(Calendar,X189,W190,"f",FALSE)</f>
        <v>42524</v>
      </c>
      <c r="Y190" s="104">
        <f>_xll.qlCalendarAdvance(Calendar,X190,NDays&amp;"D")</f>
        <v>42528</v>
      </c>
      <c r="Z190" s="105">
        <v>-2.774264756343541E-3</v>
      </c>
      <c r="AA190" s="102">
        <v>-3.0279025430557382E-3</v>
      </c>
    </row>
    <row r="191" spans="19:27" x14ac:dyDescent="0.2">
      <c r="S191" s="61"/>
      <c r="T191" s="82"/>
      <c r="W191" s="103" t="str">
        <f t="shared" si="11"/>
        <v>1D</v>
      </c>
      <c r="X191" s="101">
        <f>_xll.qlCalendarAdvance(Calendar,X190,W191,"f",FALSE)</f>
        <v>42527</v>
      </c>
      <c r="Y191" s="104">
        <f>_xll.qlCalendarAdvance(Calendar,X191,NDays&amp;"D")</f>
        <v>42529</v>
      </c>
      <c r="Z191" s="105">
        <v>-2.7681844950460501E-3</v>
      </c>
      <c r="AA191" s="102">
        <v>-3.0178059808827484E-3</v>
      </c>
    </row>
    <row r="192" spans="19:27" x14ac:dyDescent="0.2">
      <c r="S192" s="61"/>
      <c r="T192" s="82"/>
      <c r="W192" s="103" t="str">
        <f t="shared" si="11"/>
        <v>1D</v>
      </c>
      <c r="X192" s="101">
        <f>_xll.qlCalendarAdvance(Calendar,X191,W192,"f",FALSE)</f>
        <v>42528</v>
      </c>
      <c r="Y192" s="104">
        <f>_xll.qlCalendarAdvance(Calendar,X192,NDays&amp;"D")</f>
        <v>42530</v>
      </c>
      <c r="Z192" s="105">
        <v>-2.762081023364075E-3</v>
      </c>
      <c r="AA192" s="102">
        <v>-3.0075463703482797E-3</v>
      </c>
    </row>
    <row r="193" spans="19:27" x14ac:dyDescent="0.2">
      <c r="S193" s="61"/>
      <c r="T193" s="82"/>
      <c r="W193" s="103" t="str">
        <f t="shared" si="11"/>
        <v>1D</v>
      </c>
      <c r="X193" s="101">
        <f>_xll.qlCalendarAdvance(Calendar,X192,W193,"f",FALSE)</f>
        <v>42529</v>
      </c>
      <c r="Y193" s="104">
        <f>_xll.qlCalendarAdvance(Calendar,X193,NDays&amp;"D")</f>
        <v>42531</v>
      </c>
      <c r="Z193" s="105">
        <v>-2.749479070033335E-3</v>
      </c>
      <c r="AA193" s="102">
        <v>-3.0022970938148319E-3</v>
      </c>
    </row>
    <row r="194" spans="19:27" x14ac:dyDescent="0.2">
      <c r="S194" s="61"/>
      <c r="T194" s="82"/>
      <c r="W194" s="103" t="str">
        <f t="shared" si="11"/>
        <v>1D</v>
      </c>
      <c r="X194" s="101">
        <f>_xll.qlCalendarAdvance(Calendar,X193,W194,"f",FALSE)</f>
        <v>42530</v>
      </c>
      <c r="Y194" s="104">
        <f>_xll.qlCalendarAdvance(Calendar,X194,NDays&amp;"D")</f>
        <v>42534</v>
      </c>
      <c r="Z194" s="105">
        <v>-2.7374447562742241E-3</v>
      </c>
      <c r="AA194" s="102">
        <v>-2.9969837241505815E-3</v>
      </c>
    </row>
    <row r="195" spans="19:27" x14ac:dyDescent="0.2">
      <c r="S195" s="61"/>
      <c r="T195" s="82"/>
      <c r="W195" s="103" t="str">
        <f t="shared" si="11"/>
        <v>1D</v>
      </c>
      <c r="X195" s="101">
        <f>_xll.qlCalendarAdvance(Calendar,X194,W195,"f",FALSE)</f>
        <v>42531</v>
      </c>
      <c r="Y195" s="104">
        <f>_xll.qlCalendarAdvance(Calendar,X195,NDays&amp;"D")</f>
        <v>42535</v>
      </c>
      <c r="Z195" s="105">
        <v>-2.7312325253084965E-3</v>
      </c>
      <c r="AA195" s="102">
        <v>-2.9916137225471928E-3</v>
      </c>
    </row>
    <row r="196" spans="19:27" x14ac:dyDescent="0.2">
      <c r="S196" s="61"/>
      <c r="T196" s="82"/>
      <c r="W196" s="103" t="str">
        <f t="shared" si="11"/>
        <v>1D</v>
      </c>
      <c r="X196" s="101">
        <f>_xll.qlCalendarAdvance(Calendar,X195,W196,"f",FALSE)</f>
        <v>42534</v>
      </c>
      <c r="Y196" s="104">
        <f>_xll.qlCalendarAdvance(Calendar,X196,NDays&amp;"D")</f>
        <v>42536</v>
      </c>
      <c r="Z196" s="105">
        <v>-2.7250000010357336E-3</v>
      </c>
      <c r="AA196" s="102">
        <v>-2.9807697015460377E-3</v>
      </c>
    </row>
    <row r="197" spans="19:27" x14ac:dyDescent="0.2">
      <c r="S197" s="61"/>
      <c r="T197" s="82"/>
      <c r="W197" s="103" t="str">
        <f t="shared" si="11"/>
        <v>1D</v>
      </c>
      <c r="X197" s="101">
        <f>_xll.qlCalendarAdvance(Calendar,X196,W197,"f",FALSE)</f>
        <v>42535</v>
      </c>
      <c r="Y197" s="104">
        <f>_xll.qlCalendarAdvance(Calendar,X197,NDays&amp;"D")</f>
        <v>42537</v>
      </c>
      <c r="Z197" s="105">
        <v>-2.7187476429431671E-3</v>
      </c>
      <c r="AA197" s="102">
        <v>-2.9699106279457155E-3</v>
      </c>
    </row>
    <row r="198" spans="19:27" x14ac:dyDescent="0.2">
      <c r="S198" s="61"/>
      <c r="T198" s="82"/>
      <c r="W198" s="103" t="str">
        <f t="shared" si="11"/>
        <v>1D</v>
      </c>
      <c r="X198" s="101">
        <f>_xll.qlCalendarAdvance(Calendar,X197,W198,"f",FALSE)</f>
        <v>42536</v>
      </c>
      <c r="Y198" s="104">
        <f>_xll.qlCalendarAdvance(Calendar,X198,NDays&amp;"D")</f>
        <v>42538</v>
      </c>
      <c r="Z198" s="105">
        <v>-2.7058635465808715E-3</v>
      </c>
      <c r="AA198" s="102">
        <v>-2.9644365436798381E-3</v>
      </c>
    </row>
    <row r="199" spans="19:27" x14ac:dyDescent="0.2">
      <c r="S199" s="61"/>
      <c r="T199" s="82"/>
      <c r="W199" s="103" t="str">
        <f t="shared" si="11"/>
        <v>1D</v>
      </c>
      <c r="X199" s="101">
        <f>_xll.qlCalendarAdvance(Calendar,X198,W199,"f",FALSE)</f>
        <v>42537</v>
      </c>
      <c r="Y199" s="104">
        <f>_xll.qlCalendarAdvance(Calendar,X199,NDays&amp;"D")</f>
        <v>42541</v>
      </c>
      <c r="Z199" s="105">
        <v>-2.6935414721430059E-3</v>
      </c>
      <c r="AA199" s="102">
        <v>-2.9589431352317064E-3</v>
      </c>
    </row>
    <row r="200" spans="19:27" x14ac:dyDescent="0.2">
      <c r="S200" s="61"/>
      <c r="T200" s="82"/>
      <c r="W200" s="103" t="str">
        <f t="shared" si="11"/>
        <v>1D</v>
      </c>
      <c r="X200" s="101">
        <f>_xll.qlCalendarAdvance(Calendar,X199,W200,"f",FALSE)</f>
        <v>42538</v>
      </c>
      <c r="Y200" s="104">
        <f>_xll.qlCalendarAdvance(Calendar,X200,NDays&amp;"D")</f>
        <v>42542</v>
      </c>
      <c r="Z200" s="105">
        <v>-2.6871900243983036E-3</v>
      </c>
      <c r="AA200" s="102">
        <v>-2.9450768524397208E-3</v>
      </c>
    </row>
    <row r="201" spans="19:27" x14ac:dyDescent="0.2">
      <c r="S201" s="61"/>
      <c r="T201" s="82"/>
      <c r="W201" s="103" t="str">
        <f t="shared" si="11"/>
        <v>1D</v>
      </c>
      <c r="X201" s="101">
        <f>_xll.qlCalendarAdvance(Calendar,X200,W201,"f",FALSE)</f>
        <v>42541</v>
      </c>
      <c r="Y201" s="104">
        <f>_xll.qlCalendarAdvance(Calendar,X201,NDays&amp;"D")</f>
        <v>42543</v>
      </c>
      <c r="Z201" s="105">
        <v>-2.6808182940371455E-3</v>
      </c>
      <c r="AA201" s="102">
        <v>-2.9311862287384471E-3</v>
      </c>
    </row>
    <row r="202" spans="19:27" x14ac:dyDescent="0.2">
      <c r="S202" s="61"/>
      <c r="T202" s="82"/>
      <c r="W202" s="103" t="str">
        <f t="shared" si="11"/>
        <v>1D</v>
      </c>
      <c r="X202" s="101">
        <f>_xll.qlCalendarAdvance(Calendar,X201,W202,"f",FALSE)</f>
        <v>42542</v>
      </c>
      <c r="Y202" s="104">
        <f>_xll.qlCalendarAdvance(Calendar,X202,NDays&amp;"D")</f>
        <v>42544</v>
      </c>
      <c r="Z202" s="105">
        <v>-2.6744261207568903E-3</v>
      </c>
      <c r="AA202" s="102">
        <v>-2.9255768747171729E-3</v>
      </c>
    </row>
    <row r="203" spans="19:27" x14ac:dyDescent="0.2">
      <c r="S203" s="61"/>
      <c r="T203" s="82"/>
      <c r="W203" s="103" t="str">
        <f t="shared" si="11"/>
        <v>1D</v>
      </c>
      <c r="X203" s="101">
        <f>_xll.qlCalendarAdvance(Calendar,X202,W203,"f",FALSE)</f>
        <v>42543</v>
      </c>
      <c r="Y203" s="104">
        <f>_xll.qlCalendarAdvance(Calendar,X203,NDays&amp;"D")</f>
        <v>42548</v>
      </c>
      <c r="Z203" s="105">
        <v>-2.6486497923812291E-3</v>
      </c>
      <c r="AA203" s="102">
        <v>-2.9199481963138041E-3</v>
      </c>
    </row>
    <row r="204" spans="19:27" x14ac:dyDescent="0.2">
      <c r="S204" s="61"/>
      <c r="T204" s="82"/>
      <c r="W204" s="103" t="str">
        <f t="shared" si="11"/>
        <v>1D</v>
      </c>
      <c r="X204" s="101">
        <f>_xll.qlCalendarAdvance(Calendar,X203,W204,"f",FALSE)</f>
        <v>42544</v>
      </c>
      <c r="Y204" s="104">
        <f>_xll.qlCalendarAdvance(Calendar,X204,NDays&amp;"D")</f>
        <v>42549</v>
      </c>
      <c r="Z204" s="105">
        <v>-2.6421529999389451E-3</v>
      </c>
      <c r="AA204" s="102">
        <v>-2.914300193808117E-3</v>
      </c>
    </row>
    <row r="205" spans="19:27" x14ac:dyDescent="0.2">
      <c r="S205" s="61"/>
      <c r="T205" s="82"/>
      <c r="W205" s="103" t="str">
        <f t="shared" si="11"/>
        <v>1D</v>
      </c>
      <c r="X205" s="101">
        <f>_xll.qlCalendarAdvance(Calendar,X204,W205,"f",FALSE)</f>
        <v>42548</v>
      </c>
      <c r="Y205" s="104">
        <f>_xll.qlCalendarAdvance(Calendar,X205,NDays&amp;"D")</f>
        <v>42550</v>
      </c>
      <c r="Z205" s="105">
        <v>-2.6356348027404327E-3</v>
      </c>
      <c r="AA205" s="102">
        <v>-2.9029163661009605E-3</v>
      </c>
    </row>
    <row r="206" spans="19:27" x14ac:dyDescent="0.2">
      <c r="S206" s="61"/>
      <c r="T206" s="82"/>
      <c r="W206" s="103" t="str">
        <f t="shared" si="11"/>
        <v>1D</v>
      </c>
      <c r="X206" s="101">
        <f>_xll.qlCalendarAdvance(Calendar,X205,W206,"f",FALSE)</f>
        <v>42549</v>
      </c>
      <c r="Y206" s="104">
        <f>_xll.qlCalendarAdvance(Calendar,X206,NDays&amp;"D")</f>
        <v>42551</v>
      </c>
      <c r="Z206" s="105">
        <v>-2.6290950404743623E-3</v>
      </c>
      <c r="AA206" s="102">
        <v>-2.8915149410035923E-3</v>
      </c>
    </row>
    <row r="207" spans="19:27" x14ac:dyDescent="0.2">
      <c r="S207" s="61"/>
      <c r="T207" s="82"/>
      <c r="W207" s="103" t="str">
        <f t="shared" si="11"/>
        <v>1D</v>
      </c>
      <c r="X207" s="101">
        <f>_xll.qlCalendarAdvance(Calendar,X206,W207,"f",FALSE)</f>
        <v>42550</v>
      </c>
      <c r="Y207" s="104">
        <f>_xll.qlCalendarAdvance(Calendar,X207,NDays&amp;"D")</f>
        <v>42552</v>
      </c>
      <c r="Z207" s="105">
        <v>-2.6156106194277829E-3</v>
      </c>
      <c r="AA207" s="102">
        <v>-2.8857703171469851E-3</v>
      </c>
    </row>
    <row r="208" spans="19:27" x14ac:dyDescent="0.2">
      <c r="S208" s="61"/>
      <c r="T208" s="82"/>
      <c r="W208" s="103" t="str">
        <f t="shared" si="11"/>
        <v>1D</v>
      </c>
      <c r="X208" s="101">
        <f>_xll.qlCalendarAdvance(Calendar,X207,W208,"f",FALSE)</f>
        <v>42551</v>
      </c>
      <c r="Y208" s="104">
        <f>_xll.qlCalendarAdvance(Calendar,X208,NDays&amp;"D")</f>
        <v>42555</v>
      </c>
      <c r="Z208" s="105">
        <v>-2.6027171344514387E-3</v>
      </c>
      <c r="AA208" s="102">
        <v>-2.8800063689882194E-3</v>
      </c>
    </row>
    <row r="209" spans="19:27" x14ac:dyDescent="0.2">
      <c r="S209" s="61"/>
      <c r="T209" s="82"/>
      <c r="W209" s="103" t="str">
        <f t="shared" si="11"/>
        <v>1D</v>
      </c>
      <c r="X209" s="101">
        <f>_xll.qlCalendarAdvance(Calendar,X208,W209,"f",FALSE)</f>
        <v>42552</v>
      </c>
      <c r="Y209" s="104">
        <f>_xll.qlCalendarAdvance(Calendar,X209,NDays&amp;"D")</f>
        <v>42556</v>
      </c>
      <c r="Z209" s="105">
        <v>-2.5960671421237686E-3</v>
      </c>
      <c r="AA209" s="102">
        <v>-2.8742230966072313E-3</v>
      </c>
    </row>
    <row r="210" spans="19:27" x14ac:dyDescent="0.2">
      <c r="S210" s="61"/>
      <c r="T210" s="82"/>
      <c r="W210" s="103" t="str">
        <f t="shared" si="11"/>
        <v>1D</v>
      </c>
      <c r="X210" s="101">
        <f>_xll.qlCalendarAdvance(Calendar,X209,W210,"f",FALSE)</f>
        <v>42555</v>
      </c>
      <c r="Y210" s="104">
        <f>_xll.qlCalendarAdvance(Calendar,X210,NDays&amp;"D")</f>
        <v>42557</v>
      </c>
      <c r="Z210" s="105">
        <v>-2.5893946228297189E-3</v>
      </c>
      <c r="AA210" s="102">
        <v>-2.8625693754058545E-3</v>
      </c>
    </row>
    <row r="211" spans="19:27" x14ac:dyDescent="0.2">
      <c r="S211" s="61"/>
      <c r="T211" s="82"/>
      <c r="W211" s="103" t="str">
        <f t="shared" si="11"/>
        <v>1D</v>
      </c>
      <c r="X211" s="101">
        <f>_xll.qlCalendarAdvance(Calendar,X210,W211,"f",FALSE)</f>
        <v>42556</v>
      </c>
      <c r="Y211" s="104">
        <f>_xll.qlCalendarAdvance(Calendar,X211,NDays&amp;"D")</f>
        <v>42558</v>
      </c>
      <c r="Z211" s="105">
        <v>-2.5826994162479688E-3</v>
      </c>
      <c r="AA211" s="102">
        <v>-2.8508967644613747E-3</v>
      </c>
    </row>
    <row r="212" spans="19:27" x14ac:dyDescent="0.2">
      <c r="S212" s="61"/>
      <c r="T212" s="82"/>
      <c r="W212" s="103" t="str">
        <f t="shared" si="11"/>
        <v>1D</v>
      </c>
      <c r="X212" s="101">
        <f>_xll.qlCalendarAdvance(Calendar,X211,W212,"f",FALSE)</f>
        <v>42557</v>
      </c>
      <c r="Y212" s="104">
        <f>_xll.qlCalendarAdvance(Calendar,X212,NDays&amp;"D")</f>
        <v>42559</v>
      </c>
      <c r="Z212" s="105">
        <v>-2.5688834222974458E-3</v>
      </c>
      <c r="AA212" s="102">
        <v>-2.8450168706495305E-3</v>
      </c>
    </row>
    <row r="213" spans="19:27" x14ac:dyDescent="0.2">
      <c r="S213" s="61"/>
      <c r="T213" s="82"/>
      <c r="W213" s="103" t="str">
        <f t="shared" ref="W213:W276" si="12">W212</f>
        <v>1D</v>
      </c>
      <c r="X213" s="101">
        <f>_xll.qlCalendarAdvance(Calendar,X212,W213,"f",FALSE)</f>
        <v>42558</v>
      </c>
      <c r="Y213" s="104">
        <f>_xll.qlCalendarAdvance(Calendar,X213,NDays&amp;"D")</f>
        <v>42562</v>
      </c>
      <c r="Z213" s="105">
        <v>-2.5556885105549733E-3</v>
      </c>
      <c r="AA213" s="102">
        <v>-2.8391176526953998E-3</v>
      </c>
    </row>
    <row r="214" spans="19:27" x14ac:dyDescent="0.2">
      <c r="S214" s="61"/>
      <c r="T214" s="82"/>
      <c r="W214" s="103" t="str">
        <f t="shared" si="12"/>
        <v>1D</v>
      </c>
      <c r="X214" s="101">
        <f>_xll.qlCalendarAdvance(Calendar,X213,W214,"f",FALSE)</f>
        <v>42559</v>
      </c>
      <c r="Y214" s="104">
        <f>_xll.qlCalendarAdvance(Calendar,X214,NDays&amp;"D")</f>
        <v>42563</v>
      </c>
      <c r="Z214" s="105">
        <v>-2.5488774626562494E-3</v>
      </c>
      <c r="AA214" s="102">
        <v>-2.8331991105190468E-3</v>
      </c>
    </row>
    <row r="215" spans="19:27" x14ac:dyDescent="0.2">
      <c r="S215" s="61"/>
      <c r="T215" s="82"/>
      <c r="W215" s="103" t="str">
        <f t="shared" si="12"/>
        <v>1D</v>
      </c>
      <c r="X215" s="101">
        <f>_xll.qlCalendarAdvance(Calendar,X214,W215,"f",FALSE)</f>
        <v>42562</v>
      </c>
      <c r="Y215" s="104">
        <f>_xll.qlCalendarAdvance(Calendar,X215,NDays&amp;"D")</f>
        <v>42564</v>
      </c>
      <c r="Z215" s="105">
        <v>-2.5420427655101826E-3</v>
      </c>
      <c r="AA215" s="102">
        <v>-2.8212755014456192E-3</v>
      </c>
    </row>
    <row r="216" spans="19:27" x14ac:dyDescent="0.2">
      <c r="S216" s="61"/>
      <c r="T216" s="82"/>
      <c r="W216" s="103" t="str">
        <f t="shared" si="12"/>
        <v>1D</v>
      </c>
      <c r="X216" s="101">
        <f>_xll.qlCalendarAdvance(Calendar,X215,W216,"f",FALSE)</f>
        <v>42563</v>
      </c>
      <c r="Y216" s="104">
        <f>_xll.qlCalendarAdvance(Calendar,X216,NDays&amp;"D")</f>
        <v>42565</v>
      </c>
      <c r="Z216" s="105">
        <v>-2.5351842587815489E-3</v>
      </c>
      <c r="AA216" s="102">
        <v>-2.8093316987520822E-3</v>
      </c>
    </row>
    <row r="217" spans="19:27" x14ac:dyDescent="0.2">
      <c r="S217" s="61"/>
      <c r="T217" s="82"/>
      <c r="W217" s="103" t="str">
        <f t="shared" si="12"/>
        <v>1D</v>
      </c>
      <c r="X217" s="101">
        <f>_xll.qlCalendarAdvance(Calendar,X216,W217,"f",FALSE)</f>
        <v>42564</v>
      </c>
      <c r="Y217" s="104">
        <f>_xll.qlCalendarAdvance(Calendar,X217,NDays&amp;"D")</f>
        <v>42566</v>
      </c>
      <c r="Z217" s="105">
        <v>-2.5210173087595413E-3</v>
      </c>
      <c r="AA217" s="102">
        <v>-2.8033165350249689E-3</v>
      </c>
    </row>
    <row r="218" spans="19:27" x14ac:dyDescent="0.2">
      <c r="S218" s="61"/>
      <c r="T218" s="82"/>
      <c r="W218" s="103" t="str">
        <f t="shared" si="12"/>
        <v>1D</v>
      </c>
      <c r="X218" s="101">
        <f>_xll.qlCalendarAdvance(Calendar,X217,W218,"f",FALSE)</f>
        <v>42565</v>
      </c>
      <c r="Y218" s="104">
        <f>_xll.qlCalendarAdvance(Calendar,X218,NDays&amp;"D")</f>
        <v>42569</v>
      </c>
      <c r="Z218" s="105">
        <v>-2.507508929358606E-3</v>
      </c>
      <c r="AA218" s="102">
        <v>-2.7972820472355053E-3</v>
      </c>
    </row>
    <row r="219" spans="19:27" x14ac:dyDescent="0.2">
      <c r="S219" s="61"/>
      <c r="T219" s="82"/>
      <c r="W219" s="103" t="str">
        <f t="shared" si="12"/>
        <v>1D</v>
      </c>
      <c r="X219" s="101">
        <f>_xll.qlCalendarAdvance(Calendar,X218,W219,"f",FALSE)</f>
        <v>42566</v>
      </c>
      <c r="Y219" s="104">
        <f>_xll.qlCalendarAdvance(Calendar,X219,NDays&amp;"D")</f>
        <v>42570</v>
      </c>
      <c r="Z219" s="105">
        <v>-2.5005289696861835E-3</v>
      </c>
      <c r="AA219" s="102">
        <v>-2.7912282350239792E-3</v>
      </c>
    </row>
    <row r="220" spans="19:27" x14ac:dyDescent="0.2">
      <c r="S220" s="61"/>
      <c r="T220" s="82"/>
      <c r="W220" s="103" t="str">
        <f t="shared" si="12"/>
        <v>1D</v>
      </c>
      <c r="X220" s="101">
        <f>_xll.qlCalendarAdvance(Calendar,X219,W220,"f",FALSE)</f>
        <v>42569</v>
      </c>
      <c r="Y220" s="104">
        <f>_xll.qlCalendarAdvance(Calendar,X220,NDays&amp;"D")</f>
        <v>42571</v>
      </c>
      <c r="Z220" s="105">
        <v>-2.4935242384085594E-3</v>
      </c>
      <c r="AA220" s="102">
        <v>-2.7790347432610218E-3</v>
      </c>
    </row>
    <row r="221" spans="19:27" x14ac:dyDescent="0.2">
      <c r="S221" s="61"/>
      <c r="T221" s="82"/>
      <c r="W221" s="103" t="str">
        <f t="shared" si="12"/>
        <v>1D</v>
      </c>
      <c r="X221" s="101">
        <f>_xll.qlCalendarAdvance(Calendar,X220,W221,"f",FALSE)</f>
        <v>42570</v>
      </c>
      <c r="Y221" s="104">
        <f>_xll.qlCalendarAdvance(Calendar,X221,NDays&amp;"D")</f>
        <v>42572</v>
      </c>
      <c r="Z221" s="105">
        <v>-2.4864945751787802E-3</v>
      </c>
      <c r="AA221" s="102">
        <v>-2.7668197435559705E-3</v>
      </c>
    </row>
    <row r="222" spans="19:27" x14ac:dyDescent="0.2">
      <c r="S222" s="61"/>
      <c r="T222" s="82"/>
      <c r="W222" s="103" t="str">
        <f t="shared" si="12"/>
        <v>1D</v>
      </c>
      <c r="X222" s="101">
        <f>_xll.qlCalendarAdvance(Calendar,X221,W222,"f",FALSE)</f>
        <v>42571</v>
      </c>
      <c r="Y222" s="104">
        <f>_xll.qlCalendarAdvance(Calendar,X222,NDays&amp;"D")</f>
        <v>42573</v>
      </c>
      <c r="Z222" s="105">
        <v>-2.4719584537258544E-3</v>
      </c>
      <c r="AA222" s="102">
        <v>-2.7606693099135882E-3</v>
      </c>
    </row>
    <row r="223" spans="19:27" x14ac:dyDescent="0.2">
      <c r="S223" s="61"/>
      <c r="T223" s="82"/>
      <c r="W223" s="103" t="str">
        <f t="shared" si="12"/>
        <v>1D</v>
      </c>
      <c r="X223" s="101">
        <f>_xll.qlCalendarAdvance(Calendar,X222,W223,"f",FALSE)</f>
        <v>42572</v>
      </c>
      <c r="Y223" s="104">
        <f>_xll.qlCalendarAdvance(Calendar,X223,NDays&amp;"D")</f>
        <v>42576</v>
      </c>
      <c r="Z223" s="105">
        <v>-2.4581233958342404E-3</v>
      </c>
      <c r="AA223" s="102">
        <v>-2.7544995521289195E-3</v>
      </c>
    </row>
    <row r="224" spans="19:27" x14ac:dyDescent="0.2">
      <c r="S224" s="61"/>
      <c r="T224" s="82"/>
      <c r="W224" s="103" t="str">
        <f t="shared" si="12"/>
        <v>1D</v>
      </c>
      <c r="X224" s="101">
        <f>_xll.qlCalendarAdvance(Calendar,X223,W224,"f",FALSE)</f>
        <v>42573</v>
      </c>
      <c r="Y224" s="104">
        <f>_xll.qlCalendarAdvance(Calendar,X224,NDays&amp;"D")</f>
        <v>42577</v>
      </c>
      <c r="Z224" s="105">
        <v>-2.4509666676454716E-3</v>
      </c>
      <c r="AA224" s="102">
        <v>-2.7483104699221883E-3</v>
      </c>
    </row>
    <row r="225" spans="19:27" x14ac:dyDescent="0.2">
      <c r="S225" s="61"/>
      <c r="T225" s="82"/>
      <c r="W225" s="103" t="str">
        <f t="shared" si="12"/>
        <v>1D</v>
      </c>
      <c r="X225" s="101">
        <f>_xll.qlCalendarAdvance(Calendar,X224,W225,"f",FALSE)</f>
        <v>42576</v>
      </c>
      <c r="Y225" s="104">
        <f>_xll.qlCalendarAdvance(Calendar,X225,NDays&amp;"D")</f>
        <v>42578</v>
      </c>
      <c r="Z225" s="105">
        <v>-2.4437840454132717E-3</v>
      </c>
      <c r="AA225" s="102">
        <v>-2.7358470998661844E-3</v>
      </c>
    </row>
    <row r="226" spans="19:27" x14ac:dyDescent="0.2">
      <c r="S226" s="61"/>
      <c r="T226" s="82"/>
      <c r="W226" s="103" t="str">
        <f t="shared" si="12"/>
        <v>1D</v>
      </c>
      <c r="X226" s="101">
        <f>_xll.qlCalendarAdvance(Calendar,X225,W226,"f",FALSE)</f>
        <v>42577</v>
      </c>
      <c r="Y226" s="104">
        <f>_xll.qlCalendarAdvance(Calendar,X226,NDays&amp;"D")</f>
        <v>42579</v>
      </c>
      <c r="Z226" s="105">
        <v>-2.4365753687806959E-3</v>
      </c>
      <c r="AA226" s="102">
        <v>-2.7233608985133273E-3</v>
      </c>
    </row>
    <row r="227" spans="19:27" x14ac:dyDescent="0.2">
      <c r="S227" s="61"/>
      <c r="T227" s="82"/>
      <c r="W227" s="103" t="str">
        <f t="shared" si="12"/>
        <v>1D</v>
      </c>
      <c r="X227" s="101">
        <f>_xll.qlCalendarAdvance(Calendar,X226,W227,"f",FALSE)</f>
        <v>42578</v>
      </c>
      <c r="Y227" s="104">
        <f>_xll.qlCalendarAdvance(Calendar,X227,NDays&amp;"D")</f>
        <v>42580</v>
      </c>
      <c r="Z227" s="105">
        <v>-2.421653028272938E-3</v>
      </c>
      <c r="AA227" s="102">
        <v>-2.7170751949157079E-3</v>
      </c>
    </row>
    <row r="228" spans="19:27" x14ac:dyDescent="0.2">
      <c r="S228" s="61"/>
      <c r="T228" s="82"/>
      <c r="W228" s="103" t="str">
        <f t="shared" si="12"/>
        <v>1D</v>
      </c>
      <c r="X228" s="101">
        <f>_xll.qlCalendarAdvance(Calendar,X227,W228,"f",FALSE)</f>
        <v>42579</v>
      </c>
      <c r="Y228" s="104">
        <f>_xll.qlCalendarAdvance(Calendar,X228,NDays&amp;"D")</f>
        <v>42583</v>
      </c>
      <c r="Z228" s="105">
        <v>-2.4074769110981682E-3</v>
      </c>
      <c r="AA228" s="102">
        <v>-2.7107701671358342E-3</v>
      </c>
    </row>
    <row r="229" spans="19:27" x14ac:dyDescent="0.2">
      <c r="S229" s="61"/>
      <c r="T229" s="82"/>
      <c r="W229" s="103" t="str">
        <f t="shared" si="12"/>
        <v>1D</v>
      </c>
      <c r="X229" s="101">
        <f>_xll.qlCalendarAdvance(Calendar,X228,W229,"f",FALSE)</f>
        <v>42580</v>
      </c>
      <c r="Y229" s="104">
        <f>_xll.qlCalendarAdvance(Calendar,X229,NDays&amp;"D")</f>
        <v>42584</v>
      </c>
      <c r="Z229" s="105">
        <v>-2.4001355570843368E-3</v>
      </c>
      <c r="AA229" s="102">
        <v>-2.7044458149338979E-3</v>
      </c>
    </row>
    <row r="230" spans="19:27" x14ac:dyDescent="0.2">
      <c r="S230" s="61"/>
      <c r="T230" s="82"/>
      <c r="W230" s="103" t="str">
        <f t="shared" si="12"/>
        <v>1D</v>
      </c>
      <c r="X230" s="101">
        <f>_xll.qlCalendarAdvance(Calendar,X229,W230,"f",FALSE)</f>
        <v>42583</v>
      </c>
      <c r="Y230" s="104">
        <f>_xll.qlCalendarAdvance(Calendar,X230,NDays&amp;"D")</f>
        <v>42585</v>
      </c>
      <c r="Z230" s="105">
        <v>-2.3927671865067363E-3</v>
      </c>
      <c r="AA230" s="102">
        <v>-2.6917125702086153E-3</v>
      </c>
    </row>
    <row r="231" spans="19:27" x14ac:dyDescent="0.2">
      <c r="S231" s="61"/>
      <c r="T231" s="82"/>
      <c r="W231" s="103" t="str">
        <f t="shared" si="12"/>
        <v>1D</v>
      </c>
      <c r="X231" s="101">
        <f>_xll.qlCalendarAdvance(Calendar,X230,W231,"f",FALSE)</f>
        <v>42584</v>
      </c>
      <c r="Y231" s="104">
        <f>_xll.qlCalendarAdvance(Calendar,X231,NDays&amp;"D")</f>
        <v>42586</v>
      </c>
      <c r="Z231" s="105">
        <v>-2.3853716389958235E-3</v>
      </c>
      <c r="AA231" s="102">
        <v>-2.6789551633843445E-3</v>
      </c>
    </row>
    <row r="232" spans="19:27" x14ac:dyDescent="0.2">
      <c r="S232" s="61"/>
      <c r="T232" s="82"/>
      <c r="W232" s="103" t="str">
        <f t="shared" si="12"/>
        <v>1D</v>
      </c>
      <c r="X232" s="101">
        <f>_xll.qlCalendarAdvance(Calendar,X231,W232,"f",FALSE)</f>
        <v>42585</v>
      </c>
      <c r="Y232" s="104">
        <f>_xll.qlCalendarAdvance(Calendar,X232,NDays&amp;"D")</f>
        <v>42587</v>
      </c>
      <c r="Z232" s="105">
        <v>-2.3700471994618352E-3</v>
      </c>
      <c r="AA232" s="102">
        <v>-2.6725341896716159E-3</v>
      </c>
    </row>
    <row r="233" spans="19:27" x14ac:dyDescent="0.2">
      <c r="S233" s="61"/>
      <c r="T233" s="82"/>
      <c r="W233" s="103" t="str">
        <f t="shared" si="12"/>
        <v>1D</v>
      </c>
      <c r="X233" s="101">
        <f>_xll.qlCalendarAdvance(Calendar,X232,W233,"f",FALSE)</f>
        <v>42586</v>
      </c>
      <c r="Y233" s="104">
        <f>_xll.qlCalendarAdvance(Calendar,X233,NDays&amp;"D")</f>
        <v>42590</v>
      </c>
      <c r="Z233" s="105">
        <v>-2.3555144722325169E-3</v>
      </c>
      <c r="AA233" s="102">
        <v>-2.6660938918166011E-3</v>
      </c>
    </row>
    <row r="234" spans="19:27" x14ac:dyDescent="0.2">
      <c r="S234" s="61"/>
      <c r="T234" s="82"/>
      <c r="W234" s="103" t="str">
        <f t="shared" si="12"/>
        <v>1D</v>
      </c>
      <c r="X234" s="101">
        <f>_xll.qlCalendarAdvance(Calendar,X233,W234,"f",FALSE)</f>
        <v>42587</v>
      </c>
      <c r="Y234" s="104">
        <f>_xll.qlCalendarAdvance(Calendar,X234,NDays&amp;"D")</f>
        <v>42591</v>
      </c>
      <c r="Z234" s="105">
        <v>-2.3479806344936399E-3</v>
      </c>
      <c r="AA234" s="102">
        <v>-2.6596342696194597E-3</v>
      </c>
    </row>
    <row r="235" spans="19:27" x14ac:dyDescent="0.2">
      <c r="S235" s="61"/>
      <c r="T235" s="82"/>
      <c r="W235" s="103" t="str">
        <f t="shared" si="12"/>
        <v>1D</v>
      </c>
      <c r="X235" s="101">
        <f>_xll.qlCalendarAdvance(Calendar,X234,W235,"f",FALSE)</f>
        <v>42590</v>
      </c>
      <c r="Y235" s="104">
        <f>_xll.qlCalendarAdvance(Calendar,X235,NDays&amp;"D")</f>
        <v>42592</v>
      </c>
      <c r="Z235" s="105">
        <v>-2.3404186575850723E-3</v>
      </c>
      <c r="AA235" s="102">
        <v>-2.646631153249146E-3</v>
      </c>
    </row>
    <row r="236" spans="19:27" x14ac:dyDescent="0.2">
      <c r="S236" s="61"/>
      <c r="T236" s="82"/>
      <c r="W236" s="103" t="str">
        <f t="shared" si="12"/>
        <v>1D</v>
      </c>
      <c r="X236" s="101">
        <f>_xll.qlCalendarAdvance(Calendar,X235,W236,"f",FALSE)</f>
        <v>42591</v>
      </c>
      <c r="Y236" s="104">
        <f>_xll.qlCalendarAdvance(Calendar,X236,NDays&amp;"D")</f>
        <v>42593</v>
      </c>
      <c r="Z236" s="105">
        <v>-2.332828381124238E-3</v>
      </c>
      <c r="AA236" s="102">
        <v>-2.6336025377693417E-3</v>
      </c>
    </row>
    <row r="237" spans="19:27" x14ac:dyDescent="0.2">
      <c r="S237" s="61"/>
      <c r="T237" s="82"/>
      <c r="W237" s="103" t="str">
        <f t="shared" si="12"/>
        <v>1D</v>
      </c>
      <c r="X237" s="101">
        <f>_xll.qlCalendarAdvance(Calendar,X236,W237,"f",FALSE)</f>
        <v>42592</v>
      </c>
      <c r="Y237" s="104">
        <f>_xll.qlCalendarAdvance(Calendar,X237,NDays&amp;"D")</f>
        <v>42594</v>
      </c>
      <c r="Z237" s="105">
        <v>-2.3170871301654481E-3</v>
      </c>
      <c r="AA237" s="102">
        <v>-2.6270462940214401E-3</v>
      </c>
    </row>
    <row r="238" spans="19:27" x14ac:dyDescent="0.2">
      <c r="S238" s="61"/>
      <c r="T238" s="82"/>
      <c r="W238" s="103" t="str">
        <f t="shared" si="12"/>
        <v>1D</v>
      </c>
      <c r="X238" s="101">
        <f>_xll.qlCalendarAdvance(Calendar,X237,W238,"f",FALSE)</f>
        <v>42593</v>
      </c>
      <c r="Y238" s="104">
        <f>_xll.qlCalendarAdvance(Calendar,X238,NDays&amp;"D")</f>
        <v>42597</v>
      </c>
      <c r="Z238" s="105">
        <v>-2.3021810721066973E-3</v>
      </c>
      <c r="AA238" s="102">
        <v>-2.6204707259314119E-3</v>
      </c>
    </row>
    <row r="239" spans="19:27" x14ac:dyDescent="0.2">
      <c r="S239" s="61"/>
      <c r="T239" s="82"/>
      <c r="W239" s="103" t="str">
        <f t="shared" si="12"/>
        <v>1D</v>
      </c>
      <c r="X239" s="101">
        <f>_xll.qlCalendarAdvance(Calendar,X238,W239,"f",FALSE)</f>
        <v>42594</v>
      </c>
      <c r="Y239" s="104">
        <f>_xll.qlCalendarAdvance(Calendar,X239,NDays&amp;"D")</f>
        <v>42598</v>
      </c>
      <c r="Z239" s="105">
        <v>-2.2944468921280653E-3</v>
      </c>
      <c r="AA239" s="102">
        <v>-2.6138758336191614E-3</v>
      </c>
    </row>
    <row r="240" spans="19:27" x14ac:dyDescent="0.2">
      <c r="S240" s="61"/>
      <c r="T240" s="82"/>
      <c r="W240" s="103" t="str">
        <f t="shared" si="12"/>
        <v>1D</v>
      </c>
      <c r="X240" s="101">
        <f>_xll.qlCalendarAdvance(Calendar,X239,W240,"f",FALSE)</f>
        <v>42597</v>
      </c>
      <c r="Y240" s="104">
        <f>_xll.qlCalendarAdvance(Calendar,X240,NDays&amp;"D")</f>
        <v>42599</v>
      </c>
      <c r="Z240" s="105">
        <v>-2.2866834502804187E-3</v>
      </c>
      <c r="AA240" s="102">
        <v>-2.6006028479486076E-3</v>
      </c>
    </row>
    <row r="241" spans="19:27" x14ac:dyDescent="0.2">
      <c r="S241" s="61"/>
      <c r="T241" s="82"/>
      <c r="W241" s="103" t="str">
        <f t="shared" si="12"/>
        <v>1D</v>
      </c>
      <c r="X241" s="101">
        <f>_xll.qlCalendarAdvance(Calendar,X240,W241,"f",FALSE)</f>
        <v>42598</v>
      </c>
      <c r="Y241" s="104">
        <f>_xll.qlCalendarAdvance(Calendar,X241,NDays&amp;"D")</f>
        <v>42600</v>
      </c>
      <c r="Z241" s="105">
        <v>-2.278890586171623E-3</v>
      </c>
      <c r="AA241" s="102">
        <v>-2.5873030211887027E-3</v>
      </c>
    </row>
    <row r="242" spans="19:27" x14ac:dyDescent="0.2">
      <c r="S242" s="61"/>
      <c r="T242" s="82"/>
      <c r="W242" s="103" t="str">
        <f t="shared" si="12"/>
        <v>1D</v>
      </c>
      <c r="X242" s="101">
        <f>_xll.qlCalendarAdvance(Calendar,X241,W242,"f",FALSE)</f>
        <v>42599</v>
      </c>
      <c r="Y242" s="104">
        <f>_xll.qlCalendarAdvance(Calendar,X242,NDays&amp;"D")</f>
        <v>42601</v>
      </c>
      <c r="Z242" s="105">
        <v>-2.2627189788789063E-3</v>
      </c>
      <c r="AA242" s="102">
        <v>-2.5806115073256919E-3</v>
      </c>
    </row>
    <row r="243" spans="19:27" x14ac:dyDescent="0.2">
      <c r="S243" s="61"/>
      <c r="T243" s="82"/>
      <c r="W243" s="103" t="str">
        <f t="shared" si="12"/>
        <v>1D</v>
      </c>
      <c r="X243" s="101">
        <f>_xll.qlCalendarAdvance(Calendar,X242,W243,"f",FALSE)</f>
        <v>42600</v>
      </c>
      <c r="Y243" s="104">
        <f>_xll.qlCalendarAdvance(Calendar,X243,NDays&amp;"D")</f>
        <v>42604</v>
      </c>
      <c r="Z243" s="105">
        <v>-2.2474216991888573E-3</v>
      </c>
      <c r="AA243" s="102">
        <v>-2.5739006692004907E-3</v>
      </c>
    </row>
    <row r="244" spans="19:27" x14ac:dyDescent="0.2">
      <c r="S244" s="61"/>
      <c r="T244" s="82"/>
      <c r="W244" s="103" t="str">
        <f t="shared" si="12"/>
        <v>1D</v>
      </c>
      <c r="X244" s="101">
        <f>_xll.qlCalendarAdvance(Calendar,X243,W244,"f",FALSE)</f>
        <v>42601</v>
      </c>
      <c r="Y244" s="104">
        <f>_xll.qlCalendarAdvance(Calendar,X244,NDays&amp;"D")</f>
        <v>42605</v>
      </c>
      <c r="Z244" s="105">
        <v>-2.2394793178093231E-3</v>
      </c>
      <c r="AA244" s="102">
        <v>-2.5671705066132589E-3</v>
      </c>
    </row>
    <row r="245" spans="19:27" x14ac:dyDescent="0.2">
      <c r="S245" s="61"/>
      <c r="T245" s="82"/>
      <c r="W245" s="103" t="str">
        <f t="shared" si="12"/>
        <v>1D</v>
      </c>
      <c r="X245" s="101">
        <f>_xll.qlCalendarAdvance(Calendar,X244,W245,"f",FALSE)</f>
        <v>42604</v>
      </c>
      <c r="Y245" s="104">
        <f>_xll.qlCalendarAdvance(Calendar,X245,NDays&amp;"D")</f>
        <v>42606</v>
      </c>
      <c r="Z245" s="105">
        <v>-2.2315065517684802E-3</v>
      </c>
      <c r="AA245" s="102">
        <v>-2.5536276531745727E-3</v>
      </c>
    </row>
    <row r="246" spans="19:27" x14ac:dyDescent="0.2">
      <c r="S246" s="61"/>
      <c r="T246" s="82"/>
      <c r="W246" s="103" t="str">
        <f t="shared" si="12"/>
        <v>1D</v>
      </c>
      <c r="X246" s="101">
        <f>_xll.qlCalendarAdvance(Calendar,X245,W246,"f",FALSE)</f>
        <v>42605</v>
      </c>
      <c r="Y246" s="104">
        <f>_xll.qlCalendarAdvance(Calendar,X246,NDays&amp;"D")</f>
        <v>42607</v>
      </c>
      <c r="Z246" s="105">
        <v>-2.2235032406594238E-3</v>
      </c>
      <c r="AA246" s="102">
        <v>-2.5400566134425873E-3</v>
      </c>
    </row>
    <row r="247" spans="19:27" x14ac:dyDescent="0.2">
      <c r="S247" s="61"/>
      <c r="T247" s="82"/>
      <c r="W247" s="103" t="str">
        <f t="shared" si="12"/>
        <v>1D</v>
      </c>
      <c r="X247" s="101">
        <f>_xll.qlCalendarAdvance(Calendar,X246,W247,"f",FALSE)</f>
        <v>42606</v>
      </c>
      <c r="Y247" s="104">
        <f>_xll.qlCalendarAdvance(Calendar,X247,NDays&amp;"D")</f>
        <v>42608</v>
      </c>
      <c r="Z247" s="105">
        <v>-2.2068888995265255E-3</v>
      </c>
      <c r="AA247" s="102">
        <v>-2.5332298294644673E-3</v>
      </c>
    </row>
    <row r="248" spans="19:27" x14ac:dyDescent="0.2">
      <c r="S248" s="61"/>
      <c r="T248" s="82"/>
      <c r="W248" s="103" t="str">
        <f t="shared" si="12"/>
        <v>1D</v>
      </c>
      <c r="X248" s="101">
        <f>_xll.qlCalendarAdvance(Calendar,X247,W248,"f",FALSE)</f>
        <v>42607</v>
      </c>
      <c r="Y248" s="104">
        <f>_xll.qlCalendarAdvance(Calendar,X248,NDays&amp;"D")</f>
        <v>42611</v>
      </c>
      <c r="Z248" s="105">
        <v>-2.1911813373495189E-3</v>
      </c>
      <c r="AA248" s="102">
        <v>-2.5263837209843487E-3</v>
      </c>
    </row>
    <row r="249" spans="19:27" x14ac:dyDescent="0.2">
      <c r="S249" s="61"/>
      <c r="T249" s="82"/>
      <c r="W249" s="103" t="str">
        <f t="shared" si="12"/>
        <v>1D</v>
      </c>
      <c r="X249" s="101">
        <f>_xll.qlCalendarAdvance(Calendar,X248,W249,"f",FALSE)</f>
        <v>42608</v>
      </c>
      <c r="Y249" s="104">
        <f>_xll.qlCalendarAdvance(Calendar,X249,NDays&amp;"D")</f>
        <v>42612</v>
      </c>
      <c r="Z249" s="105">
        <v>-2.1830228947332568E-3</v>
      </c>
      <c r="AA249" s="102">
        <v>-2.5195182883219758E-3</v>
      </c>
    </row>
    <row r="250" spans="19:27" x14ac:dyDescent="0.2">
      <c r="S250" s="61"/>
      <c r="T250" s="82"/>
      <c r="W250" s="103" t="str">
        <f t="shared" si="12"/>
        <v>1D</v>
      </c>
      <c r="X250" s="101">
        <f>_xll.qlCalendarAdvance(Calendar,X249,W250,"f",FALSE)</f>
        <v>42611</v>
      </c>
      <c r="Y250" s="104">
        <f>_xll.qlCalendarAdvance(Calendar,X250,NDays&amp;"D")</f>
        <v>42613</v>
      </c>
      <c r="Z250" s="105">
        <v>-2.1791898012923673E-3</v>
      </c>
      <c r="AA250" s="102">
        <v>-2.5057055678212592E-3</v>
      </c>
    </row>
    <row r="251" spans="19:27" x14ac:dyDescent="0.2">
      <c r="S251" s="61"/>
      <c r="T251" s="82"/>
      <c r="W251" s="103" t="str">
        <f t="shared" si="12"/>
        <v>1D</v>
      </c>
      <c r="X251" s="101">
        <f>_xll.qlCalendarAdvance(Calendar,X250,W251,"f",FALSE)</f>
        <v>42612</v>
      </c>
      <c r="Y251" s="104">
        <f>_xll.qlCalendarAdvance(Calendar,X251,NDays&amp;"D")</f>
        <v>42614</v>
      </c>
      <c r="Z251" s="105">
        <v>-2.1709849846122328E-3</v>
      </c>
      <c r="AA251" s="102">
        <v>-2.4918633141313151E-3</v>
      </c>
    </row>
    <row r="252" spans="19:27" x14ac:dyDescent="0.2">
      <c r="S252" s="61"/>
      <c r="T252" s="82"/>
      <c r="W252" s="103" t="str">
        <f t="shared" si="12"/>
        <v>1D</v>
      </c>
      <c r="X252" s="101">
        <f>_xll.qlCalendarAdvance(Calendar,X251,W252,"f",FALSE)</f>
        <v>42613</v>
      </c>
      <c r="Y252" s="104">
        <f>_xll.qlCalendarAdvance(Calendar,X252,NDays&amp;"D")</f>
        <v>42615</v>
      </c>
      <c r="Z252" s="105">
        <v>-2.1627483642893022E-3</v>
      </c>
      <c r="AA252" s="102">
        <v>-2.4849012598782139E-3</v>
      </c>
    </row>
    <row r="253" spans="19:27" x14ac:dyDescent="0.2">
      <c r="S253" s="61"/>
      <c r="T253" s="82"/>
      <c r="W253" s="103" t="str">
        <f t="shared" si="12"/>
        <v>1D</v>
      </c>
      <c r="X253" s="101">
        <f>_xll.qlCalendarAdvance(Calendar,X252,W253,"f",FALSE)</f>
        <v>42614</v>
      </c>
      <c r="Y253" s="104">
        <f>_xll.qlCalendarAdvance(Calendar,X253,NDays&amp;"D")</f>
        <v>42618</v>
      </c>
      <c r="Z253" s="105">
        <v>-2.1378460596098727E-3</v>
      </c>
      <c r="AA253" s="102">
        <v>-2.477919881083146E-3</v>
      </c>
    </row>
    <row r="254" spans="19:27" x14ac:dyDescent="0.2">
      <c r="S254" s="61"/>
      <c r="T254" s="82"/>
      <c r="W254" s="103" t="str">
        <f t="shared" si="12"/>
        <v>1D</v>
      </c>
      <c r="X254" s="101">
        <f>_xll.qlCalendarAdvance(Calendar,X253,W254,"f",FALSE)</f>
        <v>42615</v>
      </c>
      <c r="Y254" s="104">
        <f>_xll.qlCalendarAdvance(Calendar,X254,NDays&amp;"D")</f>
        <v>42619</v>
      </c>
      <c r="Z254" s="105">
        <v>-2.1294806028535522E-3</v>
      </c>
      <c r="AA254" s="102">
        <v>-2.4709191781857598E-3</v>
      </c>
    </row>
    <row r="255" spans="19:27" x14ac:dyDescent="0.2">
      <c r="S255" s="61"/>
      <c r="T255" s="82"/>
      <c r="W255" s="103" t="str">
        <f t="shared" si="12"/>
        <v>1D</v>
      </c>
      <c r="X255" s="101">
        <f>_xll.qlCalendarAdvance(Calendar,X254,W255,"f",FALSE)</f>
        <v>42618</v>
      </c>
      <c r="Y255" s="104">
        <f>_xll.qlCalendarAdvance(Calendar,X255,NDays&amp;"D")</f>
        <v>42620</v>
      </c>
      <c r="Z255" s="105">
        <v>-2.1210825315097171E-3</v>
      </c>
      <c r="AA255" s="102">
        <v>-2.4568365907695622E-3</v>
      </c>
    </row>
    <row r="256" spans="19:27" x14ac:dyDescent="0.2">
      <c r="S256" s="61"/>
      <c r="T256" s="82"/>
      <c r="W256" s="103" t="str">
        <f t="shared" si="12"/>
        <v>1D</v>
      </c>
      <c r="X256" s="101">
        <f>_xll.qlCalendarAdvance(Calendar,X255,W256,"f",FALSE)</f>
        <v>42619</v>
      </c>
      <c r="Y256" s="104">
        <f>_xll.qlCalendarAdvance(Calendar,X256,NDays&amp;"D")</f>
        <v>42621</v>
      </c>
      <c r="Z256" s="105">
        <v>-2.1126516833872284E-3</v>
      </c>
      <c r="AA256" s="102">
        <v>-2.442723122855206E-3</v>
      </c>
    </row>
    <row r="257" spans="19:27" x14ac:dyDescent="0.2">
      <c r="S257" s="61"/>
      <c r="T257" s="82"/>
      <c r="W257" s="103" t="str">
        <f t="shared" si="12"/>
        <v>1D</v>
      </c>
      <c r="X257" s="101">
        <f>_xll.qlCalendarAdvance(Calendar,X256,W257,"f",FALSE)</f>
        <v>42620</v>
      </c>
      <c r="Y257" s="104">
        <f>_xll.qlCalendarAdvance(Calendar,X257,NDays&amp;"D")</f>
        <v>42622</v>
      </c>
      <c r="Z257" s="105">
        <v>-2.1041878962857231E-3</v>
      </c>
      <c r="AA257" s="102">
        <v>-2.4356257981672513E-3</v>
      </c>
    </row>
    <row r="258" spans="19:27" x14ac:dyDescent="0.2">
      <c r="S258" s="61"/>
      <c r="T258" s="82"/>
      <c r="W258" s="103" t="str">
        <f t="shared" si="12"/>
        <v>1D</v>
      </c>
      <c r="X258" s="101">
        <f>_xll.qlCalendarAdvance(Calendar,X257,W258,"f",FALSE)</f>
        <v>42621</v>
      </c>
      <c r="Y258" s="104">
        <f>_xll.qlCalendarAdvance(Calendar,X258,NDays&amp;"D")</f>
        <v>42625</v>
      </c>
      <c r="Z258" s="105">
        <v>-2.0785972791166514E-3</v>
      </c>
      <c r="AA258" s="102">
        <v>-2.4285091492171063E-3</v>
      </c>
    </row>
    <row r="259" spans="19:27" x14ac:dyDescent="0.2">
      <c r="S259" s="61"/>
      <c r="T259" s="82"/>
      <c r="W259" s="103" t="str">
        <f t="shared" si="12"/>
        <v>1D</v>
      </c>
      <c r="X259" s="101">
        <f>_xll.qlCalendarAdvance(Calendar,X258,W259,"f",FALSE)</f>
        <v>42622</v>
      </c>
      <c r="Y259" s="104">
        <f>_xll.qlCalendarAdvance(Calendar,X259,NDays&amp;"D")</f>
        <v>42626</v>
      </c>
      <c r="Z259" s="105">
        <v>-2.0700001140914952E-3</v>
      </c>
      <c r="AA259" s="102">
        <v>-2.4213707178111221E-3</v>
      </c>
    </row>
    <row r="260" spans="19:27" x14ac:dyDescent="0.2">
      <c r="S260" s="61"/>
      <c r="T260" s="82"/>
      <c r="W260" s="103" t="str">
        <f t="shared" si="12"/>
        <v>1D</v>
      </c>
      <c r="X260" s="101">
        <f>_xll.qlCalendarAdvance(Calendar,X259,W260,"f",FALSE)</f>
        <v>42625</v>
      </c>
      <c r="Y260" s="104">
        <f>_xll.qlCalendarAdvance(Calendar,X260,NDays&amp;"D")</f>
        <v>42627</v>
      </c>
      <c r="Z260" s="105">
        <v>-2.0613691990696952E-3</v>
      </c>
      <c r="AA260" s="102">
        <v>-2.4069691014450001E-3</v>
      </c>
    </row>
    <row r="261" spans="19:27" x14ac:dyDescent="0.2">
      <c r="S261" s="61"/>
      <c r="T261" s="82"/>
      <c r="W261" s="103" t="str">
        <f t="shared" si="12"/>
        <v>1D</v>
      </c>
      <c r="X261" s="101">
        <f>_xll.qlCalendarAdvance(Calendar,X260,W261,"f",FALSE)</f>
        <v>42626</v>
      </c>
      <c r="Y261" s="104">
        <f>_xll.qlCalendarAdvance(Calendar,X261,NDays&amp;"D")</f>
        <v>42628</v>
      </c>
      <c r="Z261" s="105">
        <v>-2.0527043718416653E-3</v>
      </c>
      <c r="AA261" s="102">
        <v>-2.3924860949575688E-3</v>
      </c>
    </row>
    <row r="262" spans="19:27" x14ac:dyDescent="0.2">
      <c r="S262" s="61"/>
      <c r="T262" s="82"/>
      <c r="W262" s="103" t="str">
        <f t="shared" si="12"/>
        <v>1D</v>
      </c>
      <c r="X262" s="101">
        <f>_xll.qlCalendarAdvance(Calendar,X261,W262,"f",FALSE)</f>
        <v>42627</v>
      </c>
      <c r="Y262" s="104">
        <f>_xll.qlCalendarAdvance(Calendar,X262,NDays&amp;"D")</f>
        <v>42629</v>
      </c>
      <c r="Z262" s="105">
        <v>-2.044005497191611E-3</v>
      </c>
      <c r="AA262" s="102">
        <v>-2.3851797568630317E-3</v>
      </c>
    </row>
    <row r="263" spans="19:27" x14ac:dyDescent="0.2">
      <c r="S263" s="61"/>
      <c r="T263" s="82"/>
      <c r="W263" s="103" t="str">
        <f t="shared" si="12"/>
        <v>1D</v>
      </c>
      <c r="X263" s="101">
        <f>_xll.qlCalendarAdvance(Calendar,X262,W263,"f",FALSE)</f>
        <v>42628</v>
      </c>
      <c r="Y263" s="104">
        <f>_xll.qlCalendarAdvance(Calendar,X263,NDays&amp;"D")</f>
        <v>42632</v>
      </c>
      <c r="Z263" s="105">
        <v>-2.0177044244710073E-3</v>
      </c>
      <c r="AA263" s="102">
        <v>-2.3778393457840608E-3</v>
      </c>
    </row>
    <row r="264" spans="19:27" x14ac:dyDescent="0.2">
      <c r="S264" s="61"/>
      <c r="T264" s="82"/>
      <c r="W264" s="103" t="str">
        <f t="shared" si="12"/>
        <v>1D</v>
      </c>
      <c r="X264" s="101">
        <f>_xll.qlCalendarAdvance(Calendar,X263,W264,"f",FALSE)</f>
        <v>42629</v>
      </c>
      <c r="Y264" s="104">
        <f>_xll.qlCalendarAdvance(Calendar,X264,NDays&amp;"D")</f>
        <v>42633</v>
      </c>
      <c r="Z264" s="105">
        <v>-2.0088692498852192E-3</v>
      </c>
      <c r="AA264" s="102">
        <v>-2.3704648617606239E-3</v>
      </c>
    </row>
    <row r="265" spans="19:27" x14ac:dyDescent="0.2">
      <c r="S265" s="61"/>
      <c r="T265" s="82"/>
      <c r="W265" s="103" t="str">
        <f t="shared" si="12"/>
        <v>1D</v>
      </c>
      <c r="X265" s="101">
        <f>_xll.qlCalendarAdvance(Calendar,X264,W265,"f",FALSE)</f>
        <v>42632</v>
      </c>
      <c r="Y265" s="104">
        <f>_xll.qlCalendarAdvance(Calendar,X265,NDays&amp;"D")</f>
        <v>42634</v>
      </c>
      <c r="Z265" s="105">
        <v>-1.9999999997473809E-3</v>
      </c>
      <c r="AA265" s="102">
        <v>-2.3555869037883426E-3</v>
      </c>
    </row>
    <row r="266" spans="19:27" x14ac:dyDescent="0.2">
      <c r="S266" s="61"/>
      <c r="T266" s="82"/>
      <c r="W266" s="103" t="str">
        <f t="shared" si="12"/>
        <v>1D</v>
      </c>
      <c r="X266" s="101">
        <f>_xll.qlCalendarAdvance(Calendar,X265,W266,"f",FALSE)</f>
        <v>42633</v>
      </c>
      <c r="Y266" s="104">
        <f>_xll.qlCalendarAdvance(Calendar,X266,NDays&amp;"D")</f>
        <v>42635</v>
      </c>
      <c r="Z266" s="105">
        <v>-1.9910966989558176E-3</v>
      </c>
      <c r="AA266" s="102">
        <v>-2.3406261960623453E-3</v>
      </c>
    </row>
    <row r="267" spans="19:27" x14ac:dyDescent="0.2">
      <c r="S267" s="61"/>
      <c r="T267" s="82"/>
      <c r="W267" s="103" t="str">
        <f t="shared" si="12"/>
        <v>1D</v>
      </c>
      <c r="X267" s="101">
        <f>_xll.qlCalendarAdvance(Calendar,X266,W267,"f",FALSE)</f>
        <v>42634</v>
      </c>
      <c r="Y267" s="104">
        <f>_xll.qlCalendarAdvance(Calendar,X267,NDays&amp;"D")</f>
        <v>42636</v>
      </c>
      <c r="Z267" s="105">
        <v>-1.9821594729192231E-3</v>
      </c>
      <c r="AA267" s="102">
        <v>-2.3330813471167389E-3</v>
      </c>
    </row>
    <row r="268" spans="19:27" x14ac:dyDescent="0.2">
      <c r="S268" s="61"/>
      <c r="T268" s="82"/>
      <c r="W268" s="103" t="str">
        <f t="shared" si="12"/>
        <v>1D</v>
      </c>
      <c r="X268" s="101">
        <f>_xll.qlCalendarAdvance(Calendar,X267,W268,"f",FALSE)</f>
        <v>42635</v>
      </c>
      <c r="Y268" s="104">
        <f>_xll.qlCalendarAdvance(Calendar,X268,NDays&amp;"D")</f>
        <v>42639</v>
      </c>
      <c r="Z268" s="105">
        <v>-1.9503504190035558E-3</v>
      </c>
      <c r="AA268" s="102">
        <v>-2.3255024253865386E-3</v>
      </c>
    </row>
    <row r="269" spans="19:27" x14ac:dyDescent="0.2">
      <c r="S269" s="61"/>
      <c r="T269" s="82"/>
      <c r="W269" s="103" t="str">
        <f t="shared" si="12"/>
        <v>1D</v>
      </c>
      <c r="X269" s="101">
        <f>_xll.qlCalendarAdvance(Calendar,X268,W269,"f",FALSE)</f>
        <v>42636</v>
      </c>
      <c r="Y269" s="104">
        <f>_xll.qlCalendarAdvance(Calendar,X269,NDays&amp;"D")</f>
        <v>42640</v>
      </c>
      <c r="Z269" s="105">
        <v>-1.9460743270689157E-3</v>
      </c>
      <c r="AA269" s="102">
        <v>-2.3178894305520004E-3</v>
      </c>
    </row>
    <row r="270" spans="19:27" x14ac:dyDescent="0.2">
      <c r="S270" s="61"/>
      <c r="T270" s="82"/>
      <c r="W270" s="103" t="str">
        <f t="shared" si="12"/>
        <v>1D</v>
      </c>
      <c r="X270" s="101">
        <f>_xll.qlCalendarAdvance(Calendar,X269,W270,"f",FALSE)</f>
        <v>42639</v>
      </c>
      <c r="Y270" s="104">
        <f>_xll.qlCalendarAdvance(Calendar,X270,NDays&amp;"D")</f>
        <v>42641</v>
      </c>
      <c r="Z270" s="105">
        <v>-1.9369697328729897E-3</v>
      </c>
      <c r="AA270" s="102">
        <v>-2.3025351373950897E-3</v>
      </c>
    </row>
    <row r="271" spans="19:27" x14ac:dyDescent="0.2">
      <c r="S271" s="61"/>
      <c r="T271" s="82"/>
      <c r="W271" s="103" t="str">
        <f t="shared" si="12"/>
        <v>1D</v>
      </c>
      <c r="X271" s="101">
        <f>_xll.qlCalendarAdvance(Calendar,X270,W271,"f",FALSE)</f>
        <v>42640</v>
      </c>
      <c r="Y271" s="104">
        <f>_xll.qlCalendarAdvance(Calendar,X271,NDays&amp;"D")</f>
        <v>42642</v>
      </c>
      <c r="Z271" s="105">
        <v>-1.9278321166620511E-3</v>
      </c>
      <c r="AA271" s="102">
        <v>-2.2870967215293803E-3</v>
      </c>
    </row>
    <row r="272" spans="19:27" x14ac:dyDescent="0.2">
      <c r="S272" s="61"/>
      <c r="T272" s="82"/>
      <c r="W272" s="103" t="str">
        <f t="shared" si="12"/>
        <v>1D</v>
      </c>
      <c r="X272" s="101">
        <f>_xll.qlCalendarAdvance(Calendar,X271,W272,"f",FALSE)</f>
        <v>42641</v>
      </c>
      <c r="Y272" s="104">
        <f>_xll.qlCalendarAdvance(Calendar,X272,NDays&amp;"D")</f>
        <v>42643</v>
      </c>
      <c r="Z272" s="105">
        <v>-1.918661628976779E-3</v>
      </c>
      <c r="AA272" s="102">
        <v>-2.2793133617726724E-3</v>
      </c>
    </row>
    <row r="273" spans="19:27" x14ac:dyDescent="0.2">
      <c r="S273" s="61"/>
      <c r="T273" s="82"/>
      <c r="W273" s="103" t="str">
        <f t="shared" si="12"/>
        <v>1D</v>
      </c>
      <c r="X273" s="101">
        <f>_xll.qlCalendarAdvance(Calendar,X272,W273,"f",FALSE)</f>
        <v>42642</v>
      </c>
      <c r="Y273" s="104">
        <f>_xll.qlCalendarAdvance(Calendar,X273,NDays&amp;"D")</f>
        <v>42646</v>
      </c>
      <c r="Z273" s="105">
        <v>-1.8860491363968126E-3</v>
      </c>
      <c r="AA273" s="102">
        <v>-2.2714959290714987E-3</v>
      </c>
    </row>
    <row r="274" spans="19:27" x14ac:dyDescent="0.2">
      <c r="S274" s="61"/>
      <c r="T274" s="82"/>
      <c r="W274" s="103" t="str">
        <f t="shared" si="12"/>
        <v>1D</v>
      </c>
      <c r="X274" s="101">
        <f>_xll.qlCalendarAdvance(Calendar,X273,W274,"f",FALSE)</f>
        <v>42643</v>
      </c>
      <c r="Y274" s="104">
        <f>_xll.qlCalendarAdvance(Calendar,X274,NDays&amp;"D")</f>
        <v>42647</v>
      </c>
      <c r="Z274" s="105">
        <v>-1.8767334875753425E-3</v>
      </c>
      <c r="AA274" s="102">
        <v>-2.263644423345923E-3</v>
      </c>
    </row>
    <row r="275" spans="19:27" x14ac:dyDescent="0.2">
      <c r="S275" s="61"/>
      <c r="T275" s="82"/>
      <c r="W275" s="103" t="str">
        <f t="shared" si="12"/>
        <v>1D</v>
      </c>
      <c r="X275" s="101">
        <f>_xll.qlCalendarAdvance(Calendar,X274,W275,"f",FALSE)</f>
        <v>42646</v>
      </c>
      <c r="Y275" s="104">
        <f>_xll.qlCalendarAdvance(Calendar,X275,NDays&amp;"D")</f>
        <v>42648</v>
      </c>
      <c r="Z275" s="105">
        <v>-1.8673858476293405E-3</v>
      </c>
      <c r="AA275" s="102">
        <v>-2.2478138000137093E-3</v>
      </c>
    </row>
    <row r="276" spans="19:27" x14ac:dyDescent="0.2">
      <c r="S276" s="61"/>
      <c r="T276" s="82"/>
      <c r="W276" s="103" t="str">
        <f t="shared" si="12"/>
        <v>1D</v>
      </c>
      <c r="X276" s="101">
        <f>_xll.qlCalendarAdvance(Calendar,X275,W276,"f",FALSE)</f>
        <v>42647</v>
      </c>
      <c r="Y276" s="104">
        <f>_xll.qlCalendarAdvance(Calendar,X276,NDays&amp;"D")</f>
        <v>42649</v>
      </c>
      <c r="Z276" s="105">
        <v>-1.8430994152636626E-3</v>
      </c>
      <c r="AA276" s="102">
        <v>-2.231897670599281E-3</v>
      </c>
    </row>
    <row r="277" spans="19:27" x14ac:dyDescent="0.2">
      <c r="S277" s="61"/>
      <c r="T277" s="82"/>
      <c r="W277" s="103" t="str">
        <f t="shared" ref="W277:W340" si="13">W276</f>
        <v>1D</v>
      </c>
      <c r="X277" s="101">
        <f>_xll.qlCalendarAdvance(Calendar,X276,W277,"f",FALSE)</f>
        <v>42648</v>
      </c>
      <c r="Y277" s="104">
        <f>_xll.qlCalendarAdvance(Calendar,X277,NDays&amp;"D")</f>
        <v>42650</v>
      </c>
      <c r="Z277" s="105">
        <v>-1.8386370933671508E-3</v>
      </c>
      <c r="AA277" s="102">
        <v>-2.2238757998715997E-3</v>
      </c>
    </row>
    <row r="278" spans="19:27" x14ac:dyDescent="0.2">
      <c r="S278" s="61"/>
      <c r="T278" s="82"/>
      <c r="W278" s="103" t="str">
        <f t="shared" si="13"/>
        <v>1D</v>
      </c>
      <c r="X278" s="101">
        <f>_xll.qlCalendarAdvance(Calendar,X277,W278,"f",FALSE)</f>
        <v>42649</v>
      </c>
      <c r="Y278" s="104">
        <f>_xll.qlCalendarAdvance(Calendar,X278,NDays&amp;"D")</f>
        <v>42653</v>
      </c>
      <c r="Z278" s="105">
        <v>-1.8201729926576968E-3</v>
      </c>
      <c r="AA278" s="102">
        <v>-2.2158198561594844E-3</v>
      </c>
    </row>
    <row r="279" spans="19:27" x14ac:dyDescent="0.2">
      <c r="S279" s="61"/>
      <c r="T279" s="82"/>
      <c r="W279" s="103" t="str">
        <f t="shared" si="13"/>
        <v>1D</v>
      </c>
      <c r="X279" s="101">
        <f>_xll.qlCalendarAdvance(Calendar,X278,W279,"f",FALSE)</f>
        <v>42650</v>
      </c>
      <c r="Y279" s="104">
        <f>_xll.qlCalendarAdvance(Calendar,X279,NDays&amp;"D")</f>
        <v>42654</v>
      </c>
      <c r="Z279" s="105">
        <v>-1.8106365329466538E-3</v>
      </c>
      <c r="AA279" s="102">
        <v>-2.2077298394629352E-3</v>
      </c>
    </row>
    <row r="280" spans="19:27" x14ac:dyDescent="0.2">
      <c r="S280" s="61"/>
      <c r="T280" s="82"/>
      <c r="W280" s="103" t="str">
        <f t="shared" si="13"/>
        <v>1D</v>
      </c>
      <c r="X280" s="101">
        <f>_xll.qlCalendarAdvance(Calendar,X279,W280,"f",FALSE)</f>
        <v>42653</v>
      </c>
      <c r="Y280" s="104">
        <f>_xll.qlCalendarAdvance(Calendar,X280,NDays&amp;"D")</f>
        <v>42655</v>
      </c>
      <c r="Z280" s="105">
        <v>-1.8010691244433863E-3</v>
      </c>
      <c r="AA280" s="102">
        <v>-2.1914228894459598E-3</v>
      </c>
    </row>
    <row r="281" spans="19:27" x14ac:dyDescent="0.2">
      <c r="S281" s="61"/>
      <c r="T281" s="82"/>
      <c r="W281" s="103" t="str">
        <f t="shared" si="13"/>
        <v>1D</v>
      </c>
      <c r="X281" s="101">
        <f>_xll.qlCalendarAdvance(Calendar,X280,W281,"f",FALSE)</f>
        <v>42654</v>
      </c>
      <c r="Y281" s="104">
        <f>_xll.qlCalendarAdvance(Calendar,X281,NDays&amp;"D")</f>
        <v>42656</v>
      </c>
      <c r="Z281" s="105">
        <v>-1.7914709160557366E-3</v>
      </c>
      <c r="AA281" s="102">
        <v>-2.175029042432719E-3</v>
      </c>
    </row>
    <row r="282" spans="19:27" x14ac:dyDescent="0.2">
      <c r="S282" s="61"/>
      <c r="T282" s="82"/>
      <c r="W282" s="103" t="str">
        <f t="shared" si="13"/>
        <v>1D</v>
      </c>
      <c r="X282" s="101">
        <f>_xll.qlCalendarAdvance(Calendar,X281,W282,"f",FALSE)</f>
        <v>42655</v>
      </c>
      <c r="Y282" s="104">
        <f>_xll.qlCalendarAdvance(Calendar,X282,NDays&amp;"D")</f>
        <v>42657</v>
      </c>
      <c r="Z282" s="105">
        <v>-1.7716852806273361E-3</v>
      </c>
      <c r="AA282" s="102">
        <v>-2.1667686606940961E-3</v>
      </c>
    </row>
    <row r="283" spans="19:27" x14ac:dyDescent="0.2">
      <c r="S283" s="61"/>
      <c r="T283" s="82"/>
      <c r="W283" s="103" t="str">
        <f t="shared" si="13"/>
        <v>1D</v>
      </c>
      <c r="X283" s="101">
        <f>_xll.qlCalendarAdvance(Calendar,X282,W283,"f",FALSE)</f>
        <v>42656</v>
      </c>
      <c r="Y283" s="104">
        <f>_xll.qlCalendarAdvance(Calendar,X283,NDays&amp;"D")</f>
        <v>42660</v>
      </c>
      <c r="Z283" s="105">
        <v>-1.7527730618329396E-3</v>
      </c>
      <c r="AA283" s="102">
        <v>-2.1584742059310713E-3</v>
      </c>
    </row>
    <row r="284" spans="19:27" x14ac:dyDescent="0.2">
      <c r="S284" s="61"/>
      <c r="T284" s="82"/>
      <c r="W284" s="103" t="str">
        <f t="shared" si="13"/>
        <v>1D</v>
      </c>
      <c r="X284" s="101">
        <f>_xll.qlCalendarAdvance(Calendar,X283,W284,"f",FALSE)</f>
        <v>42657</v>
      </c>
      <c r="Y284" s="104">
        <f>_xll.qlCalendarAdvance(Calendar,X284,NDays&amp;"D")</f>
        <v>42661</v>
      </c>
      <c r="Z284" s="105">
        <v>-1.7430230876601335E-3</v>
      </c>
      <c r="AA284" s="102">
        <v>-2.1501456780637085E-3</v>
      </c>
    </row>
    <row r="285" spans="19:27" x14ac:dyDescent="0.2">
      <c r="S285" s="61"/>
      <c r="T285" s="82"/>
      <c r="W285" s="103" t="str">
        <f t="shared" si="13"/>
        <v>1D</v>
      </c>
      <c r="X285" s="101">
        <f>_xll.qlCalendarAdvance(Calendar,X284,W285,"f",FALSE)</f>
        <v>42660</v>
      </c>
      <c r="Y285" s="104">
        <f>_xll.qlCalendarAdvance(Calendar,X285,NDays&amp;"D")</f>
        <v>42662</v>
      </c>
      <c r="Z285" s="105">
        <v>-1.7332432070617304E-3</v>
      </c>
      <c r="AA285" s="102">
        <v>-2.1333624032271459E-3</v>
      </c>
    </row>
    <row r="286" spans="19:27" x14ac:dyDescent="0.2">
      <c r="S286" s="61"/>
      <c r="T286" s="82"/>
      <c r="W286" s="103" t="str">
        <f t="shared" si="13"/>
        <v>1D</v>
      </c>
      <c r="X286" s="101">
        <f>_xll.qlCalendarAdvance(Calendar,X285,W286,"f",FALSE)</f>
        <v>42661</v>
      </c>
      <c r="Y286" s="104">
        <f>_xll.qlCalendarAdvance(Calendar,X286,NDays&amp;"D")</f>
        <v>42663</v>
      </c>
      <c r="Z286" s="105">
        <v>-1.7234335689516552E-3</v>
      </c>
      <c r="AA286" s="102">
        <v>-2.1164908363902057E-3</v>
      </c>
    </row>
    <row r="287" spans="19:27" x14ac:dyDescent="0.2">
      <c r="S287" s="61"/>
      <c r="T287" s="82"/>
      <c r="W287" s="103" t="str">
        <f t="shared" si="13"/>
        <v>1D</v>
      </c>
      <c r="X287" s="101">
        <f>_xll.qlCalendarAdvance(Calendar,X286,W287,"f",FALSE)</f>
        <v>42662</v>
      </c>
      <c r="Y287" s="104">
        <f>_xll.qlCalendarAdvance(Calendar,X287,NDays&amp;"D")</f>
        <v>42664</v>
      </c>
      <c r="Z287" s="105">
        <v>-1.7032494180126174E-3</v>
      </c>
      <c r="AA287" s="102">
        <v>-2.1079919434408012E-3</v>
      </c>
    </row>
    <row r="288" spans="19:27" x14ac:dyDescent="0.2">
      <c r="S288" s="61"/>
      <c r="T288" s="82"/>
      <c r="W288" s="103" t="str">
        <f t="shared" si="13"/>
        <v>1D</v>
      </c>
      <c r="X288" s="101">
        <f>_xll.qlCalendarAdvance(Calendar,X287,W288,"f",FALSE)</f>
        <v>42663</v>
      </c>
      <c r="Y288" s="104">
        <f>_xll.qlCalendarAdvance(Calendar,X288,NDays&amp;"D")</f>
        <v>42667</v>
      </c>
      <c r="Z288" s="105">
        <v>-1.683900419678774E-3</v>
      </c>
      <c r="AA288" s="102">
        <v>-2.0994589774270267E-3</v>
      </c>
    </row>
    <row r="289" spans="19:27" x14ac:dyDescent="0.2">
      <c r="S289" s="61"/>
      <c r="T289" s="82"/>
      <c r="W289" s="103" t="str">
        <f t="shared" si="13"/>
        <v>1D</v>
      </c>
      <c r="X289" s="101">
        <f>_xll.qlCalendarAdvance(Calendar,X288,W289,"f",FALSE)</f>
        <v>42664</v>
      </c>
      <c r="Y289" s="104">
        <f>_xll.qlCalendarAdvance(Calendar,X289,NDays&amp;"D")</f>
        <v>42668</v>
      </c>
      <c r="Z289" s="105">
        <v>-1.6739442277300689E-3</v>
      </c>
      <c r="AA289" s="102">
        <v>-2.0908919383488822E-3</v>
      </c>
    </row>
    <row r="290" spans="19:27" x14ac:dyDescent="0.2">
      <c r="S290" s="61"/>
      <c r="T290" s="82"/>
      <c r="W290" s="103" t="str">
        <f t="shared" si="13"/>
        <v>1D</v>
      </c>
      <c r="X290" s="101">
        <f>_xll.qlCalendarAdvance(Calendar,X289,W290,"f",FALSE)</f>
        <v>42667</v>
      </c>
      <c r="Y290" s="104">
        <f>_xll.qlCalendarAdvance(Calendar,X290,NDays&amp;"D")</f>
        <v>42669</v>
      </c>
      <c r="Z290" s="105">
        <v>-1.6639591717627971E-3</v>
      </c>
      <c r="AA290" s="102">
        <v>-2.073632339039122E-3</v>
      </c>
    </row>
    <row r="291" spans="19:27" x14ac:dyDescent="0.2">
      <c r="S291" s="61"/>
      <c r="T291" s="82"/>
      <c r="W291" s="103" t="str">
        <f t="shared" si="13"/>
        <v>1D</v>
      </c>
      <c r="X291" s="101">
        <f>_xll.qlCalendarAdvance(Calendar,X290,W291,"f",FALSE)</f>
        <v>42668</v>
      </c>
      <c r="Y291" s="104">
        <f>_xll.qlCalendarAdvance(Calendar,X291,NDays&amp;"D")</f>
        <v>42670</v>
      </c>
      <c r="Z291" s="105">
        <v>-1.6539454006965313E-3</v>
      </c>
      <c r="AA291" s="102">
        <v>-2.0562830515524766E-3</v>
      </c>
    </row>
    <row r="292" spans="19:27" x14ac:dyDescent="0.2">
      <c r="S292" s="61"/>
      <c r="T292" s="82"/>
      <c r="W292" s="103" t="str">
        <f t="shared" si="13"/>
        <v>1D</v>
      </c>
      <c r="X292" s="101">
        <f>_xll.qlCalendarAdvance(Calendar,X291,W292,"f",FALSE)</f>
        <v>42669</v>
      </c>
      <c r="Y292" s="104">
        <f>_xll.qlCalendarAdvance(Calendar,X292,NDays&amp;"D")</f>
        <v>42671</v>
      </c>
      <c r="Z292" s="105">
        <v>-1.6333794922611476E-3</v>
      </c>
      <c r="AA292" s="102">
        <v>-2.0475456472723863E-3</v>
      </c>
    </row>
    <row r="293" spans="19:27" x14ac:dyDescent="0.2">
      <c r="S293" s="61"/>
      <c r="T293" s="82"/>
      <c r="W293" s="103" t="str">
        <f t="shared" si="13"/>
        <v>1D</v>
      </c>
      <c r="X293" s="101">
        <f>_xll.qlCalendarAdvance(Calendar,X292,W293,"f",FALSE)</f>
        <v>42670</v>
      </c>
      <c r="Y293" s="104">
        <f>_xll.qlCalendarAdvance(Calendar,X293,NDays&amp;"D")</f>
        <v>42674</v>
      </c>
      <c r="Z293" s="105">
        <v>-1.6136061438442669E-3</v>
      </c>
      <c r="AA293" s="102">
        <v>-2.0387741700078621E-3</v>
      </c>
    </row>
    <row r="294" spans="19:27" x14ac:dyDescent="0.2">
      <c r="S294" s="61"/>
      <c r="T294" s="82"/>
      <c r="W294" s="103" t="str">
        <f t="shared" si="13"/>
        <v>1D</v>
      </c>
      <c r="X294" s="101">
        <f>_xll.qlCalendarAdvance(Calendar,X293,W294,"f",FALSE)</f>
        <v>42671</v>
      </c>
      <c r="Y294" s="104">
        <f>_xll.qlCalendarAdvance(Calendar,X294,NDays&amp;"D")</f>
        <v>42675</v>
      </c>
      <c r="Z294" s="105">
        <v>-1.6034510310944264E-3</v>
      </c>
      <c r="AA294" s="102">
        <v>-2.0299686195190958E-3</v>
      </c>
    </row>
    <row r="295" spans="19:27" x14ac:dyDescent="0.2">
      <c r="S295" s="61"/>
      <c r="T295" s="82"/>
      <c r="W295" s="103" t="str">
        <f t="shared" si="13"/>
        <v>1D</v>
      </c>
      <c r="X295" s="101">
        <f>_xll.qlCalendarAdvance(Calendar,X294,W295,"f",FALSE)</f>
        <v>42674</v>
      </c>
      <c r="Y295" s="104">
        <f>_xll.qlCalendarAdvance(Calendar,X295,NDays&amp;"D")</f>
        <v>42676</v>
      </c>
      <c r="Z295" s="105">
        <v>-1.5932680967760586E-3</v>
      </c>
      <c r="AA295" s="102">
        <v>-2.0122326943239344E-3</v>
      </c>
    </row>
    <row r="296" spans="19:27" x14ac:dyDescent="0.2">
      <c r="S296" s="61"/>
      <c r="T296" s="82"/>
      <c r="W296" s="103" t="str">
        <f t="shared" si="13"/>
        <v>1D</v>
      </c>
      <c r="X296" s="101">
        <f>_xll.qlCalendarAdvance(Calendar,X295,W296,"f",FALSE)</f>
        <v>42675</v>
      </c>
      <c r="Y296" s="104">
        <f>_xll.qlCalendarAdvance(Calendar,X296,NDays&amp;"D")</f>
        <v>42677</v>
      </c>
      <c r="Z296" s="105">
        <v>-1.5830574898135147E-3</v>
      </c>
      <c r="AA296" s="102">
        <v>-1.994405687160139E-3</v>
      </c>
    </row>
    <row r="297" spans="19:27" x14ac:dyDescent="0.2">
      <c r="S297" s="61"/>
      <c r="T297" s="82"/>
      <c r="W297" s="103" t="str">
        <f t="shared" si="13"/>
        <v>1D</v>
      </c>
      <c r="X297" s="101">
        <f>_xll.qlCalendarAdvance(Calendar,X296,W297,"f",FALSE)</f>
        <v>42676</v>
      </c>
      <c r="Y297" s="104">
        <f>_xll.qlCalendarAdvance(Calendar,X297,NDays&amp;"D")</f>
        <v>42678</v>
      </c>
      <c r="Z297" s="105">
        <v>-1.5621254921150086E-3</v>
      </c>
      <c r="AA297" s="102">
        <v>-1.9854297713894908E-3</v>
      </c>
    </row>
    <row r="298" spans="19:27" x14ac:dyDescent="0.2">
      <c r="S298" s="61"/>
      <c r="T298" s="82"/>
      <c r="W298" s="103" t="str">
        <f t="shared" si="13"/>
        <v>1D</v>
      </c>
      <c r="X298" s="101">
        <f>_xll.qlCalendarAdvance(Calendar,X297,W298,"f",FALSE)</f>
        <v>42677</v>
      </c>
      <c r="Y298" s="104">
        <f>_xll.qlCalendarAdvance(Calendar,X298,NDays&amp;"D")</f>
        <v>42681</v>
      </c>
      <c r="Z298" s="105">
        <v>-1.5419413140759376E-3</v>
      </c>
      <c r="AA298" s="102">
        <v>-1.9764197826344088E-3</v>
      </c>
    </row>
    <row r="299" spans="19:27" x14ac:dyDescent="0.2">
      <c r="S299" s="61"/>
      <c r="T299" s="82"/>
      <c r="W299" s="103" t="str">
        <f t="shared" si="13"/>
        <v>1D</v>
      </c>
      <c r="X299" s="101">
        <f>_xll.qlCalendarAdvance(Calendar,X298,W299,"f",FALSE)</f>
        <v>42678</v>
      </c>
      <c r="Y299" s="104">
        <f>_xll.qlCalendarAdvance(Calendar,X299,NDays&amp;"D")</f>
        <v>42682</v>
      </c>
      <c r="Z299" s="105">
        <v>-1.5315945778112154E-3</v>
      </c>
      <c r="AA299" s="102">
        <v>-1.9673757207350206E-3</v>
      </c>
    </row>
    <row r="300" spans="19:27" x14ac:dyDescent="0.2">
      <c r="S300" s="61"/>
      <c r="T300" s="82"/>
      <c r="W300" s="103" t="str">
        <f t="shared" si="13"/>
        <v>1D</v>
      </c>
      <c r="X300" s="101">
        <f>_xll.qlCalendarAdvance(Calendar,X299,W300,"f",FALSE)</f>
        <v>42681</v>
      </c>
      <c r="Y300" s="104">
        <f>_xll.qlCalendarAdvance(Calendar,X300,NDays&amp;"D")</f>
        <v>42683</v>
      </c>
      <c r="Z300" s="105">
        <v>-1.5212210624757929E-3</v>
      </c>
      <c r="AA300" s="102">
        <v>-1.9491634665103064E-3</v>
      </c>
    </row>
    <row r="301" spans="19:27" x14ac:dyDescent="0.2">
      <c r="S301" s="61"/>
      <c r="T301" s="82"/>
      <c r="W301" s="103" t="str">
        <f t="shared" si="13"/>
        <v>1D</v>
      </c>
      <c r="X301" s="101">
        <f>_xll.qlCalendarAdvance(Calendar,X300,W301,"f",FALSE)</f>
        <v>42682</v>
      </c>
      <c r="Y301" s="104">
        <f>_xll.qlCalendarAdvance(Calendar,X301,NDays&amp;"D")</f>
        <v>42684</v>
      </c>
      <c r="Z301" s="105">
        <v>-1.5108209170009725E-3</v>
      </c>
      <c r="AA301" s="102">
        <v>-1.9308587422939283E-3</v>
      </c>
    </row>
    <row r="302" spans="19:27" x14ac:dyDescent="0.2">
      <c r="S302" s="61"/>
      <c r="T302" s="82"/>
      <c r="W302" s="103" t="str">
        <f t="shared" si="13"/>
        <v>1D</v>
      </c>
      <c r="X302" s="101">
        <f>_xll.qlCalendarAdvance(Calendar,X301,W302,"f",FALSE)</f>
        <v>42683</v>
      </c>
      <c r="Y302" s="104">
        <f>_xll.qlCalendarAdvance(Calendar,X302,NDays&amp;"D")</f>
        <v>42685</v>
      </c>
      <c r="Z302" s="105">
        <v>-1.4895374085064454E-3</v>
      </c>
      <c r="AA302" s="102">
        <v>-1.9216443149927542E-3</v>
      </c>
    </row>
    <row r="303" spans="19:27" x14ac:dyDescent="0.2">
      <c r="S303" s="61"/>
      <c r="T303" s="82"/>
      <c r="W303" s="103" t="str">
        <f t="shared" si="13"/>
        <v>1D</v>
      </c>
      <c r="X303" s="101">
        <f>_xll.qlCalendarAdvance(Calendar,X302,W303,"f",FALSE)</f>
        <v>42684</v>
      </c>
      <c r="Y303" s="104">
        <f>_xll.qlCalendarAdvance(Calendar,X303,NDays&amp;"D")</f>
        <v>42688</v>
      </c>
      <c r="Z303" s="105">
        <v>-1.4689570123876227E-3</v>
      </c>
      <c r="AA303" s="102">
        <v>-1.9123958145872422E-3</v>
      </c>
    </row>
    <row r="304" spans="19:27" x14ac:dyDescent="0.2">
      <c r="S304" s="61"/>
      <c r="T304" s="82"/>
      <c r="W304" s="103" t="str">
        <f t="shared" si="13"/>
        <v>1D</v>
      </c>
      <c r="X304" s="101">
        <f>_xll.qlCalendarAdvance(Calendar,X303,W304,"f",FALSE)</f>
        <v>42685</v>
      </c>
      <c r="Y304" s="104">
        <f>_xll.qlCalendarAdvance(Calendar,X304,NDays&amp;"D")</f>
        <v>42689</v>
      </c>
      <c r="Z304" s="105">
        <v>-1.4584259502353036E-3</v>
      </c>
      <c r="AA304" s="102">
        <v>-1.9031132410773921E-3</v>
      </c>
    </row>
    <row r="305" spans="19:27" x14ac:dyDescent="0.2">
      <c r="S305" s="61"/>
      <c r="T305" s="82"/>
      <c r="W305" s="103" t="str">
        <f t="shared" si="13"/>
        <v>1D</v>
      </c>
      <c r="X305" s="101">
        <f>_xll.qlCalendarAdvance(Calendar,X304,W305,"f",FALSE)</f>
        <v>42688</v>
      </c>
      <c r="Y305" s="104">
        <f>_xll.qlCalendarAdvance(Calendar,X305,NDays&amp;"D")</f>
        <v>42690</v>
      </c>
      <c r="Z305" s="105">
        <v>-1.4478691515592028E-3</v>
      </c>
      <c r="AA305" s="102">
        <v>-1.8844246530136388E-3</v>
      </c>
    </row>
    <row r="306" spans="19:27" x14ac:dyDescent="0.2">
      <c r="S306" s="61"/>
      <c r="T306" s="82"/>
      <c r="W306" s="103" t="str">
        <f t="shared" si="13"/>
        <v>1D</v>
      </c>
      <c r="X306" s="101">
        <f>_xll.qlCalendarAdvance(Calendar,X305,W306,"f",FALSE)</f>
        <v>42689</v>
      </c>
      <c r="Y306" s="104">
        <f>_xll.qlCalendarAdvance(Calendar,X306,NDays&amp;"D")</f>
        <v>42691</v>
      </c>
      <c r="Z306" s="105">
        <v>-1.4372867652975732E-3</v>
      </c>
      <c r="AA306" s="102">
        <v>-1.8656422160345798E-3</v>
      </c>
    </row>
    <row r="307" spans="19:27" x14ac:dyDescent="0.2">
      <c r="S307" s="61"/>
      <c r="T307" s="82"/>
      <c r="W307" s="103" t="str">
        <f t="shared" si="13"/>
        <v>1D</v>
      </c>
      <c r="X307" s="101">
        <f>_xll.qlCalendarAdvance(Calendar,X306,W307,"f",FALSE)</f>
        <v>42690</v>
      </c>
      <c r="Y307" s="104">
        <f>_xll.qlCalendarAdvance(Calendar,X307,NDays&amp;"D")</f>
        <v>42692</v>
      </c>
      <c r="Z307" s="105">
        <v>-1.415665234736021E-3</v>
      </c>
      <c r="AA307" s="102">
        <v>-1.8561892771229438E-3</v>
      </c>
    </row>
    <row r="308" spans="19:27" x14ac:dyDescent="0.2">
      <c r="S308" s="61"/>
      <c r="T308" s="82"/>
      <c r="W308" s="103" t="str">
        <f t="shared" si="13"/>
        <v>1D</v>
      </c>
      <c r="X308" s="101">
        <f>_xll.qlCalendarAdvance(Calendar,X307,W308,"f",FALSE)</f>
        <v>42691</v>
      </c>
      <c r="Y308" s="104">
        <f>_xll.qlCalendarAdvance(Calendar,X308,NDays&amp;"D")</f>
        <v>42695</v>
      </c>
      <c r="Z308" s="105">
        <v>-1.3947043232416343E-3</v>
      </c>
      <c r="AA308" s="102">
        <v>-1.8467022649071296E-3</v>
      </c>
    </row>
    <row r="309" spans="19:27" x14ac:dyDescent="0.2">
      <c r="S309" s="61"/>
      <c r="T309" s="82"/>
      <c r="W309" s="103" t="str">
        <f t="shared" si="13"/>
        <v>1D</v>
      </c>
      <c r="X309" s="101">
        <f>_xll.qlCalendarAdvance(Calendar,X308,W309,"f",FALSE)</f>
        <v>42692</v>
      </c>
      <c r="Y309" s="104">
        <f>_xll.qlCalendarAdvance(Calendar,X309,NDays&amp;"D")</f>
        <v>42696</v>
      </c>
      <c r="Z309" s="105">
        <v>-1.3839962331921912E-3</v>
      </c>
      <c r="AA309" s="102">
        <v>-1.8371811796669135E-3</v>
      </c>
    </row>
    <row r="310" spans="19:27" x14ac:dyDescent="0.2">
      <c r="S310" s="61"/>
      <c r="T310" s="82"/>
      <c r="W310" s="103" t="str">
        <f t="shared" si="13"/>
        <v>1D</v>
      </c>
      <c r="X310" s="101">
        <f>_xll.qlCalendarAdvance(Calendar,X309,W310,"f",FALSE)</f>
        <v>42695</v>
      </c>
      <c r="Y310" s="104">
        <f>_xll.qlCalendarAdvance(Calendar,X310,NDays&amp;"D")</f>
        <v>42697</v>
      </c>
      <c r="Z310" s="105">
        <v>-1.3732634492184513E-3</v>
      </c>
      <c r="AA310" s="102">
        <v>-1.8180162511161058E-3</v>
      </c>
    </row>
    <row r="311" spans="19:27" x14ac:dyDescent="0.2">
      <c r="S311" s="61"/>
      <c r="T311" s="82"/>
      <c r="W311" s="103" t="str">
        <f t="shared" si="13"/>
        <v>1D</v>
      </c>
      <c r="X311" s="101">
        <f>_xll.qlCalendarAdvance(Calendar,X310,W311,"f",FALSE)</f>
        <v>42696</v>
      </c>
      <c r="Y311" s="104">
        <f>_xll.qlCalendarAdvance(Calendar,X311,NDays&amp;"D")</f>
        <v>42698</v>
      </c>
      <c r="Z311" s="105">
        <v>-1.3625061202695288E-3</v>
      </c>
      <c r="AA311" s="102">
        <v>-1.7987561075427649E-3</v>
      </c>
    </row>
    <row r="312" spans="19:27" x14ac:dyDescent="0.2">
      <c r="S312" s="61"/>
      <c r="T312" s="82"/>
      <c r="W312" s="103" t="str">
        <f t="shared" si="13"/>
        <v>1D</v>
      </c>
      <c r="X312" s="101">
        <f>_xll.qlCalendarAdvance(Calendar,X311,W312,"f",FALSE)</f>
        <v>42697</v>
      </c>
      <c r="Y312" s="104">
        <f>_xll.qlCalendarAdvance(Calendar,X312,NDays&amp;"D")</f>
        <v>42699</v>
      </c>
      <c r="Z312" s="105">
        <v>-1.3405589666401424E-3</v>
      </c>
      <c r="AA312" s="102">
        <v>-1.7890646567408908E-3</v>
      </c>
    </row>
    <row r="313" spans="19:27" x14ac:dyDescent="0.2">
      <c r="S313" s="61"/>
      <c r="T313" s="82"/>
      <c r="W313" s="103" t="str">
        <f t="shared" si="13"/>
        <v>1D</v>
      </c>
      <c r="X313" s="101">
        <f>_xll.qlCalendarAdvance(Calendar,X312,W313,"f",FALSE)</f>
        <v>42698</v>
      </c>
      <c r="Y313" s="104">
        <f>_xll.qlCalendarAdvance(Calendar,X313,NDays&amp;"D")</f>
        <v>42702</v>
      </c>
      <c r="Z313" s="105">
        <v>-1.3192343337155843E-3</v>
      </c>
      <c r="AA313" s="102">
        <v>-1.7793391327547425E-3</v>
      </c>
    </row>
    <row r="314" spans="19:27" x14ac:dyDescent="0.2">
      <c r="S314" s="61"/>
      <c r="T314" s="82"/>
      <c r="W314" s="103" t="str">
        <f t="shared" si="13"/>
        <v>1D</v>
      </c>
      <c r="X314" s="101">
        <f>_xll.qlCalendarAdvance(Calendar,X313,W314,"f",FALSE)</f>
        <v>42699</v>
      </c>
      <c r="Y314" s="104">
        <f>_xll.qlCalendarAdvance(Calendar,X314,NDays&amp;"D")</f>
        <v>42703</v>
      </c>
      <c r="Z314" s="105">
        <v>-1.3139714289906086E-3</v>
      </c>
      <c r="AA314" s="102">
        <v>-1.7695795357441924E-3</v>
      </c>
    </row>
    <row r="315" spans="19:27" x14ac:dyDescent="0.2">
      <c r="S315" s="61"/>
      <c r="T315" s="82"/>
      <c r="W315" s="103" t="str">
        <f t="shared" si="13"/>
        <v>1D</v>
      </c>
      <c r="X315" s="101">
        <f>_xll.qlCalendarAdvance(Calendar,X314,W315,"f",FALSE)</f>
        <v>42702</v>
      </c>
      <c r="Y315" s="104">
        <f>_xll.qlCalendarAdvance(Calendar,X315,NDays&amp;"D")</f>
        <v>42704</v>
      </c>
      <c r="Z315" s="105">
        <v>-1.3086991190913722E-3</v>
      </c>
      <c r="AA315" s="102">
        <v>-1.7499382579932998E-3</v>
      </c>
    </row>
    <row r="316" spans="19:27" x14ac:dyDescent="0.2">
      <c r="S316" s="61"/>
      <c r="T316" s="82"/>
      <c r="W316" s="103" t="str">
        <f t="shared" si="13"/>
        <v>1D</v>
      </c>
      <c r="X316" s="101">
        <f>_xll.qlCalendarAdvance(Calendar,X315,W316,"f",FALSE)</f>
        <v>42703</v>
      </c>
      <c r="Y316" s="104">
        <f>_xll.qlCalendarAdvance(Calendar,X316,NDays&amp;"D")</f>
        <v>42705</v>
      </c>
      <c r="Z316" s="105">
        <v>-1.2977951346218042E-3</v>
      </c>
      <c r="AA316" s="102">
        <v>-1.7302004159391871E-3</v>
      </c>
    </row>
    <row r="317" spans="19:27" x14ac:dyDescent="0.2">
      <c r="S317" s="61"/>
      <c r="T317" s="82"/>
      <c r="W317" s="103" t="str">
        <f t="shared" si="13"/>
        <v>1D</v>
      </c>
      <c r="X317" s="101">
        <f>_xll.qlCalendarAdvance(Calendar,X316,W317,"f",FALSE)</f>
        <v>42704</v>
      </c>
      <c r="Y317" s="104">
        <f>_xll.qlCalendarAdvance(Calendar,X317,NDays&amp;"D")</f>
        <v>42706</v>
      </c>
      <c r="Z317" s="105">
        <v>-1.2868677311881349E-3</v>
      </c>
      <c r="AA317" s="102">
        <v>-1.7202704530472346E-3</v>
      </c>
    </row>
    <row r="318" spans="19:27" x14ac:dyDescent="0.2">
      <c r="S318" s="61"/>
      <c r="T318" s="82"/>
      <c r="W318" s="103" t="str">
        <f t="shared" si="13"/>
        <v>1D</v>
      </c>
      <c r="X318" s="101">
        <f>_xll.qlCalendarAdvance(Calendar,X317,W318,"f",FALSE)</f>
        <v>42705</v>
      </c>
      <c r="Y318" s="104">
        <f>_xll.qlCalendarAdvance(Calendar,X318,NDays&amp;"D")</f>
        <v>42709</v>
      </c>
      <c r="Z318" s="105">
        <v>-1.2482757186015217E-3</v>
      </c>
      <c r="AA318" s="102">
        <v>-1.7103064171708482E-3</v>
      </c>
    </row>
    <row r="319" spans="19:27" x14ac:dyDescent="0.2">
      <c r="S319" s="61"/>
      <c r="T319" s="82"/>
      <c r="W319" s="103" t="str">
        <f t="shared" si="13"/>
        <v>1D</v>
      </c>
      <c r="X319" s="101">
        <f>_xll.qlCalendarAdvance(Calendar,X318,W319,"f",FALSE)</f>
        <v>42706</v>
      </c>
      <c r="Y319" s="104">
        <f>_xll.qlCalendarAdvance(Calendar,X319,NDays&amp;"D")</f>
        <v>42710</v>
      </c>
      <c r="Z319" s="105">
        <v>-1.2429269733886805E-3</v>
      </c>
      <c r="AA319" s="102">
        <v>-1.7003083079902837E-3</v>
      </c>
    </row>
    <row r="320" spans="19:27" x14ac:dyDescent="0.2">
      <c r="S320" s="61"/>
      <c r="T320" s="82"/>
      <c r="W320" s="103" t="str">
        <f t="shared" si="13"/>
        <v>1D</v>
      </c>
      <c r="X320" s="101">
        <f>_xll.qlCalendarAdvance(Calendar,X319,W320,"f",FALSE)</f>
        <v>42709</v>
      </c>
      <c r="Y320" s="104">
        <f>_xll.qlCalendarAdvance(Calendar,X320,NDays&amp;"D")</f>
        <v>42711</v>
      </c>
      <c r="Z320" s="105">
        <v>-1.2318847593277837E-3</v>
      </c>
      <c r="AA320" s="102">
        <v>-1.6801906709007497E-3</v>
      </c>
    </row>
    <row r="321" spans="19:27" x14ac:dyDescent="0.2">
      <c r="S321" s="61"/>
      <c r="T321" s="82"/>
      <c r="W321" s="103" t="str">
        <f t="shared" si="13"/>
        <v>1D</v>
      </c>
      <c r="X321" s="101">
        <f>_xll.qlCalendarAdvance(Calendar,X320,W321,"f",FALSE)</f>
        <v>42710</v>
      </c>
      <c r="Y321" s="104">
        <f>_xll.qlCalendarAdvance(Calendar,X321,NDays&amp;"D")</f>
        <v>42712</v>
      </c>
      <c r="Z321" s="105">
        <v>-1.2208200399892455E-3</v>
      </c>
      <c r="AA321" s="102">
        <v>-1.6599751401047413E-3</v>
      </c>
    </row>
    <row r="322" spans="19:27" x14ac:dyDescent="0.2">
      <c r="S322" s="61"/>
      <c r="T322" s="82"/>
      <c r="W322" s="103" t="str">
        <f t="shared" si="13"/>
        <v>1D</v>
      </c>
      <c r="X322" s="101">
        <f>_xll.qlCalendarAdvance(Calendar,X321,W322,"f",FALSE)</f>
        <v>42711</v>
      </c>
      <c r="Y322" s="104">
        <f>_xll.qlCalendarAdvance(Calendar,X322,NDays&amp;"D")</f>
        <v>42713</v>
      </c>
      <c r="Z322" s="105">
        <v>-1.2097329676579172E-3</v>
      </c>
      <c r="AA322" s="102">
        <v>-1.6498066651227106E-3</v>
      </c>
    </row>
    <row r="323" spans="19:27" x14ac:dyDescent="0.2">
      <c r="S323" s="61"/>
      <c r="T323" s="82"/>
      <c r="W323" s="103" t="str">
        <f t="shared" si="13"/>
        <v>1D</v>
      </c>
      <c r="X323" s="101">
        <f>_xll.qlCalendarAdvance(Calendar,X322,W323,"f",FALSE)</f>
        <v>42712</v>
      </c>
      <c r="Y323" s="104">
        <f>_xll.qlCalendarAdvance(Calendar,X323,NDays&amp;"D")</f>
        <v>42716</v>
      </c>
      <c r="Z323" s="105">
        <v>-1.1705963635029108E-3</v>
      </c>
      <c r="AA323" s="102">
        <v>-1.6396041171562459E-3</v>
      </c>
    </row>
    <row r="324" spans="19:27" x14ac:dyDescent="0.2">
      <c r="S324" s="61"/>
      <c r="T324" s="82"/>
      <c r="W324" s="103" t="str">
        <f t="shared" si="13"/>
        <v>1D</v>
      </c>
      <c r="X324" s="101">
        <f>_xll.qlCalendarAdvance(Calendar,X323,W324,"f",FALSE)</f>
        <v>42713</v>
      </c>
      <c r="Y324" s="104">
        <f>_xll.qlCalendarAdvance(Calendar,X324,NDays&amp;"D")</f>
        <v>42717</v>
      </c>
      <c r="Z324" s="105">
        <v>-1.165164194161683E-3</v>
      </c>
      <c r="AA324" s="102">
        <v>-1.629367495885603E-3</v>
      </c>
    </row>
    <row r="325" spans="19:27" x14ac:dyDescent="0.2">
      <c r="S325" s="61"/>
      <c r="T325" s="82"/>
      <c r="W325" s="103" t="str">
        <f t="shared" si="13"/>
        <v>1D</v>
      </c>
      <c r="X325" s="101">
        <f>_xll.qlCalendarAdvance(Calendar,X324,W325,"f",FALSE)</f>
        <v>42716</v>
      </c>
      <c r="Y325" s="104">
        <f>_xll.qlCalendarAdvance(Calendar,X325,NDays&amp;"D")</f>
        <v>42718</v>
      </c>
      <c r="Z325" s="105">
        <v>-1.1539676411969069E-3</v>
      </c>
      <c r="AA325" s="102">
        <v>-1.6087734868541759E-3</v>
      </c>
    </row>
    <row r="326" spans="19:27" x14ac:dyDescent="0.2">
      <c r="S326" s="61"/>
      <c r="T326" s="82"/>
      <c r="W326" s="103" t="str">
        <f t="shared" si="13"/>
        <v>1D</v>
      </c>
      <c r="X326" s="101">
        <f>_xll.qlCalendarAdvance(Calendar,X325,W326,"f",FALSE)</f>
        <v>42717</v>
      </c>
      <c r="Y326" s="104">
        <f>_xll.qlCalendarAdvance(Calendar,X326,NDays&amp;"D")</f>
        <v>42719</v>
      </c>
      <c r="Z326" s="105">
        <v>-1.1427496489790911E-3</v>
      </c>
      <c r="AA326" s="102">
        <v>-1.5880802790801951E-3</v>
      </c>
    </row>
    <row r="327" spans="19:27" x14ac:dyDescent="0.2">
      <c r="S327" s="61"/>
      <c r="T327" s="82"/>
      <c r="W327" s="103" t="str">
        <f t="shared" si="13"/>
        <v>1D</v>
      </c>
      <c r="X327" s="101">
        <f>_xll.qlCalendarAdvance(Calendar,X326,W327,"f",FALSE)</f>
        <v>42718</v>
      </c>
      <c r="Y327" s="104">
        <f>_xll.qlCalendarAdvance(Calendar,X327,NDays&amp;"D")</f>
        <v>42720</v>
      </c>
      <c r="Z327" s="105">
        <v>-1.1315103698046336E-3</v>
      </c>
      <c r="AA327" s="102">
        <v>-1.577673292008086E-3</v>
      </c>
    </row>
    <row r="328" spans="19:27" x14ac:dyDescent="0.2">
      <c r="S328" s="61"/>
      <c r="T328" s="82"/>
      <c r="W328" s="103" t="str">
        <f t="shared" si="13"/>
        <v>1D</v>
      </c>
      <c r="X328" s="101">
        <f>_xll.qlCalendarAdvance(Calendar,X327,W328,"f",FALSE)</f>
        <v>42719</v>
      </c>
      <c r="Y328" s="104">
        <f>_xll.qlCalendarAdvance(Calendar,X328,NDays&amp;"D")</f>
        <v>42723</v>
      </c>
      <c r="Z328" s="105">
        <v>-1.0918522816786133E-3</v>
      </c>
      <c r="AA328" s="102">
        <v>-1.5672345194017723E-3</v>
      </c>
    </row>
    <row r="329" spans="19:27" x14ac:dyDescent="0.2">
      <c r="S329" s="61"/>
      <c r="T329" s="82"/>
      <c r="W329" s="103" t="str">
        <f t="shared" si="13"/>
        <v>1D</v>
      </c>
      <c r="X329" s="101">
        <f>_xll.qlCalendarAdvance(Calendar,X328,W329,"f",FALSE)</f>
        <v>42720</v>
      </c>
      <c r="Y329" s="104">
        <f>_xll.qlCalendarAdvance(Calendar,X329,NDays&amp;"D")</f>
        <v>42724</v>
      </c>
      <c r="Z329" s="105">
        <v>-1.0863434294865471E-3</v>
      </c>
      <c r="AA329" s="102">
        <v>-1.5567731125010198E-3</v>
      </c>
    </row>
    <row r="330" spans="19:27" x14ac:dyDescent="0.2">
      <c r="S330" s="61"/>
      <c r="T330" s="82"/>
      <c r="W330" s="103" t="str">
        <f t="shared" si="13"/>
        <v>1D</v>
      </c>
      <c r="X330" s="101">
        <f>_xll.qlCalendarAdvance(Calendar,X329,W330,"f",FALSE)</f>
        <v>42723</v>
      </c>
      <c r="Y330" s="104">
        <f>_xll.qlCalendarAdvance(Calendar,X330,NDays&amp;"D")</f>
        <v>42725</v>
      </c>
      <c r="Z330" s="105">
        <v>-1.0750000000001592E-3</v>
      </c>
      <c r="AA330" s="102">
        <v>-1.5305081019645339E-3</v>
      </c>
    </row>
    <row r="331" spans="19:27" x14ac:dyDescent="0.2">
      <c r="S331" s="61"/>
      <c r="T331" s="82"/>
      <c r="W331" s="103" t="str">
        <f t="shared" si="13"/>
        <v>1D</v>
      </c>
      <c r="X331" s="101">
        <f>_xll.qlCalendarAdvance(Calendar,X330,W331,"f",FALSE)</f>
        <v>42724</v>
      </c>
      <c r="Y331" s="104">
        <f>_xll.qlCalendarAdvance(Calendar,X331,NDays&amp;"D")</f>
        <v>42726</v>
      </c>
      <c r="Z331" s="105">
        <v>-1.0636361140758943E-3</v>
      </c>
      <c r="AA331" s="102">
        <v>-1.5041608786114935E-3</v>
      </c>
    </row>
    <row r="332" spans="19:27" x14ac:dyDescent="0.2">
      <c r="S332" s="61"/>
      <c r="T332" s="82"/>
      <c r="W332" s="103" t="str">
        <f t="shared" si="13"/>
        <v>1D</v>
      </c>
      <c r="X332" s="101">
        <f>_xll.qlCalendarAdvance(Calendar,X331,W332,"f",FALSE)</f>
        <v>42725</v>
      </c>
      <c r="Y332" s="104">
        <f>_xll.qlCalendarAdvance(Calendar,X332,NDays&amp;"D")</f>
        <v>42727</v>
      </c>
      <c r="Z332" s="105">
        <v>-1.0522515076214489E-3</v>
      </c>
      <c r="AA332" s="102">
        <v>-1.4935773920443651E-3</v>
      </c>
    </row>
    <row r="333" spans="19:27" x14ac:dyDescent="0.2">
      <c r="S333" s="61"/>
      <c r="T333" s="82"/>
      <c r="W333" s="103" t="str">
        <f t="shared" si="13"/>
        <v>1D</v>
      </c>
      <c r="X333" s="101">
        <f>_xll.qlCalendarAdvance(Calendar,X332,W333,"f",FALSE)</f>
        <v>42726</v>
      </c>
      <c r="Y333" s="104">
        <f>_xll.qlCalendarAdvance(Calendar,X333,NDays&amp;"D")</f>
        <v>42731</v>
      </c>
      <c r="Z333" s="105">
        <v>-1.0064989289086945E-3</v>
      </c>
      <c r="AA333" s="102">
        <v>-1.4829735587928994E-3</v>
      </c>
    </row>
    <row r="334" spans="19:27" x14ac:dyDescent="0.2">
      <c r="S334" s="61"/>
      <c r="T334" s="82"/>
      <c r="W334" s="103" t="str">
        <f t="shared" si="13"/>
        <v>1D</v>
      </c>
      <c r="X334" s="101">
        <f>_xll.qlCalendarAdvance(Calendar,X333,W334,"f",FALSE)</f>
        <v>42727</v>
      </c>
      <c r="Y334" s="104">
        <f>_xll.qlCalendarAdvance(Calendar,X334,NDays&amp;"D")</f>
        <v>42732</v>
      </c>
      <c r="Z334" s="105">
        <v>-9.9500550907327678E-4</v>
      </c>
      <c r="AA334" s="102">
        <v>-1.4616921354626555E-3</v>
      </c>
    </row>
    <row r="335" spans="19:27" x14ac:dyDescent="0.2">
      <c r="S335" s="61"/>
      <c r="T335" s="82"/>
      <c r="W335" s="103" t="str">
        <f t="shared" si="13"/>
        <v>1D</v>
      </c>
      <c r="X335" s="101">
        <f>_xll.qlCalendarAdvance(Calendar,X334,W335,"f",FALSE)</f>
        <v>42731</v>
      </c>
      <c r="Y335" s="104">
        <f>_xll.qlCalendarAdvance(Calendar,X335,NDays&amp;"D")</f>
        <v>42733</v>
      </c>
      <c r="Z335" s="105">
        <v>-9.834892843860743E-4</v>
      </c>
      <c r="AA335" s="102">
        <v>-1.4403547596231192E-3</v>
      </c>
    </row>
    <row r="336" spans="19:27" x14ac:dyDescent="0.2">
      <c r="S336" s="61"/>
      <c r="T336" s="82"/>
      <c r="W336" s="103" t="str">
        <f t="shared" si="13"/>
        <v>1D</v>
      </c>
      <c r="X336" s="101">
        <f>_xll.qlCalendarAdvance(Calendar,X335,W336,"f",FALSE)</f>
        <v>42732</v>
      </c>
      <c r="Y336" s="104">
        <f>_xll.qlCalendarAdvance(Calendar,X336,NDays&amp;"D")</f>
        <v>42734</v>
      </c>
      <c r="Z336" s="105">
        <v>-9.6600910602706591E-4</v>
      </c>
      <c r="AA336" s="102">
        <v>-1.4296491933496469E-3</v>
      </c>
    </row>
    <row r="337" spans="19:27" x14ac:dyDescent="0.2">
      <c r="S337" s="61"/>
      <c r="T337" s="82"/>
      <c r="W337" s="103" t="str">
        <f t="shared" si="13"/>
        <v>1D</v>
      </c>
      <c r="X337" s="101">
        <f>_xll.qlCalendarAdvance(Calendar,X336,W337,"f",FALSE)</f>
        <v>42733</v>
      </c>
      <c r="Y337" s="104">
        <f>_xll.qlCalendarAdvance(Calendar,X337,NDays&amp;"D")</f>
        <v>42737</v>
      </c>
      <c r="Z337" s="105">
        <v>-9.3120741849308738E-4</v>
      </c>
      <c r="AA337" s="102">
        <v>-1.4189232802719332E-3</v>
      </c>
    </row>
    <row r="338" spans="19:27" x14ac:dyDescent="0.2">
      <c r="S338" s="61"/>
      <c r="T338" s="82"/>
      <c r="W338" s="103" t="str">
        <f t="shared" si="13"/>
        <v>1D</v>
      </c>
      <c r="X338" s="101">
        <f>_xll.qlCalendarAdvance(Calendar,X337,W338,"f",FALSE)</f>
        <v>42734</v>
      </c>
      <c r="Y338" s="104">
        <f>_xll.qlCalendarAdvance(Calendar,X338,NDays&amp;"D")</f>
        <v>42738</v>
      </c>
      <c r="Z338" s="105">
        <v>-9.2555392894144717E-4</v>
      </c>
      <c r="AA338" s="102">
        <v>-1.3919986912436233E-3</v>
      </c>
    </row>
    <row r="339" spans="19:27" x14ac:dyDescent="0.2">
      <c r="S339" s="61"/>
      <c r="T339" s="82"/>
      <c r="W339" s="103" t="str">
        <f t="shared" si="13"/>
        <v>1D</v>
      </c>
      <c r="X339" s="101">
        <f>_xll.qlCalendarAdvance(Calendar,X338,W339,"f",FALSE)</f>
        <v>42737</v>
      </c>
      <c r="Y339" s="104">
        <f>_xll.qlCalendarAdvance(Calendar,X339,NDays&amp;"D")</f>
        <v>42739</v>
      </c>
      <c r="Z339" s="105">
        <v>-9.1389357954341222E-4</v>
      </c>
      <c r="AA339" s="102">
        <v>-1.3649885158173447E-3</v>
      </c>
    </row>
    <row r="340" spans="19:27" x14ac:dyDescent="0.2">
      <c r="S340" s="61"/>
      <c r="T340" s="82"/>
      <c r="W340" s="103" t="str">
        <f t="shared" si="13"/>
        <v>1D</v>
      </c>
      <c r="X340" s="101">
        <f>_xll.qlCalendarAdvance(Calendar,X339,W340,"f",FALSE)</f>
        <v>42738</v>
      </c>
      <c r="Y340" s="104">
        <f>_xll.qlCalendarAdvance(Calendar,X340,NDays&amp;"D")</f>
        <v>42740</v>
      </c>
      <c r="Z340" s="105">
        <v>-9.0220799338514013E-4</v>
      </c>
      <c r="AA340" s="102">
        <v>-1.3541405231132231E-3</v>
      </c>
    </row>
    <row r="341" spans="19:27" x14ac:dyDescent="0.2">
      <c r="S341" s="61"/>
      <c r="T341" s="82"/>
      <c r="W341" s="103" t="str">
        <f t="shared" ref="W341:W404" si="14">W340</f>
        <v>1D</v>
      </c>
      <c r="X341" s="101">
        <f>_xll.qlCalendarAdvance(Calendar,X340,W341,"f",FALSE)</f>
        <v>42739</v>
      </c>
      <c r="Y341" s="104">
        <f>_xll.qlCalendarAdvance(Calendar,X341,NDays&amp;"D")</f>
        <v>42744</v>
      </c>
      <c r="Z341" s="105">
        <v>-8.4911804713900618E-4</v>
      </c>
      <c r="AA341" s="102">
        <v>-1.34327218360486E-3</v>
      </c>
    </row>
    <row r="342" spans="19:27" x14ac:dyDescent="0.2">
      <c r="S342" s="61"/>
      <c r="T342" s="82"/>
      <c r="W342" s="103" t="str">
        <f t="shared" si="14"/>
        <v>1D</v>
      </c>
      <c r="X342" s="101">
        <f>_xll.qlCalendarAdvance(Calendar,X341,W342,"f",FALSE)</f>
        <v>42740</v>
      </c>
      <c r="Y342" s="104">
        <f>_xll.qlCalendarAdvance(Calendar,X342,NDays&amp;"D")</f>
        <v>42745</v>
      </c>
      <c r="Z342" s="105">
        <v>-8.4338935086680777E-4</v>
      </c>
      <c r="AA342" s="102">
        <v>-1.3323834975320636E-3</v>
      </c>
    </row>
    <row r="343" spans="19:27" x14ac:dyDescent="0.2">
      <c r="S343" s="61"/>
      <c r="T343" s="82"/>
      <c r="W343" s="103" t="str">
        <f t="shared" si="14"/>
        <v>1D</v>
      </c>
      <c r="X343" s="101">
        <f>_xll.qlCalendarAdvance(Calendar,X342,W343,"f",FALSE)</f>
        <v>42744</v>
      </c>
      <c r="Y343" s="104">
        <f>_xll.qlCalendarAdvance(Calendar,X343,NDays&amp;"D")</f>
        <v>42746</v>
      </c>
      <c r="Z343" s="105">
        <v>-8.3154504788751638E-4</v>
      </c>
      <c r="AA343" s="102">
        <v>-1.3105335324814504E-3</v>
      </c>
    </row>
    <row r="344" spans="19:27" x14ac:dyDescent="0.2">
      <c r="S344" s="61"/>
      <c r="T344" s="82"/>
      <c r="W344" s="103" t="str">
        <f t="shared" si="14"/>
        <v>1D</v>
      </c>
      <c r="X344" s="101">
        <f>_xll.qlCalendarAdvance(Calendar,X343,W344,"f",FALSE)</f>
        <v>42745</v>
      </c>
      <c r="Y344" s="104">
        <f>_xll.qlCalendarAdvance(Calendar,X344,NDays&amp;"D")</f>
        <v>42747</v>
      </c>
      <c r="Z344" s="105">
        <v>-8.196730760192672E-4</v>
      </c>
      <c r="AA344" s="102">
        <v>-1.2886252866772807E-3</v>
      </c>
    </row>
    <row r="345" spans="19:27" x14ac:dyDescent="0.2">
      <c r="S345" s="61"/>
      <c r="T345" s="82"/>
      <c r="W345" s="103" t="str">
        <f t="shared" si="14"/>
        <v>1D</v>
      </c>
      <c r="X345" s="101">
        <f>_xll.qlCalendarAdvance(Calendar,X344,W345,"f",FALSE)</f>
        <v>42746</v>
      </c>
      <c r="Y345" s="104">
        <f>_xll.qlCalendarAdvance(Calendar,X345,NDays&amp;"D")</f>
        <v>42748</v>
      </c>
      <c r="Z345" s="105">
        <v>-8.0777308779467205E-4</v>
      </c>
      <c r="AA345" s="102">
        <v>-1.2776348673826377E-3</v>
      </c>
    </row>
    <row r="346" spans="19:27" x14ac:dyDescent="0.2">
      <c r="S346" s="61"/>
      <c r="T346" s="82"/>
      <c r="W346" s="103" t="str">
        <f t="shared" si="14"/>
        <v>1D</v>
      </c>
      <c r="X346" s="101">
        <f>_xll.qlCalendarAdvance(Calendar,X345,W346,"f",FALSE)</f>
        <v>42747</v>
      </c>
      <c r="Y346" s="104">
        <f>_xll.qlCalendarAdvance(Calendar,X346,NDays&amp;"D")</f>
        <v>42751</v>
      </c>
      <c r="Z346" s="105">
        <v>-7.5947219963304943E-4</v>
      </c>
      <c r="AA346" s="102">
        <v>-1.2666241013636892E-3</v>
      </c>
    </row>
    <row r="347" spans="19:27" x14ac:dyDescent="0.2">
      <c r="S347" s="61"/>
      <c r="T347" s="82"/>
      <c r="W347" s="103" t="str">
        <f t="shared" si="14"/>
        <v>1D</v>
      </c>
      <c r="X347" s="101">
        <f>_xll.qlCalendarAdvance(Calendar,X346,W347,"f",FALSE)</f>
        <v>42748</v>
      </c>
      <c r="Y347" s="104">
        <f>_xll.qlCalendarAdvance(Calendar,X347,NDays&amp;"D")</f>
        <v>42752</v>
      </c>
      <c r="Z347" s="105">
        <v>-7.5366002828206936E-4</v>
      </c>
      <c r="AA347" s="102">
        <v>-1.2555929887403394E-3</v>
      </c>
    </row>
    <row r="348" spans="19:27" x14ac:dyDescent="0.2">
      <c r="S348" s="61"/>
      <c r="T348" s="82"/>
      <c r="W348" s="103" t="str">
        <f t="shared" si="14"/>
        <v>1D</v>
      </c>
      <c r="X348" s="101">
        <f>_xll.qlCalendarAdvance(Calendar,X347,W348,"f",FALSE)</f>
        <v>42751</v>
      </c>
      <c r="Y348" s="104">
        <f>_xll.qlCalendarAdvance(Calendar,X348,NDays&amp;"D")</f>
        <v>42753</v>
      </c>
      <c r="Z348" s="105">
        <v>-7.4784073970146636E-4</v>
      </c>
      <c r="AA348" s="102">
        <v>-1.2334587151396903E-3</v>
      </c>
    </row>
    <row r="349" spans="19:27" x14ac:dyDescent="0.2">
      <c r="S349" s="61"/>
      <c r="T349" s="82"/>
      <c r="W349" s="103" t="str">
        <f t="shared" si="14"/>
        <v>1D</v>
      </c>
      <c r="X349" s="101">
        <f>_xll.qlCalendarAdvance(Calendar,X348,W349,"f",FALSE)</f>
        <v>42752</v>
      </c>
      <c r="Y349" s="104">
        <f>_xll.qlCalendarAdvance(Calendar,X349,NDays&amp;"D")</f>
        <v>42754</v>
      </c>
      <c r="Z349" s="105">
        <v>-7.3576535629582551E-4</v>
      </c>
      <c r="AA349" s="102">
        <v>-1.2112650715634388E-3</v>
      </c>
    </row>
    <row r="350" spans="19:27" x14ac:dyDescent="0.2">
      <c r="S350" s="61"/>
      <c r="T350" s="82"/>
      <c r="W350" s="103" t="str">
        <f t="shared" si="14"/>
        <v>1D</v>
      </c>
      <c r="X350" s="101">
        <f>_xll.qlCalendarAdvance(Calendar,X349,W350,"f",FALSE)</f>
        <v>42753</v>
      </c>
      <c r="Y350" s="104">
        <f>_xll.qlCalendarAdvance(Calendar,X350,NDays&amp;"D")</f>
        <v>42755</v>
      </c>
      <c r="Z350" s="105">
        <v>-7.2365952413999679E-4</v>
      </c>
      <c r="AA350" s="102">
        <v>-1.2001322255583702E-3</v>
      </c>
    </row>
    <row r="351" spans="19:27" x14ac:dyDescent="0.2">
      <c r="S351" s="61"/>
      <c r="T351" s="82"/>
      <c r="W351" s="103" t="str">
        <f t="shared" si="14"/>
        <v>1D</v>
      </c>
      <c r="X351" s="101">
        <f>_xll.qlCalendarAdvance(Calendar,X350,W351,"f",FALSE)</f>
        <v>42754</v>
      </c>
      <c r="Y351" s="104">
        <f>_xll.qlCalendarAdvance(Calendar,X351,NDays&amp;"D")</f>
        <v>42758</v>
      </c>
      <c r="Z351" s="105">
        <v>-6.8081636155362883E-4</v>
      </c>
      <c r="AA351" s="102">
        <v>-1.1889790328689642E-3</v>
      </c>
    </row>
    <row r="352" spans="19:27" x14ac:dyDescent="0.2">
      <c r="S352" s="61"/>
      <c r="T352" s="82"/>
      <c r="W352" s="103" t="str">
        <f t="shared" si="14"/>
        <v>1D</v>
      </c>
      <c r="X352" s="101">
        <f>_xll.qlCalendarAdvance(Calendar,X351,W352,"f",FALSE)</f>
        <v>42755</v>
      </c>
      <c r="Y352" s="104">
        <f>_xll.qlCalendarAdvance(Calendar,X352,NDays&amp;"D")</f>
        <v>42759</v>
      </c>
      <c r="Z352" s="105">
        <v>-6.7492475786679051E-4</v>
      </c>
      <c r="AA352" s="102">
        <v>-1.177805493575157E-3</v>
      </c>
    </row>
    <row r="353" spans="19:27" x14ac:dyDescent="0.2">
      <c r="S353" s="61"/>
      <c r="T353" s="82"/>
      <c r="W353" s="103" t="str">
        <f t="shared" si="14"/>
        <v>1D</v>
      </c>
      <c r="X353" s="101">
        <f>_xll.qlCalendarAdvance(Calendar,X352,W353,"f",FALSE)</f>
        <v>42758</v>
      </c>
      <c r="Y353" s="104">
        <f>_xll.qlCalendarAdvance(Calendar,X353,NDays&amp;"D")</f>
        <v>42760</v>
      </c>
      <c r="Z353" s="105">
        <v>-6.626614693030497E-4</v>
      </c>
      <c r="AA353" s="102">
        <v>-1.1553868847258286E-3</v>
      </c>
    </row>
    <row r="354" spans="19:27" x14ac:dyDescent="0.2">
      <c r="S354" s="61"/>
      <c r="T354" s="82"/>
      <c r="W354" s="103" t="str">
        <f t="shared" si="14"/>
        <v>1D</v>
      </c>
      <c r="X354" s="101">
        <f>_xll.qlCalendarAdvance(Calendar,X353,W354,"f",FALSE)</f>
        <v>42759</v>
      </c>
      <c r="Y354" s="104">
        <f>_xll.qlCalendarAdvance(Calendar,X354,NDays&amp;"D")</f>
        <v>42761</v>
      </c>
      <c r="Z354" s="105">
        <v>-6.5036564689080478E-4</v>
      </c>
      <c r="AA354" s="102">
        <v>-1.1329078696364903E-3</v>
      </c>
    </row>
    <row r="355" spans="19:27" x14ac:dyDescent="0.2">
      <c r="S355" s="61"/>
      <c r="T355" s="82"/>
      <c r="W355" s="103" t="str">
        <f t="shared" si="14"/>
        <v>1D</v>
      </c>
      <c r="X355" s="101">
        <f>_xll.qlCalendarAdvance(Calendar,X354,W355,"f",FALSE)</f>
        <v>42760</v>
      </c>
      <c r="Y355" s="104">
        <f>_xll.qlCalendarAdvance(Calendar,X355,NDays&amp;"D")</f>
        <v>42762</v>
      </c>
      <c r="Z355" s="105">
        <v>-6.3803694309516601E-4</v>
      </c>
      <c r="AA355" s="102">
        <v>-1.1216325969209961E-3</v>
      </c>
    </row>
    <row r="356" spans="19:27" x14ac:dyDescent="0.2">
      <c r="S356" s="61"/>
      <c r="T356" s="82"/>
      <c r="W356" s="103" t="str">
        <f t="shared" si="14"/>
        <v>1D</v>
      </c>
      <c r="X356" s="101">
        <f>_xll.qlCalendarAdvance(Calendar,X355,W356,"f",FALSE)</f>
        <v>42761</v>
      </c>
      <c r="Y356" s="104">
        <f>_xll.qlCalendarAdvance(Calendar,X356,NDays&amp;"D")</f>
        <v>42765</v>
      </c>
      <c r="Z356" s="105">
        <v>-6.1376749366676652E-4</v>
      </c>
      <c r="AA356" s="102">
        <v>-1.1103369775611327E-3</v>
      </c>
    </row>
    <row r="357" spans="19:27" x14ac:dyDescent="0.2">
      <c r="S357" s="61"/>
      <c r="T357" s="82"/>
      <c r="W357" s="103" t="str">
        <f t="shared" si="14"/>
        <v>1D</v>
      </c>
      <c r="X357" s="101">
        <f>_xll.qlCalendarAdvance(Calendar,X356,W357,"f",FALSE)</f>
        <v>42762</v>
      </c>
      <c r="Y357" s="104">
        <f>_xll.qlCalendarAdvance(Calendar,X357,NDays&amp;"D")</f>
        <v>42766</v>
      </c>
      <c r="Z357" s="105">
        <v>-6.0780227564191365E-4</v>
      </c>
      <c r="AA357" s="102">
        <v>-1.0990210114769638E-3</v>
      </c>
    </row>
    <row r="358" spans="19:27" x14ac:dyDescent="0.2">
      <c r="S358" s="61"/>
      <c r="T358" s="82"/>
      <c r="W358" s="103" t="str">
        <f t="shared" si="14"/>
        <v>1D</v>
      </c>
      <c r="X358" s="101">
        <f>_xll.qlCalendarAdvance(Calendar,X357,W358,"f",FALSE)</f>
        <v>42765</v>
      </c>
      <c r="Y358" s="104">
        <f>_xll.qlCalendarAdvance(Calendar,X358,NDays&amp;"D")</f>
        <v>42767</v>
      </c>
      <c r="Z358" s="105">
        <v>-5.7588803932118182E-4</v>
      </c>
      <c r="AA358" s="102">
        <v>-1.0763180392947547E-3</v>
      </c>
    </row>
    <row r="359" spans="19:27" x14ac:dyDescent="0.2">
      <c r="S359" s="61"/>
      <c r="T359" s="82"/>
      <c r="W359" s="103" t="str">
        <f t="shared" si="14"/>
        <v>1D</v>
      </c>
      <c r="X359" s="101">
        <f>_xll.qlCalendarAdvance(Calendar,X358,W359,"f",FALSE)</f>
        <v>42766</v>
      </c>
      <c r="Y359" s="104">
        <f>_xll.qlCalendarAdvance(Calendar,X359,NDays&amp;"D")</f>
        <v>42768</v>
      </c>
      <c r="Z359" s="105">
        <v>-5.6988475274934278E-4</v>
      </c>
      <c r="AA359" s="102">
        <v>-1.0535536804168188E-3</v>
      </c>
    </row>
    <row r="360" spans="19:27" x14ac:dyDescent="0.2">
      <c r="S360" s="61"/>
      <c r="T360" s="82"/>
      <c r="W360" s="103" t="str">
        <f t="shared" si="14"/>
        <v>1D</v>
      </c>
      <c r="X360" s="101">
        <f>_xll.qlCalendarAdvance(Calendar,X359,W360,"f",FALSE)</f>
        <v>42767</v>
      </c>
      <c r="Y360" s="104">
        <f>_xll.qlCalendarAdvance(Calendar,X360,NDays&amp;"D")</f>
        <v>42769</v>
      </c>
      <c r="Z360" s="105">
        <v>-5.5733772813140953E-4</v>
      </c>
      <c r="AA360" s="102">
        <v>-1.0421359809109632E-3</v>
      </c>
    </row>
    <row r="361" spans="19:27" x14ac:dyDescent="0.2">
      <c r="S361" s="61"/>
      <c r="T361" s="82"/>
      <c r="W361" s="103" t="str">
        <f t="shared" si="14"/>
        <v>1D</v>
      </c>
      <c r="X361" s="101">
        <f>_xll.qlCalendarAdvance(Calendar,X360,W361,"f",FALSE)</f>
        <v>42768</v>
      </c>
      <c r="Y361" s="104">
        <f>_xll.qlCalendarAdvance(Calendar,X361,NDays&amp;"D")</f>
        <v>42772</v>
      </c>
      <c r="Z361" s="105">
        <v>-5.0623152374512832E-4</v>
      </c>
      <c r="AA361" s="102">
        <v>-1.0306979347207701E-3</v>
      </c>
    </row>
    <row r="362" spans="19:27" x14ac:dyDescent="0.2">
      <c r="S362" s="61"/>
      <c r="T362" s="82"/>
      <c r="W362" s="103" t="str">
        <f t="shared" si="14"/>
        <v>1D</v>
      </c>
      <c r="X362" s="101">
        <f>_xll.qlCalendarAdvance(Calendar,X361,W362,"f",FALSE)</f>
        <v>42769</v>
      </c>
      <c r="Y362" s="104">
        <f>_xll.qlCalendarAdvance(Calendar,X362,NDays&amp;"D")</f>
        <v>42773</v>
      </c>
      <c r="Z362" s="105">
        <v>-5.0015163016148279E-4</v>
      </c>
      <c r="AA362" s="102">
        <v>-1.0192395418862077E-3</v>
      </c>
    </row>
    <row r="363" spans="19:27" x14ac:dyDescent="0.2">
      <c r="S363" s="61"/>
      <c r="T363" s="82"/>
      <c r="W363" s="103" t="str">
        <f t="shared" si="14"/>
        <v>1D</v>
      </c>
      <c r="X363" s="101">
        <f>_xll.qlCalendarAdvance(Calendar,X362,W363,"f",FALSE)</f>
        <v>42772</v>
      </c>
      <c r="Y363" s="104">
        <f>_xll.qlCalendarAdvance(Calendar,X363,NDays&amp;"D")</f>
        <v>42774</v>
      </c>
      <c r="Z363" s="105">
        <v>-4.9406334858113422E-4</v>
      </c>
      <c r="AA363" s="102">
        <v>-9.9625217679477629E-4</v>
      </c>
    </row>
    <row r="364" spans="19:27" x14ac:dyDescent="0.2">
      <c r="S364" s="61"/>
      <c r="T364" s="82"/>
      <c r="W364" s="103" t="str">
        <f t="shared" si="14"/>
        <v>1D</v>
      </c>
      <c r="X364" s="101">
        <f>_xll.qlCalendarAdvance(Calendar,X363,W364,"f",FALSE)</f>
        <v>42773</v>
      </c>
      <c r="Y364" s="104">
        <f>_xll.qlCalendarAdvance(Calendar,X364,NDays&amp;"D")</f>
        <v>42775</v>
      </c>
      <c r="Z364" s="105">
        <v>-4.812981609685651E-4</v>
      </c>
      <c r="AA364" s="102">
        <v>-9.7320250326493607E-4</v>
      </c>
    </row>
    <row r="365" spans="19:27" x14ac:dyDescent="0.2">
      <c r="S365" s="61"/>
      <c r="T365" s="82"/>
      <c r="W365" s="103" t="str">
        <f t="shared" si="14"/>
        <v>1D</v>
      </c>
      <c r="X365" s="101">
        <f>_xll.qlCalendarAdvance(Calendar,X364,W365,"f",FALSE)</f>
        <v>42774</v>
      </c>
      <c r="Y365" s="104">
        <f>_xll.qlCalendarAdvance(Calendar,X365,NDays&amp;"D")</f>
        <v>42776</v>
      </c>
      <c r="Z365" s="105">
        <v>-4.6849538262501851E-4</v>
      </c>
      <c r="AA365" s="102">
        <v>-9.6164237680884668E-4</v>
      </c>
    </row>
    <row r="366" spans="19:27" x14ac:dyDescent="0.2">
      <c r="S366" s="61"/>
      <c r="T366" s="82"/>
      <c r="W366" s="103" t="str">
        <f t="shared" si="14"/>
        <v>1D</v>
      </c>
      <c r="X366" s="101">
        <f>_xll.qlCalendarAdvance(Calendar,X365,W366,"f",FALSE)</f>
        <v>42775</v>
      </c>
      <c r="Y366" s="104">
        <f>_xll.qlCalendarAdvance(Calendar,X366,NDays&amp;"D")</f>
        <v>42779</v>
      </c>
      <c r="Z366" s="105">
        <v>-4.1628816678279852E-4</v>
      </c>
      <c r="AA366" s="102">
        <v>-9.5006190374835597E-4</v>
      </c>
    </row>
    <row r="367" spans="19:27" x14ac:dyDescent="0.2">
      <c r="S367" s="61"/>
      <c r="T367" s="82"/>
      <c r="W367" s="103" t="str">
        <f t="shared" si="14"/>
        <v>1D</v>
      </c>
      <c r="X367" s="101">
        <f>_xll.qlCalendarAdvance(Calendar,X366,W367,"f",FALSE)</f>
        <v>42776</v>
      </c>
      <c r="Y367" s="104">
        <f>_xll.qlCalendarAdvance(Calendar,X367,NDays&amp;"D")</f>
        <v>42780</v>
      </c>
      <c r="Z367" s="105">
        <v>-4.1010133835461815E-4</v>
      </c>
      <c r="AA367" s="102">
        <v>-9.3846108384365579E-4</v>
      </c>
    </row>
    <row r="368" spans="19:27" x14ac:dyDescent="0.2">
      <c r="S368" s="61"/>
      <c r="T368" s="82"/>
      <c r="W368" s="103" t="str">
        <f t="shared" si="14"/>
        <v>1D</v>
      </c>
      <c r="X368" s="101">
        <f>_xll.qlCalendarAdvance(Calendar,X367,W368,"f",FALSE)</f>
        <v>42779</v>
      </c>
      <c r="Y368" s="104">
        <f>_xll.qlCalendarAdvance(Calendar,X368,NDays&amp;"D")</f>
        <v>42781</v>
      </c>
      <c r="Z368" s="105">
        <v>-4.0390532695882419E-4</v>
      </c>
      <c r="AA368" s="102">
        <v>-9.151892953607188E-4</v>
      </c>
    </row>
    <row r="369" spans="19:27" x14ac:dyDescent="0.2">
      <c r="S369" s="61"/>
      <c r="T369" s="82"/>
      <c r="W369" s="103" t="str">
        <f t="shared" si="14"/>
        <v>1D</v>
      </c>
      <c r="X369" s="101">
        <f>_xll.qlCalendarAdvance(Calendar,X368,W369,"f",FALSE)</f>
        <v>42780</v>
      </c>
      <c r="Y369" s="104">
        <f>_xll.qlCalendarAdvance(Calendar,X369,NDays&amp;"D")</f>
        <v>42782</v>
      </c>
      <c r="Z369" s="105">
        <v>-3.9086962235497557E-4</v>
      </c>
      <c r="AA369" s="102">
        <v>-8.9185433738148134E-4</v>
      </c>
    </row>
    <row r="370" spans="19:27" x14ac:dyDescent="0.2">
      <c r="S370" s="61"/>
      <c r="T370" s="82"/>
      <c r="W370" s="103" t="str">
        <f t="shared" si="14"/>
        <v>1D</v>
      </c>
      <c r="X370" s="101">
        <f>_xll.qlCalendarAdvance(Calendar,X369,W370,"f",FALSE)</f>
        <v>42781</v>
      </c>
      <c r="Y370" s="104">
        <f>_xll.qlCalendarAdvance(Calendar,X370,NDays&amp;"D")</f>
        <v>42783</v>
      </c>
      <c r="Z370" s="105">
        <v>-3.7779386634129787E-4</v>
      </c>
      <c r="AA370" s="102">
        <v>-8.8015178393519022E-4</v>
      </c>
    </row>
    <row r="371" spans="19:27" x14ac:dyDescent="0.2">
      <c r="S371" s="61"/>
      <c r="T371" s="82"/>
      <c r="W371" s="103" t="str">
        <f t="shared" si="14"/>
        <v>1D</v>
      </c>
      <c r="X371" s="101">
        <f>_xll.qlCalendarAdvance(Calendar,X370,W371,"f",FALSE)</f>
        <v>42782</v>
      </c>
      <c r="Y371" s="104">
        <f>_xll.qlCalendarAdvance(Calendar,X371,NDays&amp;"D")</f>
        <v>42786</v>
      </c>
      <c r="Z371" s="105">
        <v>-3.2442028904124565E-4</v>
      </c>
      <c r="AA371" s="102">
        <v>-8.6842888384452976E-4</v>
      </c>
    </row>
    <row r="372" spans="19:27" x14ac:dyDescent="0.2">
      <c r="S372" s="61"/>
      <c r="T372" s="82"/>
      <c r="W372" s="103" t="str">
        <f t="shared" si="14"/>
        <v>1D</v>
      </c>
      <c r="X372" s="101">
        <f>_xll.qlCalendarAdvance(Calendar,X371,W372,"f",FALSE)</f>
        <v>42783</v>
      </c>
      <c r="Y372" s="104">
        <f>_xll.qlCalendarAdvance(Calendar,X372,NDays&amp;"D")</f>
        <v>42787</v>
      </c>
      <c r="Z372" s="105">
        <v>-3.181162543741678E-4</v>
      </c>
      <c r="AA372" s="102">
        <v>-8.5668563686969179E-4</v>
      </c>
    </row>
    <row r="373" spans="19:27" x14ac:dyDescent="0.2">
      <c r="S373" s="61"/>
      <c r="T373" s="82"/>
      <c r="W373" s="103" t="str">
        <f t="shared" si="14"/>
        <v>1D</v>
      </c>
      <c r="X373" s="101">
        <f>_xll.qlCalendarAdvance(Calendar,X372,W373,"f",FALSE)</f>
        <v>42786</v>
      </c>
      <c r="Y373" s="104">
        <f>_xll.qlCalendarAdvance(Calendar,X373,NDays&amp;"D")</f>
        <v>42788</v>
      </c>
      <c r="Z373" s="105">
        <v>-3.1180201073830062E-4</v>
      </c>
      <c r="AA373" s="102">
        <v>-8.33129392860954E-4</v>
      </c>
    </row>
    <row r="374" spans="19:27" x14ac:dyDescent="0.2">
      <c r="S374" s="61"/>
      <c r="T374" s="82"/>
      <c r="W374" s="103" t="str">
        <f t="shared" si="14"/>
        <v>1D</v>
      </c>
      <c r="X374" s="101">
        <f>_xll.qlCalendarAdvance(Calendar,X373,W374,"f",FALSE)</f>
        <v>42787</v>
      </c>
      <c r="Y374" s="104">
        <f>_xll.qlCalendarAdvance(Calendar,X374,NDays&amp;"D")</f>
        <v>42789</v>
      </c>
      <c r="Z374" s="105">
        <v>-2.9847856355008574E-4</v>
      </c>
      <c r="AA374" s="102">
        <v>-8.0950918216693424E-4</v>
      </c>
    </row>
    <row r="375" spans="19:27" x14ac:dyDescent="0.2">
      <c r="S375" s="61"/>
      <c r="T375" s="82"/>
      <c r="W375" s="103" t="str">
        <f t="shared" si="14"/>
        <v>1D</v>
      </c>
      <c r="X375" s="101">
        <f>_xll.qlCalendarAdvance(Calendar,X374,W375,"f",FALSE)</f>
        <v>42788</v>
      </c>
      <c r="Y375" s="104">
        <f>_xll.qlCalendarAdvance(Calendar,X375,NDays&amp;"D")</f>
        <v>42790</v>
      </c>
      <c r="Z375" s="105">
        <v>-2.8511260399296482E-4</v>
      </c>
      <c r="AA375" s="102">
        <v>-7.9766420169047336E-4</v>
      </c>
    </row>
    <row r="376" spans="19:27" x14ac:dyDescent="0.2">
      <c r="S376" s="61"/>
      <c r="T376" s="82"/>
      <c r="W376" s="103" t="str">
        <f t="shared" si="14"/>
        <v>1D</v>
      </c>
      <c r="X376" s="101">
        <f>_xll.qlCalendarAdvance(Calendar,X375,W376,"f",FALSE)</f>
        <v>42789</v>
      </c>
      <c r="Y376" s="104">
        <f>_xll.qlCalendarAdvance(Calendar,X376,NDays&amp;"D")</f>
        <v>42793</v>
      </c>
      <c r="Z376" s="105">
        <v>-2.3050995205356505E-4</v>
      </c>
      <c r="AA376" s="102">
        <v>-7.8579887448970709E-4</v>
      </c>
    </row>
    <row r="377" spans="19:27" x14ac:dyDescent="0.2">
      <c r="S377" s="61"/>
      <c r="T377" s="82"/>
      <c r="W377" s="103" t="str">
        <f t="shared" si="14"/>
        <v>1D</v>
      </c>
      <c r="X377" s="101">
        <f>_xll.qlCalendarAdvance(Calendar,X376,W377,"f",FALSE)</f>
        <v>42790</v>
      </c>
      <c r="Y377" s="104">
        <f>_xll.qlCalendarAdvance(Calendar,X377,NDays&amp;"D")</f>
        <v>42794</v>
      </c>
      <c r="Z377" s="105">
        <v>-2.0974695415423007E-4</v>
      </c>
      <c r="AA377" s="102">
        <v>-7.739132004047633E-4</v>
      </c>
    </row>
    <row r="378" spans="19:27" x14ac:dyDescent="0.2">
      <c r="S378" s="61"/>
      <c r="T378" s="82"/>
      <c r="W378" s="103" t="str">
        <f t="shared" si="14"/>
        <v>1D</v>
      </c>
      <c r="X378" s="101">
        <f>_xll.qlCalendarAdvance(Calendar,X377,W378,"f",FALSE)</f>
        <v>42793</v>
      </c>
      <c r="Y378" s="104">
        <f>_xll.qlCalendarAdvance(Calendar,X378,NDays&amp;"D")</f>
        <v>42795</v>
      </c>
      <c r="Z378" s="105">
        <v>-1.9608811653154778E-4</v>
      </c>
      <c r="AA378" s="102">
        <v>-7.5007246727043508E-4</v>
      </c>
    </row>
    <row r="379" spans="19:27" x14ac:dyDescent="0.2">
      <c r="S379" s="61"/>
      <c r="T379" s="82"/>
      <c r="W379" s="103" t="str">
        <f t="shared" si="14"/>
        <v>1D</v>
      </c>
      <c r="X379" s="101">
        <f>_xll.qlCalendarAdvance(Calendar,X378,W379,"f",FALSE)</f>
        <v>42794</v>
      </c>
      <c r="Y379" s="104">
        <f>_xll.qlCalendarAdvance(Calendar,X379,NDays&amp;"D")</f>
        <v>42796</v>
      </c>
      <c r="Z379" s="105">
        <v>-1.8238442565384231E-4</v>
      </c>
      <c r="AA379" s="102">
        <v>-7.2616703702177432E-4</v>
      </c>
    </row>
    <row r="380" spans="19:27" x14ac:dyDescent="0.2">
      <c r="S380" s="61"/>
      <c r="T380" s="82"/>
      <c r="W380" s="103" t="str">
        <f t="shared" si="14"/>
        <v>1D</v>
      </c>
      <c r="X380" s="101">
        <f>_xll.qlCalendarAdvance(Calendar,X379,W380,"f",FALSE)</f>
        <v>42795</v>
      </c>
      <c r="Y380" s="104">
        <f>_xll.qlCalendarAdvance(Calendar,X380,NDays&amp;"D")</f>
        <v>42797</v>
      </c>
      <c r="Z380" s="105">
        <v>-1.4678591849246354E-4</v>
      </c>
      <c r="AA380" s="102">
        <v>-7.1417962931530354E-4</v>
      </c>
    </row>
    <row r="381" spans="19:27" x14ac:dyDescent="0.2">
      <c r="S381" s="61"/>
      <c r="T381" s="82"/>
      <c r="W381" s="103" t="str">
        <f t="shared" si="14"/>
        <v>1D</v>
      </c>
      <c r="X381" s="101">
        <f>_xll.qlCalendarAdvance(Calendar,X380,W381,"f",FALSE)</f>
        <v>42796</v>
      </c>
      <c r="Y381" s="104">
        <f>_xll.qlCalendarAdvance(Calendar,X381,NDays&amp;"D")</f>
        <v>42800</v>
      </c>
      <c r="Z381" s="105">
        <v>-1.2711432557326705E-4</v>
      </c>
      <c r="AA381" s="102">
        <v>-7.0217187476462328E-4</v>
      </c>
    </row>
    <row r="382" spans="19:27" x14ac:dyDescent="0.2">
      <c r="S382" s="61"/>
      <c r="T382" s="82"/>
      <c r="W382" s="103" t="str">
        <f t="shared" si="14"/>
        <v>1D</v>
      </c>
      <c r="X382" s="101">
        <f>_xll.qlCalendarAdvance(Calendar,X381,W382,"f",FALSE)</f>
        <v>42797</v>
      </c>
      <c r="Y382" s="104">
        <f>_xll.qlCalendarAdvance(Calendar,X382,NDays&amp;"D")</f>
        <v>42801</v>
      </c>
      <c r="Z382" s="105">
        <v>-1.1318126535030538E-4</v>
      </c>
      <c r="AA382" s="102">
        <v>-6.9014377356957368E-4</v>
      </c>
    </row>
    <row r="383" spans="19:27" x14ac:dyDescent="0.2">
      <c r="S383" s="61"/>
      <c r="T383" s="82"/>
      <c r="W383" s="103" t="str">
        <f t="shared" si="14"/>
        <v>1D</v>
      </c>
      <c r="X383" s="101">
        <f>_xll.qlCalendarAdvance(Calendar,X382,W383,"f",FALSE)</f>
        <v>42800</v>
      </c>
      <c r="Y383" s="104">
        <f>_xll.qlCalendarAdvance(Calendar,X383,NDays&amp;"D")</f>
        <v>42802</v>
      </c>
      <c r="Z383" s="105">
        <v>-9.9201310598214277E-5</v>
      </c>
      <c r="AA383" s="102">
        <v>-6.6601851657743794E-4</v>
      </c>
    </row>
    <row r="384" spans="19:27" x14ac:dyDescent="0.2">
      <c r="S384" s="61"/>
      <c r="T384" s="82"/>
      <c r="W384" s="103" t="str">
        <f t="shared" si="14"/>
        <v>1D</v>
      </c>
      <c r="X384" s="101">
        <f>_xll.qlCalendarAdvance(Calendar,X383,W384,"f",FALSE)</f>
        <v>42801</v>
      </c>
      <c r="Y384" s="104">
        <f>_xll.qlCalendarAdvance(Calendar,X384,NDays&amp;"D")</f>
        <v>42803</v>
      </c>
      <c r="Z384" s="105">
        <v>-8.5174121084803488E-5</v>
      </c>
      <c r="AA384" s="102">
        <v>-6.4182790114664101E-4</v>
      </c>
    </row>
    <row r="385" spans="19:27" x14ac:dyDescent="0.2">
      <c r="S385" s="61"/>
      <c r="T385" s="82"/>
      <c r="W385" s="103" t="str">
        <f t="shared" si="14"/>
        <v>1D</v>
      </c>
      <c r="X385" s="101">
        <f>_xll.qlCalendarAdvance(Calendar,X384,W385,"f",FALSE)</f>
        <v>42802</v>
      </c>
      <c r="Y385" s="104">
        <f>_xll.qlCalendarAdvance(Calendar,X385,NDays&amp;"D")</f>
        <v>42804</v>
      </c>
      <c r="Z385" s="105">
        <v>-5.6193979978608789E-5</v>
      </c>
      <c r="AA385" s="102">
        <v>-6.2969806609025625E-4</v>
      </c>
    </row>
    <row r="386" spans="19:27" x14ac:dyDescent="0.2">
      <c r="S386" s="61"/>
      <c r="T386" s="82"/>
      <c r="W386" s="103" t="str">
        <f t="shared" si="14"/>
        <v>1D</v>
      </c>
      <c r="X386" s="101">
        <f>_xll.qlCalendarAdvance(Calendar,X385,W386,"f",FALSE)</f>
        <v>42803</v>
      </c>
      <c r="Y386" s="104">
        <f>_xll.qlCalendarAdvance(Calendar,X386,NDays&amp;"D")</f>
        <v>42807</v>
      </c>
      <c r="Z386" s="105">
        <v>-2.8586210473963874E-5</v>
      </c>
      <c r="AA386" s="102">
        <v>-6.1754788426959806E-4</v>
      </c>
    </row>
    <row r="387" spans="19:27" x14ac:dyDescent="0.2">
      <c r="S387" s="61"/>
      <c r="T387" s="82"/>
      <c r="W387" s="103" t="str">
        <f t="shared" si="14"/>
        <v>1D</v>
      </c>
      <c r="X387" s="101">
        <f>_xll.qlCalendarAdvance(Calendar,X386,W387,"f",FALSE)</f>
        <v>42804</v>
      </c>
      <c r="Y387" s="104">
        <f>_xll.qlCalendarAdvance(Calendar,X387,NDays&amp;"D")</f>
        <v>42808</v>
      </c>
      <c r="Z387" s="105">
        <v>-1.4317743391759185E-5</v>
      </c>
      <c r="AA387" s="102">
        <v>-6.0537735580457053E-4</v>
      </c>
    </row>
    <row r="388" spans="19:27" x14ac:dyDescent="0.2">
      <c r="S388" s="61"/>
      <c r="T388" s="82"/>
      <c r="W388" s="103" t="str">
        <f t="shared" si="14"/>
        <v>1D</v>
      </c>
      <c r="X388" s="101">
        <f>_xll.qlCalendarAdvance(Calendar,X387,W388,"f",FALSE)</f>
        <v>42807</v>
      </c>
      <c r="Y388" s="104">
        <f>_xll.qlCalendarAdvance(Calendar,X388,NDays&amp;"D")</f>
        <v>42809</v>
      </c>
      <c r="Z388" s="105">
        <v>0</v>
      </c>
      <c r="AA388" s="102">
        <v>-5.8096753861036632E-4</v>
      </c>
    </row>
    <row r="389" spans="19:27" x14ac:dyDescent="0.2">
      <c r="S389" s="61"/>
      <c r="T389" s="82"/>
      <c r="W389" s="103" t="str">
        <f t="shared" si="14"/>
        <v>1D</v>
      </c>
      <c r="X389" s="101">
        <f>_xll.qlCalendarAdvance(Calendar,X388,W389,"f",FALSE)</f>
        <v>42808</v>
      </c>
      <c r="Y389" s="104">
        <f>_xll.qlCalendarAdvance(Calendar,X389,NDays&amp;"D")</f>
        <v>42810</v>
      </c>
      <c r="Z389" s="105">
        <v>1.4367169726957764E-5</v>
      </c>
      <c r="AA389" s="102">
        <v>-5.5649177382210979E-4</v>
      </c>
    </row>
    <row r="390" spans="19:27" x14ac:dyDescent="0.2">
      <c r="S390" s="61"/>
      <c r="T390" s="82"/>
      <c r="W390" s="103" t="str">
        <f t="shared" si="14"/>
        <v>1D</v>
      </c>
      <c r="X390" s="101">
        <f>_xll.qlCalendarAdvance(Calendar,X389,W390,"f",FALSE)</f>
        <v>42809</v>
      </c>
      <c r="Y390" s="104">
        <f>_xll.qlCalendarAdvance(Calendar,X390,NDays&amp;"D")</f>
        <v>42811</v>
      </c>
      <c r="Z390" s="105">
        <v>4.4038207889702287E-5</v>
      </c>
      <c r="AA390" s="102">
        <v>-5.44214302022894E-4</v>
      </c>
    </row>
    <row r="391" spans="19:27" x14ac:dyDescent="0.2">
      <c r="S391" s="61"/>
      <c r="T391" s="82"/>
      <c r="W391" s="103" t="str">
        <f t="shared" si="14"/>
        <v>1D</v>
      </c>
      <c r="X391" s="101">
        <f>_xll.qlCalendarAdvance(Calendar,X390,W391,"f",FALSE)</f>
        <v>42810</v>
      </c>
      <c r="Y391" s="104">
        <f>_xll.qlCalendarAdvance(Calendar,X391,NDays&amp;"D")</f>
        <v>42814</v>
      </c>
      <c r="Z391" s="105">
        <v>7.2315989199487149E-5</v>
      </c>
      <c r="AA391" s="102">
        <v>-5.3189043685453186E-4</v>
      </c>
    </row>
    <row r="392" spans="19:27" x14ac:dyDescent="0.2">
      <c r="S392" s="61"/>
      <c r="T392" s="82"/>
      <c r="W392" s="103" t="str">
        <f t="shared" si="14"/>
        <v>1D</v>
      </c>
      <c r="X392" s="101">
        <f>_xll.qlCalendarAdvance(Calendar,X391,W392,"f",FALSE)</f>
        <v>42811</v>
      </c>
      <c r="Y392" s="104">
        <f>_xll.qlCalendarAdvance(Calendar,X392,NDays&amp;"D")</f>
        <v>42815</v>
      </c>
      <c r="Z392" s="105">
        <v>8.6919222782733612E-5</v>
      </c>
      <c r="AA392" s="102">
        <v>-5.195149687642342E-4</v>
      </c>
    </row>
    <row r="393" spans="19:27" x14ac:dyDescent="0.2">
      <c r="S393" s="61"/>
      <c r="T393" s="82"/>
      <c r="W393" s="103" t="str">
        <f t="shared" si="14"/>
        <v>1D</v>
      </c>
      <c r="X393" s="101">
        <f>_xll.qlCalendarAdvance(Calendar,X392,W393,"f",FALSE)</f>
        <v>42814</v>
      </c>
      <c r="Y393" s="104">
        <f>_xll.qlCalendarAdvance(Calendar,X393,NDays&amp;"D")</f>
        <v>42816</v>
      </c>
      <c r="Z393" s="105">
        <v>1.0156720862092537E-4</v>
      </c>
      <c r="AA393" s="102">
        <v>-4.945913439335925E-4</v>
      </c>
    </row>
    <row r="394" spans="19:27" x14ac:dyDescent="0.2">
      <c r="S394" s="61"/>
      <c r="T394" s="82"/>
      <c r="W394" s="103" t="str">
        <f t="shared" si="14"/>
        <v>1D</v>
      </c>
      <c r="X394" s="101">
        <f>_xll.qlCalendarAdvance(Calendar,X393,W394,"f",FALSE)</f>
        <v>42815</v>
      </c>
      <c r="Y394" s="104">
        <f>_xll.qlCalendarAdvance(Calendar,X394,NDays&amp;"D")</f>
        <v>42817</v>
      </c>
      <c r="Z394" s="105">
        <v>1.3949993875839756E-4</v>
      </c>
      <c r="AA394" s="102">
        <v>-4.6949706842269734E-4</v>
      </c>
    </row>
    <row r="395" spans="19:27" x14ac:dyDescent="0.2">
      <c r="S395" s="61"/>
      <c r="T395" s="82"/>
      <c r="W395" s="103" t="str">
        <f t="shared" si="14"/>
        <v>1D</v>
      </c>
      <c r="X395" s="101">
        <f>_xll.qlCalendarAdvance(Calendar,X394,W395,"f",FALSE)</f>
        <v>42816</v>
      </c>
      <c r="Y395" s="104">
        <f>_xll.qlCalendarAdvance(Calendar,X395,NDays&amp;"D")</f>
        <v>42818</v>
      </c>
      <c r="Z395" s="105">
        <v>1.4651094707653344E-4</v>
      </c>
      <c r="AA395" s="102">
        <v>-4.5686358628227453E-4</v>
      </c>
    </row>
    <row r="396" spans="19:27" x14ac:dyDescent="0.2">
      <c r="S396" s="61"/>
      <c r="T396" s="82"/>
      <c r="W396" s="103" t="str">
        <f t="shared" si="14"/>
        <v>1D</v>
      </c>
      <c r="X396" s="101">
        <f>_xll.qlCalendarAdvance(Calendar,X395,W396,"f",FALSE)</f>
        <v>42817</v>
      </c>
      <c r="Y396" s="104">
        <f>_xll.qlCalendarAdvance(Calendar,X396,NDays&amp;"D")</f>
        <v>42821</v>
      </c>
      <c r="Z396" s="105">
        <v>1.7543933296897794E-4</v>
      </c>
      <c r="AA396" s="102">
        <v>-4.441785012199162E-4</v>
      </c>
    </row>
    <row r="397" spans="19:27" x14ac:dyDescent="0.2">
      <c r="S397" s="61"/>
      <c r="T397" s="82"/>
      <c r="W397" s="103" t="str">
        <f t="shared" si="14"/>
        <v>1D</v>
      </c>
      <c r="X397" s="101">
        <f>_xll.qlCalendarAdvance(Calendar,X396,W397,"f",FALSE)</f>
        <v>42818</v>
      </c>
      <c r="Y397" s="104">
        <f>_xll.qlCalendarAdvance(Calendar,X397,NDays&amp;"D")</f>
        <v>42822</v>
      </c>
      <c r="Z397" s="105">
        <v>1.9033220903874121E-4</v>
      </c>
      <c r="AA397" s="102">
        <v>-4.3144181343546251E-4</v>
      </c>
    </row>
    <row r="398" spans="19:27" x14ac:dyDescent="0.2">
      <c r="S398" s="61"/>
      <c r="T398" s="82"/>
      <c r="W398" s="103" t="str">
        <f t="shared" si="14"/>
        <v>1D</v>
      </c>
      <c r="X398" s="101">
        <f>_xll.qlCalendarAdvance(Calendar,X397,W398,"f",FALSE)</f>
        <v>42821</v>
      </c>
      <c r="Y398" s="104">
        <f>_xll.qlCalendarAdvance(Calendar,X398,NDays&amp;"D")</f>
        <v>42823</v>
      </c>
      <c r="Z398" s="105">
        <v>2.0526190615819203E-4</v>
      </c>
      <c r="AA398" s="102">
        <v>-4.0579597089251962E-4</v>
      </c>
    </row>
    <row r="399" spans="19:27" x14ac:dyDescent="0.2">
      <c r="S399" s="61"/>
      <c r="T399" s="82"/>
      <c r="W399" s="103" t="str">
        <f t="shared" si="14"/>
        <v>1D</v>
      </c>
      <c r="X399" s="101">
        <f>_xll.qlCalendarAdvance(Calendar,X398,W399,"f",FALSE)</f>
        <v>42822</v>
      </c>
      <c r="Y399" s="104">
        <f>_xll.qlCalendarAdvance(Calendar,X399,NDays&amp;"D")</f>
        <v>42824</v>
      </c>
      <c r="Z399" s="105">
        <v>2.2022728314105447E-4</v>
      </c>
      <c r="AA399" s="102">
        <v>-3.7997903343800488E-4</v>
      </c>
    </row>
    <row r="400" spans="19:27" x14ac:dyDescent="0.2">
      <c r="S400" s="61"/>
      <c r="T400" s="82"/>
      <c r="W400" s="103" t="str">
        <f t="shared" si="14"/>
        <v>1D</v>
      </c>
      <c r="X400" s="101">
        <f>_xll.qlCalendarAdvance(Calendar,X399,W400,"f",FALSE)</f>
        <v>42823</v>
      </c>
      <c r="Y400" s="104">
        <f>_xll.qlCalendarAdvance(Calendar,X400,NDays&amp;"D")</f>
        <v>42825</v>
      </c>
      <c r="Z400" s="105">
        <v>2.2738875451841227E-4</v>
      </c>
      <c r="AA400" s="102">
        <v>-3.6698433124371377E-4</v>
      </c>
    </row>
    <row r="401" spans="19:27" x14ac:dyDescent="0.2">
      <c r="S401" s="61"/>
      <c r="T401" s="82"/>
      <c r="W401" s="103" t="str">
        <f t="shared" si="14"/>
        <v>1D</v>
      </c>
      <c r="X401" s="101">
        <f>_xll.qlCalendarAdvance(Calendar,X400,W401,"f",FALSE)</f>
        <v>42824</v>
      </c>
      <c r="Y401" s="104">
        <f>_xll.qlCalendarAdvance(Calendar,X401,NDays&amp;"D")</f>
        <v>42828</v>
      </c>
      <c r="Z401" s="105">
        <v>2.7255987554403475E-4</v>
      </c>
      <c r="AA401" s="102">
        <v>-3.5393802616745518E-4</v>
      </c>
    </row>
    <row r="402" spans="19:27" x14ac:dyDescent="0.2">
      <c r="S402" s="61"/>
      <c r="T402" s="82"/>
      <c r="W402" s="103" t="str">
        <f t="shared" si="14"/>
        <v>1D</v>
      </c>
      <c r="X402" s="101">
        <f>_xll.qlCalendarAdvance(Calendar,X401,W402,"f",FALSE)</f>
        <v>42825</v>
      </c>
      <c r="Y402" s="104">
        <f>_xll.qlCalendarAdvance(Calendar,X402,NDays&amp;"D")</f>
        <v>42829</v>
      </c>
      <c r="Z402" s="105">
        <v>2.8768023175332975E-4</v>
      </c>
      <c r="AA402" s="102">
        <v>-3.4084011828916516E-4</v>
      </c>
    </row>
    <row r="403" spans="19:27" x14ac:dyDescent="0.2">
      <c r="S403" s="61"/>
      <c r="T403" s="82"/>
      <c r="W403" s="103" t="str">
        <f t="shared" si="14"/>
        <v>1D</v>
      </c>
      <c r="X403" s="101">
        <f>_xll.qlCalendarAdvance(Calendar,X402,W403,"f",FALSE)</f>
        <v>42828</v>
      </c>
      <c r="Y403" s="104">
        <f>_xll.qlCalendarAdvance(Calendar,X403,NDays&amp;"D")</f>
        <v>42830</v>
      </c>
      <c r="Z403" s="105">
        <v>3.0283032287869261E-4</v>
      </c>
      <c r="AA403" s="102">
        <v>-3.1447201818579629E-4</v>
      </c>
    </row>
    <row r="404" spans="19:27" x14ac:dyDescent="0.2">
      <c r="S404" s="61"/>
      <c r="T404" s="82"/>
      <c r="W404" s="103" t="str">
        <f t="shared" si="14"/>
        <v>1D</v>
      </c>
      <c r="X404" s="101">
        <f>_xll.qlCalendarAdvance(Calendar,X403,W404,"f",FALSE)</f>
        <v>42829</v>
      </c>
      <c r="Y404" s="104">
        <f>_xll.qlCalendarAdvance(Calendar,X404,NDays&amp;"D")</f>
        <v>42831</v>
      </c>
      <c r="Z404" s="105">
        <v>3.1800899508441504E-4</v>
      </c>
      <c r="AA404" s="102">
        <v>-2.8793245755664998E-4</v>
      </c>
    </row>
    <row r="405" spans="19:27" x14ac:dyDescent="0.2">
      <c r="S405" s="61"/>
      <c r="T405" s="82"/>
      <c r="W405" s="103" t="str">
        <f t="shared" ref="W405:W468" si="15">W404</f>
        <v>1D</v>
      </c>
      <c r="X405" s="101">
        <f>_xll.qlCalendarAdvance(Calendar,X404,W405,"f",FALSE)</f>
        <v>42830</v>
      </c>
      <c r="Y405" s="104">
        <f>_xll.qlCalendarAdvance(Calendar,X405,NDays&amp;"D")</f>
        <v>42832</v>
      </c>
      <c r="Z405" s="105">
        <v>3.332150945163419E-4</v>
      </c>
      <c r="AA405" s="102">
        <v>-2.7457653510865043E-4</v>
      </c>
    </row>
    <row r="406" spans="19:27" x14ac:dyDescent="0.2">
      <c r="S406" s="61"/>
      <c r="T406" s="82"/>
      <c r="W406" s="103" t="str">
        <f t="shared" si="15"/>
        <v>1D</v>
      </c>
      <c r="X406" s="101">
        <f>_xll.qlCalendarAdvance(Calendar,X405,W406,"f",FALSE)</f>
        <v>42831</v>
      </c>
      <c r="Y406" s="104">
        <f>_xll.qlCalendarAdvance(Calendar,X406,NDays&amp;"D")</f>
        <v>42835</v>
      </c>
      <c r="Z406" s="105">
        <v>3.7898641738535517E-4</v>
      </c>
      <c r="AA406" s="102">
        <v>-2.6116900973871537E-4</v>
      </c>
    </row>
    <row r="407" spans="19:27" x14ac:dyDescent="0.2">
      <c r="S407" s="61"/>
      <c r="T407" s="82"/>
      <c r="W407" s="103" t="str">
        <f t="shared" si="15"/>
        <v>1D</v>
      </c>
      <c r="X407" s="101">
        <f>_xll.qlCalendarAdvance(Calendar,X406,W407,"f",FALSE)</f>
        <v>42832</v>
      </c>
      <c r="Y407" s="104">
        <f>_xll.qlCalendarAdvance(Calendar,X407,NDays&amp;"D")</f>
        <v>42836</v>
      </c>
      <c r="Z407" s="105">
        <v>3.9429068684938552E-4</v>
      </c>
      <c r="AA407" s="102">
        <v>-2.2058494329524336E-4</v>
      </c>
    </row>
    <row r="408" spans="19:27" x14ac:dyDescent="0.2">
      <c r="S408" s="61"/>
      <c r="T408" s="82"/>
      <c r="W408" s="103" t="str">
        <f t="shared" si="15"/>
        <v>1D</v>
      </c>
      <c r="X408" s="101">
        <f>_xll.qlCalendarAdvance(Calendar,X407,W408,"f",FALSE)</f>
        <v>42835</v>
      </c>
      <c r="Y408" s="104">
        <f>_xll.qlCalendarAdvance(Calendar,X408,NDays&amp;"D")</f>
        <v>42837</v>
      </c>
      <c r="Z408" s="105">
        <v>4.0961661401586047E-4</v>
      </c>
      <c r="AA408" s="102">
        <v>-1.7964019587868307E-4</v>
      </c>
    </row>
    <row r="409" spans="19:27" x14ac:dyDescent="0.2">
      <c r="S409" s="61"/>
      <c r="T409" s="82"/>
      <c r="W409" s="103" t="str">
        <f t="shared" si="15"/>
        <v>1D</v>
      </c>
      <c r="X409" s="101">
        <f>_xll.qlCalendarAdvance(Calendar,X408,W409,"f",FALSE)</f>
        <v>42836</v>
      </c>
      <c r="Y409" s="104">
        <f>_xll.qlCalendarAdvance(Calendar,X409,NDays&amp;"D")</f>
        <v>42838</v>
      </c>
      <c r="Z409" s="105">
        <v>4.2496304492697164E-4</v>
      </c>
      <c r="AA409" s="102">
        <v>-1.6587144989532732E-4</v>
      </c>
    </row>
    <row r="410" spans="19:27" x14ac:dyDescent="0.2">
      <c r="S410" s="61"/>
      <c r="T410" s="82"/>
      <c r="W410" s="103" t="str">
        <f t="shared" si="15"/>
        <v>1D</v>
      </c>
      <c r="X410" s="101">
        <f>_xll.qlCalendarAdvance(Calendar,X409,W410,"f",FALSE)</f>
        <v>42837</v>
      </c>
      <c r="Y410" s="104">
        <f>_xll.qlCalendarAdvance(Calendar,X410,NDays&amp;"D")</f>
        <v>42843</v>
      </c>
      <c r="Z410" s="105">
        <v>5.019623659235856E-4</v>
      </c>
      <c r="AA410" s="102">
        <v>-1.5205110095006802E-4</v>
      </c>
    </row>
    <row r="411" spans="19:27" x14ac:dyDescent="0.2">
      <c r="S411" s="61"/>
      <c r="T411" s="82"/>
      <c r="W411" s="103" t="str">
        <f t="shared" si="15"/>
        <v>1D</v>
      </c>
      <c r="X411" s="101">
        <f>_xll.qlCalendarAdvance(Calendar,X410,W411,"f",FALSE)</f>
        <v>42838</v>
      </c>
      <c r="Y411" s="104">
        <f>_xll.qlCalendarAdvance(Calendar,X411,NDays&amp;"D")</f>
        <v>42844</v>
      </c>
      <c r="Z411" s="105">
        <v>5.1740758521524953E-4</v>
      </c>
      <c r="AA411" s="102">
        <v>-1.2423835050068277E-4</v>
      </c>
    </row>
    <row r="412" spans="19:27" x14ac:dyDescent="0.2">
      <c r="S412" s="61"/>
      <c r="T412" s="82"/>
      <c r="W412" s="103" t="str">
        <f t="shared" si="15"/>
        <v>1D</v>
      </c>
      <c r="X412" s="101">
        <f>_xll.qlCalendarAdvance(Calendar,X411,W412,"f",FALSE)</f>
        <v>42843</v>
      </c>
      <c r="Y412" s="104">
        <f>_xll.qlCalendarAdvance(Calendar,X412,NDays&amp;"D")</f>
        <v>42845</v>
      </c>
      <c r="Z412" s="105">
        <v>5.3286523005673331E-4</v>
      </c>
      <c r="AA412" s="102">
        <v>-9.6253675430091334E-5</v>
      </c>
    </row>
    <row r="413" spans="19:27" x14ac:dyDescent="0.2">
      <c r="S413" s="61"/>
      <c r="T413" s="82"/>
      <c r="W413" s="103" t="str">
        <f t="shared" si="15"/>
        <v>1D</v>
      </c>
      <c r="X413" s="101">
        <f>_xll.qlCalendarAdvance(Calendar,X412,W413,"f",FALSE)</f>
        <v>42844</v>
      </c>
      <c r="Y413" s="104">
        <f>_xll.qlCalendarAdvance(Calendar,X413,NDays&amp;"D")</f>
        <v>42846</v>
      </c>
      <c r="Z413" s="105">
        <v>5.4833414634880323E-4</v>
      </c>
      <c r="AA413" s="102">
        <v>-8.2175311555410246E-5</v>
      </c>
    </row>
    <row r="414" spans="19:27" x14ac:dyDescent="0.2">
      <c r="S414" s="61"/>
      <c r="T414" s="82"/>
      <c r="W414" s="103" t="str">
        <f t="shared" si="15"/>
        <v>1D</v>
      </c>
      <c r="X414" s="101">
        <f>_xll.qlCalendarAdvance(Calendar,X413,W414,"f",FALSE)</f>
        <v>42845</v>
      </c>
      <c r="Y414" s="104">
        <f>_xll.qlCalendarAdvance(Calendar,X414,NDays&amp;"D")</f>
        <v>42849</v>
      </c>
      <c r="Z414" s="105">
        <v>5.9479698266388188E-4</v>
      </c>
      <c r="AA414" s="102">
        <v>-6.8045344758793647E-5</v>
      </c>
    </row>
    <row r="415" spans="19:27" x14ac:dyDescent="0.2">
      <c r="S415" s="61"/>
      <c r="T415" s="82"/>
      <c r="W415" s="103" t="str">
        <f t="shared" si="15"/>
        <v>1D</v>
      </c>
      <c r="X415" s="101">
        <f>_xll.qlCalendarAdvance(Calendar,X414,W415,"f",FALSE)</f>
        <v>42846</v>
      </c>
      <c r="Y415" s="104">
        <f>_xll.qlCalendarAdvance(Calendar,X415,NDays&amp;"D")</f>
        <v>42850</v>
      </c>
      <c r="Z415" s="105">
        <v>6.1029944340580699E-4</v>
      </c>
      <c r="AA415" s="102">
        <v>-5.3863774840401391E-5</v>
      </c>
    </row>
    <row r="416" spans="19:27" x14ac:dyDescent="0.2">
      <c r="S416" s="61"/>
      <c r="T416" s="82"/>
      <c r="W416" s="103" t="str">
        <f t="shared" si="15"/>
        <v>1D</v>
      </c>
      <c r="X416" s="101">
        <f>_xll.qlCalendarAdvance(Calendar,X415,W416,"f",FALSE)</f>
        <v>42849</v>
      </c>
      <c r="Y416" s="104">
        <f>_xll.qlCalendarAdvance(Calendar,X416,NDays&amp;"D")</f>
        <v>42851</v>
      </c>
      <c r="Z416" s="105">
        <v>6.2580740483071803E-4</v>
      </c>
      <c r="AA416" s="102">
        <v>-1.8151834065838202E-5</v>
      </c>
    </row>
    <row r="417" spans="19:27" x14ac:dyDescent="0.2">
      <c r="S417" s="61"/>
      <c r="T417" s="82"/>
      <c r="W417" s="103" t="str">
        <f t="shared" si="15"/>
        <v>1D</v>
      </c>
      <c r="X417" s="101">
        <f>_xll.qlCalendarAdvance(Calendar,X416,W417,"f",FALSE)</f>
        <v>42850</v>
      </c>
      <c r="Y417" s="104">
        <f>_xll.qlCalendarAdvance(Calendar,X417,NDays&amp;"D")</f>
        <v>42852</v>
      </c>
      <c r="Z417" s="105">
        <v>6.4131971273309271E-4</v>
      </c>
      <c r="AA417" s="102">
        <v>1.7818119859569492E-5</v>
      </c>
    </row>
    <row r="418" spans="19:27" x14ac:dyDescent="0.2">
      <c r="S418" s="61"/>
      <c r="T418" s="82"/>
      <c r="W418" s="103" t="str">
        <f t="shared" si="15"/>
        <v>1D</v>
      </c>
      <c r="X418" s="101">
        <f>_xll.qlCalendarAdvance(Calendar,X417,W418,"f",FALSE)</f>
        <v>42851</v>
      </c>
      <c r="Y418" s="104">
        <f>_xll.qlCalendarAdvance(Calendar,X418,NDays&amp;"D")</f>
        <v>42853</v>
      </c>
      <c r="Z418" s="105">
        <v>6.8013222482210295E-4</v>
      </c>
      <c r="AA418" s="102">
        <v>3.2309307789191166E-5</v>
      </c>
    </row>
    <row r="419" spans="19:27" x14ac:dyDescent="0.2">
      <c r="S419" s="61"/>
      <c r="T419" s="82"/>
      <c r="W419" s="103" t="str">
        <f t="shared" si="15"/>
        <v>1D</v>
      </c>
      <c r="X419" s="101">
        <f>_xll.qlCalendarAdvance(Calendar,X418,W419,"f",FALSE)</f>
        <v>42852</v>
      </c>
      <c r="Y419" s="104">
        <f>_xll.qlCalendarAdvance(Calendar,X419,NDays&amp;"D")</f>
        <v>42857</v>
      </c>
      <c r="Z419" s="105">
        <v>7.2663108119790283E-4</v>
      </c>
      <c r="AA419" s="102">
        <v>4.6852099000460612E-5</v>
      </c>
    </row>
    <row r="420" spans="19:27" x14ac:dyDescent="0.2">
      <c r="S420" s="61"/>
      <c r="T420" s="82"/>
      <c r="W420" s="103" t="str">
        <f t="shared" si="15"/>
        <v>1D</v>
      </c>
      <c r="X420" s="101">
        <f>_xll.qlCalendarAdvance(Calendar,X419,W420,"f",FALSE)</f>
        <v>42853</v>
      </c>
      <c r="Y420" s="104">
        <f>_xll.qlCalendarAdvance(Calendar,X420,NDays&amp;"D")</f>
        <v>42858</v>
      </c>
      <c r="Z420" s="105">
        <v>7.4213044718769055E-4</v>
      </c>
      <c r="AA420" s="102">
        <v>7.6109707309868213E-5</v>
      </c>
    </row>
    <row r="421" spans="19:27" x14ac:dyDescent="0.2">
      <c r="S421" s="61"/>
      <c r="T421" s="82"/>
      <c r="W421" s="103" t="str">
        <f t="shared" si="15"/>
        <v>1D</v>
      </c>
      <c r="X421" s="101">
        <f>_xll.qlCalendarAdvance(Calendar,X420,W421,"f",FALSE)</f>
        <v>42857</v>
      </c>
      <c r="Y421" s="104">
        <f>_xll.qlCalendarAdvance(Calendar,X421,NDays&amp;"D")</f>
        <v>42859</v>
      </c>
      <c r="Z421" s="105">
        <v>7.5762554072204542E-4</v>
      </c>
      <c r="AA421" s="102">
        <v>1.0553929394419015E-4</v>
      </c>
    </row>
    <row r="422" spans="19:27" x14ac:dyDescent="0.2">
      <c r="S422" s="61"/>
      <c r="T422" s="82"/>
      <c r="W422" s="103" t="str">
        <f t="shared" si="15"/>
        <v>1D</v>
      </c>
      <c r="X422" s="101">
        <f>_xll.qlCalendarAdvance(Calendar,X421,W422,"f",FALSE)</f>
        <v>42858</v>
      </c>
      <c r="Y422" s="104">
        <f>_xll.qlCalendarAdvance(Calendar,X422,NDays&amp;"D")</f>
        <v>42860</v>
      </c>
      <c r="Z422" s="105">
        <v>7.8842929726462253E-4</v>
      </c>
      <c r="AA422" s="102">
        <v>1.203401005245297E-4</v>
      </c>
    </row>
    <row r="423" spans="19:27" x14ac:dyDescent="0.2">
      <c r="S423" s="61"/>
      <c r="T423" s="82"/>
      <c r="W423" s="103" t="str">
        <f t="shared" si="15"/>
        <v>1D</v>
      </c>
      <c r="X423" s="101">
        <f>_xll.qlCalendarAdvance(Calendar,X422,W423,"f",FALSE)</f>
        <v>42859</v>
      </c>
      <c r="Y423" s="104">
        <f>_xll.qlCalendarAdvance(Calendar,X423,NDays&amp;"D")</f>
        <v>42863</v>
      </c>
      <c r="Z423" s="105">
        <v>8.1954035365256644E-4</v>
      </c>
      <c r="AA423" s="102">
        <v>1.351925100667728E-4</v>
      </c>
    </row>
    <row r="424" spans="19:27" x14ac:dyDescent="0.2">
      <c r="S424" s="61"/>
      <c r="T424" s="82"/>
      <c r="W424" s="103" t="str">
        <f t="shared" si="15"/>
        <v>1D</v>
      </c>
      <c r="X424" s="101">
        <f>_xll.qlCalendarAdvance(Calendar,X423,W424,"f",FALSE)</f>
        <v>42860</v>
      </c>
      <c r="Y424" s="104">
        <f>_xll.qlCalendarAdvance(Calendar,X424,NDays&amp;"D")</f>
        <v>42864</v>
      </c>
      <c r="Z424" s="105">
        <v>8.3499695727740086E-4</v>
      </c>
      <c r="AA424" s="102">
        <v>1.5009652265085549E-4</v>
      </c>
    </row>
    <row r="425" spans="19:27" x14ac:dyDescent="0.2">
      <c r="S425" s="61"/>
      <c r="T425" s="82"/>
      <c r="W425" s="103" t="str">
        <f t="shared" si="15"/>
        <v>1D</v>
      </c>
      <c r="X425" s="101">
        <f>_xll.qlCalendarAdvance(Calendar,X424,W425,"f",FALSE)</f>
        <v>42863</v>
      </c>
      <c r="Y425" s="104">
        <f>_xll.qlCalendarAdvance(Calendar,X425,NDays&amp;"D")</f>
        <v>42865</v>
      </c>
      <c r="Z425" s="105">
        <v>8.5044243727065412E-4</v>
      </c>
      <c r="AA425" s="102">
        <v>1.8007664820629543E-4</v>
      </c>
    </row>
    <row r="426" spans="19:27" x14ac:dyDescent="0.2">
      <c r="S426" s="61"/>
      <c r="T426" s="82"/>
      <c r="W426" s="103" t="str">
        <f t="shared" si="15"/>
        <v>1D</v>
      </c>
      <c r="X426" s="101">
        <f>_xll.qlCalendarAdvance(Calendar,X425,W426,"f",FALSE)</f>
        <v>42864</v>
      </c>
      <c r="Y426" s="104">
        <f>_xll.qlCalendarAdvance(Calendar,X426,NDays&amp;"D")</f>
        <v>42866</v>
      </c>
      <c r="Z426" s="105">
        <v>8.658756517101173E-4</v>
      </c>
      <c r="AA426" s="102">
        <v>2.1022860428487888E-4</v>
      </c>
    </row>
    <row r="427" spans="19:27" x14ac:dyDescent="0.2">
      <c r="S427" s="61"/>
      <c r="T427" s="82"/>
      <c r="W427" s="103" t="str">
        <f t="shared" si="15"/>
        <v>1D</v>
      </c>
      <c r="X427" s="101">
        <f>_xll.qlCalendarAdvance(Calendar,X426,W427,"f",FALSE)</f>
        <v>42865</v>
      </c>
      <c r="Y427" s="104">
        <f>_xll.qlCalendarAdvance(Calendar,X427,NDays&amp;"D")</f>
        <v>42867</v>
      </c>
      <c r="Z427" s="105">
        <v>8.9635636149583799E-4</v>
      </c>
      <c r="AA427" s="102">
        <v>2.2539063263771197E-4</v>
      </c>
    </row>
    <row r="428" spans="19:27" x14ac:dyDescent="0.2">
      <c r="S428" s="61"/>
      <c r="T428" s="82"/>
      <c r="W428" s="103" t="str">
        <f t="shared" si="15"/>
        <v>1D</v>
      </c>
      <c r="X428" s="101">
        <f>_xll.qlCalendarAdvance(Calendar,X427,W428,"f",FALSE)</f>
        <v>42866</v>
      </c>
      <c r="Y428" s="104">
        <f>_xll.qlCalendarAdvance(Calendar,X428,NDays&amp;"D")</f>
        <v>42870</v>
      </c>
      <c r="Z428" s="105">
        <v>9.2746301478992569E-4</v>
      </c>
      <c r="AA428" s="102">
        <v>2.4060426387251255E-4</v>
      </c>
    </row>
    <row r="429" spans="19:27" x14ac:dyDescent="0.2">
      <c r="S429" s="61"/>
      <c r="T429" s="82"/>
      <c r="W429" s="103" t="str">
        <f t="shared" si="15"/>
        <v>1D</v>
      </c>
      <c r="X429" s="101">
        <f>_xll.qlCalendarAdvance(Calendar,X428,W429,"f",FALSE)</f>
        <v>42867</v>
      </c>
      <c r="Y429" s="104">
        <f>_xll.qlCalendarAdvance(Calendar,X429,NDays&amp;"D")</f>
        <v>42871</v>
      </c>
      <c r="Z429" s="105">
        <v>9.4281777195566767E-4</v>
      </c>
      <c r="AA429" s="102">
        <v>2.5586949838896089E-4</v>
      </c>
    </row>
    <row r="430" spans="19:27" x14ac:dyDescent="0.2">
      <c r="S430" s="61"/>
      <c r="T430" s="82"/>
      <c r="W430" s="103" t="str">
        <f t="shared" si="15"/>
        <v>1D</v>
      </c>
      <c r="X430" s="101">
        <f>_xll.qlCalendarAdvance(Calendar,X429,W430,"f",FALSE)</f>
        <v>42870</v>
      </c>
      <c r="Y430" s="104">
        <f>_xll.qlCalendarAdvance(Calendar,X430,NDays&amp;"D")</f>
        <v>42872</v>
      </c>
      <c r="Z430" s="105">
        <v>9.5815341164163658E-4</v>
      </c>
      <c r="AA430" s="102">
        <v>2.8657220577876785E-4</v>
      </c>
    </row>
    <row r="431" spans="19:27" x14ac:dyDescent="0.2">
      <c r="S431" s="61"/>
      <c r="T431" s="82"/>
      <c r="W431" s="103" t="str">
        <f t="shared" si="15"/>
        <v>1D</v>
      </c>
      <c r="X431" s="101">
        <f>_xll.qlCalendarAdvance(Calendar,X430,W431,"f",FALSE)</f>
        <v>42871</v>
      </c>
      <c r="Y431" s="104">
        <f>_xll.qlCalendarAdvance(Calendar,X431,NDays&amp;"D")</f>
        <v>42873</v>
      </c>
      <c r="Z431" s="105">
        <v>9.734687918013748E-4</v>
      </c>
      <c r="AA431" s="102">
        <v>3.1744646791231901E-4</v>
      </c>
    </row>
    <row r="432" spans="19:27" x14ac:dyDescent="0.2">
      <c r="S432" s="61"/>
      <c r="T432" s="82"/>
      <c r="W432" s="103" t="str">
        <f t="shared" si="15"/>
        <v>1D</v>
      </c>
      <c r="X432" s="101">
        <f>_xll.qlCalendarAdvance(Calendar,X431,W432,"f",FALSE)</f>
        <v>42872</v>
      </c>
      <c r="Y432" s="104">
        <f>_xll.qlCalendarAdvance(Calendar,X432,NDays&amp;"D")</f>
        <v>42874</v>
      </c>
      <c r="Z432" s="105">
        <v>1.0035300682085576E-3</v>
      </c>
      <c r="AA432" s="102">
        <v>3.3296971819751775E-4</v>
      </c>
    </row>
    <row r="433" spans="19:27" x14ac:dyDescent="0.2">
      <c r="S433" s="61"/>
      <c r="T433" s="82"/>
      <c r="W433" s="103" t="str">
        <f t="shared" si="15"/>
        <v>1D</v>
      </c>
      <c r="X433" s="101">
        <f>_xll.qlCalendarAdvance(Calendar,X432,W433,"f",FALSE)</f>
        <v>42873</v>
      </c>
      <c r="Y433" s="104">
        <f>_xll.qlCalendarAdvance(Calendar,X433,NDays&amp;"D")</f>
        <v>42877</v>
      </c>
      <c r="Z433" s="105">
        <v>1.0345048755598604E-3</v>
      </c>
      <c r="AA433" s="102">
        <v>3.5635797632771471E-4</v>
      </c>
    </row>
    <row r="434" spans="19:27" x14ac:dyDescent="0.2">
      <c r="S434" s="61"/>
      <c r="T434" s="82"/>
      <c r="W434" s="103" t="str">
        <f t="shared" si="15"/>
        <v>1D</v>
      </c>
      <c r="X434" s="101">
        <f>_xll.qlCalendarAdvance(Calendar,X433,W434,"f",FALSE)</f>
        <v>42874</v>
      </c>
      <c r="Y434" s="104">
        <f>_xll.qlCalendarAdvance(Calendar,X434,NDays&amp;"D")</f>
        <v>42878</v>
      </c>
      <c r="Z434" s="105">
        <v>1.0497018267286368E-3</v>
      </c>
      <c r="AA434" s="102">
        <v>3.9559638684849574E-4</v>
      </c>
    </row>
    <row r="435" spans="19:27" x14ac:dyDescent="0.2">
      <c r="S435" s="61"/>
      <c r="T435" s="82"/>
      <c r="W435" s="103" t="str">
        <f t="shared" si="15"/>
        <v>1D</v>
      </c>
      <c r="X435" s="101">
        <f>_xll.qlCalendarAdvance(Calendar,X434,W435,"f",FALSE)</f>
        <v>42877</v>
      </c>
      <c r="Y435" s="104">
        <f>_xll.qlCalendarAdvance(Calendar,X435,NDays&amp;"D")</f>
        <v>42879</v>
      </c>
      <c r="Z435" s="105">
        <v>1.0648716657075288E-3</v>
      </c>
      <c r="AA435" s="102">
        <v>4.2719288706472014E-4</v>
      </c>
    </row>
    <row r="436" spans="19:27" x14ac:dyDescent="0.2">
      <c r="S436" s="61"/>
      <c r="T436" s="82"/>
      <c r="W436" s="103" t="str">
        <f t="shared" si="15"/>
        <v>1D</v>
      </c>
      <c r="X436" s="101">
        <f>_xll.qlCalendarAdvance(Calendar,X435,W436,"f",FALSE)</f>
        <v>42878</v>
      </c>
      <c r="Y436" s="104">
        <f>_xll.qlCalendarAdvance(Calendar,X436,NDays&amp;"D")</f>
        <v>42881</v>
      </c>
      <c r="Z436" s="105">
        <v>1.1095670255330406E-3</v>
      </c>
      <c r="AA436" s="102">
        <v>4.4307735976190088E-4</v>
      </c>
    </row>
    <row r="437" spans="19:27" x14ac:dyDescent="0.2">
      <c r="S437" s="61"/>
      <c r="T437" s="82"/>
      <c r="W437" s="103" t="str">
        <f t="shared" si="15"/>
        <v>1D</v>
      </c>
      <c r="X437" s="101">
        <f>_xll.qlCalendarAdvance(Calendar,X436,W437,"f",FALSE)</f>
        <v>42879</v>
      </c>
      <c r="Y437" s="104">
        <f>_xll.qlCalendarAdvance(Calendar,X437,NDays&amp;"D")</f>
        <v>42884</v>
      </c>
      <c r="Z437" s="105">
        <v>1.1402742011777597E-3</v>
      </c>
      <c r="AA437" s="102">
        <v>4.5901343574072939E-4</v>
      </c>
    </row>
    <row r="438" spans="19:27" x14ac:dyDescent="0.2">
      <c r="S438" s="61"/>
      <c r="T438" s="82"/>
      <c r="W438" s="103" t="str">
        <f t="shared" si="15"/>
        <v>1D</v>
      </c>
      <c r="X438" s="101">
        <f>_xll.qlCalendarAdvance(Calendar,X437,W438,"f",FALSE)</f>
        <v>42881</v>
      </c>
      <c r="Y438" s="104">
        <f>_xll.qlCalendarAdvance(Calendar,X438,NDays&amp;"D")</f>
        <v>42885</v>
      </c>
      <c r="Z438" s="105">
        <v>1.1552573808347396E-3</v>
      </c>
      <c r="AA438" s="102">
        <v>4.7500111484133356E-4</v>
      </c>
    </row>
    <row r="439" spans="19:27" x14ac:dyDescent="0.2">
      <c r="S439" s="61"/>
      <c r="T439" s="82"/>
      <c r="W439" s="103" t="str">
        <f t="shared" si="15"/>
        <v>1D</v>
      </c>
      <c r="X439" s="101">
        <f>_xll.qlCalendarAdvance(Calendar,X438,W439,"f",FALSE)</f>
        <v>42884</v>
      </c>
      <c r="Y439" s="104">
        <f>_xll.qlCalendarAdvance(Calendar,X439,NDays&amp;"D")</f>
        <v>42886</v>
      </c>
      <c r="Z439" s="105">
        <v>1.1702054527515263E-3</v>
      </c>
      <c r="AA439" s="102">
        <v>5.1522943465664994E-4</v>
      </c>
    </row>
    <row r="440" spans="19:27" x14ac:dyDescent="0.2">
      <c r="S440" s="61"/>
      <c r="T440" s="82"/>
      <c r="W440" s="103" t="str">
        <f t="shared" si="15"/>
        <v>1D</v>
      </c>
      <c r="X440" s="101">
        <f>_xll.qlCalendarAdvance(Calendar,X439,W440,"f",FALSE)</f>
        <v>42885</v>
      </c>
      <c r="Y440" s="104">
        <f>_xll.qlCalendarAdvance(Calendar,X440,NDays&amp;"D")</f>
        <v>42887</v>
      </c>
      <c r="Z440" s="105">
        <v>1.1851172746375096E-3</v>
      </c>
      <c r="AA440" s="102">
        <v>5.5571355948913492E-4</v>
      </c>
    </row>
    <row r="441" spans="19:27" x14ac:dyDescent="0.2">
      <c r="S441" s="61"/>
      <c r="T441" s="82"/>
      <c r="W441" s="103" t="str">
        <f t="shared" si="15"/>
        <v>1D</v>
      </c>
      <c r="X441" s="101">
        <f>_xll.qlCalendarAdvance(Calendar,X440,W441,"f",FALSE)</f>
        <v>42886</v>
      </c>
      <c r="Y441" s="104">
        <f>_xll.qlCalendarAdvance(Calendar,X441,NDays&amp;"D")</f>
        <v>42888</v>
      </c>
      <c r="Z441" s="105">
        <v>1.2140837999800721E-3</v>
      </c>
      <c r="AA441" s="102">
        <v>5.7201085827962572E-4</v>
      </c>
    </row>
    <row r="442" spans="19:27" x14ac:dyDescent="0.2">
      <c r="S442" s="61"/>
      <c r="T442" s="82"/>
      <c r="W442" s="103" t="str">
        <f t="shared" si="15"/>
        <v>1D</v>
      </c>
      <c r="X442" s="101">
        <f>_xll.qlCalendarAdvance(Calendar,X441,W442,"f",FALSE)</f>
        <v>42887</v>
      </c>
      <c r="Y442" s="104">
        <f>_xll.qlCalendarAdvance(Calendar,X442,NDays&amp;"D")</f>
        <v>42892</v>
      </c>
      <c r="Z442" s="105">
        <v>1.2590926523913877E-3</v>
      </c>
      <c r="AA442" s="102">
        <v>5.8835976027182824E-4</v>
      </c>
    </row>
    <row r="443" spans="19:27" x14ac:dyDescent="0.2">
      <c r="S443" s="61"/>
      <c r="T443" s="82"/>
      <c r="W443" s="103" t="str">
        <f t="shared" si="15"/>
        <v>1D</v>
      </c>
      <c r="X443" s="101">
        <f>_xll.qlCalendarAdvance(Calendar,X442,W443,"f",FALSE)</f>
        <v>42888</v>
      </c>
      <c r="Y443" s="104">
        <f>_xll.qlCalendarAdvance(Calendar,X443,NDays&amp;"D")</f>
        <v>42893</v>
      </c>
      <c r="Z443" s="105">
        <v>1.2737629851330375E-3</v>
      </c>
      <c r="AA443" s="102">
        <v>6.212306470310125E-4</v>
      </c>
    </row>
    <row r="444" spans="19:27" x14ac:dyDescent="0.2">
      <c r="S444" s="61"/>
      <c r="T444" s="82"/>
      <c r="W444" s="103" t="str">
        <f t="shared" si="15"/>
        <v>1D</v>
      </c>
      <c r="X444" s="101">
        <f>_xll.qlCalendarAdvance(Calendar,X443,W444,"f",FALSE)</f>
        <v>42892</v>
      </c>
      <c r="Y444" s="104">
        <f>_xll.qlCalendarAdvance(Calendar,X444,NDays&amp;"D")</f>
        <v>42894</v>
      </c>
      <c r="Z444" s="105">
        <v>1.2883890713708353E-3</v>
      </c>
      <c r="AA444" s="102">
        <v>6.5427140121698812E-4</v>
      </c>
    </row>
    <row r="445" spans="19:27" x14ac:dyDescent="0.2">
      <c r="S445" s="61"/>
      <c r="T445" s="82"/>
      <c r="W445" s="103" t="str">
        <f t="shared" si="15"/>
        <v>1D</v>
      </c>
      <c r="X445" s="101">
        <f>_xll.qlCalendarAdvance(Calendar,X444,W445,"f",FALSE)</f>
        <v>42893</v>
      </c>
      <c r="Y445" s="104">
        <f>_xll.qlCalendarAdvance(Calendar,X445,NDays&amp;"D")</f>
        <v>42895</v>
      </c>
      <c r="Z445" s="105">
        <v>1.316696917770113E-3</v>
      </c>
      <c r="AA445" s="102">
        <v>6.7087831985723767E-4</v>
      </c>
    </row>
    <row r="446" spans="19:27" x14ac:dyDescent="0.2">
      <c r="S446" s="61"/>
      <c r="T446" s="82"/>
      <c r="W446" s="103" t="str">
        <f t="shared" si="15"/>
        <v>1D</v>
      </c>
      <c r="X446" s="101">
        <f>_xll.qlCalendarAdvance(Calendar,X445,W446,"f",FALSE)</f>
        <v>42894</v>
      </c>
      <c r="Y446" s="104">
        <f>_xll.qlCalendarAdvance(Calendar,X446,NDays&amp;"D")</f>
        <v>42898</v>
      </c>
      <c r="Z446" s="105">
        <v>1.346428102744792E-3</v>
      </c>
      <c r="AA446" s="102">
        <v>6.8753684161926287E-4</v>
      </c>
    </row>
    <row r="447" spans="19:27" x14ac:dyDescent="0.2">
      <c r="S447" s="61"/>
      <c r="T447" s="82"/>
      <c r="W447" s="103" t="str">
        <f t="shared" si="15"/>
        <v>1D</v>
      </c>
      <c r="X447" s="101">
        <f>_xll.qlCalendarAdvance(Calendar,X446,W447,"f",FALSE)</f>
        <v>42895</v>
      </c>
      <c r="Y447" s="104">
        <f>_xll.qlCalendarAdvance(Calendar,X447,NDays&amp;"D")</f>
        <v>42899</v>
      </c>
      <c r="Z447" s="105">
        <v>1.3608158199189717E-3</v>
      </c>
      <c r="AA447" s="102">
        <v>7.0422946322423741E-4</v>
      </c>
    </row>
    <row r="448" spans="19:27" x14ac:dyDescent="0.2">
      <c r="S448" s="61"/>
      <c r="T448" s="82"/>
      <c r="W448" s="103" t="str">
        <f t="shared" si="15"/>
        <v>1D</v>
      </c>
      <c r="X448" s="101">
        <f>_xll.qlCalendarAdvance(Calendar,X447,W448,"f",FALSE)</f>
        <v>42898</v>
      </c>
      <c r="Y448" s="104">
        <f>_xll.qlCalendarAdvance(Calendar,X448,NDays&amp;"D")</f>
        <v>42900</v>
      </c>
      <c r="Z448" s="105">
        <v>1.3751524358612099E-3</v>
      </c>
      <c r="AA448" s="102">
        <v>7.3747316221783876E-4</v>
      </c>
    </row>
    <row r="449" spans="19:27" x14ac:dyDescent="0.2">
      <c r="S449" s="61"/>
      <c r="T449" s="82"/>
      <c r="W449" s="103" t="str">
        <f t="shared" si="15"/>
        <v>1D</v>
      </c>
      <c r="X449" s="101">
        <f>_xll.qlCalendarAdvance(Calendar,X448,W449,"f",FALSE)</f>
        <v>42899</v>
      </c>
      <c r="Y449" s="104">
        <f>_xll.qlCalendarAdvance(Calendar,X449,NDays&amp;"D")</f>
        <v>42901</v>
      </c>
      <c r="Z449" s="105">
        <v>1.3894368080662855E-3</v>
      </c>
      <c r="AA449" s="102">
        <v>7.7053577846264432E-4</v>
      </c>
    </row>
    <row r="450" spans="19:27" x14ac:dyDescent="0.2">
      <c r="S450" s="61"/>
      <c r="T450" s="82"/>
      <c r="W450" s="103" t="str">
        <f t="shared" si="15"/>
        <v>1D</v>
      </c>
      <c r="X450" s="101">
        <f>_xll.qlCalendarAdvance(Calendar,X449,W450,"f",FALSE)</f>
        <v>42900</v>
      </c>
      <c r="Y450" s="104">
        <f>_xll.qlCalendarAdvance(Calendar,X450,NDays&amp;"D")</f>
        <v>42902</v>
      </c>
      <c r="Z450" s="105">
        <v>1.4170230528284514E-3</v>
      </c>
      <c r="AA450" s="102">
        <v>7.8697881067846254E-4</v>
      </c>
    </row>
    <row r="451" spans="19:27" x14ac:dyDescent="0.2">
      <c r="S451" s="61"/>
      <c r="T451" s="82"/>
      <c r="W451" s="103" t="str">
        <f t="shared" si="15"/>
        <v>1D</v>
      </c>
      <c r="X451" s="101">
        <f>_xll.qlCalendarAdvance(Calendar,X450,W451,"f",FALSE)</f>
        <v>42901</v>
      </c>
      <c r="Y451" s="104">
        <f>_xll.qlCalendarAdvance(Calendar,X451,NDays&amp;"D")</f>
        <v>42905</v>
      </c>
      <c r="Z451" s="105">
        <v>1.4460411897829087E-3</v>
      </c>
      <c r="AA451" s="102">
        <v>8.0336842450456913E-4</v>
      </c>
    </row>
    <row r="452" spans="19:27" x14ac:dyDescent="0.2">
      <c r="S452" s="61"/>
      <c r="T452" s="82"/>
      <c r="W452" s="103" t="str">
        <f t="shared" si="15"/>
        <v>1D</v>
      </c>
      <c r="X452" s="101">
        <f>_xll.qlCalendarAdvance(Calendar,X451,W452,"f",FALSE)</f>
        <v>42902</v>
      </c>
      <c r="Y452" s="104">
        <f>_xll.qlCalendarAdvance(Calendar,X452,NDays&amp;"D")</f>
        <v>42906</v>
      </c>
      <c r="Z452" s="105">
        <v>1.4600588152146189E-3</v>
      </c>
      <c r="AA452" s="102">
        <v>8.440783340080138E-4</v>
      </c>
    </row>
    <row r="453" spans="19:27" x14ac:dyDescent="0.2">
      <c r="S453" s="61"/>
      <c r="T453" s="82"/>
      <c r="W453" s="103" t="str">
        <f t="shared" si="15"/>
        <v>1D</v>
      </c>
      <c r="X453" s="101">
        <f>_xll.qlCalendarAdvance(Calendar,X452,W453,"f",FALSE)</f>
        <v>42905</v>
      </c>
      <c r="Y453" s="104">
        <f>_xll.qlCalendarAdvance(Calendar,X453,NDays&amp;"D")</f>
        <v>42907</v>
      </c>
      <c r="Z453" s="105">
        <v>1.4740230514984438E-3</v>
      </c>
      <c r="AA453" s="102">
        <v>8.8451521419230517E-4</v>
      </c>
    </row>
    <row r="454" spans="19:27" x14ac:dyDescent="0.2">
      <c r="S454" s="61"/>
      <c r="T454" s="82"/>
      <c r="W454" s="103" t="str">
        <f t="shared" si="15"/>
        <v>1D</v>
      </c>
      <c r="X454" s="101">
        <f>_xll.qlCalendarAdvance(Calendar,X453,W454,"f",FALSE)</f>
        <v>42906</v>
      </c>
      <c r="Y454" s="104">
        <f>_xll.qlCalendarAdvance(Calendar,X454,NDays&amp;"D")</f>
        <v>42908</v>
      </c>
      <c r="Z454" s="105">
        <v>1.4879338980591916E-3</v>
      </c>
      <c r="AA454" s="102">
        <v>9.0058431624129298E-4</v>
      </c>
    </row>
    <row r="455" spans="19:27" x14ac:dyDescent="0.2">
      <c r="S455" s="61"/>
      <c r="T455" s="82"/>
      <c r="W455" s="103" t="str">
        <f t="shared" si="15"/>
        <v>1D</v>
      </c>
      <c r="X455" s="101">
        <f>_xll.qlCalendarAdvance(Calendar,X454,W455,"f",FALSE)</f>
        <v>42907</v>
      </c>
      <c r="Y455" s="104">
        <f>_xll.qlCalendarAdvance(Calendar,X455,NDays&amp;"D")</f>
        <v>42912</v>
      </c>
      <c r="Z455" s="105">
        <v>1.5430433757335218E-3</v>
      </c>
      <c r="AA455" s="102">
        <v>9.16599999660761E-4</v>
      </c>
    </row>
    <row r="456" spans="19:27" x14ac:dyDescent="0.2">
      <c r="S456" s="61"/>
      <c r="T456" s="82"/>
      <c r="W456" s="103" t="str">
        <f t="shared" si="15"/>
        <v>1D</v>
      </c>
      <c r="X456" s="101">
        <f>_xll.qlCalendarAdvance(Calendar,X455,W456,"f",FALSE)</f>
        <v>42908</v>
      </c>
      <c r="Y456" s="104">
        <f>_xll.qlCalendarAdvance(Calendar,X456,NDays&amp;"D")</f>
        <v>42913</v>
      </c>
      <c r="Z456" s="105">
        <v>1.5566872651882832E-3</v>
      </c>
      <c r="AA456" s="102">
        <v>9.3256226437077316E-4</v>
      </c>
    </row>
    <row r="457" spans="19:27" x14ac:dyDescent="0.2">
      <c r="S457" s="61"/>
      <c r="T457" s="82"/>
      <c r="W457" s="103" t="str">
        <f t="shared" si="15"/>
        <v>1D</v>
      </c>
      <c r="X457" s="101">
        <f>_xll.qlCalendarAdvance(Calendar,X456,W457,"f",FALSE)</f>
        <v>42912</v>
      </c>
      <c r="Y457" s="104">
        <f>_xll.qlCalendarAdvance(Calendar,X457,NDays&amp;"D")</f>
        <v>42914</v>
      </c>
      <c r="Z457" s="105">
        <v>1.5702777615374556E-3</v>
      </c>
      <c r="AA457" s="102">
        <v>9.6431131455965158E-4</v>
      </c>
    </row>
    <row r="458" spans="19:27" x14ac:dyDescent="0.2">
      <c r="S458" s="61"/>
      <c r="T458" s="82"/>
      <c r="W458" s="103" t="str">
        <f t="shared" si="15"/>
        <v>1D</v>
      </c>
      <c r="X458" s="101">
        <f>_xll.qlCalendarAdvance(Calendar,X457,W458,"f",FALSE)</f>
        <v>42913</v>
      </c>
      <c r="Y458" s="104">
        <f>_xll.qlCalendarAdvance(Calendar,X458,NDays&amp;"D")</f>
        <v>42915</v>
      </c>
      <c r="Z458" s="105">
        <v>1.5838148642240931E-3</v>
      </c>
      <c r="AA458" s="102">
        <v>9.9587713683568779E-4</v>
      </c>
    </row>
    <row r="459" spans="19:27" x14ac:dyDescent="0.2">
      <c r="S459" s="61"/>
      <c r="T459" s="82"/>
      <c r="W459" s="103" t="str">
        <f t="shared" si="15"/>
        <v>1D</v>
      </c>
      <c r="X459" s="101">
        <f>_xll.qlCalendarAdvance(Calendar,X458,W459,"f",FALSE)</f>
        <v>42914</v>
      </c>
      <c r="Y459" s="104">
        <f>_xll.qlCalendarAdvance(Calendar,X459,NDays&amp;"D")</f>
        <v>42916</v>
      </c>
      <c r="Z459" s="105">
        <v>1.5909673648783185E-3</v>
      </c>
      <c r="AA459" s="102">
        <v>1.0115723083181649E-3</v>
      </c>
    </row>
    <row r="460" spans="19:27" x14ac:dyDescent="0.2">
      <c r="S460" s="61"/>
      <c r="T460" s="82"/>
      <c r="W460" s="103" t="str">
        <f t="shared" si="15"/>
        <v>1D</v>
      </c>
      <c r="X460" s="101">
        <f>_xll.qlCalendarAdvance(Calendar,X459,W460,"f",FALSE)</f>
        <v>42915</v>
      </c>
      <c r="Y460" s="104">
        <f>_xll.qlCalendarAdvance(Calendar,X460,NDays&amp;"D")</f>
        <v>42919</v>
      </c>
      <c r="Z460" s="105">
        <v>1.637436299590789E-3</v>
      </c>
      <c r="AA460" s="102">
        <v>1.0272140610112501E-3</v>
      </c>
    </row>
    <row r="461" spans="19:27" x14ac:dyDescent="0.2">
      <c r="S461" s="61"/>
      <c r="T461" s="82"/>
      <c r="W461" s="103" t="str">
        <f t="shared" si="15"/>
        <v>1D</v>
      </c>
      <c r="X461" s="101">
        <f>_xll.qlCalendarAdvance(Calendar,X460,W461,"f",FALSE)</f>
        <v>42916</v>
      </c>
      <c r="Y461" s="104">
        <f>_xll.qlCalendarAdvance(Calendar,X461,NDays&amp;"D")</f>
        <v>42920</v>
      </c>
      <c r="Z461" s="105">
        <v>1.6507130712102884E-3</v>
      </c>
      <c r="AA461" s="102">
        <v>1.0428023949948795E-3</v>
      </c>
    </row>
    <row r="462" spans="19:27" x14ac:dyDescent="0.2">
      <c r="S462" s="61"/>
      <c r="T462" s="82"/>
      <c r="W462" s="103" t="str">
        <f t="shared" si="15"/>
        <v>1D</v>
      </c>
      <c r="X462" s="101">
        <f>_xll.qlCalendarAdvance(Calendar,X461,W462,"f",FALSE)</f>
        <v>42919</v>
      </c>
      <c r="Y462" s="104">
        <f>_xll.qlCalendarAdvance(Calendar,X462,NDays&amp;"D")</f>
        <v>42921</v>
      </c>
      <c r="Z462" s="105">
        <v>1.6639397142041894E-3</v>
      </c>
      <c r="AA462" s="102">
        <v>1.0738042034219575E-3</v>
      </c>
    </row>
    <row r="463" spans="19:27" x14ac:dyDescent="0.2">
      <c r="S463" s="61"/>
      <c r="T463" s="82"/>
      <c r="W463" s="103" t="str">
        <f t="shared" si="15"/>
        <v>1D</v>
      </c>
      <c r="X463" s="101">
        <f>_xll.qlCalendarAdvance(Calendar,X462,W463,"f",FALSE)</f>
        <v>42920</v>
      </c>
      <c r="Y463" s="104">
        <f>_xll.qlCalendarAdvance(Calendar,X463,NDays&amp;"D")</f>
        <v>42922</v>
      </c>
      <c r="Z463" s="105">
        <v>1.6771168817239382E-3</v>
      </c>
      <c r="AA463" s="102">
        <v>1.1046215440746465E-3</v>
      </c>
    </row>
    <row r="464" spans="19:27" x14ac:dyDescent="0.2">
      <c r="S464" s="61"/>
      <c r="T464" s="82"/>
      <c r="W464" s="103" t="str">
        <f t="shared" si="15"/>
        <v>1D</v>
      </c>
      <c r="X464" s="101">
        <f>_xll.qlCalendarAdvance(Calendar,X463,W464,"f",FALSE)</f>
        <v>42921</v>
      </c>
      <c r="Y464" s="104">
        <f>_xll.qlCalendarAdvance(Calendar,X464,NDays&amp;"D")</f>
        <v>42923</v>
      </c>
      <c r="Z464" s="105">
        <v>1.702532301037879E-3</v>
      </c>
      <c r="AA464" s="102">
        <v>1.1199427844310605E-3</v>
      </c>
    </row>
    <row r="465" spans="19:27" x14ac:dyDescent="0.2">
      <c r="S465" s="61"/>
      <c r="T465" s="82"/>
      <c r="W465" s="103" t="str">
        <f t="shared" si="15"/>
        <v>1D</v>
      </c>
      <c r="X465" s="101">
        <f>_xll.qlCalendarAdvance(Calendar,X464,W465,"f",FALSE)</f>
        <v>42922</v>
      </c>
      <c r="Y465" s="104">
        <f>_xll.qlCalendarAdvance(Calendar,X465,NDays&amp;"D")</f>
        <v>42926</v>
      </c>
      <c r="Z465" s="105">
        <v>1.7293438604439593E-3</v>
      </c>
      <c r="AA465" s="102">
        <v>1.1352106061579548E-3</v>
      </c>
    </row>
    <row r="466" spans="19:27" x14ac:dyDescent="0.2">
      <c r="S466" s="61"/>
      <c r="T466" s="82"/>
      <c r="W466" s="103" t="str">
        <f t="shared" si="15"/>
        <v>1D</v>
      </c>
      <c r="X466" s="101">
        <f>_xll.qlCalendarAdvance(Calendar,X465,W466,"f",FALSE)</f>
        <v>42923</v>
      </c>
      <c r="Y466" s="104">
        <f>_xll.qlCalendarAdvance(Calendar,X466,NDays&amp;"D")</f>
        <v>42927</v>
      </c>
      <c r="Z466" s="105">
        <v>1.7422834482234792E-3</v>
      </c>
      <c r="AA466" s="102">
        <v>1.150425009015521E-3</v>
      </c>
    </row>
    <row r="467" spans="19:27" x14ac:dyDescent="0.2">
      <c r="S467" s="61"/>
      <c r="T467" s="82"/>
      <c r="W467" s="103" t="str">
        <f t="shared" si="15"/>
        <v>1D</v>
      </c>
      <c r="X467" s="101">
        <f>_xll.qlCalendarAdvance(Calendar,X466,W467,"f",FALSE)</f>
        <v>42926</v>
      </c>
      <c r="Y467" s="104">
        <f>_xll.qlCalendarAdvance(Calendar,X467,NDays&amp;"D")</f>
        <v>42928</v>
      </c>
      <c r="Z467" s="105">
        <v>1.7551774796556092E-3</v>
      </c>
      <c r="AA467" s="102">
        <v>1.1806796244950846E-3</v>
      </c>
    </row>
    <row r="468" spans="19:27" x14ac:dyDescent="0.2">
      <c r="S468" s="61"/>
      <c r="T468" s="82"/>
      <c r="W468" s="103" t="str">
        <f t="shared" si="15"/>
        <v>1D</v>
      </c>
      <c r="X468" s="101">
        <f>_xll.qlCalendarAdvance(Calendar,X467,W468,"f",FALSE)</f>
        <v>42927</v>
      </c>
      <c r="Y468" s="104">
        <f>_xll.qlCalendarAdvance(Calendar,X468,NDays&amp;"D")</f>
        <v>42929</v>
      </c>
      <c r="Z468" s="105">
        <v>1.7680266079630421E-3</v>
      </c>
      <c r="AA468" s="102">
        <v>1.2107484332712914E-3</v>
      </c>
    </row>
    <row r="469" spans="19:27" x14ac:dyDescent="0.2">
      <c r="S469" s="61"/>
      <c r="T469" s="82"/>
      <c r="W469" s="103" t="str">
        <f t="shared" ref="W469:W532" si="16">W468</f>
        <v>1D</v>
      </c>
      <c r="X469" s="101">
        <f>_xll.qlCalendarAdvance(Calendar,X468,W469,"f",FALSE)</f>
        <v>42928</v>
      </c>
      <c r="Y469" s="104">
        <f>_xll.qlCalendarAdvance(Calendar,X469,NDays&amp;"D")</f>
        <v>42930</v>
      </c>
      <c r="Z469" s="105">
        <v>1.7928509388321508E-3</v>
      </c>
      <c r="AA469" s="102">
        <v>1.2256957424217063E-3</v>
      </c>
    </row>
    <row r="470" spans="19:27" x14ac:dyDescent="0.2">
      <c r="S470" s="61"/>
      <c r="T470" s="82"/>
      <c r="W470" s="103" t="str">
        <f t="shared" si="16"/>
        <v>1D</v>
      </c>
      <c r="X470" s="101">
        <f>_xll.qlCalendarAdvance(Calendar,X469,W470,"f",FALSE)</f>
        <v>42929</v>
      </c>
      <c r="Y470" s="104">
        <f>_xll.qlCalendarAdvance(Calendar,X470,NDays&amp;"D")</f>
        <v>42933</v>
      </c>
      <c r="Z470" s="105">
        <v>1.8189871547828452E-3</v>
      </c>
      <c r="AA470" s="102">
        <v>1.2405896327027932E-3</v>
      </c>
    </row>
    <row r="471" spans="19:27" x14ac:dyDescent="0.2">
      <c r="S471" s="61"/>
      <c r="T471" s="82"/>
      <c r="W471" s="103" t="str">
        <f t="shared" si="16"/>
        <v>1D</v>
      </c>
      <c r="X471" s="101">
        <f>_xll.qlCalendarAdvance(Calendar,X470,W471,"f",FALSE)</f>
        <v>42930</v>
      </c>
      <c r="Y471" s="104">
        <f>_xll.qlCalendarAdvance(Calendar,X471,NDays&amp;"D")</f>
        <v>42934</v>
      </c>
      <c r="Z471" s="105">
        <v>1.8316215661808083E-3</v>
      </c>
      <c r="AA471" s="102">
        <v>1.2554301043543603E-3</v>
      </c>
    </row>
    <row r="472" spans="19:27" x14ac:dyDescent="0.2">
      <c r="S472" s="61"/>
      <c r="T472" s="82"/>
      <c r="W472" s="103" t="str">
        <f t="shared" si="16"/>
        <v>1D</v>
      </c>
      <c r="X472" s="101">
        <f>_xll.qlCalendarAdvance(Calendar,X471,W472,"f",FALSE)</f>
        <v>42933</v>
      </c>
      <c r="Y472" s="104">
        <f>_xll.qlCalendarAdvance(Calendar,X472,NDays&amp;"D")</f>
        <v>42935</v>
      </c>
      <c r="Z472" s="105">
        <v>1.8442149940091901E-3</v>
      </c>
      <c r="AA472" s="102">
        <v>1.284937570691369E-3</v>
      </c>
    </row>
    <row r="473" spans="19:27" x14ac:dyDescent="0.2">
      <c r="S473" s="61"/>
      <c r="T473" s="82"/>
      <c r="W473" s="103" t="str">
        <f t="shared" si="16"/>
        <v>1D</v>
      </c>
      <c r="X473" s="101">
        <f>_xll.qlCalendarAdvance(Calendar,X472,W473,"f",FALSE)</f>
        <v>42934</v>
      </c>
      <c r="Y473" s="104">
        <f>_xll.qlCalendarAdvance(Calendar,X473,NDays&amp;"D")</f>
        <v>42936</v>
      </c>
      <c r="Z473" s="105">
        <v>1.8567680915601934E-3</v>
      </c>
      <c r="AA473" s="102">
        <v>1.3142578024272211E-3</v>
      </c>
    </row>
    <row r="474" spans="19:27" x14ac:dyDescent="0.2">
      <c r="S474" s="61"/>
      <c r="T474" s="82"/>
      <c r="W474" s="103" t="str">
        <f t="shared" si="16"/>
        <v>1D</v>
      </c>
      <c r="X474" s="101">
        <f>_xll.qlCalendarAdvance(Calendar,X473,W474,"f",FALSE)</f>
        <v>42935</v>
      </c>
      <c r="Y474" s="104">
        <f>_xll.qlCalendarAdvance(Calendar,X474,NDays&amp;"D")</f>
        <v>42937</v>
      </c>
      <c r="Z474" s="105">
        <v>1.8810858238858541E-3</v>
      </c>
      <c r="AA474" s="102">
        <v>1.3288311798120844E-3</v>
      </c>
    </row>
    <row r="475" spans="19:27" x14ac:dyDescent="0.2">
      <c r="S475" s="61"/>
      <c r="T475" s="82"/>
      <c r="W475" s="103" t="str">
        <f t="shared" si="16"/>
        <v>1D</v>
      </c>
      <c r="X475" s="101">
        <f>_xll.qlCalendarAdvance(Calendar,X474,W475,"f",FALSE)</f>
        <v>42936</v>
      </c>
      <c r="Y475" s="104">
        <f>_xll.qlCalendarAdvance(Calendar,X475,NDays&amp;"D")</f>
        <v>42940</v>
      </c>
      <c r="Z475" s="105">
        <v>1.9065902452011425E-3</v>
      </c>
      <c r="AA475" s="102">
        <v>1.3433511384874919E-3</v>
      </c>
    </row>
    <row r="476" spans="19:27" x14ac:dyDescent="0.2">
      <c r="S476" s="61"/>
      <c r="T476" s="82"/>
      <c r="W476" s="103" t="str">
        <f t="shared" si="16"/>
        <v>1D</v>
      </c>
      <c r="X476" s="101">
        <f>_xll.qlCalendarAdvance(Calendar,X475,W476,"f",FALSE)</f>
        <v>42937</v>
      </c>
      <c r="Y476" s="104">
        <f>_xll.qlCalendarAdvance(Calendar,X476,NDays&amp;"D")</f>
        <v>42941</v>
      </c>
      <c r="Z476" s="105">
        <v>1.9189514911036648E-3</v>
      </c>
      <c r="AA476" s="102">
        <v>1.3578176782136353E-3</v>
      </c>
    </row>
    <row r="477" spans="19:27" x14ac:dyDescent="0.2">
      <c r="S477" s="61"/>
      <c r="T477" s="82"/>
      <c r="W477" s="103" t="str">
        <f t="shared" si="16"/>
        <v>1D</v>
      </c>
      <c r="X477" s="101">
        <f>_xll.qlCalendarAdvance(Calendar,X476,W477,"f",FALSE)</f>
        <v>42940</v>
      </c>
      <c r="Y477" s="104">
        <f>_xll.qlCalendarAdvance(Calendar,X477,NDays&amp;"D")</f>
        <v>42942</v>
      </c>
      <c r="Z477" s="105">
        <v>1.9312763266914239E-3</v>
      </c>
      <c r="AA477" s="102">
        <v>1.3865780353494728E-3</v>
      </c>
    </row>
    <row r="478" spans="19:27" x14ac:dyDescent="0.2">
      <c r="S478" s="61"/>
      <c r="T478" s="82"/>
      <c r="W478" s="103" t="str">
        <f t="shared" si="16"/>
        <v>1D</v>
      </c>
      <c r="X478" s="101">
        <f>_xll.qlCalendarAdvance(Calendar,X477,W478,"f",FALSE)</f>
        <v>42941</v>
      </c>
      <c r="Y478" s="104">
        <f>_xll.qlCalendarAdvance(Calendar,X478,NDays&amp;"D")</f>
        <v>42943</v>
      </c>
      <c r="Z478" s="105">
        <v>1.943565405321788E-3</v>
      </c>
      <c r="AA478" s="102">
        <v>1.4151496489844817E-3</v>
      </c>
    </row>
    <row r="479" spans="19:27" x14ac:dyDescent="0.2">
      <c r="S479" s="61"/>
      <c r="T479" s="82"/>
      <c r="W479" s="103" t="str">
        <f t="shared" si="16"/>
        <v>1D</v>
      </c>
      <c r="X479" s="101">
        <f>_xll.qlCalendarAdvance(Calendar,X478,W479,"f",FALSE)</f>
        <v>42942</v>
      </c>
      <c r="Y479" s="104">
        <f>_xll.qlCalendarAdvance(Calendar,X479,NDays&amp;"D")</f>
        <v>42944</v>
      </c>
      <c r="Z479" s="105">
        <v>1.9674562655934628E-3</v>
      </c>
      <c r="AA479" s="102">
        <v>1.4293490944439213E-3</v>
      </c>
    </row>
    <row r="480" spans="19:27" x14ac:dyDescent="0.2">
      <c r="S480" s="61"/>
      <c r="T480" s="82"/>
      <c r="W480" s="103" t="str">
        <f t="shared" si="16"/>
        <v>1D</v>
      </c>
      <c r="X480" s="101">
        <f>_xll.qlCalendarAdvance(Calendar,X479,W480,"f",FALSE)</f>
        <v>42943</v>
      </c>
      <c r="Y480" s="104">
        <f>_xll.qlCalendarAdvance(Calendar,X480,NDays&amp;"D")</f>
        <v>42947</v>
      </c>
      <c r="Z480" s="105">
        <v>1.9923772177937488E-3</v>
      </c>
      <c r="AA480" s="102">
        <v>1.443495121034033E-3</v>
      </c>
    </row>
    <row r="481" spans="19:27" x14ac:dyDescent="0.2">
      <c r="S481" s="61"/>
      <c r="T481" s="82"/>
      <c r="W481" s="103" t="str">
        <f t="shared" si="16"/>
        <v>1D</v>
      </c>
      <c r="X481" s="101">
        <f>_xll.qlCalendarAdvance(Calendar,X480,W481,"f",FALSE)</f>
        <v>42944</v>
      </c>
      <c r="Y481" s="104">
        <f>_xll.qlCalendarAdvance(Calendar,X481,NDays&amp;"D")</f>
        <v>42948</v>
      </c>
      <c r="Z481" s="105">
        <v>2.0044973123547667E-3</v>
      </c>
      <c r="AA481" s="102">
        <v>1.4575877289146888E-3</v>
      </c>
    </row>
    <row r="482" spans="19:27" x14ac:dyDescent="0.2">
      <c r="S482" s="61"/>
      <c r="T482" s="82"/>
      <c r="W482" s="103" t="str">
        <f t="shared" si="16"/>
        <v>1D</v>
      </c>
      <c r="X482" s="101">
        <f>_xll.qlCalendarAdvance(Calendar,X481,W482,"f",FALSE)</f>
        <v>42947</v>
      </c>
      <c r="Y482" s="104">
        <f>_xll.qlCalendarAdvance(Calendar,X482,NDays&amp;"D")</f>
        <v>42949</v>
      </c>
      <c r="Z482" s="105">
        <v>2.0165855703085209E-3</v>
      </c>
      <c r="AA482" s="102">
        <v>1.4856010116748308E-3</v>
      </c>
    </row>
    <row r="483" spans="19:27" x14ac:dyDescent="0.2">
      <c r="S483" s="61"/>
      <c r="T483" s="82"/>
      <c r="W483" s="103" t="str">
        <f t="shared" si="16"/>
        <v>1D</v>
      </c>
      <c r="X483" s="101">
        <f>_xll.qlCalendarAdvance(Calendar,X482,W483,"f",FALSE)</f>
        <v>42948</v>
      </c>
      <c r="Y483" s="104">
        <f>_xll.qlCalendarAdvance(Calendar,X483,NDays&amp;"D")</f>
        <v>42950</v>
      </c>
      <c r="Z483" s="105">
        <v>2.0286426450775454E-3</v>
      </c>
      <c r="AA483" s="102">
        <v>1.5134239708647357E-3</v>
      </c>
    </row>
    <row r="484" spans="19:27" x14ac:dyDescent="0.2">
      <c r="S484" s="61"/>
      <c r="T484" s="82"/>
      <c r="W484" s="103" t="str">
        <f t="shared" si="16"/>
        <v>1D</v>
      </c>
      <c r="X484" s="101">
        <f>_xll.qlCalendarAdvance(Calendar,X483,W484,"f",FALSE)</f>
        <v>42949</v>
      </c>
      <c r="Y484" s="104">
        <f>_xll.qlCalendarAdvance(Calendar,X484,NDays&amp;"D")</f>
        <v>42951</v>
      </c>
      <c r="Z484" s="105">
        <v>2.0521815960785048E-3</v>
      </c>
      <c r="AA484" s="102">
        <v>1.5272494839990713E-3</v>
      </c>
    </row>
    <row r="485" spans="19:27" x14ac:dyDescent="0.2">
      <c r="S485" s="61"/>
      <c r="T485" s="82"/>
      <c r="W485" s="103" t="str">
        <f t="shared" si="16"/>
        <v>1D</v>
      </c>
      <c r="X485" s="101">
        <f>_xll.qlCalendarAdvance(Calendar,X484,W485,"f",FALSE)</f>
        <v>42950</v>
      </c>
      <c r="Y485" s="104">
        <f>_xll.qlCalendarAdvance(Calendar,X485,NDays&amp;"D")</f>
        <v>42954</v>
      </c>
      <c r="Z485" s="105">
        <v>2.0765721810611167E-3</v>
      </c>
      <c r="AA485" s="102">
        <v>1.5410215783440151E-3</v>
      </c>
    </row>
    <row r="486" spans="19:27" x14ac:dyDescent="0.2">
      <c r="S486" s="61"/>
      <c r="T486" s="82"/>
      <c r="W486" s="103" t="str">
        <f t="shared" si="16"/>
        <v>1D</v>
      </c>
      <c r="X486" s="101">
        <f>_xll.qlCalendarAdvance(Calendar,X485,W486,"f",FALSE)</f>
        <v>42951</v>
      </c>
      <c r="Y486" s="104">
        <f>_xll.qlCalendarAdvance(Calendar,X486,NDays&amp;"D")</f>
        <v>42955</v>
      </c>
      <c r="Z486" s="105">
        <v>2.0884831415503352E-3</v>
      </c>
      <c r="AA486" s="102">
        <v>1.5547402538196309E-3</v>
      </c>
    </row>
    <row r="487" spans="19:27" x14ac:dyDescent="0.2">
      <c r="S487" s="61"/>
      <c r="T487" s="82"/>
      <c r="W487" s="103" t="str">
        <f t="shared" si="16"/>
        <v>1D</v>
      </c>
      <c r="X487" s="101">
        <f>_xll.qlCalendarAdvance(Calendar,X486,W487,"f",FALSE)</f>
        <v>42954</v>
      </c>
      <c r="Y487" s="104">
        <f>_xll.qlCalendarAdvance(Calendar,X487,NDays&amp;"D")</f>
        <v>42956</v>
      </c>
      <c r="Z487" s="105">
        <v>2.1003668395759628E-3</v>
      </c>
      <c r="AA487" s="102">
        <v>1.5820064932725586E-3</v>
      </c>
    </row>
    <row r="488" spans="19:27" x14ac:dyDescent="0.2">
      <c r="S488" s="61"/>
      <c r="T488" s="82"/>
      <c r="W488" s="103" t="str">
        <f t="shared" si="16"/>
        <v>1D</v>
      </c>
      <c r="X488" s="101">
        <f>_xll.qlCalendarAdvance(Calendar,X487,W488,"f",FALSE)</f>
        <v>42955</v>
      </c>
      <c r="Y488" s="104">
        <f>_xll.qlCalendarAdvance(Calendar,X488,NDays&amp;"D")</f>
        <v>42957</v>
      </c>
      <c r="Z488" s="105">
        <v>2.1122239286178787E-3</v>
      </c>
      <c r="AA488" s="102">
        <v>1.6090807659097095E-3</v>
      </c>
    </row>
    <row r="489" spans="19:27" x14ac:dyDescent="0.2">
      <c r="S489" s="61"/>
      <c r="T489" s="82"/>
      <c r="W489" s="103" t="str">
        <f t="shared" si="16"/>
        <v>1D</v>
      </c>
      <c r="X489" s="101">
        <f>_xll.qlCalendarAdvance(Calendar,X488,W489,"f",FALSE)</f>
        <v>42956</v>
      </c>
      <c r="Y489" s="104">
        <f>_xll.qlCalendarAdvance(Calendar,X489,NDays&amp;"D")</f>
        <v>42958</v>
      </c>
      <c r="Z489" s="105">
        <v>2.1354811691994611E-3</v>
      </c>
      <c r="AA489" s="102">
        <v>1.6225323465590691E-3</v>
      </c>
    </row>
    <row r="490" spans="19:27" x14ac:dyDescent="0.2">
      <c r="S490" s="61"/>
      <c r="T490" s="82"/>
      <c r="W490" s="103" t="str">
        <f t="shared" si="16"/>
        <v>1D</v>
      </c>
      <c r="X490" s="101">
        <f>_xll.qlCalendarAdvance(Calendar,X489,W490,"f",FALSE)</f>
        <v>42957</v>
      </c>
      <c r="Y490" s="104">
        <f>_xll.qlCalendarAdvance(Calendar,X490,NDays&amp;"D")</f>
        <v>42961</v>
      </c>
      <c r="Z490" s="105">
        <v>2.1593992649283009E-3</v>
      </c>
      <c r="AA490" s="102">
        <v>1.6359305083391007E-3</v>
      </c>
    </row>
    <row r="491" spans="19:27" x14ac:dyDescent="0.2">
      <c r="S491" s="61"/>
      <c r="T491" s="82"/>
      <c r="W491" s="103" t="str">
        <f t="shared" si="16"/>
        <v>1D</v>
      </c>
      <c r="X491" s="101">
        <f>_xll.qlCalendarAdvance(Calendar,X490,W491,"f",FALSE)</f>
        <v>42958</v>
      </c>
      <c r="Y491" s="104">
        <f>_xll.qlCalendarAdvance(Calendar,X491,NDays&amp;"D")</f>
        <v>42962</v>
      </c>
      <c r="Z491" s="105">
        <v>2.1711331116043386E-3</v>
      </c>
      <c r="AA491" s="102">
        <v>1.6492752510099962E-3</v>
      </c>
    </row>
    <row r="492" spans="19:27" x14ac:dyDescent="0.2">
      <c r="S492" s="61"/>
      <c r="T492" s="82"/>
      <c r="W492" s="103" t="str">
        <f t="shared" si="16"/>
        <v>1D</v>
      </c>
      <c r="X492" s="101">
        <f>_xll.qlCalendarAdvance(Calendar,X491,W492,"f",FALSE)</f>
        <v>42961</v>
      </c>
      <c r="Y492" s="104">
        <f>_xll.qlCalendarAdvance(Calendar,X492,NDays&amp;"D")</f>
        <v>42963</v>
      </c>
      <c r="Z492" s="105">
        <v>2.1828442703766466E-3</v>
      </c>
      <c r="AA492" s="102">
        <v>1.6757944738010622E-3</v>
      </c>
    </row>
    <row r="493" spans="19:27" x14ac:dyDescent="0.2">
      <c r="S493" s="61"/>
      <c r="T493" s="82"/>
      <c r="W493" s="103" t="str">
        <f t="shared" si="16"/>
        <v>1D</v>
      </c>
      <c r="X493" s="101">
        <f>_xll.qlCalendarAdvance(Calendar,X492,W493,"f",FALSE)</f>
        <v>42962</v>
      </c>
      <c r="Y493" s="104">
        <f>_xll.qlCalendarAdvance(Calendar,X493,NDays&amp;"D")</f>
        <v>42964</v>
      </c>
      <c r="Z493" s="105">
        <v>2.1945333947841869E-3</v>
      </c>
      <c r="AA493" s="102">
        <v>1.7021200321210017E-3</v>
      </c>
    </row>
    <row r="494" spans="19:27" x14ac:dyDescent="0.2">
      <c r="S494" s="61"/>
      <c r="T494" s="82"/>
      <c r="W494" s="103" t="str">
        <f t="shared" si="16"/>
        <v>1D</v>
      </c>
      <c r="X494" s="101">
        <f>_xll.qlCalendarAdvance(Calendar,X493,W494,"f",FALSE)</f>
        <v>42963</v>
      </c>
      <c r="Y494" s="104">
        <f>_xll.qlCalendarAdvance(Calendar,X494,NDays&amp;"D")</f>
        <v>42965</v>
      </c>
      <c r="Z494" s="105">
        <v>2.2175743596628173E-3</v>
      </c>
      <c r="AA494" s="102">
        <v>1.715197679965641E-3</v>
      </c>
    </row>
    <row r="495" spans="19:27" x14ac:dyDescent="0.2">
      <c r="S495" s="61"/>
      <c r="T495" s="82"/>
      <c r="W495" s="103" t="str">
        <f t="shared" si="16"/>
        <v>1D</v>
      </c>
      <c r="X495" s="101">
        <f>_xll.qlCalendarAdvance(Calendar,X494,W495,"f",FALSE)</f>
        <v>42964</v>
      </c>
      <c r="Y495" s="104">
        <f>_xll.qlCalendarAdvance(Calendar,X495,NDays&amp;"D")</f>
        <v>42968</v>
      </c>
      <c r="Z495" s="105">
        <v>2.2410826198969386E-3</v>
      </c>
      <c r="AA495" s="102">
        <v>1.7282219087011441E-3</v>
      </c>
    </row>
    <row r="496" spans="19:27" x14ac:dyDescent="0.2">
      <c r="S496" s="61"/>
      <c r="T496" s="82"/>
      <c r="W496" s="103" t="str">
        <f t="shared" si="16"/>
        <v>1D</v>
      </c>
      <c r="X496" s="101">
        <f>_xll.qlCalendarAdvance(Calendar,X495,W496,"f",FALSE)</f>
        <v>42965</v>
      </c>
      <c r="Y496" s="104">
        <f>_xll.qlCalendarAdvance(Calendar,X496,NDays&amp;"D")</f>
        <v>42969</v>
      </c>
      <c r="Z496" s="105">
        <v>2.252671375896981E-3</v>
      </c>
      <c r="AA496" s="102">
        <v>1.7411927184873832E-3</v>
      </c>
    </row>
    <row r="497" spans="19:27" x14ac:dyDescent="0.2">
      <c r="S497" s="61"/>
      <c r="T497" s="82"/>
      <c r="W497" s="103" t="str">
        <f t="shared" si="16"/>
        <v>1D</v>
      </c>
      <c r="X497" s="101">
        <f>_xll.qlCalendarAdvance(Calendar,X496,W497,"f",FALSE)</f>
        <v>42968</v>
      </c>
      <c r="Y497" s="104">
        <f>_xll.qlCalendarAdvance(Calendar,X497,NDays&amp;"D")</f>
        <v>42970</v>
      </c>
      <c r="Z497" s="105">
        <v>2.2642420189554419E-3</v>
      </c>
      <c r="AA497" s="102">
        <v>1.7669649471585558E-3</v>
      </c>
    </row>
    <row r="498" spans="19:27" x14ac:dyDescent="0.2">
      <c r="S498" s="61"/>
      <c r="T498" s="82"/>
      <c r="W498" s="103" t="str">
        <f t="shared" si="16"/>
        <v>1D</v>
      </c>
      <c r="X498" s="101">
        <f>_xll.qlCalendarAdvance(Calendar,X497,W498,"f",FALSE)</f>
        <v>42969</v>
      </c>
      <c r="Y498" s="104">
        <f>_xll.qlCalendarAdvance(Calendar,X498,NDays&amp;"D")</f>
        <v>42971</v>
      </c>
      <c r="Z498" s="105">
        <v>2.2757952026694981E-3</v>
      </c>
      <c r="AA498" s="102">
        <v>1.7925417674202748E-3</v>
      </c>
    </row>
    <row r="499" spans="19:27" x14ac:dyDescent="0.2">
      <c r="S499" s="61"/>
      <c r="T499" s="82"/>
      <c r="W499" s="103" t="str">
        <f t="shared" si="16"/>
        <v>1D</v>
      </c>
      <c r="X499" s="101">
        <f>_xll.qlCalendarAdvance(Calendar,X498,W499,"f",FALSE)</f>
        <v>42970</v>
      </c>
      <c r="Y499" s="104">
        <f>_xll.qlCalendarAdvance(Calendar,X499,NDays&amp;"D")</f>
        <v>42972</v>
      </c>
      <c r="Z499" s="105">
        <v>2.2986805622696228E-3</v>
      </c>
      <c r="AA499" s="102">
        <v>1.8052454819805774E-3</v>
      </c>
    </row>
    <row r="500" spans="19:27" x14ac:dyDescent="0.2">
      <c r="S500" s="61"/>
      <c r="T500" s="82"/>
      <c r="W500" s="103" t="str">
        <f t="shared" si="16"/>
        <v>1D</v>
      </c>
      <c r="X500" s="101">
        <f>_xll.qlCalendarAdvance(Calendar,X499,W500,"f",FALSE)</f>
        <v>42971</v>
      </c>
      <c r="Y500" s="104">
        <f>_xll.qlCalendarAdvance(Calendar,X500,NDays&amp;"D")</f>
        <v>42975</v>
      </c>
      <c r="Z500" s="105">
        <v>2.3218464163293037E-3</v>
      </c>
      <c r="AA500" s="102">
        <v>1.8178957776715521E-3</v>
      </c>
    </row>
    <row r="501" spans="19:27" x14ac:dyDescent="0.2">
      <c r="S501" s="61"/>
      <c r="T501" s="82"/>
      <c r="W501" s="103" t="str">
        <f t="shared" si="16"/>
        <v>1D</v>
      </c>
      <c r="X501" s="101">
        <f>_xll.qlCalendarAdvance(Calendar,X500,W501,"f",FALSE)</f>
        <v>42972</v>
      </c>
      <c r="Y501" s="104">
        <f>_xll.qlCalendarAdvance(Calendar,X501,NDays&amp;"D")</f>
        <v>42976</v>
      </c>
      <c r="Z501" s="105">
        <v>2.3333221075752652E-3</v>
      </c>
      <c r="AA501" s="102">
        <v>1.8304926542533906E-3</v>
      </c>
    </row>
    <row r="502" spans="19:27" x14ac:dyDescent="0.2">
      <c r="S502" s="61"/>
      <c r="T502" s="82"/>
      <c r="W502" s="103" t="str">
        <f t="shared" si="16"/>
        <v>1D</v>
      </c>
      <c r="X502" s="101">
        <f>_xll.qlCalendarAdvance(Calendar,X501,W502,"f",FALSE)</f>
        <v>42975</v>
      </c>
      <c r="Y502" s="104">
        <f>_xll.qlCalendarAdvance(Calendar,X502,NDays&amp;"D")</f>
        <v>42977</v>
      </c>
      <c r="Z502" s="105">
        <v>2.3447842612345227E-3</v>
      </c>
      <c r="AA502" s="102">
        <v>1.8555179072965444E-3</v>
      </c>
    </row>
    <row r="503" spans="19:27" x14ac:dyDescent="0.2">
      <c r="S503" s="61"/>
      <c r="T503" s="82"/>
      <c r="W503" s="103" t="str">
        <f t="shared" si="16"/>
        <v>1D</v>
      </c>
      <c r="X503" s="101">
        <f>_xll.qlCalendarAdvance(Calendar,X502,W503,"f",FALSE)</f>
        <v>42976</v>
      </c>
      <c r="Y503" s="104">
        <f>_xll.qlCalendarAdvance(Calendar,X503,NDays&amp;"D")</f>
        <v>42978</v>
      </c>
      <c r="Z503" s="105">
        <v>2.3505623749108385E-3</v>
      </c>
      <c r="AA503" s="102">
        <v>1.8803459698091274E-3</v>
      </c>
    </row>
    <row r="504" spans="19:27" x14ac:dyDescent="0.2">
      <c r="S504" s="61"/>
      <c r="T504" s="82"/>
      <c r="W504" s="103" t="str">
        <f t="shared" si="16"/>
        <v>1D</v>
      </c>
      <c r="X504" s="101">
        <f>_xll.qlCalendarAdvance(Calendar,X503,W504,"f",FALSE)</f>
        <v>42977</v>
      </c>
      <c r="Y504" s="104">
        <f>_xll.qlCalendarAdvance(Calendar,X504,NDays&amp;"D")</f>
        <v>42979</v>
      </c>
      <c r="Z504" s="105">
        <v>2.361998893170722E-3</v>
      </c>
      <c r="AA504" s="102">
        <v>1.8926757510051573E-3</v>
      </c>
    </row>
    <row r="505" spans="19:27" x14ac:dyDescent="0.2">
      <c r="S505" s="61"/>
      <c r="T505" s="82"/>
      <c r="W505" s="103" t="str">
        <f t="shared" si="16"/>
        <v>1D</v>
      </c>
      <c r="X505" s="101">
        <f>_xll.qlCalendarAdvance(Calendar,X504,W505,"f",FALSE)</f>
        <v>42978</v>
      </c>
      <c r="Y505" s="104">
        <f>_xll.qlCalendarAdvance(Calendar,X505,NDays&amp;"D")</f>
        <v>42982</v>
      </c>
      <c r="Z505" s="105">
        <v>2.3962404231566621E-3</v>
      </c>
      <c r="AA505" s="102">
        <v>1.904952113092051E-3</v>
      </c>
    </row>
    <row r="506" spans="19:27" x14ac:dyDescent="0.2">
      <c r="S506" s="61"/>
      <c r="T506" s="82"/>
      <c r="W506" s="103" t="str">
        <f t="shared" si="16"/>
        <v>1D</v>
      </c>
      <c r="X506" s="101">
        <f>_xll.qlCalendarAdvance(Calendar,X505,W506,"f",FALSE)</f>
        <v>42979</v>
      </c>
      <c r="Y506" s="104">
        <f>_xll.qlCalendarAdvance(Calendar,X506,NDays&amp;"D")</f>
        <v>42983</v>
      </c>
      <c r="Z506" s="105">
        <v>2.4076337944307809E-3</v>
      </c>
      <c r="AA506" s="102">
        <v>1.9171750561497447E-3</v>
      </c>
    </row>
    <row r="507" spans="19:27" x14ac:dyDescent="0.2">
      <c r="S507" s="61"/>
      <c r="T507" s="82"/>
      <c r="W507" s="103" t="str">
        <f t="shared" si="16"/>
        <v>1D</v>
      </c>
      <c r="X507" s="101">
        <f>_xll.qlCalendarAdvance(Calendar,X506,W507,"f",FALSE)</f>
        <v>42982</v>
      </c>
      <c r="Y507" s="104">
        <f>_xll.qlCalendarAdvance(Calendar,X507,NDays&amp;"D")</f>
        <v>42984</v>
      </c>
      <c r="Z507" s="105">
        <v>2.4190180311348761E-3</v>
      </c>
      <c r="AA507" s="102">
        <v>1.9414533484862773E-3</v>
      </c>
    </row>
    <row r="508" spans="19:27" x14ac:dyDescent="0.2">
      <c r="S508" s="61"/>
      <c r="T508" s="82"/>
      <c r="W508" s="103" t="str">
        <f t="shared" si="16"/>
        <v>1D</v>
      </c>
      <c r="X508" s="101">
        <f>_xll.qlCalendarAdvance(Calendar,X507,W508,"f",FALSE)</f>
        <v>42983</v>
      </c>
      <c r="Y508" s="104">
        <f>_xll.qlCalendarAdvance(Calendar,X508,NDays&amp;"D")</f>
        <v>42985</v>
      </c>
      <c r="Z508" s="105">
        <v>2.4303937941547995E-3</v>
      </c>
      <c r="AA508" s="102">
        <v>1.9655326372891579E-3</v>
      </c>
    </row>
    <row r="509" spans="19:27" x14ac:dyDescent="0.2">
      <c r="S509" s="61"/>
      <c r="T509" s="82"/>
      <c r="W509" s="103" t="str">
        <f t="shared" si="16"/>
        <v>1D</v>
      </c>
      <c r="X509" s="101">
        <f>_xll.qlCalendarAdvance(Calendar,X508,W509,"f",FALSE)</f>
        <v>42984</v>
      </c>
      <c r="Y509" s="104">
        <f>_xll.qlCalendarAdvance(Calendar,X509,NDays&amp;"D")</f>
        <v>42986</v>
      </c>
      <c r="Z509" s="105">
        <v>2.4417617443843083E-3</v>
      </c>
      <c r="AA509" s="102">
        <v>1.977488484881107E-3</v>
      </c>
    </row>
    <row r="510" spans="19:27" x14ac:dyDescent="0.2">
      <c r="S510" s="61"/>
      <c r="T510" s="82"/>
      <c r="W510" s="103" t="str">
        <f t="shared" si="16"/>
        <v>1D</v>
      </c>
      <c r="X510" s="101">
        <f>_xll.qlCalendarAdvance(Calendar,X509,W510,"f",FALSE)</f>
        <v>42985</v>
      </c>
      <c r="Y510" s="104">
        <f>_xll.qlCalendarAdvance(Calendar,X510,NDays&amp;"D")</f>
        <v>42989</v>
      </c>
      <c r="Z510" s="105">
        <v>2.4758253273803577E-3</v>
      </c>
      <c r="AA510" s="102">
        <v>1.9893909132839838E-3</v>
      </c>
    </row>
    <row r="511" spans="19:27" x14ac:dyDescent="0.2">
      <c r="S511" s="61"/>
      <c r="T511" s="82"/>
      <c r="W511" s="103" t="str">
        <f t="shared" si="16"/>
        <v>1D</v>
      </c>
      <c r="X511" s="101">
        <f>_xll.qlCalendarAdvance(Calendar,X510,W511,"f",FALSE)</f>
        <v>42986</v>
      </c>
      <c r="Y511" s="104">
        <f>_xll.qlCalendarAdvance(Calendar,X511,NDays&amp;"D")</f>
        <v>42990</v>
      </c>
      <c r="Z511" s="105">
        <v>2.4871686355377475E-3</v>
      </c>
      <c r="AA511" s="102">
        <v>2.0012399224977884E-3</v>
      </c>
    </row>
    <row r="512" spans="19:27" x14ac:dyDescent="0.2">
      <c r="S512" s="61"/>
      <c r="T512" s="82"/>
      <c r="W512" s="103" t="str">
        <f t="shared" si="16"/>
        <v>1D</v>
      </c>
      <c r="X512" s="101">
        <f>_xll.qlCalendarAdvance(Calendar,X511,W512,"f",FALSE)</f>
        <v>42989</v>
      </c>
      <c r="Y512" s="104">
        <f>_xll.qlCalendarAdvance(Calendar,X512,NDays&amp;"D")</f>
        <v>42991</v>
      </c>
      <c r="Z512" s="105">
        <v>2.4985074354859469E-3</v>
      </c>
      <c r="AA512" s="102">
        <v>2.0247712650789396E-3</v>
      </c>
    </row>
    <row r="513" spans="19:27" x14ac:dyDescent="0.2">
      <c r="S513" s="61"/>
      <c r="T513" s="82"/>
      <c r="W513" s="103" t="str">
        <f t="shared" si="16"/>
        <v>1D</v>
      </c>
      <c r="X513" s="101">
        <f>_xll.qlCalendarAdvance(Calendar,X512,W513,"f",FALSE)</f>
        <v>42990</v>
      </c>
      <c r="Y513" s="104">
        <f>_xll.qlCalendarAdvance(Calendar,X513,NDays&amp;"D")</f>
        <v>42992</v>
      </c>
      <c r="Z513" s="105">
        <v>2.5098423881661472E-3</v>
      </c>
      <c r="AA513" s="102">
        <v>2.0481017682616454E-3</v>
      </c>
    </row>
    <row r="514" spans="19:27" x14ac:dyDescent="0.2">
      <c r="S514" s="61"/>
      <c r="T514" s="82"/>
      <c r="W514" s="103" t="str">
        <f t="shared" si="16"/>
        <v>1D</v>
      </c>
      <c r="X514" s="101">
        <f>_xll.qlCalendarAdvance(Calendar,X513,W514,"f",FALSE)</f>
        <v>42991</v>
      </c>
      <c r="Y514" s="104">
        <f>_xll.qlCalendarAdvance(Calendar,X514,NDays&amp;"D")</f>
        <v>42993</v>
      </c>
      <c r="Z514" s="105">
        <v>2.5211741545239329E-3</v>
      </c>
      <c r="AA514" s="102">
        <v>2.0596836817698971E-3</v>
      </c>
    </row>
    <row r="515" spans="19:27" x14ac:dyDescent="0.2">
      <c r="S515" s="61"/>
      <c r="T515" s="82"/>
      <c r="W515" s="103" t="str">
        <f t="shared" si="16"/>
        <v>1D</v>
      </c>
      <c r="X515" s="101">
        <f>_xll.qlCalendarAdvance(Calendar,X514,W515,"f",FALSE)</f>
        <v>42992</v>
      </c>
      <c r="Y515" s="104">
        <f>_xll.qlCalendarAdvance(Calendar,X515,NDays&amp;"D")</f>
        <v>42996</v>
      </c>
      <c r="Z515" s="105">
        <v>2.5551569452512833E-3</v>
      </c>
      <c r="AA515" s="102">
        <v>2.0712121761690128E-3</v>
      </c>
    </row>
    <row r="516" spans="19:27" x14ac:dyDescent="0.2">
      <c r="S516" s="61"/>
      <c r="T516" s="82"/>
      <c r="W516" s="103" t="str">
        <f t="shared" si="16"/>
        <v>1D</v>
      </c>
      <c r="X516" s="101">
        <f>_xll.qlCalendarAdvance(Calendar,X515,W516,"f",FALSE)</f>
        <v>42993</v>
      </c>
      <c r="Y516" s="104">
        <f>_xll.qlCalendarAdvance(Calendar,X516,NDays&amp;"D")</f>
        <v>42997</v>
      </c>
      <c r="Z516" s="105">
        <v>2.5664825759421491E-3</v>
      </c>
      <c r="AA516" s="102">
        <v>2.0826872513790562E-3</v>
      </c>
    </row>
    <row r="517" spans="19:27" x14ac:dyDescent="0.2">
      <c r="S517" s="61"/>
      <c r="T517" s="82"/>
      <c r="W517" s="103" t="str">
        <f t="shared" si="16"/>
        <v>1D</v>
      </c>
      <c r="X517" s="101">
        <f>_xll.qlCalendarAdvance(Calendar,X516,W517,"f",FALSE)</f>
        <v>42996</v>
      </c>
      <c r="Y517" s="104">
        <f>_xll.qlCalendarAdvance(Calendar,X517,NDays&amp;"D")</f>
        <v>42998</v>
      </c>
      <c r="Z517" s="105">
        <v>2.5778083251597425E-3</v>
      </c>
      <c r="AA517" s="102">
        <v>2.1054716516388794E-3</v>
      </c>
    </row>
    <row r="518" spans="19:27" x14ac:dyDescent="0.2">
      <c r="S518" s="61"/>
      <c r="T518" s="82"/>
      <c r="W518" s="103" t="str">
        <f t="shared" si="16"/>
        <v>1D</v>
      </c>
      <c r="X518" s="101">
        <f>_xll.qlCalendarAdvance(Calendar,X517,W518,"f",FALSE)</f>
        <v>42997</v>
      </c>
      <c r="Y518" s="104">
        <f>_xll.qlCalendarAdvance(Calendar,X518,NDays&amp;"D")</f>
        <v>42999</v>
      </c>
      <c r="Z518" s="105">
        <v>2.5891348538953241E-3</v>
      </c>
      <c r="AA518" s="102">
        <v>2.1280533606482521E-3</v>
      </c>
    </row>
    <row r="519" spans="19:27" x14ac:dyDescent="0.2">
      <c r="S519" s="61"/>
      <c r="T519" s="82"/>
      <c r="W519" s="103" t="str">
        <f t="shared" si="16"/>
        <v>1D</v>
      </c>
      <c r="X519" s="101">
        <f>_xll.qlCalendarAdvance(Calendar,X518,W519,"f",FALSE)</f>
        <v>42998</v>
      </c>
      <c r="Y519" s="104">
        <f>_xll.qlCalendarAdvance(Calendar,X519,NDays&amp;"D")</f>
        <v>43000</v>
      </c>
      <c r="Z519" s="105">
        <v>2.6004628231498187E-3</v>
      </c>
      <c r="AA519" s="102">
        <v>2.1392613399129345E-3</v>
      </c>
    </row>
    <row r="520" spans="19:27" x14ac:dyDescent="0.2">
      <c r="S520" s="61"/>
      <c r="T520" s="82"/>
      <c r="W520" s="103" t="str">
        <f t="shared" si="16"/>
        <v>1D</v>
      </c>
      <c r="X520" s="101">
        <f>_xll.qlCalendarAdvance(Calendar,X519,W520,"f",FALSE)</f>
        <v>42999</v>
      </c>
      <c r="Y520" s="104">
        <f>_xll.qlCalendarAdvance(Calendar,X520,NDays&amp;"D")</f>
        <v>43003</v>
      </c>
      <c r="Z520" s="105">
        <v>2.6459205175311329E-3</v>
      </c>
      <c r="AA520" s="102">
        <v>2.1504159001484169E-3</v>
      </c>
    </row>
    <row r="521" spans="19:27" x14ac:dyDescent="0.2">
      <c r="S521" s="61"/>
      <c r="T521" s="82"/>
      <c r="W521" s="103" t="str">
        <f t="shared" si="16"/>
        <v>1D</v>
      </c>
      <c r="X521" s="101">
        <f>_xll.qlCalendarAdvance(Calendar,X520,W521,"f",FALSE)</f>
        <v>43000</v>
      </c>
      <c r="Y521" s="104">
        <f>_xll.qlCalendarAdvance(Calendar,X521,NDays&amp;"D")</f>
        <v>43004</v>
      </c>
      <c r="Z521" s="105">
        <v>2.651533834462903E-3</v>
      </c>
      <c r="AA521" s="102">
        <v>2.1615170410349549E-3</v>
      </c>
    </row>
    <row r="522" spans="19:27" x14ac:dyDescent="0.2">
      <c r="S522" s="61"/>
      <c r="T522" s="82"/>
      <c r="W522" s="103" t="str">
        <f t="shared" si="16"/>
        <v>1D</v>
      </c>
      <c r="X522" s="101">
        <f>_xll.qlCalendarAdvance(Calendar,X521,W522,"f",FALSE)</f>
        <v>43003</v>
      </c>
      <c r="Y522" s="104">
        <f>_xll.qlCalendarAdvance(Calendar,X522,NDays&amp;"D")</f>
        <v>43005</v>
      </c>
      <c r="Z522" s="105">
        <v>2.6571474127214676E-3</v>
      </c>
      <c r="AA522" s="102">
        <v>2.1836446708700663E-3</v>
      </c>
    </row>
    <row r="523" spans="19:27" x14ac:dyDescent="0.2">
      <c r="S523" s="61"/>
      <c r="T523" s="82"/>
      <c r="W523" s="103" t="str">
        <f t="shared" si="16"/>
        <v>1D</v>
      </c>
      <c r="X523" s="101">
        <f>_xll.qlCalendarAdvance(Calendar,X522,W523,"f",FALSE)</f>
        <v>43004</v>
      </c>
      <c r="Y523" s="104">
        <f>_xll.qlCalendarAdvance(Calendar,X523,NDays&amp;"D")</f>
        <v>43006</v>
      </c>
      <c r="Z523" s="105">
        <v>2.6684979065067743E-3</v>
      </c>
      <c r="AA523" s="102">
        <v>2.2057580988121828E-3</v>
      </c>
    </row>
    <row r="524" spans="19:27" x14ac:dyDescent="0.2">
      <c r="S524" s="61"/>
      <c r="T524" s="82"/>
      <c r="W524" s="103" t="str">
        <f t="shared" si="16"/>
        <v>1D</v>
      </c>
      <c r="X524" s="101">
        <f>_xll.qlCalendarAdvance(Calendar,X523,W524,"f",FALSE)</f>
        <v>43005</v>
      </c>
      <c r="Y524" s="104">
        <f>_xll.qlCalendarAdvance(Calendar,X524,NDays&amp;"D")</f>
        <v>43007</v>
      </c>
      <c r="Z524" s="105">
        <v>2.6798544680212573E-3</v>
      </c>
      <c r="AA524" s="102">
        <v>2.216832588697315E-3</v>
      </c>
    </row>
    <row r="525" spans="19:27" x14ac:dyDescent="0.2">
      <c r="S525" s="61"/>
      <c r="T525" s="82"/>
      <c r="W525" s="103" t="str">
        <f t="shared" si="16"/>
        <v>1D</v>
      </c>
      <c r="X525" s="101">
        <f>_xll.qlCalendarAdvance(Calendar,X524,W525,"f",FALSE)</f>
        <v>43006</v>
      </c>
      <c r="Y525" s="104">
        <f>_xll.qlCalendarAdvance(Calendar,X525,NDays&amp;"D")</f>
        <v>43010</v>
      </c>
      <c r="Z525" s="105">
        <v>2.7197163673138873E-3</v>
      </c>
      <c r="AA525" s="102">
        <v>2.2279137706693319E-3</v>
      </c>
    </row>
    <row r="526" spans="19:27" x14ac:dyDescent="0.2">
      <c r="S526" s="61"/>
      <c r="T526" s="82"/>
      <c r="W526" s="103" t="str">
        <f t="shared" si="16"/>
        <v>1D</v>
      </c>
      <c r="X526" s="101">
        <f>_xll.qlCalendarAdvance(Calendar,X525,W526,"f",FALSE)</f>
        <v>43007</v>
      </c>
      <c r="Y526" s="104">
        <f>_xll.qlCalendarAdvance(Calendar,X526,NDays&amp;"D")</f>
        <v>43011</v>
      </c>
      <c r="Z526" s="105">
        <v>2.7311031849896064E-3</v>
      </c>
      <c r="AA526" s="102">
        <v>2.2390016447282335E-3</v>
      </c>
    </row>
    <row r="527" spans="19:27" x14ac:dyDescent="0.2">
      <c r="S527" s="61"/>
      <c r="T527" s="82"/>
      <c r="W527" s="103" t="str">
        <f t="shared" si="16"/>
        <v>1D</v>
      </c>
      <c r="X527" s="101">
        <f>_xll.qlCalendarAdvance(Calendar,X526,W527,"f",FALSE)</f>
        <v>43010</v>
      </c>
      <c r="Y527" s="104">
        <f>_xll.qlCalendarAdvance(Calendar,X527,NDays&amp;"D")</f>
        <v>43012</v>
      </c>
      <c r="Z527" s="105">
        <v>2.7424967321266615E-3</v>
      </c>
      <c r="AA527" s="102">
        <v>2.2612139022015754E-3</v>
      </c>
    </row>
    <row r="528" spans="19:27" x14ac:dyDescent="0.2">
      <c r="S528" s="61"/>
      <c r="T528" s="82"/>
      <c r="W528" s="103" t="str">
        <f t="shared" si="16"/>
        <v>1D</v>
      </c>
      <c r="X528" s="101">
        <f>_xll.qlCalendarAdvance(Calendar,X527,W528,"f",FALSE)</f>
        <v>43011</v>
      </c>
      <c r="Y528" s="104">
        <f>_xll.qlCalendarAdvance(Calendar,X528,NDays&amp;"D")</f>
        <v>43013</v>
      </c>
      <c r="Z528" s="105">
        <v>2.7538970087823979E-3</v>
      </c>
      <c r="AA528" s="102">
        <v>2.2834200610333255E-3</v>
      </c>
    </row>
    <row r="529" spans="19:27" x14ac:dyDescent="0.2">
      <c r="S529" s="61"/>
      <c r="T529" s="82"/>
      <c r="W529" s="103" t="str">
        <f t="shared" si="16"/>
        <v>1D</v>
      </c>
      <c r="X529" s="101">
        <f>_xll.qlCalendarAdvance(Calendar,X528,W529,"f",FALSE)</f>
        <v>43012</v>
      </c>
      <c r="Y529" s="104">
        <f>_xll.qlCalendarAdvance(Calendar,X529,NDays&amp;"D")</f>
        <v>43014</v>
      </c>
      <c r="Z529" s="105">
        <v>2.7768429589583171E-3</v>
      </c>
      <c r="AA529" s="102">
        <v>2.2945413952868421E-3</v>
      </c>
    </row>
    <row r="530" spans="19:27" x14ac:dyDescent="0.2">
      <c r="S530" s="61"/>
      <c r="T530" s="82"/>
      <c r="W530" s="103" t="str">
        <f t="shared" si="16"/>
        <v>1D</v>
      </c>
      <c r="X530" s="101">
        <f>_xll.qlCalendarAdvance(Calendar,X529,W530,"f",FALSE)</f>
        <v>43013</v>
      </c>
      <c r="Y530" s="104">
        <f>_xll.qlCalendarAdvance(Calendar,X530,NDays&amp;"D")</f>
        <v>43017</v>
      </c>
      <c r="Z530" s="105">
        <v>2.7995654117712156E-3</v>
      </c>
      <c r="AA530" s="102">
        <v>2.3056694214673712E-3</v>
      </c>
    </row>
    <row r="531" spans="19:27" x14ac:dyDescent="0.2">
      <c r="S531" s="61"/>
      <c r="T531" s="82"/>
      <c r="W531" s="103" t="str">
        <f t="shared" si="16"/>
        <v>1D</v>
      </c>
      <c r="X531" s="101">
        <f>_xll.qlCalendarAdvance(Calendar,X530,W531,"f",FALSE)</f>
        <v>43014</v>
      </c>
      <c r="Y531" s="104">
        <f>_xll.qlCalendarAdvance(Calendar,X531,NDays&amp;"D")</f>
        <v>43018</v>
      </c>
      <c r="Z531" s="105">
        <v>2.8109993369031311E-3</v>
      </c>
      <c r="AA531" s="102">
        <v>2.316804139814721E-3</v>
      </c>
    </row>
    <row r="532" spans="19:27" x14ac:dyDescent="0.2">
      <c r="S532" s="61"/>
      <c r="T532" s="82"/>
      <c r="W532" s="103" t="str">
        <f t="shared" si="16"/>
        <v>1D</v>
      </c>
      <c r="X532" s="101">
        <f>_xll.qlCalendarAdvance(Calendar,X531,W532,"f",FALSE)</f>
        <v>43017</v>
      </c>
      <c r="Y532" s="104">
        <f>_xll.qlCalendarAdvance(Calendar,X532,NDays&amp;"D")</f>
        <v>43019</v>
      </c>
      <c r="Z532" s="105">
        <v>2.8224399919056209E-3</v>
      </c>
      <c r="AA532" s="102">
        <v>2.3391110813886229E-3</v>
      </c>
    </row>
    <row r="533" spans="19:27" x14ac:dyDescent="0.2">
      <c r="S533" s="61"/>
      <c r="T533" s="82"/>
      <c r="W533" s="103" t="str">
        <f t="shared" ref="W533:W596" si="17">W532</f>
        <v>1D</v>
      </c>
      <c r="X533" s="101">
        <f>_xll.qlCalendarAdvance(Calendar,X532,W533,"f",FALSE)</f>
        <v>43018</v>
      </c>
      <c r="Y533" s="104">
        <f>_xll.qlCalendarAdvance(Calendar,X533,NDays&amp;"D")</f>
        <v>43020</v>
      </c>
      <c r="Z533" s="105">
        <v>2.8338873768386365E-3</v>
      </c>
      <c r="AA533" s="102">
        <v>2.3614099334334782E-3</v>
      </c>
    </row>
    <row r="534" spans="19:27" x14ac:dyDescent="0.2">
      <c r="S534" s="61"/>
      <c r="T534" s="82"/>
      <c r="W534" s="103" t="str">
        <f t="shared" si="17"/>
        <v>1D</v>
      </c>
      <c r="X534" s="101">
        <f>_xll.qlCalendarAdvance(Calendar,X533,W534,"f",FALSE)</f>
        <v>43019</v>
      </c>
      <c r="Y534" s="104">
        <f>_xll.qlCalendarAdvance(Calendar,X534,NDays&amp;"D")</f>
        <v>43021</v>
      </c>
      <c r="Z534" s="105">
        <v>2.8569287997496575E-3</v>
      </c>
      <c r="AA534" s="102">
        <v>2.372578111975443E-3</v>
      </c>
    </row>
    <row r="535" spans="19:27" x14ac:dyDescent="0.2">
      <c r="S535" s="61"/>
      <c r="T535" s="82"/>
      <c r="W535" s="103" t="str">
        <f t="shared" si="17"/>
        <v>1D</v>
      </c>
      <c r="X535" s="101">
        <f>_xll.qlCalendarAdvance(Calendar,X534,W535,"f",FALSE)</f>
        <v>43020</v>
      </c>
      <c r="Y535" s="104">
        <f>_xll.qlCalendarAdvance(Calendar,X535,NDays&amp;"D")</f>
        <v>43024</v>
      </c>
      <c r="Z535" s="105">
        <v>2.8797442170506705E-3</v>
      </c>
      <c r="AA535" s="102">
        <v>2.3837529826042925E-3</v>
      </c>
    </row>
    <row r="536" spans="19:27" x14ac:dyDescent="0.2">
      <c r="S536" s="61"/>
      <c r="T536" s="82"/>
      <c r="W536" s="103" t="str">
        <f t="shared" si="17"/>
        <v>1D</v>
      </c>
      <c r="X536" s="101">
        <f>_xll.qlCalendarAdvance(Calendar,X535,W536,"f",FALSE)</f>
        <v>43021</v>
      </c>
      <c r="Y536" s="104">
        <f>_xll.qlCalendarAdvance(Calendar,X536,NDays&amp;"D")</f>
        <v>43025</v>
      </c>
      <c r="Z536" s="105">
        <v>2.8912252525182189E-3</v>
      </c>
      <c r="AA536" s="102">
        <v>2.3949345451601545E-3</v>
      </c>
    </row>
    <row r="537" spans="19:27" x14ac:dyDescent="0.2">
      <c r="S537" s="61"/>
      <c r="T537" s="82"/>
      <c r="W537" s="103" t="s">
        <v>115</v>
      </c>
      <c r="X537" s="101">
        <f>_xll.qlCalendarAdvance(Calendar,X536,W537,"f",FALSE)</f>
        <v>43028</v>
      </c>
      <c r="Y537" s="104">
        <f>_xll.qlCalendarAdvance(Calendar,X537,NDays&amp;"D")</f>
        <v>43032</v>
      </c>
      <c r="Z537" s="105">
        <v>2.9717809520361013E-3</v>
      </c>
      <c r="AA537" s="102">
        <v>2.4733928610842781E-3</v>
      </c>
    </row>
    <row r="538" spans="19:27" x14ac:dyDescent="0.2">
      <c r="S538" s="61"/>
      <c r="T538" s="82"/>
      <c r="W538" s="103" t="str">
        <f t="shared" si="17"/>
        <v>1w</v>
      </c>
      <c r="X538" s="101">
        <f>_xll.qlCalendarAdvance(Calendar,X537,W538,"f",FALSE)</f>
        <v>43035</v>
      </c>
      <c r="Y538" s="104">
        <f>_xll.qlCalendarAdvance(Calendar,X538,NDays&amp;"D")</f>
        <v>43039</v>
      </c>
      <c r="Z538" s="105">
        <v>3.0526664557431592E-3</v>
      </c>
      <c r="AA538" s="102">
        <v>2.5521790876670281E-3</v>
      </c>
    </row>
    <row r="539" spans="19:27" x14ac:dyDescent="0.2">
      <c r="S539" s="61"/>
      <c r="T539" s="82"/>
      <c r="W539" s="103" t="str">
        <f t="shared" si="17"/>
        <v>1w</v>
      </c>
      <c r="X539" s="101">
        <f>_xll.qlCalendarAdvance(Calendar,X538,W539,"f",FALSE)</f>
        <v>43042</v>
      </c>
      <c r="Y539" s="104">
        <f>_xll.qlCalendarAdvance(Calendar,X539,NDays&amp;"D")</f>
        <v>43046</v>
      </c>
      <c r="Z539" s="105">
        <v>3.1338817840057109E-3</v>
      </c>
      <c r="AA539" s="102">
        <v>2.6312932250682763E-3</v>
      </c>
    </row>
    <row r="540" spans="19:27" x14ac:dyDescent="0.2">
      <c r="S540" s="61"/>
      <c r="T540" s="82"/>
      <c r="W540" s="103" t="str">
        <f t="shared" si="17"/>
        <v>1w</v>
      </c>
      <c r="X540" s="101">
        <f>_xll.qlCalendarAdvance(Calendar,X539,W540,"f",FALSE)</f>
        <v>43049</v>
      </c>
      <c r="Y540" s="104">
        <f>_xll.qlCalendarAdvance(Calendar,X540,NDays&amp;"D")</f>
        <v>43053</v>
      </c>
      <c r="Z540" s="105">
        <v>3.2154269572734848E-3</v>
      </c>
      <c r="AA540" s="102">
        <v>2.7107352738475754E-3</v>
      </c>
    </row>
    <row r="541" spans="19:27" x14ac:dyDescent="0.2">
      <c r="S541" s="61"/>
      <c r="T541" s="82"/>
      <c r="W541" s="103" t="str">
        <f t="shared" si="17"/>
        <v>1w</v>
      </c>
      <c r="X541" s="101">
        <f>_xll.qlCalendarAdvance(Calendar,X540,W541,"f",FALSE)</f>
        <v>43056</v>
      </c>
      <c r="Y541" s="104">
        <f>_xll.qlCalendarAdvance(Calendar,X541,NDays&amp;"D")</f>
        <v>43060</v>
      </c>
      <c r="Z541" s="105">
        <v>3.2973019960839656E-3</v>
      </c>
      <c r="AA541" s="102">
        <v>2.7905052337651171E-3</v>
      </c>
    </row>
    <row r="542" spans="19:27" x14ac:dyDescent="0.2">
      <c r="S542" s="61"/>
      <c r="T542" s="82"/>
      <c r="W542" s="103" t="str">
        <f t="shared" si="17"/>
        <v>1w</v>
      </c>
      <c r="X542" s="101">
        <f>_xll.qlCalendarAdvance(Calendar,X541,W542,"f",FALSE)</f>
        <v>43063</v>
      </c>
      <c r="Y542" s="104">
        <f>_xll.qlCalendarAdvance(Calendar,X542,NDays&amp;"D")</f>
        <v>43067</v>
      </c>
      <c r="Z542" s="105">
        <v>3.3795069210537051E-3</v>
      </c>
      <c r="AA542" s="102">
        <v>2.8706031053005177E-3</v>
      </c>
    </row>
    <row r="543" spans="19:27" x14ac:dyDescent="0.2">
      <c r="S543" s="61"/>
      <c r="T543" s="82"/>
      <c r="W543" s="103" t="str">
        <f t="shared" si="17"/>
        <v>1w</v>
      </c>
      <c r="X543" s="101">
        <f>_xll.qlCalendarAdvance(Calendar,X542,W543,"f",FALSE)</f>
        <v>43070</v>
      </c>
      <c r="Y543" s="104">
        <f>_xll.qlCalendarAdvance(Calendar,X543,NDays&amp;"D")</f>
        <v>43074</v>
      </c>
      <c r="Z543" s="105">
        <v>3.4500962287609127E-3</v>
      </c>
      <c r="AA543" s="102">
        <v>2.9510288885337133E-3</v>
      </c>
    </row>
    <row r="544" spans="19:27" x14ac:dyDescent="0.2">
      <c r="S544" s="61"/>
      <c r="T544" s="82"/>
      <c r="W544" s="103" t="str">
        <f t="shared" si="17"/>
        <v>1w</v>
      </c>
      <c r="X544" s="101">
        <f>_xll.qlCalendarAdvance(Calendar,X543,W544,"f",FALSE)</f>
        <v>43077</v>
      </c>
      <c r="Y544" s="104">
        <f>_xll.qlCalendarAdvance(Calendar,X544,NDays&amp;"D")</f>
        <v>43081</v>
      </c>
      <c r="Z544" s="105">
        <v>3.5329122465723728E-3</v>
      </c>
      <c r="AA544" s="102">
        <v>3.0317825837844481E-3</v>
      </c>
    </row>
    <row r="545" spans="19:27" x14ac:dyDescent="0.2">
      <c r="S545" s="61"/>
      <c r="T545" s="82"/>
      <c r="W545" s="103" t="str">
        <f t="shared" si="17"/>
        <v>1w</v>
      </c>
      <c r="X545" s="101">
        <f>_xll.qlCalendarAdvance(Calendar,X544,W545,"f",FALSE)</f>
        <v>43084</v>
      </c>
      <c r="Y545" s="104">
        <f>_xll.qlCalendarAdvance(Calendar,X545,NDays&amp;"D")</f>
        <v>43088</v>
      </c>
      <c r="Z545" s="105">
        <v>3.6160581652096013E-3</v>
      </c>
      <c r="AA545" s="102">
        <v>3.1128641913724664E-3</v>
      </c>
    </row>
    <row r="546" spans="19:27" x14ac:dyDescent="0.2">
      <c r="S546" s="61"/>
      <c r="T546" s="82"/>
      <c r="W546" s="103" t="str">
        <f t="shared" si="17"/>
        <v>1w</v>
      </c>
      <c r="X546" s="101">
        <f>_xll.qlCalendarAdvance(Calendar,X545,W546,"f",FALSE)</f>
        <v>43091</v>
      </c>
      <c r="Y546" s="104">
        <f>_xll.qlCalendarAdvance(Calendar,X546,NDays&amp;"D")</f>
        <v>43097</v>
      </c>
      <c r="Z546" s="105">
        <v>3.7234448458018932E-3</v>
      </c>
      <c r="AA546" s="102">
        <v>3.2526241313135529E-3</v>
      </c>
    </row>
    <row r="547" spans="19:27" x14ac:dyDescent="0.2">
      <c r="S547" s="61"/>
      <c r="T547" s="82"/>
      <c r="W547" s="103" t="str">
        <f t="shared" si="17"/>
        <v>1w</v>
      </c>
      <c r="X547" s="101">
        <f>_xll.qlCalendarAdvance(Calendar,X546,W547,"f",FALSE)</f>
        <v>43098</v>
      </c>
      <c r="Y547" s="104">
        <f>_xll.qlCalendarAdvance(Calendar,X547,NDays&amp;"D")</f>
        <v>43103</v>
      </c>
      <c r="Z547" s="105">
        <v>3.7953389767437784E-3</v>
      </c>
      <c r="AA547" s="102">
        <v>3.299457395247174E-3</v>
      </c>
    </row>
    <row r="548" spans="19:27" x14ac:dyDescent="0.2">
      <c r="S548" s="61"/>
      <c r="T548" s="82"/>
      <c r="W548" s="103" t="str">
        <f t="shared" si="17"/>
        <v>1w</v>
      </c>
      <c r="X548" s="101">
        <f>_xll.qlCalendarAdvance(Calendar,X547,W548,"f",FALSE)</f>
        <v>43105</v>
      </c>
      <c r="Y548" s="104">
        <f>_xll.qlCalendarAdvance(Calendar,X548,NDays&amp;"D")</f>
        <v>43109</v>
      </c>
      <c r="Z548" s="105">
        <v>3.8674755312975151E-3</v>
      </c>
      <c r="AA548" s="102">
        <v>3.3580764895191351E-3</v>
      </c>
    </row>
    <row r="549" spans="19:27" x14ac:dyDescent="0.2">
      <c r="S549" s="61"/>
      <c r="T549" s="82"/>
      <c r="W549" s="103" t="str">
        <f t="shared" si="17"/>
        <v>1w</v>
      </c>
      <c r="X549" s="101">
        <f>_xll.qlCalendarAdvance(Calendar,X548,W549,"f",FALSE)</f>
        <v>43112</v>
      </c>
      <c r="Y549" s="104">
        <f>_xll.qlCalendarAdvance(Calendar,X549,NDays&amp;"D")</f>
        <v>43116</v>
      </c>
      <c r="Z549" s="105">
        <v>3.951941258873326E-3</v>
      </c>
      <c r="AA549" s="102">
        <v>3.4404697482148805E-3</v>
      </c>
    </row>
    <row r="550" spans="19:27" x14ac:dyDescent="0.2">
      <c r="S550" s="61"/>
      <c r="T550" s="82"/>
      <c r="W550" s="103" t="str">
        <f t="shared" si="17"/>
        <v>1w</v>
      </c>
      <c r="X550" s="101">
        <f>_xll.qlCalendarAdvance(Calendar,X549,W550,"f",FALSE)</f>
        <v>43119</v>
      </c>
      <c r="Y550" s="104">
        <f>_xll.qlCalendarAdvance(Calendar,X550,NDays&amp;"D")</f>
        <v>43123</v>
      </c>
      <c r="Z550" s="105">
        <v>4.0367369905043304E-3</v>
      </c>
      <c r="AA550" s="102">
        <v>3.5231909202071421E-3</v>
      </c>
    </row>
    <row r="551" spans="19:27" x14ac:dyDescent="0.2">
      <c r="S551" s="61"/>
      <c r="T551" s="82"/>
      <c r="W551" s="103" t="str">
        <f t="shared" si="17"/>
        <v>1w</v>
      </c>
      <c r="X551" s="101">
        <f>_xll.qlCalendarAdvance(Calendar,X550,W551,"f",FALSE)</f>
        <v>43126</v>
      </c>
      <c r="Y551" s="104">
        <f>_xll.qlCalendarAdvance(Calendar,X551,NDays&amp;"D")</f>
        <v>43130</v>
      </c>
      <c r="Z551" s="105">
        <v>4.1218627470804847E-3</v>
      </c>
      <c r="AA551" s="102">
        <v>3.6062400058156641E-3</v>
      </c>
    </row>
    <row r="552" spans="19:27" x14ac:dyDescent="0.2">
      <c r="S552" s="61"/>
      <c r="T552" s="82"/>
      <c r="W552" s="103" t="str">
        <f t="shared" si="17"/>
        <v>1w</v>
      </c>
      <c r="X552" s="101">
        <f>_xll.qlCalendarAdvance(Calendar,X551,W552,"f",FALSE)</f>
        <v>43133</v>
      </c>
      <c r="Y552" s="104">
        <f>_xll.qlCalendarAdvance(Calendar,X552,NDays&amp;"D")</f>
        <v>43137</v>
      </c>
      <c r="Z552" s="105">
        <v>4.2073185495743459E-3</v>
      </c>
      <c r="AA552" s="102">
        <v>3.6896170050404464E-3</v>
      </c>
    </row>
    <row r="553" spans="19:27" x14ac:dyDescent="0.2">
      <c r="S553" s="61"/>
      <c r="T553" s="82"/>
      <c r="W553" s="103" t="str">
        <f t="shared" si="17"/>
        <v>1w</v>
      </c>
      <c r="X553" s="101">
        <f>_xll.qlCalendarAdvance(Calendar,X552,W553,"f",FALSE)</f>
        <v>43140</v>
      </c>
      <c r="Y553" s="104">
        <f>_xll.qlCalendarAdvance(Calendar,X553,NDays&amp;"D")</f>
        <v>43144</v>
      </c>
      <c r="Z553" s="105">
        <v>4.2931044190392953E-3</v>
      </c>
      <c r="AA553" s="102">
        <v>3.7733219184410416E-3</v>
      </c>
    </row>
    <row r="554" spans="19:27" x14ac:dyDescent="0.2">
      <c r="S554" s="61"/>
      <c r="T554" s="82"/>
      <c r="W554" s="103" t="str">
        <f t="shared" si="17"/>
        <v>1w</v>
      </c>
      <c r="X554" s="101">
        <f>_xll.qlCalendarAdvance(Calendar,X553,W554,"f",FALSE)</f>
        <v>43147</v>
      </c>
      <c r="Y554" s="104">
        <f>_xll.qlCalendarAdvance(Calendar,X554,NDays&amp;"D")</f>
        <v>43151</v>
      </c>
      <c r="Z554" s="105">
        <v>4.38546137102396E-3</v>
      </c>
      <c r="AA554" s="102">
        <v>3.8573547460174495E-3</v>
      </c>
    </row>
    <row r="555" spans="19:27" x14ac:dyDescent="0.2">
      <c r="S555" s="61"/>
      <c r="T555" s="82"/>
      <c r="W555" s="103" t="str">
        <f t="shared" si="17"/>
        <v>1w</v>
      </c>
      <c r="X555" s="101">
        <f>_xll.qlCalendarAdvance(Calendar,X554,W555,"f",FALSE)</f>
        <v>43154</v>
      </c>
      <c r="Y555" s="104">
        <f>_xll.qlCalendarAdvance(Calendar,X555,NDays&amp;"D")</f>
        <v>43158</v>
      </c>
      <c r="Z555" s="105">
        <v>4.4656664435098747E-3</v>
      </c>
      <c r="AA555" s="102">
        <v>3.9417154880894145E-3</v>
      </c>
    </row>
    <row r="556" spans="19:27" x14ac:dyDescent="0.2">
      <c r="S556" s="61"/>
      <c r="T556" s="82"/>
      <c r="W556" s="103" t="str">
        <f t="shared" si="17"/>
        <v>1w</v>
      </c>
      <c r="X556" s="101">
        <f>_xll.qlCalendarAdvance(Calendar,X555,W556,"f",FALSE)</f>
        <v>43161</v>
      </c>
      <c r="Y556" s="104">
        <f>_xll.qlCalendarAdvance(Calendar,X556,NDays&amp;"D")</f>
        <v>43165</v>
      </c>
      <c r="Z556" s="105">
        <v>4.565025661742053E-3</v>
      </c>
      <c r="AA556" s="102">
        <v>4.0264041449766808E-3</v>
      </c>
    </row>
    <row r="557" spans="19:27" x14ac:dyDescent="0.2">
      <c r="S557" s="61"/>
      <c r="T557" s="82"/>
      <c r="W557" s="103" t="str">
        <f t="shared" si="17"/>
        <v>1w</v>
      </c>
      <c r="X557" s="101">
        <f>_xll.qlCalendarAdvance(Calendar,X556,W557,"f",FALSE)</f>
        <v>43168</v>
      </c>
      <c r="Y557" s="104">
        <f>_xll.qlCalendarAdvance(Calendar,X557,NDays&amp;"D")</f>
        <v>43172</v>
      </c>
      <c r="Z557" s="105">
        <v>4.6521814099388242E-3</v>
      </c>
      <c r="AA557" s="102">
        <v>4.1114207165993122E-3</v>
      </c>
    </row>
    <row r="558" spans="19:27" x14ac:dyDescent="0.2">
      <c r="S558" s="61"/>
      <c r="T558" s="82"/>
      <c r="W558" s="103" t="str">
        <f t="shared" si="17"/>
        <v>1w</v>
      </c>
      <c r="X558" s="101">
        <f>_xll.qlCalendarAdvance(Calendar,X557,W558,"f",FALSE)</f>
        <v>43175</v>
      </c>
      <c r="Y558" s="104">
        <f>_xll.qlCalendarAdvance(Calendar,X558,NDays&amp;"D")</f>
        <v>43179</v>
      </c>
      <c r="Z558" s="105">
        <v>4.7396673855227694E-3</v>
      </c>
      <c r="AA558" s="102">
        <v>4.1967652035967973E-3</v>
      </c>
    </row>
    <row r="559" spans="19:27" x14ac:dyDescent="0.2">
      <c r="S559" s="61"/>
      <c r="T559" s="82"/>
      <c r="W559" s="103" t="str">
        <f t="shared" si="17"/>
        <v>1w</v>
      </c>
      <c r="X559" s="101">
        <f>_xll.qlCalendarAdvance(Calendar,X558,W559,"f",FALSE)</f>
        <v>43182</v>
      </c>
      <c r="Y559" s="104">
        <f>_xll.qlCalendarAdvance(Calendar,X559,NDays&amp;"D")</f>
        <v>43186</v>
      </c>
      <c r="Z559" s="105">
        <v>4.8274836105301746E-3</v>
      </c>
      <c r="AA559" s="102">
        <v>4.307085413588041E-3</v>
      </c>
    </row>
    <row r="560" spans="19:27" x14ac:dyDescent="0.2">
      <c r="S560" s="61"/>
      <c r="T560" s="82"/>
      <c r="W560" s="103" t="str">
        <f t="shared" si="17"/>
        <v>1w</v>
      </c>
      <c r="X560" s="101">
        <f>_xll.qlCalendarAdvance(Calendar,X559,W560,"f",FALSE)</f>
        <v>43193</v>
      </c>
      <c r="Y560" s="104">
        <f>_xll.qlCalendarAdvance(Calendar,X560,NDays&amp;"D")</f>
        <v>43195</v>
      </c>
      <c r="Z560" s="105">
        <v>4.9344767207047469E-3</v>
      </c>
      <c r="AA560" s="102">
        <v>4.417728190224679E-3</v>
      </c>
    </row>
    <row r="561" spans="19:27" x14ac:dyDescent="0.2">
      <c r="S561" s="61"/>
      <c r="T561" s="82"/>
      <c r="W561" s="103" t="str">
        <f t="shared" si="17"/>
        <v>1w</v>
      </c>
      <c r="X561" s="101">
        <f>_xll.qlCalendarAdvance(Calendar,X560,W561,"f",FALSE)</f>
        <v>43200</v>
      </c>
      <c r="Y561" s="104">
        <f>_xll.qlCalendarAdvance(Calendar,X561,NDays&amp;"D")</f>
        <v>43202</v>
      </c>
      <c r="Z561" s="105">
        <v>5.0230230661509378E-3</v>
      </c>
      <c r="AA561" s="102">
        <v>4.504243804577257E-3</v>
      </c>
    </row>
    <row r="562" spans="19:27" x14ac:dyDescent="0.2">
      <c r="S562" s="61"/>
      <c r="T562" s="82"/>
      <c r="W562" s="103" t="str">
        <f t="shared" si="17"/>
        <v>1w</v>
      </c>
      <c r="X562" s="101">
        <f>_xll.qlCalendarAdvance(Calendar,X561,W562,"f",FALSE)</f>
        <v>43207</v>
      </c>
      <c r="Y562" s="104">
        <f>_xll.qlCalendarAdvance(Calendar,X562,NDays&amp;"D")</f>
        <v>43209</v>
      </c>
      <c r="Z562" s="105">
        <v>5.1118997059735934E-3</v>
      </c>
      <c r="AA562" s="102">
        <v>4.5910873353438575E-3</v>
      </c>
    </row>
    <row r="563" spans="19:27" x14ac:dyDescent="0.2">
      <c r="S563" s="61"/>
      <c r="T563" s="82"/>
      <c r="W563" s="103" t="str">
        <f t="shared" si="17"/>
        <v>1w</v>
      </c>
      <c r="X563" s="101">
        <f>_xll.qlCalendarAdvance(Calendar,X562,W563,"f",FALSE)</f>
        <v>43214</v>
      </c>
      <c r="Y563" s="104">
        <f>_xll.qlCalendarAdvance(Calendar,X563,NDays&amp;"D")</f>
        <v>43216</v>
      </c>
      <c r="Z563" s="105">
        <v>5.201106662317637E-3</v>
      </c>
      <c r="AA563" s="102">
        <v>4.6845291772479314E-3</v>
      </c>
    </row>
    <row r="564" spans="19:27" x14ac:dyDescent="0.2">
      <c r="S564" s="61"/>
      <c r="T564" s="82"/>
      <c r="W564" s="103" t="str">
        <f t="shared" si="17"/>
        <v>1w</v>
      </c>
      <c r="X564" s="101">
        <f>_xll.qlCalendarAdvance(Calendar,X563,W564,"f",FALSE)</f>
        <v>43222</v>
      </c>
      <c r="Y564" s="104">
        <f>_xll.qlCalendarAdvance(Calendar,X564,NDays&amp;"D")</f>
        <v>43224</v>
      </c>
      <c r="Z564" s="105">
        <v>5.3229745786130276E-3</v>
      </c>
      <c r="AA564" s="102">
        <v>4.7782848242938769E-3</v>
      </c>
    </row>
    <row r="565" spans="19:27" x14ac:dyDescent="0.2">
      <c r="S565" s="61"/>
      <c r="T565" s="82"/>
      <c r="W565" s="103" t="str">
        <f t="shared" si="17"/>
        <v>1w</v>
      </c>
      <c r="X565" s="101">
        <f>_xll.qlCalendarAdvance(Calendar,X564,W565,"f",FALSE)</f>
        <v>43229</v>
      </c>
      <c r="Y565" s="104">
        <f>_xll.qlCalendarAdvance(Calendar,X565,NDays&amp;"D")</f>
        <v>43234</v>
      </c>
      <c r="Z565" s="105">
        <v>5.4385502946310482E-3</v>
      </c>
      <c r="AA565" s="102">
        <v>4.8787391656990309E-3</v>
      </c>
    </row>
    <row r="566" spans="19:27" x14ac:dyDescent="0.2">
      <c r="S566" s="61"/>
      <c r="T566" s="82"/>
      <c r="W566" s="103" t="str">
        <f t="shared" si="17"/>
        <v>1w</v>
      </c>
      <c r="X566" s="101">
        <f>_xll.qlCalendarAdvance(Calendar,X565,W566,"f",FALSE)</f>
        <v>43236</v>
      </c>
      <c r="Y566" s="104">
        <f>_xll.qlCalendarAdvance(Calendar,X566,NDays&amp;"D")</f>
        <v>43238</v>
      </c>
      <c r="Z566" s="105">
        <v>5.5032844001955327E-3</v>
      </c>
      <c r="AA566" s="102">
        <v>4.9669880543756761E-3</v>
      </c>
    </row>
    <row r="567" spans="19:27" x14ac:dyDescent="0.2">
      <c r="S567" s="61"/>
      <c r="T567" s="82"/>
      <c r="W567" s="103" t="str">
        <f t="shared" si="17"/>
        <v>1w</v>
      </c>
      <c r="X567" s="101">
        <f>_xll.qlCalendarAdvance(Calendar,X566,W567,"f",FALSE)</f>
        <v>43243</v>
      </c>
      <c r="Y567" s="104">
        <f>_xll.qlCalendarAdvance(Calendar,X567,NDays&amp;"D")</f>
        <v>43245</v>
      </c>
      <c r="Z567" s="105">
        <v>5.593935045247236E-3</v>
      </c>
      <c r="AA567" s="102">
        <v>5.0428909545807699E-3</v>
      </c>
    </row>
    <row r="568" spans="19:27" x14ac:dyDescent="0.2">
      <c r="S568" s="61"/>
      <c r="T568" s="82"/>
      <c r="W568" s="103" t="str">
        <f t="shared" si="17"/>
        <v>1w</v>
      </c>
      <c r="X568" s="101">
        <f>_xll.qlCalendarAdvance(Calendar,X567,W568,"f",FALSE)</f>
        <v>43250</v>
      </c>
      <c r="Y568" s="104">
        <f>_xll.qlCalendarAdvance(Calendar,X568,NDays&amp;"D")</f>
        <v>43252</v>
      </c>
      <c r="Z568" s="105">
        <v>5.6849162108902609E-3</v>
      </c>
      <c r="AA568" s="102">
        <v>5.1317488332358607E-3</v>
      </c>
    </row>
    <row r="569" spans="19:27" x14ac:dyDescent="0.2">
      <c r="S569" s="61"/>
      <c r="T569" s="82"/>
      <c r="W569" s="103" t="str">
        <f t="shared" si="17"/>
        <v>1w</v>
      </c>
      <c r="X569" s="101">
        <f>_xll.qlCalendarAdvance(Calendar,X568,W569,"f",FALSE)</f>
        <v>43257</v>
      </c>
      <c r="Y569" s="104">
        <f>_xll.qlCalendarAdvance(Calendar,X569,NDays&amp;"D")</f>
        <v>43259</v>
      </c>
      <c r="Z569" s="105">
        <v>5.7762279205450223E-3</v>
      </c>
      <c r="AA569" s="102">
        <v>5.2209346297438231E-3</v>
      </c>
    </row>
    <row r="570" spans="19:27" x14ac:dyDescent="0.2">
      <c r="S570" s="61"/>
      <c r="T570" s="82"/>
      <c r="W570" s="103" t="str">
        <f t="shared" si="17"/>
        <v>1w</v>
      </c>
      <c r="X570" s="101">
        <f>_xll.qlCalendarAdvance(Calendar,X569,W570,"f",FALSE)</f>
        <v>43264</v>
      </c>
      <c r="Y570" s="104">
        <f>_xll.qlCalendarAdvance(Calendar,X570,NDays&amp;"D")</f>
        <v>43266</v>
      </c>
      <c r="Z570" s="105">
        <v>5.8678701977144211E-3</v>
      </c>
      <c r="AA570" s="102">
        <v>5.3104483444244011E-3</v>
      </c>
    </row>
    <row r="571" spans="19:27" x14ac:dyDescent="0.2">
      <c r="S571" s="61"/>
      <c r="T571" s="82"/>
      <c r="W571" s="103" t="str">
        <f t="shared" si="17"/>
        <v>1w</v>
      </c>
      <c r="X571" s="101">
        <f>_xll.qlCalendarAdvance(Calendar,X570,W571,"f",FALSE)</f>
        <v>43271</v>
      </c>
      <c r="Y571" s="104">
        <f>_xll.qlCalendarAdvance(Calendar,X571,NDays&amp;"D")</f>
        <v>43276</v>
      </c>
      <c r="Z571" s="105">
        <v>5.9859783861067632E-3</v>
      </c>
      <c r="AA571" s="102">
        <v>5.4131512655519742E-3</v>
      </c>
    </row>
    <row r="572" spans="19:27" x14ac:dyDescent="0.2">
      <c r="S572" s="61"/>
      <c r="T572" s="82"/>
      <c r="W572" s="103" t="str">
        <f t="shared" si="17"/>
        <v>1w</v>
      </c>
      <c r="X572" s="101">
        <f>_xll.qlCalendarAdvance(Calendar,X571,W572,"f",FALSE)</f>
        <v>43278</v>
      </c>
      <c r="Y572" s="104">
        <f>_xll.qlCalendarAdvance(Calendar,X572,NDays&amp;"D")</f>
        <v>43280</v>
      </c>
      <c r="Z572" s="105">
        <v>6.0320328778902185E-3</v>
      </c>
      <c r="AA572" s="102">
        <v>5.490459529582381E-3</v>
      </c>
    </row>
    <row r="573" spans="19:27" x14ac:dyDescent="0.2">
      <c r="S573" s="61"/>
      <c r="T573" s="82"/>
      <c r="W573" s="103" t="str">
        <f t="shared" si="17"/>
        <v>1w</v>
      </c>
      <c r="X573" s="101">
        <f>_xll.qlCalendarAdvance(Calendar,X572,W573,"f",FALSE)</f>
        <v>43285</v>
      </c>
      <c r="Y573" s="104">
        <f>_xll.qlCalendarAdvance(Calendar,X573,NDays&amp;"D")</f>
        <v>43287</v>
      </c>
      <c r="Z573" s="105">
        <v>6.1447858462944987E-3</v>
      </c>
      <c r="AA573" s="102">
        <v>5.5809570003795272E-3</v>
      </c>
    </row>
    <row r="574" spans="19:27" x14ac:dyDescent="0.2">
      <c r="S574" s="61"/>
      <c r="T574" s="82"/>
      <c r="W574" s="103" t="str">
        <f t="shared" si="17"/>
        <v>1w</v>
      </c>
      <c r="X574" s="101">
        <f>_xll.qlCalendarAdvance(Calendar,X573,W574,"f",FALSE)</f>
        <v>43292</v>
      </c>
      <c r="Y574" s="104">
        <f>_xll.qlCalendarAdvance(Calendar,X574,NDays&amp;"D")</f>
        <v>43294</v>
      </c>
      <c r="Z574" s="105">
        <v>6.2377708831970876E-3</v>
      </c>
      <c r="AA574" s="102">
        <v>5.6717823903884579E-3</v>
      </c>
    </row>
    <row r="575" spans="19:27" x14ac:dyDescent="0.2">
      <c r="S575" s="61"/>
      <c r="T575" s="82"/>
      <c r="W575" s="103" t="str">
        <f t="shared" si="17"/>
        <v>1w</v>
      </c>
      <c r="X575" s="101">
        <f>_xll.qlCalendarAdvance(Calendar,X574,W575,"f",FALSE)</f>
        <v>43299</v>
      </c>
      <c r="Y575" s="104">
        <f>_xll.qlCalendarAdvance(Calendar,X575,NDays&amp;"D")</f>
        <v>43301</v>
      </c>
      <c r="Z575" s="105">
        <v>6.3311124765334167E-3</v>
      </c>
      <c r="AA575" s="102">
        <v>5.7629356998489811E-3</v>
      </c>
    </row>
    <row r="576" spans="19:27" x14ac:dyDescent="0.2">
      <c r="S576" s="61"/>
      <c r="T576" s="82"/>
      <c r="W576" s="103" t="str">
        <f t="shared" si="17"/>
        <v>1w</v>
      </c>
      <c r="X576" s="101">
        <f>_xll.qlCalendarAdvance(Calendar,X575,W576,"f",FALSE)</f>
        <v>43306</v>
      </c>
      <c r="Y576" s="104">
        <f>_xll.qlCalendarAdvance(Calendar,X576,NDays&amp;"D")</f>
        <v>43308</v>
      </c>
      <c r="Z576" s="105">
        <v>6.4248213044716222E-3</v>
      </c>
      <c r="AA576" s="102">
        <v>5.8544169289209691E-3</v>
      </c>
    </row>
    <row r="577" spans="19:27" x14ac:dyDescent="0.2">
      <c r="S577" s="61"/>
      <c r="T577" s="82"/>
      <c r="W577" s="103" t="str">
        <f t="shared" si="17"/>
        <v>1w</v>
      </c>
      <c r="X577" s="101">
        <f>_xll.qlCalendarAdvance(Calendar,X576,W577,"f",FALSE)</f>
        <v>43313</v>
      </c>
      <c r="Y577" s="104">
        <f>_xll.qlCalendarAdvance(Calendar,X577,NDays&amp;"D")</f>
        <v>43315</v>
      </c>
      <c r="Z577" s="105">
        <v>6.5189080463287103E-3</v>
      </c>
      <c r="AA577" s="102">
        <v>5.9462260780041021E-3</v>
      </c>
    </row>
    <row r="578" spans="19:27" x14ac:dyDescent="0.2">
      <c r="S578" s="61"/>
      <c r="T578" s="82"/>
      <c r="W578" s="103" t="str">
        <f t="shared" si="17"/>
        <v>1w</v>
      </c>
      <c r="X578" s="101">
        <f>_xll.qlCalendarAdvance(Calendar,X577,W578,"f",FALSE)</f>
        <v>43320</v>
      </c>
      <c r="Y578" s="104">
        <f>_xll.qlCalendarAdvance(Calendar,X578,NDays&amp;"D")</f>
        <v>43322</v>
      </c>
      <c r="Z578" s="105">
        <v>6.6133833825748056E-3</v>
      </c>
      <c r="AA578" s="102">
        <v>6.0383631472582522E-3</v>
      </c>
    </row>
    <row r="579" spans="19:27" x14ac:dyDescent="0.2">
      <c r="S579" s="61"/>
      <c r="T579" s="82"/>
      <c r="W579" s="103" t="str">
        <f t="shared" si="17"/>
        <v>1w</v>
      </c>
      <c r="X579" s="101">
        <f>_xll.qlCalendarAdvance(Calendar,X578,W579,"f",FALSE)</f>
        <v>43327</v>
      </c>
      <c r="Y579" s="104">
        <f>_xll.qlCalendarAdvance(Calendar,X579,NDays&amp;"D")</f>
        <v>43329</v>
      </c>
      <c r="Z579" s="105">
        <v>6.7082579948442092E-3</v>
      </c>
      <c r="AA579" s="102">
        <v>6.1308281370031636E-3</v>
      </c>
    </row>
    <row r="580" spans="19:27" x14ac:dyDescent="0.2">
      <c r="S580" s="61"/>
      <c r="T580" s="82"/>
      <c r="W580" s="103" t="str">
        <f t="shared" si="17"/>
        <v>1w</v>
      </c>
      <c r="X580" s="101">
        <f>_xll.qlCalendarAdvance(Calendar,X579,W580,"f",FALSE)</f>
        <v>43334</v>
      </c>
      <c r="Y580" s="104">
        <f>_xll.qlCalendarAdvance(Calendar,X580,NDays&amp;"D")</f>
        <v>43336</v>
      </c>
      <c r="Z580" s="105">
        <v>6.8035425659481513E-3</v>
      </c>
      <c r="AA580" s="102">
        <v>6.2236210473987086E-3</v>
      </c>
    </row>
    <row r="581" spans="19:27" x14ac:dyDescent="0.2">
      <c r="S581" s="61"/>
      <c r="T581" s="82"/>
      <c r="W581" s="103" t="str">
        <f t="shared" si="17"/>
        <v>1w</v>
      </c>
      <c r="X581" s="101">
        <f>_xll.qlCalendarAdvance(Calendar,X580,W581,"f",FALSE)</f>
        <v>43341</v>
      </c>
      <c r="Y581" s="104">
        <f>_xll.qlCalendarAdvance(Calendar,X581,NDays&amp;"D")</f>
        <v>43343</v>
      </c>
      <c r="Z581" s="105">
        <v>6.8782995282314274E-3</v>
      </c>
      <c r="AA581" s="102">
        <v>6.3167418786846952E-3</v>
      </c>
    </row>
    <row r="582" spans="19:27" x14ac:dyDescent="0.2">
      <c r="S582" s="61"/>
      <c r="T582" s="82"/>
      <c r="W582" s="103" t="str">
        <f t="shared" si="17"/>
        <v>1w</v>
      </c>
      <c r="X582" s="101">
        <f>_xll.qlCalendarAdvance(Calendar,X581,W582,"f",FALSE)</f>
        <v>43348</v>
      </c>
      <c r="Y582" s="104">
        <f>_xll.qlCalendarAdvance(Calendar,X582,NDays&amp;"D")</f>
        <v>43350</v>
      </c>
      <c r="Z582" s="105">
        <v>6.9743311307546418E-3</v>
      </c>
      <c r="AA582" s="102">
        <v>6.4101906311808676E-3</v>
      </c>
    </row>
    <row r="583" spans="19:27" x14ac:dyDescent="0.2">
      <c r="S583" s="61"/>
      <c r="T583" s="82"/>
      <c r="W583" s="103" t="str">
        <f t="shared" si="17"/>
        <v>1w</v>
      </c>
      <c r="X583" s="101">
        <f>_xll.qlCalendarAdvance(Calendar,X582,W583,"f",FALSE)</f>
        <v>43355</v>
      </c>
      <c r="Y583" s="104">
        <f>_xll.qlCalendarAdvance(Calendar,X583,NDays&amp;"D")</f>
        <v>43357</v>
      </c>
      <c r="Z583" s="105">
        <v>7.0708035839814913E-3</v>
      </c>
      <c r="AA583" s="102">
        <v>6.5039673052069702E-3</v>
      </c>
    </row>
    <row r="584" spans="19:27" x14ac:dyDescent="0.2">
      <c r="S584" s="61"/>
      <c r="T584" s="82"/>
      <c r="W584" s="103" t="str">
        <f t="shared" si="17"/>
        <v>1w</v>
      </c>
      <c r="X584" s="101">
        <f>_xll.qlCalendarAdvance(Calendar,X583,W584,"f",FALSE)</f>
        <v>43362</v>
      </c>
      <c r="Y584" s="104">
        <f>_xll.qlCalendarAdvance(Calendar,X584,NDays&amp;"D")</f>
        <v>43364</v>
      </c>
      <c r="Z584" s="105">
        <v>7.1677279248942927E-3</v>
      </c>
      <c r="AA584" s="102">
        <v>6.598071900922875E-3</v>
      </c>
    </row>
    <row r="585" spans="19:27" x14ac:dyDescent="0.2">
      <c r="S585" s="61"/>
      <c r="T585" s="82"/>
      <c r="W585" s="103" t="str">
        <f t="shared" si="17"/>
        <v>1w</v>
      </c>
      <c r="X585" s="101">
        <f>_xll.qlCalendarAdvance(Calendar,X584,W585,"f",FALSE)</f>
        <v>43369</v>
      </c>
      <c r="Y585" s="104">
        <f>_xll.qlCalendarAdvance(Calendar,X585,NDays&amp;"D")</f>
        <v>43371</v>
      </c>
      <c r="Z585" s="105">
        <v>7.2651151917033909E-3</v>
      </c>
      <c r="AA585" s="102">
        <v>6.6925340487067331E-3</v>
      </c>
    </row>
    <row r="586" spans="19:27" x14ac:dyDescent="0.2">
      <c r="S586" s="61"/>
      <c r="T586" s="82"/>
      <c r="W586" s="103" t="str">
        <f t="shared" si="17"/>
        <v>1w</v>
      </c>
      <c r="X586" s="101">
        <f>_xll.qlCalendarAdvance(Calendar,X585,W586,"f",FALSE)</f>
        <v>43376</v>
      </c>
      <c r="Y586" s="104">
        <f>_xll.qlCalendarAdvance(Calendar,X586,NDays&amp;"D")</f>
        <v>43378</v>
      </c>
      <c r="Z586" s="105">
        <v>7.3844557408121051E-3</v>
      </c>
      <c r="AA586" s="102">
        <v>6.7874576973281364E-3</v>
      </c>
    </row>
    <row r="587" spans="19:27" x14ac:dyDescent="0.2">
      <c r="S587" s="61"/>
      <c r="T587" s="82"/>
      <c r="W587" s="103" t="str">
        <f t="shared" si="17"/>
        <v>1w</v>
      </c>
      <c r="X587" s="101">
        <f>_xll.qlCalendarAdvance(Calendar,X586,W587,"f",FALSE)</f>
        <v>43383</v>
      </c>
      <c r="Y587" s="104">
        <f>_xll.qlCalendarAdvance(Calendar,X587,NDays&amp;"D")</f>
        <v>43385</v>
      </c>
      <c r="Z587" s="105">
        <v>7.4828968126134645E-3</v>
      </c>
      <c r="AA587" s="102">
        <v>6.8828520762043155E-3</v>
      </c>
    </row>
    <row r="588" spans="19:27" x14ac:dyDescent="0.2">
      <c r="S588" s="61"/>
      <c r="T588" s="82"/>
      <c r="W588" s="103" t="str">
        <f t="shared" si="17"/>
        <v>1w</v>
      </c>
      <c r="X588" s="101">
        <f>_xll.qlCalendarAdvance(Calendar,X587,W588,"f",FALSE)</f>
        <v>43390</v>
      </c>
      <c r="Y588" s="104">
        <f>_xll.qlCalendarAdvance(Calendar,X588,NDays&amp;"D")</f>
        <v>43392</v>
      </c>
      <c r="Z588" s="105">
        <v>7.5818120379261712E-3</v>
      </c>
      <c r="AA588" s="102">
        <v>6.9787171858148866E-3</v>
      </c>
    </row>
    <row r="589" spans="19:27" x14ac:dyDescent="0.2">
      <c r="S589" s="61"/>
      <c r="T589" s="82"/>
      <c r="W589" s="103" t="str">
        <f t="shared" si="17"/>
        <v>1w</v>
      </c>
      <c r="X589" s="101">
        <f>_xll.qlCalendarAdvance(Calendar,X588,W589,"f",FALSE)</f>
        <v>43397</v>
      </c>
      <c r="Y589" s="104">
        <f>_xll.qlCalendarAdvance(Calendar,X589,NDays&amp;"D")</f>
        <v>43399</v>
      </c>
      <c r="Z589" s="105">
        <v>7.681201453286106E-3</v>
      </c>
      <c r="AA589" s="102">
        <v>7.075053026319722E-3</v>
      </c>
    </row>
    <row r="590" spans="19:27" x14ac:dyDescent="0.2">
      <c r="S590" s="61"/>
      <c r="T590" s="82"/>
      <c r="W590" s="103" t="str">
        <f t="shared" si="17"/>
        <v>1w</v>
      </c>
      <c r="X590" s="101">
        <f>_xll.qlCalendarAdvance(Calendar,X589,W590,"f",FALSE)</f>
        <v>43404</v>
      </c>
      <c r="Y590" s="104">
        <f>_xll.qlCalendarAdvance(Calendar,X590,NDays&amp;"D")</f>
        <v>43406</v>
      </c>
      <c r="Z590" s="105">
        <v>7.7810650954060296E-3</v>
      </c>
      <c r="AA590" s="102">
        <v>7.17185959835831E-3</v>
      </c>
    </row>
    <row r="591" spans="19:27" x14ac:dyDescent="0.2">
      <c r="S591" s="61"/>
      <c r="T591" s="82"/>
      <c r="W591" s="103" t="str">
        <f t="shared" si="17"/>
        <v>1w</v>
      </c>
      <c r="X591" s="101">
        <f>_xll.qlCalendarAdvance(Calendar,X590,W591,"f",FALSE)</f>
        <v>43411</v>
      </c>
      <c r="Y591" s="104">
        <f>_xll.qlCalendarAdvance(Calendar,X591,NDays&amp;"D")</f>
        <v>43413</v>
      </c>
      <c r="Z591" s="105">
        <v>7.8814030011747326E-3</v>
      </c>
      <c r="AA591" s="102">
        <v>7.2691369020905228E-3</v>
      </c>
    </row>
    <row r="592" spans="19:27" x14ac:dyDescent="0.2">
      <c r="S592" s="61"/>
      <c r="T592" s="82"/>
      <c r="W592" s="103" t="str">
        <f t="shared" si="17"/>
        <v>1w</v>
      </c>
      <c r="X592" s="101">
        <f>_xll.qlCalendarAdvance(Calendar,X591,W592,"f",FALSE)</f>
        <v>43418</v>
      </c>
      <c r="Y592" s="104">
        <f>_xll.qlCalendarAdvance(Calendar,X592,NDays&amp;"D")</f>
        <v>43420</v>
      </c>
      <c r="Z592" s="105">
        <v>7.9822152076561813E-3</v>
      </c>
      <c r="AA592" s="102">
        <v>7.3668849379160406E-3</v>
      </c>
    </row>
    <row r="593" spans="19:27" x14ac:dyDescent="0.2">
      <c r="S593" s="61"/>
      <c r="T593" s="82"/>
      <c r="W593" s="103" t="str">
        <f t="shared" si="17"/>
        <v>1w</v>
      </c>
      <c r="X593" s="101">
        <f>_xll.qlCalendarAdvance(Calendar,X592,W593,"f",FALSE)</f>
        <v>43425</v>
      </c>
      <c r="Y593" s="104">
        <f>_xll.qlCalendarAdvance(Calendar,X593,NDays&amp;"D")</f>
        <v>43427</v>
      </c>
      <c r="Z593" s="105">
        <v>8.0835017520912277E-3</v>
      </c>
      <c r="AA593" s="102">
        <v>7.4651037063944159E-3</v>
      </c>
    </row>
    <row r="594" spans="19:27" x14ac:dyDescent="0.2">
      <c r="S594" s="61"/>
      <c r="T594" s="82"/>
      <c r="W594" s="103" t="str">
        <f t="shared" si="17"/>
        <v>1w</v>
      </c>
      <c r="X594" s="101">
        <f>_xll.qlCalendarAdvance(Calendar,X593,W594,"f",FALSE)</f>
        <v>43432</v>
      </c>
      <c r="Y594" s="104">
        <f>_xll.qlCalendarAdvance(Calendar,X594,NDays&amp;"D")</f>
        <v>43434</v>
      </c>
      <c r="Z594" s="105">
        <v>8.1554752326447044E-3</v>
      </c>
      <c r="AA594" s="102">
        <v>7.5637932077654568E-3</v>
      </c>
    </row>
    <row r="595" spans="19:27" x14ac:dyDescent="0.2">
      <c r="S595" s="61"/>
      <c r="T595" s="82"/>
      <c r="W595" s="103" t="str">
        <f t="shared" si="17"/>
        <v>1w</v>
      </c>
      <c r="X595" s="101">
        <f>_xll.qlCalendarAdvance(Calendar,X594,W595,"f",FALSE)</f>
        <v>43439</v>
      </c>
      <c r="Y595" s="104">
        <f>_xll.qlCalendarAdvance(Calendar,X595,NDays&amp;"D")</f>
        <v>43441</v>
      </c>
      <c r="Z595" s="105">
        <v>8.2575657072903041E-3</v>
      </c>
      <c r="AA595" s="102">
        <v>7.6629534424288437E-3</v>
      </c>
    </row>
    <row r="596" spans="19:27" x14ac:dyDescent="0.2">
      <c r="S596" s="61"/>
      <c r="T596" s="82"/>
      <c r="W596" s="103" t="str">
        <f t="shared" si="17"/>
        <v>1w</v>
      </c>
      <c r="X596" s="101">
        <f>_xll.qlCalendarAdvance(Calendar,X595,W596,"f",FALSE)</f>
        <v>43446</v>
      </c>
      <c r="Y596" s="104">
        <f>_xll.qlCalendarAdvance(Calendar,X596,NDays&amp;"D")</f>
        <v>43448</v>
      </c>
      <c r="Z596" s="105">
        <v>8.3601304622318295E-3</v>
      </c>
      <c r="AA596" s="102">
        <v>7.7625844107842568E-3</v>
      </c>
    </row>
    <row r="597" spans="19:27" x14ac:dyDescent="0.2">
      <c r="S597" s="61"/>
      <c r="T597" s="82"/>
      <c r="W597" s="103" t="str">
        <f t="shared" ref="W597:W660" si="18">W596</f>
        <v>1w</v>
      </c>
      <c r="X597" s="101">
        <f>_xll.qlCalendarAdvance(Calendar,X596,W597,"f",FALSE)</f>
        <v>43453</v>
      </c>
      <c r="Y597" s="104">
        <f>_xll.qlCalendarAdvance(Calendar,X597,NDays&amp;"D")</f>
        <v>43455</v>
      </c>
      <c r="Z597" s="105">
        <v>8.4631695337442636E-3</v>
      </c>
      <c r="AA597" s="102">
        <v>7.9348349038532717E-3</v>
      </c>
    </row>
    <row r="598" spans="19:27" x14ac:dyDescent="0.2">
      <c r="S598" s="61"/>
      <c r="T598" s="82"/>
      <c r="W598" s="103" t="str">
        <f t="shared" si="18"/>
        <v>1w</v>
      </c>
      <c r="X598" s="101">
        <f>_xll.qlCalendarAdvance(Calendar,X597,W598,"f",FALSE)</f>
        <v>43461</v>
      </c>
      <c r="Y598" s="104">
        <f>_xll.qlCalendarAdvance(Calendar,X598,NDays&amp;"D")</f>
        <v>43467</v>
      </c>
      <c r="Z598" s="105">
        <v>8.6409115591337127E-3</v>
      </c>
      <c r="AA598" s="102">
        <v>8.0211217776859911E-3</v>
      </c>
    </row>
    <row r="599" spans="19:27" x14ac:dyDescent="0.2">
      <c r="S599" s="61"/>
      <c r="T599" s="82"/>
      <c r="W599" s="103" t="str">
        <f t="shared" si="18"/>
        <v>1w</v>
      </c>
      <c r="X599" s="101">
        <f>_xll.qlCalendarAdvance(Calendar,X598,W599,"f",FALSE)</f>
        <v>43468</v>
      </c>
      <c r="Y599" s="104">
        <f>_xll.qlCalendarAdvance(Calendar,X599,NDays&amp;"D")</f>
        <v>43472</v>
      </c>
      <c r="Z599" s="105">
        <v>8.7230207943032566E-3</v>
      </c>
      <c r="AA599" s="102">
        <v>8.0787748881849808E-3</v>
      </c>
    </row>
    <row r="600" spans="19:27" x14ac:dyDescent="0.2">
      <c r="S600" s="61"/>
      <c r="T600" s="82"/>
      <c r="W600" s="103" t="str">
        <f t="shared" si="18"/>
        <v>1w</v>
      </c>
      <c r="X600" s="101">
        <f>_xll.qlCalendarAdvance(Calendar,X599,W600,"f",FALSE)</f>
        <v>43475</v>
      </c>
      <c r="Y600" s="104">
        <f>_xll.qlCalendarAdvance(Calendar,X600,NDays&amp;"D")</f>
        <v>43479</v>
      </c>
      <c r="Z600" s="105">
        <v>8.8277228131674098E-3</v>
      </c>
      <c r="AA600" s="102">
        <v>8.1803560431925604E-3</v>
      </c>
    </row>
    <row r="601" spans="19:27" x14ac:dyDescent="0.2">
      <c r="S601" s="61"/>
      <c r="T601" s="82"/>
      <c r="W601" s="103" t="str">
        <f t="shared" si="18"/>
        <v>1w</v>
      </c>
      <c r="X601" s="101">
        <f>_xll.qlCalendarAdvance(Calendar,X600,W601,"f",FALSE)</f>
        <v>43482</v>
      </c>
      <c r="Y601" s="104">
        <f>_xll.qlCalendarAdvance(Calendar,X601,NDays&amp;"D")</f>
        <v>43486</v>
      </c>
      <c r="Z601" s="105">
        <v>8.9406144715990007E-3</v>
      </c>
      <c r="AA601" s="102">
        <v>8.2824079339705037E-3</v>
      </c>
    </row>
    <row r="602" spans="19:27" x14ac:dyDescent="0.2">
      <c r="S602" s="61"/>
      <c r="T602" s="82"/>
      <c r="W602" s="103" t="str">
        <f t="shared" si="18"/>
        <v>1w</v>
      </c>
      <c r="X602" s="101">
        <f>_xll.qlCalendarAdvance(Calendar,X601,W602,"f",FALSE)</f>
        <v>43489</v>
      </c>
      <c r="Y602" s="104">
        <f>_xll.qlCalendarAdvance(Calendar,X602,NDays&amp;"D")</f>
        <v>43493</v>
      </c>
      <c r="Z602" s="105">
        <v>9.0385504606427247E-3</v>
      </c>
      <c r="AA602" s="102">
        <v>8.3849305608385549E-3</v>
      </c>
    </row>
    <row r="603" spans="19:27" x14ac:dyDescent="0.2">
      <c r="S603" s="61"/>
      <c r="T603" s="82"/>
      <c r="W603" s="103" t="str">
        <f t="shared" si="18"/>
        <v>1w</v>
      </c>
      <c r="X603" s="101">
        <f>_xll.qlCalendarAdvance(Calendar,X602,W603,"f",FALSE)</f>
        <v>43496</v>
      </c>
      <c r="Y603" s="104">
        <f>_xll.qlCalendarAdvance(Calendar,X603,NDays&amp;"D")</f>
        <v>43500</v>
      </c>
      <c r="Z603" s="105">
        <v>9.1446761646573078E-3</v>
      </c>
      <c r="AA603" s="102">
        <v>8.4879239242763305E-3</v>
      </c>
    </row>
    <row r="604" spans="19:27" x14ac:dyDescent="0.2">
      <c r="S604" s="61"/>
      <c r="T604" s="82"/>
      <c r="W604" s="103" t="str">
        <f t="shared" si="18"/>
        <v>1w</v>
      </c>
      <c r="X604" s="101">
        <f>_xll.qlCalendarAdvance(Calendar,X603,W604,"f",FALSE)</f>
        <v>43503</v>
      </c>
      <c r="Y604" s="104">
        <f>_xll.qlCalendarAdvance(Calendar,X604,NDays&amp;"D")</f>
        <v>43507</v>
      </c>
      <c r="Z604" s="105">
        <v>9.2512765060755557E-3</v>
      </c>
      <c r="AA604" s="102">
        <v>8.5913880246035745E-3</v>
      </c>
    </row>
    <row r="605" spans="19:27" x14ac:dyDescent="0.2">
      <c r="S605" s="61"/>
      <c r="T605" s="82"/>
      <c r="W605" s="103" t="str">
        <f t="shared" si="18"/>
        <v>1w</v>
      </c>
      <c r="X605" s="101">
        <f>_xll.qlCalendarAdvance(Calendar,X604,W605,"f",FALSE)</f>
        <v>43510</v>
      </c>
      <c r="Y605" s="104">
        <f>_xll.qlCalendarAdvance(Calendar,X605,NDays&amp;"D")</f>
        <v>43514</v>
      </c>
      <c r="Z605" s="105">
        <v>9.3583515230243348E-3</v>
      </c>
      <c r="AA605" s="102">
        <v>8.6953228622999035E-3</v>
      </c>
    </row>
    <row r="606" spans="19:27" x14ac:dyDescent="0.2">
      <c r="S606" s="61"/>
      <c r="T606" s="82"/>
      <c r="W606" s="103" t="str">
        <f t="shared" si="18"/>
        <v>1w</v>
      </c>
      <c r="X606" s="101">
        <f>_xll.qlCalendarAdvance(Calendar,X605,W606,"f",FALSE)</f>
        <v>43517</v>
      </c>
      <c r="Y606" s="104">
        <f>_xll.qlCalendarAdvance(Calendar,X606,NDays&amp;"D")</f>
        <v>43521</v>
      </c>
      <c r="Z606" s="105">
        <v>9.4659012538026773E-3</v>
      </c>
      <c r="AA606" s="102">
        <v>8.7997284377649976E-3</v>
      </c>
    </row>
    <row r="607" spans="19:27" x14ac:dyDescent="0.2">
      <c r="S607" s="61"/>
      <c r="T607" s="82"/>
      <c r="W607" s="103" t="str">
        <f t="shared" si="18"/>
        <v>1w</v>
      </c>
      <c r="X607" s="101">
        <f>_xll.qlCalendarAdvance(Calendar,X606,W607,"f",FALSE)</f>
        <v>43524</v>
      </c>
      <c r="Y607" s="104">
        <f>_xll.qlCalendarAdvance(Calendar,X607,NDays&amp;"D")</f>
        <v>43528</v>
      </c>
      <c r="Z607" s="105">
        <v>9.5818607741076974E-3</v>
      </c>
      <c r="AA607" s="102">
        <v>8.9046047513186011E-3</v>
      </c>
    </row>
    <row r="608" spans="19:27" x14ac:dyDescent="0.2">
      <c r="S608" s="61"/>
      <c r="T608" s="82"/>
      <c r="W608" s="103" t="str">
        <f t="shared" si="18"/>
        <v>1w</v>
      </c>
      <c r="X608" s="101">
        <f>_xll.qlCalendarAdvance(Calendar,X607,W608,"f",FALSE)</f>
        <v>43531</v>
      </c>
      <c r="Y608" s="104">
        <f>_xll.qlCalendarAdvance(Calendar,X608,NDays&amp;"D")</f>
        <v>43535</v>
      </c>
      <c r="Z608" s="105">
        <v>9.6903968668279761E-3</v>
      </c>
      <c r="AA608" s="102">
        <v>9.0099518035202664E-3</v>
      </c>
    </row>
    <row r="609" spans="19:27" x14ac:dyDescent="0.2">
      <c r="S609" s="61"/>
      <c r="T609" s="82"/>
      <c r="W609" s="103" t="str">
        <f t="shared" si="18"/>
        <v>1w</v>
      </c>
      <c r="X609" s="101">
        <f>_xll.qlCalendarAdvance(Calendar,X608,W609,"f",FALSE)</f>
        <v>43538</v>
      </c>
      <c r="Y609" s="104">
        <f>_xll.qlCalendarAdvance(Calendar,X609,NDays&amp;"D")</f>
        <v>43542</v>
      </c>
      <c r="Z609" s="105">
        <v>9.7994078376329383E-3</v>
      </c>
      <c r="AA609" s="102">
        <v>9.1157695946897377E-3</v>
      </c>
    </row>
    <row r="610" spans="19:27" x14ac:dyDescent="0.2">
      <c r="S610" s="61"/>
      <c r="T610" s="82"/>
      <c r="W610" s="103" t="str">
        <f t="shared" si="18"/>
        <v>1w</v>
      </c>
      <c r="X610" s="101">
        <f>_xll.qlCalendarAdvance(Calendar,X609,W610,"f",FALSE)</f>
        <v>43545</v>
      </c>
      <c r="Y610" s="104">
        <f>_xll.qlCalendarAdvance(Calendar,X610,NDays&amp;"D")</f>
        <v>43549</v>
      </c>
      <c r="Z610" s="105">
        <v>9.9088937259440915E-3</v>
      </c>
      <c r="AA610" s="102">
        <v>9.2220581253066314E-3</v>
      </c>
    </row>
    <row r="611" spans="19:27" x14ac:dyDescent="0.2">
      <c r="S611" s="61"/>
      <c r="T611" s="82"/>
      <c r="W611" s="103" t="str">
        <f t="shared" si="18"/>
        <v>1w</v>
      </c>
      <c r="X611" s="101">
        <f>_xll.qlCalendarAdvance(Calendar,X610,W611,"f",FALSE)</f>
        <v>43552</v>
      </c>
      <c r="Y611" s="104">
        <f>_xll.qlCalendarAdvance(Calendar,X611,NDays&amp;"D")</f>
        <v>43556</v>
      </c>
      <c r="Z611" s="105">
        <v>1.0010771967490815E-2</v>
      </c>
      <c r="AA611" s="102">
        <v>9.3288173956107556E-3</v>
      </c>
    </row>
    <row r="612" spans="19:27" x14ac:dyDescent="0.2">
      <c r="S612" s="61"/>
      <c r="T612" s="82"/>
      <c r="W612" s="103" t="str">
        <f t="shared" si="18"/>
        <v>1w</v>
      </c>
      <c r="X612" s="101">
        <f>_xll.qlCalendarAdvance(Calendar,X611,W612,"f",FALSE)</f>
        <v>43559</v>
      </c>
      <c r="Y612" s="104">
        <f>_xll.qlCalendarAdvance(Calendar,X612,NDays&amp;"D")</f>
        <v>43563</v>
      </c>
      <c r="Z612" s="105">
        <v>1.012117079504744E-2</v>
      </c>
      <c r="AA612" s="102">
        <v>9.4360474062415989E-3</v>
      </c>
    </row>
    <row r="613" spans="19:27" x14ac:dyDescent="0.2">
      <c r="S613" s="61"/>
      <c r="T613" s="82"/>
      <c r="W613" s="103" t="str">
        <f t="shared" si="18"/>
        <v>1w</v>
      </c>
      <c r="X613" s="101">
        <f>_xll.qlCalendarAdvance(Calendar,X612,W613,"f",FALSE)</f>
        <v>43566</v>
      </c>
      <c r="Y613" s="104">
        <f>_xll.qlCalendarAdvance(Calendar,X613,NDays&amp;"D")</f>
        <v>43570</v>
      </c>
      <c r="Z613" s="105">
        <v>1.0232044609294923E-2</v>
      </c>
      <c r="AA613" s="102">
        <v>9.5437481575189054E-3</v>
      </c>
    </row>
    <row r="614" spans="19:27" x14ac:dyDescent="0.2">
      <c r="S614" s="61"/>
      <c r="T614" s="82"/>
      <c r="W614" s="103" t="str">
        <f t="shared" si="18"/>
        <v>1w</v>
      </c>
      <c r="X614" s="101">
        <f>_xll.qlCalendarAdvance(Calendar,X613,W614,"f",FALSE)</f>
        <v>43573</v>
      </c>
      <c r="Y614" s="104">
        <f>_xll.qlCalendarAdvance(Calendar,X614,NDays&amp;"D")</f>
        <v>43579</v>
      </c>
      <c r="Z614" s="105">
        <v>1.0375294659658214E-2</v>
      </c>
      <c r="AA614" s="102">
        <v>9.698687446118015E-3</v>
      </c>
    </row>
    <row r="615" spans="19:27" x14ac:dyDescent="0.2">
      <c r="S615" s="61"/>
      <c r="T615" s="82"/>
      <c r="W615" s="103" t="str">
        <f t="shared" si="18"/>
        <v>1w</v>
      </c>
      <c r="X615" s="101">
        <f>_xll.qlCalendarAdvance(Calendar,X614,W615,"f",FALSE)</f>
        <v>43580</v>
      </c>
      <c r="Y615" s="104">
        <f>_xll.qlCalendarAdvance(Calendar,X615,NDays&amp;"D")</f>
        <v>43584</v>
      </c>
      <c r="Z615" s="105">
        <v>1.0455217356676963E-2</v>
      </c>
      <c r="AA615" s="102">
        <v>9.776120630702323E-3</v>
      </c>
    </row>
    <row r="616" spans="19:27" x14ac:dyDescent="0.2">
      <c r="S616" s="61"/>
      <c r="T616" s="82"/>
      <c r="W616" s="103" t="str">
        <f t="shared" si="18"/>
        <v>1w</v>
      </c>
      <c r="X616" s="101">
        <f>_xll.qlCalendarAdvance(Calendar,X615,W616,"f",FALSE)</f>
        <v>43587</v>
      </c>
      <c r="Y616" s="104">
        <f>_xll.qlCalendarAdvance(Calendar,X616,NDays&amp;"D")</f>
        <v>43591</v>
      </c>
      <c r="Z616" s="105">
        <v>1.0575784552849847E-2</v>
      </c>
      <c r="AA616" s="102">
        <v>9.8696748594662154E-3</v>
      </c>
    </row>
    <row r="617" spans="19:27" x14ac:dyDescent="0.2">
      <c r="S617" s="61"/>
      <c r="T617" s="82"/>
      <c r="W617" s="103" t="str">
        <f t="shared" si="18"/>
        <v>1w</v>
      </c>
      <c r="X617" s="101">
        <f>_xll.qlCalendarAdvance(Calendar,X616,W617,"f",FALSE)</f>
        <v>43594</v>
      </c>
      <c r="Y617" s="104">
        <f>_xll.qlCalendarAdvance(Calendar,X617,NDays&amp;"D")</f>
        <v>43598</v>
      </c>
      <c r="Z617" s="105">
        <v>1.0688595982031507E-2</v>
      </c>
      <c r="AA617" s="102">
        <v>9.9792585776459219E-3</v>
      </c>
    </row>
    <row r="618" spans="19:27" x14ac:dyDescent="0.2">
      <c r="S618" s="61"/>
      <c r="T618" s="82"/>
      <c r="W618" s="103" t="str">
        <f t="shared" si="18"/>
        <v>1w</v>
      </c>
      <c r="X618" s="101">
        <f>_xll.qlCalendarAdvance(Calendar,X617,W618,"f",FALSE)</f>
        <v>43601</v>
      </c>
      <c r="Y618" s="104">
        <f>_xll.qlCalendarAdvance(Calendar,X618,NDays&amp;"D")</f>
        <v>43605</v>
      </c>
      <c r="Z618" s="105">
        <v>1.0801882650313411E-2</v>
      </c>
      <c r="AA618" s="102">
        <v>1.0089313038550429E-2</v>
      </c>
    </row>
    <row r="619" spans="19:27" x14ac:dyDescent="0.2">
      <c r="S619" s="61"/>
      <c r="T619" s="82"/>
      <c r="W619" s="103" t="str">
        <f t="shared" si="18"/>
        <v>1w</v>
      </c>
      <c r="X619" s="101">
        <f>_xll.qlCalendarAdvance(Calendar,X618,W619,"f",FALSE)</f>
        <v>43608</v>
      </c>
      <c r="Y619" s="104">
        <f>_xll.qlCalendarAdvance(Calendar,X619,NDays&amp;"D")</f>
        <v>43612</v>
      </c>
      <c r="Z619" s="105">
        <v>1.0915644598668875E-2</v>
      </c>
      <c r="AA619" s="102">
        <v>1.0207896833773766E-2</v>
      </c>
    </row>
    <row r="620" spans="19:27" x14ac:dyDescent="0.2">
      <c r="S620" s="61"/>
      <c r="T620" s="82"/>
      <c r="W620" s="103" t="str">
        <f t="shared" si="18"/>
        <v>1w</v>
      </c>
      <c r="X620" s="101">
        <f>_xll.qlCalendarAdvance(Calendar,X619,W620,"f",FALSE)</f>
        <v>43616</v>
      </c>
      <c r="Y620" s="104">
        <f>_xll.qlCalendarAdvance(Calendar,X620,NDays&amp;"D")</f>
        <v>43620</v>
      </c>
      <c r="Z620" s="105">
        <v>1.1046240282328302E-2</v>
      </c>
      <c r="AA620" s="102">
        <v>1.0326729182494887E-2</v>
      </c>
    </row>
    <row r="621" spans="19:27" x14ac:dyDescent="0.2">
      <c r="S621" s="61"/>
      <c r="T621" s="82"/>
      <c r="W621" s="103" t="str">
        <f t="shared" si="18"/>
        <v>1w</v>
      </c>
      <c r="X621" s="101">
        <f>_xll.qlCalendarAdvance(Calendar,X620,W621,"f",FALSE)</f>
        <v>43623</v>
      </c>
      <c r="Y621" s="104">
        <f>_xll.qlCalendarAdvance(Calendar,X621,NDays&amp;"D")</f>
        <v>43628</v>
      </c>
      <c r="Z621" s="105">
        <v>1.1177456855412818E-2</v>
      </c>
      <c r="AA621" s="102">
        <v>1.0470524147496718E-2</v>
      </c>
    </row>
    <row r="622" spans="19:27" x14ac:dyDescent="0.2">
      <c r="S622" s="61"/>
      <c r="T622" s="82"/>
      <c r="W622" s="103" t="str">
        <f t="shared" si="18"/>
        <v>1w</v>
      </c>
      <c r="X622" s="101">
        <f>_xll.qlCalendarAdvance(Calendar,X621,W622,"f",FALSE)</f>
        <v>43630</v>
      </c>
      <c r="Y622" s="104">
        <f>_xll.qlCalendarAdvance(Calendar,X622,NDays&amp;"D")</f>
        <v>43634</v>
      </c>
      <c r="Z622" s="105">
        <v>1.127627678119426E-2</v>
      </c>
      <c r="AA622" s="102">
        <v>1.0574801973683989E-2</v>
      </c>
    </row>
    <row r="623" spans="19:27" x14ac:dyDescent="0.2">
      <c r="S623" s="61"/>
      <c r="T623" s="82"/>
      <c r="W623" s="103" t="str">
        <f t="shared" si="18"/>
        <v>1w</v>
      </c>
      <c r="X623" s="101">
        <f>_xll.qlCalendarAdvance(Calendar,X622,W623,"f",FALSE)</f>
        <v>43640</v>
      </c>
      <c r="Y623" s="104">
        <f>_xll.qlCalendarAdvance(Calendar,X623,NDays&amp;"D")</f>
        <v>43642</v>
      </c>
      <c r="Z623" s="105">
        <v>1.1408580060124086E-2</v>
      </c>
      <c r="AA623" s="102">
        <v>1.0695286474700083E-2</v>
      </c>
    </row>
    <row r="624" spans="19:27" x14ac:dyDescent="0.2">
      <c r="S624" s="61"/>
      <c r="T624" s="82"/>
      <c r="W624" s="103" t="str">
        <f t="shared" si="18"/>
        <v>1w</v>
      </c>
      <c r="X624" s="101">
        <f>_xll.qlCalendarAdvance(Calendar,X623,W624,"f",FALSE)</f>
        <v>43647</v>
      </c>
      <c r="Y624" s="104">
        <f>_xll.qlCalendarAdvance(Calendar,X624,NDays&amp;"D")</f>
        <v>43649</v>
      </c>
      <c r="Z624" s="105">
        <v>1.1524853472134854E-2</v>
      </c>
      <c r="AA624" s="102">
        <v>1.0808373904120927E-2</v>
      </c>
    </row>
    <row r="625" spans="19:27" x14ac:dyDescent="0.2">
      <c r="S625" s="61"/>
      <c r="T625" s="82"/>
      <c r="W625" s="103" t="str">
        <f t="shared" si="18"/>
        <v>1w</v>
      </c>
      <c r="X625" s="101">
        <f>_xll.qlCalendarAdvance(Calendar,X624,W625,"f",FALSE)</f>
        <v>43654</v>
      </c>
      <c r="Y625" s="104">
        <f>_xll.qlCalendarAdvance(Calendar,X625,NDays&amp;"D")</f>
        <v>43656</v>
      </c>
      <c r="Z625" s="105">
        <v>1.1641552717262214E-2</v>
      </c>
      <c r="AA625" s="102">
        <v>1.0921932179170923E-2</v>
      </c>
    </row>
    <row r="626" spans="19:27" x14ac:dyDescent="0.2">
      <c r="S626" s="61"/>
      <c r="T626" s="82"/>
      <c r="W626" s="103" t="str">
        <f t="shared" si="18"/>
        <v>1w</v>
      </c>
      <c r="X626" s="101">
        <f>_xll.qlCalendarAdvance(Calendar,X625,W626,"f",FALSE)</f>
        <v>43661</v>
      </c>
      <c r="Y626" s="104">
        <f>_xll.qlCalendarAdvance(Calendar,X626,NDays&amp;"D")</f>
        <v>43663</v>
      </c>
      <c r="Z626" s="105">
        <v>1.1758573053694424E-2</v>
      </c>
      <c r="AA626" s="102">
        <v>1.1035961301208985E-2</v>
      </c>
    </row>
    <row r="627" spans="19:27" x14ac:dyDescent="0.2">
      <c r="S627" s="61"/>
      <c r="T627" s="82"/>
      <c r="W627" s="103" t="str">
        <f t="shared" si="18"/>
        <v>1w</v>
      </c>
      <c r="X627" s="101">
        <f>_xll.qlCalendarAdvance(Calendar,X626,W627,"f",FALSE)</f>
        <v>43668</v>
      </c>
      <c r="Y627" s="104">
        <f>_xll.qlCalendarAdvance(Calendar,X627,NDays&amp;"D")</f>
        <v>43670</v>
      </c>
      <c r="Z627" s="105">
        <v>1.1875806364090314E-2</v>
      </c>
      <c r="AA627" s="102">
        <v>1.115046127156738E-2</v>
      </c>
    </row>
    <row r="628" spans="19:27" x14ac:dyDescent="0.2">
      <c r="S628" s="61"/>
      <c r="T628" s="82"/>
      <c r="W628" s="103" t="str">
        <f t="shared" si="18"/>
        <v>1w</v>
      </c>
      <c r="X628" s="101">
        <f>_xll.qlCalendarAdvance(Calendar,X627,W628,"f",FALSE)</f>
        <v>43675</v>
      </c>
      <c r="Y628" s="104">
        <f>_xll.qlCalendarAdvance(Calendar,X628,NDays&amp;"D")</f>
        <v>43677</v>
      </c>
      <c r="Z628" s="105">
        <v>1.1993144518235542E-2</v>
      </c>
      <c r="AA628" s="102">
        <v>1.1265432091578376E-2</v>
      </c>
    </row>
    <row r="629" spans="19:27" x14ac:dyDescent="0.2">
      <c r="S629" s="61"/>
      <c r="T629" s="82"/>
      <c r="W629" s="103" t="str">
        <f t="shared" si="18"/>
        <v>1w</v>
      </c>
      <c r="X629" s="101">
        <f>_xll.qlCalendarAdvance(Calendar,X628,W629,"f",FALSE)</f>
        <v>43682</v>
      </c>
      <c r="Y629" s="104">
        <f>_xll.qlCalendarAdvance(Calendar,X629,NDays&amp;"D")</f>
        <v>43684</v>
      </c>
      <c r="Z629" s="105">
        <v>1.2110479373000868E-2</v>
      </c>
      <c r="AA629" s="102">
        <v>1.138087376262753E-2</v>
      </c>
    </row>
    <row r="630" spans="19:27" x14ac:dyDescent="0.2">
      <c r="S630" s="61"/>
      <c r="T630" s="82"/>
      <c r="W630" s="103" t="str">
        <f t="shared" si="18"/>
        <v>1w</v>
      </c>
      <c r="X630" s="101">
        <f>_xll.qlCalendarAdvance(Calendar,X629,W630,"f",FALSE)</f>
        <v>43689</v>
      </c>
      <c r="Y630" s="104">
        <f>_xll.qlCalendarAdvance(Calendar,X630,NDays&amp;"D")</f>
        <v>43691</v>
      </c>
      <c r="Z630" s="105">
        <v>1.2227702772326534E-2</v>
      </c>
      <c r="AA630" s="102">
        <v>1.1496786286047112E-2</v>
      </c>
    </row>
    <row r="631" spans="19:27" x14ac:dyDescent="0.2">
      <c r="S631" s="61"/>
      <c r="T631" s="82"/>
      <c r="W631" s="103" t="str">
        <f t="shared" si="18"/>
        <v>1w</v>
      </c>
      <c r="X631" s="101">
        <f>_xll.qlCalendarAdvance(Calendar,X630,W631,"f",FALSE)</f>
        <v>43696</v>
      </c>
      <c r="Y631" s="104">
        <f>_xll.qlCalendarAdvance(Calendar,X631,NDays&amp;"D")</f>
        <v>43698</v>
      </c>
      <c r="Z631" s="105">
        <v>1.2344706547241369E-2</v>
      </c>
      <c r="AA631" s="102">
        <v>1.1613169663222678E-2</v>
      </c>
    </row>
    <row r="632" spans="19:27" x14ac:dyDescent="0.2">
      <c r="S632" s="61"/>
      <c r="T632" s="82"/>
      <c r="W632" s="103" t="str">
        <f t="shared" si="18"/>
        <v>1w</v>
      </c>
      <c r="X632" s="101">
        <f>_xll.qlCalendarAdvance(Calendar,X631,W632,"f",FALSE)</f>
        <v>43703</v>
      </c>
      <c r="Y632" s="104">
        <f>_xll.qlCalendarAdvance(Calendar,X632,NDays&amp;"D")</f>
        <v>43705</v>
      </c>
      <c r="Z632" s="105">
        <v>1.2461382515904496E-2</v>
      </c>
      <c r="AA632" s="102">
        <v>1.1730023895486497E-2</v>
      </c>
    </row>
    <row r="633" spans="19:27" x14ac:dyDescent="0.2">
      <c r="S633" s="61"/>
      <c r="T633" s="82"/>
      <c r="W633" s="103" t="str">
        <f t="shared" si="18"/>
        <v>1w</v>
      </c>
      <c r="X633" s="101">
        <f>_xll.qlCalendarAdvance(Calendar,X632,W633,"f",FALSE)</f>
        <v>43710</v>
      </c>
      <c r="Y633" s="104">
        <f>_xll.qlCalendarAdvance(Calendar,X633,NDays&amp;"D")</f>
        <v>43712</v>
      </c>
      <c r="Z633" s="105">
        <v>1.256922076247995E-2</v>
      </c>
      <c r="AA633" s="102">
        <v>1.1847348984250772E-2</v>
      </c>
    </row>
    <row r="634" spans="19:27" x14ac:dyDescent="0.2">
      <c r="S634" s="61"/>
      <c r="T634" s="82"/>
      <c r="W634" s="103" t="str">
        <f t="shared" si="18"/>
        <v>1w</v>
      </c>
      <c r="X634" s="101">
        <f>_xll.qlCalendarAdvance(Calendar,X633,W634,"f",FALSE)</f>
        <v>43717</v>
      </c>
      <c r="Y634" s="104">
        <f>_xll.qlCalendarAdvance(Calendar,X634,NDays&amp;"D")</f>
        <v>43719</v>
      </c>
      <c r="Z634" s="105">
        <v>1.2684973852758555E-2</v>
      </c>
      <c r="AA634" s="102">
        <v>1.1965144930901062E-2</v>
      </c>
    </row>
    <row r="635" spans="19:27" x14ac:dyDescent="0.2">
      <c r="S635" s="61"/>
      <c r="T635" s="82"/>
      <c r="W635" s="103" t="str">
        <f t="shared" si="18"/>
        <v>1w</v>
      </c>
      <c r="X635" s="101">
        <f>_xll.qlCalendarAdvance(Calendar,X634,W635,"f",FALSE)</f>
        <v>43724</v>
      </c>
      <c r="Y635" s="104">
        <f>_xll.qlCalendarAdvance(Calendar,X635,NDays&amp;"D")</f>
        <v>43726</v>
      </c>
      <c r="Z635" s="105">
        <v>1.280007773234141E-2</v>
      </c>
      <c r="AA635" s="102">
        <v>1.2083411736796279E-2</v>
      </c>
    </row>
    <row r="636" spans="19:27" x14ac:dyDescent="0.2">
      <c r="S636" s="61"/>
      <c r="T636" s="82"/>
      <c r="W636" s="103" t="str">
        <f t="shared" si="18"/>
        <v>1w</v>
      </c>
      <c r="X636" s="101">
        <f>_xll.qlCalendarAdvance(Calendar,X635,W636,"f",FALSE)</f>
        <v>43731</v>
      </c>
      <c r="Y636" s="104">
        <f>_xll.qlCalendarAdvance(Calendar,X636,NDays&amp;"D")</f>
        <v>43733</v>
      </c>
      <c r="Z636" s="105">
        <v>1.2930859643388472E-2</v>
      </c>
      <c r="AA636" s="102">
        <v>1.2202149403348628E-2</v>
      </c>
    </row>
    <row r="637" spans="19:27" x14ac:dyDescent="0.2">
      <c r="S637" s="61"/>
      <c r="T637" s="82"/>
      <c r="W637" s="103" t="str">
        <f t="shared" si="18"/>
        <v>1w</v>
      </c>
      <c r="X637" s="101">
        <f>_xll.qlCalendarAdvance(Calendar,X636,W637,"f",FALSE)</f>
        <v>43738</v>
      </c>
      <c r="Y637" s="104">
        <f>_xll.qlCalendarAdvance(Calendar,X637,NDays&amp;"D")</f>
        <v>43740</v>
      </c>
      <c r="Z637" s="105">
        <v>1.3036058432841358E-2</v>
      </c>
      <c r="AA637" s="102">
        <v>1.2320909636995836E-2</v>
      </c>
    </row>
    <row r="638" spans="19:27" x14ac:dyDescent="0.2">
      <c r="S638" s="61"/>
      <c r="T638" s="82"/>
      <c r="W638" s="103" t="str">
        <f t="shared" si="18"/>
        <v>1w</v>
      </c>
      <c r="X638" s="101">
        <f>_xll.qlCalendarAdvance(Calendar,X637,W638,"f",FALSE)</f>
        <v>43745</v>
      </c>
      <c r="Y638" s="104">
        <f>_xll.qlCalendarAdvance(Calendar,X638,NDays&amp;"D")</f>
        <v>43747</v>
      </c>
      <c r="Z638" s="105">
        <v>1.3148532938158557E-2</v>
      </c>
      <c r="AA638" s="102">
        <v>1.2438766924844913E-2</v>
      </c>
    </row>
    <row r="639" spans="19:27" x14ac:dyDescent="0.2">
      <c r="S639" s="61"/>
      <c r="T639" s="82"/>
      <c r="W639" s="103" t="str">
        <f t="shared" si="18"/>
        <v>1w</v>
      </c>
      <c r="X639" s="101">
        <f>_xll.qlCalendarAdvance(Calendar,X638,W639,"f",FALSE)</f>
        <v>43752</v>
      </c>
      <c r="Y639" s="104">
        <f>_xll.qlCalendarAdvance(Calendar,X639,NDays&amp;"D")</f>
        <v>43754</v>
      </c>
      <c r="Z639" s="105">
        <v>1.3260061109998089E-2</v>
      </c>
      <c r="AA639" s="102">
        <v>1.2555677880774496E-2</v>
      </c>
    </row>
    <row r="640" spans="19:27" x14ac:dyDescent="0.2">
      <c r="S640" s="61"/>
      <c r="T640" s="82"/>
      <c r="W640" s="103" t="str">
        <f t="shared" si="18"/>
        <v>1w</v>
      </c>
      <c r="X640" s="101">
        <f>_xll.qlCalendarAdvance(Calendar,X639,W640,"f",FALSE)</f>
        <v>43759</v>
      </c>
      <c r="Y640" s="104">
        <f>_xll.qlCalendarAdvance(Calendar,X640,NDays&amp;"D")</f>
        <v>43761</v>
      </c>
      <c r="Z640" s="105">
        <v>1.3370642867534172E-2</v>
      </c>
      <c r="AA640" s="102">
        <v>1.2671642501960179E-2</v>
      </c>
    </row>
    <row r="641" spans="19:27" x14ac:dyDescent="0.2">
      <c r="S641" s="61"/>
      <c r="T641" s="82"/>
      <c r="W641" s="103" t="str">
        <f t="shared" si="18"/>
        <v>1w</v>
      </c>
      <c r="X641" s="101">
        <f>_xll.qlCalendarAdvance(Calendar,X640,W641,"f",FALSE)</f>
        <v>43766</v>
      </c>
      <c r="Y641" s="104">
        <f>_xll.qlCalendarAdvance(Calendar,X641,NDays&amp;"D")</f>
        <v>43768</v>
      </c>
      <c r="Z641" s="105">
        <v>1.348027813062222E-2</v>
      </c>
      <c r="AA641" s="102">
        <v>1.2786660785710779E-2</v>
      </c>
    </row>
    <row r="642" spans="19:27" x14ac:dyDescent="0.2">
      <c r="S642" s="61"/>
      <c r="T642" s="82"/>
      <c r="W642" s="103" t="str">
        <f t="shared" si="18"/>
        <v>1w</v>
      </c>
      <c r="X642" s="101">
        <f>_xll.qlCalendarAdvance(Calendar,X641,W642,"f",FALSE)</f>
        <v>43773</v>
      </c>
      <c r="Y642" s="104">
        <f>_xll.qlCalendarAdvance(Calendar,X642,NDays&amp;"D")</f>
        <v>43775</v>
      </c>
      <c r="Z642" s="105">
        <v>1.3588966819804054E-2</v>
      </c>
      <c r="AA642" s="102">
        <v>1.2900732729281827E-2</v>
      </c>
    </row>
    <row r="643" spans="19:27" x14ac:dyDescent="0.2">
      <c r="S643" s="61"/>
      <c r="T643" s="82"/>
      <c r="W643" s="103" t="str">
        <f t="shared" si="18"/>
        <v>1w</v>
      </c>
      <c r="X643" s="101">
        <f>_xll.qlCalendarAdvance(Calendar,X642,W643,"f",FALSE)</f>
        <v>43780</v>
      </c>
      <c r="Y643" s="104">
        <f>_xll.qlCalendarAdvance(Calendar,X643,NDays&amp;"D")</f>
        <v>43782</v>
      </c>
      <c r="Z643" s="105">
        <v>1.3696708856307032E-2</v>
      </c>
      <c r="AA643" s="102">
        <v>1.3013858329982142E-2</v>
      </c>
    </row>
    <row r="644" spans="19:27" x14ac:dyDescent="0.2">
      <c r="S644" s="61"/>
      <c r="T644" s="82"/>
      <c r="W644" s="103" t="str">
        <f t="shared" si="18"/>
        <v>1w</v>
      </c>
      <c r="X644" s="101">
        <f>_xll.qlCalendarAdvance(Calendar,X643,W644,"f",FALSE)</f>
        <v>43787</v>
      </c>
      <c r="Y644" s="104">
        <f>_xll.qlCalendarAdvance(Calendar,X644,NDays&amp;"D")</f>
        <v>43789</v>
      </c>
      <c r="Z644" s="105">
        <v>1.3803504162039711E-2</v>
      </c>
      <c r="AA644" s="102">
        <v>1.3126037585147188E-2</v>
      </c>
    </row>
    <row r="645" spans="19:27" x14ac:dyDescent="0.2">
      <c r="S645" s="61"/>
      <c r="T645" s="82"/>
      <c r="W645" s="103" t="str">
        <f t="shared" si="18"/>
        <v>1w</v>
      </c>
      <c r="X645" s="101">
        <f>_xll.qlCalendarAdvance(Calendar,X644,W645,"f",FALSE)</f>
        <v>43794</v>
      </c>
      <c r="Y645" s="104">
        <f>_xll.qlCalendarAdvance(Calendar,X645,NDays&amp;"D")</f>
        <v>43796</v>
      </c>
      <c r="Z645" s="105">
        <v>1.3909352659598787E-2</v>
      </c>
      <c r="AA645" s="102">
        <v>1.323727049211243E-2</v>
      </c>
    </row>
    <row r="646" spans="19:27" x14ac:dyDescent="0.2">
      <c r="S646" s="61"/>
      <c r="T646" s="82"/>
      <c r="W646" s="103" t="str">
        <f t="shared" si="18"/>
        <v>1w</v>
      </c>
      <c r="X646" s="101">
        <f>_xll.qlCalendarAdvance(Calendar,X645,W646,"f",FALSE)</f>
        <v>43801</v>
      </c>
      <c r="Y646" s="104">
        <f>_xll.qlCalendarAdvance(Calendar,X646,NDays&amp;"D")</f>
        <v>43803</v>
      </c>
      <c r="Z646" s="105">
        <v>1.4006668329804305E-2</v>
      </c>
      <c r="AA646" s="102">
        <v>1.3347557048239977E-2</v>
      </c>
    </row>
    <row r="647" spans="19:27" x14ac:dyDescent="0.2">
      <c r="S647" s="61"/>
      <c r="T647" s="82"/>
      <c r="W647" s="103" t="str">
        <f t="shared" si="18"/>
        <v>1w</v>
      </c>
      <c r="X647" s="101">
        <f>_xll.qlCalendarAdvance(Calendar,X646,W647,"f",FALSE)</f>
        <v>43808</v>
      </c>
      <c r="Y647" s="104">
        <f>_xll.qlCalendarAdvance(Calendar,X647,NDays&amp;"D")</f>
        <v>43810</v>
      </c>
      <c r="Z647" s="105">
        <v>1.4110686573042448E-2</v>
      </c>
      <c r="AA647" s="102">
        <v>1.3456897250918587E-2</v>
      </c>
    </row>
    <row r="648" spans="19:27" x14ac:dyDescent="0.2">
      <c r="S648" s="61"/>
      <c r="T648" s="82"/>
      <c r="W648" s="103" t="str">
        <f t="shared" si="18"/>
        <v>1w</v>
      </c>
      <c r="X648" s="101">
        <f>_xll.qlCalendarAdvance(Calendar,X647,W648,"f",FALSE)</f>
        <v>43815</v>
      </c>
      <c r="Y648" s="104">
        <f>_xll.qlCalendarAdvance(Calendar,X648,NDays&amp;"D")</f>
        <v>43817</v>
      </c>
      <c r="Z648" s="105">
        <v>1.4213757792702791E-2</v>
      </c>
      <c r="AA648" s="102">
        <v>1.3565291097563659E-2</v>
      </c>
    </row>
    <row r="649" spans="19:27" x14ac:dyDescent="0.2">
      <c r="S649" s="61"/>
      <c r="T649" s="82"/>
      <c r="W649" s="103" t="str">
        <f t="shared" si="18"/>
        <v>1w</v>
      </c>
      <c r="X649" s="101">
        <f>_xll.qlCalendarAdvance(Calendar,X648,W649,"f",FALSE)</f>
        <v>43822</v>
      </c>
      <c r="Y649" s="104">
        <f>_xll.qlCalendarAdvance(Calendar,X649,NDays&amp;"D")</f>
        <v>43829</v>
      </c>
      <c r="Z649" s="105">
        <v>1.4395597499492003E-2</v>
      </c>
      <c r="AA649" s="102">
        <v>1.3787069077058067E-2</v>
      </c>
    </row>
    <row r="650" spans="19:27" x14ac:dyDescent="0.2">
      <c r="S650" s="61"/>
      <c r="T650" s="82"/>
      <c r="W650" s="103" t="str">
        <f t="shared" si="18"/>
        <v>1w</v>
      </c>
      <c r="X650" s="101">
        <f>_xll.qlCalendarAdvance(Calendar,X649,W650,"f",FALSE)</f>
        <v>43829</v>
      </c>
      <c r="Y650" s="104">
        <f>_xll.qlCalendarAdvance(Calendar,X650,NDays&amp;"D")</f>
        <v>43833</v>
      </c>
      <c r="Z650" s="105">
        <v>1.4445792586496703E-2</v>
      </c>
      <c r="AA650" s="102">
        <v>1.3839147027709942E-2</v>
      </c>
    </row>
    <row r="651" spans="19:27" x14ac:dyDescent="0.2">
      <c r="S651" s="61"/>
      <c r="T651" s="82"/>
      <c r="W651" s="103" t="str">
        <f t="shared" si="18"/>
        <v>1w</v>
      </c>
      <c r="X651" s="101">
        <f>_xll.qlCalendarAdvance(Calendar,X650,W651,"f",FALSE)</f>
        <v>43837</v>
      </c>
      <c r="Y651" s="104">
        <f>_xll.qlCalendarAdvance(Calendar,X651,NDays&amp;"D")</f>
        <v>43839</v>
      </c>
      <c r="Z651" s="105">
        <v>1.453152977418198E-2</v>
      </c>
      <c r="AA651" s="102">
        <v>1.3914247793715973E-2</v>
      </c>
    </row>
    <row r="652" spans="19:27" x14ac:dyDescent="0.2">
      <c r="S652" s="61"/>
      <c r="T652" s="82"/>
      <c r="W652" s="103" t="str">
        <f t="shared" si="18"/>
        <v>1w</v>
      </c>
      <c r="X652" s="101">
        <f>_xll.qlCalendarAdvance(Calendar,X651,W652,"f",FALSE)</f>
        <v>43844</v>
      </c>
      <c r="Y652" s="104">
        <f>_xll.qlCalendarAdvance(Calendar,X652,NDays&amp;"D")</f>
        <v>43846</v>
      </c>
      <c r="Z652" s="105">
        <v>1.4630676830758175E-2</v>
      </c>
      <c r="AA652" s="102">
        <v>1.4018577704746349E-2</v>
      </c>
    </row>
    <row r="653" spans="19:27" x14ac:dyDescent="0.2">
      <c r="S653" s="61"/>
      <c r="T653" s="82"/>
      <c r="W653" s="103" t="str">
        <f t="shared" si="18"/>
        <v>1w</v>
      </c>
      <c r="X653" s="101">
        <f>_xll.qlCalendarAdvance(Calendar,X652,W653,"f",FALSE)</f>
        <v>43851</v>
      </c>
      <c r="Y653" s="104">
        <f>_xll.qlCalendarAdvance(Calendar,X653,NDays&amp;"D")</f>
        <v>43853</v>
      </c>
      <c r="Z653" s="105">
        <v>1.4728876490923375E-2</v>
      </c>
      <c r="AA653" s="102">
        <v>1.4121961260382676E-2</v>
      </c>
    </row>
    <row r="654" spans="19:27" x14ac:dyDescent="0.2">
      <c r="S654" s="61"/>
      <c r="T654" s="82"/>
      <c r="W654" s="103" t="str">
        <f t="shared" si="18"/>
        <v>1w</v>
      </c>
      <c r="X654" s="101">
        <f>_xll.qlCalendarAdvance(Calendar,X653,W654,"f",FALSE)</f>
        <v>43858</v>
      </c>
      <c r="Y654" s="104">
        <f>_xll.qlCalendarAdvance(Calendar,X654,NDays&amp;"D")</f>
        <v>43860</v>
      </c>
      <c r="Z654" s="105">
        <v>1.4826128684266216E-2</v>
      </c>
      <c r="AA654" s="102">
        <v>1.4224398459505849E-2</v>
      </c>
    </row>
    <row r="655" spans="19:27" x14ac:dyDescent="0.2">
      <c r="S655" s="61"/>
      <c r="T655" s="82"/>
      <c r="W655" s="103" t="str">
        <f t="shared" si="18"/>
        <v>1w</v>
      </c>
      <c r="X655" s="101">
        <f>_xll.qlCalendarAdvance(Calendar,X654,W655,"f",FALSE)</f>
        <v>43865</v>
      </c>
      <c r="Y655" s="104">
        <f>_xll.qlCalendarAdvance(Calendar,X655,NDays&amp;"D")</f>
        <v>43867</v>
      </c>
      <c r="Z655" s="105">
        <v>1.4915423458219834E-2</v>
      </c>
      <c r="AA655" s="102">
        <v>1.4325889301556316E-2</v>
      </c>
    </row>
    <row r="656" spans="19:27" x14ac:dyDescent="0.2">
      <c r="S656" s="61"/>
      <c r="T656" s="82"/>
      <c r="W656" s="103" t="str">
        <f t="shared" si="18"/>
        <v>1w</v>
      </c>
      <c r="X656" s="101">
        <f>_xll.qlCalendarAdvance(Calendar,X655,W656,"f",FALSE)</f>
        <v>43872</v>
      </c>
      <c r="Y656" s="104">
        <f>_xll.qlCalendarAdvance(Calendar,X656,NDays&amp;"D")</f>
        <v>43874</v>
      </c>
      <c r="Z656" s="105">
        <v>1.501084424251875E-2</v>
      </c>
      <c r="AA656" s="102">
        <v>1.4426433785574844E-2</v>
      </c>
    </row>
    <row r="657" spans="19:27" x14ac:dyDescent="0.2">
      <c r="S657" s="61"/>
      <c r="T657" s="82"/>
      <c r="W657" s="103" t="str">
        <f t="shared" si="18"/>
        <v>1w</v>
      </c>
      <c r="X657" s="101">
        <f>_xll.qlCalendarAdvance(Calendar,X656,W657,"f",FALSE)</f>
        <v>43879</v>
      </c>
      <c r="Y657" s="104">
        <f>_xll.qlCalendarAdvance(Calendar,X657,NDays&amp;"D")</f>
        <v>43881</v>
      </c>
      <c r="Z657" s="105">
        <v>1.5105317372144711E-2</v>
      </c>
      <c r="AA657" s="102">
        <v>1.4526031910842008E-2</v>
      </c>
    </row>
    <row r="658" spans="19:27" x14ac:dyDescent="0.2">
      <c r="S658" s="61"/>
      <c r="T658" s="82"/>
      <c r="W658" s="103" t="str">
        <f t="shared" si="18"/>
        <v>1w</v>
      </c>
      <c r="X658" s="101">
        <f>_xll.qlCalendarAdvance(Calendar,X657,W658,"f",FALSE)</f>
        <v>43886</v>
      </c>
      <c r="Y658" s="104">
        <f>_xll.qlCalendarAdvance(Calendar,X658,NDays&amp;"D")</f>
        <v>43888</v>
      </c>
      <c r="Z658" s="105">
        <v>1.51988427800962E-2</v>
      </c>
      <c r="AA658" s="102">
        <v>1.4624683676558448E-2</v>
      </c>
    </row>
    <row r="659" spans="19:27" x14ac:dyDescent="0.2">
      <c r="S659" s="61"/>
      <c r="T659" s="82"/>
      <c r="W659" s="103" t="str">
        <f t="shared" si="18"/>
        <v>1w</v>
      </c>
      <c r="X659" s="101">
        <f>_xll.qlCalendarAdvance(Calendar,X658,W659,"f",FALSE)</f>
        <v>43893</v>
      </c>
      <c r="Y659" s="104">
        <f>_xll.qlCalendarAdvance(Calendar,X659,NDays&amp;"D")</f>
        <v>43895</v>
      </c>
      <c r="Z659" s="105">
        <v>1.5304924165438325E-2</v>
      </c>
      <c r="AA659" s="102">
        <v>1.4722389081924803E-2</v>
      </c>
    </row>
    <row r="660" spans="19:27" x14ac:dyDescent="0.2">
      <c r="S660" s="61"/>
      <c r="T660" s="82"/>
      <c r="W660" s="103" t="str">
        <f t="shared" si="18"/>
        <v>1w</v>
      </c>
      <c r="X660" s="101">
        <f>_xll.qlCalendarAdvance(Calendar,X659,W660,"f",FALSE)</f>
        <v>43900</v>
      </c>
      <c r="Y660" s="104">
        <f>_xll.qlCalendarAdvance(Calendar,X660,NDays&amp;"D")</f>
        <v>43902</v>
      </c>
      <c r="Z660" s="105">
        <v>1.5396426299879055E-2</v>
      </c>
      <c r="AA660" s="102">
        <v>1.4819148126221648E-2</v>
      </c>
    </row>
    <row r="661" spans="19:27" x14ac:dyDescent="0.2">
      <c r="S661" s="61"/>
      <c r="T661" s="82"/>
      <c r="W661" s="103" t="str">
        <f t="shared" ref="W661:W724" si="19">W660</f>
        <v>1w</v>
      </c>
      <c r="X661" s="101">
        <f>_xll.qlCalendarAdvance(Calendar,X660,W661,"f",FALSE)</f>
        <v>43907</v>
      </c>
      <c r="Y661" s="104">
        <f>_xll.qlCalendarAdvance(Calendar,X661,NDays&amp;"D")</f>
        <v>43909</v>
      </c>
      <c r="Z661" s="105">
        <v>1.5506808877143939E-2</v>
      </c>
      <c r="AA661" s="102">
        <v>1.4914960808569688E-2</v>
      </c>
    </row>
    <row r="662" spans="19:27" x14ac:dyDescent="0.2">
      <c r="S662" s="61"/>
      <c r="T662" s="82"/>
      <c r="W662" s="103" t="str">
        <f t="shared" si="19"/>
        <v>1w</v>
      </c>
      <c r="X662" s="101">
        <f>_xll.qlCalendarAdvance(Calendar,X661,W662,"f",FALSE)</f>
        <v>43914</v>
      </c>
      <c r="Y662" s="104">
        <f>_xll.qlCalendarAdvance(Calendar,X662,NDays&amp;"D")</f>
        <v>43916</v>
      </c>
      <c r="Z662" s="105">
        <v>1.5576586614465841E-2</v>
      </c>
      <c r="AA662" s="102">
        <v>1.500982712840937E-2</v>
      </c>
    </row>
    <row r="663" spans="19:27" x14ac:dyDescent="0.2">
      <c r="S663" s="61"/>
      <c r="T663" s="82"/>
      <c r="W663" s="103" t="str">
        <f t="shared" si="19"/>
        <v>1w</v>
      </c>
      <c r="X663" s="101">
        <f>_xll.qlCalendarAdvance(Calendar,X662,W663,"f",FALSE)</f>
        <v>43921</v>
      </c>
      <c r="Y663" s="104">
        <f>_xll.qlCalendarAdvance(Calendar,X663,NDays&amp;"D")</f>
        <v>43923</v>
      </c>
      <c r="Z663" s="105">
        <v>1.5658751135004312E-2</v>
      </c>
      <c r="AA663" s="102">
        <v>1.5103747084861396E-2</v>
      </c>
    </row>
    <row r="664" spans="19:27" x14ac:dyDescent="0.2">
      <c r="S664" s="61"/>
      <c r="T664" s="82"/>
      <c r="W664" s="103" t="str">
        <f t="shared" si="19"/>
        <v>1w</v>
      </c>
      <c r="X664" s="101">
        <f>_xll.qlCalendarAdvance(Calendar,X663,W664,"f",FALSE)</f>
        <v>43928</v>
      </c>
      <c r="Y664" s="104">
        <f>_xll.qlCalendarAdvance(Calendar,X664,NDays&amp;"D")</f>
        <v>43930</v>
      </c>
      <c r="Z664" s="105">
        <v>1.574652493666771E-2</v>
      </c>
      <c r="AA664" s="102">
        <v>1.5223110738542545E-2</v>
      </c>
    </row>
    <row r="665" spans="19:27" x14ac:dyDescent="0.2">
      <c r="S665" s="61"/>
      <c r="T665" s="82"/>
      <c r="W665" s="103" t="str">
        <f t="shared" si="19"/>
        <v>1w</v>
      </c>
      <c r="X665" s="101">
        <f>_xll.qlCalendarAdvance(Calendar,X664,W665,"f",FALSE)</f>
        <v>43935</v>
      </c>
      <c r="Y665" s="104">
        <f>_xll.qlCalendarAdvance(Calendar,X665,NDays&amp;"D")</f>
        <v>43937</v>
      </c>
      <c r="Z665" s="105">
        <v>1.5833350541749638E-2</v>
      </c>
      <c r="AA665" s="102">
        <v>1.528874790464485E-2</v>
      </c>
    </row>
    <row r="666" spans="19:27" x14ac:dyDescent="0.2">
      <c r="S666" s="61"/>
      <c r="T666" s="82"/>
      <c r="W666" s="103" t="str">
        <f t="shared" si="19"/>
        <v>1w</v>
      </c>
      <c r="X666" s="101">
        <f>_xll.qlCalendarAdvance(Calendar,X665,W666,"f",FALSE)</f>
        <v>43942</v>
      </c>
      <c r="Y666" s="104">
        <f>_xll.qlCalendarAdvance(Calendar,X666,NDays&amp;"D")</f>
        <v>43944</v>
      </c>
      <c r="Z666" s="105">
        <v>1.5919227887979906E-2</v>
      </c>
      <c r="AA666" s="102">
        <v>1.5379828766537429E-2</v>
      </c>
    </row>
    <row r="667" spans="19:27" x14ac:dyDescent="0.2">
      <c r="S667" s="61"/>
      <c r="T667" s="82"/>
      <c r="W667" s="103" t="str">
        <f t="shared" si="19"/>
        <v>1w</v>
      </c>
      <c r="X667" s="101">
        <f>_xll.qlCalendarAdvance(Calendar,X666,W667,"f",FALSE)</f>
        <v>43949</v>
      </c>
      <c r="Y667" s="104">
        <f>_xll.qlCalendarAdvance(Calendar,X667,NDays&amp;"D")</f>
        <v>43951</v>
      </c>
      <c r="Z667" s="105">
        <v>1.6010394651820716E-2</v>
      </c>
      <c r="AA667" s="102">
        <v>1.5482762364182889E-2</v>
      </c>
    </row>
    <row r="668" spans="19:27" x14ac:dyDescent="0.2">
      <c r="S668" s="61"/>
      <c r="T668" s="82"/>
      <c r="W668" s="103" t="str">
        <f t="shared" si="19"/>
        <v>1w</v>
      </c>
      <c r="X668" s="101">
        <f>_xll.qlCalendarAdvance(Calendar,X667,W668,"f",FALSE)</f>
        <v>43956</v>
      </c>
      <c r="Y668" s="104">
        <f>_xll.qlCalendarAdvance(Calendar,X668,NDays&amp;"D")</f>
        <v>43958</v>
      </c>
      <c r="Z668" s="105">
        <v>1.6094311283393E-2</v>
      </c>
      <c r="AA668" s="102">
        <v>1.5559151390727166E-2</v>
      </c>
    </row>
    <row r="669" spans="19:27" x14ac:dyDescent="0.2">
      <c r="S669" s="61"/>
      <c r="T669" s="82"/>
      <c r="W669" s="103" t="str">
        <f t="shared" si="19"/>
        <v>1w</v>
      </c>
      <c r="X669" s="101">
        <f>_xll.qlCalendarAdvance(Calendar,X668,W669,"f",FALSE)</f>
        <v>43963</v>
      </c>
      <c r="Y669" s="104">
        <f>_xll.qlCalendarAdvance(Calendar,X669,NDays&amp;"D")</f>
        <v>43965</v>
      </c>
      <c r="Z669" s="105">
        <v>1.6177279446089671E-2</v>
      </c>
      <c r="AA669" s="102">
        <v>1.5647393151665412E-2</v>
      </c>
    </row>
    <row r="670" spans="19:27" x14ac:dyDescent="0.2">
      <c r="S670" s="61"/>
      <c r="T670" s="82"/>
      <c r="W670" s="103" t="str">
        <f t="shared" si="19"/>
        <v>1w</v>
      </c>
      <c r="X670" s="101">
        <f>_xll.qlCalendarAdvance(Calendar,X669,W670,"f",FALSE)</f>
        <v>43970</v>
      </c>
      <c r="Y670" s="104">
        <f>_xll.qlCalendarAdvance(Calendar,X670,NDays&amp;"D")</f>
        <v>43973</v>
      </c>
      <c r="Z670" s="105">
        <v>1.6282993856903339E-2</v>
      </c>
      <c r="AA670" s="102">
        <v>1.5747082059993645E-2</v>
      </c>
    </row>
    <row r="671" spans="19:27" x14ac:dyDescent="0.2">
      <c r="S671" s="61"/>
      <c r="T671" s="82"/>
      <c r="W671" s="103" t="str">
        <f t="shared" si="19"/>
        <v>1w</v>
      </c>
      <c r="X671" s="101">
        <f>_xll.qlCalendarAdvance(Calendar,X670,W671,"f",FALSE)</f>
        <v>43977</v>
      </c>
      <c r="Y671" s="104">
        <f>_xll.qlCalendarAdvance(Calendar,X671,NDays&amp;"D")</f>
        <v>43979</v>
      </c>
      <c r="Z671" s="105">
        <v>1.6340370124905509E-2</v>
      </c>
      <c r="AA671" s="102">
        <v>1.5833295887750509E-2</v>
      </c>
    </row>
    <row r="672" spans="19:27" x14ac:dyDescent="0.2">
      <c r="S672" s="61"/>
      <c r="T672" s="82"/>
      <c r="W672" s="103" t="str">
        <f t="shared" si="19"/>
        <v>1w</v>
      </c>
      <c r="X672" s="101">
        <f>_xll.qlCalendarAdvance(Calendar,X671,W672,"f",FALSE)</f>
        <v>43984</v>
      </c>
      <c r="Y672" s="104">
        <f>_xll.qlCalendarAdvance(Calendar,X672,NDays&amp;"D")</f>
        <v>43986</v>
      </c>
      <c r="Z672" s="105">
        <v>1.6420492522767099E-2</v>
      </c>
      <c r="AA672" s="102">
        <v>1.59064402213005E-2</v>
      </c>
    </row>
    <row r="673" spans="19:27" x14ac:dyDescent="0.2">
      <c r="S673" s="61"/>
      <c r="T673" s="82"/>
      <c r="W673" s="103" t="str">
        <f t="shared" si="19"/>
        <v>1w</v>
      </c>
      <c r="X673" s="101">
        <f>_xll.qlCalendarAdvance(Calendar,X672,W673,"f",FALSE)</f>
        <v>43991</v>
      </c>
      <c r="Y673" s="104">
        <f>_xll.qlCalendarAdvance(Calendar,X673,NDays&amp;"D")</f>
        <v>43993</v>
      </c>
      <c r="Z673" s="105">
        <v>1.649966621523705E-2</v>
      </c>
      <c r="AA673" s="102">
        <v>1.5990896504547436E-2</v>
      </c>
    </row>
    <row r="674" spans="19:27" x14ac:dyDescent="0.2">
      <c r="S674" s="61"/>
      <c r="T674" s="82"/>
      <c r="W674" s="103" t="str">
        <f t="shared" si="19"/>
        <v>1w</v>
      </c>
      <c r="X674" s="101">
        <f>_xll.qlCalendarAdvance(Calendar,X673,W674,"f",FALSE)</f>
        <v>43998</v>
      </c>
      <c r="Y674" s="104">
        <f>_xll.qlCalendarAdvance(Calendar,X674,NDays&amp;"D")</f>
        <v>44000</v>
      </c>
      <c r="Z674" s="105">
        <v>1.6577891144904766E-2</v>
      </c>
      <c r="AA674" s="102">
        <v>1.6086259149288296E-2</v>
      </c>
    </row>
    <row r="675" spans="19:27" x14ac:dyDescent="0.2">
      <c r="S675" s="61"/>
      <c r="T675" s="82"/>
      <c r="W675" s="103" t="str">
        <f t="shared" si="19"/>
        <v>1w</v>
      </c>
      <c r="X675" s="101">
        <f>_xll.qlCalendarAdvance(Calendar,X674,W675,"f",FALSE)</f>
        <v>44005</v>
      </c>
      <c r="Y675" s="104">
        <f>_xll.qlCalendarAdvance(Calendar,X675,NDays&amp;"D")</f>
        <v>44007</v>
      </c>
      <c r="Z675" s="105">
        <v>1.6655167255046923E-2</v>
      </c>
      <c r="AA675" s="102">
        <v>1.6156969957057399E-2</v>
      </c>
    </row>
    <row r="676" spans="19:27" x14ac:dyDescent="0.2">
      <c r="S676" s="61"/>
      <c r="T676" s="82"/>
      <c r="W676" s="103" t="str">
        <f t="shared" si="19"/>
        <v>1w</v>
      </c>
      <c r="X676" s="101">
        <f>_xll.qlCalendarAdvance(Calendar,X675,W676,"f",FALSE)</f>
        <v>44012</v>
      </c>
      <c r="Y676" s="104">
        <f>_xll.qlCalendarAdvance(Calendar,X676,NDays&amp;"D")</f>
        <v>44014</v>
      </c>
      <c r="Z676" s="105">
        <v>1.6731495250752557E-2</v>
      </c>
      <c r="AA676" s="102">
        <v>1.6238587124961512E-2</v>
      </c>
    </row>
    <row r="677" spans="19:27" x14ac:dyDescent="0.2">
      <c r="S677" s="61"/>
      <c r="T677" s="82"/>
      <c r="W677" s="103" t="str">
        <f t="shared" si="19"/>
        <v>1w</v>
      </c>
      <c r="X677" s="101">
        <f>_xll.qlCalendarAdvance(Calendar,X676,W677,"f",FALSE)</f>
        <v>44019</v>
      </c>
      <c r="Y677" s="104">
        <f>_xll.qlCalendarAdvance(Calendar,X677,NDays&amp;"D")</f>
        <v>44021</v>
      </c>
      <c r="Z677" s="105">
        <v>1.680690098367205E-2</v>
      </c>
      <c r="AA677" s="102">
        <v>1.6319257919805708E-2</v>
      </c>
    </row>
    <row r="678" spans="19:27" x14ac:dyDescent="0.2">
      <c r="S678" s="61"/>
      <c r="T678" s="82"/>
      <c r="W678" s="103" t="str">
        <f t="shared" si="19"/>
        <v>1w</v>
      </c>
      <c r="X678" s="101">
        <f>_xll.qlCalendarAdvance(Calendar,X677,W678,"f",FALSE)</f>
        <v>44026</v>
      </c>
      <c r="Y678" s="104">
        <f>_xll.qlCalendarAdvance(Calendar,X678,NDays&amp;"D")</f>
        <v>44028</v>
      </c>
      <c r="Z678" s="105">
        <v>1.6881440613333736E-2</v>
      </c>
      <c r="AA678" s="102">
        <v>1.6398982341030433E-2</v>
      </c>
    </row>
    <row r="679" spans="19:27" x14ac:dyDescent="0.2">
      <c r="S679" s="61"/>
      <c r="T679" s="82"/>
      <c r="W679" s="103" t="str">
        <f t="shared" si="19"/>
        <v>1w</v>
      </c>
      <c r="X679" s="101">
        <f>_xll.qlCalendarAdvance(Calendar,X678,W679,"f",FALSE)</f>
        <v>44033</v>
      </c>
      <c r="Y679" s="104">
        <f>_xll.qlCalendarAdvance(Calendar,X679,NDays&amp;"D")</f>
        <v>44035</v>
      </c>
      <c r="Z679" s="105">
        <v>1.6955172108384015E-2</v>
      </c>
      <c r="AA679" s="102">
        <v>1.6477760387916263E-2</v>
      </c>
    </row>
    <row r="680" spans="19:27" x14ac:dyDescent="0.2">
      <c r="S680" s="61"/>
      <c r="T680" s="82"/>
      <c r="W680" s="103" t="str">
        <f t="shared" si="19"/>
        <v>1w</v>
      </c>
      <c r="X680" s="101">
        <f>_xll.qlCalendarAdvance(Calendar,X679,W680,"f",FALSE)</f>
        <v>44040</v>
      </c>
      <c r="Y680" s="104">
        <f>_xll.qlCalendarAdvance(Calendar,X680,NDays&amp;"D")</f>
        <v>44042</v>
      </c>
      <c r="Z680" s="105">
        <v>1.7028153442344526E-2</v>
      </c>
      <c r="AA680" s="102">
        <v>1.6555592059823709E-2</v>
      </c>
    </row>
    <row r="681" spans="19:27" x14ac:dyDescent="0.2">
      <c r="S681" s="61"/>
      <c r="T681" s="82"/>
      <c r="W681" s="103" t="str">
        <f t="shared" si="19"/>
        <v>1w</v>
      </c>
      <c r="X681" s="101">
        <f>_xll.qlCalendarAdvance(Calendar,X680,W681,"f",FALSE)</f>
        <v>44047</v>
      </c>
      <c r="Y681" s="104">
        <f>_xll.qlCalendarAdvance(Calendar,X681,NDays&amp;"D")</f>
        <v>44049</v>
      </c>
      <c r="Z681" s="105">
        <v>1.7100442593500052E-2</v>
      </c>
      <c r="AA681" s="102">
        <v>1.663247735619322E-2</v>
      </c>
    </row>
    <row r="682" spans="19:27" x14ac:dyDescent="0.2">
      <c r="S682" s="61"/>
      <c r="T682" s="82"/>
      <c r="W682" s="103" t="str">
        <f t="shared" si="19"/>
        <v>1w</v>
      </c>
      <c r="X682" s="101">
        <f>_xll.qlCalendarAdvance(Calendar,X681,W682,"f",FALSE)</f>
        <v>44054</v>
      </c>
      <c r="Y682" s="104">
        <f>_xll.qlCalendarAdvance(Calendar,X682,NDays&amp;"D")</f>
        <v>44056</v>
      </c>
      <c r="Z682" s="105">
        <v>1.7172097544790783E-2</v>
      </c>
      <c r="AA682" s="102">
        <v>1.6708416276305371E-2</v>
      </c>
    </row>
    <row r="683" spans="19:27" x14ac:dyDescent="0.2">
      <c r="S683" s="61"/>
      <c r="T683" s="82"/>
      <c r="W683" s="103" t="str">
        <f t="shared" si="19"/>
        <v>1w</v>
      </c>
      <c r="X683" s="101">
        <f>_xll.qlCalendarAdvance(Calendar,X682,W683,"f",FALSE)</f>
        <v>44061</v>
      </c>
      <c r="Y683" s="104">
        <f>_xll.qlCalendarAdvance(Calendar,X683,NDays&amp;"D")</f>
        <v>44063</v>
      </c>
      <c r="Z683" s="105">
        <v>1.7243176283713253E-2</v>
      </c>
      <c r="AA683" s="102">
        <v>1.6783408819760481E-2</v>
      </c>
    </row>
    <row r="684" spans="19:27" x14ac:dyDescent="0.2">
      <c r="S684" s="61"/>
      <c r="T684" s="82"/>
      <c r="W684" s="103" t="str">
        <f t="shared" si="19"/>
        <v>1w</v>
      </c>
      <c r="X684" s="101">
        <f>_xll.qlCalendarAdvance(Calendar,X683,W684,"f",FALSE)</f>
        <v>44068</v>
      </c>
      <c r="Y684" s="104">
        <f>_xll.qlCalendarAdvance(Calendar,X684,NDays&amp;"D")</f>
        <v>44070</v>
      </c>
      <c r="Z684" s="105">
        <v>1.7313736802236093E-2</v>
      </c>
      <c r="AA684" s="102">
        <v>1.6857454985839126E-2</v>
      </c>
    </row>
    <row r="685" spans="19:27" x14ac:dyDescent="0.2">
      <c r="S685" s="61"/>
      <c r="T685" s="82"/>
      <c r="W685" s="103" t="str">
        <f t="shared" si="19"/>
        <v>1w</v>
      </c>
      <c r="X685" s="101">
        <f>_xll.qlCalendarAdvance(Calendar,X684,W685,"f",FALSE)</f>
        <v>44075</v>
      </c>
      <c r="Y685" s="104">
        <f>_xll.qlCalendarAdvance(Calendar,X685,NDays&amp;"D")</f>
        <v>44077</v>
      </c>
      <c r="Z685" s="105">
        <v>1.7378478048442621E-2</v>
      </c>
      <c r="AA685" s="102">
        <v>1.6930554773981754E-2</v>
      </c>
    </row>
    <row r="686" spans="19:27" x14ac:dyDescent="0.2">
      <c r="S686" s="61"/>
      <c r="T686" s="82"/>
      <c r="W686" s="103" t="str">
        <f t="shared" si="19"/>
        <v>1w</v>
      </c>
      <c r="X686" s="101">
        <f>_xll.qlCalendarAdvance(Calendar,X685,W686,"f",FALSE)</f>
        <v>44082</v>
      </c>
      <c r="Y686" s="104">
        <f>_xll.qlCalendarAdvance(Calendar,X686,NDays&amp;"D")</f>
        <v>44084</v>
      </c>
      <c r="Z686" s="105">
        <v>1.7448189412844976E-2</v>
      </c>
      <c r="AA686" s="102">
        <v>1.7002708183628812E-2</v>
      </c>
    </row>
    <row r="687" spans="19:27" x14ac:dyDescent="0.2">
      <c r="S687" s="61"/>
      <c r="T687" s="82"/>
      <c r="W687" s="103" t="str">
        <f t="shared" si="19"/>
        <v>1w</v>
      </c>
      <c r="X687" s="101">
        <f>_xll.qlCalendarAdvance(Calendar,X686,W687,"f",FALSE)</f>
        <v>44089</v>
      </c>
      <c r="Y687" s="104">
        <f>_xll.qlCalendarAdvance(Calendar,X687,NDays&amp;"D")</f>
        <v>44091</v>
      </c>
      <c r="Z687" s="105">
        <v>1.7517554832404449E-2</v>
      </c>
      <c r="AA687" s="102">
        <v>1.7073915214140811E-2</v>
      </c>
    </row>
    <row r="688" spans="19:27" x14ac:dyDescent="0.2">
      <c r="S688" s="61"/>
      <c r="T688" s="82"/>
      <c r="W688" s="103" t="str">
        <f t="shared" si="19"/>
        <v>1w</v>
      </c>
      <c r="X688" s="101">
        <f>_xll.qlCalendarAdvance(Calendar,X687,W688,"f",FALSE)</f>
        <v>44096</v>
      </c>
      <c r="Y688" s="104">
        <f>_xll.qlCalendarAdvance(Calendar,X688,NDays&amp;"D")</f>
        <v>44098</v>
      </c>
      <c r="Z688" s="105">
        <v>1.76079231091835E-2</v>
      </c>
      <c r="AA688" s="102">
        <v>1.7144175865038136E-2</v>
      </c>
    </row>
    <row r="689" spans="19:27" x14ac:dyDescent="0.2">
      <c r="S689" s="61"/>
      <c r="T689" s="82"/>
      <c r="W689" s="103" t="str">
        <f t="shared" si="19"/>
        <v>1w</v>
      </c>
      <c r="X689" s="101">
        <f>_xll.qlCalendarAdvance(Calendar,X688,W689,"f",FALSE)</f>
        <v>44103</v>
      </c>
      <c r="Y689" s="104">
        <f>_xll.qlCalendarAdvance(Calendar,X689,NDays&amp;"D")</f>
        <v>44105</v>
      </c>
      <c r="Z689" s="105">
        <v>1.7676732291188799E-2</v>
      </c>
      <c r="AA689" s="102">
        <v>1.7213818119081736E-2</v>
      </c>
    </row>
    <row r="690" spans="19:27" x14ac:dyDescent="0.2">
      <c r="S690" s="61"/>
      <c r="T690" s="82"/>
      <c r="W690" s="103" t="str">
        <f t="shared" si="19"/>
        <v>1w</v>
      </c>
      <c r="X690" s="101">
        <f>_xll.qlCalendarAdvance(Calendar,X689,W690,"f",FALSE)</f>
        <v>44110</v>
      </c>
      <c r="Y690" s="104">
        <f>_xll.qlCalendarAdvance(Calendar,X690,NDays&amp;"D")</f>
        <v>44112</v>
      </c>
      <c r="Z690" s="105">
        <v>1.7729444823976832E-2</v>
      </c>
      <c r="AA690" s="102">
        <v>1.7283270678785101E-2</v>
      </c>
    </row>
    <row r="691" spans="19:27" x14ac:dyDescent="0.2">
      <c r="S691" s="61"/>
      <c r="T691" s="82"/>
      <c r="W691" s="103" t="str">
        <f t="shared" si="19"/>
        <v>1w</v>
      </c>
      <c r="X691" s="101">
        <f>_xll.qlCalendarAdvance(Calendar,X690,W691,"f",FALSE)</f>
        <v>44117</v>
      </c>
      <c r="Y691" s="104">
        <f>_xll.qlCalendarAdvance(Calendar,X691,NDays&amp;"D")</f>
        <v>44119</v>
      </c>
      <c r="Z691" s="105">
        <v>1.7797906994029038E-2</v>
      </c>
      <c r="AA691" s="102">
        <v>1.7352536126482576E-2</v>
      </c>
    </row>
    <row r="692" spans="19:27" x14ac:dyDescent="0.2">
      <c r="S692" s="61"/>
      <c r="T692" s="82"/>
      <c r="W692" s="103" t="str">
        <f t="shared" si="19"/>
        <v>1w</v>
      </c>
      <c r="X692" s="101">
        <f>_xll.qlCalendarAdvance(Calendar,X691,W692,"f",FALSE)</f>
        <v>44124</v>
      </c>
      <c r="Y692" s="104">
        <f>_xll.qlCalendarAdvance(Calendar,X692,NDays&amp;"D")</f>
        <v>44126</v>
      </c>
      <c r="Z692" s="105">
        <v>1.7866182385808393E-2</v>
      </c>
      <c r="AA692" s="102">
        <v>1.7421614462174162E-2</v>
      </c>
    </row>
    <row r="693" spans="19:27" x14ac:dyDescent="0.2">
      <c r="S693" s="61"/>
      <c r="T693" s="82"/>
      <c r="W693" s="103" t="str">
        <f t="shared" si="19"/>
        <v>1w</v>
      </c>
      <c r="X693" s="101">
        <f>_xll.qlCalendarAdvance(Calendar,X692,W693,"f",FALSE)</f>
        <v>44131</v>
      </c>
      <c r="Y693" s="104">
        <f>_xll.qlCalendarAdvance(Calendar,X693,NDays&amp;"D")</f>
        <v>44133</v>
      </c>
      <c r="Z693" s="105">
        <v>1.7934270989537506E-2</v>
      </c>
      <c r="AA693" s="102">
        <v>1.749050568562005E-2</v>
      </c>
    </row>
    <row r="694" spans="19:27" x14ac:dyDescent="0.2">
      <c r="S694" s="61"/>
      <c r="T694" s="82"/>
      <c r="W694" s="103" t="str">
        <f t="shared" si="19"/>
        <v>1w</v>
      </c>
      <c r="X694" s="101">
        <f>_xll.qlCalendarAdvance(Calendar,X693,W694,"f",FALSE)</f>
        <v>44138</v>
      </c>
      <c r="Y694" s="104">
        <f>_xll.qlCalendarAdvance(Calendar,X694,NDays&amp;"D")</f>
        <v>44140</v>
      </c>
      <c r="Z694" s="105">
        <v>1.8002172795471998E-2</v>
      </c>
      <c r="AA694" s="102">
        <v>1.7559209796820241E-2</v>
      </c>
    </row>
    <row r="695" spans="19:27" x14ac:dyDescent="0.2">
      <c r="S695" s="61"/>
      <c r="T695" s="82"/>
      <c r="W695" s="103" t="str">
        <f t="shared" si="19"/>
        <v>1w</v>
      </c>
      <c r="X695" s="101">
        <f>_xll.qlCalendarAdvance(Calendar,X694,W695,"f",FALSE)</f>
        <v>44145</v>
      </c>
      <c r="Y695" s="104">
        <f>_xll.qlCalendarAdvance(Calendar,X695,NDays&amp;"D")</f>
        <v>44147</v>
      </c>
      <c r="Z695" s="105">
        <v>1.8069887793888337E-2</v>
      </c>
      <c r="AA695" s="102">
        <v>1.7627726795614862E-2</v>
      </c>
    </row>
    <row r="696" spans="19:27" x14ac:dyDescent="0.2">
      <c r="S696" s="61"/>
      <c r="T696" s="82"/>
      <c r="W696" s="103" t="str">
        <f t="shared" si="19"/>
        <v>1w</v>
      </c>
      <c r="X696" s="101">
        <f>_xll.qlCalendarAdvance(Calendar,X695,W696,"f",FALSE)</f>
        <v>44152</v>
      </c>
      <c r="Y696" s="104">
        <f>_xll.qlCalendarAdvance(Calendar,X696,NDays&amp;"D")</f>
        <v>44154</v>
      </c>
      <c r="Z696" s="105">
        <v>1.8137415975095147E-2</v>
      </c>
      <c r="AA696" s="102">
        <v>1.7696056681923977E-2</v>
      </c>
    </row>
    <row r="697" spans="19:27" x14ac:dyDescent="0.2">
      <c r="S697" s="61"/>
      <c r="T697" s="82"/>
      <c r="W697" s="103" t="str">
        <f t="shared" si="19"/>
        <v>1w</v>
      </c>
      <c r="X697" s="101">
        <f>_xll.qlCalendarAdvance(Calendar,X696,W697,"f",FALSE)</f>
        <v>44159</v>
      </c>
      <c r="Y697" s="104">
        <f>_xll.qlCalendarAdvance(Calendar,X697,NDays&amp;"D")</f>
        <v>44161</v>
      </c>
      <c r="Z697" s="105">
        <v>1.820475732942364E-2</v>
      </c>
      <c r="AA697" s="102">
        <v>1.7764199455587715E-2</v>
      </c>
    </row>
    <row r="698" spans="19:27" x14ac:dyDescent="0.2">
      <c r="S698" s="61"/>
      <c r="T698" s="82"/>
      <c r="W698" s="103" t="str">
        <f t="shared" si="19"/>
        <v>1w</v>
      </c>
      <c r="X698" s="101">
        <f>_xll.qlCalendarAdvance(Calendar,X697,W698,"f",FALSE)</f>
        <v>44166</v>
      </c>
      <c r="Y698" s="104">
        <f>_xll.qlCalendarAdvance(Calendar,X698,NDays&amp;"D")</f>
        <v>44168</v>
      </c>
      <c r="Z698" s="105">
        <v>1.8261463010348145E-2</v>
      </c>
      <c r="AA698" s="102">
        <v>1.783215511668601E-2</v>
      </c>
    </row>
    <row r="699" spans="19:27" x14ac:dyDescent="0.2">
      <c r="S699" s="61"/>
      <c r="T699" s="82"/>
      <c r="W699" s="103" t="str">
        <f t="shared" si="19"/>
        <v>1w</v>
      </c>
      <c r="X699" s="101">
        <f>_xll.qlCalendarAdvance(Calendar,X698,W699,"f",FALSE)</f>
        <v>44173</v>
      </c>
      <c r="Y699" s="104">
        <f>_xll.qlCalendarAdvance(Calendar,X699,NDays&amp;"D")</f>
        <v>44175</v>
      </c>
      <c r="Z699" s="105">
        <v>1.8328450582560052E-2</v>
      </c>
      <c r="AA699" s="102">
        <v>1.7899923664819184E-2</v>
      </c>
    </row>
    <row r="700" spans="19:27" x14ac:dyDescent="0.2">
      <c r="S700" s="61"/>
      <c r="T700" s="82"/>
      <c r="W700" s="103" t="str">
        <f t="shared" si="19"/>
        <v>1w</v>
      </c>
      <c r="X700" s="101">
        <f>_xll.qlCalendarAdvance(Calendar,X699,W700,"f",FALSE)</f>
        <v>44180</v>
      </c>
      <c r="Y700" s="104">
        <f>_xll.qlCalendarAdvance(Calendar,X700,NDays&amp;"D")</f>
        <v>44182</v>
      </c>
      <c r="Z700" s="105">
        <v>1.839525129465347E-2</v>
      </c>
      <c r="AA700" s="102">
        <v>1.7967505100067171E-2</v>
      </c>
    </row>
    <row r="701" spans="19:27" x14ac:dyDescent="0.2">
      <c r="S701" s="61"/>
      <c r="T701" s="82"/>
      <c r="W701" s="103" t="str">
        <f t="shared" si="19"/>
        <v>1w</v>
      </c>
      <c r="X701" s="101">
        <f>_xll.qlCalendarAdvance(Calendar,X700,W701,"f",FALSE)</f>
        <v>44187</v>
      </c>
      <c r="Y701" s="104">
        <f>_xll.qlCalendarAdvance(Calendar,X701,NDays&amp;"D")</f>
        <v>44193</v>
      </c>
      <c r="Z701" s="105">
        <v>1.8505035564408065E-2</v>
      </c>
      <c r="AA701" s="102">
        <v>1.8075137420211718E-2</v>
      </c>
    </row>
    <row r="702" spans="19:27" x14ac:dyDescent="0.2">
      <c r="S702" s="61"/>
      <c r="T702" s="82"/>
      <c r="W702" s="103" t="str">
        <f t="shared" si="19"/>
        <v>1w</v>
      </c>
      <c r="X702" s="101">
        <f>_xll.qlCalendarAdvance(Calendar,X701,W702,"f",FALSE)</f>
        <v>44194</v>
      </c>
      <c r="Y702" s="104">
        <f>_xll.qlCalendarAdvance(Calendar,X702,NDays&amp;"D")</f>
        <v>44200</v>
      </c>
      <c r="Z702" s="105">
        <v>1.857652435525381E-2</v>
      </c>
      <c r="AA702" s="102">
        <v>1.8130852441480272E-2</v>
      </c>
    </row>
    <row r="703" spans="19:27" x14ac:dyDescent="0.2">
      <c r="S703" s="61"/>
      <c r="T703" s="82"/>
      <c r="W703" s="103" t="str">
        <f t="shared" si="19"/>
        <v>1w</v>
      </c>
      <c r="X703" s="101">
        <f>_xll.qlCalendarAdvance(Calendar,X702,W703,"f",FALSE)</f>
        <v>44201</v>
      </c>
      <c r="Y703" s="104">
        <f>_xll.qlCalendarAdvance(Calendar,X703,NDays&amp;"D")</f>
        <v>44204</v>
      </c>
      <c r="Z703" s="105">
        <v>1.860397978802375E-2</v>
      </c>
      <c r="AA703" s="102">
        <v>1.817868575207271E-2</v>
      </c>
    </row>
    <row r="704" spans="19:27" x14ac:dyDescent="0.2">
      <c r="S704" s="61"/>
      <c r="T704" s="82"/>
      <c r="W704" s="103" t="str">
        <f t="shared" si="19"/>
        <v>1w</v>
      </c>
      <c r="X704" s="101">
        <f>_xll.qlCalendarAdvance(Calendar,X703,W704,"f",FALSE)</f>
        <v>44208</v>
      </c>
      <c r="Y704" s="104">
        <f>_xll.qlCalendarAdvance(Calendar,X704,NDays&amp;"D")</f>
        <v>44210</v>
      </c>
      <c r="Z704" s="105">
        <v>1.8660585355092074E-2</v>
      </c>
      <c r="AA704" s="102">
        <v>1.823595970980918E-2</v>
      </c>
    </row>
    <row r="705" spans="19:27" x14ac:dyDescent="0.2">
      <c r="S705" s="61"/>
      <c r="T705" s="82"/>
      <c r="W705" s="103" t="str">
        <f t="shared" si="19"/>
        <v>1w</v>
      </c>
      <c r="X705" s="101">
        <f>_xll.qlCalendarAdvance(Calendar,X704,W705,"f",FALSE)</f>
        <v>44215</v>
      </c>
      <c r="Y705" s="104">
        <f>_xll.qlCalendarAdvance(Calendar,X705,NDays&amp;"D")</f>
        <v>44217</v>
      </c>
      <c r="Z705" s="105">
        <v>1.8726451626763563E-2</v>
      </c>
      <c r="AA705" s="102">
        <v>1.8302605578872644E-2</v>
      </c>
    </row>
    <row r="706" spans="19:27" x14ac:dyDescent="0.2">
      <c r="S706" s="61"/>
      <c r="T706" s="82"/>
      <c r="W706" s="103" t="str">
        <f t="shared" si="19"/>
        <v>1w</v>
      </c>
      <c r="X706" s="101">
        <f>_xll.qlCalendarAdvance(Calendar,X705,W706,"f",FALSE)</f>
        <v>44222</v>
      </c>
      <c r="Y706" s="104">
        <f>_xll.qlCalendarAdvance(Calendar,X706,NDays&amp;"D")</f>
        <v>44224</v>
      </c>
      <c r="Z706" s="105">
        <v>1.8792130982569155E-2</v>
      </c>
      <c r="AA706" s="102">
        <v>1.8369064334411433E-2</v>
      </c>
    </row>
    <row r="707" spans="19:27" x14ac:dyDescent="0.2">
      <c r="S707" s="61"/>
      <c r="T707" s="82"/>
      <c r="W707" s="103" t="str">
        <f t="shared" si="19"/>
        <v>1w</v>
      </c>
      <c r="X707" s="101">
        <f>_xll.qlCalendarAdvance(Calendar,X706,W707,"f",FALSE)</f>
        <v>44229</v>
      </c>
      <c r="Y707" s="104">
        <f>_xll.qlCalendarAdvance(Calendar,X707,NDays&amp;"D")</f>
        <v>44231</v>
      </c>
      <c r="Z707" s="105">
        <v>1.8852487319978965E-2</v>
      </c>
      <c r="AA707" s="102">
        <v>1.8435335976345613E-2</v>
      </c>
    </row>
    <row r="708" spans="19:27" x14ac:dyDescent="0.2">
      <c r="S708" s="61"/>
      <c r="T708" s="82"/>
      <c r="W708" s="103" t="str">
        <f t="shared" si="19"/>
        <v>1w</v>
      </c>
      <c r="X708" s="101">
        <f>_xll.qlCalendarAdvance(Calendar,X707,W708,"f",FALSE)</f>
        <v>44236</v>
      </c>
      <c r="Y708" s="104">
        <f>_xll.qlCalendarAdvance(Calendar,X708,NDays&amp;"D")</f>
        <v>44238</v>
      </c>
      <c r="Z708" s="105">
        <v>1.8917802751213311E-2</v>
      </c>
      <c r="AA708" s="102">
        <v>1.8501420504435373E-2</v>
      </c>
    </row>
    <row r="709" spans="19:27" x14ac:dyDescent="0.2">
      <c r="S709" s="61"/>
      <c r="T709" s="82"/>
      <c r="W709" s="103" t="str">
        <f t="shared" si="19"/>
        <v>1w</v>
      </c>
      <c r="X709" s="101">
        <f>_xll.qlCalendarAdvance(Calendar,X708,W709,"f",FALSE)</f>
        <v>44243</v>
      </c>
      <c r="Y709" s="104">
        <f>_xll.qlCalendarAdvance(Calendar,X709,NDays&amp;"D")</f>
        <v>44245</v>
      </c>
      <c r="Z709" s="105">
        <v>1.8982931237751528E-2</v>
      </c>
      <c r="AA709" s="102">
        <v>1.8567317918680715E-2</v>
      </c>
    </row>
    <row r="710" spans="19:27" x14ac:dyDescent="0.2">
      <c r="S710" s="61"/>
      <c r="T710" s="82"/>
      <c r="W710" s="103" t="str">
        <f t="shared" si="19"/>
        <v>1w</v>
      </c>
      <c r="X710" s="101">
        <f>_xll.qlCalendarAdvance(Calendar,X709,W710,"f",FALSE)</f>
        <v>44250</v>
      </c>
      <c r="Y710" s="104">
        <f>_xll.qlCalendarAdvance(Calendar,X710,NDays&amp;"D")</f>
        <v>44252</v>
      </c>
      <c r="Z710" s="105">
        <v>1.9047872770572516E-2</v>
      </c>
      <c r="AA710" s="102">
        <v>1.8633028219001702E-2</v>
      </c>
    </row>
    <row r="711" spans="19:27" x14ac:dyDescent="0.2">
      <c r="S711" s="61"/>
      <c r="T711" s="82"/>
      <c r="W711" s="103" t="str">
        <f t="shared" si="19"/>
        <v>1w</v>
      </c>
      <c r="X711" s="101">
        <f>_xll.qlCalendarAdvance(Calendar,X710,W711,"f",FALSE)</f>
        <v>44257</v>
      </c>
      <c r="Y711" s="104">
        <f>_xll.qlCalendarAdvance(Calendar,X711,NDays&amp;"D")</f>
        <v>44259</v>
      </c>
      <c r="Z711" s="105">
        <v>1.9127914117496616E-2</v>
      </c>
      <c r="AA711" s="102">
        <v>1.8698551405238462E-2</v>
      </c>
    </row>
    <row r="712" spans="19:27" x14ac:dyDescent="0.2">
      <c r="S712" s="61"/>
      <c r="T712" s="82"/>
      <c r="W712" s="103" t="str">
        <f t="shared" si="19"/>
        <v>1w</v>
      </c>
      <c r="X712" s="101">
        <f>_xll.qlCalendarAdvance(Calendar,X711,W712,"f",FALSE)</f>
        <v>44264</v>
      </c>
      <c r="Y712" s="104">
        <f>_xll.qlCalendarAdvance(Calendar,X712,NDays&amp;"D")</f>
        <v>44266</v>
      </c>
      <c r="Z712" s="105">
        <v>1.9192451926685592E-2</v>
      </c>
      <c r="AA712" s="102">
        <v>1.8763887477390995E-2</v>
      </c>
    </row>
    <row r="713" spans="19:27" x14ac:dyDescent="0.2">
      <c r="S713" s="61"/>
      <c r="T713" s="82"/>
      <c r="W713" s="103" t="str">
        <f t="shared" si="19"/>
        <v>1w</v>
      </c>
      <c r="X713" s="101">
        <f>_xll.qlCalendarAdvance(Calendar,X712,W713,"f",FALSE)</f>
        <v>44271</v>
      </c>
      <c r="Y713" s="104">
        <f>_xll.qlCalendarAdvance(Calendar,X713,NDays&amp;"D")</f>
        <v>44273</v>
      </c>
      <c r="Z713" s="105">
        <v>1.9256802757942303E-2</v>
      </c>
      <c r="AA713" s="102">
        <v>1.8829036435139557E-2</v>
      </c>
    </row>
    <row r="714" spans="19:27" x14ac:dyDescent="0.2">
      <c r="S714" s="61"/>
      <c r="T714" s="82"/>
      <c r="W714" s="103" t="str">
        <f t="shared" si="19"/>
        <v>1w</v>
      </c>
      <c r="X714" s="101">
        <f>_xll.qlCalendarAdvance(Calendar,X713,W714,"f",FALSE)</f>
        <v>44278</v>
      </c>
      <c r="Y714" s="104">
        <f>_xll.qlCalendarAdvance(Calendar,X714,NDays&amp;"D")</f>
        <v>44280</v>
      </c>
      <c r="Z714" s="105">
        <v>1.9336157101798302E-2</v>
      </c>
      <c r="AA714" s="102">
        <v>1.8893998278564084E-2</v>
      </c>
    </row>
    <row r="715" spans="19:27" x14ac:dyDescent="0.2">
      <c r="S715" s="61"/>
      <c r="T715" s="82"/>
      <c r="W715" s="103" t="str">
        <f t="shared" si="19"/>
        <v>1w</v>
      </c>
      <c r="X715" s="101">
        <f>_xll.qlCalendarAdvance(Calendar,X714,W715,"f",FALSE)</f>
        <v>44285</v>
      </c>
      <c r="Y715" s="104">
        <f>_xll.qlCalendarAdvance(Calendar,X715,NDays&amp;"D")</f>
        <v>44287</v>
      </c>
      <c r="Z715" s="105">
        <v>1.9379888339804918E-2</v>
      </c>
      <c r="AA715" s="102">
        <v>1.8977245705036339E-2</v>
      </c>
    </row>
    <row r="716" spans="19:27" x14ac:dyDescent="0.2">
      <c r="S716" s="61"/>
      <c r="T716" s="82"/>
      <c r="W716" s="103" t="str">
        <f t="shared" si="19"/>
        <v>1w</v>
      </c>
      <c r="X716" s="101">
        <f>_xll.qlCalendarAdvance(Calendar,X715,W716,"f",FALSE)</f>
        <v>44292</v>
      </c>
      <c r="Y716" s="104">
        <f>_xll.qlCalendarAdvance(Calendar,X716,NDays&amp;"D")</f>
        <v>44294</v>
      </c>
      <c r="Z716" s="105">
        <v>1.9443688108531879E-2</v>
      </c>
      <c r="AA716" s="102">
        <v>1.9023360621961416E-2</v>
      </c>
    </row>
    <row r="717" spans="19:27" x14ac:dyDescent="0.2">
      <c r="S717" s="61"/>
      <c r="T717" s="82"/>
      <c r="W717" s="103" t="str">
        <f t="shared" si="19"/>
        <v>1w</v>
      </c>
      <c r="X717" s="101">
        <f>_xll.qlCalendarAdvance(Calendar,X716,W717,"f",FALSE)</f>
        <v>44299</v>
      </c>
      <c r="Y717" s="104">
        <f>_xll.qlCalendarAdvance(Calendar,X717,NDays&amp;"D")</f>
        <v>44301</v>
      </c>
      <c r="Z717" s="105">
        <v>1.9507300862137207E-2</v>
      </c>
      <c r="AA717" s="102">
        <v>1.9087761121694413E-2</v>
      </c>
    </row>
    <row r="718" spans="19:27" x14ac:dyDescent="0.2">
      <c r="S718" s="61"/>
      <c r="T718" s="82"/>
      <c r="W718" s="103" t="str">
        <f t="shared" si="19"/>
        <v>1w</v>
      </c>
      <c r="X718" s="101">
        <f>_xll.qlCalendarAdvance(Calendar,X717,W718,"f",FALSE)</f>
        <v>44306</v>
      </c>
      <c r="Y718" s="104">
        <f>_xll.qlCalendarAdvance(Calendar,X718,NDays&amp;"D")</f>
        <v>44308</v>
      </c>
      <c r="Z718" s="105">
        <v>1.9570726591610969E-2</v>
      </c>
      <c r="AA718" s="102">
        <v>1.9151974506623759E-2</v>
      </c>
    </row>
    <row r="719" spans="19:27" x14ac:dyDescent="0.2">
      <c r="S719" s="61"/>
      <c r="T719" s="82"/>
      <c r="W719" s="103" t="str">
        <f t="shared" si="19"/>
        <v>1w</v>
      </c>
      <c r="X719" s="101">
        <f>_xll.qlCalendarAdvance(Calendar,X718,W719,"f",FALSE)</f>
        <v>44313</v>
      </c>
      <c r="Y719" s="104">
        <f>_xll.qlCalendarAdvance(Calendar,X719,NDays&amp;"D")</f>
        <v>44315</v>
      </c>
      <c r="Z719" s="105">
        <v>1.9633965287967823E-2</v>
      </c>
      <c r="AA719" s="102">
        <v>1.9216000776749453E-2</v>
      </c>
    </row>
    <row r="720" spans="19:27" x14ac:dyDescent="0.2">
      <c r="S720" s="61"/>
      <c r="T720" s="82"/>
      <c r="W720" s="103" t="str">
        <f t="shared" si="19"/>
        <v>1w</v>
      </c>
      <c r="X720" s="101">
        <f>_xll.qlCalendarAdvance(Calendar,X719,W720,"f",FALSE)</f>
        <v>44320</v>
      </c>
      <c r="Y720" s="104">
        <f>_xll.qlCalendarAdvance(Calendar,X720,NDays&amp;"D")</f>
        <v>44322</v>
      </c>
      <c r="Z720" s="105">
        <v>1.9702022423999172E-2</v>
      </c>
      <c r="AA720" s="102">
        <v>1.9279839931831688E-2</v>
      </c>
    </row>
    <row r="721" spans="19:27" x14ac:dyDescent="0.2">
      <c r="S721" s="61"/>
      <c r="T721" s="82"/>
      <c r="W721" s="103" t="str">
        <f t="shared" si="19"/>
        <v>1w</v>
      </c>
      <c r="X721" s="101">
        <f>_xll.qlCalendarAdvance(Calendar,X720,W721,"f",FALSE)</f>
        <v>44327</v>
      </c>
      <c r="Y721" s="104">
        <f>_xll.qlCalendarAdvance(Calendar,X721,NDays&amp;"D")</f>
        <v>44330</v>
      </c>
      <c r="Z721" s="105">
        <v>1.978382704992767E-2</v>
      </c>
      <c r="AA721" s="102">
        <v>1.9352569845763057E-2</v>
      </c>
    </row>
    <row r="722" spans="19:27" x14ac:dyDescent="0.2">
      <c r="S722" s="61"/>
      <c r="T722" s="82"/>
      <c r="W722" s="103" t="str">
        <f t="shared" si="19"/>
        <v>1w</v>
      </c>
      <c r="X722" s="101">
        <f>_xll.qlCalendarAdvance(Calendar,X721,W722,"f",FALSE)</f>
        <v>44334</v>
      </c>
      <c r="Y722" s="104">
        <f>_xll.qlCalendarAdvance(Calendar,X722,NDays&amp;"D")</f>
        <v>44336</v>
      </c>
      <c r="Z722" s="105">
        <v>1.9827544720751492E-2</v>
      </c>
      <c r="AA722" s="102">
        <v>1.9416008039820909E-2</v>
      </c>
    </row>
    <row r="723" spans="19:27" x14ac:dyDescent="0.2">
      <c r="S723" s="61"/>
      <c r="T723" s="82"/>
      <c r="W723" s="103" t="str">
        <f t="shared" si="19"/>
        <v>1w</v>
      </c>
      <c r="X723" s="101">
        <f>_xll.qlCalendarAdvance(Calendar,X722,W723,"f",FALSE)</f>
        <v>44341</v>
      </c>
      <c r="Y723" s="104">
        <f>_xll.qlCalendarAdvance(Calendar,X723,NDays&amp;"D")</f>
        <v>44343</v>
      </c>
      <c r="Z723" s="105">
        <v>1.9890025270303043E-2</v>
      </c>
      <c r="AA723" s="102">
        <v>1.9470234706338019E-2</v>
      </c>
    </row>
    <row r="724" spans="19:27" x14ac:dyDescent="0.2">
      <c r="S724" s="61"/>
      <c r="T724" s="82"/>
      <c r="W724" s="103" t="str">
        <f t="shared" si="19"/>
        <v>1w</v>
      </c>
      <c r="X724" s="101">
        <f>_xll.qlCalendarAdvance(Calendar,X723,W724,"f",FALSE)</f>
        <v>44348</v>
      </c>
      <c r="Y724" s="104">
        <f>_xll.qlCalendarAdvance(Calendar,X724,NDays&amp;"D")</f>
        <v>44350</v>
      </c>
      <c r="Z724" s="105">
        <v>1.9952318742033532E-2</v>
      </c>
      <c r="AA724" s="102">
        <v>1.9533325400526991E-2</v>
      </c>
    </row>
    <row r="725" spans="19:27" x14ac:dyDescent="0.2">
      <c r="S725" s="61"/>
      <c r="T725" s="82"/>
      <c r="W725" s="103" t="str">
        <f t="shared" ref="W725:W788" si="20">W724</f>
        <v>1w</v>
      </c>
      <c r="X725" s="101">
        <f>_xll.qlCalendarAdvance(Calendar,X724,W725,"f",FALSE)</f>
        <v>44355</v>
      </c>
      <c r="Y725" s="104">
        <f>_xll.qlCalendarAdvance(Calendar,X725,NDays&amp;"D")</f>
        <v>44357</v>
      </c>
      <c r="Z725" s="105">
        <v>2.0014425127020532E-2</v>
      </c>
      <c r="AA725" s="102">
        <v>1.9596228979352759E-2</v>
      </c>
    </row>
    <row r="726" spans="19:27" x14ac:dyDescent="0.2">
      <c r="S726" s="61"/>
      <c r="T726" s="82"/>
      <c r="W726" s="103" t="str">
        <f t="shared" si="20"/>
        <v>1w</v>
      </c>
      <c r="X726" s="101">
        <f>_xll.qlCalendarAdvance(Calendar,X725,W726,"f",FALSE)</f>
        <v>44362</v>
      </c>
      <c r="Y726" s="104">
        <f>_xll.qlCalendarAdvance(Calendar,X726,NDays&amp;"D")</f>
        <v>44364</v>
      </c>
      <c r="Z726" s="105">
        <v>2.0076344416371156E-2</v>
      </c>
      <c r="AA726" s="102">
        <v>1.9658945442495579E-2</v>
      </c>
    </row>
    <row r="727" spans="19:27" x14ac:dyDescent="0.2">
      <c r="S727" s="61"/>
      <c r="T727" s="82"/>
      <c r="W727" s="103" t="str">
        <f t="shared" si="20"/>
        <v>1w</v>
      </c>
      <c r="X727" s="101">
        <f>_xll.qlCalendarAdvance(Calendar,X726,W727,"f",FALSE)</f>
        <v>44369</v>
      </c>
      <c r="Y727" s="104">
        <f>_xll.qlCalendarAdvance(Calendar,X727,NDays&amp;"D")</f>
        <v>44371</v>
      </c>
      <c r="Z727" s="105">
        <v>2.0138076601217716E-2</v>
      </c>
      <c r="AA727" s="102">
        <v>1.9730392279262432E-2</v>
      </c>
    </row>
    <row r="728" spans="19:27" x14ac:dyDescent="0.2">
      <c r="S728" s="61"/>
      <c r="T728" s="82"/>
      <c r="W728" s="103" t="str">
        <f t="shared" si="20"/>
        <v>1w</v>
      </c>
      <c r="X728" s="101">
        <f>_xll.qlCalendarAdvance(Calendar,X727,W728,"f",FALSE)</f>
        <v>44376</v>
      </c>
      <c r="Y728" s="104">
        <f>_xll.qlCalendarAdvance(Calendar,X728,NDays&amp;"D")</f>
        <v>44378</v>
      </c>
      <c r="Z728" s="105">
        <v>2.0199621570613311E-2</v>
      </c>
      <c r="AA728" s="102">
        <v>1.9783817021812311E-2</v>
      </c>
    </row>
    <row r="729" spans="19:27" x14ac:dyDescent="0.2">
      <c r="S729" s="61"/>
      <c r="T729" s="82"/>
      <c r="W729" s="103" t="str">
        <f t="shared" si="20"/>
        <v>1w</v>
      </c>
      <c r="X729" s="101">
        <f>_xll.qlCalendarAdvance(Calendar,X728,W729,"f",FALSE)</f>
        <v>44383</v>
      </c>
      <c r="Y729" s="104">
        <f>_xll.qlCalendarAdvance(Calendar,X729,NDays&amp;"D")</f>
        <v>44385</v>
      </c>
      <c r="Z729" s="105">
        <v>2.0260970317415077E-2</v>
      </c>
      <c r="AA729" s="102">
        <v>1.9845972137746415E-2</v>
      </c>
    </row>
    <row r="730" spans="19:27" x14ac:dyDescent="0.2">
      <c r="S730" s="61"/>
      <c r="T730" s="82"/>
      <c r="W730" s="103" t="str">
        <f t="shared" si="20"/>
        <v>1w</v>
      </c>
      <c r="X730" s="101">
        <f>_xll.qlCalendarAdvance(Calendar,X729,W730,"f",FALSE)</f>
        <v>44390</v>
      </c>
      <c r="Y730" s="104">
        <f>_xll.qlCalendarAdvance(Calendar,X730,NDays&amp;"D")</f>
        <v>44392</v>
      </c>
      <c r="Z730" s="105">
        <v>2.0322098160025386E-2</v>
      </c>
      <c r="AA730" s="102">
        <v>1.9907940137677826E-2</v>
      </c>
    </row>
    <row r="731" spans="19:27" x14ac:dyDescent="0.2">
      <c r="S731" s="61"/>
      <c r="T731" s="82"/>
      <c r="W731" s="103" t="str">
        <f t="shared" si="20"/>
        <v>1w</v>
      </c>
      <c r="X731" s="101">
        <f>_xll.qlCalendarAdvance(Calendar,X730,W731,"f",FALSE)</f>
        <v>44397</v>
      </c>
      <c r="Y731" s="104">
        <f>_xll.qlCalendarAdvance(Calendar,X731,NDays&amp;"D")</f>
        <v>44399</v>
      </c>
      <c r="Z731" s="105">
        <v>2.0382978819854489E-2</v>
      </c>
      <c r="AA731" s="102">
        <v>1.9969721021606546E-2</v>
      </c>
    </row>
    <row r="732" spans="19:27" x14ac:dyDescent="0.2">
      <c r="S732" s="61"/>
      <c r="T732" s="82"/>
      <c r="W732" s="103" t="str">
        <f t="shared" si="20"/>
        <v>1w</v>
      </c>
      <c r="X732" s="101">
        <f>_xll.qlCalendarAdvance(Calendar,X731,W732,"f",FALSE)</f>
        <v>44404</v>
      </c>
      <c r="Y732" s="104">
        <f>_xll.qlCalendarAdvance(Calendar,X732,NDays&amp;"D")</f>
        <v>44406</v>
      </c>
      <c r="Z732" s="105">
        <v>2.044358601672697E-2</v>
      </c>
      <c r="AA732" s="102">
        <v>2.0031314789372701E-2</v>
      </c>
    </row>
    <row r="733" spans="19:27" x14ac:dyDescent="0.2">
      <c r="S733" s="61"/>
      <c r="T733" s="82"/>
      <c r="W733" s="103" t="str">
        <f t="shared" si="20"/>
        <v>1w</v>
      </c>
      <c r="X733" s="101">
        <f>_xll.qlCalendarAdvance(Calendar,X732,W733,"f",FALSE)</f>
        <v>44411</v>
      </c>
      <c r="Y733" s="104">
        <f>_xll.qlCalendarAdvance(Calendar,X733,NDays&amp;"D")</f>
        <v>44413</v>
      </c>
      <c r="Z733" s="105">
        <v>2.0503893468902561E-2</v>
      </c>
      <c r="AA733" s="102">
        <v>2.0092721440816419E-2</v>
      </c>
    </row>
    <row r="734" spans="19:27" x14ac:dyDescent="0.2">
      <c r="S734" s="61"/>
      <c r="T734" s="82"/>
      <c r="W734" s="103" t="str">
        <f t="shared" si="20"/>
        <v>1w</v>
      </c>
      <c r="X734" s="101">
        <f>_xll.qlCalendarAdvance(Calendar,X733,W734,"f",FALSE)</f>
        <v>44418</v>
      </c>
      <c r="Y734" s="104">
        <f>_xll.qlCalendarAdvance(Calendar,X734,NDays&amp;"D")</f>
        <v>44420</v>
      </c>
      <c r="Z734" s="105">
        <v>2.0563874893095281E-2</v>
      </c>
      <c r="AA734" s="102">
        <v>2.0153940976097573E-2</v>
      </c>
    </row>
    <row r="735" spans="19:27" x14ac:dyDescent="0.2">
      <c r="S735" s="61"/>
      <c r="T735" s="82"/>
      <c r="W735" s="103" t="str">
        <f t="shared" si="20"/>
        <v>1w</v>
      </c>
      <c r="X735" s="101">
        <f>_xll.qlCalendarAdvance(Calendar,X734,W735,"f",FALSE)</f>
        <v>44425</v>
      </c>
      <c r="Y735" s="104">
        <f>_xll.qlCalendarAdvance(Calendar,X735,NDays&amp;"D")</f>
        <v>44427</v>
      </c>
      <c r="Z735" s="105">
        <v>2.0623504004492539E-2</v>
      </c>
      <c r="AA735" s="102">
        <v>2.0214973394816482E-2</v>
      </c>
    </row>
    <row r="736" spans="19:27" x14ac:dyDescent="0.2">
      <c r="S736" s="61"/>
      <c r="T736" s="82"/>
      <c r="W736" s="103" t="str">
        <f t="shared" si="20"/>
        <v>1w</v>
      </c>
      <c r="X736" s="101">
        <f>_xll.qlCalendarAdvance(Calendar,X735,W736,"f",FALSE)</f>
        <v>44432</v>
      </c>
      <c r="Y736" s="104">
        <f>_xll.qlCalendarAdvance(Calendar,X736,NDays&amp;"D")</f>
        <v>44434</v>
      </c>
      <c r="Z736" s="105">
        <v>2.0682754516781213E-2</v>
      </c>
      <c r="AA736" s="102">
        <v>2.0275818696973147E-2</v>
      </c>
    </row>
    <row r="737" spans="19:27" x14ac:dyDescent="0.2">
      <c r="S737" s="61"/>
      <c r="T737" s="82"/>
      <c r="W737" s="103" t="str">
        <f t="shared" si="20"/>
        <v>1w</v>
      </c>
      <c r="X737" s="101">
        <f>_xll.qlCalendarAdvance(Calendar,X736,W737,"f",FALSE)</f>
        <v>44439</v>
      </c>
      <c r="Y737" s="104">
        <f>_xll.qlCalendarAdvance(Calendar,X737,NDays&amp;"D")</f>
        <v>44441</v>
      </c>
      <c r="Z737" s="105">
        <v>2.0736886195221654E-2</v>
      </c>
      <c r="AA737" s="102">
        <v>2.0336476882567567E-2</v>
      </c>
    </row>
    <row r="738" spans="19:27" x14ac:dyDescent="0.2">
      <c r="S738" s="61"/>
      <c r="T738" s="82"/>
      <c r="W738" s="103" t="str">
        <f t="shared" si="20"/>
        <v>1w</v>
      </c>
      <c r="X738" s="101">
        <f>_xll.qlCalendarAdvance(Calendar,X737,W738,"f",FALSE)</f>
        <v>44446</v>
      </c>
      <c r="Y738" s="104">
        <f>_xll.qlCalendarAdvance(Calendar,X738,NDays&amp;"D")</f>
        <v>44448</v>
      </c>
      <c r="Z738" s="105">
        <v>2.0795333680776341E-2</v>
      </c>
      <c r="AA738" s="102">
        <v>2.039694795143987E-2</v>
      </c>
    </row>
    <row r="739" spans="19:27" x14ac:dyDescent="0.2">
      <c r="S739" s="61"/>
      <c r="T739" s="82"/>
      <c r="W739" s="103" t="str">
        <f t="shared" si="20"/>
        <v>1w</v>
      </c>
      <c r="X739" s="101">
        <f>_xll.qlCalendarAdvance(Calendar,X738,W739,"f",FALSE)</f>
        <v>44453</v>
      </c>
      <c r="Y739" s="104">
        <f>_xll.qlCalendarAdvance(Calendar,X739,NDays&amp;"D")</f>
        <v>44455</v>
      </c>
      <c r="Z739" s="105">
        <v>2.085332454285705E-2</v>
      </c>
      <c r="AA739" s="102">
        <v>2.045723190351012E-2</v>
      </c>
    </row>
    <row r="740" spans="19:27" x14ac:dyDescent="0.2">
      <c r="S740" s="61"/>
      <c r="T740" s="82"/>
      <c r="W740" s="103" t="str">
        <f t="shared" si="20"/>
        <v>1w</v>
      </c>
      <c r="X740" s="101">
        <f>_xll.qlCalendarAdvance(Calendar,X739,W740,"f",FALSE)</f>
        <v>44460</v>
      </c>
      <c r="Y740" s="104">
        <f>_xll.qlCalendarAdvance(Calendar,X740,NDays&amp;"D")</f>
        <v>44462</v>
      </c>
      <c r="Z740" s="105">
        <v>2.0910832202508483E-2</v>
      </c>
      <c r="AA740" s="102">
        <v>2.0517328738698382E-2</v>
      </c>
    </row>
    <row r="741" spans="19:27" x14ac:dyDescent="0.2">
      <c r="S741" s="61"/>
      <c r="T741" s="82"/>
      <c r="W741" s="103" t="str">
        <f t="shared" si="20"/>
        <v>1w</v>
      </c>
      <c r="X741" s="101">
        <f>_xll.qlCalendarAdvance(Calendar,X740,W741,"f",FALSE)</f>
        <v>44467</v>
      </c>
      <c r="Y741" s="104">
        <f>_xll.qlCalendarAdvance(Calendar,X741,NDays&amp;"D")</f>
        <v>44469</v>
      </c>
      <c r="Z741" s="105">
        <v>2.0967830092316876E-2</v>
      </c>
      <c r="AA741" s="102">
        <v>2.0577132144525834E-2</v>
      </c>
    </row>
    <row r="742" spans="19:27" x14ac:dyDescent="0.2">
      <c r="S742" s="61"/>
      <c r="T742" s="82"/>
      <c r="W742" s="103" t="str">
        <f t="shared" si="20"/>
        <v>1w</v>
      </c>
      <c r="X742" s="101">
        <f>_xll.qlCalendarAdvance(Calendar,X741,W742,"f",FALSE)</f>
        <v>44474</v>
      </c>
      <c r="Y742" s="104">
        <f>_xll.qlCalendarAdvance(Calendar,X742,NDays&amp;"D")</f>
        <v>44476</v>
      </c>
      <c r="Z742" s="105">
        <v>2.1028841329001867E-2</v>
      </c>
      <c r="AA742" s="102">
        <v>2.0636413140318055E-2</v>
      </c>
    </row>
    <row r="743" spans="19:27" x14ac:dyDescent="0.2">
      <c r="S743" s="61"/>
      <c r="T743" s="82"/>
      <c r="W743" s="103" t="str">
        <f t="shared" si="20"/>
        <v>1w</v>
      </c>
      <c r="X743" s="101">
        <f>_xll.qlCalendarAdvance(Calendar,X742,W743,"f",FALSE)</f>
        <v>44481</v>
      </c>
      <c r="Y743" s="104">
        <f>_xll.qlCalendarAdvance(Calendar,X743,NDays&amp;"D")</f>
        <v>44483</v>
      </c>
      <c r="Z743" s="105">
        <v>2.1084742059932157E-2</v>
      </c>
      <c r="AA743" s="102">
        <v>2.0695163548136719E-2</v>
      </c>
    </row>
    <row r="744" spans="19:27" x14ac:dyDescent="0.2">
      <c r="S744" s="61"/>
      <c r="T744" s="82"/>
      <c r="W744" s="103" t="str">
        <f t="shared" si="20"/>
        <v>1w</v>
      </c>
      <c r="X744" s="101">
        <f>_xll.qlCalendarAdvance(Calendar,X743,W744,"f",FALSE)</f>
        <v>44488</v>
      </c>
      <c r="Y744" s="104">
        <f>_xll.qlCalendarAdvance(Calendar,X744,NDays&amp;"D")</f>
        <v>44490</v>
      </c>
      <c r="Z744" s="105">
        <v>2.1140110151432492E-2</v>
      </c>
      <c r="AA744" s="102">
        <v>2.0753383367582146E-2</v>
      </c>
    </row>
    <row r="745" spans="19:27" x14ac:dyDescent="0.2">
      <c r="S745" s="61"/>
      <c r="T745" s="82"/>
      <c r="W745" s="103" t="str">
        <f t="shared" si="20"/>
        <v>1w</v>
      </c>
      <c r="X745" s="101">
        <f>_xll.qlCalendarAdvance(Calendar,X744,W745,"f",FALSE)</f>
        <v>44495</v>
      </c>
      <c r="Y745" s="104">
        <f>_xll.qlCalendarAdvance(Calendar,X745,NDays&amp;"D")</f>
        <v>44497</v>
      </c>
      <c r="Z745" s="105">
        <v>2.1194945580992188E-2</v>
      </c>
      <c r="AA745" s="102">
        <v>2.0811072598494462E-2</v>
      </c>
    </row>
    <row r="746" spans="19:27" x14ac:dyDescent="0.2">
      <c r="S746" s="61"/>
      <c r="T746" s="82"/>
      <c r="W746" s="103" t="str">
        <f t="shared" si="20"/>
        <v>1w</v>
      </c>
      <c r="X746" s="101">
        <f>_xll.qlCalendarAdvance(Calendar,X745,W746,"f",FALSE)</f>
        <v>44502</v>
      </c>
      <c r="Y746" s="104">
        <f>_xll.qlCalendarAdvance(Calendar,X746,NDays&amp;"D")</f>
        <v>44504</v>
      </c>
      <c r="Z746" s="105">
        <v>2.1249248326316899E-2</v>
      </c>
      <c r="AA746" s="102">
        <v>2.0868231240473989E-2</v>
      </c>
    </row>
    <row r="747" spans="19:27" x14ac:dyDescent="0.2">
      <c r="S747" s="61"/>
      <c r="T747" s="82"/>
      <c r="W747" s="103" t="str">
        <f t="shared" si="20"/>
        <v>1w</v>
      </c>
      <c r="X747" s="101">
        <f>_xll.qlCalendarAdvance(Calendar,X746,W747,"f",FALSE)</f>
        <v>44509</v>
      </c>
      <c r="Y747" s="104">
        <f>_xll.qlCalendarAdvance(Calendar,X747,NDays&amp;"D")</f>
        <v>44511</v>
      </c>
      <c r="Z747" s="105">
        <v>2.1303018365326897E-2</v>
      </c>
      <c r="AA747" s="102">
        <v>2.092485929344079E-2</v>
      </c>
    </row>
    <row r="748" spans="19:27" x14ac:dyDescent="0.2">
      <c r="S748" s="61"/>
      <c r="T748" s="82"/>
      <c r="W748" s="103" t="str">
        <f t="shared" si="20"/>
        <v>1w</v>
      </c>
      <c r="X748" s="101">
        <f>_xll.qlCalendarAdvance(Calendar,X747,W748,"f",FALSE)</f>
        <v>44516</v>
      </c>
      <c r="Y748" s="104">
        <f>_xll.qlCalendarAdvance(Calendar,X748,NDays&amp;"D")</f>
        <v>44518</v>
      </c>
      <c r="Z748" s="105">
        <v>2.1356255676161413E-2</v>
      </c>
      <c r="AA748" s="102">
        <v>2.0980956756995184E-2</v>
      </c>
    </row>
    <row r="749" spans="19:27" x14ac:dyDescent="0.2">
      <c r="S749" s="61"/>
      <c r="T749" s="82"/>
      <c r="W749" s="103" t="str">
        <f t="shared" si="20"/>
        <v>1w</v>
      </c>
      <c r="X749" s="101">
        <f>_xll.qlCalendarAdvance(Calendar,X748,W749,"f",FALSE)</f>
        <v>44523</v>
      </c>
      <c r="Y749" s="104">
        <f>_xll.qlCalendarAdvance(Calendar,X749,NDays&amp;"D")</f>
        <v>44525</v>
      </c>
      <c r="Z749" s="105">
        <v>2.1408960237174274E-2</v>
      </c>
      <c r="AA749" s="102">
        <v>2.10365236309773E-2</v>
      </c>
    </row>
    <row r="750" spans="19:27" x14ac:dyDescent="0.2">
      <c r="S750" s="61"/>
      <c r="T750" s="82"/>
      <c r="W750" s="103" t="str">
        <f t="shared" si="20"/>
        <v>1w</v>
      </c>
      <c r="X750" s="101">
        <f>_xll.qlCalendarAdvance(Calendar,X749,W750,"f",FALSE)</f>
        <v>44530</v>
      </c>
      <c r="Y750" s="104">
        <f>_xll.qlCalendarAdvance(Calendar,X750,NDays&amp;"D")</f>
        <v>44532</v>
      </c>
      <c r="Z750" s="105">
        <v>2.1452600513428344E-2</v>
      </c>
      <c r="AA750" s="102">
        <v>2.1091559915147329E-2</v>
      </c>
    </row>
    <row r="751" spans="19:27" x14ac:dyDescent="0.2">
      <c r="S751" s="61"/>
      <c r="T751" s="82"/>
      <c r="W751" s="103" t="str">
        <f t="shared" si="20"/>
        <v>1w</v>
      </c>
      <c r="X751" s="101">
        <f>_xll.qlCalendarAdvance(Calendar,X750,W751,"f",FALSE)</f>
        <v>44537</v>
      </c>
      <c r="Y751" s="104">
        <f>_xll.qlCalendarAdvance(Calendar,X751,NDays&amp;"D")</f>
        <v>44539</v>
      </c>
      <c r="Z751" s="105">
        <v>2.1504309473379557E-2</v>
      </c>
      <c r="AA751" s="102">
        <v>2.1146065609185527E-2</v>
      </c>
    </row>
    <row r="752" spans="19:27" x14ac:dyDescent="0.2">
      <c r="S752" s="61"/>
      <c r="T752" s="82"/>
      <c r="W752" s="103" t="str">
        <f t="shared" si="20"/>
        <v>1w</v>
      </c>
      <c r="X752" s="101">
        <f>_xll.qlCalendarAdvance(Calendar,X751,W752,"f",FALSE)</f>
        <v>44544</v>
      </c>
      <c r="Y752" s="104">
        <f>_xll.qlCalendarAdvance(Calendar,X752,NDays&amp;"D")</f>
        <v>44546</v>
      </c>
      <c r="Z752" s="105">
        <v>2.1555485671691521E-2</v>
      </c>
      <c r="AA752" s="102">
        <v>2.1200040712932022E-2</v>
      </c>
    </row>
    <row r="753" spans="19:27" x14ac:dyDescent="0.2">
      <c r="S753" s="61"/>
      <c r="T753" s="82"/>
      <c r="W753" s="103" t="str">
        <f t="shared" si="20"/>
        <v>1w</v>
      </c>
      <c r="X753" s="101">
        <f>_xll.qlCalendarAdvance(Calendar,X752,W753,"f",FALSE)</f>
        <v>44551</v>
      </c>
      <c r="Y753" s="104">
        <f>_xll.qlCalendarAdvance(Calendar,X753,NDays&amp;"D")</f>
        <v>44553</v>
      </c>
      <c r="Z753" s="105">
        <v>2.1606129088008075E-2</v>
      </c>
      <c r="AA753" s="102">
        <v>2.1261076843002158E-2</v>
      </c>
    </row>
    <row r="754" spans="19:27" x14ac:dyDescent="0.2">
      <c r="S754" s="61"/>
      <c r="T754" s="82"/>
      <c r="W754" s="103" t="str">
        <f t="shared" si="20"/>
        <v>1w</v>
      </c>
      <c r="X754" s="101">
        <f>_xll.qlCalendarAdvance(Calendar,X753,W754,"f",FALSE)</f>
        <v>44558</v>
      </c>
      <c r="Y754" s="104">
        <f>_xll.qlCalendarAdvance(Calendar,X754,NDays&amp;"D")</f>
        <v>44560</v>
      </c>
      <c r="Z754" s="105">
        <v>2.166036696880316E-2</v>
      </c>
      <c r="AA754" s="102">
        <v>2.1313914966638592E-2</v>
      </c>
    </row>
    <row r="755" spans="19:27" x14ac:dyDescent="0.2">
      <c r="S755" s="61"/>
      <c r="T755" s="82"/>
      <c r="W755" s="103" t="str">
        <f t="shared" si="20"/>
        <v>1w</v>
      </c>
      <c r="X755" s="101">
        <f>_xll.qlCalendarAdvance(Calendar,X754,W755,"f",FALSE)</f>
        <v>44565</v>
      </c>
      <c r="Y755" s="104">
        <f>_xll.qlCalendarAdvance(Calendar,X755,NDays&amp;"D")</f>
        <v>44568</v>
      </c>
      <c r="Z755" s="105">
        <v>2.1712856539187086E-2</v>
      </c>
      <c r="AA755" s="102">
        <v>2.1366222499263898E-2</v>
      </c>
    </row>
    <row r="756" spans="19:27" x14ac:dyDescent="0.2">
      <c r="S756" s="61"/>
      <c r="T756" s="82"/>
      <c r="W756" s="103" t="str">
        <f t="shared" si="20"/>
        <v>1w</v>
      </c>
      <c r="X756" s="101">
        <f>_xll.qlCalendarAdvance(Calendar,X755,W756,"f",FALSE)</f>
        <v>44572</v>
      </c>
      <c r="Y756" s="104">
        <f>_xll.qlCalendarAdvance(Calendar,X756,NDays&amp;"D")</f>
        <v>44574</v>
      </c>
      <c r="Z756" s="105">
        <v>2.1754862444602452E-2</v>
      </c>
      <c r="AA756" s="102">
        <v>2.1410635219885066E-2</v>
      </c>
    </row>
    <row r="757" spans="19:27" x14ac:dyDescent="0.2">
      <c r="S757" s="61"/>
      <c r="T757" s="82"/>
      <c r="W757" s="103" t="str">
        <f t="shared" si="20"/>
        <v>1w</v>
      </c>
      <c r="X757" s="101">
        <f>_xll.qlCalendarAdvance(Calendar,X756,W757,"f",FALSE)</f>
        <v>44579</v>
      </c>
      <c r="Y757" s="104">
        <f>_xll.qlCalendarAdvance(Calendar,X757,NDays&amp;"D")</f>
        <v>44581</v>
      </c>
      <c r="Z757" s="105">
        <v>2.1803374533612363E-2</v>
      </c>
      <c r="AA757" s="102">
        <v>2.1461957368416051E-2</v>
      </c>
    </row>
    <row r="758" spans="19:27" x14ac:dyDescent="0.2">
      <c r="S758" s="61"/>
      <c r="T758" s="82"/>
      <c r="W758" s="103" t="str">
        <f t="shared" si="20"/>
        <v>1w</v>
      </c>
      <c r="X758" s="101">
        <f>_xll.qlCalendarAdvance(Calendar,X757,W758,"f",FALSE)</f>
        <v>44586</v>
      </c>
      <c r="Y758" s="104">
        <f>_xll.qlCalendarAdvance(Calendar,X758,NDays&amp;"D")</f>
        <v>44588</v>
      </c>
      <c r="Z758" s="105">
        <v>2.185135374202396E-2</v>
      </c>
      <c r="AA758" s="102">
        <v>2.1512748925216485E-2</v>
      </c>
    </row>
    <row r="759" spans="19:27" x14ac:dyDescent="0.2">
      <c r="S759" s="61"/>
      <c r="T759" s="82"/>
      <c r="W759" s="103" t="str">
        <f t="shared" si="20"/>
        <v>1w</v>
      </c>
      <c r="X759" s="101">
        <f>_xll.qlCalendarAdvance(Calendar,X758,W759,"f",FALSE)</f>
        <v>44593</v>
      </c>
      <c r="Y759" s="104">
        <f>_xll.qlCalendarAdvance(Calendar,X759,NDays&amp;"D")</f>
        <v>44595</v>
      </c>
      <c r="Z759" s="105">
        <v>2.1894845275157289E-2</v>
      </c>
      <c r="AA759" s="102">
        <v>2.1563009890126494E-2</v>
      </c>
    </row>
    <row r="760" spans="19:27" x14ac:dyDescent="0.2">
      <c r="S760" s="61"/>
      <c r="T760" s="82"/>
      <c r="W760" s="103" t="str">
        <f t="shared" si="20"/>
        <v>1w</v>
      </c>
      <c r="X760" s="101">
        <f>_xll.qlCalendarAdvance(Calendar,X759,W760,"f",FALSE)</f>
        <v>44600</v>
      </c>
      <c r="Y760" s="104">
        <f>_xll.qlCalendarAdvance(Calendar,X760,NDays&amp;"D")</f>
        <v>44602</v>
      </c>
      <c r="Z760" s="105">
        <v>2.1941793881707566E-2</v>
      </c>
      <c r="AA760" s="102">
        <v>2.1612740262906271E-2</v>
      </c>
    </row>
    <row r="761" spans="19:27" x14ac:dyDescent="0.2">
      <c r="S761" s="61"/>
      <c r="T761" s="82"/>
      <c r="W761" s="103" t="str">
        <f t="shared" si="20"/>
        <v>1w</v>
      </c>
      <c r="X761" s="101">
        <f>_xll.qlCalendarAdvance(Calendar,X760,W761,"f",FALSE)</f>
        <v>44607</v>
      </c>
      <c r="Y761" s="104">
        <f>_xll.qlCalendarAdvance(Calendar,X761,NDays&amp;"D")</f>
        <v>44609</v>
      </c>
      <c r="Z761" s="105">
        <v>2.1988209578726509E-2</v>
      </c>
      <c r="AA761" s="102">
        <v>2.1661940043156136E-2</v>
      </c>
    </row>
    <row r="762" spans="19:27" x14ac:dyDescent="0.2">
      <c r="S762" s="61"/>
      <c r="T762" s="82"/>
      <c r="W762" s="103" t="str">
        <f t="shared" si="20"/>
        <v>1w</v>
      </c>
      <c r="X762" s="101">
        <f>_xll.qlCalendarAdvance(Calendar,X761,W762,"f",FALSE)</f>
        <v>44614</v>
      </c>
      <c r="Y762" s="104">
        <f>_xll.qlCalendarAdvance(Calendar,X762,NDays&amp;"D")</f>
        <v>44616</v>
      </c>
      <c r="Z762" s="105">
        <v>2.2034092347954566E-2</v>
      </c>
      <c r="AA762" s="102">
        <v>2.1710609230956024E-2</v>
      </c>
    </row>
    <row r="763" spans="19:27" x14ac:dyDescent="0.2">
      <c r="S763" s="61"/>
      <c r="T763" s="82"/>
      <c r="W763" s="103" t="str">
        <f t="shared" si="20"/>
        <v>1w</v>
      </c>
      <c r="X763" s="101">
        <f>_xll.qlCalendarAdvance(Calendar,X762,W763,"f",FALSE)</f>
        <v>44621</v>
      </c>
      <c r="Y763" s="104">
        <f>_xll.qlCalendarAdvance(Calendar,X763,NDays&amp;"D")</f>
        <v>44623</v>
      </c>
      <c r="Z763" s="105">
        <v>2.2090873753797452E-2</v>
      </c>
      <c r="AA763" s="102">
        <v>2.1758747825906255E-2</v>
      </c>
    </row>
    <row r="764" spans="19:27" x14ac:dyDescent="0.2">
      <c r="S764" s="61"/>
      <c r="T764" s="82"/>
      <c r="W764" s="103" t="str">
        <f t="shared" si="20"/>
        <v>1w</v>
      </c>
      <c r="X764" s="101">
        <f>_xll.qlCalendarAdvance(Calendar,X763,W764,"f",FALSE)</f>
        <v>44628</v>
      </c>
      <c r="Y764" s="104">
        <f>_xll.qlCalendarAdvance(Calendar,X764,NDays&amp;"D")</f>
        <v>44630</v>
      </c>
      <c r="Z764" s="105">
        <v>2.2135584617227321E-2</v>
      </c>
      <c r="AA764" s="102">
        <v>2.1806355827687085E-2</v>
      </c>
    </row>
    <row r="765" spans="19:27" x14ac:dyDescent="0.2">
      <c r="S765" s="61"/>
      <c r="T765" s="82"/>
      <c r="W765" s="103" t="str">
        <f t="shared" si="20"/>
        <v>1w</v>
      </c>
      <c r="X765" s="101">
        <f>_xll.qlCalendarAdvance(Calendar,X764,W765,"f",FALSE)</f>
        <v>44635</v>
      </c>
      <c r="Y765" s="104">
        <f>_xll.qlCalendarAdvance(Calendar,X765,NDays&amp;"D")</f>
        <v>44637</v>
      </c>
      <c r="Z765" s="105">
        <v>2.2179762413949027E-2</v>
      </c>
      <c r="AA765" s="102">
        <v>2.185343323637845E-2</v>
      </c>
    </row>
    <row r="766" spans="19:27" x14ac:dyDescent="0.2">
      <c r="S766" s="61"/>
      <c r="T766" s="82"/>
      <c r="W766" s="103" t="str">
        <f t="shared" si="20"/>
        <v>1w</v>
      </c>
      <c r="X766" s="101">
        <f>_xll.qlCalendarAdvance(Calendar,X765,W766,"f",FALSE)</f>
        <v>44642</v>
      </c>
      <c r="Y766" s="104">
        <f>_xll.qlCalendarAdvance(Calendar,X766,NDays&amp;"D")</f>
        <v>44644</v>
      </c>
      <c r="Z766" s="105">
        <v>2.2234491409106383E-2</v>
      </c>
      <c r="AA766" s="102">
        <v>2.1899980051500734E-2</v>
      </c>
    </row>
    <row r="767" spans="19:27" x14ac:dyDescent="0.2">
      <c r="S767" s="61"/>
      <c r="T767" s="82"/>
      <c r="W767" s="103" t="str">
        <f t="shared" si="20"/>
        <v>1w</v>
      </c>
      <c r="X767" s="101">
        <f>_xll.qlCalendarAdvance(Calendar,X766,W767,"f",FALSE)</f>
        <v>44649</v>
      </c>
      <c r="Y767" s="104">
        <f>_xll.qlCalendarAdvance(Calendar,X767,NDays&amp;"D")</f>
        <v>44651</v>
      </c>
      <c r="Z767" s="105">
        <v>2.2262852939386374E-2</v>
      </c>
      <c r="AA767" s="102">
        <v>2.1945996273053936E-2</v>
      </c>
    </row>
    <row r="768" spans="19:27" x14ac:dyDescent="0.2">
      <c r="S768" s="61"/>
      <c r="T768" s="82"/>
      <c r="W768" s="103" t="str">
        <f t="shared" si="20"/>
        <v>1w</v>
      </c>
      <c r="X768" s="101">
        <f>_xll.qlCalendarAdvance(Calendar,X767,W768,"f",FALSE)</f>
        <v>44656</v>
      </c>
      <c r="Y768" s="104">
        <f>_xll.qlCalendarAdvance(Calendar,X768,NDays&amp;"D")</f>
        <v>44658</v>
      </c>
      <c r="Z768" s="105">
        <v>2.2305466880036852E-2</v>
      </c>
      <c r="AA768" s="102">
        <v>2.1991481900718313E-2</v>
      </c>
    </row>
    <row r="769" spans="19:27" x14ac:dyDescent="0.2">
      <c r="S769" s="61"/>
      <c r="T769" s="82"/>
      <c r="W769" s="103" t="str">
        <f t="shared" si="20"/>
        <v>1w</v>
      </c>
      <c r="X769" s="101">
        <f>_xll.qlCalendarAdvance(Calendar,X768,W769,"f",FALSE)</f>
        <v>44663</v>
      </c>
      <c r="Y769" s="104">
        <f>_xll.qlCalendarAdvance(Calendar,X769,NDays&amp;"D")</f>
        <v>44665</v>
      </c>
      <c r="Z769" s="105">
        <v>2.2347547712625898E-2</v>
      </c>
      <c r="AA769" s="102">
        <v>2.2049183773518166E-2</v>
      </c>
    </row>
    <row r="770" spans="19:27" x14ac:dyDescent="0.2">
      <c r="S770" s="61"/>
      <c r="T770" s="82"/>
      <c r="W770" s="103" t="str">
        <f t="shared" si="20"/>
        <v>1w</v>
      </c>
      <c r="X770" s="101">
        <f>_xll.qlCalendarAdvance(Calendar,X769,W770,"f",FALSE)</f>
        <v>44670</v>
      </c>
      <c r="Y770" s="104">
        <f>_xll.qlCalendarAdvance(Calendar,X770,NDays&amp;"D")</f>
        <v>44672</v>
      </c>
      <c r="Z770" s="105">
        <v>2.2389095420226393E-2</v>
      </c>
      <c r="AA770" s="102">
        <v>2.2080861373581229E-2</v>
      </c>
    </row>
    <row r="771" spans="19:27" x14ac:dyDescent="0.2">
      <c r="S771" s="61"/>
      <c r="T771" s="82"/>
      <c r="W771" s="103" t="str">
        <f t="shared" si="20"/>
        <v>1w</v>
      </c>
      <c r="X771" s="101">
        <f>_xll.qlCalendarAdvance(Calendar,X770,W771,"f",FALSE)</f>
        <v>44677</v>
      </c>
      <c r="Y771" s="104">
        <f>_xll.qlCalendarAdvance(Calendar,X771,NDays&amp;"D")</f>
        <v>44679</v>
      </c>
      <c r="Z771" s="105">
        <v>2.2430109986127312E-2</v>
      </c>
      <c r="AA771" s="102">
        <v>2.2124755218460024E-2</v>
      </c>
    </row>
    <row r="772" spans="19:27" x14ac:dyDescent="0.2">
      <c r="S772" s="61"/>
      <c r="T772" s="82"/>
      <c r="W772" s="103" t="str">
        <f t="shared" si="20"/>
        <v>1w</v>
      </c>
      <c r="X772" s="101">
        <f>_xll.qlCalendarAdvance(Calendar,X771,W772,"f",FALSE)</f>
        <v>44684</v>
      </c>
      <c r="Y772" s="104">
        <f>_xll.qlCalendarAdvance(Calendar,X772,NDays&amp;"D")</f>
        <v>44686</v>
      </c>
      <c r="Z772" s="105">
        <v>2.2474079641478399E-2</v>
      </c>
      <c r="AA772" s="102">
        <v>2.2168118468730569E-2</v>
      </c>
    </row>
    <row r="773" spans="19:27" x14ac:dyDescent="0.2">
      <c r="S773" s="61"/>
      <c r="T773" s="82"/>
      <c r="W773" s="103" t="str">
        <f t="shared" si="20"/>
        <v>1w</v>
      </c>
      <c r="X773" s="101">
        <f>_xll.qlCalendarAdvance(Calendar,X772,W773,"f",FALSE)</f>
        <v>44691</v>
      </c>
      <c r="Y773" s="104">
        <f>_xll.qlCalendarAdvance(Calendar,X773,NDays&amp;"D")</f>
        <v>44693</v>
      </c>
      <c r="Z773" s="105">
        <v>2.2513992276018403E-2</v>
      </c>
      <c r="AA773" s="102">
        <v>2.2210951124073119E-2</v>
      </c>
    </row>
    <row r="774" spans="19:27" x14ac:dyDescent="0.2">
      <c r="S774" s="61"/>
      <c r="T774" s="82"/>
      <c r="W774" s="103" t="str">
        <f t="shared" si="20"/>
        <v>1w</v>
      </c>
      <c r="X774" s="101">
        <f>_xll.qlCalendarAdvance(Calendar,X773,W774,"f",FALSE)</f>
        <v>44698</v>
      </c>
      <c r="Y774" s="104">
        <f>_xll.qlCalendarAdvance(Calendar,X774,NDays&amp;"D")</f>
        <v>44700</v>
      </c>
      <c r="Z774" s="105">
        <v>2.2553371689969855E-2</v>
      </c>
      <c r="AA774" s="102">
        <v>2.225325318440774E-2</v>
      </c>
    </row>
    <row r="775" spans="19:27" x14ac:dyDescent="0.2">
      <c r="S775" s="61"/>
      <c r="T775" s="82"/>
      <c r="W775" s="103" t="str">
        <f t="shared" si="20"/>
        <v>1w</v>
      </c>
      <c r="X775" s="101">
        <f>_xll.qlCalendarAdvance(Calendar,X774,W775,"f",FALSE)</f>
        <v>44705</v>
      </c>
      <c r="Y775" s="104">
        <f>_xll.qlCalendarAdvance(Calendar,X775,NDays&amp;"D")</f>
        <v>44708</v>
      </c>
      <c r="Z775" s="105">
        <v>2.2604466524764603E-2</v>
      </c>
      <c r="AA775" s="102">
        <v>2.2300948687794531E-2</v>
      </c>
    </row>
    <row r="776" spans="19:27" x14ac:dyDescent="0.2">
      <c r="S776" s="61"/>
      <c r="T776" s="82"/>
      <c r="W776" s="103" t="str">
        <f t="shared" si="20"/>
        <v>1w</v>
      </c>
      <c r="X776" s="101">
        <f>_xll.qlCalendarAdvance(Calendar,X775,W776,"f",FALSE)</f>
        <v>44712</v>
      </c>
      <c r="Y776" s="104">
        <f>_xll.qlCalendarAdvance(Calendar,X776,NDays&amp;"D")</f>
        <v>44714</v>
      </c>
      <c r="Z776" s="105">
        <v>2.263053079226773E-2</v>
      </c>
      <c r="AA776" s="102">
        <v>2.2342113758107018E-2</v>
      </c>
    </row>
    <row r="777" spans="19:27" x14ac:dyDescent="0.2">
      <c r="S777" s="61"/>
      <c r="T777" s="82"/>
      <c r="W777" s="103" t="str">
        <f t="shared" si="20"/>
        <v>1w</v>
      </c>
      <c r="X777" s="101">
        <f>_xll.qlCalendarAdvance(Calendar,X776,W777,"f",FALSE)</f>
        <v>44719</v>
      </c>
      <c r="Y777" s="104">
        <f>_xll.qlCalendarAdvance(Calendar,X777,NDays&amp;"D")</f>
        <v>44721</v>
      </c>
      <c r="Z777" s="105">
        <v>2.2668310449235778E-2</v>
      </c>
      <c r="AA777" s="102">
        <v>2.2376975793365617E-2</v>
      </c>
    </row>
    <row r="778" spans="19:27" x14ac:dyDescent="0.2">
      <c r="S778" s="61"/>
      <c r="T778" s="82"/>
      <c r="W778" s="103" t="str">
        <f t="shared" si="20"/>
        <v>1w</v>
      </c>
      <c r="X778" s="101">
        <f>_xll.qlCalendarAdvance(Calendar,X777,W778,"f",FALSE)</f>
        <v>44726</v>
      </c>
      <c r="Y778" s="104">
        <f>_xll.qlCalendarAdvance(Calendar,X778,NDays&amp;"D")</f>
        <v>44728</v>
      </c>
      <c r="Z778" s="105">
        <v>2.2705556822859383E-2</v>
      </c>
      <c r="AA778" s="102">
        <v>2.2417155471670114E-2</v>
      </c>
    </row>
    <row r="779" spans="19:27" x14ac:dyDescent="0.2">
      <c r="S779" s="61"/>
      <c r="T779" s="82"/>
      <c r="W779" s="103" t="str">
        <f t="shared" si="20"/>
        <v>1w</v>
      </c>
      <c r="X779" s="101">
        <f>_xll.qlCalendarAdvance(Calendar,X778,W779,"f",FALSE)</f>
        <v>44733</v>
      </c>
      <c r="Y779" s="104">
        <f>_xll.qlCalendarAdvance(Calendar,X779,NDays&amp;"D")</f>
        <v>44735</v>
      </c>
      <c r="Z779" s="105">
        <v>2.2742269897989796E-2</v>
      </c>
      <c r="AA779" s="102">
        <v>2.2462425394760288E-2</v>
      </c>
    </row>
    <row r="780" spans="19:27" x14ac:dyDescent="0.2">
      <c r="S780" s="61"/>
      <c r="T780" s="82"/>
      <c r="W780" s="103" t="str">
        <f t="shared" si="20"/>
        <v>1w</v>
      </c>
      <c r="X780" s="101">
        <f>_xll.qlCalendarAdvance(Calendar,X779,W780,"f",FALSE)</f>
        <v>44740</v>
      </c>
      <c r="Y780" s="104">
        <f>_xll.qlCalendarAdvance(Calendar,X780,NDays&amp;"D")</f>
        <v>44742</v>
      </c>
      <c r="Z780" s="105">
        <v>2.2778449655113064E-2</v>
      </c>
      <c r="AA780" s="102">
        <v>2.2495923040377619E-2</v>
      </c>
    </row>
    <row r="781" spans="19:27" x14ac:dyDescent="0.2">
      <c r="S781" s="61"/>
      <c r="T781" s="82"/>
      <c r="W781" s="103" t="str">
        <f t="shared" si="20"/>
        <v>1w</v>
      </c>
      <c r="X781" s="101">
        <f>_xll.qlCalendarAdvance(Calendar,X780,W781,"f",FALSE)</f>
        <v>44747</v>
      </c>
      <c r="Y781" s="104">
        <f>_xll.qlCalendarAdvance(Calendar,X781,NDays&amp;"D")</f>
        <v>44749</v>
      </c>
      <c r="Z781" s="105">
        <v>2.2814093746007562E-2</v>
      </c>
      <c r="AA781" s="102">
        <v>2.2534510930380947E-2</v>
      </c>
    </row>
    <row r="782" spans="19:27" x14ac:dyDescent="0.2">
      <c r="S782" s="61"/>
      <c r="T782" s="82"/>
      <c r="W782" s="103" t="str">
        <f t="shared" si="20"/>
        <v>1w</v>
      </c>
      <c r="X782" s="101">
        <f>_xll.qlCalendarAdvance(Calendar,X781,W782,"f",FALSE)</f>
        <v>44754</v>
      </c>
      <c r="Y782" s="104">
        <f>_xll.qlCalendarAdvance(Calendar,X782,NDays&amp;"D")</f>
        <v>44756</v>
      </c>
      <c r="Z782" s="105">
        <v>2.2849193711396543E-2</v>
      </c>
      <c r="AA782" s="102">
        <v>2.2572568223857559E-2</v>
      </c>
    </row>
    <row r="783" spans="19:27" x14ac:dyDescent="0.2">
      <c r="S783" s="61"/>
      <c r="T783" s="82"/>
      <c r="W783" s="103" t="str">
        <f t="shared" si="20"/>
        <v>1w</v>
      </c>
      <c r="X783" s="101">
        <f>_xll.qlCalendarAdvance(Calendar,X782,W783,"f",FALSE)</f>
        <v>44761</v>
      </c>
      <c r="Y783" s="104">
        <f>_xll.qlCalendarAdvance(Calendar,X783,NDays&amp;"D")</f>
        <v>44763</v>
      </c>
      <c r="Z783" s="105">
        <v>2.288374010166239E-2</v>
      </c>
      <c r="AA783" s="102">
        <v>2.2610094920807455E-2</v>
      </c>
    </row>
    <row r="784" spans="19:27" x14ac:dyDescent="0.2">
      <c r="S784" s="61"/>
      <c r="T784" s="82"/>
      <c r="W784" s="103" t="str">
        <f t="shared" si="20"/>
        <v>1w</v>
      </c>
      <c r="X784" s="101">
        <f>_xll.qlCalendarAdvance(Calendar,X783,W784,"f",FALSE)</f>
        <v>44768</v>
      </c>
      <c r="Y784" s="104">
        <f>_xll.qlCalendarAdvance(Calendar,X784,NDays&amp;"D")</f>
        <v>44770</v>
      </c>
      <c r="Z784" s="105">
        <v>2.2917723467080622E-2</v>
      </c>
      <c r="AA784" s="102">
        <v>2.2647091020910892E-2</v>
      </c>
    </row>
    <row r="785" spans="19:27" x14ac:dyDescent="0.2">
      <c r="S785" s="61"/>
      <c r="T785" s="82"/>
      <c r="W785" s="103" t="str">
        <f t="shared" si="20"/>
        <v>1w</v>
      </c>
      <c r="X785" s="101">
        <f>_xll.qlCalendarAdvance(Calendar,X784,W785,"f",FALSE)</f>
        <v>44775</v>
      </c>
      <c r="Y785" s="104">
        <f>_xll.qlCalendarAdvance(Calendar,X785,NDays&amp;"D")</f>
        <v>44777</v>
      </c>
      <c r="Z785" s="105">
        <v>2.2951134357845085E-2</v>
      </c>
      <c r="AA785" s="102">
        <v>2.2683556524007997E-2</v>
      </c>
    </row>
    <row r="786" spans="19:27" x14ac:dyDescent="0.2">
      <c r="S786" s="61"/>
      <c r="T786" s="82"/>
      <c r="W786" s="103" t="str">
        <f t="shared" si="20"/>
        <v>1w</v>
      </c>
      <c r="X786" s="101">
        <f>_xll.qlCalendarAdvance(Calendar,X785,W786,"f",FALSE)</f>
        <v>44782</v>
      </c>
      <c r="Y786" s="104">
        <f>_xll.qlCalendarAdvance(Calendar,X786,NDays&amp;"D")</f>
        <v>44784</v>
      </c>
      <c r="Z786" s="105">
        <v>2.2983963324072296E-2</v>
      </c>
      <c r="AA786" s="102">
        <v>2.2719491430018834E-2</v>
      </c>
    </row>
    <row r="787" spans="19:27" x14ac:dyDescent="0.2">
      <c r="S787" s="61"/>
      <c r="T787" s="82"/>
      <c r="W787" s="103" t="str">
        <f t="shared" si="20"/>
        <v>1w</v>
      </c>
      <c r="X787" s="101">
        <f>_xll.qlCalendarAdvance(Calendar,X786,W787,"f",FALSE)</f>
        <v>44789</v>
      </c>
      <c r="Y787" s="104">
        <f>_xll.qlCalendarAdvance(Calendar,X787,NDays&amp;"D")</f>
        <v>44791</v>
      </c>
      <c r="Z787" s="105">
        <v>2.3016200915823161E-2</v>
      </c>
      <c r="AA787" s="102">
        <v>2.2754895738703595E-2</v>
      </c>
    </row>
    <row r="788" spans="19:27" x14ac:dyDescent="0.2">
      <c r="S788" s="61"/>
      <c r="T788" s="82"/>
      <c r="W788" s="103" t="str">
        <f t="shared" si="20"/>
        <v>1w</v>
      </c>
      <c r="X788" s="101">
        <f>_xll.qlCalendarAdvance(Calendar,X787,W788,"f",FALSE)</f>
        <v>44796</v>
      </c>
      <c r="Y788" s="104">
        <f>_xll.qlCalendarAdvance(Calendar,X788,NDays&amp;"D")</f>
        <v>44798</v>
      </c>
      <c r="Z788" s="105">
        <v>2.3047837683109064E-2</v>
      </c>
      <c r="AA788" s="102">
        <v>2.2789769449982344E-2</v>
      </c>
    </row>
    <row r="789" spans="19:27" x14ac:dyDescent="0.2">
      <c r="S789" s="61"/>
      <c r="T789" s="82"/>
      <c r="W789" s="103" t="str">
        <f t="shared" ref="W789:W852" si="21">W788</f>
        <v>1w</v>
      </c>
      <c r="X789" s="101">
        <f>_xll.qlCalendarAdvance(Calendar,X788,W789,"f",FALSE)</f>
        <v>44803</v>
      </c>
      <c r="Y789" s="104">
        <f>_xll.qlCalendarAdvance(Calendar,X789,NDays&amp;"D")</f>
        <v>44805</v>
      </c>
      <c r="Z789" s="105">
        <v>2.3076028233048568E-2</v>
      </c>
      <c r="AA789" s="102">
        <v>2.2824112563695209E-2</v>
      </c>
    </row>
    <row r="790" spans="19:27" x14ac:dyDescent="0.2">
      <c r="S790" s="61"/>
      <c r="T790" s="82"/>
      <c r="W790" s="103" t="str">
        <f t="shared" si="21"/>
        <v>1w</v>
      </c>
      <c r="X790" s="101">
        <f>_xll.qlCalendarAdvance(Calendar,X789,W790,"f",FALSE)</f>
        <v>44810</v>
      </c>
      <c r="Y790" s="104">
        <f>_xll.qlCalendarAdvance(Calendar,X790,NDays&amp;"D")</f>
        <v>44812</v>
      </c>
      <c r="Z790" s="105">
        <v>2.3106479377495003E-2</v>
      </c>
      <c r="AA790" s="102">
        <v>2.2857925079602381E-2</v>
      </c>
    </row>
    <row r="791" spans="19:27" x14ac:dyDescent="0.2">
      <c r="S791" s="61"/>
      <c r="T791" s="82"/>
      <c r="W791" s="103" t="str">
        <f t="shared" si="21"/>
        <v>1w</v>
      </c>
      <c r="X791" s="101">
        <f>_xll.qlCalendarAdvance(Calendar,X790,W791,"f",FALSE)</f>
        <v>44817</v>
      </c>
      <c r="Y791" s="104">
        <f>_xll.qlCalendarAdvance(Calendar,X791,NDays&amp;"D")</f>
        <v>44819</v>
      </c>
      <c r="Z791" s="105">
        <v>2.3136301697229581E-2</v>
      </c>
      <c r="AA791" s="102">
        <v>2.2891206997623925E-2</v>
      </c>
    </row>
    <row r="792" spans="19:27" x14ac:dyDescent="0.2">
      <c r="S792" s="61"/>
      <c r="T792" s="82"/>
      <c r="W792" s="103" t="str">
        <f t="shared" si="21"/>
        <v>1w</v>
      </c>
      <c r="X792" s="101">
        <f>_xll.qlCalendarAdvance(Calendar,X791,W792,"f",FALSE)</f>
        <v>44824</v>
      </c>
      <c r="Y792" s="104">
        <f>_xll.qlCalendarAdvance(Calendar,X792,NDays&amp;"D")</f>
        <v>44826</v>
      </c>
      <c r="Z792" s="105">
        <v>2.3165485639297823E-2</v>
      </c>
      <c r="AA792" s="102">
        <v>2.2923958317679904E-2</v>
      </c>
    </row>
    <row r="793" spans="19:27" x14ac:dyDescent="0.2">
      <c r="S793" s="61"/>
      <c r="T793" s="82"/>
      <c r="W793" s="103" t="str">
        <f t="shared" si="21"/>
        <v>1w</v>
      </c>
      <c r="X793" s="101">
        <f>_xll.qlCalendarAdvance(Calendar,X792,W793,"f",FALSE)</f>
        <v>44831</v>
      </c>
      <c r="Y793" s="104">
        <f>_xll.qlCalendarAdvance(Calendar,X793,NDays&amp;"D")</f>
        <v>44833</v>
      </c>
      <c r="Z793" s="105">
        <v>2.3194021650768976E-2</v>
      </c>
      <c r="AA793" s="102">
        <v>2.2956153458792983E-2</v>
      </c>
    </row>
    <row r="794" spans="19:27" x14ac:dyDescent="0.2">
      <c r="S794" s="61"/>
      <c r="T794" s="82"/>
      <c r="W794" s="103" t="str">
        <f t="shared" si="21"/>
        <v>1w</v>
      </c>
      <c r="X794" s="101">
        <f>_xll.qlCalendarAdvance(Calendar,X793,W794,"f",FALSE)</f>
        <v>44838</v>
      </c>
      <c r="Y794" s="104">
        <f>_xll.qlCalendarAdvance(Calendar,X794,NDays&amp;"D")</f>
        <v>44840</v>
      </c>
      <c r="Z794" s="105">
        <v>2.3232322857374754E-2</v>
      </c>
      <c r="AA794" s="102">
        <v>2.2987702678909372E-2</v>
      </c>
    </row>
    <row r="795" spans="19:27" x14ac:dyDescent="0.2">
      <c r="S795" s="61"/>
      <c r="T795" s="82"/>
      <c r="W795" s="103" t="str">
        <f t="shared" si="21"/>
        <v>1w</v>
      </c>
      <c r="X795" s="101">
        <f>_xll.qlCalendarAdvance(Calendar,X794,W795,"f",FALSE)</f>
        <v>44845</v>
      </c>
      <c r="Y795" s="104">
        <f>_xll.qlCalendarAdvance(Calendar,X795,NDays&amp;"D")</f>
        <v>44847</v>
      </c>
      <c r="Z795" s="105">
        <v>2.3251690748706522E-2</v>
      </c>
      <c r="AA795" s="102">
        <v>2.3018598009842961E-2</v>
      </c>
    </row>
    <row r="796" spans="19:27" x14ac:dyDescent="0.2">
      <c r="S796" s="61"/>
      <c r="T796" s="82"/>
      <c r="W796" s="103" t="str">
        <f t="shared" si="21"/>
        <v>1w</v>
      </c>
      <c r="X796" s="101">
        <f>_xll.qlCalendarAdvance(Calendar,X795,W796,"f",FALSE)</f>
        <v>44852</v>
      </c>
      <c r="Y796" s="104">
        <f>_xll.qlCalendarAdvance(Calendar,X796,NDays&amp;"D")</f>
        <v>44854</v>
      </c>
      <c r="Z796" s="105">
        <v>2.3278210600913819E-2</v>
      </c>
      <c r="AA796" s="102">
        <v>2.3048839451673686E-2</v>
      </c>
    </row>
    <row r="797" spans="19:27" x14ac:dyDescent="0.2">
      <c r="S797" s="61"/>
      <c r="T797" s="82"/>
      <c r="W797" s="103" t="str">
        <f t="shared" si="21"/>
        <v>1w</v>
      </c>
      <c r="X797" s="101">
        <f>_xll.qlCalendarAdvance(Calendar,X796,W797,"f",FALSE)</f>
        <v>44859</v>
      </c>
      <c r="Y797" s="104">
        <f>_xll.qlCalendarAdvance(Calendar,X797,NDays&amp;"D")</f>
        <v>44861</v>
      </c>
      <c r="Z797" s="105">
        <v>2.3304072887757214E-2</v>
      </c>
      <c r="AA797" s="102">
        <v>2.3078427004161739E-2</v>
      </c>
    </row>
    <row r="798" spans="19:27" x14ac:dyDescent="0.2">
      <c r="S798" s="61"/>
      <c r="T798" s="82"/>
      <c r="W798" s="103" t="str">
        <f t="shared" si="21"/>
        <v>1w</v>
      </c>
      <c r="X798" s="101">
        <f>_xll.qlCalendarAdvance(Calendar,X797,W798,"f",FALSE)</f>
        <v>44866</v>
      </c>
      <c r="Y798" s="104">
        <f>_xll.qlCalendarAdvance(Calendar,X798,NDays&amp;"D")</f>
        <v>44868</v>
      </c>
      <c r="Z798" s="105">
        <v>2.3329277596274907E-2</v>
      </c>
      <c r="AA798" s="102">
        <v>2.3107360666987375E-2</v>
      </c>
    </row>
    <row r="799" spans="19:27" x14ac:dyDescent="0.2">
      <c r="S799" s="61"/>
      <c r="T799" s="82"/>
      <c r="W799" s="103" t="str">
        <f t="shared" si="21"/>
        <v>1w</v>
      </c>
      <c r="X799" s="101">
        <f>_xll.qlCalendarAdvance(Calendar,X798,W799,"f",FALSE)</f>
        <v>44873</v>
      </c>
      <c r="Y799" s="104">
        <f>_xll.qlCalendarAdvance(Calendar,X799,NDays&amp;"D")</f>
        <v>44875</v>
      </c>
      <c r="Z799" s="105">
        <v>2.3353824713832651E-2</v>
      </c>
      <c r="AA799" s="102">
        <v>2.3135640440310468E-2</v>
      </c>
    </row>
    <row r="800" spans="19:27" x14ac:dyDescent="0.2">
      <c r="S800" s="61"/>
      <c r="T800" s="82"/>
      <c r="W800" s="103" t="str">
        <f t="shared" si="21"/>
        <v>1w</v>
      </c>
      <c r="X800" s="101">
        <f>_xll.qlCalendarAdvance(Calendar,X799,W800,"f",FALSE)</f>
        <v>44880</v>
      </c>
      <c r="Y800" s="104">
        <f>_xll.qlCalendarAdvance(Calendar,X800,NDays&amp;"D")</f>
        <v>44882</v>
      </c>
      <c r="Z800" s="105">
        <v>2.3377714228126383E-2</v>
      </c>
      <c r="AA800" s="102">
        <v>2.3163266323651399E-2</v>
      </c>
    </row>
    <row r="801" spans="19:27" x14ac:dyDescent="0.2">
      <c r="S801" s="61"/>
      <c r="T801" s="82"/>
      <c r="W801" s="103" t="str">
        <f t="shared" si="21"/>
        <v>1w</v>
      </c>
      <c r="X801" s="101">
        <f>_xll.qlCalendarAdvance(Calendar,X800,W801,"f",FALSE)</f>
        <v>44887</v>
      </c>
      <c r="Y801" s="104">
        <f>_xll.qlCalendarAdvance(Calendar,X801,NDays&amp;"D")</f>
        <v>44889</v>
      </c>
      <c r="Z801" s="105">
        <v>2.3400946127182198E-2</v>
      </c>
      <c r="AA801" s="102">
        <v>2.3190238317090106E-2</v>
      </c>
    </row>
    <row r="802" spans="19:27" x14ac:dyDescent="0.2">
      <c r="S802" s="61"/>
      <c r="T802" s="82"/>
      <c r="W802" s="103" t="str">
        <f t="shared" si="21"/>
        <v>1w</v>
      </c>
      <c r="X802" s="101">
        <f>_xll.qlCalendarAdvance(Calendar,X801,W802,"f",FALSE)</f>
        <v>44894</v>
      </c>
      <c r="Y802" s="104">
        <f>_xll.qlCalendarAdvance(Calendar,X802,NDays&amp;"D")</f>
        <v>44896</v>
      </c>
      <c r="Z802" s="105">
        <v>2.3419018785355128E-2</v>
      </c>
      <c r="AA802" s="102">
        <v>2.321655642038678E-2</v>
      </c>
    </row>
    <row r="803" spans="19:27" x14ac:dyDescent="0.2">
      <c r="S803" s="61"/>
      <c r="T803" s="82"/>
      <c r="W803" s="103" t="str">
        <f t="shared" si="21"/>
        <v>1w</v>
      </c>
      <c r="X803" s="101">
        <f>_xll.qlCalendarAdvance(Calendar,X802,W803,"f",FALSE)</f>
        <v>44901</v>
      </c>
      <c r="Y803" s="104">
        <f>_xll.qlCalendarAdvance(Calendar,X803,NDays&amp;"D")</f>
        <v>44903</v>
      </c>
      <c r="Z803" s="105">
        <v>2.3441026512958096E-2</v>
      </c>
      <c r="AA803" s="102">
        <v>2.324222063338155E-2</v>
      </c>
    </row>
    <row r="804" spans="19:27" x14ac:dyDescent="0.2">
      <c r="S804" s="61"/>
      <c r="T804" s="82"/>
      <c r="W804" s="103" t="str">
        <f t="shared" si="21"/>
        <v>1w</v>
      </c>
      <c r="X804" s="101">
        <f>_xll.qlCalendarAdvance(Calendar,X803,W804,"f",FALSE)</f>
        <v>44908</v>
      </c>
      <c r="Y804" s="104">
        <f>_xll.qlCalendarAdvance(Calendar,X804,NDays&amp;"D")</f>
        <v>44910</v>
      </c>
      <c r="Z804" s="105">
        <v>2.3462376675682073E-2</v>
      </c>
      <c r="AA804" s="102">
        <v>2.3267230955994478E-2</v>
      </c>
    </row>
    <row r="805" spans="19:27" x14ac:dyDescent="0.2">
      <c r="S805" s="61"/>
      <c r="T805" s="82"/>
      <c r="W805" s="103" t="str">
        <f t="shared" si="21"/>
        <v>1w</v>
      </c>
      <c r="X805" s="101">
        <f>_xll.qlCalendarAdvance(Calendar,X804,W805,"f",FALSE)</f>
        <v>44915</v>
      </c>
      <c r="Y805" s="104">
        <f>_xll.qlCalendarAdvance(Calendar,X805,NDays&amp;"D")</f>
        <v>44917</v>
      </c>
      <c r="Z805" s="105">
        <v>2.3483069263059875E-2</v>
      </c>
      <c r="AA805" s="102">
        <v>2.3295013499540218E-2</v>
      </c>
    </row>
    <row r="806" spans="19:27" x14ac:dyDescent="0.2">
      <c r="S806" s="61"/>
      <c r="T806" s="82"/>
      <c r="W806" s="103" t="str">
        <f t="shared" si="21"/>
        <v>1w</v>
      </c>
      <c r="X806" s="101">
        <f>_xll.qlCalendarAdvance(Calendar,X805,W806,"f",FALSE)</f>
        <v>44922</v>
      </c>
      <c r="Y806" s="104">
        <f>_xll.qlCalendarAdvance(Calendar,X806,NDays&amp;"D")</f>
        <v>44924</v>
      </c>
      <c r="Z806" s="105">
        <v>2.3503104264944952E-2</v>
      </c>
      <c r="AA806" s="102">
        <v>2.3315289929355387E-2</v>
      </c>
    </row>
    <row r="807" spans="19:27" x14ac:dyDescent="0.2">
      <c r="S807" s="61"/>
      <c r="T807" s="82"/>
      <c r="W807" s="103" t="str">
        <f t="shared" si="21"/>
        <v>1w</v>
      </c>
      <c r="X807" s="101">
        <f>_xll.qlCalendarAdvance(Calendar,X806,W807,"f",FALSE)</f>
        <v>44929</v>
      </c>
      <c r="Y807" s="104">
        <f>_xll.qlCalendarAdvance(Calendar,X807,NDays&amp;"D")</f>
        <v>44931</v>
      </c>
      <c r="Z807" s="105">
        <v>2.3522481671511386E-2</v>
      </c>
      <c r="AA807" s="102">
        <v>2.3341577865503282E-2</v>
      </c>
    </row>
    <row r="808" spans="19:27" x14ac:dyDescent="0.2">
      <c r="S808" s="61"/>
      <c r="T808" s="82"/>
      <c r="W808" s="103" t="str">
        <f t="shared" si="21"/>
        <v>1w</v>
      </c>
      <c r="X808" s="101">
        <f>_xll.qlCalendarAdvance(Calendar,X807,W808,"f",FALSE)</f>
        <v>44936</v>
      </c>
      <c r="Y808" s="104">
        <f>_xll.qlCalendarAdvance(Calendar,X808,NDays&amp;"D")</f>
        <v>44938</v>
      </c>
      <c r="Z808" s="105">
        <v>2.3541201473258333E-2</v>
      </c>
      <c r="AA808" s="102">
        <v>2.3360733339510276E-2</v>
      </c>
    </row>
    <row r="809" spans="19:27" x14ac:dyDescent="0.2">
      <c r="S809" s="61"/>
      <c r="T809" s="82"/>
      <c r="W809" s="103" t="str">
        <f t="shared" si="21"/>
        <v>1w</v>
      </c>
      <c r="X809" s="101">
        <f>_xll.qlCalendarAdvance(Calendar,X808,W809,"f",FALSE)</f>
        <v>44943</v>
      </c>
      <c r="Y809" s="104">
        <f>_xll.qlCalendarAdvance(Calendar,X809,NDays&amp;"D")</f>
        <v>44945</v>
      </c>
      <c r="Z809" s="105">
        <v>2.3559263661006469E-2</v>
      </c>
      <c r="AA809" s="102">
        <v>2.3382474208135662E-2</v>
      </c>
    </row>
    <row r="810" spans="19:27" x14ac:dyDescent="0.2">
      <c r="S810" s="61"/>
      <c r="T810" s="82"/>
      <c r="W810" s="103" t="str">
        <f t="shared" si="21"/>
        <v>1w</v>
      </c>
      <c r="X810" s="101">
        <f>_xll.qlCalendarAdvance(Calendar,X809,W810,"f",FALSE)</f>
        <v>44950</v>
      </c>
      <c r="Y810" s="104">
        <f>_xll.qlCalendarAdvance(Calendar,X810,NDays&amp;"D")</f>
        <v>44952</v>
      </c>
      <c r="Z810" s="105">
        <v>2.3576668225897102E-2</v>
      </c>
      <c r="AA810" s="102">
        <v>2.340356118549991E-2</v>
      </c>
    </row>
    <row r="811" spans="19:27" x14ac:dyDescent="0.2">
      <c r="S811" s="61"/>
      <c r="T811" s="82"/>
      <c r="W811" s="103" t="str">
        <f t="shared" si="21"/>
        <v>1w</v>
      </c>
      <c r="X811" s="101">
        <f>_xll.qlCalendarAdvance(Calendar,X810,W811,"f",FALSE)</f>
        <v>44957</v>
      </c>
      <c r="Y811" s="104">
        <f>_xll.qlCalendarAdvance(Calendar,X811,NDays&amp;"D")</f>
        <v>44959</v>
      </c>
      <c r="Z811" s="105">
        <v>2.3591569347974642E-2</v>
      </c>
      <c r="AA811" s="102">
        <v>2.3423994271523085E-2</v>
      </c>
    </row>
    <row r="812" spans="19:27" x14ac:dyDescent="0.2">
      <c r="S812" s="61"/>
      <c r="T812" s="82"/>
      <c r="W812" s="103" t="str">
        <f t="shared" si="21"/>
        <v>1w</v>
      </c>
      <c r="X812" s="101">
        <f>_xll.qlCalendarAdvance(Calendar,X811,W812,"f",FALSE)</f>
        <v>44964</v>
      </c>
      <c r="Y812" s="104">
        <f>_xll.qlCalendarAdvance(Calendar,X812,NDays&amp;"D")</f>
        <v>44966</v>
      </c>
      <c r="Z812" s="105">
        <v>2.3607704562097646E-2</v>
      </c>
      <c r="AA812" s="102">
        <v>2.3443773466205187E-2</v>
      </c>
    </row>
    <row r="813" spans="19:27" x14ac:dyDescent="0.2">
      <c r="S813" s="61"/>
      <c r="T813" s="82"/>
      <c r="W813" s="103" t="str">
        <f t="shared" si="21"/>
        <v>1w</v>
      </c>
      <c r="X813" s="101">
        <f>_xll.qlCalendarAdvance(Calendar,X812,W813,"f",FALSE)</f>
        <v>44971</v>
      </c>
      <c r="Y813" s="104">
        <f>_xll.qlCalendarAdvance(Calendar,X813,NDays&amp;"D")</f>
        <v>44973</v>
      </c>
      <c r="Z813" s="105">
        <v>2.3623182171573963E-2</v>
      </c>
      <c r="AA813" s="102">
        <v>2.3462898769306406E-2</v>
      </c>
    </row>
    <row r="814" spans="19:27" x14ac:dyDescent="0.2">
      <c r="S814" s="61"/>
      <c r="T814" s="82"/>
      <c r="W814" s="103" t="str">
        <f t="shared" si="21"/>
        <v>1w</v>
      </c>
      <c r="X814" s="101">
        <f>_xll.qlCalendarAdvance(Calendar,X813,W814,"f",FALSE)</f>
        <v>44978</v>
      </c>
      <c r="Y814" s="104">
        <f>_xll.qlCalendarAdvance(Calendar,X814,NDays&amp;"D")</f>
        <v>44980</v>
      </c>
      <c r="Z814" s="105">
        <v>2.3638002168897679E-2</v>
      </c>
      <c r="AA814" s="102">
        <v>2.348137018090668E-2</v>
      </c>
    </row>
    <row r="815" spans="19:27" x14ac:dyDescent="0.2">
      <c r="S815" s="61"/>
      <c r="T815" s="82"/>
      <c r="W815" s="103" t="str">
        <f t="shared" si="21"/>
        <v>1w</v>
      </c>
      <c r="X815" s="101">
        <f>_xll.qlCalendarAdvance(Calendar,X814,W815,"f",FALSE)</f>
        <v>44985</v>
      </c>
      <c r="Y815" s="104">
        <f>_xll.qlCalendarAdvance(Calendar,X815,NDays&amp;"D")</f>
        <v>44987</v>
      </c>
      <c r="Z815" s="105">
        <v>2.3657137192603289E-2</v>
      </c>
      <c r="AA815" s="102">
        <v>2.3499187700686264E-2</v>
      </c>
    </row>
    <row r="816" spans="19:27" x14ac:dyDescent="0.2">
      <c r="S816" s="61"/>
      <c r="T816" s="82"/>
      <c r="W816" s="103" t="str">
        <f t="shared" si="21"/>
        <v>1w</v>
      </c>
      <c r="X816" s="101">
        <f>_xll.qlCalendarAdvance(Calendar,X815,W816,"f",FALSE)</f>
        <v>44992</v>
      </c>
      <c r="Y816" s="104">
        <f>_xll.qlCalendarAdvance(Calendar,X816,NDays&amp;"D")</f>
        <v>44994</v>
      </c>
      <c r="Z816" s="105">
        <v>2.3670503650267467E-2</v>
      </c>
      <c r="AA816" s="102">
        <v>2.3516351328725094E-2</v>
      </c>
    </row>
    <row r="817" spans="19:27" x14ac:dyDescent="0.2">
      <c r="S817" s="61"/>
      <c r="T817" s="82"/>
      <c r="W817" s="103" t="str">
        <f t="shared" si="21"/>
        <v>1w</v>
      </c>
      <c r="X817" s="101">
        <f>_xll.qlCalendarAdvance(Calendar,X816,W817,"f",FALSE)</f>
        <v>44999</v>
      </c>
      <c r="Y817" s="104">
        <f>_xll.qlCalendarAdvance(Calendar,X817,NDays&amp;"D")</f>
        <v>45001</v>
      </c>
      <c r="Z817" s="105">
        <v>2.3683212345930255E-2</v>
      </c>
      <c r="AA817" s="102">
        <v>2.3532861064783361E-2</v>
      </c>
    </row>
    <row r="818" spans="19:27" x14ac:dyDescent="0.2">
      <c r="S818" s="61"/>
      <c r="T818" s="82"/>
      <c r="W818" s="103" t="str">
        <f t="shared" si="21"/>
        <v>1w</v>
      </c>
      <c r="X818" s="101">
        <f>_xll.qlCalendarAdvance(Calendar,X817,W818,"f",FALSE)</f>
        <v>45006</v>
      </c>
      <c r="Y818" s="104">
        <f>_xll.qlCalendarAdvance(Calendar,X818,NDays&amp;"D")</f>
        <v>45008</v>
      </c>
      <c r="Z818" s="105">
        <v>2.369978154990916E-2</v>
      </c>
      <c r="AA818" s="102">
        <v>2.3548716908861067E-2</v>
      </c>
    </row>
    <row r="819" spans="19:27" x14ac:dyDescent="0.2">
      <c r="S819" s="61"/>
      <c r="T819" s="82"/>
      <c r="W819" s="103" t="str">
        <f t="shared" si="21"/>
        <v>1w</v>
      </c>
      <c r="X819" s="101">
        <f>_xll.qlCalendarAdvance(Calendar,X818,W819,"f",FALSE)</f>
        <v>45013</v>
      </c>
      <c r="Y819" s="104">
        <f>_xll.qlCalendarAdvance(Calendar,X819,NDays&amp;"D")</f>
        <v>45015</v>
      </c>
      <c r="Z819" s="105">
        <v>2.3706656426094406E-2</v>
      </c>
      <c r="AA819" s="102">
        <v>2.3563918860958211E-2</v>
      </c>
    </row>
    <row r="820" spans="19:27" x14ac:dyDescent="0.2">
      <c r="S820" s="61"/>
      <c r="T820" s="82"/>
      <c r="W820" s="103" t="str">
        <f t="shared" si="21"/>
        <v>1w</v>
      </c>
      <c r="X820" s="101">
        <f>_xll.qlCalendarAdvance(Calendar,X819,W820,"f",FALSE)</f>
        <v>45020</v>
      </c>
      <c r="Y820" s="104">
        <f>_xll.qlCalendarAdvance(Calendar,X820,NDays&amp;"D")</f>
        <v>45022</v>
      </c>
      <c r="Z820" s="105">
        <v>2.3715969527100485E-2</v>
      </c>
      <c r="AA820" s="102">
        <v>2.3582503406620603E-2</v>
      </c>
    </row>
    <row r="821" spans="19:27" x14ac:dyDescent="0.2">
      <c r="S821" s="61"/>
      <c r="T821" s="82"/>
      <c r="W821" s="103" t="str">
        <f t="shared" si="21"/>
        <v>1w</v>
      </c>
      <c r="X821" s="101">
        <f>_xll.qlCalendarAdvance(Calendar,X820,W821,"f",FALSE)</f>
        <v>45027</v>
      </c>
      <c r="Y821" s="104">
        <f>_xll.qlCalendarAdvance(Calendar,X821,NDays&amp;"D")</f>
        <v>45029</v>
      </c>
      <c r="Z821" s="105">
        <v>2.3726093434346202E-2</v>
      </c>
      <c r="AA821" s="102">
        <v>2.3592361088411451E-2</v>
      </c>
    </row>
    <row r="822" spans="19:27" x14ac:dyDescent="0.2">
      <c r="S822" s="61"/>
      <c r="T822" s="82"/>
      <c r="W822" s="103" t="str">
        <f t="shared" si="21"/>
        <v>1w</v>
      </c>
      <c r="X822" s="101">
        <f>_xll.qlCalendarAdvance(Calendar,X821,W822,"f",FALSE)</f>
        <v>45034</v>
      </c>
      <c r="Y822" s="104">
        <f>_xll.qlCalendarAdvance(Calendar,X822,NDays&amp;"D")</f>
        <v>45036</v>
      </c>
      <c r="Z822" s="105">
        <v>2.373555959432164E-2</v>
      </c>
      <c r="AA822" s="102">
        <v>2.3605601363607676E-2</v>
      </c>
    </row>
    <row r="823" spans="19:27" x14ac:dyDescent="0.2">
      <c r="S823" s="61"/>
      <c r="T823" s="82"/>
      <c r="W823" s="103" t="str">
        <f t="shared" si="21"/>
        <v>1w</v>
      </c>
      <c r="X823" s="101">
        <f>_xll.qlCalendarAdvance(Calendar,X822,W823,"f",FALSE)</f>
        <v>45041</v>
      </c>
      <c r="Y823" s="104">
        <f>_xll.qlCalendarAdvance(Calendar,X823,NDays&amp;"D")</f>
        <v>45043</v>
      </c>
      <c r="Z823" s="105">
        <v>2.3744368002334294E-2</v>
      </c>
      <c r="AA823" s="102">
        <v>2.3619932422187517E-2</v>
      </c>
    </row>
    <row r="824" spans="19:27" x14ac:dyDescent="0.2">
      <c r="S824" s="61"/>
      <c r="T824" s="82"/>
      <c r="W824" s="103" t="str">
        <f t="shared" si="21"/>
        <v>1w</v>
      </c>
      <c r="X824" s="101">
        <f>_xll.qlCalendarAdvance(Calendar,X823,W824,"f",FALSE)</f>
        <v>45048</v>
      </c>
      <c r="Y824" s="104">
        <f>_xll.qlCalendarAdvance(Calendar,X824,NDays&amp;"D")</f>
        <v>45050</v>
      </c>
      <c r="Z824" s="105">
        <v>2.3753755385909264E-2</v>
      </c>
      <c r="AA824" s="102">
        <v>2.3630120236859398E-2</v>
      </c>
    </row>
    <row r="825" spans="19:27" x14ac:dyDescent="0.2">
      <c r="S825" s="61"/>
      <c r="T825" s="82"/>
      <c r="W825" s="103" t="str">
        <f t="shared" si="21"/>
        <v>1w</v>
      </c>
      <c r="X825" s="101">
        <f>_xll.qlCalendarAdvance(Calendar,X824,W825,"f",FALSE)</f>
        <v>45055</v>
      </c>
      <c r="Y825" s="104">
        <f>_xll.qlCalendarAdvance(Calendar,X825,NDays&amp;"D")</f>
        <v>45057</v>
      </c>
      <c r="Z825" s="105">
        <v>2.3761201783907476E-2</v>
      </c>
      <c r="AA825" s="102">
        <v>2.3641398834834959E-2</v>
      </c>
    </row>
    <row r="826" spans="19:27" x14ac:dyDescent="0.2">
      <c r="S826" s="61"/>
      <c r="T826" s="82"/>
      <c r="W826" s="103" t="str">
        <f t="shared" si="21"/>
        <v>1w</v>
      </c>
      <c r="X826" s="101">
        <f>_xll.qlCalendarAdvance(Calendar,X825,W826,"f",FALSE)</f>
        <v>45062</v>
      </c>
      <c r="Y826" s="104">
        <f>_xll.qlCalendarAdvance(Calendar,X826,NDays&amp;"D")</f>
        <v>45065</v>
      </c>
      <c r="Z826" s="105">
        <v>2.3771167391163667E-2</v>
      </c>
      <c r="AA826" s="102">
        <v>2.3653487976122989E-2</v>
      </c>
    </row>
    <row r="827" spans="19:27" x14ac:dyDescent="0.2">
      <c r="S827" s="61"/>
      <c r="T827" s="82"/>
      <c r="W827" s="103" t="str">
        <f t="shared" si="21"/>
        <v>1w</v>
      </c>
      <c r="X827" s="101">
        <f>_xll.qlCalendarAdvance(Calendar,X826,W827,"f",FALSE)</f>
        <v>45069</v>
      </c>
      <c r="Y827" s="104">
        <f>_xll.qlCalendarAdvance(Calendar,X827,NDays&amp;"D")</f>
        <v>45071</v>
      </c>
      <c r="Z827" s="105">
        <v>2.3774121154095919E-2</v>
      </c>
      <c r="AA827" s="102">
        <v>2.36633653755014E-2</v>
      </c>
    </row>
    <row r="828" spans="19:27" x14ac:dyDescent="0.2">
      <c r="S828" s="61"/>
      <c r="T828" s="82"/>
      <c r="W828" s="103" t="str">
        <f t="shared" si="21"/>
        <v>1w</v>
      </c>
      <c r="X828" s="101">
        <f>_xll.qlCalendarAdvance(Calendar,X827,W828,"f",FALSE)</f>
        <v>45076</v>
      </c>
      <c r="Y828" s="104">
        <f>_xll.qlCalendarAdvance(Calendar,X828,NDays&amp;"D")</f>
        <v>45078</v>
      </c>
      <c r="Z828" s="105">
        <v>2.3779594119812193E-2</v>
      </c>
      <c r="AA828" s="102">
        <v>2.367131127264166E-2</v>
      </c>
    </row>
    <row r="829" spans="19:27" x14ac:dyDescent="0.2">
      <c r="S829" s="61"/>
      <c r="T829" s="82"/>
      <c r="W829" s="103" t="str">
        <f t="shared" si="21"/>
        <v>1w</v>
      </c>
      <c r="X829" s="101">
        <f>_xll.qlCalendarAdvance(Calendar,X828,W829,"f",FALSE)</f>
        <v>45083</v>
      </c>
      <c r="Y829" s="104">
        <f>_xll.qlCalendarAdvance(Calendar,X829,NDays&amp;"D")</f>
        <v>45085</v>
      </c>
      <c r="Z829" s="105">
        <v>2.3784409268839523E-2</v>
      </c>
      <c r="AA829" s="102">
        <v>2.3679974299897211E-2</v>
      </c>
    </row>
    <row r="830" spans="19:27" x14ac:dyDescent="0.2">
      <c r="S830" s="61"/>
      <c r="T830" s="82"/>
      <c r="W830" s="103" t="str">
        <f t="shared" si="21"/>
        <v>1w</v>
      </c>
      <c r="X830" s="101">
        <f>_xll.qlCalendarAdvance(Calendar,X829,W830,"f",FALSE)</f>
        <v>45090</v>
      </c>
      <c r="Y830" s="104">
        <f>_xll.qlCalendarAdvance(Calendar,X830,NDays&amp;"D")</f>
        <v>45092</v>
      </c>
      <c r="Z830" s="105">
        <v>2.3788566598766794E-2</v>
      </c>
      <c r="AA830" s="102">
        <v>2.3687983434292903E-2</v>
      </c>
    </row>
    <row r="831" spans="19:27" x14ac:dyDescent="0.2">
      <c r="S831" s="61"/>
      <c r="T831" s="82"/>
      <c r="W831" s="103" t="str">
        <f t="shared" si="21"/>
        <v>1w</v>
      </c>
      <c r="X831" s="101">
        <f>_xll.qlCalendarAdvance(Calendar,X830,W831,"f",FALSE)</f>
        <v>45097</v>
      </c>
      <c r="Y831" s="104">
        <f>_xll.qlCalendarAdvance(Calendar,X831,NDays&amp;"D")</f>
        <v>45099</v>
      </c>
      <c r="Z831" s="105">
        <v>2.3792066107507844E-2</v>
      </c>
      <c r="AA831" s="102">
        <v>2.369633604553556E-2</v>
      </c>
    </row>
    <row r="832" spans="19:27" x14ac:dyDescent="0.2">
      <c r="S832" s="61"/>
      <c r="T832" s="82"/>
      <c r="W832" s="103" t="str">
        <f t="shared" si="21"/>
        <v>1w</v>
      </c>
      <c r="X832" s="101">
        <f>_xll.qlCalendarAdvance(Calendar,X831,W832,"f",FALSE)</f>
        <v>45104</v>
      </c>
      <c r="Y832" s="104">
        <f>_xll.qlCalendarAdvance(Calendar,X832,NDays&amp;"D")</f>
        <v>45106</v>
      </c>
      <c r="Z832" s="105">
        <v>2.3794907793311032E-2</v>
      </c>
      <c r="AA832" s="102">
        <v>2.3702040024424775E-2</v>
      </c>
    </row>
    <row r="833" spans="19:27" x14ac:dyDescent="0.2">
      <c r="S833" s="61"/>
      <c r="T833" s="82"/>
      <c r="W833" s="103" t="str">
        <f t="shared" si="21"/>
        <v>1w</v>
      </c>
      <c r="X833" s="101">
        <f>_xll.qlCalendarAdvance(Calendar,X832,W833,"f",FALSE)</f>
        <v>45111</v>
      </c>
      <c r="Y833" s="104">
        <f>_xll.qlCalendarAdvance(Calendar,X833,NDays&amp;"D")</f>
        <v>45113</v>
      </c>
      <c r="Z833" s="105">
        <v>2.3797109135049493E-2</v>
      </c>
      <c r="AA833" s="102">
        <v>2.3708087480160955E-2</v>
      </c>
    </row>
    <row r="834" spans="19:27" x14ac:dyDescent="0.2">
      <c r="S834" s="61"/>
      <c r="T834" s="82"/>
      <c r="W834" s="103" t="str">
        <f t="shared" si="21"/>
        <v>1w</v>
      </c>
      <c r="X834" s="101">
        <f>_xll.qlCalendarAdvance(Calendar,X833,W834,"f",FALSE)</f>
        <v>45118</v>
      </c>
      <c r="Y834" s="104">
        <f>_xll.qlCalendarAdvance(Calendar,X834,NDays&amp;"D")</f>
        <v>45120</v>
      </c>
      <c r="Z834" s="105">
        <v>2.3798757533189219E-2</v>
      </c>
      <c r="AA834" s="102">
        <v>2.3713481042957341E-2</v>
      </c>
    </row>
    <row r="835" spans="19:27" x14ac:dyDescent="0.2">
      <c r="S835" s="61"/>
      <c r="T835" s="82"/>
      <c r="W835" s="103" t="str">
        <f t="shared" si="21"/>
        <v>1w</v>
      </c>
      <c r="X835" s="101">
        <f>_xll.qlCalendarAdvance(Calendar,X834,W835,"f",FALSE)</f>
        <v>45125</v>
      </c>
      <c r="Y835" s="104">
        <f>_xll.qlCalendarAdvance(Calendar,X835,NDays&amp;"D")</f>
        <v>45127</v>
      </c>
      <c r="Z835" s="105">
        <v>2.379995786891221E-2</v>
      </c>
      <c r="AA835" s="102">
        <v>2.3718220712733995E-2</v>
      </c>
    </row>
    <row r="836" spans="19:27" x14ac:dyDescent="0.2">
      <c r="S836" s="61"/>
      <c r="T836" s="82"/>
      <c r="W836" s="103" t="str">
        <f t="shared" si="21"/>
        <v>1w</v>
      </c>
      <c r="X836" s="101">
        <f>_xll.qlCalendarAdvance(Calendar,X835,W836,"f",FALSE)</f>
        <v>45132</v>
      </c>
      <c r="Y836" s="104">
        <f>_xll.qlCalendarAdvance(Calendar,X836,NDays&amp;"D")</f>
        <v>45134</v>
      </c>
      <c r="Z836" s="105">
        <v>2.3800815023708916E-2</v>
      </c>
      <c r="AA836" s="102">
        <v>2.3722306489570855E-2</v>
      </c>
    </row>
    <row r="837" spans="19:27" x14ac:dyDescent="0.2">
      <c r="S837" s="61"/>
      <c r="T837" s="82"/>
      <c r="W837" s="103" t="str">
        <f t="shared" si="21"/>
        <v>1w</v>
      </c>
      <c r="X837" s="101">
        <f>_xll.qlCalendarAdvance(Calendar,X836,W837,"f",FALSE)</f>
        <v>45139</v>
      </c>
      <c r="Y837" s="104">
        <f>_xll.qlCalendarAdvance(Calendar,X837,NDays&amp;"D")</f>
        <v>45141</v>
      </c>
      <c r="Z837" s="105">
        <v>2.3801433879272232E-2</v>
      </c>
      <c r="AA837" s="102">
        <v>2.3725738373308047E-2</v>
      </c>
    </row>
    <row r="838" spans="19:27" x14ac:dyDescent="0.2">
      <c r="S838" s="61"/>
      <c r="T838" s="82"/>
      <c r="W838" s="103" t="str">
        <f t="shared" si="21"/>
        <v>1w</v>
      </c>
      <c r="X838" s="101">
        <f>_xll.qlCalendarAdvance(Calendar,X837,W838,"f",FALSE)</f>
        <v>45146</v>
      </c>
      <c r="Y838" s="104">
        <f>_xll.qlCalendarAdvance(Calendar,X838,NDays&amp;"D")</f>
        <v>45148</v>
      </c>
      <c r="Z838" s="105">
        <v>2.3801919317419304E-2</v>
      </c>
      <c r="AA838" s="102">
        <v>2.3728516364025509E-2</v>
      </c>
    </row>
    <row r="839" spans="19:27" x14ac:dyDescent="0.2">
      <c r="S839" s="61"/>
      <c r="T839" s="82"/>
      <c r="W839" s="103" t="str">
        <f t="shared" si="21"/>
        <v>1w</v>
      </c>
      <c r="X839" s="101">
        <f>_xll.qlCalendarAdvance(Calendar,X838,W839,"f",FALSE)</f>
        <v>45153</v>
      </c>
      <c r="Y839" s="104">
        <f>_xll.qlCalendarAdvance(Calendar,X839,NDays&amp;"D")</f>
        <v>45155</v>
      </c>
      <c r="Z839" s="105">
        <v>2.3802376220041995E-2</v>
      </c>
      <c r="AA839" s="102">
        <v>2.3730640461643304E-2</v>
      </c>
    </row>
    <row r="840" spans="19:27" x14ac:dyDescent="0.2">
      <c r="S840" s="61"/>
      <c r="T840" s="82"/>
      <c r="W840" s="103" t="str">
        <f t="shared" si="21"/>
        <v>1w</v>
      </c>
      <c r="X840" s="101">
        <f>_xll.qlCalendarAdvance(Calendar,X839,W840,"f",FALSE)</f>
        <v>45160</v>
      </c>
      <c r="Y840" s="104">
        <f>_xll.qlCalendarAdvance(Calendar,X840,NDays&amp;"D")</f>
        <v>45162</v>
      </c>
      <c r="Z840" s="105">
        <v>2.3802909469087787E-2</v>
      </c>
      <c r="AA840" s="102">
        <v>2.3732110666241368E-2</v>
      </c>
    </row>
    <row r="841" spans="19:27" x14ac:dyDescent="0.2">
      <c r="S841" s="61"/>
      <c r="T841" s="82"/>
      <c r="W841" s="103" t="str">
        <f t="shared" si="21"/>
        <v>1w</v>
      </c>
      <c r="X841" s="101">
        <f>_xll.qlCalendarAdvance(Calendar,X840,W841,"f",FALSE)</f>
        <v>45167</v>
      </c>
      <c r="Y841" s="104">
        <f>_xll.qlCalendarAdvance(Calendar,X841,NDays&amp;"D")</f>
        <v>45169</v>
      </c>
      <c r="Z841" s="105">
        <v>2.3802718929100766E-2</v>
      </c>
      <c r="AA841" s="102">
        <v>2.3732926977739766E-2</v>
      </c>
    </row>
    <row r="842" spans="19:27" x14ac:dyDescent="0.2">
      <c r="S842" s="61"/>
      <c r="T842" s="82"/>
      <c r="W842" s="103" t="str">
        <f t="shared" si="21"/>
        <v>1w</v>
      </c>
      <c r="X842" s="101">
        <f>_xll.qlCalendarAdvance(Calendar,X841,W842,"f",FALSE)</f>
        <v>45174</v>
      </c>
      <c r="Y842" s="104">
        <f>_xll.qlCalendarAdvance(Calendar,X842,NDays&amp;"D")</f>
        <v>45176</v>
      </c>
      <c r="Z842" s="105">
        <v>2.380367567645815E-2</v>
      </c>
      <c r="AA842" s="102">
        <v>2.3733089396138496E-2</v>
      </c>
    </row>
    <row r="843" spans="19:27" x14ac:dyDescent="0.2">
      <c r="S843" s="61"/>
      <c r="T843" s="82"/>
      <c r="W843" s="103" t="str">
        <f t="shared" si="21"/>
        <v>1w</v>
      </c>
      <c r="X843" s="101">
        <f>_xll.qlCalendarAdvance(Calendar,X842,W843,"f",FALSE)</f>
        <v>45181</v>
      </c>
      <c r="Y843" s="104">
        <f>_xll.qlCalendarAdvance(Calendar,X843,NDays&amp;"D")</f>
        <v>45183</v>
      </c>
      <c r="Z843" s="105">
        <v>2.3805019768719814E-2</v>
      </c>
      <c r="AA843" s="102">
        <v>2.3732597921437559E-2</v>
      </c>
    </row>
    <row r="844" spans="19:27" x14ac:dyDescent="0.2">
      <c r="S844" s="61"/>
      <c r="T844" s="82"/>
      <c r="W844" s="103" t="str">
        <f t="shared" si="21"/>
        <v>1w</v>
      </c>
      <c r="X844" s="101">
        <f>_xll.qlCalendarAdvance(Calendar,X843,W844,"f",FALSE)</f>
        <v>45188</v>
      </c>
      <c r="Y844" s="104">
        <f>_xll.qlCalendarAdvance(Calendar,X844,NDays&amp;"D")</f>
        <v>45190</v>
      </c>
      <c r="Z844" s="105">
        <v>2.3806857233919589E-2</v>
      </c>
      <c r="AA844" s="102">
        <v>2.3731452553636956E-2</v>
      </c>
    </row>
    <row r="845" spans="19:27" x14ac:dyDescent="0.2">
      <c r="S845" s="61"/>
      <c r="T845" s="82"/>
      <c r="W845" s="103" t="str">
        <f t="shared" si="21"/>
        <v>1w</v>
      </c>
      <c r="X845" s="101">
        <f>_xll.qlCalendarAdvance(Calendar,X844,W845,"f",FALSE)</f>
        <v>45195</v>
      </c>
      <c r="Y845" s="104">
        <f>_xll.qlCalendarAdvance(Calendar,X845,NDays&amp;"D")</f>
        <v>45197</v>
      </c>
      <c r="Z845" s="105">
        <v>2.3809294100448814E-2</v>
      </c>
      <c r="AA845" s="102">
        <v>2.3729825733438403E-2</v>
      </c>
    </row>
    <row r="846" spans="19:27" x14ac:dyDescent="0.2">
      <c r="S846" s="61"/>
      <c r="T846" s="82"/>
      <c r="W846" s="103" t="str">
        <f t="shared" si="21"/>
        <v>1w</v>
      </c>
      <c r="X846" s="101">
        <f>_xll.qlCalendarAdvance(Calendar,X845,W846,"f",FALSE)</f>
        <v>45202</v>
      </c>
      <c r="Y846" s="104">
        <f>_xll.qlCalendarAdvance(Calendar,X846,NDays&amp;"D")</f>
        <v>45204</v>
      </c>
      <c r="Z846" s="105">
        <v>2.3813574633398612E-2</v>
      </c>
      <c r="AA846" s="102">
        <v>2.3728742784108192E-2</v>
      </c>
    </row>
    <row r="847" spans="19:27" x14ac:dyDescent="0.2">
      <c r="S847" s="61"/>
      <c r="T847" s="82"/>
      <c r="W847" s="103" t="str">
        <f t="shared" si="21"/>
        <v>1w</v>
      </c>
      <c r="X847" s="101">
        <f>_xll.qlCalendarAdvance(Calendar,X846,W847,"f",FALSE)</f>
        <v>45209</v>
      </c>
      <c r="Y847" s="104">
        <f>_xll.qlCalendarAdvance(Calendar,X847,NDays&amp;"D")</f>
        <v>45211</v>
      </c>
      <c r="Z847" s="105">
        <v>2.3817478056587637E-2</v>
      </c>
      <c r="AA847" s="102">
        <v>2.3728376146108232E-2</v>
      </c>
    </row>
    <row r="848" spans="19:27" x14ac:dyDescent="0.2">
      <c r="S848" s="61"/>
      <c r="T848" s="82"/>
      <c r="W848" s="103" t="str">
        <f t="shared" si="21"/>
        <v>1w</v>
      </c>
      <c r="X848" s="101">
        <f>_xll.qlCalendarAdvance(Calendar,X847,W848,"f",FALSE)</f>
        <v>45216</v>
      </c>
      <c r="Y848" s="104">
        <f>_xll.qlCalendarAdvance(Calendar,X848,NDays&amp;"D")</f>
        <v>45218</v>
      </c>
      <c r="Z848" s="105">
        <v>2.3822102108346524E-2</v>
      </c>
      <c r="AA848" s="102">
        <v>2.3728725819598395E-2</v>
      </c>
    </row>
    <row r="849" spans="19:27" x14ac:dyDescent="0.2">
      <c r="S849" s="61"/>
      <c r="T849" s="82"/>
      <c r="W849" s="103" t="str">
        <f t="shared" si="21"/>
        <v>1w</v>
      </c>
      <c r="X849" s="101">
        <f>_xll.qlCalendarAdvance(Calendar,X848,W849,"f",FALSE)</f>
        <v>45223</v>
      </c>
      <c r="Y849" s="104">
        <f>_xll.qlCalendarAdvance(Calendar,X849,NDays&amp;"D")</f>
        <v>45225</v>
      </c>
      <c r="Z849" s="105">
        <v>2.3827446791214978E-2</v>
      </c>
      <c r="AA849" s="102">
        <v>2.3729791804578682E-2</v>
      </c>
    </row>
    <row r="850" spans="19:27" x14ac:dyDescent="0.2">
      <c r="S850" s="61"/>
      <c r="T850" s="82"/>
      <c r="W850" s="103" t="str">
        <f t="shared" si="21"/>
        <v>1w</v>
      </c>
      <c r="X850" s="101">
        <f>_xll.qlCalendarAdvance(Calendar,X849,W850,"f",FALSE)</f>
        <v>45230</v>
      </c>
      <c r="Y850" s="104">
        <f>_xll.qlCalendarAdvance(Calendar,X850,NDays&amp;"D")</f>
        <v>45232</v>
      </c>
      <c r="Z850" s="105">
        <v>2.3833512108126304E-2</v>
      </c>
      <c r="AA850" s="102">
        <v>2.3731574100969155E-2</v>
      </c>
    </row>
    <row r="851" spans="19:27" x14ac:dyDescent="0.2">
      <c r="S851" s="61"/>
      <c r="T851" s="82"/>
      <c r="W851" s="103" t="str">
        <f t="shared" si="21"/>
        <v>1w</v>
      </c>
      <c r="X851" s="101">
        <f>_xll.qlCalendarAdvance(Calendar,X850,W851,"f",FALSE)</f>
        <v>45237</v>
      </c>
      <c r="Y851" s="104">
        <f>_xll.qlCalendarAdvance(Calendar,X851,NDays&amp;"D")</f>
        <v>45239</v>
      </c>
      <c r="Z851" s="105">
        <v>2.3840298062410885E-2</v>
      </c>
      <c r="AA851" s="102">
        <v>2.3734072708929688E-2</v>
      </c>
    </row>
    <row r="852" spans="19:27" x14ac:dyDescent="0.2">
      <c r="S852" s="61"/>
      <c r="T852" s="82"/>
      <c r="W852" s="103" t="str">
        <f t="shared" si="21"/>
        <v>1w</v>
      </c>
      <c r="X852" s="101">
        <f>_xll.qlCalendarAdvance(Calendar,X851,W852,"f",FALSE)</f>
        <v>45244</v>
      </c>
      <c r="Y852" s="104">
        <f>_xll.qlCalendarAdvance(Calendar,X852,NDays&amp;"D")</f>
        <v>45246</v>
      </c>
      <c r="Z852" s="105">
        <v>2.3847804657796172E-2</v>
      </c>
      <c r="AA852" s="102">
        <v>2.3737287628220471E-2</v>
      </c>
    </row>
    <row r="853" spans="19:27" x14ac:dyDescent="0.2">
      <c r="S853" s="61"/>
      <c r="T853" s="82"/>
      <c r="W853" s="103" t="str">
        <f t="shared" ref="W853:W916" si="22">W852</f>
        <v>1w</v>
      </c>
      <c r="X853" s="101">
        <f>_xll.qlCalendarAdvance(Calendar,X852,W853,"f",FALSE)</f>
        <v>45251</v>
      </c>
      <c r="Y853" s="104">
        <f>_xll.qlCalendarAdvance(Calendar,X853,NDays&amp;"D")</f>
        <v>45253</v>
      </c>
      <c r="Z853" s="105">
        <v>2.3856031898404954E-2</v>
      </c>
      <c r="AA853" s="102">
        <v>2.3741218859161251E-2</v>
      </c>
    </row>
    <row r="854" spans="19:27" x14ac:dyDescent="0.2">
      <c r="S854" s="61"/>
      <c r="T854" s="82"/>
      <c r="W854" s="103" t="str">
        <f t="shared" si="22"/>
        <v>1w</v>
      </c>
      <c r="X854" s="101">
        <f>_xll.qlCalendarAdvance(Calendar,X853,W854,"f",FALSE)</f>
        <v>45258</v>
      </c>
      <c r="Y854" s="104">
        <f>_xll.qlCalendarAdvance(Calendar,X854,NDays&amp;"D")</f>
        <v>45260</v>
      </c>
      <c r="Z854" s="105">
        <v>2.3863415263166821E-2</v>
      </c>
      <c r="AA854" s="102">
        <v>2.3745866401512217E-2</v>
      </c>
    </row>
    <row r="855" spans="19:27" x14ac:dyDescent="0.2">
      <c r="S855" s="61"/>
      <c r="T855" s="82"/>
      <c r="W855" s="103" t="str">
        <f t="shared" si="22"/>
        <v>1w</v>
      </c>
      <c r="X855" s="101">
        <f>_xll.qlCalendarAdvance(Calendar,X854,W855,"f",FALSE)</f>
        <v>45265</v>
      </c>
      <c r="Y855" s="104">
        <f>_xll.qlCalendarAdvance(Calendar,X855,NDays&amp;"D")</f>
        <v>45267</v>
      </c>
      <c r="Z855" s="105">
        <v>2.3873031696711674E-2</v>
      </c>
      <c r="AA855" s="102">
        <v>2.3751230255513178E-2</v>
      </c>
    </row>
    <row r="856" spans="19:27" x14ac:dyDescent="0.2">
      <c r="S856" s="61"/>
      <c r="T856" s="82"/>
      <c r="W856" s="103" t="str">
        <f t="shared" si="22"/>
        <v>1w</v>
      </c>
      <c r="X856" s="101">
        <f>_xll.qlCalendarAdvance(Calendar,X855,W856,"f",FALSE)</f>
        <v>45272</v>
      </c>
      <c r="Y856" s="104">
        <f>_xll.qlCalendarAdvance(Calendar,X856,NDays&amp;"D")</f>
        <v>45274</v>
      </c>
      <c r="Z856" s="105">
        <v>2.388336874188755E-2</v>
      </c>
      <c r="AA856" s="102">
        <v>2.3757310421084199E-2</v>
      </c>
    </row>
    <row r="857" spans="19:27" x14ac:dyDescent="0.2">
      <c r="S857" s="61"/>
      <c r="T857" s="82"/>
      <c r="W857" s="103" t="str">
        <f t="shared" si="22"/>
        <v>1w</v>
      </c>
      <c r="X857" s="101">
        <f>_xll.qlCalendarAdvance(Calendar,X856,W857,"f",FALSE)</f>
        <v>45279</v>
      </c>
      <c r="Y857" s="104">
        <f>_xll.qlCalendarAdvance(Calendar,X857,NDays&amp;"D")</f>
        <v>45281</v>
      </c>
      <c r="Z857" s="105">
        <v>2.3894426404310182E-2</v>
      </c>
      <c r="AA857" s="102">
        <v>2.376618031630251E-2</v>
      </c>
    </row>
    <row r="858" spans="19:27" x14ac:dyDescent="0.2">
      <c r="S858" s="61"/>
      <c r="T858" s="82"/>
      <c r="W858" s="103" t="str">
        <f t="shared" si="22"/>
        <v>1w</v>
      </c>
      <c r="X858" s="101">
        <f>_xll.qlCalendarAdvance(Calendar,X857,W858,"f",FALSE)</f>
        <v>45287</v>
      </c>
      <c r="Y858" s="104">
        <f>_xll.qlCalendarAdvance(Calendar,X858,NDays&amp;"D")</f>
        <v>45289</v>
      </c>
      <c r="Z858" s="105">
        <v>2.3906170465765264E-2</v>
      </c>
      <c r="AA858" s="102">
        <v>2.377389776562211E-2</v>
      </c>
    </row>
    <row r="859" spans="19:27" x14ac:dyDescent="0.2">
      <c r="S859" s="61"/>
      <c r="T859" s="82"/>
      <c r="W859" s="103" t="str">
        <f t="shared" si="22"/>
        <v>1w</v>
      </c>
      <c r="X859" s="101">
        <f>_xll.qlCalendarAdvance(Calendar,X858,W859,"f",FALSE)</f>
        <v>45294</v>
      </c>
      <c r="Y859" s="104">
        <f>_xll.qlCalendarAdvance(Calendar,X859,NDays&amp;"D")</f>
        <v>45296</v>
      </c>
      <c r="Z859" s="105">
        <v>2.3920547991941578E-2</v>
      </c>
      <c r="AA859" s="102">
        <v>2.378108284791125E-2</v>
      </c>
    </row>
    <row r="860" spans="19:27" x14ac:dyDescent="0.2">
      <c r="S860" s="61"/>
      <c r="T860" s="82"/>
      <c r="W860" s="103" t="str">
        <f t="shared" si="22"/>
        <v>1w</v>
      </c>
      <c r="X860" s="101">
        <f>_xll.qlCalendarAdvance(Calendar,X859,W860,"f",FALSE)</f>
        <v>45301</v>
      </c>
      <c r="Y860" s="104">
        <f>_xll.qlCalendarAdvance(Calendar,X860,NDays&amp;"D")</f>
        <v>45303</v>
      </c>
      <c r="Z860" s="105">
        <v>2.3933870492344664E-2</v>
      </c>
      <c r="AA860" s="102">
        <v>2.3790130590466418E-2</v>
      </c>
    </row>
    <row r="861" spans="19:27" x14ac:dyDescent="0.2">
      <c r="S861" s="61"/>
      <c r="T861" s="82"/>
      <c r="W861" s="103" t="str">
        <f t="shared" si="22"/>
        <v>1w</v>
      </c>
      <c r="X861" s="101">
        <f>_xll.qlCalendarAdvance(Calendar,X860,W861,"f",FALSE)</f>
        <v>45308</v>
      </c>
      <c r="Y861" s="104">
        <f>_xll.qlCalendarAdvance(Calendar,X861,NDays&amp;"D")</f>
        <v>45310</v>
      </c>
      <c r="Z861" s="105">
        <v>2.3947913637424875E-2</v>
      </c>
      <c r="AA861" s="102">
        <v>2.3799894644751518E-2</v>
      </c>
    </row>
    <row r="862" spans="19:27" x14ac:dyDescent="0.2">
      <c r="S862" s="61"/>
      <c r="T862" s="82"/>
      <c r="W862" s="103" t="str">
        <f t="shared" si="22"/>
        <v>1w</v>
      </c>
      <c r="X862" s="101">
        <f>_xll.qlCalendarAdvance(Calendar,X861,W862,"f",FALSE)</f>
        <v>45315</v>
      </c>
      <c r="Y862" s="104">
        <f>_xll.qlCalendarAdvance(Calendar,X862,NDays&amp;"D")</f>
        <v>45317</v>
      </c>
      <c r="Z862" s="105">
        <v>2.3962677434809506E-2</v>
      </c>
      <c r="AA862" s="102">
        <v>2.3810375011086293E-2</v>
      </c>
    </row>
    <row r="863" spans="19:27" x14ac:dyDescent="0.2">
      <c r="S863" s="61"/>
      <c r="T863" s="82"/>
      <c r="W863" s="103" t="str">
        <f t="shared" si="22"/>
        <v>1w</v>
      </c>
      <c r="X863" s="101">
        <f>_xll.qlCalendarAdvance(Calendar,X862,W863,"f",FALSE)</f>
        <v>45322</v>
      </c>
      <c r="Y863" s="104">
        <f>_xll.qlCalendarAdvance(Calendar,X863,NDays&amp;"D")</f>
        <v>45324</v>
      </c>
      <c r="Z863" s="105">
        <v>2.397612421444073E-2</v>
      </c>
      <c r="AA863" s="102">
        <v>2.3821571689230936E-2</v>
      </c>
    </row>
    <row r="864" spans="19:27" x14ac:dyDescent="0.2">
      <c r="S864" s="61"/>
      <c r="T864" s="82"/>
      <c r="W864" s="103" t="str">
        <f t="shared" si="22"/>
        <v>1w</v>
      </c>
      <c r="X864" s="101">
        <f>_xll.qlCalendarAdvance(Calendar,X863,W864,"f",FALSE)</f>
        <v>45329</v>
      </c>
      <c r="Y864" s="104">
        <f>_xll.qlCalendarAdvance(Calendar,X864,NDays&amp;"D")</f>
        <v>45331</v>
      </c>
      <c r="Z864" s="105">
        <v>2.3994367018965405E-2</v>
      </c>
      <c r="AA864" s="102">
        <v>2.383348467950519E-2</v>
      </c>
    </row>
    <row r="865" spans="19:27" x14ac:dyDescent="0.2">
      <c r="S865" s="61"/>
      <c r="T865" s="82"/>
      <c r="W865" s="103" t="str">
        <f t="shared" si="22"/>
        <v>1w</v>
      </c>
      <c r="X865" s="101">
        <f>_xll.qlCalendarAdvance(Calendar,X864,W865,"f",FALSE)</f>
        <v>45336</v>
      </c>
      <c r="Y865" s="104">
        <f>_xll.qlCalendarAdvance(Calendar,X865,NDays&amp;"D")</f>
        <v>45338</v>
      </c>
      <c r="Z865" s="105">
        <v>2.4009149995515067E-2</v>
      </c>
      <c r="AA865" s="102">
        <v>2.384611398182912E-2</v>
      </c>
    </row>
    <row r="866" spans="19:27" x14ac:dyDescent="0.2">
      <c r="S866" s="61"/>
      <c r="T866" s="82"/>
      <c r="W866" s="103" t="str">
        <f t="shared" si="22"/>
        <v>1w</v>
      </c>
      <c r="X866" s="101">
        <f>_xll.qlCalendarAdvance(Calendar,X865,W866,"f",FALSE)</f>
        <v>45343</v>
      </c>
      <c r="Y866" s="104">
        <f>_xll.qlCalendarAdvance(Calendar,X866,NDays&amp;"D")</f>
        <v>45345</v>
      </c>
      <c r="Z866" s="105">
        <v>2.4026743837473497E-2</v>
      </c>
      <c r="AA866" s="102">
        <v>2.3859459596202726E-2</v>
      </c>
    </row>
    <row r="867" spans="19:27" x14ac:dyDescent="0.2">
      <c r="S867" s="61"/>
      <c r="T867" s="82"/>
      <c r="W867" s="103" t="str">
        <f t="shared" si="22"/>
        <v>1w</v>
      </c>
      <c r="X867" s="101">
        <f>_xll.qlCalendarAdvance(Calendar,X866,W867,"f",FALSE)</f>
        <v>45350</v>
      </c>
      <c r="Y867" s="104">
        <f>_xll.qlCalendarAdvance(Calendar,X867,NDays&amp;"D")</f>
        <v>45352</v>
      </c>
      <c r="Z867" s="105">
        <v>2.4054081816221852E-2</v>
      </c>
      <c r="AA867" s="102">
        <v>2.3873521522945751E-2</v>
      </c>
    </row>
    <row r="868" spans="19:27" x14ac:dyDescent="0.2">
      <c r="S868" s="61"/>
      <c r="T868" s="82"/>
      <c r="W868" s="103" t="str">
        <f t="shared" si="22"/>
        <v>1w</v>
      </c>
      <c r="X868" s="101">
        <f>_xll.qlCalendarAdvance(Calendar,X867,W868,"f",FALSE)</f>
        <v>45357</v>
      </c>
      <c r="Y868" s="104">
        <f>_xll.qlCalendarAdvance(Calendar,X868,NDays&amp;"D")</f>
        <v>45359</v>
      </c>
      <c r="Z868" s="105">
        <v>2.4073327996585316E-2</v>
      </c>
      <c r="AA868" s="102">
        <v>2.3888299761898324E-2</v>
      </c>
    </row>
    <row r="869" spans="19:27" x14ac:dyDescent="0.2">
      <c r="S869" s="61"/>
      <c r="T869" s="82"/>
      <c r="W869" s="103" t="str">
        <f t="shared" si="22"/>
        <v>1w</v>
      </c>
      <c r="X869" s="101">
        <f>_xll.qlCalendarAdvance(Calendar,X868,W869,"f",FALSE)</f>
        <v>45364</v>
      </c>
      <c r="Y869" s="104">
        <f>_xll.qlCalendarAdvance(Calendar,X869,NDays&amp;"D")</f>
        <v>45366</v>
      </c>
      <c r="Z869" s="105">
        <v>2.4093295043275408E-2</v>
      </c>
      <c r="AA869" s="102">
        <v>2.3903794313300253E-2</v>
      </c>
    </row>
    <row r="870" spans="19:27" x14ac:dyDescent="0.2">
      <c r="S870" s="61"/>
      <c r="T870" s="82"/>
      <c r="W870" s="103" t="str">
        <f t="shared" si="22"/>
        <v>1w</v>
      </c>
      <c r="X870" s="101">
        <f>_xll.qlCalendarAdvance(Calendar,X869,W870,"f",FALSE)</f>
        <v>45371</v>
      </c>
      <c r="Y870" s="104">
        <f>_xll.qlCalendarAdvance(Calendar,X870,NDays&amp;"D")</f>
        <v>45373</v>
      </c>
      <c r="Z870" s="105">
        <v>2.4113982967495937E-2</v>
      </c>
      <c r="AA870" s="102">
        <v>2.3920005177231474E-2</v>
      </c>
    </row>
    <row r="871" spans="19:27" x14ac:dyDescent="0.2">
      <c r="S871" s="61"/>
      <c r="T871" s="82"/>
      <c r="W871" s="103" t="str">
        <f t="shared" si="22"/>
        <v>1w</v>
      </c>
      <c r="X871" s="101">
        <f>_xll.qlCalendarAdvance(Calendar,X870,W871,"f",FALSE)</f>
        <v>45378</v>
      </c>
      <c r="Y871" s="104">
        <f>_xll.qlCalendarAdvance(Calendar,X871,NDays&amp;"D")</f>
        <v>45384</v>
      </c>
      <c r="Z871" s="105">
        <v>2.4140448919302556E-2</v>
      </c>
      <c r="AA871" s="102">
        <v>2.3941900257540283E-2</v>
      </c>
    </row>
    <row r="872" spans="19:27" x14ac:dyDescent="0.2">
      <c r="S872" s="61"/>
      <c r="T872" s="82"/>
      <c r="W872" s="103" t="str">
        <f t="shared" si="22"/>
        <v>1w</v>
      </c>
      <c r="X872" s="101">
        <f>_xll.qlCalendarAdvance(Calendar,X871,W872,"f",FALSE)</f>
        <v>45385</v>
      </c>
      <c r="Y872" s="104">
        <f>_xll.qlCalendarAdvance(Calendar,X872,NDays&amp;"D")</f>
        <v>45387</v>
      </c>
      <c r="Z872" s="105">
        <v>2.4149953243504059E-2</v>
      </c>
      <c r="AA872" s="102">
        <v>2.3954575842921599E-2</v>
      </c>
    </row>
    <row r="873" spans="19:27" x14ac:dyDescent="0.2">
      <c r="S873" s="61"/>
      <c r="T873" s="82"/>
      <c r="W873" s="103" t="str">
        <f t="shared" si="22"/>
        <v>1w</v>
      </c>
      <c r="X873" s="101">
        <f>_xll.qlCalendarAdvance(Calendar,X872,W873,"f",FALSE)</f>
        <v>45392</v>
      </c>
      <c r="Y873" s="104">
        <f>_xll.qlCalendarAdvance(Calendar,X873,NDays&amp;"D")</f>
        <v>45394</v>
      </c>
      <c r="Z873" s="105">
        <v>2.417264483165453E-2</v>
      </c>
      <c r="AA873" s="102">
        <v>2.3972935644920312E-2</v>
      </c>
    </row>
    <row r="874" spans="19:27" x14ac:dyDescent="0.2">
      <c r="S874" s="61"/>
      <c r="T874" s="82"/>
      <c r="W874" s="103" t="str">
        <f t="shared" si="22"/>
        <v>1w</v>
      </c>
      <c r="X874" s="101">
        <f>_xll.qlCalendarAdvance(Calendar,X873,W874,"f",FALSE)</f>
        <v>45399</v>
      </c>
      <c r="Y874" s="104">
        <f>_xll.qlCalendarAdvance(Calendar,X874,NDays&amp;"D")</f>
        <v>45401</v>
      </c>
      <c r="Z874" s="105">
        <v>2.4196057194182326E-2</v>
      </c>
      <c r="AA874" s="102">
        <v>2.3992011759847998E-2</v>
      </c>
    </row>
    <row r="875" spans="19:27" x14ac:dyDescent="0.2">
      <c r="S875" s="61"/>
      <c r="T875" s="82"/>
      <c r="W875" s="103" t="str">
        <f t="shared" si="22"/>
        <v>1w</v>
      </c>
      <c r="X875" s="101">
        <f>_xll.qlCalendarAdvance(Calendar,X874,W875,"f",FALSE)</f>
        <v>45406</v>
      </c>
      <c r="Y875" s="104">
        <f>_xll.qlCalendarAdvance(Calendar,X875,NDays&amp;"D")</f>
        <v>45408</v>
      </c>
      <c r="Z875" s="105">
        <v>2.4220190343806944E-2</v>
      </c>
      <c r="AA875" s="102">
        <v>2.4014048053317971E-2</v>
      </c>
    </row>
    <row r="876" spans="19:27" x14ac:dyDescent="0.2">
      <c r="S876" s="61"/>
      <c r="T876" s="82"/>
      <c r="W876" s="103" t="str">
        <f t="shared" si="22"/>
        <v>1w</v>
      </c>
      <c r="X876" s="101">
        <f>_xll.qlCalendarAdvance(Calendar,X875,W876,"f",FALSE)</f>
        <v>45414</v>
      </c>
      <c r="Y876" s="104">
        <f>_xll.qlCalendarAdvance(Calendar,X876,NDays&amp;"D")</f>
        <v>45418</v>
      </c>
      <c r="Z876" s="105">
        <v>2.4258669351249786E-2</v>
      </c>
      <c r="AA876" s="102">
        <v>2.4037605135642792E-2</v>
      </c>
    </row>
    <row r="877" spans="19:27" x14ac:dyDescent="0.2">
      <c r="S877" s="61"/>
      <c r="T877" s="82"/>
      <c r="W877" s="103" t="str">
        <f t="shared" si="22"/>
        <v>1w</v>
      </c>
      <c r="X877" s="101">
        <f>_xll.qlCalendarAdvance(Calendar,X876,W877,"f",FALSE)</f>
        <v>45422</v>
      </c>
      <c r="Y877" s="104">
        <f>_xll.qlCalendarAdvance(Calendar,X877,NDays&amp;"D")</f>
        <v>45426</v>
      </c>
      <c r="Z877" s="105">
        <v>2.4288370392434543E-2</v>
      </c>
      <c r="AA877" s="102">
        <v>2.4059733852181964E-2</v>
      </c>
    </row>
    <row r="878" spans="19:27" x14ac:dyDescent="0.2">
      <c r="S878" s="61"/>
      <c r="T878" s="82"/>
      <c r="W878" s="103" t="str">
        <f t="shared" si="22"/>
        <v>1w</v>
      </c>
      <c r="X878" s="101">
        <f>_xll.qlCalendarAdvance(Calendar,X877,W878,"f",FALSE)</f>
        <v>45429</v>
      </c>
      <c r="Y878" s="104">
        <f>_xll.qlCalendarAdvance(Calendar,X878,NDays&amp;"D")</f>
        <v>45434</v>
      </c>
      <c r="Z878" s="105">
        <v>2.4319013000539381E-2</v>
      </c>
      <c r="AA878" s="102">
        <v>2.4089955595183454E-2</v>
      </c>
    </row>
    <row r="879" spans="19:27" x14ac:dyDescent="0.2">
      <c r="S879" s="61"/>
      <c r="T879" s="82"/>
      <c r="W879" s="103" t="str">
        <f t="shared" si="22"/>
        <v>1w</v>
      </c>
      <c r="X879" s="101">
        <f>_xll.qlCalendarAdvance(Calendar,X878,W879,"f",FALSE)</f>
        <v>45436</v>
      </c>
      <c r="Y879" s="104">
        <f>_xll.qlCalendarAdvance(Calendar,X879,NDays&amp;"D")</f>
        <v>45440</v>
      </c>
      <c r="Z879" s="105">
        <v>2.4342612873108592E-2</v>
      </c>
      <c r="AA879" s="102">
        <v>2.4104742223292064E-2</v>
      </c>
    </row>
    <row r="880" spans="19:27" x14ac:dyDescent="0.2">
      <c r="S880" s="61"/>
      <c r="T880" s="82"/>
      <c r="W880" s="103" t="str">
        <f t="shared" si="22"/>
        <v>1w</v>
      </c>
      <c r="X880" s="101">
        <f>_xll.qlCalendarAdvance(Calendar,X879,W880,"f",FALSE)</f>
        <v>45443</v>
      </c>
      <c r="Y880" s="104">
        <f>_xll.qlCalendarAdvance(Calendar,X880,NDays&amp;"D")</f>
        <v>45447</v>
      </c>
      <c r="Z880" s="105">
        <v>2.437081548132955E-2</v>
      </c>
      <c r="AA880" s="102">
        <v>2.4128320879279741E-2</v>
      </c>
    </row>
    <row r="881" spans="19:27" x14ac:dyDescent="0.2">
      <c r="S881" s="61"/>
      <c r="T881" s="82"/>
      <c r="W881" s="103" t="str">
        <f t="shared" si="22"/>
        <v>1w</v>
      </c>
      <c r="X881" s="101">
        <f>_xll.qlCalendarAdvance(Calendar,X880,W881,"f",FALSE)</f>
        <v>45450</v>
      </c>
      <c r="Y881" s="104">
        <f>_xll.qlCalendarAdvance(Calendar,X881,NDays&amp;"D")</f>
        <v>45454</v>
      </c>
      <c r="Z881" s="105">
        <v>2.4399739021991211E-2</v>
      </c>
      <c r="AA881" s="102">
        <v>2.4152615849075687E-2</v>
      </c>
    </row>
    <row r="882" spans="19:27" x14ac:dyDescent="0.2">
      <c r="S882" s="61"/>
      <c r="T882" s="82"/>
      <c r="W882" s="103" t="str">
        <f t="shared" si="22"/>
        <v>1w</v>
      </c>
      <c r="X882" s="101">
        <f>_xll.qlCalendarAdvance(Calendar,X881,W882,"f",FALSE)</f>
        <v>45457</v>
      </c>
      <c r="Y882" s="104">
        <f>_xll.qlCalendarAdvance(Calendar,X882,NDays&amp;"D")</f>
        <v>45461</v>
      </c>
      <c r="Z882" s="105">
        <v>2.4429383510979993E-2</v>
      </c>
      <c r="AA882" s="102">
        <v>2.4185525890867421E-2</v>
      </c>
    </row>
    <row r="883" spans="19:27" x14ac:dyDescent="0.2">
      <c r="S883" s="61"/>
      <c r="T883" s="82"/>
      <c r="W883" s="103" t="str">
        <f t="shared" si="22"/>
        <v>1w</v>
      </c>
      <c r="X883" s="101">
        <f>_xll.qlCalendarAdvance(Calendar,X882,W883,"f",FALSE)</f>
        <v>45467</v>
      </c>
      <c r="Y883" s="104">
        <f>_xll.qlCalendarAdvance(Calendar,X883,NDays&amp;"D")</f>
        <v>45469</v>
      </c>
      <c r="Z883" s="105">
        <v>2.4464145741739145E-2</v>
      </c>
      <c r="AA883" s="102">
        <v>2.4212470186135704E-2</v>
      </c>
    </row>
    <row r="884" spans="19:27" x14ac:dyDescent="0.2">
      <c r="S884" s="61"/>
      <c r="T884" s="82"/>
      <c r="W884" s="103" t="str">
        <f t="shared" si="22"/>
        <v>1w</v>
      </c>
      <c r="X884" s="101">
        <f>_xll.qlCalendarAdvance(Calendar,X883,W884,"f",FALSE)</f>
        <v>45474</v>
      </c>
      <c r="Y884" s="104">
        <f>_xll.qlCalendarAdvance(Calendar,X884,NDays&amp;"D")</f>
        <v>45476</v>
      </c>
      <c r="Z884" s="105">
        <v>2.4495333957114653E-2</v>
      </c>
      <c r="AA884" s="102">
        <v>2.4239122346081388E-2</v>
      </c>
    </row>
    <row r="885" spans="19:27" x14ac:dyDescent="0.2">
      <c r="S885" s="61"/>
      <c r="T885" s="82"/>
      <c r="W885" s="103" t="str">
        <f t="shared" si="22"/>
        <v>1w</v>
      </c>
      <c r="X885" s="101">
        <f>_xll.qlCalendarAdvance(Calendar,X884,W885,"f",FALSE)</f>
        <v>45481</v>
      </c>
      <c r="Y885" s="104">
        <f>_xll.qlCalendarAdvance(Calendar,X885,NDays&amp;"D")</f>
        <v>45483</v>
      </c>
      <c r="Z885" s="105">
        <v>2.4527200490350298E-2</v>
      </c>
      <c r="AA885" s="102">
        <v>2.4266490921034389E-2</v>
      </c>
    </row>
    <row r="886" spans="19:27" x14ac:dyDescent="0.2">
      <c r="S886" s="61"/>
      <c r="T886" s="82"/>
      <c r="W886" s="103" t="str">
        <f t="shared" si="22"/>
        <v>1w</v>
      </c>
      <c r="X886" s="101">
        <f>_xll.qlCalendarAdvance(Calendar,X885,W886,"f",FALSE)</f>
        <v>45488</v>
      </c>
      <c r="Y886" s="104">
        <f>_xll.qlCalendarAdvance(Calendar,X886,NDays&amp;"D")</f>
        <v>45490</v>
      </c>
      <c r="Z886" s="105">
        <v>2.4559655389095304E-2</v>
      </c>
      <c r="AA886" s="102">
        <v>2.4294575911474325E-2</v>
      </c>
    </row>
    <row r="887" spans="19:27" x14ac:dyDescent="0.2">
      <c r="S887" s="61"/>
      <c r="T887" s="82"/>
      <c r="W887" s="103" t="str">
        <f t="shared" si="22"/>
        <v>1w</v>
      </c>
      <c r="X887" s="101">
        <f>_xll.qlCalendarAdvance(Calendar,X886,W887,"f",FALSE)</f>
        <v>45495</v>
      </c>
      <c r="Y887" s="104">
        <f>_xll.qlCalendarAdvance(Calendar,X887,NDays&amp;"D")</f>
        <v>45497</v>
      </c>
      <c r="Z887" s="105">
        <v>2.4592605810637016E-2</v>
      </c>
      <c r="AA887" s="102">
        <v>2.4323377317880812E-2</v>
      </c>
    </row>
    <row r="888" spans="19:27" x14ac:dyDescent="0.2">
      <c r="S888" s="61"/>
      <c r="T888" s="82"/>
      <c r="W888" s="103" t="str">
        <f t="shared" si="22"/>
        <v>1w</v>
      </c>
      <c r="X888" s="101">
        <f>_xll.qlCalendarAdvance(Calendar,X887,W888,"f",FALSE)</f>
        <v>45502</v>
      </c>
      <c r="Y888" s="104">
        <f>_xll.qlCalendarAdvance(Calendar,X888,NDays&amp;"D")</f>
        <v>45504</v>
      </c>
      <c r="Z888" s="105">
        <v>2.462595890936858E-2</v>
      </c>
      <c r="AA888" s="102">
        <v>2.4352895140813402E-2</v>
      </c>
    </row>
    <row r="889" spans="19:27" x14ac:dyDescent="0.2">
      <c r="S889" s="61"/>
      <c r="T889" s="82"/>
      <c r="W889" s="103" t="str">
        <f t="shared" si="22"/>
        <v>1w</v>
      </c>
      <c r="X889" s="101">
        <f>_xll.qlCalendarAdvance(Calendar,X888,W889,"f",FALSE)</f>
        <v>45509</v>
      </c>
      <c r="Y889" s="104">
        <f>_xll.qlCalendarAdvance(Calendar,X889,NDays&amp;"D")</f>
        <v>45511</v>
      </c>
      <c r="Z889" s="105">
        <v>2.4659621836677723E-2</v>
      </c>
      <c r="AA889" s="102">
        <v>2.4383129380805002E-2</v>
      </c>
    </row>
    <row r="890" spans="19:27" x14ac:dyDescent="0.2">
      <c r="S890" s="61"/>
      <c r="T890" s="82"/>
      <c r="W890" s="103" t="str">
        <f t="shared" si="22"/>
        <v>1w</v>
      </c>
      <c r="X890" s="101">
        <f>_xll.qlCalendarAdvance(Calendar,X889,W890,"f",FALSE)</f>
        <v>45516</v>
      </c>
      <c r="Y890" s="104">
        <f>_xll.qlCalendarAdvance(Calendar,X890,NDays&amp;"D")</f>
        <v>45518</v>
      </c>
      <c r="Z890" s="105">
        <v>2.4693501740871152E-2</v>
      </c>
      <c r="AA890" s="102">
        <v>2.4414080038361874E-2</v>
      </c>
    </row>
    <row r="891" spans="19:27" x14ac:dyDescent="0.2">
      <c r="S891" s="61"/>
      <c r="T891" s="82"/>
      <c r="W891" s="103" t="str">
        <f t="shared" si="22"/>
        <v>1w</v>
      </c>
      <c r="X891" s="101">
        <f>_xll.qlCalendarAdvance(Calendar,X890,W891,"f",FALSE)</f>
        <v>45523</v>
      </c>
      <c r="Y891" s="104">
        <f>_xll.qlCalendarAdvance(Calendar,X891,NDays&amp;"D")</f>
        <v>45525</v>
      </c>
      <c r="Z891" s="105">
        <v>2.472750576710505E-2</v>
      </c>
      <c r="AA891" s="102">
        <v>2.4445747114070215E-2</v>
      </c>
    </row>
    <row r="892" spans="19:27" x14ac:dyDescent="0.2">
      <c r="S892" s="61"/>
      <c r="T892" s="82"/>
      <c r="W892" s="103" t="str">
        <f t="shared" si="22"/>
        <v>1w</v>
      </c>
      <c r="X892" s="101">
        <f>_xll.qlCalendarAdvance(Calendar,X891,W892,"f",FALSE)</f>
        <v>45530</v>
      </c>
      <c r="Y892" s="104">
        <f>_xll.qlCalendarAdvance(Calendar,X892,NDays&amp;"D")</f>
        <v>45532</v>
      </c>
      <c r="Z892" s="105">
        <v>2.4761541057348593E-2</v>
      </c>
      <c r="AA892" s="102">
        <v>2.4478130608436288E-2</v>
      </c>
    </row>
    <row r="893" spans="19:27" x14ac:dyDescent="0.2">
      <c r="S893" s="61"/>
      <c r="T893" s="82"/>
      <c r="W893" s="103" t="str">
        <f t="shared" si="22"/>
        <v>1w</v>
      </c>
      <c r="X893" s="101">
        <f>_xll.qlCalendarAdvance(Calendar,X892,W893,"f",FALSE)</f>
        <v>45537</v>
      </c>
      <c r="Y893" s="104">
        <f>_xll.qlCalendarAdvance(Calendar,X893,NDays&amp;"D")</f>
        <v>45539</v>
      </c>
      <c r="Z893" s="105">
        <v>2.4792279978396E-2</v>
      </c>
      <c r="AA893" s="102">
        <v>2.4511230522099581E-2</v>
      </c>
    </row>
    <row r="894" spans="19:27" x14ac:dyDescent="0.2">
      <c r="S894" s="61"/>
      <c r="T894" s="82"/>
      <c r="W894" s="103" t="str">
        <f t="shared" si="22"/>
        <v>1w</v>
      </c>
      <c r="X894" s="101">
        <f>_xll.qlCalendarAdvance(Calendar,X893,W894,"f",FALSE)</f>
        <v>45544</v>
      </c>
      <c r="Y894" s="104">
        <f>_xll.qlCalendarAdvance(Calendar,X894,NDays&amp;"D")</f>
        <v>45546</v>
      </c>
      <c r="Z894" s="105">
        <v>2.482612724081126E-2</v>
      </c>
      <c r="AA894" s="102">
        <v>2.4545046855646291E-2</v>
      </c>
    </row>
    <row r="895" spans="19:27" x14ac:dyDescent="0.2">
      <c r="S895" s="61"/>
      <c r="T895" s="82"/>
      <c r="W895" s="103" t="str">
        <f t="shared" si="22"/>
        <v>1w</v>
      </c>
      <c r="X895" s="101">
        <f>_xll.qlCalendarAdvance(Calendar,X894,W895,"f",FALSE)</f>
        <v>45551</v>
      </c>
      <c r="Y895" s="104">
        <f>_xll.qlCalendarAdvance(Calendar,X895,NDays&amp;"D")</f>
        <v>45553</v>
      </c>
      <c r="Z895" s="105">
        <v>2.4859729958154855E-2</v>
      </c>
      <c r="AA895" s="102">
        <v>2.4579579609662616E-2</v>
      </c>
    </row>
    <row r="896" spans="19:27" x14ac:dyDescent="0.2">
      <c r="S896" s="61"/>
      <c r="T896" s="82"/>
      <c r="W896" s="103" t="str">
        <f t="shared" si="22"/>
        <v>1w</v>
      </c>
      <c r="X896" s="101">
        <f>_xll.qlCalendarAdvance(Calendar,X895,W896,"f",FALSE)</f>
        <v>45558</v>
      </c>
      <c r="Y896" s="104">
        <f>_xll.qlCalendarAdvance(Calendar,X896,NDays&amp;"D")</f>
        <v>45560</v>
      </c>
      <c r="Z896" s="105">
        <v>2.4899277883499452E-2</v>
      </c>
      <c r="AA896" s="102">
        <v>2.4614828784788045E-2</v>
      </c>
    </row>
    <row r="897" spans="19:27" x14ac:dyDescent="0.2">
      <c r="S897" s="61"/>
      <c r="T897" s="82"/>
      <c r="W897" s="103" t="str">
        <f t="shared" si="22"/>
        <v>1w</v>
      </c>
      <c r="X897" s="101">
        <f>_xll.qlCalendarAdvance(Calendar,X896,W897,"f",FALSE)</f>
        <v>45565</v>
      </c>
      <c r="Y897" s="104">
        <f>_xll.qlCalendarAdvance(Calendar,X897,NDays&amp;"D")</f>
        <v>45567</v>
      </c>
      <c r="Z897" s="105">
        <v>2.4928936575031545E-2</v>
      </c>
      <c r="AA897" s="102">
        <v>2.4650410665962852E-2</v>
      </c>
    </row>
    <row r="898" spans="19:27" x14ac:dyDescent="0.2">
      <c r="S898" s="61"/>
      <c r="T898" s="82"/>
      <c r="W898" s="103" t="str">
        <f t="shared" si="22"/>
        <v>1w</v>
      </c>
      <c r="X898" s="101">
        <f>_xll.qlCalendarAdvance(Calendar,X897,W898,"f",FALSE)</f>
        <v>45572</v>
      </c>
      <c r="Y898" s="104">
        <f>_xll.qlCalendarAdvance(Calendar,X898,NDays&amp;"D")</f>
        <v>45574</v>
      </c>
      <c r="Z898" s="105">
        <v>2.4961241787303766E-2</v>
      </c>
      <c r="AA898" s="102">
        <v>2.4685533065991194E-2</v>
      </c>
    </row>
    <row r="899" spans="19:27" x14ac:dyDescent="0.2">
      <c r="S899" s="61"/>
      <c r="T899" s="82"/>
      <c r="W899" s="103" t="str">
        <f t="shared" si="22"/>
        <v>1w</v>
      </c>
      <c r="X899" s="101">
        <f>_xll.qlCalendarAdvance(Calendar,X898,W899,"f",FALSE)</f>
        <v>45579</v>
      </c>
      <c r="Y899" s="104">
        <f>_xll.qlCalendarAdvance(Calendar,X899,NDays&amp;"D")</f>
        <v>45581</v>
      </c>
      <c r="Z899" s="105">
        <v>2.4993047569899243E-2</v>
      </c>
      <c r="AA899" s="102">
        <v>2.4720158850710661E-2</v>
      </c>
    </row>
    <row r="900" spans="19:27" x14ac:dyDescent="0.2">
      <c r="S900" s="61"/>
      <c r="T900" s="82"/>
      <c r="W900" s="103" t="str">
        <f t="shared" si="22"/>
        <v>1w</v>
      </c>
      <c r="X900" s="101">
        <f>_xll.qlCalendarAdvance(Calendar,X899,W900,"f",FALSE)</f>
        <v>45586</v>
      </c>
      <c r="Y900" s="104">
        <f>_xll.qlCalendarAdvance(Calendar,X900,NDays&amp;"D")</f>
        <v>45588</v>
      </c>
      <c r="Z900" s="105">
        <v>2.5024353910712876E-2</v>
      </c>
      <c r="AA900" s="102">
        <v>2.4754288019694926E-2</v>
      </c>
    </row>
    <row r="901" spans="19:27" x14ac:dyDescent="0.2">
      <c r="S901" s="61"/>
      <c r="T901" s="82"/>
      <c r="W901" s="103" t="str">
        <f t="shared" si="22"/>
        <v>1w</v>
      </c>
      <c r="X901" s="101">
        <f>_xll.qlCalendarAdvance(Calendar,X900,W901,"f",FALSE)</f>
        <v>45593</v>
      </c>
      <c r="Y901" s="104">
        <f>_xll.qlCalendarAdvance(Calendar,X901,NDays&amp;"D")</f>
        <v>45595</v>
      </c>
      <c r="Z901" s="105">
        <v>2.5055160797828109E-2</v>
      </c>
      <c r="AA901" s="102">
        <v>2.4787920572491018E-2</v>
      </c>
    </row>
    <row r="902" spans="19:27" x14ac:dyDescent="0.2">
      <c r="S902" s="61"/>
      <c r="T902" s="82"/>
      <c r="W902" s="103" t="str">
        <f t="shared" si="22"/>
        <v>1w</v>
      </c>
      <c r="X902" s="101">
        <f>_xll.qlCalendarAdvance(Calendar,X901,W902,"f",FALSE)</f>
        <v>45600</v>
      </c>
      <c r="Y902" s="104">
        <f>_xll.qlCalendarAdvance(Calendar,X902,NDays&amp;"D")</f>
        <v>45602</v>
      </c>
      <c r="Z902" s="105">
        <v>2.5085468219522147E-2</v>
      </c>
      <c r="AA902" s="102">
        <v>2.4821056508699257E-2</v>
      </c>
    </row>
    <row r="903" spans="19:27" x14ac:dyDescent="0.2">
      <c r="S903" s="61"/>
      <c r="T903" s="82"/>
      <c r="W903" s="103" t="str">
        <f t="shared" si="22"/>
        <v>1w</v>
      </c>
      <c r="X903" s="101">
        <f>_xll.qlCalendarAdvance(Calendar,X902,W903,"f",FALSE)</f>
        <v>45607</v>
      </c>
      <c r="Y903" s="104">
        <f>_xll.qlCalendarAdvance(Calendar,X903,NDays&amp;"D")</f>
        <v>45609</v>
      </c>
      <c r="Z903" s="105">
        <v>2.5115276164257259E-2</v>
      </c>
      <c r="AA903" s="102">
        <v>2.4853695827919964E-2</v>
      </c>
    </row>
    <row r="904" spans="19:27" x14ac:dyDescent="0.2">
      <c r="S904" s="61"/>
      <c r="T904" s="82"/>
      <c r="W904" s="103" t="str">
        <f t="shared" si="22"/>
        <v>1w</v>
      </c>
      <c r="X904" s="101">
        <f>_xll.qlCalendarAdvance(Calendar,X903,W904,"f",FALSE)</f>
        <v>45614</v>
      </c>
      <c r="Y904" s="104">
        <f>_xll.qlCalendarAdvance(Calendar,X904,NDays&amp;"D")</f>
        <v>45616</v>
      </c>
      <c r="Z904" s="105">
        <v>2.5144584620687742E-2</v>
      </c>
      <c r="AA904" s="102">
        <v>2.4885838529700166E-2</v>
      </c>
    </row>
    <row r="905" spans="19:27" x14ac:dyDescent="0.2">
      <c r="S905" s="61"/>
      <c r="T905" s="82"/>
      <c r="W905" s="103" t="str">
        <f t="shared" si="22"/>
        <v>1w</v>
      </c>
      <c r="X905" s="101">
        <f>_xll.qlCalendarAdvance(Calendar,X904,W905,"f",FALSE)</f>
        <v>45621</v>
      </c>
      <c r="Y905" s="104">
        <f>_xll.qlCalendarAdvance(Calendar,X905,NDays&amp;"D")</f>
        <v>45623</v>
      </c>
      <c r="Z905" s="105">
        <v>2.5173393577661646E-2</v>
      </c>
      <c r="AA905" s="102">
        <v>2.491748461372012E-2</v>
      </c>
    </row>
    <row r="906" spans="19:27" x14ac:dyDescent="0.2">
      <c r="S906" s="61"/>
      <c r="T906" s="82"/>
      <c r="W906" s="103" t="str">
        <f t="shared" si="22"/>
        <v>1w</v>
      </c>
      <c r="X906" s="101">
        <f>_xll.qlCalendarAdvance(Calendar,X905,W906,"f",FALSE)</f>
        <v>45628</v>
      </c>
      <c r="Y906" s="104">
        <f>_xll.qlCalendarAdvance(Calendar,X906,NDays&amp;"D")</f>
        <v>45630</v>
      </c>
      <c r="Z906" s="105">
        <v>2.5196084233000349E-2</v>
      </c>
      <c r="AA906" s="102">
        <v>2.4948634079500209E-2</v>
      </c>
    </row>
    <row r="907" spans="19:27" x14ac:dyDescent="0.2">
      <c r="S907" s="61"/>
      <c r="T907" s="82"/>
      <c r="W907" s="103" t="str">
        <f t="shared" si="22"/>
        <v>1w</v>
      </c>
      <c r="X907" s="101">
        <f>_xll.qlCalendarAdvance(Calendar,X906,W907,"f",FALSE)</f>
        <v>45635</v>
      </c>
      <c r="Y907" s="104">
        <f>_xll.qlCalendarAdvance(Calendar,X907,NDays&amp;"D")</f>
        <v>45637</v>
      </c>
      <c r="Z907" s="105">
        <v>2.5223961627863112E-2</v>
      </c>
      <c r="AA907" s="102">
        <v>2.497928692672069E-2</v>
      </c>
    </row>
    <row r="908" spans="19:27" x14ac:dyDescent="0.2">
      <c r="S908" s="61"/>
      <c r="T908" s="82"/>
      <c r="W908" s="103" t="str">
        <f t="shared" si="22"/>
        <v>1w</v>
      </c>
      <c r="X908" s="101">
        <f>_xll.qlCalendarAdvance(Calendar,X907,W908,"f",FALSE)</f>
        <v>45642</v>
      </c>
      <c r="Y908" s="104">
        <f>_xll.qlCalendarAdvance(Calendar,X908,NDays&amp;"D")</f>
        <v>45644</v>
      </c>
      <c r="Z908" s="105">
        <v>2.5251339557984309E-2</v>
      </c>
      <c r="AA908" s="102">
        <v>2.5009443154981881E-2</v>
      </c>
    </row>
    <row r="909" spans="19:27" x14ac:dyDescent="0.2">
      <c r="S909" s="61"/>
      <c r="T909" s="82"/>
      <c r="W909" s="103" t="str">
        <f t="shared" si="22"/>
        <v>1w</v>
      </c>
      <c r="X909" s="101">
        <f>_xll.qlCalendarAdvance(Calendar,X908,W909,"f",FALSE)</f>
        <v>45649</v>
      </c>
      <c r="Y909" s="104">
        <f>_xll.qlCalendarAdvance(Calendar,X909,NDays&amp;"D")</f>
        <v>45656</v>
      </c>
      <c r="Z909" s="105">
        <v>2.5299796581672706E-2</v>
      </c>
      <c r="AA909" s="102">
        <v>2.50711997700237E-2</v>
      </c>
    </row>
    <row r="910" spans="19:27" x14ac:dyDescent="0.2">
      <c r="S910" s="61"/>
      <c r="T910" s="82"/>
      <c r="W910" s="103" t="str">
        <f t="shared" si="22"/>
        <v>1w</v>
      </c>
      <c r="X910" s="101">
        <f>_xll.qlCalendarAdvance(Calendar,X909,W910,"f",FALSE)</f>
        <v>45656</v>
      </c>
      <c r="Y910" s="104">
        <f>_xll.qlCalendarAdvance(Calendar,X910,NDays&amp;"D")</f>
        <v>45660</v>
      </c>
      <c r="Z910" s="105">
        <v>2.5312042088544651E-2</v>
      </c>
      <c r="AA910" s="102">
        <v>2.5082963031088923E-2</v>
      </c>
    </row>
    <row r="911" spans="19:27" x14ac:dyDescent="0.2">
      <c r="S911" s="61"/>
      <c r="T911" s="82"/>
      <c r="W911" s="103" t="str">
        <f t="shared" si="22"/>
        <v>1w</v>
      </c>
      <c r="X911" s="101">
        <f>_xll.qlCalendarAdvance(Calendar,X910,W911,"f",FALSE)</f>
        <v>45664</v>
      </c>
      <c r="Y911" s="104">
        <f>_xll.qlCalendarAdvance(Calendar,X911,NDays&amp;"D")</f>
        <v>45666</v>
      </c>
      <c r="Z911" s="105">
        <v>2.5334132751172689E-2</v>
      </c>
      <c r="AA911" s="102">
        <v>2.5103284149396998E-2</v>
      </c>
    </row>
    <row r="912" spans="19:27" x14ac:dyDescent="0.2">
      <c r="S912" s="61"/>
      <c r="T912" s="82"/>
      <c r="W912" s="103" t="str">
        <f t="shared" si="22"/>
        <v>1w</v>
      </c>
      <c r="X912" s="101">
        <f>_xll.qlCalendarAdvance(Calendar,X911,W912,"f",FALSE)</f>
        <v>45671</v>
      </c>
      <c r="Y912" s="104">
        <f>_xll.qlCalendarAdvance(Calendar,X912,NDays&amp;"D")</f>
        <v>45673</v>
      </c>
      <c r="Z912" s="105">
        <v>2.535944136370194E-2</v>
      </c>
      <c r="AA912" s="102">
        <v>2.513130809584041E-2</v>
      </c>
    </row>
    <row r="913" spans="19:27" x14ac:dyDescent="0.2">
      <c r="S913" s="61"/>
      <c r="T913" s="82"/>
      <c r="W913" s="103" t="str">
        <f t="shared" si="22"/>
        <v>1w</v>
      </c>
      <c r="X913" s="101">
        <f>_xll.qlCalendarAdvance(Calendar,X912,W913,"f",FALSE)</f>
        <v>45678</v>
      </c>
      <c r="Y913" s="104">
        <f>_xll.qlCalendarAdvance(Calendar,X913,NDays&amp;"D")</f>
        <v>45680</v>
      </c>
      <c r="Z913" s="105">
        <v>2.5384250461044644E-2</v>
      </c>
      <c r="AA913" s="102">
        <v>2.5158835486527309E-2</v>
      </c>
    </row>
    <row r="914" spans="19:27" x14ac:dyDescent="0.2">
      <c r="S914" s="61"/>
      <c r="T914" s="82"/>
      <c r="W914" s="103" t="str">
        <f t="shared" si="22"/>
        <v>1w</v>
      </c>
      <c r="X914" s="101">
        <f>_xll.qlCalendarAdvance(Calendar,X913,W914,"f",FALSE)</f>
        <v>45685</v>
      </c>
      <c r="Y914" s="104">
        <f>_xll.qlCalendarAdvance(Calendar,X914,NDays&amp;"D")</f>
        <v>45687</v>
      </c>
      <c r="Z914" s="105">
        <v>2.5408560033962857E-2</v>
      </c>
      <c r="AA914" s="102">
        <v>2.5185866321217887E-2</v>
      </c>
    </row>
    <row r="915" spans="19:27" x14ac:dyDescent="0.2">
      <c r="S915" s="61"/>
      <c r="T915" s="82"/>
      <c r="W915" s="103" t="str">
        <f t="shared" si="22"/>
        <v>1w</v>
      </c>
      <c r="X915" s="101">
        <f>_xll.qlCalendarAdvance(Calendar,X914,W915,"f",FALSE)</f>
        <v>45692</v>
      </c>
      <c r="Y915" s="104">
        <f>_xll.qlCalendarAdvance(Calendar,X915,NDays&amp;"D")</f>
        <v>45694</v>
      </c>
      <c r="Z915" s="105">
        <v>2.5429865670669363E-2</v>
      </c>
      <c r="AA915" s="102">
        <v>2.5212400599832208E-2</v>
      </c>
    </row>
    <row r="916" spans="19:27" x14ac:dyDescent="0.2">
      <c r="S916" s="61"/>
      <c r="T916" s="82"/>
      <c r="W916" s="103" t="str">
        <f t="shared" si="22"/>
        <v>1w</v>
      </c>
      <c r="X916" s="101">
        <f>_xll.qlCalendarAdvance(Calendar,X915,W916,"f",FALSE)</f>
        <v>45699</v>
      </c>
      <c r="Y916" s="104">
        <f>_xll.qlCalendarAdvance(Calendar,X916,NDays&amp;"D")</f>
        <v>45701</v>
      </c>
      <c r="Z916" s="105">
        <v>2.5453210205424976E-2</v>
      </c>
      <c r="AA916" s="102">
        <v>2.5238438322370271E-2</v>
      </c>
    </row>
    <row r="917" spans="19:27" x14ac:dyDescent="0.2">
      <c r="S917" s="61"/>
      <c r="T917" s="82"/>
      <c r="W917" s="103" t="str">
        <f t="shared" ref="W917:W980" si="23">W916</f>
        <v>1w</v>
      </c>
      <c r="X917" s="101">
        <f>_xll.qlCalendarAdvance(Calendar,X916,W917,"f",FALSE)</f>
        <v>45706</v>
      </c>
      <c r="Y917" s="104">
        <f>_xll.qlCalendarAdvance(Calendar,X917,NDays&amp;"D")</f>
        <v>45708</v>
      </c>
      <c r="Z917" s="105">
        <v>2.5476055223499088E-2</v>
      </c>
      <c r="AA917" s="102">
        <v>2.526397948859227E-2</v>
      </c>
    </row>
    <row r="918" spans="19:27" x14ac:dyDescent="0.2">
      <c r="S918" s="61"/>
      <c r="T918" s="82"/>
      <c r="W918" s="103" t="str">
        <f t="shared" si="23"/>
        <v>1w</v>
      </c>
      <c r="X918" s="101">
        <f>_xll.qlCalendarAdvance(Calendar,X917,W918,"f",FALSE)</f>
        <v>45713</v>
      </c>
      <c r="Y918" s="104">
        <f>_xll.qlCalendarAdvance(Calendar,X918,NDays&amp;"D")</f>
        <v>45715</v>
      </c>
      <c r="Z918" s="105">
        <v>2.5498400716477753E-2</v>
      </c>
      <c r="AA918" s="102">
        <v>2.5289024098418267E-2</v>
      </c>
    </row>
    <row r="919" spans="19:27" x14ac:dyDescent="0.2">
      <c r="S919" s="61"/>
      <c r="T919" s="82"/>
      <c r="W919" s="103" t="str">
        <f t="shared" si="23"/>
        <v>1w</v>
      </c>
      <c r="X919" s="101">
        <f>_xll.qlCalendarAdvance(Calendar,X918,W919,"f",FALSE)</f>
        <v>45720</v>
      </c>
      <c r="Y919" s="104">
        <f>_xll.qlCalendarAdvance(Calendar,X919,NDays&amp;"D")</f>
        <v>45722</v>
      </c>
      <c r="Z919" s="105">
        <v>2.55273413648133E-2</v>
      </c>
      <c r="AA919" s="102">
        <v>2.5313572151768327E-2</v>
      </c>
    </row>
    <row r="920" spans="19:27" x14ac:dyDescent="0.2">
      <c r="S920" s="61"/>
      <c r="T920" s="82"/>
      <c r="W920" s="103" t="str">
        <f t="shared" si="23"/>
        <v>1w</v>
      </c>
      <c r="X920" s="101">
        <f>_xll.qlCalendarAdvance(Calendar,X919,W920,"f",FALSE)</f>
        <v>45727</v>
      </c>
      <c r="Y920" s="104">
        <f>_xll.qlCalendarAdvance(Calendar,X920,NDays&amp;"D")</f>
        <v>45729</v>
      </c>
      <c r="Z920" s="105">
        <v>2.5548585242169675E-2</v>
      </c>
      <c r="AA920" s="102">
        <v>2.5337623648482577E-2</v>
      </c>
    </row>
    <row r="921" spans="19:27" x14ac:dyDescent="0.2">
      <c r="S921" s="61"/>
      <c r="T921" s="82"/>
      <c r="W921" s="103" t="str">
        <f t="shared" si="23"/>
        <v>1w</v>
      </c>
      <c r="X921" s="101">
        <f>_xll.qlCalendarAdvance(Calendar,X920,W921,"f",FALSE)</f>
        <v>45734</v>
      </c>
      <c r="Y921" s="104">
        <f>_xll.qlCalendarAdvance(Calendar,X921,NDays&amp;"D")</f>
        <v>45736</v>
      </c>
      <c r="Z921" s="105">
        <v>2.5576190526336036E-2</v>
      </c>
      <c r="AA921" s="102">
        <v>2.5361178588640954E-2</v>
      </c>
    </row>
    <row r="922" spans="19:27" x14ac:dyDescent="0.2">
      <c r="S922" s="61"/>
      <c r="T922" s="82"/>
      <c r="W922" s="103" t="str">
        <f t="shared" si="23"/>
        <v>1w</v>
      </c>
      <c r="X922" s="101">
        <f>_xll.qlCalendarAdvance(Calendar,X921,W922,"f",FALSE)</f>
        <v>45741</v>
      </c>
      <c r="Y922" s="104">
        <f>_xll.qlCalendarAdvance(Calendar,X922,NDays&amp;"D")</f>
        <v>45743</v>
      </c>
      <c r="Z922" s="105">
        <v>2.5589574029291511E-2</v>
      </c>
      <c r="AA922" s="102">
        <v>2.5384236971923713E-2</v>
      </c>
    </row>
    <row r="923" spans="19:27" x14ac:dyDescent="0.2">
      <c r="S923" s="61"/>
      <c r="T923" s="82"/>
      <c r="W923" s="103" t="str">
        <f t="shared" si="23"/>
        <v>1w</v>
      </c>
      <c r="X923" s="101">
        <f>_xll.qlCalendarAdvance(Calendar,X922,W923,"f",FALSE)</f>
        <v>45748</v>
      </c>
      <c r="Y923" s="104">
        <f>_xll.qlCalendarAdvance(Calendar,X923,NDays&amp;"D")</f>
        <v>45750</v>
      </c>
      <c r="Z923" s="105">
        <v>2.5607094125860753E-2</v>
      </c>
      <c r="AA923" s="102">
        <v>2.5406798798330854E-2</v>
      </c>
    </row>
    <row r="924" spans="19:27" x14ac:dyDescent="0.2">
      <c r="S924" s="61"/>
      <c r="T924" s="82"/>
      <c r="W924" s="103" t="str">
        <f t="shared" si="23"/>
        <v>1w</v>
      </c>
      <c r="X924" s="101">
        <f>_xll.qlCalendarAdvance(Calendar,X923,W924,"f",FALSE)</f>
        <v>45755</v>
      </c>
      <c r="Y924" s="104">
        <f>_xll.qlCalendarAdvance(Calendar,X924,NDays&amp;"D")</f>
        <v>45757</v>
      </c>
      <c r="Z924" s="105">
        <v>2.5626373667956295E-2</v>
      </c>
      <c r="AA924" s="102">
        <v>2.5428864067782442E-2</v>
      </c>
    </row>
    <row r="925" spans="19:27" x14ac:dyDescent="0.2">
      <c r="S925" s="61"/>
      <c r="T925" s="82"/>
      <c r="W925" s="103" t="str">
        <f t="shared" si="23"/>
        <v>1w</v>
      </c>
      <c r="X925" s="101">
        <f>_xll.qlCalendarAdvance(Calendar,X924,W925,"f",FALSE)</f>
        <v>45762</v>
      </c>
      <c r="Y925" s="104">
        <f>_xll.qlCalendarAdvance(Calendar,X925,NDays&amp;"D")</f>
        <v>45764</v>
      </c>
      <c r="Z925" s="105">
        <v>2.5645153561337349E-2</v>
      </c>
      <c r="AA925" s="102">
        <v>2.5456504065033414E-2</v>
      </c>
    </row>
    <row r="926" spans="19:27" x14ac:dyDescent="0.2">
      <c r="S926" s="61"/>
      <c r="T926" s="82"/>
      <c r="W926" s="103" t="str">
        <f t="shared" si="23"/>
        <v>1w</v>
      </c>
      <c r="X926" s="101">
        <f>_xll.qlCalendarAdvance(Calendar,X925,W926,"f",FALSE)</f>
        <v>45769</v>
      </c>
      <c r="Y926" s="104">
        <f>_xll.qlCalendarAdvance(Calendar,X926,NDays&amp;"D")</f>
        <v>45771</v>
      </c>
      <c r="Z926" s="105">
        <v>2.5663433798935278E-2</v>
      </c>
      <c r="AA926" s="102">
        <v>2.547150493533934E-2</v>
      </c>
    </row>
    <row r="927" spans="19:27" x14ac:dyDescent="0.2">
      <c r="S927" s="61"/>
      <c r="T927" s="82"/>
      <c r="W927" s="103" t="str">
        <f t="shared" si="23"/>
        <v>1w</v>
      </c>
      <c r="X927" s="101">
        <f>_xll.qlCalendarAdvance(Calendar,X926,W927,"f",FALSE)</f>
        <v>45776</v>
      </c>
      <c r="Y927" s="104">
        <f>_xll.qlCalendarAdvance(Calendar,X927,NDays&amp;"D")</f>
        <v>45779</v>
      </c>
      <c r="Z927" s="105">
        <v>2.568995120263216E-2</v>
      </c>
      <c r="AA927" s="102">
        <v>2.5494979369256043E-2</v>
      </c>
    </row>
    <row r="928" spans="19:27" x14ac:dyDescent="0.2">
      <c r="S928" s="61"/>
      <c r="T928" s="82"/>
      <c r="W928" s="103" t="str">
        <f t="shared" si="23"/>
        <v>1w</v>
      </c>
      <c r="X928" s="101">
        <f>_xll.qlCalendarAdvance(Calendar,X927,W928,"f",FALSE)</f>
        <v>45783</v>
      </c>
      <c r="Y928" s="104">
        <f>_xll.qlCalendarAdvance(Calendar,X928,NDays&amp;"D")</f>
        <v>45785</v>
      </c>
      <c r="Z928" s="105">
        <v>2.5700548105368724E-2</v>
      </c>
      <c r="AA928" s="102">
        <v>2.551215957411479E-2</v>
      </c>
    </row>
    <row r="929" spans="19:27" x14ac:dyDescent="0.2">
      <c r="S929" s="61"/>
      <c r="T929" s="82"/>
      <c r="W929" s="103" t="str">
        <f t="shared" si="23"/>
        <v>1w</v>
      </c>
      <c r="X929" s="101">
        <f>_xll.qlCalendarAdvance(Calendar,X928,W929,"f",FALSE)</f>
        <v>45790</v>
      </c>
      <c r="Y929" s="104">
        <f>_xll.qlCalendarAdvance(Calendar,X929,NDays&amp;"D")</f>
        <v>45792</v>
      </c>
      <c r="Z929" s="105">
        <v>2.5717294835354083E-2</v>
      </c>
      <c r="AA929" s="102">
        <v>2.553174205734976E-2</v>
      </c>
    </row>
    <row r="930" spans="19:27" x14ac:dyDescent="0.2">
      <c r="S930" s="61"/>
      <c r="T930" s="82"/>
      <c r="W930" s="103" t="str">
        <f t="shared" si="23"/>
        <v>1w</v>
      </c>
      <c r="X930" s="101">
        <f>_xll.qlCalendarAdvance(Calendar,X929,W930,"f",FALSE)</f>
        <v>45797</v>
      </c>
      <c r="Y930" s="104">
        <f>_xll.qlCalendarAdvance(Calendar,X930,NDays&amp;"D")</f>
        <v>45799</v>
      </c>
      <c r="Z930" s="105">
        <v>2.5733541847890284E-2</v>
      </c>
      <c r="AA930" s="102">
        <v>2.555082798314956E-2</v>
      </c>
    </row>
    <row r="931" spans="19:27" x14ac:dyDescent="0.2">
      <c r="S931" s="61"/>
      <c r="T931" s="82"/>
      <c r="W931" s="103" t="str">
        <f t="shared" si="23"/>
        <v>1w</v>
      </c>
      <c r="X931" s="101">
        <f>_xll.qlCalendarAdvance(Calendar,X930,W931,"f",FALSE)</f>
        <v>45804</v>
      </c>
      <c r="Y931" s="104">
        <f>_xll.qlCalendarAdvance(Calendar,X931,NDays&amp;"D")</f>
        <v>45807</v>
      </c>
      <c r="Z931" s="105">
        <v>2.5749553675920585E-2</v>
      </c>
      <c r="AA931" s="102">
        <v>2.55720324400599E-2</v>
      </c>
    </row>
    <row r="932" spans="19:27" x14ac:dyDescent="0.2">
      <c r="S932" s="61"/>
      <c r="T932" s="82"/>
      <c r="W932" s="103" t="str">
        <f t="shared" si="23"/>
        <v>1w</v>
      </c>
      <c r="X932" s="101">
        <f>_xll.qlCalendarAdvance(Calendar,X931,W932,"f",FALSE)</f>
        <v>45811</v>
      </c>
      <c r="Y932" s="104">
        <f>_xll.qlCalendarAdvance(Calendar,X932,NDays&amp;"D")</f>
        <v>45813</v>
      </c>
      <c r="Z932" s="105">
        <v>2.5764536696063538E-2</v>
      </c>
      <c r="AA932" s="102">
        <v>2.5590054313813226E-2</v>
      </c>
    </row>
    <row r="933" spans="19:27" x14ac:dyDescent="0.2">
      <c r="S933" s="61"/>
      <c r="T933" s="82"/>
      <c r="W933" s="103" t="str">
        <f t="shared" si="23"/>
        <v>1w</v>
      </c>
      <c r="X933" s="101">
        <f>_xll.qlCalendarAdvance(Calendar,X932,W933,"f",FALSE)</f>
        <v>45818</v>
      </c>
      <c r="Y933" s="104">
        <f>_xll.qlCalendarAdvance(Calendar,X933,NDays&amp;"D")</f>
        <v>45820</v>
      </c>
      <c r="Z933" s="105">
        <v>2.5779284519903075E-2</v>
      </c>
      <c r="AA933" s="102">
        <v>2.5605106414818835E-2</v>
      </c>
    </row>
    <row r="934" spans="19:27" x14ac:dyDescent="0.2">
      <c r="S934" s="61"/>
      <c r="T934" s="82"/>
      <c r="W934" s="103" t="str">
        <f t="shared" si="23"/>
        <v>1w</v>
      </c>
      <c r="X934" s="101">
        <f>_xll.qlCalendarAdvance(Calendar,X933,W934,"f",FALSE)</f>
        <v>45825</v>
      </c>
      <c r="Y934" s="104">
        <f>_xll.qlCalendarAdvance(Calendar,X934,NDays&amp;"D")</f>
        <v>45827</v>
      </c>
      <c r="Z934" s="105">
        <v>2.5793532602694937E-2</v>
      </c>
      <c r="AA934" s="102">
        <v>2.5624608388135073E-2</v>
      </c>
    </row>
    <row r="935" spans="19:27" x14ac:dyDescent="0.2">
      <c r="S935" s="61"/>
      <c r="T935" s="82"/>
      <c r="W935" s="103" t="str">
        <f t="shared" si="23"/>
        <v>1w</v>
      </c>
      <c r="X935" s="101">
        <f>_xll.qlCalendarAdvance(Calendar,X934,W935,"f",FALSE)</f>
        <v>45832</v>
      </c>
      <c r="Y935" s="104">
        <f>_xll.qlCalendarAdvance(Calendar,X935,NDays&amp;"D")</f>
        <v>45834</v>
      </c>
      <c r="Z935" s="105">
        <v>2.5807280939017376E-2</v>
      </c>
      <c r="AA935" s="102">
        <v>2.5638809247023886E-2</v>
      </c>
    </row>
    <row r="936" spans="19:27" x14ac:dyDescent="0.2">
      <c r="S936" s="61"/>
      <c r="T936" s="82"/>
      <c r="W936" s="103" t="str">
        <f t="shared" si="23"/>
        <v>1w</v>
      </c>
      <c r="X936" s="101">
        <f>_xll.qlCalendarAdvance(Calendar,X935,W936,"f",FALSE)</f>
        <v>45839</v>
      </c>
      <c r="Y936" s="104">
        <f>_xll.qlCalendarAdvance(Calendar,X936,NDays&amp;"D")</f>
        <v>45841</v>
      </c>
      <c r="Z936" s="105">
        <v>2.5820530859416498E-2</v>
      </c>
      <c r="AA936" s="102">
        <v>2.5654915826374136E-2</v>
      </c>
    </row>
    <row r="937" spans="19:27" x14ac:dyDescent="0.2">
      <c r="S937" s="61"/>
      <c r="T937" s="82"/>
      <c r="W937" s="103" t="str">
        <f t="shared" si="23"/>
        <v>1w</v>
      </c>
      <c r="X937" s="101">
        <f>_xll.qlCalendarAdvance(Calendar,X936,W937,"f",FALSE)</f>
        <v>45846</v>
      </c>
      <c r="Y937" s="104">
        <f>_xll.qlCalendarAdvance(Calendar,X937,NDays&amp;"D")</f>
        <v>45848</v>
      </c>
      <c r="Z937" s="105">
        <v>2.5833306131664402E-2</v>
      </c>
      <c r="AA937" s="102">
        <v>2.5670525847649728E-2</v>
      </c>
    </row>
    <row r="938" spans="19:27" x14ac:dyDescent="0.2">
      <c r="S938" s="61"/>
      <c r="T938" s="82"/>
      <c r="W938" s="103" t="str">
        <f t="shared" si="23"/>
        <v>1w</v>
      </c>
      <c r="X938" s="101">
        <f>_xll.qlCalendarAdvance(Calendar,X937,W938,"f",FALSE)</f>
        <v>45853</v>
      </c>
      <c r="Y938" s="104">
        <f>_xll.qlCalendarAdvance(Calendar,X938,NDays&amp;"D")</f>
        <v>45855</v>
      </c>
      <c r="Z938" s="105">
        <v>2.5845649141581158E-2</v>
      </c>
      <c r="AA938" s="102">
        <v>2.5685639310850661E-2</v>
      </c>
    </row>
    <row r="939" spans="19:27" x14ac:dyDescent="0.2">
      <c r="S939" s="61"/>
      <c r="T939" s="82"/>
      <c r="W939" s="103" t="str">
        <f t="shared" si="23"/>
        <v>1w</v>
      </c>
      <c r="X939" s="101">
        <f>_xll.qlCalendarAdvance(Calendar,X938,W939,"f",FALSE)</f>
        <v>45860</v>
      </c>
      <c r="Y939" s="104">
        <f>_xll.qlCalendarAdvance(Calendar,X939,NDays&amp;"D")</f>
        <v>45862</v>
      </c>
      <c r="Z939" s="105">
        <v>2.5857602839211159E-2</v>
      </c>
      <c r="AA939" s="102">
        <v>2.5700256215976935E-2</v>
      </c>
    </row>
    <row r="940" spans="19:27" x14ac:dyDescent="0.2">
      <c r="S940" s="61"/>
      <c r="T940" s="82"/>
      <c r="W940" s="103" t="str">
        <f t="shared" si="23"/>
        <v>1w</v>
      </c>
      <c r="X940" s="101">
        <f>_xll.qlCalendarAdvance(Calendar,X939,W940,"f",FALSE)</f>
        <v>45867</v>
      </c>
      <c r="Y940" s="104">
        <f>_xll.qlCalendarAdvance(Calendar,X940,NDays&amp;"D")</f>
        <v>45869</v>
      </c>
      <c r="Z940" s="105">
        <v>2.5869210175241759E-2</v>
      </c>
      <c r="AA940" s="102">
        <v>2.5714376562868679E-2</v>
      </c>
    </row>
    <row r="941" spans="19:27" x14ac:dyDescent="0.2">
      <c r="S941" s="61"/>
      <c r="T941" s="82"/>
      <c r="W941" s="103" t="str">
        <f t="shared" si="23"/>
        <v>1w</v>
      </c>
      <c r="X941" s="101">
        <f>_xll.qlCalendarAdvance(Calendar,X940,W941,"f",FALSE)</f>
        <v>45874</v>
      </c>
      <c r="Y941" s="104">
        <f>_xll.qlCalendarAdvance(Calendar,X941,NDays&amp;"D")</f>
        <v>45876</v>
      </c>
      <c r="Z941" s="105">
        <v>2.5880514100967655E-2</v>
      </c>
      <c r="AA941" s="102">
        <v>2.5728000351525893E-2</v>
      </c>
    </row>
    <row r="942" spans="19:27" x14ac:dyDescent="0.2">
      <c r="S942" s="61"/>
      <c r="T942" s="82"/>
      <c r="W942" s="103" t="str">
        <f t="shared" si="23"/>
        <v>1w</v>
      </c>
      <c r="X942" s="101">
        <f>_xll.qlCalendarAdvance(Calendar,X941,W942,"f",FALSE)</f>
        <v>45881</v>
      </c>
      <c r="Y942" s="104">
        <f>_xll.qlCalendarAdvance(Calendar,X942,NDays&amp;"D")</f>
        <v>45883</v>
      </c>
      <c r="Z942" s="105">
        <v>2.5891557568252645E-2</v>
      </c>
      <c r="AA942" s="102">
        <v>2.5741127581948575E-2</v>
      </c>
    </row>
    <row r="943" spans="19:27" x14ac:dyDescent="0.2">
      <c r="S943" s="61"/>
      <c r="T943" s="82"/>
      <c r="W943" s="103" t="str">
        <f t="shared" si="23"/>
        <v>1w</v>
      </c>
      <c r="X943" s="101">
        <f>_xll.qlCalendarAdvance(Calendar,X942,W943,"f",FALSE)</f>
        <v>45888</v>
      </c>
      <c r="Y943" s="104">
        <f>_xll.qlCalendarAdvance(Calendar,X943,NDays&amp;"D")</f>
        <v>45890</v>
      </c>
      <c r="Z943" s="105">
        <v>2.5902383529500975E-2</v>
      </c>
      <c r="AA943" s="102">
        <v>2.5753758253896919E-2</v>
      </c>
    </row>
    <row r="944" spans="19:27" x14ac:dyDescent="0.2">
      <c r="S944" s="61"/>
      <c r="T944" s="82"/>
      <c r="W944" s="103" t="str">
        <f t="shared" si="23"/>
        <v>1w</v>
      </c>
      <c r="X944" s="101">
        <f>_xll.qlCalendarAdvance(Calendar,X943,W944,"f",FALSE)</f>
        <v>45895</v>
      </c>
      <c r="Y944" s="104">
        <f>_xll.qlCalendarAdvance(Calendar,X944,NDays&amp;"D")</f>
        <v>45897</v>
      </c>
      <c r="Z944" s="105">
        <v>2.5913034937629524E-2</v>
      </c>
      <c r="AA944" s="102">
        <v>2.5765892367530796E-2</v>
      </c>
    </row>
    <row r="945" spans="19:27" x14ac:dyDescent="0.2">
      <c r="S945" s="61"/>
      <c r="T945" s="82"/>
      <c r="W945" s="103" t="str">
        <f t="shared" si="23"/>
        <v>1w</v>
      </c>
      <c r="X945" s="101">
        <f>_xll.qlCalendarAdvance(Calendar,X944,W945,"f",FALSE)</f>
        <v>45902</v>
      </c>
      <c r="Y945" s="104">
        <f>_xll.qlCalendarAdvance(Calendar,X945,NDays&amp;"D")</f>
        <v>45904</v>
      </c>
      <c r="Z945" s="105">
        <v>2.5921881837618052E-2</v>
      </c>
      <c r="AA945" s="102">
        <v>2.5777529922690334E-2</v>
      </c>
    </row>
    <row r="946" spans="19:27" x14ac:dyDescent="0.2">
      <c r="S946" s="61"/>
      <c r="T946" s="82"/>
      <c r="W946" s="103" t="str">
        <f t="shared" si="23"/>
        <v>1w</v>
      </c>
      <c r="X946" s="101">
        <f>_xll.qlCalendarAdvance(Calendar,X945,W946,"f",FALSE)</f>
        <v>45909</v>
      </c>
      <c r="Y946" s="104">
        <f>_xll.qlCalendarAdvance(Calendar,X946,NDays&amp;"D")</f>
        <v>45911</v>
      </c>
      <c r="Z946" s="105">
        <v>2.5932309871773796E-2</v>
      </c>
      <c r="AA946" s="102">
        <v>2.5788670919375534E-2</v>
      </c>
    </row>
    <row r="947" spans="19:27" x14ac:dyDescent="0.2">
      <c r="S947" s="61"/>
      <c r="T947" s="82"/>
      <c r="W947" s="103" t="str">
        <f t="shared" si="23"/>
        <v>1w</v>
      </c>
      <c r="X947" s="101">
        <f>_xll.qlCalendarAdvance(Calendar,X946,W947,"f",FALSE)</f>
        <v>45916</v>
      </c>
      <c r="Y947" s="104">
        <f>_xll.qlCalendarAdvance(Calendar,X947,NDays&amp;"D")</f>
        <v>45918</v>
      </c>
      <c r="Z947" s="105">
        <v>2.5942691003718196E-2</v>
      </c>
      <c r="AA947" s="102">
        <v>2.5799315357426522E-2</v>
      </c>
    </row>
    <row r="948" spans="19:27" x14ac:dyDescent="0.2">
      <c r="S948" s="61"/>
      <c r="T948" s="82"/>
      <c r="W948" s="103" t="str">
        <f t="shared" si="23"/>
        <v>1w</v>
      </c>
      <c r="X948" s="101">
        <f>_xll.qlCalendarAdvance(Calendar,X947,W948,"f",FALSE)</f>
        <v>45923</v>
      </c>
      <c r="Y948" s="104">
        <f>_xll.qlCalendarAdvance(Calendar,X948,NDays&amp;"D")</f>
        <v>45925</v>
      </c>
      <c r="Z948" s="105">
        <v>2.5959814044244883E-2</v>
      </c>
      <c r="AA948" s="102">
        <v>2.5809465144677191E-2</v>
      </c>
    </row>
    <row r="949" spans="19:27" x14ac:dyDescent="0.2">
      <c r="S949" s="61"/>
      <c r="T949" s="82"/>
      <c r="W949" s="103" t="str">
        <f t="shared" si="23"/>
        <v>1w</v>
      </c>
      <c r="X949" s="101">
        <f>_xll.qlCalendarAdvance(Calendar,X948,W949,"f",FALSE)</f>
        <v>45930</v>
      </c>
      <c r="Y949" s="104">
        <f>_xll.qlCalendarAdvance(Calendar,X949,NDays&amp;"D")</f>
        <v>45932</v>
      </c>
      <c r="Z949" s="105">
        <v>2.5965176503683039E-2</v>
      </c>
      <c r="AA949" s="102">
        <v>2.5819436964926723E-2</v>
      </c>
    </row>
    <row r="950" spans="19:27" x14ac:dyDescent="0.2">
      <c r="S950" s="61"/>
      <c r="T950" s="82"/>
      <c r="W950" s="103" t="str">
        <f t="shared" si="23"/>
        <v>1w</v>
      </c>
      <c r="X950" s="101">
        <f>_xll.qlCalendarAdvance(Calendar,X949,W950,"f",FALSE)</f>
        <v>45937</v>
      </c>
      <c r="Y950" s="104">
        <f>_xll.qlCalendarAdvance(Calendar,X950,NDays&amp;"D")</f>
        <v>45939</v>
      </c>
      <c r="Z950" s="105">
        <v>2.5975662322168719E-2</v>
      </c>
      <c r="AA950" s="102">
        <v>2.5829473100369427E-2</v>
      </c>
    </row>
    <row r="951" spans="19:27" x14ac:dyDescent="0.2">
      <c r="S951" s="61"/>
      <c r="T951" s="82"/>
      <c r="W951" s="103" t="str">
        <f t="shared" si="23"/>
        <v>1w</v>
      </c>
      <c r="X951" s="101">
        <f>_xll.qlCalendarAdvance(Calendar,X950,W951,"f",FALSE)</f>
        <v>45944</v>
      </c>
      <c r="Y951" s="104">
        <f>_xll.qlCalendarAdvance(Calendar,X951,NDays&amp;"D")</f>
        <v>45946</v>
      </c>
      <c r="Z951" s="105">
        <v>2.5986212906004873E-2</v>
      </c>
      <c r="AA951" s="102">
        <v>2.5839573551085238E-2</v>
      </c>
    </row>
    <row r="952" spans="19:27" x14ac:dyDescent="0.2">
      <c r="S952" s="61"/>
      <c r="T952" s="82"/>
      <c r="W952" s="103" t="str">
        <f t="shared" si="23"/>
        <v>1w</v>
      </c>
      <c r="X952" s="101">
        <f>_xll.qlCalendarAdvance(Calendar,X951,W952,"f",FALSE)</f>
        <v>45951</v>
      </c>
      <c r="Y952" s="104">
        <f>_xll.qlCalendarAdvance(Calendar,X952,NDays&amp;"D")</f>
        <v>45953</v>
      </c>
      <c r="Z952" s="105">
        <v>2.5996828255712822E-2</v>
      </c>
      <c r="AA952" s="102">
        <v>2.5849738317154092E-2</v>
      </c>
    </row>
    <row r="953" spans="19:27" x14ac:dyDescent="0.2">
      <c r="S953" s="61"/>
      <c r="T953" s="82"/>
      <c r="W953" s="103" t="str">
        <f t="shared" si="23"/>
        <v>1w</v>
      </c>
      <c r="X953" s="101">
        <f>_xll.qlCalendarAdvance(Calendar,X952,W953,"f",FALSE)</f>
        <v>45958</v>
      </c>
      <c r="Y953" s="104">
        <f>_xll.qlCalendarAdvance(Calendar,X953,NDays&amp;"D")</f>
        <v>45960</v>
      </c>
      <c r="Z953" s="105">
        <v>2.6007508371816496E-2</v>
      </c>
      <c r="AA953" s="102">
        <v>2.5859967398416117E-2</v>
      </c>
    </row>
    <row r="954" spans="19:27" x14ac:dyDescent="0.2">
      <c r="S954" s="61"/>
      <c r="T954" s="82"/>
      <c r="W954" s="103" t="str">
        <f t="shared" si="23"/>
        <v>1w</v>
      </c>
      <c r="X954" s="101">
        <f>_xll.qlCalendarAdvance(Calendar,X953,W954,"f",FALSE)</f>
        <v>45965</v>
      </c>
      <c r="Y954" s="104">
        <f>_xll.qlCalendarAdvance(Calendar,X954,NDays&amp;"D")</f>
        <v>45967</v>
      </c>
      <c r="Z954" s="105">
        <v>2.6018253254840695E-2</v>
      </c>
      <c r="AA954" s="102">
        <v>2.587026079495125E-2</v>
      </c>
    </row>
    <row r="955" spans="19:27" x14ac:dyDescent="0.2">
      <c r="S955" s="61"/>
      <c r="T955" s="82"/>
      <c r="W955" s="103" t="str">
        <f t="shared" si="23"/>
        <v>1w</v>
      </c>
      <c r="X955" s="101">
        <f>_xll.qlCalendarAdvance(Calendar,X954,W955,"f",FALSE)</f>
        <v>45972</v>
      </c>
      <c r="Y955" s="104">
        <f>_xll.qlCalendarAdvance(Calendar,X955,NDays&amp;"D")</f>
        <v>45974</v>
      </c>
      <c r="Z955" s="105">
        <v>2.6029062905316293E-2</v>
      </c>
      <c r="AA955" s="102">
        <v>2.588061850675949E-2</v>
      </c>
    </row>
    <row r="956" spans="19:27" x14ac:dyDescent="0.2">
      <c r="S956" s="61"/>
      <c r="T956" s="82"/>
      <c r="W956" s="103" t="str">
        <f t="shared" si="23"/>
        <v>1w</v>
      </c>
      <c r="X956" s="101">
        <f>_xll.qlCalendarAdvance(Calendar,X955,W956,"f",FALSE)</f>
        <v>45979</v>
      </c>
      <c r="Y956" s="104">
        <f>_xll.qlCalendarAdvance(Calendar,X956,NDays&amp;"D")</f>
        <v>45981</v>
      </c>
      <c r="Z956" s="105">
        <v>2.6039937323776782E-2</v>
      </c>
      <c r="AA956" s="102">
        <v>2.5891040533840837E-2</v>
      </c>
    </row>
    <row r="957" spans="19:27" x14ac:dyDescent="0.2">
      <c r="S957" s="61"/>
      <c r="T957" s="82"/>
      <c r="W957" s="103" t="str">
        <f t="shared" si="23"/>
        <v>1w</v>
      </c>
      <c r="X957" s="101">
        <f>_xll.qlCalendarAdvance(Calendar,X956,W957,"f",FALSE)</f>
        <v>45986</v>
      </c>
      <c r="Y957" s="104">
        <f>_xll.qlCalendarAdvance(Calendar,X957,NDays&amp;"D")</f>
        <v>45988</v>
      </c>
      <c r="Z957" s="105">
        <v>2.6050876510758249E-2</v>
      </c>
      <c r="AA957" s="102">
        <v>2.5901526876275227E-2</v>
      </c>
    </row>
    <row r="958" spans="19:27" x14ac:dyDescent="0.2">
      <c r="S958" s="61"/>
      <c r="T958" s="82"/>
      <c r="W958" s="103" t="str">
        <f t="shared" si="23"/>
        <v>1w</v>
      </c>
      <c r="X958" s="101">
        <f>_xll.qlCalendarAdvance(Calendar,X957,W958,"f",FALSE)</f>
        <v>45993</v>
      </c>
      <c r="Y958" s="104">
        <f>_xll.qlCalendarAdvance(Calendar,X958,NDays&amp;"D")</f>
        <v>45995</v>
      </c>
      <c r="Z958" s="105">
        <v>2.6058402238444245E-2</v>
      </c>
      <c r="AA958" s="102">
        <v>2.5912077533902789E-2</v>
      </c>
    </row>
    <row r="959" spans="19:27" x14ac:dyDescent="0.2">
      <c r="S959" s="61"/>
      <c r="T959" s="82"/>
      <c r="W959" s="103" t="str">
        <f t="shared" si="23"/>
        <v>1w</v>
      </c>
      <c r="X959" s="101">
        <f>_xll.qlCalendarAdvance(Calendar,X958,W959,"f",FALSE)</f>
        <v>46000</v>
      </c>
      <c r="Y959" s="104">
        <f>_xll.qlCalendarAdvance(Calendar,X959,NDays&amp;"D")</f>
        <v>46002</v>
      </c>
      <c r="Z959" s="105">
        <v>2.6069460115101251E-2</v>
      </c>
      <c r="AA959" s="102">
        <v>2.5922692506883394E-2</v>
      </c>
    </row>
    <row r="960" spans="19:27" x14ac:dyDescent="0.2">
      <c r="S960" s="61"/>
      <c r="T960" s="82"/>
      <c r="W960" s="103" t="str">
        <f t="shared" si="23"/>
        <v>1w</v>
      </c>
      <c r="X960" s="101">
        <f>_xll.qlCalendarAdvance(Calendar,X959,W960,"f",FALSE)</f>
        <v>46007</v>
      </c>
      <c r="Y960" s="104">
        <f>_xll.qlCalendarAdvance(Calendar,X960,NDays&amp;"D")</f>
        <v>46009</v>
      </c>
      <c r="Z960" s="105">
        <v>2.6080582751799142E-2</v>
      </c>
      <c r="AA960" s="102">
        <v>2.5933371795137106E-2</v>
      </c>
    </row>
    <row r="961" spans="19:27" x14ac:dyDescent="0.2">
      <c r="S961" s="61"/>
      <c r="T961" s="82"/>
      <c r="W961" s="103" t="str">
        <f t="shared" si="23"/>
        <v>1w</v>
      </c>
      <c r="X961" s="101">
        <f>_xll.qlCalendarAdvance(Calendar,X960,W961,"f",FALSE)</f>
        <v>46014</v>
      </c>
      <c r="Y961" s="104">
        <f>_xll.qlCalendarAdvance(Calendar,X961,NDays&amp;"D")</f>
        <v>46021</v>
      </c>
      <c r="Z961" s="105">
        <v>2.6101559782620562E-2</v>
      </c>
      <c r="AA961" s="102">
        <v>2.5956633628956283E-2</v>
      </c>
    </row>
    <row r="962" spans="19:27" x14ac:dyDescent="0.2">
      <c r="S962" s="61"/>
      <c r="T962" s="82"/>
      <c r="W962" s="103" t="str">
        <f t="shared" si="23"/>
        <v>1w</v>
      </c>
      <c r="X962" s="101">
        <f>_xll.qlCalendarAdvance(Calendar,X961,W962,"f",FALSE)</f>
        <v>46021</v>
      </c>
      <c r="Y962" s="104">
        <f>_xll.qlCalendarAdvance(Calendar,X962,NDays&amp;"D")</f>
        <v>46027</v>
      </c>
      <c r="Z962" s="105">
        <v>2.6113009095216539E-2</v>
      </c>
      <c r="AA962" s="102">
        <v>2.5959574971246013E-2</v>
      </c>
    </row>
    <row r="963" spans="19:27" x14ac:dyDescent="0.2">
      <c r="S963" s="61"/>
      <c r="T963" s="82"/>
      <c r="W963" s="103" t="str">
        <f t="shared" si="23"/>
        <v>1w</v>
      </c>
      <c r="X963" s="101">
        <f>_xll.qlCalendarAdvance(Calendar,X962,W963,"f",FALSE)</f>
        <v>46029</v>
      </c>
      <c r="Y963" s="104">
        <f>_xll.qlCalendarAdvance(Calendar,X963,NDays&amp;"D")</f>
        <v>46031</v>
      </c>
      <c r="Z963" s="105">
        <v>2.6115961217088923E-2</v>
      </c>
      <c r="AA963" s="102">
        <v>2.5967353978444407E-2</v>
      </c>
    </row>
    <row r="964" spans="19:27" x14ac:dyDescent="0.2">
      <c r="S964" s="61"/>
      <c r="T964" s="82"/>
      <c r="W964" s="103" t="str">
        <f t="shared" si="23"/>
        <v>1w</v>
      </c>
      <c r="X964" s="101">
        <f>_xll.qlCalendarAdvance(Calendar,X963,W964,"f",FALSE)</f>
        <v>46036</v>
      </c>
      <c r="Y964" s="104">
        <f>_xll.qlCalendarAdvance(Calendar,X964,NDays&amp;"D")</f>
        <v>46038</v>
      </c>
      <c r="Z964" s="105">
        <v>2.6127352151139149E-2</v>
      </c>
      <c r="AA964" s="102">
        <v>2.5978299715800901E-2</v>
      </c>
    </row>
    <row r="965" spans="19:27" x14ac:dyDescent="0.2">
      <c r="S965" s="61"/>
      <c r="T965" s="82"/>
      <c r="W965" s="103" t="str">
        <f t="shared" si="23"/>
        <v>1w</v>
      </c>
      <c r="X965" s="101">
        <f>_xll.qlCalendarAdvance(Calendar,X964,W965,"f",FALSE)</f>
        <v>46043</v>
      </c>
      <c r="Y965" s="104">
        <f>_xll.qlCalendarAdvance(Calendar,X965,NDays&amp;"D")</f>
        <v>46045</v>
      </c>
      <c r="Z965" s="105">
        <v>2.6138807848023582E-2</v>
      </c>
      <c r="AA965" s="102">
        <v>2.5989309768590374E-2</v>
      </c>
    </row>
    <row r="966" spans="19:27" x14ac:dyDescent="0.2">
      <c r="S966" s="61"/>
      <c r="T966" s="82"/>
      <c r="W966" s="103" t="str">
        <f t="shared" si="23"/>
        <v>1w</v>
      </c>
      <c r="X966" s="101">
        <f>_xll.qlCalendarAdvance(Calendar,X965,W966,"f",FALSE)</f>
        <v>46050</v>
      </c>
      <c r="Y966" s="104">
        <f>_xll.qlCalendarAdvance(Calendar,X966,NDays&amp;"D")</f>
        <v>46052</v>
      </c>
      <c r="Z966" s="105">
        <v>2.6150328308295556E-2</v>
      </c>
      <c r="AA966" s="102">
        <v>2.600038413673289E-2</v>
      </c>
    </row>
    <row r="967" spans="19:27" x14ac:dyDescent="0.2">
      <c r="S967" s="61"/>
      <c r="T967" s="82"/>
      <c r="W967" s="103" t="str">
        <f t="shared" si="23"/>
        <v>1w</v>
      </c>
      <c r="X967" s="101">
        <f>_xll.qlCalendarAdvance(Calendar,X966,W967,"f",FALSE)</f>
        <v>46057</v>
      </c>
      <c r="Y967" s="104">
        <f>_xll.qlCalendarAdvance(Calendar,X967,NDays&amp;"D")</f>
        <v>46059</v>
      </c>
      <c r="Z967" s="105">
        <v>2.6160125546360016E-2</v>
      </c>
      <c r="AA967" s="102">
        <v>2.601152282022845E-2</v>
      </c>
    </row>
    <row r="968" spans="19:27" x14ac:dyDescent="0.2">
      <c r="S968" s="61"/>
      <c r="T968" s="82"/>
      <c r="W968" s="103" t="str">
        <f t="shared" si="23"/>
        <v>1w</v>
      </c>
      <c r="X968" s="101">
        <f>_xll.qlCalendarAdvance(Calendar,X967,W968,"f",FALSE)</f>
        <v>46064</v>
      </c>
      <c r="Y968" s="104">
        <f>_xll.qlCalendarAdvance(Calendar,X968,NDays&amp;"D")</f>
        <v>46066</v>
      </c>
      <c r="Z968" s="105">
        <v>2.6171770065327959E-2</v>
      </c>
      <c r="AA968" s="102">
        <v>2.6022725818997117E-2</v>
      </c>
    </row>
    <row r="969" spans="19:27" x14ac:dyDescent="0.2">
      <c r="S969" s="61"/>
      <c r="T969" s="82"/>
      <c r="W969" s="103" t="str">
        <f t="shared" si="23"/>
        <v>1w</v>
      </c>
      <c r="X969" s="101">
        <f>_xll.qlCalendarAdvance(Calendar,X968,W969,"f",FALSE)</f>
        <v>46071</v>
      </c>
      <c r="Y969" s="104">
        <f>_xll.qlCalendarAdvance(Calendar,X969,NDays&amp;"D")</f>
        <v>46073</v>
      </c>
      <c r="Z969" s="105">
        <v>2.6183479344250606E-2</v>
      </c>
      <c r="AA969" s="102">
        <v>2.6033993133198763E-2</v>
      </c>
    </row>
    <row r="970" spans="19:27" x14ac:dyDescent="0.2">
      <c r="S970" s="61"/>
      <c r="T970" s="82"/>
      <c r="W970" s="103" t="str">
        <f t="shared" si="23"/>
        <v>1w</v>
      </c>
      <c r="X970" s="101">
        <f>_xll.qlCalendarAdvance(Calendar,X969,W970,"f",FALSE)</f>
        <v>46078</v>
      </c>
      <c r="Y970" s="104">
        <f>_xll.qlCalendarAdvance(Calendar,X970,NDays&amp;"D")</f>
        <v>46080</v>
      </c>
      <c r="Z970" s="105">
        <v>2.6198862815526292E-2</v>
      </c>
      <c r="AA970" s="102">
        <v>2.6045324762753452E-2</v>
      </c>
    </row>
    <row r="971" spans="19:27" x14ac:dyDescent="0.2">
      <c r="S971" s="61"/>
      <c r="T971" s="82"/>
      <c r="W971" s="103" t="str">
        <f t="shared" si="23"/>
        <v>1w</v>
      </c>
      <c r="X971" s="101">
        <f>_xll.qlCalendarAdvance(Calendar,X970,W971,"f",FALSE)</f>
        <v>46085</v>
      </c>
      <c r="Y971" s="104">
        <f>_xll.qlCalendarAdvance(Calendar,X971,NDays&amp;"D")</f>
        <v>46087</v>
      </c>
      <c r="Z971" s="105">
        <v>2.6216147776219858E-2</v>
      </c>
      <c r="AA971" s="102">
        <v>2.6056720707661185E-2</v>
      </c>
    </row>
    <row r="972" spans="19:27" x14ac:dyDescent="0.2">
      <c r="S972" s="61"/>
      <c r="T972" s="82"/>
      <c r="W972" s="103" t="str">
        <f t="shared" si="23"/>
        <v>1w</v>
      </c>
      <c r="X972" s="101">
        <f>_xll.qlCalendarAdvance(Calendar,X971,W972,"f",FALSE)</f>
        <v>46092</v>
      </c>
      <c r="Y972" s="104">
        <f>_xll.qlCalendarAdvance(Calendar,X972,NDays&amp;"D")</f>
        <v>46094</v>
      </c>
      <c r="Z972" s="105">
        <v>2.6228078797445313E-2</v>
      </c>
      <c r="AA972" s="102">
        <v>2.6068180967921961E-2</v>
      </c>
    </row>
    <row r="973" spans="19:27" x14ac:dyDescent="0.2">
      <c r="S973" s="61"/>
      <c r="T973" s="82"/>
      <c r="W973" s="103" t="str">
        <f t="shared" si="23"/>
        <v>1w</v>
      </c>
      <c r="X973" s="101">
        <f>_xll.qlCalendarAdvance(Calendar,X972,W973,"f",FALSE)</f>
        <v>46099</v>
      </c>
      <c r="Y973" s="104">
        <f>_xll.qlCalendarAdvance(Calendar,X973,NDays&amp;"D")</f>
        <v>46101</v>
      </c>
      <c r="Z973" s="105">
        <v>2.6240074606572617E-2</v>
      </c>
      <c r="AA973" s="102">
        <v>2.6079705543615717E-2</v>
      </c>
    </row>
    <row r="974" spans="19:27" x14ac:dyDescent="0.2">
      <c r="S974" s="61"/>
      <c r="T974" s="82"/>
      <c r="W974" s="103" t="str">
        <f t="shared" si="23"/>
        <v>1w</v>
      </c>
      <c r="X974" s="101">
        <f>_xll.qlCalendarAdvance(Calendar,X973,W974,"f",FALSE)</f>
        <v>46106</v>
      </c>
      <c r="Y974" s="104">
        <f>_xll.qlCalendarAdvance(Calendar,X974,NDays&amp;"D")</f>
        <v>46108</v>
      </c>
      <c r="Z974" s="105">
        <v>2.6252135204204698E-2</v>
      </c>
      <c r="AA974" s="102">
        <v>2.6091294434662515E-2</v>
      </c>
    </row>
    <row r="975" spans="19:27" x14ac:dyDescent="0.2">
      <c r="S975" s="61"/>
      <c r="T975" s="82"/>
      <c r="W975" s="103" t="str">
        <f t="shared" si="23"/>
        <v>1w</v>
      </c>
      <c r="X975" s="101">
        <f>_xll.qlCalendarAdvance(Calendar,X974,W975,"f",FALSE)</f>
        <v>46113</v>
      </c>
      <c r="Y975" s="104">
        <f>_xll.qlCalendarAdvance(Calendar,X975,NDays&amp;"D")</f>
        <v>46119</v>
      </c>
      <c r="Z975" s="105">
        <v>2.6265707830157484E-2</v>
      </c>
      <c r="AA975" s="102">
        <v>2.6106288941658562E-2</v>
      </c>
    </row>
    <row r="976" spans="19:27" x14ac:dyDescent="0.2">
      <c r="S976" s="61"/>
      <c r="T976" s="82"/>
      <c r="W976" s="103" t="str">
        <f t="shared" si="23"/>
        <v>1w</v>
      </c>
      <c r="X976" s="101">
        <f>_xll.qlCalendarAdvance(Calendar,X975,W976,"f",FALSE)</f>
        <v>46120</v>
      </c>
      <c r="Y976" s="104">
        <f>_xll.qlCalendarAdvance(Calendar,X976,NDays&amp;"D")</f>
        <v>46122</v>
      </c>
      <c r="Z976" s="105">
        <v>2.6270933034664802E-2</v>
      </c>
      <c r="AA976" s="102">
        <v>2.6114665162895179E-2</v>
      </c>
    </row>
    <row r="977" spans="19:27" x14ac:dyDescent="0.2">
      <c r="S977" s="61"/>
      <c r="T977" s="82"/>
      <c r="W977" s="103" t="str">
        <f t="shared" si="23"/>
        <v>1w</v>
      </c>
      <c r="X977" s="101">
        <f>_xll.qlCalendarAdvance(Calendar,X976,W977,"f",FALSE)</f>
        <v>46127</v>
      </c>
      <c r="Y977" s="104">
        <f>_xll.qlCalendarAdvance(Calendar,X977,NDays&amp;"D")</f>
        <v>46129</v>
      </c>
      <c r="Z977" s="105">
        <v>2.6283171446337895E-2</v>
      </c>
      <c r="AA977" s="102">
        <v>2.6126447000160979E-2</v>
      </c>
    </row>
    <row r="978" spans="19:27" x14ac:dyDescent="0.2">
      <c r="S978" s="61"/>
      <c r="T978" s="82"/>
      <c r="W978" s="103" t="str">
        <f t="shared" si="23"/>
        <v>1w</v>
      </c>
      <c r="X978" s="101">
        <f>_xll.qlCalendarAdvance(Calendar,X977,W978,"f",FALSE)</f>
        <v>46134</v>
      </c>
      <c r="Y978" s="104">
        <f>_xll.qlCalendarAdvance(Calendar,X978,NDays&amp;"D")</f>
        <v>46136</v>
      </c>
      <c r="Z978" s="105">
        <v>2.6295474633445236E-2</v>
      </c>
      <c r="AA978" s="102">
        <v>2.613829315285976E-2</v>
      </c>
    </row>
    <row r="979" spans="19:27" x14ac:dyDescent="0.2">
      <c r="S979" s="61"/>
      <c r="T979" s="82"/>
      <c r="W979" s="103" t="str">
        <f t="shared" si="23"/>
        <v>1w</v>
      </c>
      <c r="X979" s="101">
        <f>_xll.qlCalendarAdvance(Calendar,X978,W979,"f",FALSE)</f>
        <v>46141</v>
      </c>
      <c r="Y979" s="104">
        <f>_xll.qlCalendarAdvance(Calendar,X979,NDays&amp;"D")</f>
        <v>46146</v>
      </c>
      <c r="Z979" s="105">
        <v>2.6315020549539214E-2</v>
      </c>
      <c r="AA979" s="102">
        <v>2.6151910366616349E-2</v>
      </c>
    </row>
    <row r="980" spans="19:27" x14ac:dyDescent="0.2">
      <c r="S980" s="61"/>
      <c r="T980" s="82"/>
      <c r="W980" s="103" t="str">
        <f t="shared" si="23"/>
        <v>1w</v>
      </c>
      <c r="X980" s="101">
        <f>_xll.qlCalendarAdvance(Calendar,X979,W980,"f",FALSE)</f>
        <v>46148</v>
      </c>
      <c r="Y980" s="104">
        <f>_xll.qlCalendarAdvance(Calendar,X980,NDays&amp;"D")</f>
        <v>46150</v>
      </c>
      <c r="Z980" s="105">
        <v>2.6325859382872144E-2</v>
      </c>
      <c r="AA980" s="102">
        <v>2.6162178404396386E-2</v>
      </c>
    </row>
    <row r="981" spans="19:27" x14ac:dyDescent="0.2">
      <c r="S981" s="61"/>
      <c r="T981" s="82"/>
      <c r="W981" s="103" t="str">
        <f t="shared" ref="W981:W1044" si="24">W980</f>
        <v>1w</v>
      </c>
      <c r="X981" s="101">
        <f>_xll.qlCalendarAdvance(Calendar,X980,W981,"f",FALSE)</f>
        <v>46155</v>
      </c>
      <c r="Y981" s="104">
        <f>_xll.qlCalendarAdvance(Calendar,X981,NDays&amp;"D")</f>
        <v>46160</v>
      </c>
      <c r="Z981" s="105">
        <v>2.6340017405678987E-2</v>
      </c>
      <c r="AA981" s="102">
        <v>2.6175942624879767E-2</v>
      </c>
    </row>
    <row r="982" spans="19:27" x14ac:dyDescent="0.2">
      <c r="S982" s="61"/>
      <c r="T982" s="82"/>
      <c r="W982" s="103" t="str">
        <f t="shared" si="24"/>
        <v>1w</v>
      </c>
      <c r="X982" s="101">
        <f>_xll.qlCalendarAdvance(Calendar,X981,W982,"f",FALSE)</f>
        <v>46162</v>
      </c>
      <c r="Y982" s="104">
        <f>_xll.qlCalendarAdvance(Calendar,X982,NDays&amp;"D")</f>
        <v>46164</v>
      </c>
      <c r="Z982" s="105">
        <v>2.6350952445066213E-2</v>
      </c>
      <c r="AA982" s="102">
        <v>2.6188055227160945E-2</v>
      </c>
    </row>
    <row r="983" spans="19:27" x14ac:dyDescent="0.2">
      <c r="S983" s="61"/>
      <c r="T983" s="82"/>
      <c r="W983" s="103" t="str">
        <f t="shared" si="24"/>
        <v>1w</v>
      </c>
      <c r="X983" s="101">
        <f>_xll.qlCalendarAdvance(Calendar,X982,W983,"f",FALSE)</f>
        <v>46169</v>
      </c>
      <c r="Y983" s="104">
        <f>_xll.qlCalendarAdvance(Calendar,X983,NDays&amp;"D")</f>
        <v>46171</v>
      </c>
      <c r="Z983" s="105">
        <v>2.6363596166985026E-2</v>
      </c>
      <c r="AA983" s="102">
        <v>2.6198488647608542E-2</v>
      </c>
    </row>
    <row r="984" spans="19:27" x14ac:dyDescent="0.2">
      <c r="S984" s="61"/>
      <c r="T984" s="82"/>
      <c r="W984" s="103" t="str">
        <f t="shared" si="24"/>
        <v>1w</v>
      </c>
      <c r="X984" s="101">
        <f>_xll.qlCalendarAdvance(Calendar,X983,W984,"f",FALSE)</f>
        <v>46176</v>
      </c>
      <c r="Y984" s="104">
        <f>_xll.qlCalendarAdvance(Calendar,X984,NDays&amp;"D")</f>
        <v>46178</v>
      </c>
      <c r="Z984" s="105">
        <v>2.6376304683632567E-2</v>
      </c>
      <c r="AA984" s="102">
        <v>2.6210720692825262E-2</v>
      </c>
    </row>
    <row r="985" spans="19:27" x14ac:dyDescent="0.2">
      <c r="S985" s="61"/>
      <c r="T985" s="82"/>
      <c r="W985" s="103" t="str">
        <f t="shared" si="24"/>
        <v>1w</v>
      </c>
      <c r="X985" s="101">
        <f>_xll.qlCalendarAdvance(Calendar,X984,W985,"f",FALSE)</f>
        <v>46183</v>
      </c>
      <c r="Y985" s="104">
        <f>_xll.qlCalendarAdvance(Calendar,X985,NDays&amp;"D")</f>
        <v>46185</v>
      </c>
      <c r="Z985" s="105">
        <v>2.6389077995650878E-2</v>
      </c>
      <c r="AA985" s="102">
        <v>2.6223017053634834E-2</v>
      </c>
    </row>
    <row r="986" spans="19:27" x14ac:dyDescent="0.2">
      <c r="S986" s="61"/>
      <c r="T986" s="82"/>
      <c r="W986" s="103" t="str">
        <f t="shared" si="24"/>
        <v>1w</v>
      </c>
      <c r="X986" s="101">
        <f>_xll.qlCalendarAdvance(Calendar,X985,W986,"f",FALSE)</f>
        <v>46190</v>
      </c>
      <c r="Y986" s="104">
        <f>_xll.qlCalendarAdvance(Calendar,X986,NDays&amp;"D")</f>
        <v>46195</v>
      </c>
      <c r="Z986" s="105">
        <v>2.6403643265031449E-2</v>
      </c>
      <c r="AA986" s="102">
        <v>2.6237148790935194E-2</v>
      </c>
    </row>
    <row r="987" spans="19:27" x14ac:dyDescent="0.2">
      <c r="S987" s="61"/>
      <c r="T987" s="82"/>
      <c r="W987" s="103" t="str">
        <f t="shared" si="24"/>
        <v>1w</v>
      </c>
      <c r="X987" s="101">
        <f>_xll.qlCalendarAdvance(Calendar,X986,W987,"f",FALSE)</f>
        <v>46197</v>
      </c>
      <c r="Y987" s="104">
        <f>_xll.qlCalendarAdvance(Calendar,X987,NDays&amp;"D")</f>
        <v>46199</v>
      </c>
      <c r="Z987" s="105">
        <v>2.6414819008372226E-2</v>
      </c>
      <c r="AA987" s="102">
        <v>2.6247802721472979E-2</v>
      </c>
    </row>
    <row r="988" spans="19:27" x14ac:dyDescent="0.2">
      <c r="S988" s="61"/>
      <c r="T988" s="82"/>
      <c r="W988" s="103" t="str">
        <f t="shared" si="24"/>
        <v>1w</v>
      </c>
      <c r="X988" s="101">
        <f>_xll.qlCalendarAdvance(Calendar,X987,W988,"f",FALSE)</f>
        <v>46204</v>
      </c>
      <c r="Y988" s="104">
        <f>_xll.qlCalendarAdvance(Calendar,X988,NDays&amp;"D")</f>
        <v>46206</v>
      </c>
      <c r="Z988" s="105">
        <v>2.6427786710372946E-2</v>
      </c>
      <c r="AA988" s="102">
        <v>2.6260292028581489E-2</v>
      </c>
    </row>
    <row r="989" spans="19:27" x14ac:dyDescent="0.2">
      <c r="S989" s="61"/>
      <c r="T989" s="82"/>
      <c r="W989" s="103" t="str">
        <f t="shared" si="24"/>
        <v>1w</v>
      </c>
      <c r="X989" s="101">
        <f>_xll.qlCalendarAdvance(Calendar,X988,W989,"f",FALSE)</f>
        <v>46211</v>
      </c>
      <c r="Y989" s="104">
        <f>_xll.qlCalendarAdvance(Calendar,X989,NDays&amp;"D")</f>
        <v>46213</v>
      </c>
      <c r="Z989" s="105">
        <v>2.6440819210338109E-2</v>
      </c>
      <c r="AA989" s="102">
        <v>2.627284565128285E-2</v>
      </c>
    </row>
    <row r="990" spans="19:27" x14ac:dyDescent="0.2">
      <c r="S990" s="61"/>
      <c r="T990" s="82"/>
      <c r="W990" s="103" t="str">
        <f t="shared" si="24"/>
        <v>1w</v>
      </c>
      <c r="X990" s="101">
        <f>_xll.qlCalendarAdvance(Calendar,X989,W990,"f",FALSE)</f>
        <v>46218</v>
      </c>
      <c r="Y990" s="104">
        <f>_xll.qlCalendarAdvance(Calendar,X990,NDays&amp;"D")</f>
        <v>46220</v>
      </c>
      <c r="Z990" s="105">
        <v>2.6453916508923356E-2</v>
      </c>
      <c r="AA990" s="102">
        <v>2.6285463589417191E-2</v>
      </c>
    </row>
    <row r="991" spans="19:27" x14ac:dyDescent="0.2">
      <c r="S991" s="61"/>
      <c r="T991" s="82"/>
      <c r="W991" s="103" t="str">
        <f t="shared" si="24"/>
        <v>1w</v>
      </c>
      <c r="X991" s="101">
        <f>_xll.qlCalendarAdvance(Calendar,X990,W991,"f",FALSE)</f>
        <v>46225</v>
      </c>
      <c r="Y991" s="104">
        <f>_xll.qlCalendarAdvance(Calendar,X991,NDays&amp;"D")</f>
        <v>46227</v>
      </c>
      <c r="Z991" s="105">
        <v>2.646707860678774E-2</v>
      </c>
      <c r="AA991" s="102">
        <v>2.6298145842984511E-2</v>
      </c>
    </row>
    <row r="992" spans="19:27" x14ac:dyDescent="0.2">
      <c r="S992" s="61"/>
      <c r="T992" s="82"/>
      <c r="W992" s="103" t="str">
        <f t="shared" si="24"/>
        <v>1w</v>
      </c>
      <c r="X992" s="101">
        <f>_xll.qlCalendarAdvance(Calendar,X991,W992,"f",FALSE)</f>
        <v>46232</v>
      </c>
      <c r="Y992" s="104">
        <f>_xll.qlCalendarAdvance(Calendar,X992,NDays&amp;"D")</f>
        <v>46234</v>
      </c>
      <c r="Z992" s="105">
        <v>2.6474521015303107E-2</v>
      </c>
      <c r="AA992" s="102">
        <v>2.6310892412224618E-2</v>
      </c>
    </row>
    <row r="993" spans="19:27" x14ac:dyDescent="0.2">
      <c r="S993" s="61"/>
      <c r="T993" s="82"/>
      <c r="W993" s="103" t="str">
        <f t="shared" si="24"/>
        <v>1w</v>
      </c>
      <c r="X993" s="101">
        <f>_xll.qlCalendarAdvance(Calendar,X992,W993,"f",FALSE)</f>
        <v>46239</v>
      </c>
      <c r="Y993" s="104">
        <f>_xll.qlCalendarAdvance(Calendar,X993,NDays&amp;"D")</f>
        <v>46241</v>
      </c>
      <c r="Z993" s="105">
        <v>2.6493597203015605E-2</v>
      </c>
      <c r="AA993" s="102">
        <v>2.6323703296737833E-2</v>
      </c>
    </row>
    <row r="994" spans="19:27" x14ac:dyDescent="0.2">
      <c r="S994" s="61"/>
      <c r="T994" s="82"/>
      <c r="W994" s="103" t="str">
        <f t="shared" si="24"/>
        <v>1w</v>
      </c>
      <c r="X994" s="101">
        <f>_xll.qlCalendarAdvance(Calendar,X993,W994,"f",FALSE)</f>
        <v>46246</v>
      </c>
      <c r="Y994" s="104">
        <f>_xll.qlCalendarAdvance(Calendar,X994,NDays&amp;"D")</f>
        <v>46248</v>
      </c>
      <c r="Z994" s="105">
        <v>2.6506953702714192E-2</v>
      </c>
      <c r="AA994" s="102">
        <v>2.6336578496923835E-2</v>
      </c>
    </row>
    <row r="995" spans="19:27" x14ac:dyDescent="0.2">
      <c r="S995" s="61"/>
      <c r="T995" s="82"/>
      <c r="W995" s="103" t="str">
        <f t="shared" si="24"/>
        <v>1w</v>
      </c>
      <c r="X995" s="101">
        <f>_xll.qlCalendarAdvance(Calendar,X994,W995,"f",FALSE)</f>
        <v>46253</v>
      </c>
      <c r="Y995" s="104">
        <f>_xll.qlCalendarAdvance(Calendar,X995,NDays&amp;"D")</f>
        <v>46255</v>
      </c>
      <c r="Z995" s="105">
        <v>2.6520375004365521E-2</v>
      </c>
      <c r="AA995" s="102">
        <v>2.6349518012622752E-2</v>
      </c>
    </row>
    <row r="996" spans="19:27" x14ac:dyDescent="0.2">
      <c r="S996" s="61"/>
      <c r="T996" s="82"/>
      <c r="W996" s="103" t="str">
        <f t="shared" si="24"/>
        <v>1w</v>
      </c>
      <c r="X996" s="101">
        <f>_xll.qlCalendarAdvance(Calendar,X995,W996,"f",FALSE)</f>
        <v>46260</v>
      </c>
      <c r="Y996" s="104">
        <f>_xll.qlCalendarAdvance(Calendar,X996,NDays&amp;"D")</f>
        <v>46262</v>
      </c>
      <c r="Z996" s="105">
        <v>2.6533861108645643E-2</v>
      </c>
      <c r="AA996" s="102">
        <v>2.6362521843834585E-2</v>
      </c>
    </row>
    <row r="997" spans="19:27" x14ac:dyDescent="0.2">
      <c r="S997" s="61"/>
      <c r="T997" s="82"/>
      <c r="W997" s="103" t="str">
        <f t="shared" si="24"/>
        <v>1w</v>
      </c>
      <c r="X997" s="101">
        <f>_xll.qlCalendarAdvance(Calendar,X996,W997,"f",FALSE)</f>
        <v>46267</v>
      </c>
      <c r="Y997" s="104">
        <f>_xll.qlCalendarAdvance(Calendar,X997,NDays&amp;"D")</f>
        <v>46269</v>
      </c>
      <c r="Z997" s="105">
        <v>2.6541543337965413E-2</v>
      </c>
      <c r="AA997" s="102">
        <v>2.637558999063927E-2</v>
      </c>
    </row>
    <row r="998" spans="19:27" x14ac:dyDescent="0.2">
      <c r="S998" s="61"/>
      <c r="T998" s="82"/>
      <c r="W998" s="103" t="str">
        <f t="shared" si="24"/>
        <v>1w</v>
      </c>
      <c r="X998" s="101">
        <f>_xll.qlCalendarAdvance(Calendar,X997,W998,"f",FALSE)</f>
        <v>46274</v>
      </c>
      <c r="Y998" s="104">
        <f>_xll.qlCalendarAdvance(Calendar,X998,NDays&amp;"D")</f>
        <v>46276</v>
      </c>
      <c r="Z998" s="105">
        <v>2.6555142163977929E-2</v>
      </c>
      <c r="AA998" s="102">
        <v>2.638872245295687E-2</v>
      </c>
    </row>
    <row r="999" spans="19:27" x14ac:dyDescent="0.2">
      <c r="S999" s="61"/>
      <c r="T999" s="82"/>
      <c r="W999" s="103" t="str">
        <f t="shared" si="24"/>
        <v>1w</v>
      </c>
      <c r="X999" s="101">
        <f>_xll.qlCalendarAdvance(Calendar,X998,W999,"f",FALSE)</f>
        <v>46281</v>
      </c>
      <c r="Y999" s="104">
        <f>_xll.qlCalendarAdvance(Calendar,X999,NDays&amp;"D")</f>
        <v>46283</v>
      </c>
      <c r="Z999" s="105">
        <v>2.6568805778689683E-2</v>
      </c>
      <c r="AA999" s="102">
        <v>2.6401919230787385E-2</v>
      </c>
    </row>
    <row r="1000" spans="19:27" x14ac:dyDescent="0.2">
      <c r="S1000" s="61"/>
      <c r="T1000" s="82"/>
      <c r="W1000" s="103" t="str">
        <f t="shared" si="24"/>
        <v>1w</v>
      </c>
      <c r="X1000" s="101">
        <f>_xll.qlCalendarAdvance(Calendar,X999,W1000,"f",FALSE)</f>
        <v>46288</v>
      </c>
      <c r="Y1000" s="104">
        <f>_xll.qlCalendarAdvance(Calendar,X1000,NDays&amp;"D")</f>
        <v>46290</v>
      </c>
      <c r="Z1000" s="105">
        <v>2.6588453565695086E-2</v>
      </c>
      <c r="AA1000" s="102">
        <v>2.6415180324210752E-2</v>
      </c>
    </row>
    <row r="1001" spans="19:27" x14ac:dyDescent="0.2">
      <c r="S1001" s="61"/>
      <c r="T1001" s="82"/>
      <c r="W1001" s="103" t="str">
        <f t="shared" si="24"/>
        <v>1w</v>
      </c>
      <c r="X1001" s="101">
        <f>_xll.qlCalendarAdvance(Calendar,X1000,W1001,"f",FALSE)</f>
        <v>46295</v>
      </c>
      <c r="Y1001" s="104">
        <f>_xll.qlCalendarAdvance(Calendar,X1001,NDays&amp;"D")</f>
        <v>46297</v>
      </c>
      <c r="Z1001" s="105">
        <v>2.660226369337906E-2</v>
      </c>
      <c r="AA1001" s="102">
        <v>2.642850573322697E-2</v>
      </c>
    </row>
    <row r="1002" spans="19:27" x14ac:dyDescent="0.2">
      <c r="S1002" s="61"/>
      <c r="T1002" s="82"/>
      <c r="W1002" s="103" t="str">
        <f t="shared" si="24"/>
        <v>1w</v>
      </c>
      <c r="X1002" s="101">
        <f>_xll.qlCalendarAdvance(Calendar,X1001,W1002,"f",FALSE)</f>
        <v>46302</v>
      </c>
      <c r="Y1002" s="104">
        <f>_xll.qlCalendarAdvance(Calendar,X1002,NDays&amp;"D")</f>
        <v>46304</v>
      </c>
      <c r="Z1002" s="105">
        <v>2.6616138627817892E-2</v>
      </c>
      <c r="AA1002" s="102">
        <v>2.6441895457756104E-2</v>
      </c>
    </row>
    <row r="1003" spans="19:27" x14ac:dyDescent="0.2">
      <c r="S1003" s="61"/>
      <c r="T1003" s="82"/>
      <c r="W1003" s="103" t="str">
        <f t="shared" si="24"/>
        <v>1w</v>
      </c>
      <c r="X1003" s="101">
        <f>_xll.qlCalendarAdvance(Calendar,X1002,W1003,"f",FALSE)</f>
        <v>46309</v>
      </c>
      <c r="Y1003" s="104">
        <f>_xll.qlCalendarAdvance(Calendar,X1003,NDays&amp;"D")</f>
        <v>46311</v>
      </c>
      <c r="Z1003" s="105">
        <v>2.6630078369711443E-2</v>
      </c>
      <c r="AA1003" s="102">
        <v>2.6455349497878089E-2</v>
      </c>
    </row>
    <row r="1004" spans="19:27" x14ac:dyDescent="0.2">
      <c r="S1004" s="61"/>
      <c r="T1004" s="82"/>
      <c r="W1004" s="103" t="str">
        <f t="shared" si="24"/>
        <v>1w</v>
      </c>
      <c r="X1004" s="101">
        <f>_xll.qlCalendarAdvance(Calendar,X1003,W1004,"f",FALSE)</f>
        <v>46316</v>
      </c>
      <c r="Y1004" s="104">
        <f>_xll.qlCalendarAdvance(Calendar,X1004,NDays&amp;"D")</f>
        <v>46318</v>
      </c>
      <c r="Z1004" s="105">
        <v>2.6644082919762137E-2</v>
      </c>
      <c r="AA1004" s="102">
        <v>2.6468867853592926E-2</v>
      </c>
    </row>
    <row r="1005" spans="19:27" x14ac:dyDescent="0.2">
      <c r="S1005" s="61"/>
      <c r="T1005" s="82"/>
      <c r="W1005" s="103" t="str">
        <f t="shared" si="24"/>
        <v>1w</v>
      </c>
      <c r="X1005" s="101">
        <f>_xll.qlCalendarAdvance(Calendar,X1004,W1005,"f",FALSE)</f>
        <v>46323</v>
      </c>
      <c r="Y1005" s="104">
        <f>_xll.qlCalendarAdvance(Calendar,X1005,NDays&amp;"D")</f>
        <v>46325</v>
      </c>
      <c r="Z1005" s="105">
        <v>2.6652148067214217E-2</v>
      </c>
      <c r="AA1005" s="102">
        <v>2.648245052498055E-2</v>
      </c>
    </row>
    <row r="1006" spans="19:27" x14ac:dyDescent="0.2">
      <c r="S1006" s="61"/>
      <c r="T1006" s="82"/>
      <c r="W1006" s="103" t="str">
        <f t="shared" si="24"/>
        <v>1w</v>
      </c>
      <c r="X1006" s="101">
        <f>_xll.qlCalendarAdvance(Calendar,X1005,W1006,"f",FALSE)</f>
        <v>46330</v>
      </c>
      <c r="Y1006" s="104">
        <f>_xll.qlCalendarAdvance(Calendar,X1006,NDays&amp;"D")</f>
        <v>46332</v>
      </c>
      <c r="Z1006" s="105">
        <v>2.667228644715906E-2</v>
      </c>
      <c r="AA1006" s="102">
        <v>2.6496097511881089E-2</v>
      </c>
    </row>
    <row r="1007" spans="19:27" x14ac:dyDescent="0.2">
      <c r="S1007" s="61"/>
      <c r="T1007" s="82"/>
      <c r="W1007" s="103" t="str">
        <f t="shared" si="24"/>
        <v>1w</v>
      </c>
      <c r="X1007" s="101">
        <f>_xll.qlCalendarAdvance(Calendar,X1006,W1007,"f",FALSE)</f>
        <v>46337</v>
      </c>
      <c r="Y1007" s="104">
        <f>_xll.qlCalendarAdvance(Calendar,X1007,NDays&amp;"D")</f>
        <v>46339</v>
      </c>
      <c r="Z1007" s="105">
        <v>2.6686485425926283E-2</v>
      </c>
      <c r="AA1007" s="102">
        <v>2.6509808814454416E-2</v>
      </c>
    </row>
    <row r="1008" spans="19:27" x14ac:dyDescent="0.2">
      <c r="S1008" s="61"/>
      <c r="T1008" s="82"/>
      <c r="W1008" s="103" t="str">
        <f t="shared" si="24"/>
        <v>1w</v>
      </c>
      <c r="X1008" s="101">
        <f>_xll.qlCalendarAdvance(Calendar,X1007,W1008,"f",FALSE)</f>
        <v>46344</v>
      </c>
      <c r="Y1008" s="104">
        <f>_xll.qlCalendarAdvance(Calendar,X1008,NDays&amp;"D")</f>
        <v>46346</v>
      </c>
      <c r="Z1008" s="105">
        <v>2.6700749215693476E-2</v>
      </c>
      <c r="AA1008" s="102">
        <v>2.6523584432620595E-2</v>
      </c>
    </row>
    <row r="1009" spans="19:27" x14ac:dyDescent="0.2">
      <c r="S1009" s="61"/>
      <c r="T1009" s="82"/>
      <c r="W1009" s="103" t="str">
        <f t="shared" si="24"/>
        <v>1w</v>
      </c>
      <c r="X1009" s="101">
        <f>_xll.qlCalendarAdvance(Calendar,X1008,W1009,"f",FALSE)</f>
        <v>46351</v>
      </c>
      <c r="Y1009" s="104">
        <f>_xll.qlCalendarAdvance(Calendar,X1009,NDays&amp;"D")</f>
        <v>46353</v>
      </c>
      <c r="Z1009" s="105">
        <v>2.6709005452524023E-2</v>
      </c>
      <c r="AA1009" s="102">
        <v>2.6537424366379625E-2</v>
      </c>
    </row>
    <row r="1010" spans="19:27" x14ac:dyDescent="0.2">
      <c r="S1010" s="61"/>
      <c r="T1010" s="82"/>
      <c r="W1010" s="103" t="str">
        <f t="shared" si="24"/>
        <v>1w</v>
      </c>
      <c r="X1010" s="101">
        <f>_xll.qlCalendarAdvance(Calendar,X1009,W1010,"f",FALSE)</f>
        <v>46358</v>
      </c>
      <c r="Y1010" s="104">
        <f>_xll.qlCalendarAdvance(Calendar,X1010,NDays&amp;"D")</f>
        <v>46360</v>
      </c>
      <c r="Z1010" s="105">
        <v>2.6721353259932634E-2</v>
      </c>
      <c r="AA1010" s="102">
        <v>2.6551328615731506E-2</v>
      </c>
    </row>
    <row r="1011" spans="19:27" x14ac:dyDescent="0.2">
      <c r="S1011" s="61"/>
      <c r="T1011" s="82"/>
      <c r="W1011" s="103" t="str">
        <f t="shared" si="24"/>
        <v>1w</v>
      </c>
      <c r="X1011" s="101">
        <f>_xll.qlCalendarAdvance(Calendar,X1010,W1011,"f",FALSE)</f>
        <v>46365</v>
      </c>
      <c r="Y1011" s="104">
        <f>_xll.qlCalendarAdvance(Calendar,X1011,NDays&amp;"D")</f>
        <v>46367</v>
      </c>
      <c r="Z1011" s="105">
        <v>2.6735788695281926E-2</v>
      </c>
      <c r="AA1011" s="102">
        <v>2.6565297180836112E-2</v>
      </c>
    </row>
    <row r="1012" spans="19:27" x14ac:dyDescent="0.2">
      <c r="S1012" s="61"/>
      <c r="T1012" s="82"/>
      <c r="W1012" s="103" t="str">
        <f t="shared" si="24"/>
        <v>1w</v>
      </c>
      <c r="X1012" s="101">
        <f>_xll.qlCalendarAdvance(Calendar,X1011,W1012,"f",FALSE)</f>
        <v>46372</v>
      </c>
      <c r="Y1012" s="104">
        <f>_xll.qlCalendarAdvance(Calendar,X1012,NDays&amp;"D")</f>
        <v>46374</v>
      </c>
      <c r="Z1012" s="105">
        <v>2.675028892281972E-2</v>
      </c>
      <c r="AA1012" s="102">
        <v>2.6579330061533568E-2</v>
      </c>
    </row>
    <row r="1013" spans="19:27" x14ac:dyDescent="0.2">
      <c r="S1013" s="61"/>
      <c r="T1013" s="82"/>
      <c r="W1013" s="103" t="str">
        <f t="shared" si="24"/>
        <v>1w</v>
      </c>
      <c r="X1013" s="101">
        <f>_xll.qlCalendarAdvance(Calendar,X1012,W1013,"f",FALSE)</f>
        <v>46379</v>
      </c>
      <c r="Y1013" s="104">
        <f>_xll.qlCalendarAdvance(Calendar,X1013,NDays&amp;"D")</f>
        <v>46385</v>
      </c>
      <c r="Z1013" s="105">
        <v>2.6775254800838068E-2</v>
      </c>
      <c r="AA1013" s="102">
        <v>2.6605561759067697E-2</v>
      </c>
    </row>
    <row r="1014" spans="19:27" x14ac:dyDescent="0.2">
      <c r="S1014" s="61"/>
      <c r="T1014" s="82"/>
      <c r="W1014" s="103" t="str">
        <f t="shared" si="24"/>
        <v>1w</v>
      </c>
      <c r="X1014" s="101">
        <f>_xll.qlCalendarAdvance(Calendar,X1013,W1014,"f",FALSE)</f>
        <v>46386</v>
      </c>
      <c r="Y1014" s="104">
        <f>_xll.qlCalendarAdvance(Calendar,X1014,NDays&amp;"D")</f>
        <v>46392</v>
      </c>
      <c r="Z1014" s="105">
        <v>2.6787872742249697E-2</v>
      </c>
      <c r="AA1014" s="102">
        <v>2.6617678191751537E-2</v>
      </c>
    </row>
    <row r="1015" spans="19:27" x14ac:dyDescent="0.2">
      <c r="S1015" s="61"/>
      <c r="T1015" s="82"/>
      <c r="W1015" s="103" t="str">
        <f t="shared" si="24"/>
        <v>1w</v>
      </c>
      <c r="X1015" s="101">
        <f>_xll.qlCalendarAdvance(Calendar,X1014,W1015,"f",FALSE)</f>
        <v>46394</v>
      </c>
      <c r="Y1015" s="104">
        <f>_xll.qlCalendarAdvance(Calendar,X1015,NDays&amp;"D")</f>
        <v>46398</v>
      </c>
      <c r="Z1015" s="105">
        <v>2.6802555407725314E-2</v>
      </c>
      <c r="AA1015" s="102">
        <v>2.6623852109022295E-2</v>
      </c>
    </row>
    <row r="1016" spans="19:27" x14ac:dyDescent="0.2">
      <c r="S1016" s="61"/>
      <c r="T1016" s="82"/>
      <c r="W1016" s="103" t="str">
        <f t="shared" si="24"/>
        <v>1w</v>
      </c>
      <c r="X1016" s="101">
        <f>_xll.qlCalendarAdvance(Calendar,X1015,W1016,"f",FALSE)</f>
        <v>46401</v>
      </c>
      <c r="Y1016" s="104">
        <f>_xll.qlCalendarAdvance(Calendar,X1016,NDays&amp;"D")</f>
        <v>46405</v>
      </c>
      <c r="Z1016" s="105">
        <v>2.6817348306745332E-2</v>
      </c>
      <c r="AA1016" s="102">
        <v>2.6638151440341318E-2</v>
      </c>
    </row>
    <row r="1017" spans="19:27" x14ac:dyDescent="0.2">
      <c r="S1017" s="61"/>
      <c r="T1017" s="82"/>
      <c r="W1017" s="103" t="str">
        <f t="shared" si="24"/>
        <v>1w</v>
      </c>
      <c r="X1017" s="101">
        <f>_xll.qlCalendarAdvance(Calendar,X1016,W1017,"f",FALSE)</f>
        <v>46408</v>
      </c>
      <c r="Y1017" s="104">
        <f>_xll.qlCalendarAdvance(Calendar,X1017,NDays&amp;"D")</f>
        <v>46412</v>
      </c>
      <c r="Z1017" s="105">
        <v>2.6832206007256998E-2</v>
      </c>
      <c r="AA1017" s="102">
        <v>2.6652515087333128E-2</v>
      </c>
    </row>
    <row r="1018" spans="19:27" x14ac:dyDescent="0.2">
      <c r="S1018" s="61"/>
      <c r="T1018" s="82"/>
      <c r="W1018" s="103" t="str">
        <f t="shared" si="24"/>
        <v>1w</v>
      </c>
      <c r="X1018" s="101">
        <f>_xll.qlCalendarAdvance(Calendar,X1017,W1018,"f",FALSE)</f>
        <v>46415</v>
      </c>
      <c r="Y1018" s="104">
        <f>_xll.qlCalendarAdvance(Calendar,X1018,NDays&amp;"D")</f>
        <v>46419</v>
      </c>
      <c r="Z1018" s="105">
        <v>2.6847128509984122E-2</v>
      </c>
      <c r="AA1018" s="102">
        <v>2.6666943049997727E-2</v>
      </c>
    </row>
    <row r="1019" spans="19:27" x14ac:dyDescent="0.2">
      <c r="S1019" s="61"/>
      <c r="T1019" s="82"/>
      <c r="W1019" s="103" t="str">
        <f t="shared" si="24"/>
        <v>1w</v>
      </c>
      <c r="X1019" s="101">
        <f>_xll.qlCalendarAdvance(Calendar,X1018,W1019,"f",FALSE)</f>
        <v>46422</v>
      </c>
      <c r="Y1019" s="104">
        <f>_xll.qlCalendarAdvance(Calendar,X1019,NDays&amp;"D")</f>
        <v>46426</v>
      </c>
      <c r="Z1019" s="105">
        <v>2.6862115815654918E-2</v>
      </c>
      <c r="AA1019" s="102">
        <v>2.6681435328415049E-2</v>
      </c>
    </row>
    <row r="1020" spans="19:27" x14ac:dyDescent="0.2">
      <c r="S1020" s="61"/>
      <c r="T1020" s="82"/>
      <c r="W1020" s="103" t="str">
        <f t="shared" si="24"/>
        <v>1w</v>
      </c>
      <c r="X1020" s="101">
        <f>_xll.qlCalendarAdvance(Calendar,X1019,W1020,"f",FALSE)</f>
        <v>46429</v>
      </c>
      <c r="Y1020" s="104">
        <f>_xll.qlCalendarAdvance(Calendar,X1020,NDays&amp;"D")</f>
        <v>46433</v>
      </c>
      <c r="Z1020" s="105">
        <v>2.6879256780766258E-2</v>
      </c>
      <c r="AA1020" s="102">
        <v>2.6695991922585094E-2</v>
      </c>
    </row>
    <row r="1021" spans="19:27" x14ac:dyDescent="0.2">
      <c r="S1021" s="61"/>
      <c r="T1021" s="82"/>
      <c r="W1021" s="103" t="str">
        <f t="shared" si="24"/>
        <v>1w</v>
      </c>
      <c r="X1021" s="101">
        <f>_xll.qlCalendarAdvance(Calendar,X1020,W1021,"f",FALSE)</f>
        <v>46436</v>
      </c>
      <c r="Y1021" s="104">
        <f>_xll.qlCalendarAdvance(Calendar,X1021,NDays&amp;"D")</f>
        <v>46440</v>
      </c>
      <c r="Z1021" s="105">
        <v>2.6892284838757049E-2</v>
      </c>
      <c r="AA1021" s="102">
        <v>2.6710612832427927E-2</v>
      </c>
    </row>
    <row r="1022" spans="19:27" x14ac:dyDescent="0.2">
      <c r="S1022" s="61"/>
      <c r="T1022" s="82"/>
      <c r="W1022" s="103" t="str">
        <f t="shared" si="24"/>
        <v>1w</v>
      </c>
      <c r="X1022" s="101">
        <f>_xll.qlCalendarAdvance(Calendar,X1021,W1022,"f",FALSE)</f>
        <v>46443</v>
      </c>
      <c r="Y1022" s="104">
        <f>_xll.qlCalendarAdvance(Calendar,X1022,NDays&amp;"D")</f>
        <v>46447</v>
      </c>
      <c r="Z1022" s="105">
        <v>2.6909566927922759E-2</v>
      </c>
      <c r="AA1022" s="102">
        <v>2.6725298058023483E-2</v>
      </c>
    </row>
    <row r="1023" spans="19:27" x14ac:dyDescent="0.2">
      <c r="S1023" s="61"/>
      <c r="T1023" s="82"/>
      <c r="W1023" s="103" t="str">
        <f t="shared" si="24"/>
        <v>1w</v>
      </c>
      <c r="X1023" s="101">
        <f>_xll.qlCalendarAdvance(Calendar,X1022,W1023,"f",FALSE)</f>
        <v>46450</v>
      </c>
      <c r="Y1023" s="104">
        <f>_xll.qlCalendarAdvance(Calendar,X1023,NDays&amp;"D")</f>
        <v>46454</v>
      </c>
      <c r="Z1023" s="105">
        <v>2.6924819218236976E-2</v>
      </c>
      <c r="AA1023" s="102">
        <v>2.6740047599291827E-2</v>
      </c>
    </row>
    <row r="1024" spans="19:27" x14ac:dyDescent="0.2">
      <c r="S1024" s="61"/>
      <c r="T1024" s="82"/>
      <c r="W1024" s="103" t="str">
        <f t="shared" si="24"/>
        <v>1w</v>
      </c>
      <c r="X1024" s="101">
        <f>_xll.qlCalendarAdvance(Calendar,X1023,W1024,"f",FALSE)</f>
        <v>46457</v>
      </c>
      <c r="Y1024" s="104">
        <f>_xll.qlCalendarAdvance(Calendar,X1024,NDays&amp;"D")</f>
        <v>46461</v>
      </c>
      <c r="Z1024" s="105">
        <v>2.694013632071118E-2</v>
      </c>
      <c r="AA1024" s="102">
        <v>2.6754861456392831E-2</v>
      </c>
    </row>
    <row r="1025" spans="19:27" x14ac:dyDescent="0.2">
      <c r="S1025" s="61"/>
      <c r="T1025" s="82"/>
      <c r="W1025" s="103" t="str">
        <f t="shared" si="24"/>
        <v>1w</v>
      </c>
      <c r="X1025" s="101">
        <f>_xll.qlCalendarAdvance(Calendar,X1024,W1025,"f",FALSE)</f>
        <v>46464</v>
      </c>
      <c r="Y1025" s="104">
        <f>_xll.qlCalendarAdvance(Calendar,X1025,NDays&amp;"D")</f>
        <v>46468</v>
      </c>
      <c r="Z1025" s="105">
        <v>2.6955518236100415E-2</v>
      </c>
      <c r="AA1025" s="102">
        <v>2.6769739629166622E-2</v>
      </c>
    </row>
    <row r="1026" spans="19:27" x14ac:dyDescent="0.2">
      <c r="S1026" s="61"/>
      <c r="T1026" s="82"/>
      <c r="W1026" s="103" t="str">
        <f t="shared" si="24"/>
        <v>1w</v>
      </c>
      <c r="X1026" s="101">
        <f>_xll.qlCalendarAdvance(Calendar,X1025,W1026,"f",FALSE)</f>
        <v>46471</v>
      </c>
      <c r="Y1026" s="104">
        <f>_xll.qlCalendarAdvance(Calendar,X1026,NDays&amp;"D")</f>
        <v>46477</v>
      </c>
      <c r="Z1026" s="105">
        <v>2.6973265102351648E-2</v>
      </c>
      <c r="AA1026" s="102">
        <v>2.6793100003974502E-2</v>
      </c>
    </row>
    <row r="1027" spans="19:27" x14ac:dyDescent="0.2">
      <c r="S1027" s="61"/>
      <c r="T1027" s="82"/>
      <c r="W1027" s="103" t="str">
        <f t="shared" si="24"/>
        <v>1w</v>
      </c>
      <c r="X1027" s="101">
        <f>_xll.qlCalendarAdvance(Calendar,X1026,W1027,"f",FALSE)</f>
        <v>46478</v>
      </c>
      <c r="Y1027" s="104">
        <f>_xll.qlCalendarAdvance(Calendar,X1027,NDays&amp;"D")</f>
        <v>46482</v>
      </c>
      <c r="Z1027" s="105">
        <v>2.6984347255400071E-2</v>
      </c>
      <c r="AA1027" s="102">
        <v>2.6799688922052312E-2</v>
      </c>
    </row>
    <row r="1028" spans="19:27" x14ac:dyDescent="0.2">
      <c r="S1028" s="61"/>
      <c r="T1028" s="82"/>
      <c r="W1028" s="103" t="str">
        <f t="shared" si="24"/>
        <v>1w</v>
      </c>
      <c r="X1028" s="101">
        <f>_xll.qlCalendarAdvance(Calendar,X1027,W1028,"f",FALSE)</f>
        <v>46485</v>
      </c>
      <c r="Y1028" s="104">
        <f>_xll.qlCalendarAdvance(Calendar,X1028,NDays&amp;"D")</f>
        <v>46489</v>
      </c>
      <c r="Z1028" s="105">
        <v>2.6999917820844533E-2</v>
      </c>
      <c r="AA1028" s="102">
        <v>2.6814760042084274E-2</v>
      </c>
    </row>
    <row r="1029" spans="19:27" x14ac:dyDescent="0.2">
      <c r="S1029" s="61"/>
      <c r="T1029" s="82"/>
      <c r="W1029" s="103" t="str">
        <f t="shared" si="24"/>
        <v>1w</v>
      </c>
      <c r="X1029" s="101">
        <f>_xll.qlCalendarAdvance(Calendar,X1028,W1029,"f",FALSE)</f>
        <v>46492</v>
      </c>
      <c r="Y1029" s="104">
        <f>_xll.qlCalendarAdvance(Calendar,X1029,NDays&amp;"D")</f>
        <v>46496</v>
      </c>
      <c r="Z1029" s="105">
        <v>2.7015553196687803E-2</v>
      </c>
      <c r="AA1029" s="102">
        <v>2.6829895477948895E-2</v>
      </c>
    </row>
    <row r="1030" spans="19:27" x14ac:dyDescent="0.2">
      <c r="S1030" s="61"/>
      <c r="T1030" s="82"/>
      <c r="W1030" s="103" t="str">
        <f t="shared" si="24"/>
        <v>1w</v>
      </c>
      <c r="X1030" s="101">
        <f>_xll.qlCalendarAdvance(Calendar,X1029,W1030,"f",FALSE)</f>
        <v>46499</v>
      </c>
      <c r="Y1030" s="104">
        <f>_xll.qlCalendarAdvance(Calendar,X1030,NDays&amp;"D")</f>
        <v>46503</v>
      </c>
      <c r="Z1030" s="105">
        <v>2.7031253383690584E-2</v>
      </c>
      <c r="AA1030" s="102">
        <v>2.6845095229646176E-2</v>
      </c>
    </row>
    <row r="1031" spans="19:27" x14ac:dyDescent="0.2">
      <c r="S1031" s="61"/>
      <c r="T1031" s="82"/>
      <c r="W1031" s="103" t="str">
        <f t="shared" si="24"/>
        <v>1w</v>
      </c>
      <c r="X1031" s="101">
        <f>_xll.qlCalendarAdvance(Calendar,X1030,W1031,"f",FALSE)</f>
        <v>46506</v>
      </c>
      <c r="Y1031" s="104">
        <f>_xll.qlCalendarAdvance(Calendar,X1031,NDays&amp;"D")</f>
        <v>46510</v>
      </c>
      <c r="Z1031" s="105">
        <v>2.7049170842357417E-2</v>
      </c>
      <c r="AA1031" s="102">
        <v>2.6862454348348663E-2</v>
      </c>
    </row>
    <row r="1032" spans="19:27" x14ac:dyDescent="0.2">
      <c r="S1032" s="61"/>
      <c r="T1032" s="82"/>
      <c r="W1032" s="103" t="str">
        <f t="shared" si="24"/>
        <v>1w</v>
      </c>
      <c r="X1032" s="101">
        <f>_xll.qlCalendarAdvance(Calendar,X1031,W1032,"f",FALSE)</f>
        <v>46514</v>
      </c>
      <c r="Y1032" s="104">
        <f>_xll.qlCalendarAdvance(Calendar,X1032,NDays&amp;"D")</f>
        <v>46518</v>
      </c>
      <c r="Z1032" s="105">
        <v>2.7067273993365237E-2</v>
      </c>
      <c r="AA1032" s="102">
        <v>2.6877882699665179E-2</v>
      </c>
    </row>
    <row r="1033" spans="19:27" x14ac:dyDescent="0.2">
      <c r="S1033" s="61"/>
      <c r="T1033" s="82"/>
      <c r="W1033" s="103" t="str">
        <f t="shared" si="24"/>
        <v>1w</v>
      </c>
      <c r="X1033" s="101">
        <f>_xll.qlCalendarAdvance(Calendar,X1032,W1033,"f",FALSE)</f>
        <v>46521</v>
      </c>
      <c r="Y1033" s="104">
        <f>_xll.qlCalendarAdvance(Calendar,X1033,NDays&amp;"D")</f>
        <v>46526</v>
      </c>
      <c r="Z1033" s="105">
        <v>2.7085461806168019E-2</v>
      </c>
      <c r="AA1033" s="102">
        <v>2.6899707110263904E-2</v>
      </c>
    </row>
    <row r="1034" spans="19:27" x14ac:dyDescent="0.2">
      <c r="S1034" s="61"/>
      <c r="T1034" s="82"/>
      <c r="W1034" s="103" t="str">
        <f t="shared" si="24"/>
        <v>1w</v>
      </c>
      <c r="X1034" s="101">
        <f>_xll.qlCalendarAdvance(Calendar,X1033,W1034,"f",FALSE)</f>
        <v>46528</v>
      </c>
      <c r="Y1034" s="104">
        <f>_xll.qlCalendarAdvance(Calendar,X1034,NDays&amp;"D")</f>
        <v>46532</v>
      </c>
      <c r="Z1034" s="105">
        <v>2.7099158225776052E-2</v>
      </c>
      <c r="AA1034" s="102">
        <v>2.6908750789669256E-2</v>
      </c>
    </row>
    <row r="1035" spans="19:27" x14ac:dyDescent="0.2">
      <c r="S1035" s="61"/>
      <c r="T1035" s="82"/>
      <c r="W1035" s="103" t="str">
        <f t="shared" si="24"/>
        <v>1w</v>
      </c>
      <c r="X1035" s="101">
        <f>_xll.qlCalendarAdvance(Calendar,X1034,W1035,"f",FALSE)</f>
        <v>46535</v>
      </c>
      <c r="Y1035" s="104">
        <f>_xll.qlCalendarAdvance(Calendar,X1035,NDays&amp;"D")</f>
        <v>46539</v>
      </c>
      <c r="Z1035" s="105">
        <v>2.7115197572724049E-2</v>
      </c>
      <c r="AA1035" s="102">
        <v>2.6924281308380316E-2</v>
      </c>
    </row>
    <row r="1036" spans="19:27" x14ac:dyDescent="0.2">
      <c r="S1036" s="61"/>
      <c r="T1036" s="82"/>
      <c r="W1036" s="103" t="str">
        <f t="shared" si="24"/>
        <v>1w</v>
      </c>
      <c r="X1036" s="101">
        <f>_xll.qlCalendarAdvance(Calendar,X1035,W1036,"f",FALSE)</f>
        <v>46542</v>
      </c>
      <c r="Y1036" s="104">
        <f>_xll.qlCalendarAdvance(Calendar,X1036,NDays&amp;"D")</f>
        <v>46546</v>
      </c>
      <c r="Z1036" s="105">
        <v>2.7131301741221043E-2</v>
      </c>
      <c r="AA1036" s="102">
        <v>2.6939876142924035E-2</v>
      </c>
    </row>
    <row r="1037" spans="19:27" x14ac:dyDescent="0.2">
      <c r="S1037" s="61"/>
      <c r="T1037" s="82"/>
      <c r="W1037" s="103" t="str">
        <f t="shared" si="24"/>
        <v>1w</v>
      </c>
      <c r="X1037" s="101">
        <f>_xll.qlCalendarAdvance(Calendar,X1036,W1037,"f",FALSE)</f>
        <v>46549</v>
      </c>
      <c r="Y1037" s="104">
        <f>_xll.qlCalendarAdvance(Calendar,X1037,NDays&amp;"D")</f>
        <v>46553</v>
      </c>
      <c r="Z1037" s="105">
        <v>2.714747073206205E-2</v>
      </c>
      <c r="AA1037" s="102">
        <v>2.6955535293300414E-2</v>
      </c>
    </row>
    <row r="1038" spans="19:27" x14ac:dyDescent="0.2">
      <c r="S1038" s="61"/>
      <c r="T1038" s="82"/>
      <c r="W1038" s="103" t="str">
        <f t="shared" si="24"/>
        <v>1w</v>
      </c>
      <c r="X1038" s="101">
        <f>_xll.qlCalendarAdvance(Calendar,X1037,W1038,"f",FALSE)</f>
        <v>46556</v>
      </c>
      <c r="Y1038" s="104">
        <f>_xll.qlCalendarAdvance(Calendar,X1038,NDays&amp;"D")</f>
        <v>46560</v>
      </c>
      <c r="Z1038" s="105">
        <v>2.7163704546042958E-2</v>
      </c>
      <c r="AA1038" s="102">
        <v>2.6977669209240496E-2</v>
      </c>
    </row>
    <row r="1039" spans="19:27" x14ac:dyDescent="0.2">
      <c r="S1039" s="61"/>
      <c r="T1039" s="82"/>
      <c r="W1039" s="103" t="str">
        <f t="shared" si="24"/>
        <v>1w</v>
      </c>
      <c r="X1039" s="101">
        <f>_xll.qlCalendarAdvance(Calendar,X1038,W1039,"f",FALSE)</f>
        <v>46566</v>
      </c>
      <c r="Y1039" s="104">
        <f>_xll.qlCalendarAdvance(Calendar,X1039,NDays&amp;"D")</f>
        <v>46568</v>
      </c>
      <c r="Z1039" s="105">
        <v>2.7182336845342048E-2</v>
      </c>
      <c r="AA1039" s="102">
        <v>2.6993593373427771E-2</v>
      </c>
    </row>
    <row r="1040" spans="19:27" x14ac:dyDescent="0.2">
      <c r="S1040" s="61"/>
      <c r="T1040" s="82"/>
      <c r="W1040" s="103" t="str">
        <f t="shared" si="24"/>
        <v>1w</v>
      </c>
      <c r="X1040" s="101">
        <f>_xll.qlCalendarAdvance(Calendar,X1039,W1040,"f",FALSE)</f>
        <v>46573</v>
      </c>
      <c r="Y1040" s="104">
        <f>_xll.qlCalendarAdvance(Calendar,X1040,NDays&amp;"D")</f>
        <v>46575</v>
      </c>
      <c r="Z1040" s="105">
        <v>2.7198705854975021E-2</v>
      </c>
      <c r="AA1040" s="102">
        <v>2.7009466227978507E-2</v>
      </c>
    </row>
    <row r="1041" spans="19:27" x14ac:dyDescent="0.2">
      <c r="S1041" s="61"/>
      <c r="T1041" s="82"/>
      <c r="W1041" s="103" t="str">
        <f t="shared" si="24"/>
        <v>1w</v>
      </c>
      <c r="X1041" s="101">
        <f>_xll.qlCalendarAdvance(Calendar,X1040,W1041,"f",FALSE)</f>
        <v>46580</v>
      </c>
      <c r="Y1041" s="104">
        <f>_xll.qlCalendarAdvance(Calendar,X1041,NDays&amp;"D")</f>
        <v>46582</v>
      </c>
      <c r="Z1041" s="105">
        <v>2.7215122596621118E-2</v>
      </c>
      <c r="AA1041" s="102">
        <v>2.7025403409526305E-2</v>
      </c>
    </row>
    <row r="1042" spans="19:27" x14ac:dyDescent="0.2">
      <c r="S1042" s="61"/>
      <c r="T1042" s="82"/>
      <c r="W1042" s="103" t="str">
        <f t="shared" si="24"/>
        <v>1w</v>
      </c>
      <c r="X1042" s="101">
        <f>_xll.qlCalendarAdvance(Calendar,X1041,W1042,"f",FALSE)</f>
        <v>46587</v>
      </c>
      <c r="Y1042" s="104">
        <f>_xll.qlCalendarAdvance(Calendar,X1042,NDays&amp;"D")</f>
        <v>46589</v>
      </c>
      <c r="Z1042" s="105">
        <v>2.7231572113891166E-2</v>
      </c>
      <c r="AA1042" s="102">
        <v>2.7041404918017875E-2</v>
      </c>
    </row>
    <row r="1043" spans="19:27" x14ac:dyDescent="0.2">
      <c r="S1043" s="61"/>
      <c r="T1043" s="82"/>
      <c r="W1043" s="103" t="str">
        <f t="shared" si="24"/>
        <v>1w</v>
      </c>
      <c r="X1043" s="101">
        <f>_xll.qlCalendarAdvance(Calendar,X1042,W1043,"f",FALSE)</f>
        <v>46594</v>
      </c>
      <c r="Y1043" s="104">
        <f>_xll.qlCalendarAdvance(Calendar,X1043,NDays&amp;"D")</f>
        <v>46596</v>
      </c>
      <c r="Z1043" s="105">
        <v>2.7248039450147504E-2</v>
      </c>
      <c r="AA1043" s="102">
        <v>2.7057470753479862E-2</v>
      </c>
    </row>
    <row r="1044" spans="19:27" x14ac:dyDescent="0.2">
      <c r="S1044" s="61"/>
      <c r="T1044" s="82"/>
      <c r="W1044" s="103" t="str">
        <f t="shared" si="24"/>
        <v>1w</v>
      </c>
      <c r="X1044" s="101">
        <f>_xll.qlCalendarAdvance(Calendar,X1043,W1044,"f",FALSE)</f>
        <v>46601</v>
      </c>
      <c r="Y1044" s="104">
        <f>_xll.qlCalendarAdvance(Calendar,X1044,NDays&amp;"D")</f>
        <v>46603</v>
      </c>
      <c r="Z1044" s="105">
        <v>2.7264509648503965E-2</v>
      </c>
      <c r="AA1044" s="102">
        <v>2.7073600915992202E-2</v>
      </c>
    </row>
    <row r="1045" spans="19:27" x14ac:dyDescent="0.2">
      <c r="S1045" s="61"/>
      <c r="T1045" s="82"/>
      <c r="W1045" s="103" t="str">
        <f t="shared" ref="W1045:W1108" si="25">W1044</f>
        <v>1w</v>
      </c>
      <c r="X1045" s="101">
        <f>_xll.qlCalendarAdvance(Calendar,X1044,W1045,"f",FALSE)</f>
        <v>46608</v>
      </c>
      <c r="Y1045" s="104">
        <f>_xll.qlCalendarAdvance(Calendar,X1045,NDays&amp;"D")</f>
        <v>46610</v>
      </c>
      <c r="Z1045" s="105">
        <v>2.7280967751825015E-2</v>
      </c>
      <c r="AA1045" s="102">
        <v>2.708979540552825E-2</v>
      </c>
    </row>
    <row r="1046" spans="19:27" x14ac:dyDescent="0.2">
      <c r="S1046" s="61"/>
      <c r="T1046" s="82"/>
      <c r="W1046" s="103" t="str">
        <f t="shared" si="25"/>
        <v>1w</v>
      </c>
      <c r="X1046" s="101">
        <f>_xll.qlCalendarAdvance(Calendar,X1045,W1046,"f",FALSE)</f>
        <v>46615</v>
      </c>
      <c r="Y1046" s="104">
        <f>_xll.qlCalendarAdvance(Calendar,X1046,NDays&amp;"D")</f>
        <v>46617</v>
      </c>
      <c r="Z1046" s="105">
        <v>2.7297398802723156E-2</v>
      </c>
      <c r="AA1046" s="102">
        <v>2.7106054222114651E-2</v>
      </c>
    </row>
    <row r="1047" spans="19:27" x14ac:dyDescent="0.2">
      <c r="S1047" s="61"/>
      <c r="T1047" s="82"/>
      <c r="W1047" s="103" t="str">
        <f t="shared" si="25"/>
        <v>1w</v>
      </c>
      <c r="X1047" s="101">
        <f>_xll.qlCalendarAdvance(Calendar,X1046,W1047,"f",FALSE)</f>
        <v>46622</v>
      </c>
      <c r="Y1047" s="104">
        <f>_xll.qlCalendarAdvance(Calendar,X1047,NDays&amp;"D")</f>
        <v>46624</v>
      </c>
      <c r="Z1047" s="105">
        <v>2.7313787843564127E-2</v>
      </c>
      <c r="AA1047" s="102">
        <v>2.7122377365831341E-2</v>
      </c>
    </row>
    <row r="1048" spans="19:27" x14ac:dyDescent="0.2">
      <c r="S1048" s="61"/>
      <c r="T1048" s="82"/>
      <c r="W1048" s="103" t="str">
        <f t="shared" si="25"/>
        <v>1w</v>
      </c>
      <c r="X1048" s="101">
        <f>_xll.qlCalendarAdvance(Calendar,X1047,W1048,"f",FALSE)</f>
        <v>46629</v>
      </c>
      <c r="Y1048" s="104">
        <f>_xll.qlCalendarAdvance(Calendar,X1048,NDays&amp;"D")</f>
        <v>46631</v>
      </c>
      <c r="Z1048" s="105">
        <v>2.7327934223501459E-2</v>
      </c>
      <c r="AA1048" s="102">
        <v>2.713876483667832E-2</v>
      </c>
    </row>
    <row r="1049" spans="19:27" x14ac:dyDescent="0.2">
      <c r="S1049" s="61"/>
      <c r="T1049" s="82"/>
      <c r="W1049" s="103" t="str">
        <f t="shared" si="25"/>
        <v>1w</v>
      </c>
      <c r="X1049" s="101">
        <f>_xll.qlCalendarAdvance(Calendar,X1048,W1049,"f",FALSE)</f>
        <v>46636</v>
      </c>
      <c r="Y1049" s="104">
        <f>_xll.qlCalendarAdvance(Calendar,X1049,NDays&amp;"D")</f>
        <v>46638</v>
      </c>
      <c r="Z1049" s="105">
        <v>2.7344201536908981E-2</v>
      </c>
      <c r="AA1049" s="102">
        <v>2.7155216634628943E-2</v>
      </c>
    </row>
    <row r="1050" spans="19:27" x14ac:dyDescent="0.2">
      <c r="S1050" s="61"/>
      <c r="T1050" s="82"/>
      <c r="W1050" s="103" t="str">
        <f t="shared" si="25"/>
        <v>1w</v>
      </c>
      <c r="X1050" s="101">
        <f>_xll.qlCalendarAdvance(Calendar,X1049,W1050,"f",FALSE)</f>
        <v>46643</v>
      </c>
      <c r="Y1050" s="104">
        <f>_xll.qlCalendarAdvance(Calendar,X1050,NDays&amp;"D")</f>
        <v>46645</v>
      </c>
      <c r="Z1050" s="105">
        <v>2.7360382464884949E-2</v>
      </c>
      <c r="AA1050" s="102">
        <v>2.7171732759789791E-2</v>
      </c>
    </row>
    <row r="1051" spans="19:27" x14ac:dyDescent="0.2">
      <c r="S1051" s="61"/>
      <c r="T1051" s="82"/>
      <c r="W1051" s="103" t="str">
        <f t="shared" si="25"/>
        <v>1w</v>
      </c>
      <c r="X1051" s="101">
        <f>_xll.qlCalendarAdvance(Calendar,X1050,W1051,"f",FALSE)</f>
        <v>46650</v>
      </c>
      <c r="Y1051" s="104">
        <f>_xll.qlCalendarAdvance(Calendar,X1051,NDays&amp;"D")</f>
        <v>46652</v>
      </c>
      <c r="Z1051" s="105">
        <v>2.7376461885615232E-2</v>
      </c>
      <c r="AA1051" s="102">
        <v>2.7188313212160864E-2</v>
      </c>
    </row>
    <row r="1052" spans="19:27" x14ac:dyDescent="0.2">
      <c r="S1052" s="61"/>
      <c r="T1052" s="82"/>
      <c r="W1052" s="103" t="str">
        <f t="shared" si="25"/>
        <v>1w</v>
      </c>
      <c r="X1052" s="101">
        <f>_xll.qlCalendarAdvance(Calendar,X1051,W1052,"f",FALSE)</f>
        <v>46657</v>
      </c>
      <c r="Y1052" s="104">
        <f>_xll.qlCalendarAdvance(Calendar,X1052,NDays&amp;"D")</f>
        <v>46659</v>
      </c>
      <c r="Z1052" s="105">
        <v>2.7392424677048523E-2</v>
      </c>
      <c r="AA1052" s="102">
        <v>2.7204932089475165E-2</v>
      </c>
    </row>
    <row r="1053" spans="19:27" x14ac:dyDescent="0.2">
      <c r="S1053" s="61"/>
      <c r="T1053" s="82"/>
      <c r="W1053" s="103" t="str">
        <f t="shared" si="25"/>
        <v>1w</v>
      </c>
      <c r="X1053" s="101">
        <f>_xll.qlCalendarAdvance(Calendar,X1052,W1053,"f",FALSE)</f>
        <v>46664</v>
      </c>
      <c r="Y1053" s="104">
        <f>_xll.qlCalendarAdvance(Calendar,X1053,NDays&amp;"D")</f>
        <v>46666</v>
      </c>
      <c r="Z1053" s="105">
        <v>2.7412550510511145E-2</v>
      </c>
      <c r="AA1053" s="102">
        <v>2.7221445933074406E-2</v>
      </c>
    </row>
    <row r="1054" spans="19:27" x14ac:dyDescent="0.2">
      <c r="S1054" s="61"/>
      <c r="T1054" s="82"/>
      <c r="W1054" s="103" t="str">
        <f t="shared" si="25"/>
        <v>1w</v>
      </c>
      <c r="X1054" s="101">
        <f>_xll.qlCalendarAdvance(Calendar,X1053,W1054,"f",FALSE)</f>
        <v>46671</v>
      </c>
      <c r="Y1054" s="104">
        <f>_xll.qlCalendarAdvance(Calendar,X1054,NDays&amp;"D")</f>
        <v>46673</v>
      </c>
      <c r="Z1054" s="105">
        <v>2.7426098298646191E-2</v>
      </c>
      <c r="AA1054" s="102">
        <v>2.7237828840638301E-2</v>
      </c>
    </row>
    <row r="1055" spans="19:27" x14ac:dyDescent="0.2">
      <c r="S1055" s="61"/>
      <c r="T1055" s="82"/>
      <c r="W1055" s="103" t="str">
        <f t="shared" si="25"/>
        <v>1w</v>
      </c>
      <c r="X1055" s="101">
        <f>_xll.qlCalendarAdvance(Calendar,X1054,W1055,"f",FALSE)</f>
        <v>46678</v>
      </c>
      <c r="Y1055" s="104">
        <f>_xll.qlCalendarAdvance(Calendar,X1055,NDays&amp;"D")</f>
        <v>46680</v>
      </c>
      <c r="Z1055" s="105">
        <v>2.7441660121342741E-2</v>
      </c>
      <c r="AA1055" s="102">
        <v>2.7254080812140202E-2</v>
      </c>
    </row>
    <row r="1056" spans="19:27" x14ac:dyDescent="0.2">
      <c r="S1056" s="61"/>
      <c r="T1056" s="82"/>
      <c r="W1056" s="103" t="str">
        <f t="shared" si="25"/>
        <v>1w</v>
      </c>
      <c r="X1056" s="101">
        <f>_xll.qlCalendarAdvance(Calendar,X1055,W1056,"f",FALSE)</f>
        <v>46685</v>
      </c>
      <c r="Y1056" s="104">
        <f>_xll.qlCalendarAdvance(Calendar,X1056,NDays&amp;"D")</f>
        <v>46687</v>
      </c>
      <c r="Z1056" s="105">
        <v>2.7457090178347021E-2</v>
      </c>
      <c r="AA1056" s="102">
        <v>2.7270201847500175E-2</v>
      </c>
    </row>
    <row r="1057" spans="19:27" x14ac:dyDescent="0.2">
      <c r="S1057" s="61"/>
      <c r="T1057" s="82"/>
      <c r="W1057" s="103" t="str">
        <f t="shared" si="25"/>
        <v>1w</v>
      </c>
      <c r="X1057" s="101">
        <f>_xll.qlCalendarAdvance(Calendar,X1056,W1057,"f",FALSE)</f>
        <v>46692</v>
      </c>
      <c r="Y1057" s="104">
        <f>_xll.qlCalendarAdvance(Calendar,X1057,NDays&amp;"D")</f>
        <v>46694</v>
      </c>
      <c r="Z1057" s="105">
        <v>2.7472388468110703E-2</v>
      </c>
      <c r="AA1057" s="102">
        <v>2.7286191946664928E-2</v>
      </c>
    </row>
    <row r="1058" spans="19:27" x14ac:dyDescent="0.2">
      <c r="S1058" s="61"/>
      <c r="T1058" s="82"/>
      <c r="W1058" s="103" t="str">
        <f t="shared" si="25"/>
        <v>1w</v>
      </c>
      <c r="X1058" s="101">
        <f>_xll.qlCalendarAdvance(Calendar,X1057,W1058,"f",FALSE)</f>
        <v>46699</v>
      </c>
      <c r="Y1058" s="104">
        <f>_xll.qlCalendarAdvance(Calendar,X1058,NDays&amp;"D")</f>
        <v>46701</v>
      </c>
      <c r="Z1058" s="105">
        <v>2.7487554989099366E-2</v>
      </c>
      <c r="AA1058" s="102">
        <v>2.7302051109607817E-2</v>
      </c>
    </row>
    <row r="1059" spans="19:27" x14ac:dyDescent="0.2">
      <c r="S1059" s="61"/>
      <c r="T1059" s="82"/>
      <c r="W1059" s="103" t="str">
        <f t="shared" si="25"/>
        <v>1w</v>
      </c>
      <c r="X1059" s="101">
        <f>_xll.qlCalendarAdvance(Calendar,X1058,W1059,"f",FALSE)</f>
        <v>46706</v>
      </c>
      <c r="Y1059" s="104">
        <f>_xll.qlCalendarAdvance(Calendar,X1059,NDays&amp;"D")</f>
        <v>46708</v>
      </c>
      <c r="Z1059" s="105">
        <v>2.7502589739790747E-2</v>
      </c>
      <c r="AA1059" s="102">
        <v>2.7317779336248904E-2</v>
      </c>
    </row>
    <row r="1060" spans="19:27" x14ac:dyDescent="0.2">
      <c r="S1060" s="61"/>
      <c r="T1060" s="82"/>
      <c r="W1060" s="103" t="str">
        <f t="shared" si="25"/>
        <v>1w</v>
      </c>
      <c r="X1060" s="101">
        <f>_xll.qlCalendarAdvance(Calendar,X1059,W1060,"f",FALSE)</f>
        <v>46713</v>
      </c>
      <c r="Y1060" s="104">
        <f>_xll.qlCalendarAdvance(Calendar,X1060,NDays&amp;"D")</f>
        <v>46715</v>
      </c>
      <c r="Z1060" s="105">
        <v>2.7517492718675613E-2</v>
      </c>
      <c r="AA1060" s="102">
        <v>2.73333766265349E-2</v>
      </c>
    </row>
    <row r="1061" spans="19:27" x14ac:dyDescent="0.2">
      <c r="S1061" s="61"/>
      <c r="T1061" s="82"/>
      <c r="W1061" s="103" t="str">
        <f t="shared" si="25"/>
        <v>1w</v>
      </c>
      <c r="X1061" s="101">
        <f>_xll.qlCalendarAdvance(Calendar,X1060,W1061,"f",FALSE)</f>
        <v>46720</v>
      </c>
      <c r="Y1061" s="104">
        <f>_xll.qlCalendarAdvance(Calendar,X1061,NDays&amp;"D")</f>
        <v>46722</v>
      </c>
      <c r="Z1061" s="105">
        <v>2.7530183475003425E-2</v>
      </c>
      <c r="AA1061" s="102">
        <v>2.7348842980439159E-2</v>
      </c>
    </row>
    <row r="1062" spans="19:27" x14ac:dyDescent="0.2">
      <c r="S1062" s="61"/>
      <c r="T1062" s="82"/>
      <c r="W1062" s="103" t="str">
        <f t="shared" si="25"/>
        <v>1w</v>
      </c>
      <c r="X1062" s="101">
        <f>_xll.qlCalendarAdvance(Calendar,X1061,W1062,"f",FALSE)</f>
        <v>46727</v>
      </c>
      <c r="Y1062" s="104">
        <f>_xll.qlCalendarAdvance(Calendar,X1062,NDays&amp;"D")</f>
        <v>46729</v>
      </c>
      <c r="Z1062" s="105">
        <v>2.7544831201801949E-2</v>
      </c>
      <c r="AA1062" s="102">
        <v>2.7364178397881744E-2</v>
      </c>
    </row>
    <row r="1063" spans="19:27" x14ac:dyDescent="0.2">
      <c r="S1063" s="61"/>
      <c r="T1063" s="82"/>
      <c r="W1063" s="103" t="str">
        <f t="shared" si="25"/>
        <v>1w</v>
      </c>
      <c r="X1063" s="101">
        <f>_xll.qlCalendarAdvance(Calendar,X1062,W1063,"f",FALSE)</f>
        <v>46734</v>
      </c>
      <c r="Y1063" s="104">
        <f>_xll.qlCalendarAdvance(Calendar,X1063,NDays&amp;"D")</f>
        <v>46736</v>
      </c>
      <c r="Z1063" s="105">
        <v>2.7559347161910604E-2</v>
      </c>
      <c r="AA1063" s="102">
        <v>2.7379382878862657E-2</v>
      </c>
    </row>
    <row r="1064" spans="19:27" x14ac:dyDescent="0.2">
      <c r="S1064" s="61"/>
      <c r="T1064" s="82"/>
      <c r="W1064" s="103" t="str">
        <f t="shared" si="25"/>
        <v>1w</v>
      </c>
      <c r="X1064" s="101">
        <f>_xll.qlCalendarAdvance(Calendar,X1063,W1064,"f",FALSE)</f>
        <v>46741</v>
      </c>
      <c r="Y1064" s="104">
        <f>_xll.qlCalendarAdvance(Calendar,X1064,NDays&amp;"D")</f>
        <v>46743</v>
      </c>
      <c r="Z1064" s="105">
        <v>2.7573731353892298E-2</v>
      </c>
      <c r="AA1064" s="102">
        <v>2.7396655003180115E-2</v>
      </c>
    </row>
    <row r="1065" spans="19:27" x14ac:dyDescent="0.2">
      <c r="S1065" s="61"/>
      <c r="T1065" s="82"/>
      <c r="W1065" s="103" t="str">
        <f t="shared" si="25"/>
        <v>1w</v>
      </c>
      <c r="X1065" s="101">
        <f>_xll.qlCalendarAdvance(Calendar,X1064,W1065,"f",FALSE)</f>
        <v>46748</v>
      </c>
      <c r="Y1065" s="104">
        <f>_xll.qlCalendarAdvance(Calendar,X1065,NDays&amp;"D")</f>
        <v>46750</v>
      </c>
      <c r="Z1065" s="105">
        <v>2.7587983776315213E-2</v>
      </c>
      <c r="AA1065" s="102">
        <v>2.7411557931591446E-2</v>
      </c>
    </row>
    <row r="1066" spans="19:27" x14ac:dyDescent="0.2">
      <c r="S1066" s="61"/>
      <c r="T1066" s="82"/>
      <c r="W1066" s="103" t="str">
        <f t="shared" si="25"/>
        <v>1w</v>
      </c>
      <c r="X1066" s="101">
        <f>_xll.qlCalendarAdvance(Calendar,X1065,W1066,"f",FALSE)</f>
        <v>46755</v>
      </c>
      <c r="Y1066" s="104">
        <f>_xll.qlCalendarAdvance(Calendar,X1066,NDays&amp;"D")</f>
        <v>46757</v>
      </c>
      <c r="Z1066" s="105">
        <v>2.7602104427766852E-2</v>
      </c>
      <c r="AA1066" s="102">
        <v>2.7426329942006333E-2</v>
      </c>
    </row>
    <row r="1067" spans="19:27" x14ac:dyDescent="0.2">
      <c r="S1067" s="61"/>
      <c r="T1067" s="82"/>
      <c r="W1067" s="103" t="str">
        <f t="shared" si="25"/>
        <v>1w</v>
      </c>
      <c r="X1067" s="101">
        <f>_xll.qlCalendarAdvance(Calendar,X1066,W1067,"f",FALSE)</f>
        <v>46762</v>
      </c>
      <c r="Y1067" s="104">
        <f>_xll.qlCalendarAdvance(Calendar,X1067,NDays&amp;"D")</f>
        <v>46764</v>
      </c>
      <c r="Z1067" s="105">
        <v>2.7616093306846137E-2</v>
      </c>
      <c r="AA1067" s="102">
        <v>2.7438891436757373E-2</v>
      </c>
    </row>
    <row r="1068" spans="19:27" x14ac:dyDescent="0.2">
      <c r="S1068" s="61"/>
      <c r="T1068" s="82"/>
      <c r="W1068" s="103" t="str">
        <f t="shared" si="25"/>
        <v>1w</v>
      </c>
      <c r="X1068" s="101">
        <f>_xll.qlCalendarAdvance(Calendar,X1067,W1068,"f",FALSE)</f>
        <v>46769</v>
      </c>
      <c r="Y1068" s="104">
        <f>_xll.qlCalendarAdvance(Calendar,X1068,NDays&amp;"D")</f>
        <v>46771</v>
      </c>
      <c r="Z1068" s="105">
        <v>2.7629950412162527E-2</v>
      </c>
      <c r="AA1068" s="102">
        <v>2.7453441234497333E-2</v>
      </c>
    </row>
    <row r="1069" spans="19:27" x14ac:dyDescent="0.2">
      <c r="S1069" s="61"/>
      <c r="T1069" s="82"/>
      <c r="W1069" s="103" t="str">
        <f t="shared" si="25"/>
        <v>1w</v>
      </c>
      <c r="X1069" s="101">
        <f>_xll.qlCalendarAdvance(Calendar,X1068,W1069,"f",FALSE)</f>
        <v>46776</v>
      </c>
      <c r="Y1069" s="104">
        <f>_xll.qlCalendarAdvance(Calendar,X1069,NDays&amp;"D")</f>
        <v>46778</v>
      </c>
      <c r="Z1069" s="105">
        <v>2.7643675742342184E-2</v>
      </c>
      <c r="AA1069" s="102">
        <v>2.7467860095455876E-2</v>
      </c>
    </row>
    <row r="1070" spans="19:27" x14ac:dyDescent="0.2">
      <c r="S1070" s="61"/>
      <c r="T1070" s="82"/>
      <c r="W1070" s="103" t="str">
        <f t="shared" si="25"/>
        <v>1w</v>
      </c>
      <c r="X1070" s="101">
        <f>_xll.qlCalendarAdvance(Calendar,X1069,W1070,"f",FALSE)</f>
        <v>46783</v>
      </c>
      <c r="Y1070" s="104">
        <f>_xll.qlCalendarAdvance(Calendar,X1070,NDays&amp;"D")</f>
        <v>46785</v>
      </c>
      <c r="Z1070" s="105">
        <v>2.7655263158743892E-2</v>
      </c>
      <c r="AA1070" s="102">
        <v>2.7482148019606356E-2</v>
      </c>
    </row>
    <row r="1071" spans="19:27" x14ac:dyDescent="0.2">
      <c r="S1071" s="61"/>
      <c r="T1071" s="82"/>
      <c r="W1071" s="103" t="str">
        <f t="shared" si="25"/>
        <v>1w</v>
      </c>
      <c r="X1071" s="101">
        <f>_xll.qlCalendarAdvance(Calendar,X1070,W1071,"f",FALSE)</f>
        <v>46790</v>
      </c>
      <c r="Y1071" s="104">
        <f>_xll.qlCalendarAdvance(Calendar,X1071,NDays&amp;"D")</f>
        <v>46792</v>
      </c>
      <c r="Z1071" s="105">
        <v>2.7668733315882044E-2</v>
      </c>
      <c r="AA1071" s="102">
        <v>2.7496305006868837E-2</v>
      </c>
    </row>
    <row r="1072" spans="19:27" x14ac:dyDescent="0.2">
      <c r="S1072" s="61"/>
      <c r="T1072" s="82"/>
      <c r="W1072" s="103" t="str">
        <f t="shared" si="25"/>
        <v>1w</v>
      </c>
      <c r="X1072" s="101">
        <f>_xll.qlCalendarAdvance(Calendar,X1071,W1072,"f",FALSE)</f>
        <v>46797</v>
      </c>
      <c r="Y1072" s="104">
        <f>_xll.qlCalendarAdvance(Calendar,X1072,NDays&amp;"D")</f>
        <v>46799</v>
      </c>
      <c r="Z1072" s="105">
        <v>2.7682071703526212E-2</v>
      </c>
      <c r="AA1072" s="102">
        <v>2.7510331057163384E-2</v>
      </c>
    </row>
    <row r="1073" spans="19:27" x14ac:dyDescent="0.2">
      <c r="S1073" s="61"/>
      <c r="T1073" s="82"/>
      <c r="W1073" s="103" t="str">
        <f t="shared" si="25"/>
        <v>1w</v>
      </c>
      <c r="X1073" s="101">
        <f>_xll.qlCalendarAdvance(Calendar,X1072,W1073,"f",FALSE)</f>
        <v>46804</v>
      </c>
      <c r="Y1073" s="104">
        <f>_xll.qlCalendarAdvance(Calendar,X1073,NDays&amp;"D")</f>
        <v>46806</v>
      </c>
      <c r="Z1073" s="105">
        <v>2.7695278320368111E-2</v>
      </c>
      <c r="AA1073" s="102">
        <v>2.7524226170489996E-2</v>
      </c>
    </row>
    <row r="1074" spans="19:27" x14ac:dyDescent="0.2">
      <c r="S1074" s="61"/>
      <c r="T1074" s="82"/>
      <c r="W1074" s="103" t="str">
        <f t="shared" si="25"/>
        <v>1w</v>
      </c>
      <c r="X1074" s="101">
        <f>_xll.qlCalendarAdvance(Calendar,X1073,W1074,"f",FALSE)</f>
        <v>46811</v>
      </c>
      <c r="Y1074" s="104">
        <f>_xll.qlCalendarAdvance(Calendar,X1074,NDays&amp;"D")</f>
        <v>46813</v>
      </c>
      <c r="Z1074" s="105">
        <v>2.7712297569997851E-2</v>
      </c>
      <c r="AA1074" s="102">
        <v>2.7537990346848673E-2</v>
      </c>
    </row>
    <row r="1075" spans="19:27" x14ac:dyDescent="0.2">
      <c r="S1075" s="61"/>
      <c r="T1075" s="82"/>
      <c r="W1075" s="103" t="str">
        <f t="shared" si="25"/>
        <v>1w</v>
      </c>
      <c r="X1075" s="101">
        <f>_xll.qlCalendarAdvance(Calendar,X1074,W1075,"f",FALSE)</f>
        <v>46818</v>
      </c>
      <c r="Y1075" s="104">
        <f>_xll.qlCalendarAdvance(Calendar,X1075,NDays&amp;"D")</f>
        <v>46820</v>
      </c>
      <c r="Z1075" s="105">
        <v>2.7725223799733134E-2</v>
      </c>
      <c r="AA1075" s="102">
        <v>2.7551623586106189E-2</v>
      </c>
    </row>
    <row r="1076" spans="19:27" x14ac:dyDescent="0.2">
      <c r="S1076" s="61"/>
      <c r="T1076" s="82"/>
      <c r="W1076" s="103" t="str">
        <f t="shared" si="25"/>
        <v>1w</v>
      </c>
      <c r="X1076" s="101">
        <f>_xll.qlCalendarAdvance(Calendar,X1075,W1076,"f",FALSE)</f>
        <v>46825</v>
      </c>
      <c r="Y1076" s="104">
        <f>_xll.qlCalendarAdvance(Calendar,X1076,NDays&amp;"D")</f>
        <v>46827</v>
      </c>
      <c r="Z1076" s="105">
        <v>2.7738018235322386E-2</v>
      </c>
      <c r="AA1076" s="102">
        <v>2.7565125888235897E-2</v>
      </c>
    </row>
    <row r="1077" spans="19:27" x14ac:dyDescent="0.2">
      <c r="S1077" s="61"/>
      <c r="T1077" s="82"/>
      <c r="W1077" s="103" t="str">
        <f t="shared" si="25"/>
        <v>1w</v>
      </c>
      <c r="X1077" s="101">
        <f>_xll.qlCalendarAdvance(Calendar,X1076,W1077,"f",FALSE)</f>
        <v>46832</v>
      </c>
      <c r="Y1077" s="104">
        <f>_xll.qlCalendarAdvance(Calendar,X1077,NDays&amp;"D")</f>
        <v>46834</v>
      </c>
      <c r="Z1077" s="105">
        <v>2.7750680875478811E-2</v>
      </c>
      <c r="AA1077" s="102">
        <v>2.7578497253237799E-2</v>
      </c>
    </row>
    <row r="1078" spans="19:27" x14ac:dyDescent="0.2">
      <c r="S1078" s="61"/>
      <c r="T1078" s="82"/>
      <c r="W1078" s="103" t="str">
        <f t="shared" si="25"/>
        <v>1w</v>
      </c>
      <c r="X1078" s="101">
        <f>_xll.qlCalendarAdvance(Calendar,X1077,W1078,"f",FALSE)</f>
        <v>46839</v>
      </c>
      <c r="Y1078" s="104">
        <f>_xll.qlCalendarAdvance(Calendar,X1078,NDays&amp;"D")</f>
        <v>46841</v>
      </c>
      <c r="Z1078" s="105">
        <v>2.7763211718932989E-2</v>
      </c>
      <c r="AA1078" s="102">
        <v>2.7591737681058603E-2</v>
      </c>
    </row>
    <row r="1079" spans="19:27" x14ac:dyDescent="0.2">
      <c r="S1079" s="61"/>
      <c r="T1079" s="82"/>
      <c r="W1079" s="103" t="str">
        <f t="shared" si="25"/>
        <v>1w</v>
      </c>
      <c r="X1079" s="101">
        <f>_xll.qlCalendarAdvance(Calendar,X1078,W1079,"f",FALSE)</f>
        <v>46846</v>
      </c>
      <c r="Y1079" s="104">
        <f>_xll.qlCalendarAdvance(Calendar,X1079,NDays&amp;"D")</f>
        <v>46848</v>
      </c>
      <c r="Z1079" s="105">
        <v>2.777368111832933E-2</v>
      </c>
      <c r="AA1079" s="102">
        <v>2.7604847171618374E-2</v>
      </c>
    </row>
    <row r="1080" spans="19:27" x14ac:dyDescent="0.2">
      <c r="S1080" s="61"/>
      <c r="T1080" s="82"/>
      <c r="W1080" s="103" t="str">
        <f t="shared" si="25"/>
        <v>1w</v>
      </c>
      <c r="X1080" s="101">
        <f>_xll.qlCalendarAdvance(Calendar,X1079,W1080,"f",FALSE)</f>
        <v>46853</v>
      </c>
      <c r="Y1080" s="104">
        <f>_xll.qlCalendarAdvance(Calendar,X1080,NDays&amp;"D")</f>
        <v>46855</v>
      </c>
      <c r="Z1080" s="105">
        <v>2.778595683495803E-2</v>
      </c>
      <c r="AA1080" s="102">
        <v>2.7621229459251495E-2</v>
      </c>
    </row>
    <row r="1081" spans="19:27" x14ac:dyDescent="0.2">
      <c r="S1081" s="61"/>
      <c r="T1081" s="82"/>
      <c r="W1081" s="103" t="str">
        <f t="shared" si="25"/>
        <v>1w</v>
      </c>
      <c r="X1081" s="101">
        <f>_xll.qlCalendarAdvance(Calendar,X1080,W1081,"f",FALSE)</f>
        <v>46861</v>
      </c>
      <c r="Y1081" s="104">
        <f>_xll.qlCalendarAdvance(Calendar,X1081,NDays&amp;"D")</f>
        <v>46863</v>
      </c>
      <c r="Z1081" s="105">
        <v>2.7799824849046331E-2</v>
      </c>
      <c r="AA1081" s="102">
        <v>2.7632199934739532E-2</v>
      </c>
    </row>
    <row r="1082" spans="19:27" x14ac:dyDescent="0.2">
      <c r="S1082" s="61"/>
      <c r="T1082" s="82"/>
      <c r="W1082" s="103" t="str">
        <f t="shared" si="25"/>
        <v>1w</v>
      </c>
      <c r="X1082" s="101">
        <f>_xll.qlCalendarAdvance(Calendar,X1081,W1082,"f",FALSE)</f>
        <v>46868</v>
      </c>
      <c r="Y1082" s="104">
        <f>_xll.qlCalendarAdvance(Calendar,X1082,NDays&amp;"D")</f>
        <v>46870</v>
      </c>
      <c r="Z1082" s="105">
        <v>2.7811818155722028E-2</v>
      </c>
      <c r="AA1082" s="102">
        <v>2.7646677614754367E-2</v>
      </c>
    </row>
    <row r="1083" spans="19:27" x14ac:dyDescent="0.2">
      <c r="S1083" s="61"/>
      <c r="T1083" s="82"/>
      <c r="W1083" s="103" t="str">
        <f t="shared" si="25"/>
        <v>1w</v>
      </c>
      <c r="X1083" s="101">
        <f>_xll.qlCalendarAdvance(Calendar,X1082,W1083,"f",FALSE)</f>
        <v>46875</v>
      </c>
      <c r="Y1083" s="104">
        <f>_xll.qlCalendarAdvance(Calendar,X1083,NDays&amp;"D")</f>
        <v>46877</v>
      </c>
      <c r="Z1083" s="105">
        <v>2.7825574159967656E-2</v>
      </c>
      <c r="AA1083" s="102">
        <v>2.765742365912871E-2</v>
      </c>
    </row>
    <row r="1084" spans="19:27" x14ac:dyDescent="0.2">
      <c r="S1084" s="61"/>
      <c r="T1084" s="82"/>
      <c r="W1084" s="103" t="str">
        <f t="shared" si="25"/>
        <v>1w</v>
      </c>
      <c r="X1084" s="101">
        <f>_xll.qlCalendarAdvance(Calendar,X1083,W1084,"f",FALSE)</f>
        <v>46882</v>
      </c>
      <c r="Y1084" s="104">
        <f>_xll.qlCalendarAdvance(Calendar,X1084,NDays&amp;"D")</f>
        <v>46884</v>
      </c>
      <c r="Z1084" s="105">
        <v>2.7837295368017028E-2</v>
      </c>
      <c r="AA1084" s="102">
        <v>2.766983914400889E-2</v>
      </c>
    </row>
    <row r="1085" spans="19:27" x14ac:dyDescent="0.2">
      <c r="S1085" s="61"/>
      <c r="T1085" s="82"/>
      <c r="W1085" s="103" t="str">
        <f t="shared" si="25"/>
        <v>1w</v>
      </c>
      <c r="X1085" s="101">
        <f>_xll.qlCalendarAdvance(Calendar,X1084,W1085,"f",FALSE)</f>
        <v>46889</v>
      </c>
      <c r="Y1085" s="104">
        <f>_xll.qlCalendarAdvance(Calendar,X1085,NDays&amp;"D")</f>
        <v>46891</v>
      </c>
      <c r="Z1085" s="105">
        <v>2.7848884770671104E-2</v>
      </c>
      <c r="AA1085" s="102">
        <v>2.7682123710652817E-2</v>
      </c>
    </row>
    <row r="1086" spans="19:27" x14ac:dyDescent="0.2">
      <c r="S1086" s="61"/>
      <c r="T1086" s="82"/>
      <c r="W1086" s="103" t="str">
        <f t="shared" si="25"/>
        <v>1w</v>
      </c>
      <c r="X1086" s="101">
        <f>_xll.qlCalendarAdvance(Calendar,X1085,W1086,"f",FALSE)</f>
        <v>46896</v>
      </c>
      <c r="Y1086" s="104">
        <f>_xll.qlCalendarAdvance(Calendar,X1086,NDays&amp;"D")</f>
        <v>46899</v>
      </c>
      <c r="Z1086" s="105">
        <v>2.7865701665354341E-2</v>
      </c>
      <c r="AA1086" s="102">
        <v>2.7696002907324768E-2</v>
      </c>
    </row>
    <row r="1087" spans="19:27" x14ac:dyDescent="0.2">
      <c r="S1087" s="61"/>
      <c r="T1087" s="82"/>
      <c r="W1087" s="103" t="str">
        <f t="shared" si="25"/>
        <v>1w</v>
      </c>
      <c r="X1087" s="101">
        <f>_xll.qlCalendarAdvance(Calendar,X1086,W1087,"f",FALSE)</f>
        <v>46903</v>
      </c>
      <c r="Y1087" s="104">
        <f>_xll.qlCalendarAdvance(Calendar,X1087,NDays&amp;"D")</f>
        <v>46905</v>
      </c>
      <c r="Z1087" s="105">
        <v>2.7871668155158826E-2</v>
      </c>
      <c r="AA1087" s="102">
        <v>2.7708006934856755E-2</v>
      </c>
    </row>
    <row r="1088" spans="19:27" x14ac:dyDescent="0.2">
      <c r="S1088" s="61"/>
      <c r="T1088" s="82"/>
      <c r="W1088" s="103" t="str">
        <f t="shared" si="25"/>
        <v>1w</v>
      </c>
      <c r="X1088" s="101">
        <f>_xll.qlCalendarAdvance(Calendar,X1087,W1088,"f",FALSE)</f>
        <v>46910</v>
      </c>
      <c r="Y1088" s="104">
        <f>_xll.qlCalendarAdvance(Calendar,X1088,NDays&amp;"D")</f>
        <v>46912</v>
      </c>
      <c r="Z1088" s="105">
        <v>2.7882862134703864E-2</v>
      </c>
      <c r="AA1088" s="102">
        <v>2.7718191901007216E-2</v>
      </c>
    </row>
    <row r="1089" spans="19:27" x14ac:dyDescent="0.2">
      <c r="S1089" s="61"/>
      <c r="T1089" s="82"/>
      <c r="W1089" s="103" t="str">
        <f t="shared" si="25"/>
        <v>1w</v>
      </c>
      <c r="X1089" s="101">
        <f>_xll.qlCalendarAdvance(Calendar,X1088,W1089,"f",FALSE)</f>
        <v>46917</v>
      </c>
      <c r="Y1089" s="104">
        <f>_xll.qlCalendarAdvance(Calendar,X1089,NDays&amp;"D")</f>
        <v>46919</v>
      </c>
      <c r="Z1089" s="105">
        <v>2.7893924304282482E-2</v>
      </c>
      <c r="AA1089" s="102">
        <v>2.77299527946262E-2</v>
      </c>
    </row>
    <row r="1090" spans="19:27" x14ac:dyDescent="0.2">
      <c r="S1090" s="61"/>
      <c r="T1090" s="82"/>
      <c r="W1090" s="103" t="str">
        <f t="shared" si="25"/>
        <v>1w</v>
      </c>
      <c r="X1090" s="101">
        <f>_xll.qlCalendarAdvance(Calendar,X1089,W1090,"f",FALSE)</f>
        <v>46924</v>
      </c>
      <c r="Y1090" s="104">
        <f>_xll.qlCalendarAdvance(Calendar,X1090,NDays&amp;"D")</f>
        <v>46926</v>
      </c>
      <c r="Z1090" s="105">
        <v>2.7904854662784261E-2</v>
      </c>
      <c r="AA1090" s="102">
        <v>2.7743233507795395E-2</v>
      </c>
    </row>
    <row r="1091" spans="19:27" x14ac:dyDescent="0.2">
      <c r="S1091" s="61"/>
      <c r="T1091" s="82"/>
      <c r="W1091" s="103" t="str">
        <f t="shared" si="25"/>
        <v>1w</v>
      </c>
      <c r="X1091" s="101">
        <f>_xll.qlCalendarAdvance(Calendar,X1090,W1091,"f",FALSE)</f>
        <v>46931</v>
      </c>
      <c r="Y1091" s="104">
        <f>_xll.qlCalendarAdvance(Calendar,X1091,NDays&amp;"D")</f>
        <v>46933</v>
      </c>
      <c r="Z1091" s="105">
        <v>2.7915653209110956E-2</v>
      </c>
      <c r="AA1091" s="102">
        <v>2.7753081826915604E-2</v>
      </c>
    </row>
    <row r="1092" spans="19:27" x14ac:dyDescent="0.2">
      <c r="S1092" s="61"/>
      <c r="T1092" s="82"/>
      <c r="W1092" s="103" t="str">
        <f t="shared" si="25"/>
        <v>1w</v>
      </c>
      <c r="X1092" s="101">
        <f>_xll.qlCalendarAdvance(Calendar,X1091,W1092,"f",FALSE)</f>
        <v>46938</v>
      </c>
      <c r="Y1092" s="104">
        <f>_xll.qlCalendarAdvance(Calendar,X1092,NDays&amp;"D")</f>
        <v>46940</v>
      </c>
      <c r="Z1092" s="105">
        <v>2.792631994217995E-2</v>
      </c>
      <c r="AA1092" s="102">
        <v>2.776444996566596E-2</v>
      </c>
    </row>
    <row r="1093" spans="19:27" x14ac:dyDescent="0.2">
      <c r="S1093" s="61"/>
      <c r="T1093" s="82"/>
      <c r="W1093" s="103" t="str">
        <f t="shared" si="25"/>
        <v>1w</v>
      </c>
      <c r="X1093" s="101">
        <f>_xll.qlCalendarAdvance(Calendar,X1092,W1093,"f",FALSE)</f>
        <v>46945</v>
      </c>
      <c r="Y1093" s="104">
        <f>_xll.qlCalendarAdvance(Calendar,X1093,NDays&amp;"D")</f>
        <v>46947</v>
      </c>
      <c r="Z1093" s="105">
        <v>2.793685486091993E-2</v>
      </c>
      <c r="AA1093" s="102">
        <v>2.7775687186020193E-2</v>
      </c>
    </row>
    <row r="1094" spans="19:27" x14ac:dyDescent="0.2">
      <c r="S1094" s="61"/>
      <c r="T1094" s="82"/>
      <c r="W1094" s="103" t="str">
        <f t="shared" si="25"/>
        <v>1w</v>
      </c>
      <c r="X1094" s="101">
        <f>_xll.qlCalendarAdvance(Calendar,X1093,W1094,"f",FALSE)</f>
        <v>46952</v>
      </c>
      <c r="Y1094" s="104">
        <f>_xll.qlCalendarAdvance(Calendar,X1094,NDays&amp;"D")</f>
        <v>46954</v>
      </c>
      <c r="Z1094" s="105">
        <v>2.7947257964274341E-2</v>
      </c>
      <c r="AA1094" s="102">
        <v>2.7786793488058237E-2</v>
      </c>
    </row>
    <row r="1095" spans="19:27" x14ac:dyDescent="0.2">
      <c r="S1095" s="61"/>
      <c r="T1095" s="82"/>
      <c r="W1095" s="103" t="str">
        <f t="shared" si="25"/>
        <v>1w</v>
      </c>
      <c r="X1095" s="101">
        <f>_xll.qlCalendarAdvance(Calendar,X1094,W1095,"f",FALSE)</f>
        <v>46959</v>
      </c>
      <c r="Y1095" s="104">
        <f>_xll.qlCalendarAdvance(Calendar,X1095,NDays&amp;"D")</f>
        <v>46961</v>
      </c>
      <c r="Z1095" s="105">
        <v>2.795752925119881E-2</v>
      </c>
      <c r="AA1095" s="102">
        <v>2.7797768871780093E-2</v>
      </c>
    </row>
    <row r="1096" spans="19:27" x14ac:dyDescent="0.2">
      <c r="S1096" s="61"/>
      <c r="T1096" s="82"/>
      <c r="W1096" s="103" t="str">
        <f t="shared" si="25"/>
        <v>1w</v>
      </c>
      <c r="X1096" s="101">
        <f>_xll.qlCalendarAdvance(Calendar,X1095,W1096,"f",FALSE)</f>
        <v>46966</v>
      </c>
      <c r="Y1096" s="104">
        <f>_xll.qlCalendarAdvance(Calendar,X1096,NDays&amp;"D")</f>
        <v>46968</v>
      </c>
      <c r="Z1096" s="105">
        <v>2.7967668720663724E-2</v>
      </c>
      <c r="AA1096" s="102">
        <v>2.7808613337025889E-2</v>
      </c>
    </row>
    <row r="1097" spans="19:27" x14ac:dyDescent="0.2">
      <c r="S1097" s="61"/>
      <c r="T1097" s="82"/>
      <c r="W1097" s="103" t="str">
        <f t="shared" si="25"/>
        <v>1w</v>
      </c>
      <c r="X1097" s="101">
        <f>_xll.qlCalendarAdvance(Calendar,X1096,W1097,"f",FALSE)</f>
        <v>46973</v>
      </c>
      <c r="Y1097" s="104">
        <f>_xll.qlCalendarAdvance(Calendar,X1097,NDays&amp;"D")</f>
        <v>46975</v>
      </c>
      <c r="Z1097" s="105">
        <v>2.7977676371649024E-2</v>
      </c>
      <c r="AA1097" s="102">
        <v>2.7819326883955497E-2</v>
      </c>
    </row>
    <row r="1098" spans="19:27" x14ac:dyDescent="0.2">
      <c r="S1098" s="61"/>
      <c r="T1098" s="82"/>
      <c r="W1098" s="103" t="str">
        <f t="shared" si="25"/>
        <v>1w</v>
      </c>
      <c r="X1098" s="101">
        <f>_xll.qlCalendarAdvance(Calendar,X1097,W1098,"f",FALSE)</f>
        <v>46980</v>
      </c>
      <c r="Y1098" s="104">
        <f>_xll.qlCalendarAdvance(Calendar,X1098,NDays&amp;"D")</f>
        <v>46982</v>
      </c>
      <c r="Z1098" s="105">
        <v>2.798755220315291E-2</v>
      </c>
      <c r="AA1098" s="102">
        <v>2.7829909512488982E-2</v>
      </c>
    </row>
    <row r="1099" spans="19:27" x14ac:dyDescent="0.2">
      <c r="S1099" s="61"/>
      <c r="T1099" s="82"/>
      <c r="W1099" s="103" t="str">
        <f t="shared" si="25"/>
        <v>1w</v>
      </c>
      <c r="X1099" s="101">
        <f>_xll.qlCalendarAdvance(Calendar,X1098,W1099,"f",FALSE)</f>
        <v>46987</v>
      </c>
      <c r="Y1099" s="104">
        <f>_xll.qlCalendarAdvance(Calendar,X1099,NDays&amp;"D")</f>
        <v>46989</v>
      </c>
      <c r="Z1099" s="105">
        <v>2.7997296214183127E-2</v>
      </c>
      <c r="AA1099" s="102">
        <v>2.7840361222626342E-2</v>
      </c>
    </row>
    <row r="1100" spans="19:27" x14ac:dyDescent="0.2">
      <c r="S1100" s="61"/>
      <c r="T1100" s="82"/>
      <c r="W1100" s="103" t="str">
        <f t="shared" si="25"/>
        <v>1w</v>
      </c>
      <c r="X1100" s="101">
        <f>_xll.qlCalendarAdvance(Calendar,X1099,W1100,"f",FALSE)</f>
        <v>46994</v>
      </c>
      <c r="Y1100" s="104">
        <f>_xll.qlCalendarAdvance(Calendar,X1100,NDays&amp;"D")</f>
        <v>46996</v>
      </c>
      <c r="Z1100" s="105">
        <v>2.8005159950198831E-2</v>
      </c>
      <c r="AA1100" s="102">
        <v>2.7850682014367578E-2</v>
      </c>
    </row>
    <row r="1101" spans="19:27" x14ac:dyDescent="0.2">
      <c r="S1101" s="61"/>
      <c r="T1101" s="82"/>
      <c r="W1101" s="103" t="str">
        <f t="shared" si="25"/>
        <v>1w</v>
      </c>
      <c r="X1101" s="101">
        <f>_xll.qlCalendarAdvance(Calendar,X1100,W1101,"f",FALSE)</f>
        <v>47001</v>
      </c>
      <c r="Y1101" s="104">
        <f>_xll.qlCalendarAdvance(Calendar,X1101,NDays&amp;"D")</f>
        <v>47003</v>
      </c>
      <c r="Z1101" s="105">
        <v>2.8014648997603368E-2</v>
      </c>
      <c r="AA1101" s="102">
        <v>2.786087188771269E-2</v>
      </c>
    </row>
    <row r="1102" spans="19:27" x14ac:dyDescent="0.2">
      <c r="S1102" s="61"/>
      <c r="T1102" s="82"/>
      <c r="W1102" s="103" t="str">
        <f t="shared" si="25"/>
        <v>1w</v>
      </c>
      <c r="X1102" s="101">
        <f>_xll.qlCalendarAdvance(Calendar,X1101,W1102,"f",FALSE)</f>
        <v>47008</v>
      </c>
      <c r="Y1102" s="104">
        <f>_xll.qlCalendarAdvance(Calendar,X1102,NDays&amp;"D")</f>
        <v>47010</v>
      </c>
      <c r="Z1102" s="105">
        <v>2.8024006231684568E-2</v>
      </c>
      <c r="AA1102" s="102">
        <v>2.7870930842581743E-2</v>
      </c>
    </row>
    <row r="1103" spans="19:27" x14ac:dyDescent="0.2">
      <c r="S1103" s="61"/>
      <c r="T1103" s="82"/>
      <c r="W1103" s="103" t="str">
        <f t="shared" si="25"/>
        <v>1w</v>
      </c>
      <c r="X1103" s="101">
        <f>_xll.qlCalendarAdvance(Calendar,X1102,W1103,"f",FALSE)</f>
        <v>47015</v>
      </c>
      <c r="Y1103" s="104">
        <f>_xll.qlCalendarAdvance(Calendar,X1103,NDays&amp;"D")</f>
        <v>47017</v>
      </c>
      <c r="Z1103" s="105">
        <v>2.8033231651513949E-2</v>
      </c>
      <c r="AA1103" s="102">
        <v>2.7880858878974735E-2</v>
      </c>
    </row>
    <row r="1104" spans="19:27" x14ac:dyDescent="0.2">
      <c r="S1104" s="61"/>
      <c r="T1104" s="82"/>
      <c r="W1104" s="103" t="str">
        <f t="shared" si="25"/>
        <v>1w</v>
      </c>
      <c r="X1104" s="101">
        <f>_xll.qlCalendarAdvance(Calendar,X1103,W1104,"f",FALSE)</f>
        <v>47022</v>
      </c>
      <c r="Y1104" s="104">
        <f>_xll.qlCalendarAdvance(Calendar,X1104,NDays&amp;"D")</f>
        <v>47024</v>
      </c>
      <c r="Z1104" s="105">
        <v>2.8042325256173561E-2</v>
      </c>
      <c r="AA1104" s="102">
        <v>2.7890655997051539E-2</v>
      </c>
    </row>
    <row r="1105" spans="19:27" x14ac:dyDescent="0.2">
      <c r="S1105" s="61"/>
      <c r="T1105" s="82"/>
      <c r="W1105" s="103" t="str">
        <f t="shared" si="25"/>
        <v>1w</v>
      </c>
      <c r="X1105" s="101">
        <f>_xll.qlCalendarAdvance(Calendar,X1104,W1105,"f",FALSE)</f>
        <v>47029</v>
      </c>
      <c r="Y1105" s="104">
        <f>_xll.qlCalendarAdvance(Calendar,X1105,NDays&amp;"D")</f>
        <v>47031</v>
      </c>
      <c r="Z1105" s="105">
        <v>2.8052991996582229E-2</v>
      </c>
      <c r="AA1105" s="102">
        <v>2.7900322196492411E-2</v>
      </c>
    </row>
    <row r="1106" spans="19:27" x14ac:dyDescent="0.2">
      <c r="S1106" s="61"/>
      <c r="T1106" s="82"/>
      <c r="W1106" s="103" t="str">
        <f t="shared" si="25"/>
        <v>1w</v>
      </c>
      <c r="X1106" s="101">
        <f>_xll.qlCalendarAdvance(Calendar,X1105,W1106,"f",FALSE)</f>
        <v>47036</v>
      </c>
      <c r="Y1106" s="104">
        <f>_xll.qlCalendarAdvance(Calendar,X1106,NDays&amp;"D")</f>
        <v>47038</v>
      </c>
      <c r="Z1106" s="105">
        <v>2.8061813237657215E-2</v>
      </c>
      <c r="AA1106" s="102">
        <v>2.7909857477617095E-2</v>
      </c>
    </row>
    <row r="1107" spans="19:27" x14ac:dyDescent="0.2">
      <c r="S1107" s="61"/>
      <c r="T1107" s="82"/>
      <c r="W1107" s="103" t="str">
        <f t="shared" si="25"/>
        <v>1w</v>
      </c>
      <c r="X1107" s="101">
        <f>_xll.qlCalendarAdvance(Calendar,X1106,W1107,"f",FALSE)</f>
        <v>47043</v>
      </c>
      <c r="Y1107" s="104">
        <f>_xll.qlCalendarAdvance(Calendar,X1107,NDays&amp;"D")</f>
        <v>47045</v>
      </c>
      <c r="Z1107" s="105">
        <v>2.8070502650806236E-2</v>
      </c>
      <c r="AA1107" s="102">
        <v>2.7919261840185783E-2</v>
      </c>
    </row>
    <row r="1108" spans="19:27" x14ac:dyDescent="0.2">
      <c r="S1108" s="61"/>
      <c r="T1108" s="82"/>
      <c r="W1108" s="103" t="str">
        <f t="shared" si="25"/>
        <v>1w</v>
      </c>
      <c r="X1108" s="101">
        <f>_xll.qlCalendarAdvance(Calendar,X1107,W1108,"f",FALSE)</f>
        <v>47050</v>
      </c>
      <c r="Y1108" s="104">
        <f>_xll.qlCalendarAdvance(Calendar,X1108,NDays&amp;"D")</f>
        <v>47052</v>
      </c>
      <c r="Z1108" s="105">
        <v>2.8079060235156078E-2</v>
      </c>
      <c r="AA1108" s="102">
        <v>2.7928535284198475E-2</v>
      </c>
    </row>
    <row r="1109" spans="19:27" x14ac:dyDescent="0.2">
      <c r="S1109" s="61"/>
      <c r="T1109" s="82"/>
      <c r="W1109" s="103" t="str">
        <f t="shared" ref="W1109:W1172" si="26">W1108</f>
        <v>1w</v>
      </c>
      <c r="X1109" s="101">
        <f>_xll.qlCalendarAdvance(Calendar,X1108,W1109,"f",FALSE)</f>
        <v>47057</v>
      </c>
      <c r="Y1109" s="104">
        <f>_xll.qlCalendarAdvance(Calendar,X1109,NDays&amp;"D")</f>
        <v>47059</v>
      </c>
      <c r="Z1109" s="105">
        <v>2.8087485989850031E-2</v>
      </c>
      <c r="AA1109" s="102">
        <v>2.7937677809815042E-2</v>
      </c>
    </row>
    <row r="1110" spans="19:27" x14ac:dyDescent="0.2">
      <c r="S1110" s="61"/>
      <c r="T1110" s="82"/>
      <c r="W1110" s="103" t="str">
        <f t="shared" si="26"/>
        <v>1w</v>
      </c>
      <c r="X1110" s="101">
        <f>_xll.qlCalendarAdvance(Calendar,X1109,W1110,"f",FALSE)</f>
        <v>47064</v>
      </c>
      <c r="Y1110" s="104">
        <f>_xll.qlCalendarAdvance(Calendar,X1110,NDays&amp;"D")</f>
        <v>47066</v>
      </c>
      <c r="Z1110" s="105">
        <v>2.8095779914040945E-2</v>
      </c>
      <c r="AA1110" s="102">
        <v>2.7946689416795678E-2</v>
      </c>
    </row>
    <row r="1111" spans="19:27" x14ac:dyDescent="0.2">
      <c r="S1111" s="61"/>
      <c r="T1111" s="82"/>
      <c r="W1111" s="103" t="str">
        <f t="shared" si="26"/>
        <v>1w</v>
      </c>
      <c r="X1111" s="101">
        <f>_xll.qlCalendarAdvance(Calendar,X1110,W1111,"f",FALSE)</f>
        <v>47071</v>
      </c>
      <c r="Y1111" s="104">
        <f>_xll.qlCalendarAdvance(Calendar,X1111,NDays&amp;"D")</f>
        <v>47073</v>
      </c>
      <c r="Z1111" s="105">
        <v>2.8103942006896449E-2</v>
      </c>
      <c r="AA1111" s="102">
        <v>2.7955570105300254E-2</v>
      </c>
    </row>
    <row r="1112" spans="19:27" x14ac:dyDescent="0.2">
      <c r="S1112" s="61"/>
      <c r="T1112" s="82"/>
      <c r="W1112" s="103" t="str">
        <f t="shared" si="26"/>
        <v>1w</v>
      </c>
      <c r="X1112" s="101">
        <f>_xll.qlCalendarAdvance(Calendar,X1111,W1112,"f",FALSE)</f>
        <v>47078</v>
      </c>
      <c r="Y1112" s="104">
        <f>_xll.qlCalendarAdvance(Calendar,X1112,NDays&amp;"D")</f>
        <v>47080</v>
      </c>
      <c r="Z1112" s="105">
        <v>2.8111972267597193E-2</v>
      </c>
      <c r="AA1112" s="102">
        <v>2.7964319875328769E-2</v>
      </c>
    </row>
    <row r="1113" spans="19:27" x14ac:dyDescent="0.2">
      <c r="S1113" s="61"/>
      <c r="T1113" s="82"/>
      <c r="W1113" s="103" t="str">
        <f t="shared" si="26"/>
        <v>1w</v>
      </c>
      <c r="X1113" s="101">
        <f>_xll.qlCalendarAdvance(Calendar,X1112,W1113,"f",FALSE)</f>
        <v>47085</v>
      </c>
      <c r="Y1113" s="104">
        <f>_xll.qlCalendarAdvance(Calendar,X1113,NDays&amp;"D")</f>
        <v>47087</v>
      </c>
      <c r="Z1113" s="105">
        <v>2.8116600290558402E-2</v>
      </c>
      <c r="AA1113" s="102">
        <v>2.7972938726721353E-2</v>
      </c>
    </row>
    <row r="1114" spans="19:27" x14ac:dyDescent="0.2">
      <c r="S1114" s="61"/>
      <c r="T1114" s="82"/>
      <c r="W1114" s="103" t="str">
        <f t="shared" si="26"/>
        <v>1w</v>
      </c>
      <c r="X1114" s="101">
        <f>_xll.qlCalendarAdvance(Calendar,X1113,W1114,"f",FALSE)</f>
        <v>47092</v>
      </c>
      <c r="Y1114" s="104">
        <f>_xll.qlCalendarAdvance(Calendar,X1114,NDays&amp;"D")</f>
        <v>47094</v>
      </c>
      <c r="Z1114" s="105">
        <v>2.8124384506140743E-2</v>
      </c>
      <c r="AA1114" s="102">
        <v>2.7981426659637876E-2</v>
      </c>
    </row>
    <row r="1115" spans="19:27" x14ac:dyDescent="0.2">
      <c r="S1115" s="61"/>
      <c r="T1115" s="82"/>
      <c r="W1115" s="103" t="str">
        <f t="shared" si="26"/>
        <v>1w</v>
      </c>
      <c r="X1115" s="101">
        <f>_xll.qlCalendarAdvance(Calendar,X1114,W1115,"f",FALSE)</f>
        <v>47099</v>
      </c>
      <c r="Y1115" s="104">
        <f>_xll.qlCalendarAdvance(Calendar,X1115,NDays&amp;"D")</f>
        <v>47101</v>
      </c>
      <c r="Z1115" s="105">
        <v>2.8132036907495106E-2</v>
      </c>
      <c r="AA1115" s="102">
        <v>2.7989783673918467E-2</v>
      </c>
    </row>
    <row r="1116" spans="19:27" x14ac:dyDescent="0.2">
      <c r="S1116" s="61"/>
      <c r="T1116" s="82"/>
      <c r="W1116" s="103" t="str">
        <f t="shared" si="26"/>
        <v>1w</v>
      </c>
      <c r="X1116" s="101">
        <f>_xll.qlCalendarAdvance(Calendar,X1115,W1116,"f",FALSE)</f>
        <v>47106</v>
      </c>
      <c r="Y1116" s="104">
        <f>_xll.qlCalendarAdvance(Calendar,X1116,NDays&amp;"D")</f>
        <v>47108</v>
      </c>
      <c r="Z1116" s="105">
        <v>2.8139557493872758E-2</v>
      </c>
      <c r="AA1116" s="102">
        <v>2.8000336036422269E-2</v>
      </c>
    </row>
    <row r="1117" spans="19:27" x14ac:dyDescent="0.2">
      <c r="S1117" s="61"/>
      <c r="T1117" s="82"/>
      <c r="W1117" s="103" t="str">
        <f t="shared" si="26"/>
        <v>1w</v>
      </c>
      <c r="X1117" s="101">
        <f>_xll.qlCalendarAdvance(Calendar,X1116,W1117,"f",FALSE)</f>
        <v>47114</v>
      </c>
      <c r="Y1117" s="104">
        <f>_xll.qlCalendarAdvance(Calendar,X1117,NDays&amp;"D")</f>
        <v>47116</v>
      </c>
      <c r="Z1117" s="105">
        <v>2.8147991042689391E-2</v>
      </c>
      <c r="AA1117" s="102">
        <v>2.8008393808311993E-2</v>
      </c>
    </row>
    <row r="1118" spans="19:27" x14ac:dyDescent="0.2">
      <c r="S1118" s="61"/>
      <c r="T1118" s="82"/>
      <c r="W1118" s="103" t="str">
        <f t="shared" si="26"/>
        <v>1w</v>
      </c>
      <c r="X1118" s="101">
        <f>_xll.qlCalendarAdvance(Calendar,X1117,W1118,"f",FALSE)</f>
        <v>47121</v>
      </c>
      <c r="Y1118" s="104">
        <f>_xll.qlCalendarAdvance(Calendar,X1118,NDays&amp;"D")</f>
        <v>47123</v>
      </c>
      <c r="Z1118" s="105">
        <v>2.8155229165930606E-2</v>
      </c>
      <c r="AA1118" s="102">
        <v>2.8015196269386422E-2</v>
      </c>
    </row>
    <row r="1119" spans="19:27" x14ac:dyDescent="0.2">
      <c r="S1119" s="61"/>
      <c r="T1119" s="82"/>
      <c r="W1119" s="103" t="str">
        <f t="shared" si="26"/>
        <v>1w</v>
      </c>
      <c r="X1119" s="101">
        <f>_xll.qlCalendarAdvance(Calendar,X1118,W1119,"f",FALSE)</f>
        <v>47128</v>
      </c>
      <c r="Y1119" s="104">
        <f>_xll.qlCalendarAdvance(Calendar,X1119,NDays&amp;"D")</f>
        <v>47130</v>
      </c>
      <c r="Z1119" s="105">
        <v>2.8162335471915156E-2</v>
      </c>
      <c r="AA1119" s="102">
        <v>2.8023010906723655E-2</v>
      </c>
    </row>
    <row r="1120" spans="19:27" x14ac:dyDescent="0.2">
      <c r="S1120" s="61"/>
      <c r="T1120" s="82"/>
      <c r="W1120" s="103" t="str">
        <f t="shared" si="26"/>
        <v>1w</v>
      </c>
      <c r="X1120" s="101">
        <f>_xll.qlCalendarAdvance(Calendar,X1119,W1120,"f",FALSE)</f>
        <v>47135</v>
      </c>
      <c r="Y1120" s="104">
        <f>_xll.qlCalendarAdvance(Calendar,X1120,NDays&amp;"D")</f>
        <v>47137</v>
      </c>
      <c r="Z1120" s="105">
        <v>2.8169309959947597E-2</v>
      </c>
      <c r="AA1120" s="102">
        <v>2.8030694625424957E-2</v>
      </c>
    </row>
    <row r="1121" spans="19:27" x14ac:dyDescent="0.2">
      <c r="S1121" s="61"/>
      <c r="T1121" s="82"/>
      <c r="W1121" s="103" t="str">
        <f t="shared" si="26"/>
        <v>1w</v>
      </c>
      <c r="X1121" s="101">
        <f>_xll.qlCalendarAdvance(Calendar,X1120,W1121,"f",FALSE)</f>
        <v>47142</v>
      </c>
      <c r="Y1121" s="104">
        <f>_xll.qlCalendarAdvance(Calendar,X1121,NDays&amp;"D")</f>
        <v>47144</v>
      </c>
      <c r="Z1121" s="105">
        <v>2.8176152629342255E-2</v>
      </c>
      <c r="AA1121" s="102">
        <v>2.8038247425490326E-2</v>
      </c>
    </row>
    <row r="1122" spans="19:27" x14ac:dyDescent="0.2">
      <c r="S1122" s="61"/>
      <c r="T1122" s="82"/>
      <c r="W1122" s="103" t="str">
        <f t="shared" si="26"/>
        <v>1w</v>
      </c>
      <c r="X1122" s="101">
        <f>_xll.qlCalendarAdvance(Calendar,X1121,W1122,"f",FALSE)</f>
        <v>47149</v>
      </c>
      <c r="Y1122" s="104">
        <f>_xll.qlCalendarAdvance(Calendar,X1122,NDays&amp;"D")</f>
        <v>47151</v>
      </c>
      <c r="Z1122" s="105">
        <v>2.8181308058497691E-2</v>
      </c>
      <c r="AA1122" s="102">
        <v>2.8045669306919763E-2</v>
      </c>
    </row>
    <row r="1123" spans="19:27" x14ac:dyDescent="0.2">
      <c r="S1123" s="61"/>
      <c r="T1123" s="82"/>
      <c r="W1123" s="103" t="str">
        <f t="shared" si="26"/>
        <v>1w</v>
      </c>
      <c r="X1123" s="101">
        <f>_xll.qlCalendarAdvance(Calendar,X1122,W1123,"f",FALSE)</f>
        <v>47156</v>
      </c>
      <c r="Y1123" s="104">
        <f>_xll.qlCalendarAdvance(Calendar,X1123,NDays&amp;"D")</f>
        <v>47158</v>
      </c>
      <c r="Z1123" s="105">
        <v>2.8187895990376816E-2</v>
      </c>
      <c r="AA1123" s="102">
        <v>2.8052960269793203E-2</v>
      </c>
    </row>
    <row r="1124" spans="19:27" x14ac:dyDescent="0.2">
      <c r="S1124" s="61"/>
      <c r="T1124" s="82"/>
      <c r="W1124" s="103" t="str">
        <f t="shared" si="26"/>
        <v>1w</v>
      </c>
      <c r="X1124" s="101">
        <f>_xll.qlCalendarAdvance(Calendar,X1123,W1124,"f",FALSE)</f>
        <v>47163</v>
      </c>
      <c r="Y1124" s="104">
        <f>_xll.qlCalendarAdvance(Calendar,X1124,NDays&amp;"D")</f>
        <v>47165</v>
      </c>
      <c r="Z1124" s="105">
        <v>2.8194352111856037E-2</v>
      </c>
      <c r="AA1124" s="102">
        <v>2.8060120313950776E-2</v>
      </c>
    </row>
    <row r="1125" spans="19:27" x14ac:dyDescent="0.2">
      <c r="S1125" s="61"/>
      <c r="T1125" s="82"/>
      <c r="W1125" s="103" t="str">
        <f t="shared" si="26"/>
        <v>1w</v>
      </c>
      <c r="X1125" s="101">
        <f>_xll.qlCalendarAdvance(Calendar,X1124,W1125,"f",FALSE)</f>
        <v>47170</v>
      </c>
      <c r="Y1125" s="104">
        <f>_xll.qlCalendarAdvance(Calendar,X1125,NDays&amp;"D")</f>
        <v>47172</v>
      </c>
      <c r="Z1125" s="105">
        <v>2.8200676422307551E-2</v>
      </c>
      <c r="AA1125" s="102">
        <v>2.8067149439472416E-2</v>
      </c>
    </row>
    <row r="1126" spans="19:27" x14ac:dyDescent="0.2">
      <c r="S1126" s="61"/>
      <c r="T1126" s="82"/>
      <c r="W1126" s="103" t="str">
        <f t="shared" si="26"/>
        <v>1w</v>
      </c>
      <c r="X1126" s="101">
        <f>_xll.qlCalendarAdvance(Calendar,X1125,W1126,"f",FALSE)</f>
        <v>47177</v>
      </c>
      <c r="Y1126" s="104">
        <f>_xll.qlCalendarAdvance(Calendar,X1126,NDays&amp;"D")</f>
        <v>47179</v>
      </c>
      <c r="Z1126" s="105">
        <v>2.8214459939469839E-2</v>
      </c>
      <c r="AA1126" s="102">
        <v>2.8074047646358125E-2</v>
      </c>
    </row>
    <row r="1127" spans="19:27" x14ac:dyDescent="0.2">
      <c r="S1127" s="61"/>
      <c r="T1127" s="82"/>
      <c r="W1127" s="103" t="str">
        <f t="shared" si="26"/>
        <v>1w</v>
      </c>
      <c r="X1127" s="101">
        <f>_xll.qlCalendarAdvance(Calendar,X1126,W1127,"f",FALSE)</f>
        <v>47184</v>
      </c>
      <c r="Y1127" s="104">
        <f>_xll.qlCalendarAdvance(Calendar,X1127,NDays&amp;"D")</f>
        <v>47186</v>
      </c>
      <c r="Z1127" s="105">
        <v>2.8220475898547974E-2</v>
      </c>
      <c r="AA1127" s="102">
        <v>2.8080814934527965E-2</v>
      </c>
    </row>
    <row r="1128" spans="19:27" x14ac:dyDescent="0.2">
      <c r="S1128" s="61"/>
      <c r="T1128" s="82"/>
      <c r="W1128" s="103" t="str">
        <f t="shared" si="26"/>
        <v>1w</v>
      </c>
      <c r="X1128" s="101">
        <f>_xll.qlCalendarAdvance(Calendar,X1127,W1128,"f",FALSE)</f>
        <v>47191</v>
      </c>
      <c r="Y1128" s="104">
        <f>_xll.qlCalendarAdvance(Calendar,X1128,NDays&amp;"D")</f>
        <v>47193</v>
      </c>
      <c r="Z1128" s="105">
        <v>2.8226359993594921E-2</v>
      </c>
      <c r="AA1128" s="102">
        <v>2.8087451304141808E-2</v>
      </c>
    </row>
    <row r="1129" spans="19:27" x14ac:dyDescent="0.2">
      <c r="S1129" s="61"/>
      <c r="T1129" s="82"/>
      <c r="W1129" s="103" t="str">
        <f t="shared" si="26"/>
        <v>1w</v>
      </c>
      <c r="X1129" s="101">
        <f>_xll.qlCalendarAdvance(Calendar,X1128,W1129,"f",FALSE)</f>
        <v>47198</v>
      </c>
      <c r="Y1129" s="104">
        <f>_xll.qlCalendarAdvance(Calendar,X1129,NDays&amp;"D")</f>
        <v>47200</v>
      </c>
      <c r="Z1129" s="105">
        <v>2.8232112224005214E-2</v>
      </c>
      <c r="AA1129" s="102">
        <v>2.8093956754959848E-2</v>
      </c>
    </row>
    <row r="1130" spans="19:27" x14ac:dyDescent="0.2">
      <c r="S1130" s="61"/>
      <c r="T1130" s="82"/>
      <c r="W1130" s="103" t="str">
        <f t="shared" si="26"/>
        <v>1w</v>
      </c>
      <c r="X1130" s="101">
        <f>_xll.qlCalendarAdvance(Calendar,X1129,W1130,"f",FALSE)</f>
        <v>47205</v>
      </c>
      <c r="Y1130" s="104">
        <f>_xll.qlCalendarAdvance(Calendar,X1130,NDays&amp;"D")</f>
        <v>47211</v>
      </c>
      <c r="Z1130" s="105">
        <v>2.8236455685534356E-2</v>
      </c>
      <c r="AA1130" s="102">
        <v>2.8102128535731907E-2</v>
      </c>
    </row>
    <row r="1131" spans="19:27" x14ac:dyDescent="0.2">
      <c r="S1131" s="61"/>
      <c r="T1131" s="82"/>
      <c r="W1131" s="103" t="str">
        <f t="shared" si="26"/>
        <v>1w</v>
      </c>
      <c r="X1131" s="101">
        <f>_xll.qlCalendarAdvance(Calendar,X1130,W1131,"f",FALSE)</f>
        <v>47212</v>
      </c>
      <c r="Y1131" s="104">
        <f>_xll.qlCalendarAdvance(Calendar,X1131,NDays&amp;"D")</f>
        <v>47214</v>
      </c>
      <c r="Z1131" s="105">
        <v>2.8238803312354333E-2</v>
      </c>
      <c r="AA1131" s="102">
        <v>2.8106574900608194E-2</v>
      </c>
    </row>
    <row r="1132" spans="19:27" x14ac:dyDescent="0.2">
      <c r="S1132" s="61"/>
      <c r="T1132" s="82"/>
      <c r="W1132" s="103" t="str">
        <f t="shared" si="26"/>
        <v>1w</v>
      </c>
      <c r="X1132" s="101">
        <f>_xll.qlCalendarAdvance(Calendar,X1131,W1132,"f",FALSE)</f>
        <v>47219</v>
      </c>
      <c r="Y1132" s="104">
        <f>_xll.qlCalendarAdvance(Calendar,X1132,NDays&amp;"D")</f>
        <v>47221</v>
      </c>
      <c r="Z1132" s="105">
        <v>2.8244186939925326E-2</v>
      </c>
      <c r="AA1132" s="102">
        <v>2.8112687595358565E-2</v>
      </c>
    </row>
    <row r="1133" spans="19:27" x14ac:dyDescent="0.2">
      <c r="S1133" s="61"/>
      <c r="T1133" s="82"/>
      <c r="W1133" s="103" t="str">
        <f t="shared" si="26"/>
        <v>1w</v>
      </c>
      <c r="X1133" s="101">
        <f>_xll.qlCalendarAdvance(Calendar,X1132,W1133,"f",FALSE)</f>
        <v>47226</v>
      </c>
      <c r="Y1133" s="104">
        <f>_xll.qlCalendarAdvance(Calendar,X1133,NDays&amp;"D")</f>
        <v>47228</v>
      </c>
      <c r="Z1133" s="105">
        <v>2.8249438731385943E-2</v>
      </c>
      <c r="AA1133" s="102">
        <v>2.8118669371473004E-2</v>
      </c>
    </row>
    <row r="1134" spans="19:27" x14ac:dyDescent="0.2">
      <c r="S1134" s="61"/>
      <c r="T1134" s="82"/>
      <c r="W1134" s="103" t="str">
        <f t="shared" si="26"/>
        <v>1w</v>
      </c>
      <c r="X1134" s="101">
        <f>_xll.qlCalendarAdvance(Calendar,X1133,W1134,"f",FALSE)</f>
        <v>47233</v>
      </c>
      <c r="Y1134" s="104">
        <f>_xll.qlCalendarAdvance(Calendar,X1134,NDays&amp;"D")</f>
        <v>47235</v>
      </c>
      <c r="Z1134" s="105">
        <v>2.8254558686215275E-2</v>
      </c>
      <c r="AA1134" s="102">
        <v>2.8125345378340327E-2</v>
      </c>
    </row>
    <row r="1135" spans="19:27" x14ac:dyDescent="0.2">
      <c r="S1135" s="61"/>
      <c r="T1135" s="82"/>
      <c r="W1135" s="103" t="str">
        <f t="shared" si="26"/>
        <v>1w</v>
      </c>
      <c r="X1135" s="101">
        <f>_xll.qlCalendarAdvance(Calendar,X1134,W1135,"f",FALSE)</f>
        <v>47240</v>
      </c>
      <c r="Y1135" s="104">
        <f>_xll.qlCalendarAdvance(Calendar,X1135,NDays&amp;"D")</f>
        <v>47242</v>
      </c>
      <c r="Z1135" s="105">
        <v>2.8263856417044517E-2</v>
      </c>
      <c r="AA1135" s="102">
        <v>2.8130240167394405E-2</v>
      </c>
    </row>
    <row r="1136" spans="19:27" x14ac:dyDescent="0.2">
      <c r="S1136" s="61"/>
      <c r="T1136" s="82"/>
      <c r="W1136" s="103" t="str">
        <f t="shared" si="26"/>
        <v>1w</v>
      </c>
      <c r="X1136" s="101">
        <f>_xll.qlCalendarAdvance(Calendar,X1135,W1136,"f",FALSE)</f>
        <v>47247</v>
      </c>
      <c r="Y1136" s="104">
        <f>_xll.qlCalendarAdvance(Calendar,X1136,NDays&amp;"D")</f>
        <v>47252</v>
      </c>
      <c r="Z1136" s="105">
        <v>2.8267868399208085E-2</v>
      </c>
      <c r="AA1136" s="102">
        <v>2.8136616931551117E-2</v>
      </c>
    </row>
    <row r="1137" spans="19:27" x14ac:dyDescent="0.2">
      <c r="S1137" s="61"/>
      <c r="T1137" s="82"/>
      <c r="W1137" s="103" t="str">
        <f t="shared" si="26"/>
        <v>1w</v>
      </c>
      <c r="X1137" s="101">
        <f>_xll.qlCalendarAdvance(Calendar,X1136,W1137,"f",FALSE)</f>
        <v>47254</v>
      </c>
      <c r="Y1137" s="104">
        <f>_xll.qlCalendarAdvance(Calendar,X1137,NDays&amp;"D")</f>
        <v>47256</v>
      </c>
      <c r="Z1137" s="105">
        <v>2.8273382872479234E-2</v>
      </c>
      <c r="AA1137" s="102">
        <v>2.8142056330002774E-2</v>
      </c>
    </row>
    <row r="1138" spans="19:27" x14ac:dyDescent="0.2">
      <c r="S1138" s="61"/>
      <c r="T1138" s="82"/>
      <c r="W1138" s="103" t="str">
        <f t="shared" si="26"/>
        <v>1w</v>
      </c>
      <c r="X1138" s="101">
        <f>_xll.qlCalendarAdvance(Calendar,X1137,W1138,"f",FALSE)</f>
        <v>47261</v>
      </c>
      <c r="Y1138" s="104">
        <f>_xll.qlCalendarAdvance(Calendar,X1138,NDays&amp;"D")</f>
        <v>47263</v>
      </c>
      <c r="Z1138" s="105">
        <v>2.8277948296251031E-2</v>
      </c>
      <c r="AA1138" s="102">
        <v>2.814661447098743E-2</v>
      </c>
    </row>
    <row r="1139" spans="19:27" x14ac:dyDescent="0.2">
      <c r="S1139" s="61"/>
      <c r="T1139" s="82"/>
      <c r="W1139" s="103" t="str">
        <f t="shared" si="26"/>
        <v>1w</v>
      </c>
      <c r="X1139" s="101">
        <f>_xll.qlCalendarAdvance(Calendar,X1138,W1139,"f",FALSE)</f>
        <v>47268</v>
      </c>
      <c r="Y1139" s="104">
        <f>_xll.qlCalendarAdvance(Calendar,X1139,NDays&amp;"D")</f>
        <v>47270</v>
      </c>
      <c r="Z1139" s="105">
        <v>2.8282381850098483E-2</v>
      </c>
      <c r="AA1139" s="102">
        <v>2.8151810734646787E-2</v>
      </c>
    </row>
    <row r="1140" spans="19:27" x14ac:dyDescent="0.2">
      <c r="S1140" s="61"/>
      <c r="T1140" s="82"/>
      <c r="W1140" s="103" t="str">
        <f t="shared" si="26"/>
        <v>1w</v>
      </c>
      <c r="X1140" s="101">
        <f>_xll.qlCalendarAdvance(Calendar,X1139,W1140,"f",FALSE)</f>
        <v>47275</v>
      </c>
      <c r="Y1140" s="104">
        <f>_xll.qlCalendarAdvance(Calendar,X1140,NDays&amp;"D")</f>
        <v>47277</v>
      </c>
      <c r="Z1140" s="105">
        <v>2.8286683533565789E-2</v>
      </c>
      <c r="AA1140" s="102">
        <v>2.8156876079590276E-2</v>
      </c>
    </row>
    <row r="1141" spans="19:27" x14ac:dyDescent="0.2">
      <c r="S1141" s="61"/>
      <c r="T1141" s="82"/>
      <c r="W1141" s="103" t="str">
        <f t="shared" si="26"/>
        <v>1w</v>
      </c>
      <c r="X1141" s="101">
        <f>_xll.qlCalendarAdvance(Calendar,X1140,W1141,"f",FALSE)</f>
        <v>47282</v>
      </c>
      <c r="Y1141" s="104">
        <f>_xll.qlCalendarAdvance(Calendar,X1141,NDays&amp;"D")</f>
        <v>47284</v>
      </c>
      <c r="Z1141" s="105">
        <v>2.8290853346211599E-2</v>
      </c>
      <c r="AA1141" s="102">
        <v>2.8161810505737961E-2</v>
      </c>
    </row>
    <row r="1142" spans="19:27" x14ac:dyDescent="0.2">
      <c r="S1142" s="61"/>
      <c r="T1142" s="82"/>
      <c r="W1142" s="103" t="str">
        <f t="shared" si="26"/>
        <v>1w</v>
      </c>
      <c r="X1142" s="101">
        <f>_xll.qlCalendarAdvance(Calendar,X1141,W1142,"f",FALSE)</f>
        <v>47289</v>
      </c>
      <c r="Y1142" s="104">
        <f>_xll.qlCalendarAdvance(Calendar,X1142,NDays&amp;"D")</f>
        <v>47294</v>
      </c>
      <c r="Z1142" s="105">
        <v>2.8293843977447747E-2</v>
      </c>
      <c r="AA1142" s="102">
        <v>2.8167289541283225E-2</v>
      </c>
    </row>
    <row r="1143" spans="19:27" x14ac:dyDescent="0.2">
      <c r="S1143" s="61"/>
      <c r="T1143" s="82"/>
      <c r="W1143" s="103" t="str">
        <f t="shared" si="26"/>
        <v>1w</v>
      </c>
      <c r="X1143" s="101">
        <f>_xll.qlCalendarAdvance(Calendar,X1142,W1143,"f",FALSE)</f>
        <v>47296</v>
      </c>
      <c r="Y1143" s="104">
        <f>_xll.qlCalendarAdvance(Calendar,X1143,NDays&amp;"D")</f>
        <v>47298</v>
      </c>
      <c r="Z1143" s="105">
        <v>2.8294705551735196E-2</v>
      </c>
      <c r="AA1143" s="102">
        <v>2.8171286601885726E-2</v>
      </c>
    </row>
    <row r="1144" spans="19:27" x14ac:dyDescent="0.2">
      <c r="S1144" s="61"/>
      <c r="T1144" s="82"/>
      <c r="W1144" s="103" t="str">
        <f t="shared" si="26"/>
        <v>1w</v>
      </c>
      <c r="X1144" s="101">
        <f>_xll.qlCalendarAdvance(Calendar,X1143,W1144,"f",FALSE)</f>
        <v>47303</v>
      </c>
      <c r="Y1144" s="104">
        <f>_xll.qlCalendarAdvance(Calendar,X1144,NDays&amp;"D")</f>
        <v>47305</v>
      </c>
      <c r="Z1144" s="105">
        <v>2.8302571555014901E-2</v>
      </c>
      <c r="AA1144" s="102">
        <v>2.8175828271725933E-2</v>
      </c>
    </row>
    <row r="1145" spans="19:27" x14ac:dyDescent="0.2">
      <c r="S1145" s="61"/>
      <c r="T1145" s="82"/>
      <c r="W1145" s="103" t="str">
        <f t="shared" si="26"/>
        <v>1w</v>
      </c>
      <c r="X1145" s="101">
        <f>_xll.qlCalendarAdvance(Calendar,X1144,W1145,"f",FALSE)</f>
        <v>47310</v>
      </c>
      <c r="Y1145" s="104">
        <f>_xll.qlCalendarAdvance(Calendar,X1145,NDays&amp;"D")</f>
        <v>47312</v>
      </c>
      <c r="Z1145" s="105">
        <v>2.8306213880235905E-2</v>
      </c>
      <c r="AA1145" s="102">
        <v>2.8180239022850273E-2</v>
      </c>
    </row>
    <row r="1146" spans="19:27" x14ac:dyDescent="0.2">
      <c r="S1146" s="61"/>
      <c r="T1146" s="82"/>
      <c r="W1146" s="103" t="str">
        <f t="shared" si="26"/>
        <v>1w</v>
      </c>
      <c r="X1146" s="101">
        <f>_xll.qlCalendarAdvance(Calendar,X1145,W1146,"f",FALSE)</f>
        <v>47317</v>
      </c>
      <c r="Y1146" s="104">
        <f>_xll.qlCalendarAdvance(Calendar,X1146,NDays&amp;"D")</f>
        <v>47319</v>
      </c>
      <c r="Z1146" s="105">
        <v>2.8309724332631913E-2</v>
      </c>
      <c r="AA1146" s="102">
        <v>2.8184518855178808E-2</v>
      </c>
    </row>
    <row r="1147" spans="19:27" x14ac:dyDescent="0.2">
      <c r="S1147" s="61"/>
      <c r="T1147" s="82"/>
      <c r="W1147" s="103" t="str">
        <f t="shared" si="26"/>
        <v>1w</v>
      </c>
      <c r="X1147" s="101">
        <f>_xll.qlCalendarAdvance(Calendar,X1146,W1147,"f",FALSE)</f>
        <v>47324</v>
      </c>
      <c r="Y1147" s="104">
        <f>_xll.qlCalendarAdvance(Calendar,X1147,NDays&amp;"D")</f>
        <v>47326</v>
      </c>
      <c r="Z1147" s="105">
        <v>2.8313102911845758E-2</v>
      </c>
      <c r="AA1147" s="102">
        <v>2.8188667768791476E-2</v>
      </c>
    </row>
    <row r="1148" spans="19:27" x14ac:dyDescent="0.2">
      <c r="S1148" s="61"/>
      <c r="T1148" s="82"/>
      <c r="W1148" s="103" t="str">
        <f t="shared" si="26"/>
        <v>1w</v>
      </c>
      <c r="X1148" s="101">
        <f>_xll.qlCalendarAdvance(Calendar,X1147,W1148,"f",FALSE)</f>
        <v>47331</v>
      </c>
      <c r="Y1148" s="104">
        <f>_xll.qlCalendarAdvance(Calendar,X1148,NDays&amp;"D")</f>
        <v>47333</v>
      </c>
      <c r="Z1148" s="105">
        <v>2.8316349617528783E-2</v>
      </c>
      <c r="AA1148" s="102">
        <v>2.8192685763528402E-2</v>
      </c>
    </row>
    <row r="1149" spans="19:27" x14ac:dyDescent="0.2">
      <c r="S1149" s="61"/>
      <c r="T1149" s="82"/>
      <c r="W1149" s="103" t="str">
        <f t="shared" si="26"/>
        <v>1w</v>
      </c>
      <c r="X1149" s="101">
        <f>_xll.qlCalendarAdvance(Calendar,X1148,W1149,"f",FALSE)</f>
        <v>47338</v>
      </c>
      <c r="Y1149" s="104">
        <f>_xll.qlCalendarAdvance(Calendar,X1149,NDays&amp;"D")</f>
        <v>47340</v>
      </c>
      <c r="Z1149" s="105">
        <v>2.8319464449348488E-2</v>
      </c>
      <c r="AA1149" s="102">
        <v>2.8196572839469525E-2</v>
      </c>
    </row>
    <row r="1150" spans="19:27" x14ac:dyDescent="0.2">
      <c r="S1150" s="61"/>
      <c r="T1150" s="82"/>
      <c r="W1150" s="103" t="str">
        <f t="shared" si="26"/>
        <v>1w</v>
      </c>
      <c r="X1150" s="101">
        <f>_xll.qlCalendarAdvance(Calendar,X1149,W1150,"f",FALSE)</f>
        <v>47345</v>
      </c>
      <c r="Y1150" s="104">
        <f>_xll.qlCalendarAdvance(Calendar,X1150,NDays&amp;"D")</f>
        <v>47347</v>
      </c>
      <c r="Z1150" s="105">
        <v>2.8322447406985984E-2</v>
      </c>
      <c r="AA1150" s="102">
        <v>2.8200328996614843E-2</v>
      </c>
    </row>
    <row r="1151" spans="19:27" x14ac:dyDescent="0.2">
      <c r="S1151" s="61"/>
      <c r="T1151" s="82"/>
      <c r="W1151" s="103" t="str">
        <f t="shared" si="26"/>
        <v>1w</v>
      </c>
      <c r="X1151" s="101">
        <f>_xll.qlCalendarAdvance(Calendar,X1150,W1151,"f",FALSE)</f>
        <v>47352</v>
      </c>
      <c r="Y1151" s="104">
        <f>_xll.qlCalendarAdvance(Calendar,X1151,NDays&amp;"D")</f>
        <v>47354</v>
      </c>
      <c r="Z1151" s="105">
        <v>2.8325298490135126E-2</v>
      </c>
      <c r="AA1151" s="102">
        <v>2.8203954234964357E-2</v>
      </c>
    </row>
    <row r="1152" spans="19:27" x14ac:dyDescent="0.2">
      <c r="S1152" s="61"/>
      <c r="T1152" s="82"/>
      <c r="W1152" s="103" t="str">
        <f t="shared" si="26"/>
        <v>1w</v>
      </c>
      <c r="X1152" s="101">
        <f>_xll.qlCalendarAdvance(Calendar,X1151,W1152,"f",FALSE)</f>
        <v>47359</v>
      </c>
      <c r="Y1152" s="104">
        <f>_xll.qlCalendarAdvance(Calendar,X1152,NDays&amp;"D")</f>
        <v>47361</v>
      </c>
      <c r="Z1152" s="105">
        <v>2.8324173293208514E-2</v>
      </c>
      <c r="AA1152" s="102">
        <v>2.8207448554518066E-2</v>
      </c>
    </row>
    <row r="1153" spans="19:27" x14ac:dyDescent="0.2">
      <c r="S1153" s="61"/>
      <c r="T1153" s="82"/>
      <c r="W1153" s="103" t="str">
        <f t="shared" si="26"/>
        <v>1w</v>
      </c>
      <c r="X1153" s="101">
        <f>_xll.qlCalendarAdvance(Calendar,X1152,W1153,"f",FALSE)</f>
        <v>47366</v>
      </c>
      <c r="Y1153" s="104">
        <f>_xll.qlCalendarAdvance(Calendar,X1153,NDays&amp;"D")</f>
        <v>47368</v>
      </c>
      <c r="Z1153" s="105">
        <v>2.8326788270396266E-2</v>
      </c>
      <c r="AA1153" s="102">
        <v>2.8210811955275972E-2</v>
      </c>
    </row>
    <row r="1154" spans="19:27" x14ac:dyDescent="0.2">
      <c r="S1154" s="61"/>
      <c r="T1154" s="82"/>
      <c r="W1154" s="103" t="str">
        <f t="shared" si="26"/>
        <v>1w</v>
      </c>
      <c r="X1154" s="101">
        <f>_xll.qlCalendarAdvance(Calendar,X1153,W1154,"f",FALSE)</f>
        <v>47373</v>
      </c>
      <c r="Y1154" s="104">
        <f>_xll.qlCalendarAdvance(Calendar,X1154,NDays&amp;"D")</f>
        <v>47375</v>
      </c>
      <c r="Z1154" s="105">
        <v>2.8329271403274486E-2</v>
      </c>
      <c r="AA1154" s="102">
        <v>2.8214044437158137E-2</v>
      </c>
    </row>
    <row r="1155" spans="19:27" x14ac:dyDescent="0.2">
      <c r="S1155" s="61"/>
      <c r="T1155" s="82"/>
      <c r="W1155" s="103" t="str">
        <f t="shared" si="26"/>
        <v>1w</v>
      </c>
      <c r="X1155" s="101">
        <f>_xll.qlCalendarAdvance(Calendar,X1154,W1155,"f",FALSE)</f>
        <v>47380</v>
      </c>
      <c r="Y1155" s="104">
        <f>_xll.qlCalendarAdvance(Calendar,X1155,NDays&amp;"D")</f>
        <v>47382</v>
      </c>
      <c r="Z1155" s="105">
        <v>2.8331622691596333E-2</v>
      </c>
      <c r="AA1155" s="102">
        <v>2.8217146000324433E-2</v>
      </c>
    </row>
    <row r="1156" spans="19:27" x14ac:dyDescent="0.2">
      <c r="S1156" s="61"/>
      <c r="T1156" s="82"/>
      <c r="W1156" s="103" t="str">
        <f t="shared" si="26"/>
        <v>1w</v>
      </c>
      <c r="X1156" s="101">
        <f>_xll.qlCalendarAdvance(Calendar,X1155,W1156,"f",FALSE)</f>
        <v>47387</v>
      </c>
      <c r="Y1156" s="104">
        <f>_xll.qlCalendarAdvance(Calendar,X1156,NDays&amp;"D")</f>
        <v>47389</v>
      </c>
      <c r="Z1156" s="105">
        <v>2.8333842135127268E-2</v>
      </c>
      <c r="AA1156" s="102">
        <v>2.822011664461499E-2</v>
      </c>
    </row>
    <row r="1157" spans="19:27" x14ac:dyDescent="0.2">
      <c r="S1157" s="61"/>
      <c r="T1157" s="82"/>
      <c r="W1157" s="103" t="str">
        <f t="shared" si="26"/>
        <v>1w</v>
      </c>
      <c r="X1157" s="101">
        <f>_xll.qlCalendarAdvance(Calendar,X1156,W1157,"f",FALSE)</f>
        <v>47394</v>
      </c>
      <c r="Y1157" s="104">
        <f>_xll.qlCalendarAdvance(Calendar,X1157,NDays&amp;"D")</f>
        <v>47396</v>
      </c>
      <c r="Z1157" s="105">
        <v>2.8339635609343564E-2</v>
      </c>
      <c r="AA1157" s="102">
        <v>2.8222956370109742E-2</v>
      </c>
    </row>
    <row r="1158" spans="19:27" x14ac:dyDescent="0.2">
      <c r="S1158" s="61"/>
      <c r="T1158" s="82"/>
      <c r="W1158" s="103" t="str">
        <f t="shared" si="26"/>
        <v>1w</v>
      </c>
      <c r="X1158" s="101">
        <f>_xll.qlCalendarAdvance(Calendar,X1157,W1158,"f",FALSE)</f>
        <v>47401</v>
      </c>
      <c r="Y1158" s="104">
        <f>_xll.qlCalendarAdvance(Calendar,X1158,NDays&amp;"D")</f>
        <v>47403</v>
      </c>
      <c r="Z1158" s="105">
        <v>2.8341563563643601E-2</v>
      </c>
      <c r="AA1158" s="102">
        <v>2.8225665176728754E-2</v>
      </c>
    </row>
    <row r="1159" spans="19:27" x14ac:dyDescent="0.2">
      <c r="S1159" s="61"/>
      <c r="T1159" s="82"/>
      <c r="W1159" s="103" t="str">
        <f t="shared" si="26"/>
        <v>1w</v>
      </c>
      <c r="X1159" s="101">
        <f>_xll.qlCalendarAdvance(Calendar,X1158,W1159,"f",FALSE)</f>
        <v>47408</v>
      </c>
      <c r="Y1159" s="104">
        <f>_xll.qlCalendarAdvance(Calendar,X1159,NDays&amp;"D")</f>
        <v>47410</v>
      </c>
      <c r="Z1159" s="105">
        <v>2.8343359641495154E-2</v>
      </c>
      <c r="AA1159" s="102">
        <v>2.8228243064472025E-2</v>
      </c>
    </row>
    <row r="1160" spans="19:27" x14ac:dyDescent="0.2">
      <c r="S1160" s="61"/>
      <c r="T1160" s="82"/>
      <c r="W1160" s="103" t="str">
        <f t="shared" si="26"/>
        <v>1w</v>
      </c>
      <c r="X1160" s="101">
        <f>_xll.qlCalendarAdvance(Calendar,X1159,W1160,"f",FALSE)</f>
        <v>47415</v>
      </c>
      <c r="Y1160" s="104">
        <f>_xll.qlCalendarAdvance(Calendar,X1160,NDays&amp;"D")</f>
        <v>47417</v>
      </c>
      <c r="Z1160" s="105">
        <v>2.8345023842714537E-2</v>
      </c>
      <c r="AA1160" s="102">
        <v>2.8230690033499428E-2</v>
      </c>
    </row>
    <row r="1161" spans="19:27" x14ac:dyDescent="0.2">
      <c r="S1161" s="61"/>
      <c r="T1161" s="82"/>
      <c r="W1161" s="103" t="str">
        <f t="shared" si="26"/>
        <v>1w</v>
      </c>
      <c r="X1161" s="101">
        <f>_xll.qlCalendarAdvance(Calendar,X1160,W1161,"f",FALSE)</f>
        <v>47422</v>
      </c>
      <c r="Y1161" s="104">
        <f>_xll.qlCalendarAdvance(Calendar,X1161,NDays&amp;"D")</f>
        <v>47424</v>
      </c>
      <c r="Z1161" s="105">
        <v>2.8346556167129975E-2</v>
      </c>
      <c r="AA1161" s="102">
        <v>2.8233006083651091E-2</v>
      </c>
    </row>
    <row r="1162" spans="19:27" x14ac:dyDescent="0.2">
      <c r="S1162" s="61"/>
      <c r="T1162" s="82"/>
      <c r="W1162" s="103" t="str">
        <f t="shared" si="26"/>
        <v>1w</v>
      </c>
      <c r="X1162" s="101">
        <f>_xll.qlCalendarAdvance(Calendar,X1161,W1162,"f",FALSE)</f>
        <v>47429</v>
      </c>
      <c r="Y1162" s="104">
        <f>_xll.qlCalendarAdvance(Calendar,X1162,NDays&amp;"D")</f>
        <v>47431</v>
      </c>
      <c r="Z1162" s="105">
        <v>2.8347956614584998E-2</v>
      </c>
      <c r="AA1162" s="102">
        <v>2.8235191214847077E-2</v>
      </c>
    </row>
    <row r="1163" spans="19:27" x14ac:dyDescent="0.2">
      <c r="S1163" s="61"/>
      <c r="T1163" s="82"/>
      <c r="W1163" s="103" t="str">
        <f t="shared" si="26"/>
        <v>1w</v>
      </c>
      <c r="X1163" s="101">
        <f>_xll.qlCalendarAdvance(Calendar,X1162,W1163,"f",FALSE)</f>
        <v>47436</v>
      </c>
      <c r="Y1163" s="104">
        <f>_xll.qlCalendarAdvance(Calendar,X1163,NDays&amp;"D")</f>
        <v>47438</v>
      </c>
      <c r="Z1163" s="105">
        <v>2.8349225184934192E-2</v>
      </c>
      <c r="AA1163" s="102">
        <v>2.8237245427407132E-2</v>
      </c>
    </row>
    <row r="1164" spans="19:27" x14ac:dyDescent="0.2">
      <c r="S1164" s="61"/>
      <c r="T1164" s="82"/>
      <c r="W1164" s="103" t="str">
        <f t="shared" si="26"/>
        <v>1w</v>
      </c>
      <c r="X1164" s="101">
        <f>_xll.qlCalendarAdvance(Calendar,X1163,W1164,"f",FALSE)</f>
        <v>47443</v>
      </c>
      <c r="Y1164" s="104">
        <f>_xll.qlCalendarAdvance(Calendar,X1164,NDays&amp;"D")</f>
        <v>47445</v>
      </c>
      <c r="Z1164" s="105">
        <v>2.8350361878050845E-2</v>
      </c>
      <c r="AA1164" s="102">
        <v>2.8239168721011509E-2</v>
      </c>
    </row>
    <row r="1165" spans="19:27" x14ac:dyDescent="0.2">
      <c r="S1165" s="61"/>
      <c r="T1165" s="82"/>
      <c r="W1165" s="103" t="str">
        <f t="shared" si="26"/>
        <v>1w</v>
      </c>
      <c r="X1165" s="101">
        <f>_xll.qlCalendarAdvance(Calendar,X1164,W1165,"f",FALSE)</f>
        <v>47450</v>
      </c>
      <c r="Y1165" s="104">
        <f>_xll.qlCalendarAdvance(Calendar,X1165,NDays&amp;"D")</f>
        <v>47452</v>
      </c>
      <c r="Z1165" s="105">
        <v>2.8346721545575271E-2</v>
      </c>
      <c r="AA1165" s="102">
        <v>2.8240961095820083E-2</v>
      </c>
    </row>
    <row r="1166" spans="19:27" x14ac:dyDescent="0.2">
      <c r="S1166" s="61"/>
      <c r="T1166" s="82"/>
      <c r="W1166" s="103" t="str">
        <f t="shared" si="26"/>
        <v>1w</v>
      </c>
      <c r="X1166" s="101">
        <f>_xll.qlCalendarAdvance(Calendar,X1165,W1166,"f",FALSE)</f>
        <v>47457</v>
      </c>
      <c r="Y1166" s="104">
        <f>_xll.qlCalendarAdvance(Calendar,X1166,NDays&amp;"D")</f>
        <v>47459</v>
      </c>
      <c r="Z1166" s="105">
        <v>2.8347631877428725E-2</v>
      </c>
      <c r="AA1166" s="102">
        <v>2.824262255167298E-2</v>
      </c>
    </row>
    <row r="1167" spans="19:27" x14ac:dyDescent="0.2">
      <c r="S1167" s="61"/>
      <c r="T1167" s="82"/>
      <c r="W1167" s="103" t="str">
        <f t="shared" si="26"/>
        <v>1w</v>
      </c>
      <c r="X1167" s="101">
        <f>_xll.qlCalendarAdvance(Calendar,X1166,W1167,"f",FALSE)</f>
        <v>47464</v>
      </c>
      <c r="Y1167" s="104">
        <f>_xll.qlCalendarAdvance(Calendar,X1167,NDays&amp;"D")</f>
        <v>47466</v>
      </c>
      <c r="Z1167" s="105">
        <v>2.8348410373135735E-2</v>
      </c>
      <c r="AA1167" s="102">
        <v>2.8244153088810009E-2</v>
      </c>
    </row>
    <row r="1168" spans="19:27" x14ac:dyDescent="0.2">
      <c r="S1168" s="61"/>
      <c r="T1168" s="82"/>
      <c r="W1168" s="103" t="str">
        <f t="shared" si="26"/>
        <v>1w</v>
      </c>
      <c r="X1168" s="101">
        <f>_xll.qlCalendarAdvance(Calendar,X1167,W1168,"f",FALSE)</f>
        <v>47471</v>
      </c>
      <c r="Y1168" s="104">
        <f>_xll.qlCalendarAdvance(Calendar,X1168,NDays&amp;"D")</f>
        <v>47473</v>
      </c>
      <c r="Z1168" s="105">
        <v>2.8349057032622582E-2</v>
      </c>
      <c r="AA1168" s="102">
        <v>2.8250902528361266E-2</v>
      </c>
    </row>
    <row r="1169" spans="19:27" x14ac:dyDescent="0.2">
      <c r="S1169" s="61"/>
      <c r="T1169" s="82"/>
      <c r="W1169" s="103" t="str">
        <f t="shared" si="26"/>
        <v>1w</v>
      </c>
      <c r="X1169" s="101">
        <f>_xll.qlCalendarAdvance(Calendar,X1168,W1169,"f",FALSE)</f>
        <v>47479</v>
      </c>
      <c r="Y1169" s="104">
        <f>_xll.qlCalendarAdvance(Calendar,X1169,NDays&amp;"D")</f>
        <v>47485</v>
      </c>
      <c r="Z1169" s="105">
        <v>2.8349858870560851E-2</v>
      </c>
      <c r="AA1169" s="102">
        <v>2.824970321074538E-2</v>
      </c>
    </row>
    <row r="1170" spans="19:27" x14ac:dyDescent="0.2">
      <c r="S1170" s="61"/>
      <c r="T1170" s="82"/>
      <c r="W1170" s="103" t="str">
        <f t="shared" si="26"/>
        <v>1w</v>
      </c>
      <c r="X1170" s="101">
        <f>_xll.qlCalendarAdvance(Calendar,X1169,W1170,"f",FALSE)</f>
        <v>47486</v>
      </c>
      <c r="Y1170" s="104">
        <f>_xll.qlCalendarAdvance(Calendar,X1170,NDays&amp;"D")</f>
        <v>47490</v>
      </c>
      <c r="Z1170" s="105">
        <v>2.835119029483868E-2</v>
      </c>
      <c r="AA1170" s="102">
        <v>2.8248111039657076E-2</v>
      </c>
    </row>
    <row r="1171" spans="19:27" x14ac:dyDescent="0.2">
      <c r="S1171" s="61"/>
      <c r="T1171" s="82"/>
      <c r="W1171" s="103" t="str">
        <f t="shared" si="26"/>
        <v>1w</v>
      </c>
      <c r="X1171" s="101">
        <f>_xll.qlCalendarAdvance(Calendar,X1170,W1171,"f",FALSE)</f>
        <v>47493</v>
      </c>
      <c r="Y1171" s="104">
        <f>_xll.qlCalendarAdvance(Calendar,X1171,NDays&amp;"D")</f>
        <v>47497</v>
      </c>
      <c r="Z1171" s="105">
        <v>2.8351375541670179E-2</v>
      </c>
      <c r="AA1171" s="102">
        <v>2.8249099198651706E-2</v>
      </c>
    </row>
    <row r="1172" spans="19:27" x14ac:dyDescent="0.2">
      <c r="S1172" s="61"/>
      <c r="T1172" s="82"/>
      <c r="W1172" s="103" t="str">
        <f t="shared" si="26"/>
        <v>1w</v>
      </c>
      <c r="X1172" s="101">
        <f>_xll.qlCalendarAdvance(Calendar,X1171,W1172,"f",FALSE)</f>
        <v>47500</v>
      </c>
      <c r="Y1172" s="104">
        <f>_xll.qlCalendarAdvance(Calendar,X1172,NDays&amp;"D")</f>
        <v>47504</v>
      </c>
      <c r="Z1172" s="105">
        <v>2.8352520957738003E-2</v>
      </c>
      <c r="AA1172" s="102">
        <v>2.8249956438770596E-2</v>
      </c>
    </row>
    <row r="1173" spans="19:27" x14ac:dyDescent="0.2">
      <c r="S1173" s="61"/>
      <c r="T1173" s="82"/>
      <c r="W1173" s="103" t="str">
        <f t="shared" ref="W1173:W1236" si="27">W1172</f>
        <v>1w</v>
      </c>
      <c r="X1173" s="101">
        <f>_xll.qlCalendarAdvance(Calendar,X1172,W1173,"f",FALSE)</f>
        <v>47507</v>
      </c>
      <c r="Y1173" s="104">
        <f>_xll.qlCalendarAdvance(Calendar,X1173,NDays&amp;"D")</f>
        <v>47511</v>
      </c>
      <c r="Z1173" s="105">
        <v>2.8351350495075932E-2</v>
      </c>
      <c r="AA1173" s="102">
        <v>2.8250682760013746E-2</v>
      </c>
    </row>
    <row r="1174" spans="19:27" x14ac:dyDescent="0.2">
      <c r="S1174" s="61"/>
      <c r="T1174" s="82"/>
      <c r="W1174" s="103" t="str">
        <f t="shared" si="27"/>
        <v>1w</v>
      </c>
      <c r="X1174" s="101">
        <f>_xll.qlCalendarAdvance(Calendar,X1173,W1174,"f",FALSE)</f>
        <v>47514</v>
      </c>
      <c r="Y1174" s="104">
        <f>_xll.qlCalendarAdvance(Calendar,X1174,NDays&amp;"D")</f>
        <v>47518</v>
      </c>
      <c r="Z1174" s="105">
        <v>2.8351140201651939E-2</v>
      </c>
      <c r="AA1174" s="102">
        <v>2.8251278162461091E-2</v>
      </c>
    </row>
    <row r="1175" spans="19:27" x14ac:dyDescent="0.2">
      <c r="S1175" s="61"/>
      <c r="T1175" s="82"/>
      <c r="W1175" s="103" t="str">
        <f t="shared" si="27"/>
        <v>1w</v>
      </c>
      <c r="X1175" s="101">
        <f>_xll.qlCalendarAdvance(Calendar,X1174,W1175,"f",FALSE)</f>
        <v>47521</v>
      </c>
      <c r="Y1175" s="104">
        <f>_xll.qlCalendarAdvance(Calendar,X1175,NDays&amp;"D")</f>
        <v>47525</v>
      </c>
      <c r="Z1175" s="105">
        <v>2.835079806150188E-2</v>
      </c>
      <c r="AA1175" s="102">
        <v>2.825174264595276E-2</v>
      </c>
    </row>
    <row r="1176" spans="19:27" x14ac:dyDescent="0.2">
      <c r="S1176" s="61"/>
      <c r="T1176" s="82"/>
      <c r="W1176" s="103" t="str">
        <f t="shared" si="27"/>
        <v>1w</v>
      </c>
      <c r="X1176" s="101">
        <f>_xll.qlCalendarAdvance(Calendar,X1175,W1176,"f",FALSE)</f>
        <v>47528</v>
      </c>
      <c r="Y1176" s="104">
        <f>_xll.qlCalendarAdvance(Calendar,X1176,NDays&amp;"D")</f>
        <v>47532</v>
      </c>
      <c r="Z1176" s="105">
        <v>2.8350324074658258E-2</v>
      </c>
      <c r="AA1176" s="102">
        <v>2.8252076210648625E-2</v>
      </c>
    </row>
    <row r="1177" spans="19:27" x14ac:dyDescent="0.2">
      <c r="S1177" s="61"/>
      <c r="T1177" s="82"/>
      <c r="W1177" s="103" t="str">
        <f t="shared" si="27"/>
        <v>1w</v>
      </c>
      <c r="X1177" s="101">
        <f>_xll.qlCalendarAdvance(Calendar,X1176,W1177,"f",FALSE)</f>
        <v>47535</v>
      </c>
      <c r="Y1177" s="104">
        <f>_xll.qlCalendarAdvance(Calendar,X1177,NDays&amp;"D")</f>
        <v>47539</v>
      </c>
      <c r="Z1177" s="105">
        <v>2.8349718241168512E-2</v>
      </c>
      <c r="AA1177" s="102">
        <v>2.8252278856468749E-2</v>
      </c>
    </row>
    <row r="1178" spans="19:27" x14ac:dyDescent="0.2">
      <c r="S1178" s="61"/>
      <c r="T1178" s="82"/>
      <c r="W1178" s="103" t="str">
        <f t="shared" si="27"/>
        <v>1w</v>
      </c>
      <c r="X1178" s="101">
        <f>_xll.qlCalendarAdvance(Calendar,X1177,W1178,"f",FALSE)</f>
        <v>47542</v>
      </c>
      <c r="Y1178" s="104">
        <f>_xll.qlCalendarAdvance(Calendar,X1178,NDays&amp;"D")</f>
        <v>47546</v>
      </c>
      <c r="Z1178" s="105">
        <v>2.8350015874809953E-2</v>
      </c>
      <c r="AA1178" s="102">
        <v>2.8252350583413133E-2</v>
      </c>
    </row>
    <row r="1179" spans="19:27" x14ac:dyDescent="0.2">
      <c r="S1179" s="61"/>
      <c r="T1179" s="82"/>
      <c r="W1179" s="103" t="str">
        <f t="shared" si="27"/>
        <v>1w</v>
      </c>
      <c r="X1179" s="101">
        <f>_xll.qlCalendarAdvance(Calendar,X1178,W1179,"f",FALSE)</f>
        <v>47549</v>
      </c>
      <c r="Y1179" s="104">
        <f>_xll.qlCalendarAdvance(Calendar,X1179,NDays&amp;"D")</f>
        <v>47553</v>
      </c>
      <c r="Z1179" s="105">
        <v>2.8349136861652038E-2</v>
      </c>
      <c r="AA1179" s="102">
        <v>2.8252291391561712E-2</v>
      </c>
    </row>
    <row r="1180" spans="19:27" x14ac:dyDescent="0.2">
      <c r="S1180" s="61"/>
      <c r="T1180" s="82"/>
      <c r="W1180" s="103" t="str">
        <f t="shared" si="27"/>
        <v>1w</v>
      </c>
      <c r="X1180" s="101">
        <f>_xll.qlCalendarAdvance(Calendar,X1179,W1180,"f",FALSE)</f>
        <v>47556</v>
      </c>
      <c r="Y1180" s="104">
        <f>_xll.qlCalendarAdvance(Calendar,X1180,NDays&amp;"D")</f>
        <v>47560</v>
      </c>
      <c r="Z1180" s="105">
        <v>2.8348125991732094E-2</v>
      </c>
      <c r="AA1180" s="102">
        <v>2.8252101280754616E-2</v>
      </c>
    </row>
    <row r="1181" spans="19:27" x14ac:dyDescent="0.2">
      <c r="S1181" s="61"/>
      <c r="T1181" s="82"/>
      <c r="W1181" s="103" t="str">
        <f t="shared" si="27"/>
        <v>1w</v>
      </c>
      <c r="X1181" s="101">
        <f>_xll.qlCalendarAdvance(Calendar,X1180,W1181,"f",FALSE)</f>
        <v>47563</v>
      </c>
      <c r="Y1181" s="104">
        <f>_xll.qlCalendarAdvance(Calendar,X1181,NDays&amp;"D")</f>
        <v>47567</v>
      </c>
      <c r="Z1181" s="105">
        <v>2.834698326515004E-2</v>
      </c>
      <c r="AA1181" s="102">
        <v>2.8251780251231651E-2</v>
      </c>
    </row>
    <row r="1182" spans="19:27" x14ac:dyDescent="0.2">
      <c r="S1182" s="61"/>
      <c r="T1182" s="82"/>
      <c r="W1182" s="103" t="str">
        <f t="shared" si="27"/>
        <v>1w</v>
      </c>
      <c r="X1182" s="101">
        <f>_xll.qlCalendarAdvance(Calendar,X1181,W1182,"f",FALSE)</f>
        <v>47570</v>
      </c>
      <c r="Y1182" s="104">
        <f>_xll.qlCalendarAdvance(Calendar,X1182,NDays&amp;"D")</f>
        <v>47574</v>
      </c>
      <c r="Z1182" s="105">
        <v>2.834471137658931E-2</v>
      </c>
      <c r="AA1182" s="102">
        <v>2.8251328302673073E-2</v>
      </c>
    </row>
    <row r="1183" spans="19:27" x14ac:dyDescent="0.2">
      <c r="S1183" s="61"/>
      <c r="T1183" s="82"/>
      <c r="W1183" s="103" t="str">
        <f t="shared" si="27"/>
        <v>1w</v>
      </c>
      <c r="X1183" s="101">
        <f>_xll.qlCalendarAdvance(Calendar,X1182,W1183,"f",FALSE)</f>
        <v>47577</v>
      </c>
      <c r="Y1183" s="104">
        <f>_xll.qlCalendarAdvance(Calendar,X1183,NDays&amp;"D")</f>
        <v>47581</v>
      </c>
      <c r="Z1183" s="105">
        <v>2.8343314464942735E-2</v>
      </c>
      <c r="AA1183" s="102">
        <v>2.8250745435398628E-2</v>
      </c>
    </row>
    <row r="1184" spans="19:27" x14ac:dyDescent="0.2">
      <c r="S1184" s="61"/>
      <c r="T1184" s="82"/>
      <c r="W1184" s="103" t="str">
        <f t="shared" si="27"/>
        <v>1w</v>
      </c>
      <c r="X1184" s="101">
        <f>_xll.qlCalendarAdvance(Calendar,X1183,W1184,"f",FALSE)</f>
        <v>47584</v>
      </c>
      <c r="Y1184" s="104">
        <f>_xll.qlCalendarAdvance(Calendar,X1184,NDays&amp;"D")</f>
        <v>47588</v>
      </c>
      <c r="Z1184" s="105">
        <v>2.8341785707346617E-2</v>
      </c>
      <c r="AA1184" s="102">
        <v>2.8250031649088569E-2</v>
      </c>
    </row>
    <row r="1185" spans="19:27" x14ac:dyDescent="0.2">
      <c r="S1185" s="61"/>
      <c r="T1185" s="82"/>
      <c r="W1185" s="103" t="str">
        <f t="shared" si="27"/>
        <v>1w</v>
      </c>
      <c r="X1185" s="101">
        <f>_xll.qlCalendarAdvance(Calendar,X1184,W1185,"f",FALSE)</f>
        <v>47591</v>
      </c>
      <c r="Y1185" s="104">
        <f>_xll.qlCalendarAdvance(Calendar,X1185,NDays&amp;"D")</f>
        <v>47597</v>
      </c>
      <c r="Z1185" s="105">
        <v>2.8339626429285645E-2</v>
      </c>
      <c r="AA1185" s="102">
        <v>2.8251000667260939E-2</v>
      </c>
    </row>
    <row r="1186" spans="19:27" x14ac:dyDescent="0.2">
      <c r="S1186" s="61"/>
      <c r="T1186" s="82"/>
      <c r="W1186" s="103" t="str">
        <f t="shared" si="27"/>
        <v>1w</v>
      </c>
      <c r="X1186" s="101">
        <f>_xll.qlCalendarAdvance(Calendar,X1185,W1186,"f",FALSE)</f>
        <v>47598</v>
      </c>
      <c r="Y1186" s="104">
        <f>_xll.qlCalendarAdvance(Calendar,X1186,NDays&amp;"D")</f>
        <v>47602</v>
      </c>
      <c r="Z1186" s="105">
        <v>2.8338332654923276E-2</v>
      </c>
      <c r="AA1186" s="102">
        <v>2.8248061258118184E-2</v>
      </c>
    </row>
    <row r="1187" spans="19:27" x14ac:dyDescent="0.2">
      <c r="S1187" s="61"/>
      <c r="T1187" s="82"/>
      <c r="W1187" s="103" t="str">
        <f t="shared" si="27"/>
        <v>1w</v>
      </c>
      <c r="X1187" s="101">
        <f>_xll.qlCalendarAdvance(Calendar,X1186,W1187,"f",FALSE)</f>
        <v>47605</v>
      </c>
      <c r="Y1187" s="104">
        <f>_xll.qlCalendarAdvance(Calendar,X1187,NDays&amp;"D")</f>
        <v>47609</v>
      </c>
      <c r="Z1187" s="105">
        <v>2.8337357923134437E-2</v>
      </c>
      <c r="AA1187" s="102">
        <v>2.8247104777463505E-2</v>
      </c>
    </row>
    <row r="1188" spans="19:27" x14ac:dyDescent="0.2">
      <c r="S1188" s="61"/>
      <c r="T1188" s="82"/>
      <c r="W1188" s="103" t="str">
        <f t="shared" si="27"/>
        <v>1w</v>
      </c>
      <c r="X1188" s="101">
        <f>_xll.qlCalendarAdvance(Calendar,X1187,W1188,"f",FALSE)</f>
        <v>47612</v>
      </c>
      <c r="Y1188" s="104">
        <f>_xll.qlCalendarAdvance(Calendar,X1188,NDays&amp;"D")</f>
        <v>47616</v>
      </c>
      <c r="Z1188" s="105">
        <v>2.8335292203879654E-2</v>
      </c>
      <c r="AA1188" s="102">
        <v>2.8245867315810358E-2</v>
      </c>
    </row>
    <row r="1189" spans="19:27" x14ac:dyDescent="0.2">
      <c r="S1189" s="61"/>
      <c r="T1189" s="82"/>
      <c r="W1189" s="103" t="str">
        <f t="shared" si="27"/>
        <v>1w</v>
      </c>
      <c r="X1189" s="101">
        <f>_xll.qlCalendarAdvance(Calendar,X1188,W1189,"f",FALSE)</f>
        <v>47619</v>
      </c>
      <c r="Y1189" s="104">
        <f>_xll.qlCalendarAdvance(Calendar,X1189,NDays&amp;"D")</f>
        <v>47623</v>
      </c>
      <c r="Z1189" s="105">
        <v>2.8333094629253035E-2</v>
      </c>
      <c r="AA1189" s="102">
        <v>2.8244498935361406E-2</v>
      </c>
    </row>
    <row r="1190" spans="19:27" x14ac:dyDescent="0.2">
      <c r="S1190" s="61"/>
      <c r="T1190" s="82"/>
      <c r="W1190" s="103" t="str">
        <f t="shared" si="27"/>
        <v>1w</v>
      </c>
      <c r="X1190" s="101">
        <f>_xll.qlCalendarAdvance(Calendar,X1189,W1190,"f",FALSE)</f>
        <v>47626</v>
      </c>
      <c r="Y1190" s="104">
        <f>_xll.qlCalendarAdvance(Calendar,X1190,NDays&amp;"D")</f>
        <v>47630</v>
      </c>
      <c r="Z1190" s="105">
        <v>2.8330765199472661E-2</v>
      </c>
      <c r="AA1190" s="102">
        <v>2.8243995061658644E-2</v>
      </c>
    </row>
    <row r="1191" spans="19:27" x14ac:dyDescent="0.2">
      <c r="S1191" s="61"/>
      <c r="T1191" s="82"/>
      <c r="W1191" s="103" t="str">
        <f t="shared" si="27"/>
        <v>1w</v>
      </c>
      <c r="X1191" s="101">
        <f>_xll.qlCalendarAdvance(Calendar,X1190,W1191,"f",FALSE)</f>
        <v>47634</v>
      </c>
      <c r="Y1191" s="104">
        <f>_xll.qlCalendarAdvance(Calendar,X1191,NDays&amp;"D")</f>
        <v>47638</v>
      </c>
      <c r="Z1191" s="105">
        <v>2.8327941539023724E-2</v>
      </c>
      <c r="AA1191" s="102">
        <v>2.8241125842356496E-2</v>
      </c>
    </row>
    <row r="1192" spans="19:27" x14ac:dyDescent="0.2">
      <c r="S1192" s="61"/>
      <c r="T1192" s="82"/>
      <c r="W1192" s="103" t="str">
        <f t="shared" si="27"/>
        <v>1w</v>
      </c>
      <c r="X1192" s="101">
        <f>_xll.qlCalendarAdvance(Calendar,X1191,W1192,"f",FALSE)</f>
        <v>47641</v>
      </c>
      <c r="Y1192" s="104">
        <f>_xll.qlCalendarAdvance(Calendar,X1192,NDays&amp;"D")</f>
        <v>47646</v>
      </c>
      <c r="Z1192" s="105">
        <v>2.8324945660274298E-2</v>
      </c>
      <c r="AA1192" s="102">
        <v>2.8241027682796016E-2</v>
      </c>
    </row>
    <row r="1193" spans="19:27" x14ac:dyDescent="0.2">
      <c r="S1193" s="61"/>
      <c r="T1193" s="82"/>
      <c r="W1193" s="103" t="str">
        <f t="shared" si="27"/>
        <v>1w</v>
      </c>
      <c r="X1193" s="101">
        <f>_xll.qlCalendarAdvance(Calendar,X1192,W1193,"f",FALSE)</f>
        <v>47648</v>
      </c>
      <c r="Y1193" s="104">
        <f>_xll.qlCalendarAdvance(Calendar,X1193,NDays&amp;"D")</f>
        <v>47652</v>
      </c>
      <c r="Z1193" s="105">
        <v>2.8322585733190114E-2</v>
      </c>
      <c r="AA1193" s="102">
        <v>2.8240329469209069E-2</v>
      </c>
    </row>
    <row r="1194" spans="19:27" x14ac:dyDescent="0.2">
      <c r="S1194" s="61"/>
      <c r="T1194" s="82"/>
      <c r="W1194" s="103" t="str">
        <f t="shared" si="27"/>
        <v>1w</v>
      </c>
      <c r="X1194" s="101">
        <f>_xll.qlCalendarAdvance(Calendar,X1193,W1194,"f",FALSE)</f>
        <v>47658</v>
      </c>
      <c r="Y1194" s="104">
        <f>_xll.qlCalendarAdvance(Calendar,X1194,NDays&amp;"D")</f>
        <v>47660</v>
      </c>
      <c r="Z1194" s="105">
        <v>2.8319288473377974E-2</v>
      </c>
      <c r="AA1194" s="102">
        <v>2.823699980428529E-2</v>
      </c>
    </row>
    <row r="1195" spans="19:27" x14ac:dyDescent="0.2">
      <c r="S1195" s="61"/>
      <c r="T1195" s="82"/>
      <c r="W1195" s="103" t="str">
        <f t="shared" si="27"/>
        <v>1w</v>
      </c>
      <c r="X1195" s="101">
        <f>_xll.qlCalendarAdvance(Calendar,X1194,W1195,"f",FALSE)</f>
        <v>47665</v>
      </c>
      <c r="Y1195" s="104">
        <f>_xll.qlCalendarAdvance(Calendar,X1195,NDays&amp;"D")</f>
        <v>47667</v>
      </c>
      <c r="Z1195" s="105">
        <v>2.831626221254387E-2</v>
      </c>
      <c r="AA1195" s="102">
        <v>2.8234789456007547E-2</v>
      </c>
    </row>
    <row r="1196" spans="19:27" x14ac:dyDescent="0.2">
      <c r="S1196" s="61"/>
      <c r="T1196" s="82"/>
      <c r="W1196" s="103" t="str">
        <f t="shared" si="27"/>
        <v>1w</v>
      </c>
      <c r="X1196" s="101">
        <f>_xll.qlCalendarAdvance(Calendar,X1195,W1196,"f",FALSE)</f>
        <v>47672</v>
      </c>
      <c r="Y1196" s="104">
        <f>_xll.qlCalendarAdvance(Calendar,X1196,NDays&amp;"D")</f>
        <v>47674</v>
      </c>
      <c r="Z1196" s="105">
        <v>2.8313108071770957E-2</v>
      </c>
      <c r="AA1196" s="102">
        <v>2.8232448168390434E-2</v>
      </c>
    </row>
    <row r="1197" spans="19:27" x14ac:dyDescent="0.2">
      <c r="S1197" s="61"/>
      <c r="T1197" s="82"/>
      <c r="W1197" s="103" t="str">
        <f t="shared" si="27"/>
        <v>1w</v>
      </c>
      <c r="X1197" s="101">
        <f>_xll.qlCalendarAdvance(Calendar,X1196,W1197,"f",FALSE)</f>
        <v>47679</v>
      </c>
      <c r="Y1197" s="104">
        <f>_xll.qlCalendarAdvance(Calendar,X1197,NDays&amp;"D")</f>
        <v>47681</v>
      </c>
      <c r="Z1197" s="105">
        <v>2.8309834426841041E-2</v>
      </c>
      <c r="AA1197" s="102">
        <v>2.8229975941407304E-2</v>
      </c>
    </row>
    <row r="1198" spans="19:27" x14ac:dyDescent="0.2">
      <c r="S1198" s="61"/>
      <c r="T1198" s="82"/>
      <c r="W1198" s="103" t="str">
        <f t="shared" si="27"/>
        <v>1w</v>
      </c>
      <c r="X1198" s="101">
        <f>_xll.qlCalendarAdvance(Calendar,X1197,W1198,"f",FALSE)</f>
        <v>47686</v>
      </c>
      <c r="Y1198" s="104">
        <f>_xll.qlCalendarAdvance(Calendar,X1198,NDays&amp;"D")</f>
        <v>47688</v>
      </c>
      <c r="Z1198" s="105">
        <v>2.8306449922341773E-2</v>
      </c>
      <c r="AA1198" s="102">
        <v>2.8227372775138093E-2</v>
      </c>
    </row>
    <row r="1199" spans="19:27" x14ac:dyDescent="0.2">
      <c r="S1199" s="61"/>
      <c r="T1199" s="82"/>
      <c r="W1199" s="103" t="str">
        <f t="shared" si="27"/>
        <v>1w</v>
      </c>
      <c r="X1199" s="101">
        <f>_xll.qlCalendarAdvance(Calendar,X1198,W1199,"f",FALSE)</f>
        <v>47693</v>
      </c>
      <c r="Y1199" s="104">
        <f>_xll.qlCalendarAdvance(Calendar,X1199,NDays&amp;"D")</f>
        <v>47695</v>
      </c>
      <c r="Z1199" s="105">
        <v>2.8302963202839086E-2</v>
      </c>
      <c r="AA1199" s="102">
        <v>2.8224638669529512E-2</v>
      </c>
    </row>
    <row r="1200" spans="19:27" x14ac:dyDescent="0.2">
      <c r="S1200" s="61"/>
      <c r="T1200" s="82"/>
      <c r="W1200" s="103" t="str">
        <f t="shared" si="27"/>
        <v>1w</v>
      </c>
      <c r="X1200" s="101">
        <f>_xll.qlCalendarAdvance(Calendar,X1199,W1200,"f",FALSE)</f>
        <v>47700</v>
      </c>
      <c r="Y1200" s="104">
        <f>_xll.qlCalendarAdvance(Calendar,X1200,NDays&amp;"D")</f>
        <v>47702</v>
      </c>
      <c r="Z1200" s="105">
        <v>2.8299382912881536E-2</v>
      </c>
      <c r="AA1200" s="102">
        <v>2.8221773624608204E-2</v>
      </c>
    </row>
    <row r="1201" spans="19:27" x14ac:dyDescent="0.2">
      <c r="S1201" s="61"/>
      <c r="T1201" s="82"/>
      <c r="W1201" s="103" t="str">
        <f t="shared" si="27"/>
        <v>1w</v>
      </c>
      <c r="X1201" s="101">
        <f>_xll.qlCalendarAdvance(Calendar,X1200,W1201,"f",FALSE)</f>
        <v>47707</v>
      </c>
      <c r="Y1201" s="104">
        <f>_xll.qlCalendarAdvance(Calendar,X1201,NDays&amp;"D")</f>
        <v>47709</v>
      </c>
      <c r="Z1201" s="105">
        <v>2.8295717696988139E-2</v>
      </c>
      <c r="AA1201" s="102">
        <v>2.8218777640374171E-2</v>
      </c>
    </row>
    <row r="1202" spans="19:27" x14ac:dyDescent="0.2">
      <c r="S1202" s="61"/>
      <c r="T1202" s="82"/>
      <c r="W1202" s="103" t="str">
        <f t="shared" si="27"/>
        <v>1w</v>
      </c>
      <c r="X1202" s="101">
        <f>_xll.qlCalendarAdvance(Calendar,X1201,W1202,"f",FALSE)</f>
        <v>47714</v>
      </c>
      <c r="Y1202" s="104">
        <f>_xll.qlCalendarAdvance(Calendar,X1202,NDays&amp;"D")</f>
        <v>47716</v>
      </c>
      <c r="Z1202" s="105">
        <v>2.8291976199655317E-2</v>
      </c>
      <c r="AA1202" s="102">
        <v>2.8215650716880702E-2</v>
      </c>
    </row>
    <row r="1203" spans="19:27" x14ac:dyDescent="0.2">
      <c r="S1203" s="61"/>
      <c r="T1203" s="82"/>
      <c r="W1203" s="103" t="str">
        <f t="shared" si="27"/>
        <v>1w</v>
      </c>
      <c r="X1203" s="101">
        <f>_xll.qlCalendarAdvance(Calendar,X1202,W1203,"f",FALSE)</f>
        <v>47721</v>
      </c>
      <c r="Y1203" s="104">
        <f>_xll.qlCalendarAdvance(Calendar,X1203,NDays&amp;"D")</f>
        <v>47723</v>
      </c>
      <c r="Z1203" s="105">
        <v>2.8288167065348209E-2</v>
      </c>
      <c r="AA1203" s="102">
        <v>2.8212392854074508E-2</v>
      </c>
    </row>
    <row r="1204" spans="19:27" x14ac:dyDescent="0.2">
      <c r="S1204" s="61"/>
      <c r="T1204" s="82"/>
      <c r="W1204" s="103" t="str">
        <f t="shared" si="27"/>
        <v>1w</v>
      </c>
      <c r="X1204" s="101">
        <f>_xll.qlCalendarAdvance(Calendar,X1203,W1204,"f",FALSE)</f>
        <v>47728</v>
      </c>
      <c r="Y1204" s="104">
        <f>_xll.qlCalendarAdvance(Calendar,X1204,NDays&amp;"D")</f>
        <v>47730</v>
      </c>
      <c r="Z1204" s="105">
        <v>2.8283474935647986E-2</v>
      </c>
      <c r="AA1204" s="102">
        <v>2.8209004052008879E-2</v>
      </c>
    </row>
    <row r="1205" spans="19:27" x14ac:dyDescent="0.2">
      <c r="S1205" s="61"/>
      <c r="T1205" s="82"/>
      <c r="W1205" s="103" t="str">
        <f t="shared" si="27"/>
        <v>1w</v>
      </c>
      <c r="X1205" s="101">
        <f>_xll.qlCalendarAdvance(Calendar,X1204,W1205,"f",FALSE)</f>
        <v>47735</v>
      </c>
      <c r="Y1205" s="104">
        <f>_xll.qlCalendarAdvance(Calendar,X1205,NDays&amp;"D")</f>
        <v>47737</v>
      </c>
      <c r="Z1205" s="105">
        <v>2.8279558564843186E-2</v>
      </c>
      <c r="AA1205" s="102">
        <v>2.8205484310683815E-2</v>
      </c>
    </row>
    <row r="1206" spans="19:27" x14ac:dyDescent="0.2">
      <c r="S1206" s="61"/>
      <c r="T1206" s="82"/>
      <c r="W1206" s="103" t="str">
        <f t="shared" si="27"/>
        <v>1w</v>
      </c>
      <c r="X1206" s="101">
        <f>_xll.qlCalendarAdvance(Calendar,X1205,W1206,"f",FALSE)</f>
        <v>47742</v>
      </c>
      <c r="Y1206" s="104">
        <f>_xll.qlCalendarAdvance(Calendar,X1206,NDays&amp;"D")</f>
        <v>47744</v>
      </c>
      <c r="Z1206" s="105">
        <v>2.8275600235684234E-2</v>
      </c>
      <c r="AA1206" s="102">
        <v>2.8201833630099316E-2</v>
      </c>
    </row>
    <row r="1207" spans="19:27" x14ac:dyDescent="0.2">
      <c r="S1207" s="61"/>
      <c r="T1207" s="82"/>
      <c r="W1207" s="103" t="str">
        <f t="shared" si="27"/>
        <v>1w</v>
      </c>
      <c r="X1207" s="101">
        <f>_xll.qlCalendarAdvance(Calendar,X1206,W1207,"f",FALSE)</f>
        <v>47749</v>
      </c>
      <c r="Y1207" s="104">
        <f>_xll.qlCalendarAdvance(Calendar,X1207,NDays&amp;"D")</f>
        <v>47751</v>
      </c>
      <c r="Z1207" s="105">
        <v>2.827324529482712E-2</v>
      </c>
      <c r="AA1207" s="102">
        <v>2.8198052010282026E-2</v>
      </c>
    </row>
    <row r="1208" spans="19:27" x14ac:dyDescent="0.2">
      <c r="S1208" s="61"/>
      <c r="T1208" s="82"/>
      <c r="W1208" s="103" t="str">
        <f t="shared" si="27"/>
        <v>1w</v>
      </c>
      <c r="X1208" s="101">
        <f>_xll.qlCalendarAdvance(Calendar,X1207,W1208,"f",FALSE)</f>
        <v>47756</v>
      </c>
      <c r="Y1208" s="104">
        <f>_xll.qlCalendarAdvance(Calendar,X1208,NDays&amp;"D")</f>
        <v>47758</v>
      </c>
      <c r="Z1208" s="105">
        <v>2.8268409359800926E-2</v>
      </c>
      <c r="AA1208" s="102">
        <v>2.8194175139564237E-2</v>
      </c>
    </row>
    <row r="1209" spans="19:27" x14ac:dyDescent="0.2">
      <c r="S1209" s="61"/>
      <c r="T1209" s="82"/>
      <c r="W1209" s="103" t="str">
        <f t="shared" si="27"/>
        <v>1w</v>
      </c>
      <c r="X1209" s="101">
        <f>_xll.qlCalendarAdvance(Calendar,X1208,W1209,"f",FALSE)</f>
        <v>47763</v>
      </c>
      <c r="Y1209" s="104">
        <f>_xll.qlCalendarAdvance(Calendar,X1209,NDays&amp;"D")</f>
        <v>47765</v>
      </c>
      <c r="Z1209" s="105">
        <v>2.8264372907299988E-2</v>
      </c>
      <c r="AA1209" s="102">
        <v>2.8190276697195316E-2</v>
      </c>
    </row>
    <row r="1210" spans="19:27" x14ac:dyDescent="0.2">
      <c r="S1210" s="61"/>
      <c r="T1210" s="82"/>
      <c r="W1210" s="103" t="str">
        <f t="shared" si="27"/>
        <v>1w</v>
      </c>
      <c r="X1210" s="101">
        <f>_xll.qlCalendarAdvance(Calendar,X1209,W1210,"f",FALSE)</f>
        <v>47770</v>
      </c>
      <c r="Y1210" s="104">
        <f>_xll.qlCalendarAdvance(Calendar,X1210,NDays&amp;"D")</f>
        <v>47772</v>
      </c>
      <c r="Z1210" s="105">
        <v>2.8260318214250846E-2</v>
      </c>
      <c r="AA1210" s="102">
        <v>2.8186360136812638E-2</v>
      </c>
    </row>
    <row r="1211" spans="19:27" x14ac:dyDescent="0.2">
      <c r="S1211" s="61"/>
      <c r="T1211" s="82"/>
      <c r="W1211" s="103" t="str">
        <f t="shared" si="27"/>
        <v>1w</v>
      </c>
      <c r="X1211" s="101">
        <f>_xll.qlCalendarAdvance(Calendar,X1210,W1211,"f",FALSE)</f>
        <v>47777</v>
      </c>
      <c r="Y1211" s="104">
        <f>_xll.qlCalendarAdvance(Calendar,X1211,NDays&amp;"D")</f>
        <v>47779</v>
      </c>
      <c r="Z1211" s="105">
        <v>2.825624528070737E-2</v>
      </c>
      <c r="AA1211" s="102">
        <v>2.818242545844285E-2</v>
      </c>
    </row>
    <row r="1212" spans="19:27" x14ac:dyDescent="0.2">
      <c r="S1212" s="61"/>
      <c r="T1212" s="82"/>
      <c r="W1212" s="103" t="str">
        <f t="shared" si="27"/>
        <v>1w</v>
      </c>
      <c r="X1212" s="101">
        <f>_xll.qlCalendarAdvance(Calendar,X1211,W1212,"f",FALSE)</f>
        <v>47784</v>
      </c>
      <c r="Y1212" s="104">
        <f>_xll.qlCalendarAdvance(Calendar,X1212,NDays&amp;"D")</f>
        <v>47786</v>
      </c>
      <c r="Z1212" s="105">
        <v>2.8252154106726043E-2</v>
      </c>
      <c r="AA1212" s="102">
        <v>2.8178472662059306E-2</v>
      </c>
    </row>
    <row r="1213" spans="19:27" x14ac:dyDescent="0.2">
      <c r="S1213" s="61"/>
      <c r="T1213" s="82"/>
      <c r="W1213" s="103" t="str">
        <f t="shared" si="27"/>
        <v>1w</v>
      </c>
      <c r="X1213" s="101">
        <f>_xll.qlCalendarAdvance(Calendar,X1212,W1213,"f",FALSE)</f>
        <v>47791</v>
      </c>
      <c r="Y1213" s="104">
        <f>_xll.qlCalendarAdvance(Calendar,X1213,NDays&amp;"D")</f>
        <v>47793</v>
      </c>
      <c r="Z1213" s="105">
        <v>2.8248044692365068E-2</v>
      </c>
      <c r="AA1213" s="102">
        <v>2.8174501747688652E-2</v>
      </c>
    </row>
    <row r="1214" spans="19:27" x14ac:dyDescent="0.2">
      <c r="S1214" s="61"/>
      <c r="T1214" s="82"/>
      <c r="W1214" s="103" t="str">
        <f t="shared" si="27"/>
        <v>1w</v>
      </c>
      <c r="X1214" s="101">
        <f>_xll.qlCalendarAdvance(Calendar,X1213,W1214,"f",FALSE)</f>
        <v>47798</v>
      </c>
      <c r="Y1214" s="104">
        <f>_xll.qlCalendarAdvance(Calendar,X1214,NDays&amp;"D")</f>
        <v>47800</v>
      </c>
      <c r="Z1214" s="105">
        <v>2.8243917037680064E-2</v>
      </c>
      <c r="AA1214" s="102">
        <v>2.8170512715357532E-2</v>
      </c>
    </row>
    <row r="1215" spans="19:27" x14ac:dyDescent="0.2">
      <c r="S1215" s="61"/>
      <c r="T1215" s="82"/>
      <c r="W1215" s="103" t="str">
        <f t="shared" si="27"/>
        <v>1w</v>
      </c>
      <c r="X1215" s="101">
        <f>_xll.qlCalendarAdvance(Calendar,X1214,W1215,"f",FALSE)</f>
        <v>47805</v>
      </c>
      <c r="Y1215" s="104">
        <f>_xll.qlCalendarAdvance(Calendar,X1215,NDays&amp;"D")</f>
        <v>47807</v>
      </c>
      <c r="Z1215" s="105">
        <v>2.8239771142728371E-2</v>
      </c>
      <c r="AA1215" s="102">
        <v>2.8166505565065947E-2</v>
      </c>
    </row>
    <row r="1216" spans="19:27" x14ac:dyDescent="0.2">
      <c r="S1216" s="61"/>
      <c r="T1216" s="82"/>
      <c r="W1216" s="103" t="str">
        <f t="shared" si="27"/>
        <v>1w</v>
      </c>
      <c r="X1216" s="101">
        <f>_xll.qlCalendarAdvance(Calendar,X1215,W1216,"f",FALSE)</f>
        <v>47812</v>
      </c>
      <c r="Y1216" s="104">
        <f>_xll.qlCalendarAdvance(Calendar,X1216,NDays&amp;"D")</f>
        <v>47814</v>
      </c>
      <c r="Z1216" s="105">
        <v>2.823560700756907E-2</v>
      </c>
      <c r="AA1216" s="102">
        <v>2.8162480296760606E-2</v>
      </c>
    </row>
    <row r="1217" spans="19:27" x14ac:dyDescent="0.2">
      <c r="S1217" s="61"/>
      <c r="T1217" s="82"/>
      <c r="W1217" s="103" t="str">
        <f t="shared" si="27"/>
        <v>1w</v>
      </c>
      <c r="X1217" s="101">
        <f>_xll.qlCalendarAdvance(Calendar,X1216,W1217,"f",FALSE)</f>
        <v>47819</v>
      </c>
      <c r="Y1217" s="104">
        <f>_xll.qlCalendarAdvance(Calendar,X1217,NDays&amp;"D")</f>
        <v>47821</v>
      </c>
      <c r="Z1217" s="105">
        <v>2.8229820278214746E-2</v>
      </c>
      <c r="AA1217" s="102">
        <v>2.8158436910441509E-2</v>
      </c>
    </row>
    <row r="1218" spans="19:27" x14ac:dyDescent="0.2">
      <c r="S1218" s="61"/>
      <c r="T1218" s="82"/>
      <c r="W1218" s="103" t="str">
        <f t="shared" si="27"/>
        <v>1w</v>
      </c>
      <c r="X1218" s="101">
        <f>_xll.qlCalendarAdvance(Calendar,X1217,W1218,"f",FALSE)</f>
        <v>47826</v>
      </c>
      <c r="Y1218" s="104">
        <f>_xll.qlCalendarAdvance(Calendar,X1218,NDays&amp;"D")</f>
        <v>47828</v>
      </c>
      <c r="Z1218" s="105">
        <v>2.8225622924501259E-2</v>
      </c>
      <c r="AA1218" s="102">
        <v>2.8154375406188592E-2</v>
      </c>
    </row>
    <row r="1219" spans="19:27" x14ac:dyDescent="0.2">
      <c r="S1219" s="61"/>
      <c r="T1219" s="82"/>
      <c r="W1219" s="103" t="str">
        <f t="shared" si="27"/>
        <v>1w</v>
      </c>
      <c r="X1219" s="101">
        <f>_xll.qlCalendarAdvance(Calendar,X1218,W1219,"f",FALSE)</f>
        <v>47833</v>
      </c>
      <c r="Y1219" s="104">
        <f>_xll.qlCalendarAdvance(Calendar,X1219,NDays&amp;"D")</f>
        <v>47835</v>
      </c>
      <c r="Z1219" s="105">
        <v>2.8221407333497872E-2</v>
      </c>
      <c r="AA1219" s="102">
        <v>2.815029578397521E-2</v>
      </c>
    </row>
    <row r="1220" spans="19:27" x14ac:dyDescent="0.2">
      <c r="S1220" s="61"/>
      <c r="T1220" s="82"/>
      <c r="W1220" s="103" t="str">
        <f t="shared" si="27"/>
        <v>1w</v>
      </c>
      <c r="X1220" s="101">
        <f>_xll.qlCalendarAdvance(Calendar,X1219,W1220,"f",FALSE)</f>
        <v>47840</v>
      </c>
      <c r="Y1220" s="104">
        <f>_xll.qlCalendarAdvance(Calendar,X1220,NDays&amp;"D")</f>
        <v>47847</v>
      </c>
      <c r="Z1220" s="105">
        <v>2.821493434657726E-2</v>
      </c>
      <c r="AA1220" s="102">
        <v>2.8142887281970008E-2</v>
      </c>
    </row>
    <row r="1221" spans="19:27" x14ac:dyDescent="0.2">
      <c r="S1221" s="61"/>
      <c r="T1221" s="82"/>
      <c r="W1221" s="103" t="str">
        <f t="shared" si="27"/>
        <v>1w</v>
      </c>
      <c r="X1221" s="101">
        <f>_xll.qlCalendarAdvance(Calendar,X1220,W1221,"f",FALSE)</f>
        <v>47847</v>
      </c>
      <c r="Y1221" s="104">
        <f>_xll.qlCalendarAdvance(Calendar,X1221,NDays&amp;"D")</f>
        <v>47851</v>
      </c>
      <c r="Z1221" s="105">
        <v>2.8211703214339856E-2</v>
      </c>
      <c r="AA1221" s="102">
        <v>2.8137522975191231E-2</v>
      </c>
    </row>
    <row r="1222" spans="19:27" x14ac:dyDescent="0.2">
      <c r="S1222" s="61"/>
      <c r="T1222" s="82"/>
      <c r="W1222" s="103" t="str">
        <f t="shared" si="27"/>
        <v>1w</v>
      </c>
      <c r="X1222" s="101">
        <f>_xll.qlCalendarAdvance(Calendar,X1221,W1222,"f",FALSE)</f>
        <v>47855</v>
      </c>
      <c r="Y1222" s="104">
        <f>_xll.qlCalendarAdvance(Calendar,X1222,NDays&amp;"D")</f>
        <v>47857</v>
      </c>
      <c r="Z1222" s="105">
        <v>2.8208039605359225E-2</v>
      </c>
      <c r="AA1222" s="102">
        <v>2.8134565051125549E-2</v>
      </c>
    </row>
    <row r="1223" spans="19:27" x14ac:dyDescent="0.2">
      <c r="S1223" s="61"/>
      <c r="T1223" s="82"/>
      <c r="W1223" s="103" t="str">
        <f t="shared" si="27"/>
        <v>1w</v>
      </c>
      <c r="X1223" s="101">
        <f>_xll.qlCalendarAdvance(Calendar,X1222,W1223,"f",FALSE)</f>
        <v>47862</v>
      </c>
      <c r="Y1223" s="104">
        <f>_xll.qlCalendarAdvance(Calendar,X1223,NDays&amp;"D")</f>
        <v>47864</v>
      </c>
      <c r="Z1223" s="105">
        <v>2.8203748460479794E-2</v>
      </c>
      <c r="AA1223" s="102">
        <v>2.8130408430078191E-2</v>
      </c>
    </row>
    <row r="1224" spans="19:27" x14ac:dyDescent="0.2">
      <c r="S1224" s="61"/>
      <c r="T1224" s="82"/>
      <c r="W1224" s="103" t="str">
        <f t="shared" si="27"/>
        <v>1w</v>
      </c>
      <c r="X1224" s="101">
        <f>_xll.qlCalendarAdvance(Calendar,X1223,W1224,"f",FALSE)</f>
        <v>47869</v>
      </c>
      <c r="Y1224" s="104">
        <f>_xll.qlCalendarAdvance(Calendar,X1224,NDays&amp;"D")</f>
        <v>47871</v>
      </c>
      <c r="Z1224" s="105">
        <v>2.8199439078607114E-2</v>
      </c>
      <c r="AA1224" s="102">
        <v>2.8126233693841485E-2</v>
      </c>
    </row>
    <row r="1225" spans="19:27" x14ac:dyDescent="0.2">
      <c r="S1225" s="61"/>
      <c r="T1225" s="82"/>
      <c r="W1225" s="103" t="str">
        <f t="shared" si="27"/>
        <v>1w</v>
      </c>
      <c r="X1225" s="101">
        <f>_xll.qlCalendarAdvance(Calendar,X1224,W1225,"f",FALSE)</f>
        <v>47876</v>
      </c>
      <c r="Y1225" s="104">
        <f>_xll.qlCalendarAdvance(Calendar,X1225,NDays&amp;"D")</f>
        <v>47878</v>
      </c>
      <c r="Z1225" s="105">
        <v>2.8195111459799804E-2</v>
      </c>
      <c r="AA1225" s="102">
        <v>2.812204084241543E-2</v>
      </c>
    </row>
    <row r="1226" spans="19:27" x14ac:dyDescent="0.2">
      <c r="S1226" s="61"/>
      <c r="T1226" s="82"/>
      <c r="W1226" s="103" t="str">
        <f t="shared" si="27"/>
        <v>1w</v>
      </c>
      <c r="X1226" s="101">
        <f>_xll.qlCalendarAdvance(Calendar,X1225,W1226,"f",FALSE)</f>
        <v>47883</v>
      </c>
      <c r="Y1226" s="104">
        <f>_xll.qlCalendarAdvance(Calendar,X1226,NDays&amp;"D")</f>
        <v>47885</v>
      </c>
      <c r="Z1226" s="105">
        <v>2.8189978215075993E-2</v>
      </c>
      <c r="AA1226" s="102">
        <v>2.8117829875720091E-2</v>
      </c>
    </row>
    <row r="1227" spans="19:27" x14ac:dyDescent="0.2">
      <c r="S1227" s="61"/>
      <c r="T1227" s="82"/>
      <c r="W1227" s="103" t="str">
        <f t="shared" si="27"/>
        <v>1w</v>
      </c>
      <c r="X1227" s="101">
        <f>_xll.qlCalendarAdvance(Calendar,X1226,W1227,"f",FALSE)</f>
        <v>47890</v>
      </c>
      <c r="Y1227" s="104">
        <f>_xll.qlCalendarAdvance(Calendar,X1227,NDays&amp;"D")</f>
        <v>47892</v>
      </c>
      <c r="Z1227" s="105">
        <v>2.8185615765605566E-2</v>
      </c>
      <c r="AA1227" s="102">
        <v>2.8113600793755467E-2</v>
      </c>
    </row>
    <row r="1228" spans="19:27" x14ac:dyDescent="0.2">
      <c r="S1228" s="61"/>
      <c r="T1228" s="82"/>
      <c r="W1228" s="103" t="str">
        <f t="shared" si="27"/>
        <v>1w</v>
      </c>
      <c r="X1228" s="101">
        <f>_xll.qlCalendarAdvance(Calendar,X1227,W1228,"f",FALSE)</f>
        <v>47897</v>
      </c>
      <c r="Y1228" s="104">
        <f>_xll.qlCalendarAdvance(Calendar,X1228,NDays&amp;"D")</f>
        <v>47899</v>
      </c>
      <c r="Z1228" s="105">
        <v>2.8181235080745312E-2</v>
      </c>
      <c r="AA1228" s="102">
        <v>2.8109353596601494E-2</v>
      </c>
    </row>
    <row r="1229" spans="19:27" x14ac:dyDescent="0.2">
      <c r="S1229" s="61"/>
      <c r="T1229" s="82"/>
      <c r="W1229" s="103" t="str">
        <f t="shared" si="27"/>
        <v>1w</v>
      </c>
      <c r="X1229" s="101">
        <f>_xll.qlCalendarAdvance(Calendar,X1228,W1229,"f",FALSE)</f>
        <v>47904</v>
      </c>
      <c r="Y1229" s="104">
        <f>_xll.qlCalendarAdvance(Calendar,X1229,NDays&amp;"D")</f>
        <v>47906</v>
      </c>
      <c r="Z1229" s="105">
        <v>2.8176836160551815E-2</v>
      </c>
      <c r="AA1229" s="102">
        <v>2.8105088284178237E-2</v>
      </c>
    </row>
    <row r="1230" spans="19:27" x14ac:dyDescent="0.2">
      <c r="S1230" s="61"/>
      <c r="T1230" s="82"/>
      <c r="W1230" s="103" t="str">
        <f t="shared" si="27"/>
        <v>1w</v>
      </c>
      <c r="X1230" s="101">
        <f>_xll.qlCalendarAdvance(Calendar,X1229,W1230,"f",FALSE)</f>
        <v>47911</v>
      </c>
      <c r="Y1230" s="104">
        <f>_xll.qlCalendarAdvance(Calendar,X1230,NDays&amp;"D")</f>
        <v>47913</v>
      </c>
      <c r="Z1230" s="105">
        <v>2.8174761081377672E-2</v>
      </c>
      <c r="AA1230" s="102">
        <v>2.8100804856565631E-2</v>
      </c>
    </row>
    <row r="1231" spans="19:27" x14ac:dyDescent="0.2">
      <c r="S1231" s="61"/>
      <c r="T1231" s="82"/>
      <c r="W1231" s="103" t="str">
        <f t="shared" si="27"/>
        <v>1w</v>
      </c>
      <c r="X1231" s="101">
        <f>_xll.qlCalendarAdvance(Calendar,X1230,W1231,"f",FALSE)</f>
        <v>47918</v>
      </c>
      <c r="Y1231" s="104">
        <f>_xll.qlCalendarAdvance(Calendar,X1231,NDays&amp;"D")</f>
        <v>47920</v>
      </c>
      <c r="Z1231" s="105">
        <v>2.8170320744560304E-2</v>
      </c>
      <c r="AA1231" s="102">
        <v>2.8096503313683741E-2</v>
      </c>
    </row>
    <row r="1232" spans="19:27" x14ac:dyDescent="0.2">
      <c r="S1232" s="61"/>
      <c r="T1232" s="82"/>
      <c r="W1232" s="103" t="str">
        <f t="shared" si="27"/>
        <v>1w</v>
      </c>
      <c r="X1232" s="101">
        <f>_xll.qlCalendarAdvance(Calendar,X1231,W1232,"f",FALSE)</f>
        <v>47925</v>
      </c>
      <c r="Y1232" s="104">
        <f>_xll.qlCalendarAdvance(Calendar,X1232,NDays&amp;"D")</f>
        <v>47927</v>
      </c>
      <c r="Z1232" s="105">
        <v>2.8168193294315216E-2</v>
      </c>
      <c r="AA1232" s="102">
        <v>2.8092183655612502E-2</v>
      </c>
    </row>
    <row r="1233" spans="19:27" x14ac:dyDescent="0.2">
      <c r="S1233" s="61"/>
      <c r="T1233" s="82"/>
      <c r="W1233" s="103" t="str">
        <f t="shared" si="27"/>
        <v>1w</v>
      </c>
      <c r="X1233" s="101">
        <f>_xll.qlCalendarAdvance(Calendar,X1232,W1233,"f",FALSE)</f>
        <v>47932</v>
      </c>
      <c r="Y1233" s="104">
        <f>_xll.qlCalendarAdvance(Calendar,X1233,NDays&amp;"D")</f>
        <v>47934</v>
      </c>
      <c r="Z1233" s="105">
        <v>2.8161385353254308E-2</v>
      </c>
      <c r="AA1233" s="102">
        <v>2.8087845882351914E-2</v>
      </c>
    </row>
    <row r="1234" spans="19:27" x14ac:dyDescent="0.2">
      <c r="S1234" s="61"/>
      <c r="T1234" s="82"/>
      <c r="W1234" s="103" t="str">
        <f t="shared" si="27"/>
        <v>1w</v>
      </c>
      <c r="X1234" s="101">
        <f>_xll.qlCalendarAdvance(Calendar,X1233,W1234,"f",FALSE)</f>
        <v>47939</v>
      </c>
      <c r="Y1234" s="104">
        <f>_xll.qlCalendarAdvance(Calendar,X1234,NDays&amp;"D")</f>
        <v>47941</v>
      </c>
      <c r="Z1234" s="105">
        <v>2.8156116327343227E-2</v>
      </c>
      <c r="AA1234" s="102">
        <v>2.8083489993822042E-2</v>
      </c>
    </row>
    <row r="1235" spans="19:27" x14ac:dyDescent="0.2">
      <c r="S1235" s="61"/>
      <c r="T1235" s="82"/>
      <c r="W1235" s="103" t="str">
        <f t="shared" si="27"/>
        <v>1w</v>
      </c>
      <c r="X1235" s="101">
        <f>_xll.qlCalendarAdvance(Calendar,X1234,W1235,"f",FALSE)</f>
        <v>47946</v>
      </c>
      <c r="Y1235" s="104">
        <f>_xll.qlCalendarAdvance(Calendar,X1235,NDays&amp;"D")</f>
        <v>47948</v>
      </c>
      <c r="Z1235" s="105">
        <v>2.8151604688303723E-2</v>
      </c>
      <c r="AA1235" s="102">
        <v>2.8077862947393228E-2</v>
      </c>
    </row>
    <row r="1236" spans="19:27" x14ac:dyDescent="0.2">
      <c r="S1236" s="61"/>
      <c r="T1236" s="82"/>
      <c r="W1236" s="103" t="str">
        <f t="shared" si="27"/>
        <v>1w</v>
      </c>
      <c r="X1236" s="101">
        <f>_xll.qlCalendarAdvance(Calendar,X1235,W1236,"f",FALSE)</f>
        <v>47953</v>
      </c>
      <c r="Y1236" s="104">
        <f>_xll.qlCalendarAdvance(Calendar,X1236,NDays&amp;"D")</f>
        <v>47955</v>
      </c>
      <c r="Z1236" s="105">
        <v>2.8147074811630399E-2</v>
      </c>
      <c r="AA1236" s="102">
        <v>2.8074723871114315E-2</v>
      </c>
    </row>
    <row r="1237" spans="19:27" x14ac:dyDescent="0.2">
      <c r="S1237" s="61"/>
      <c r="T1237" s="82"/>
      <c r="W1237" s="103" t="str">
        <f t="shared" ref="W1237:W1300" si="28">W1236</f>
        <v>1w</v>
      </c>
      <c r="X1237" s="101">
        <f>_xll.qlCalendarAdvance(Calendar,X1236,W1237,"f",FALSE)</f>
        <v>47960</v>
      </c>
      <c r="Y1237" s="104">
        <f>_xll.qlCalendarAdvance(Calendar,X1237,NDays&amp;"D")</f>
        <v>47962</v>
      </c>
      <c r="Z1237" s="105">
        <v>2.8142526697382986E-2</v>
      </c>
      <c r="AA1237" s="102">
        <v>2.8070313636856525E-2</v>
      </c>
    </row>
    <row r="1238" spans="19:27" x14ac:dyDescent="0.2">
      <c r="S1238" s="61"/>
      <c r="T1238" s="82"/>
      <c r="W1238" s="103" t="str">
        <f t="shared" si="28"/>
        <v>1w</v>
      </c>
      <c r="X1238" s="101">
        <f>_xll.qlCalendarAdvance(Calendar,X1237,W1238,"f",FALSE)</f>
        <v>47967</v>
      </c>
      <c r="Y1238" s="104">
        <f>_xll.qlCalendarAdvance(Calendar,X1238,NDays&amp;"D")</f>
        <v>47970</v>
      </c>
      <c r="Z1238" s="105">
        <v>2.813960749187305E-2</v>
      </c>
      <c r="AA1238" s="102">
        <v>2.8065251187276985E-2</v>
      </c>
    </row>
    <row r="1239" spans="19:27" x14ac:dyDescent="0.2">
      <c r="S1239" s="61"/>
      <c r="T1239" s="82"/>
      <c r="W1239" s="103" t="str">
        <f t="shared" si="28"/>
        <v>1w</v>
      </c>
      <c r="X1239" s="101">
        <f>_xll.qlCalendarAdvance(Calendar,X1238,W1239,"f",FALSE)</f>
        <v>47974</v>
      </c>
      <c r="Y1239" s="104">
        <f>_xll.qlCalendarAdvance(Calendar,X1239,NDays&amp;"D")</f>
        <v>47976</v>
      </c>
      <c r="Z1239" s="105">
        <v>2.8134141442464358E-2</v>
      </c>
      <c r="AA1239" s="102">
        <v>2.8061438822852836E-2</v>
      </c>
    </row>
    <row r="1240" spans="19:27" x14ac:dyDescent="0.2">
      <c r="S1240" s="61"/>
      <c r="T1240" s="82"/>
      <c r="W1240" s="103" t="str">
        <f t="shared" si="28"/>
        <v>1w</v>
      </c>
      <c r="X1240" s="101">
        <f>_xll.qlCalendarAdvance(Calendar,X1239,W1240,"f",FALSE)</f>
        <v>47981</v>
      </c>
      <c r="Y1240" s="104">
        <f>_xll.qlCalendarAdvance(Calendar,X1240,NDays&amp;"D")</f>
        <v>47983</v>
      </c>
      <c r="Z1240" s="105">
        <v>2.8129536954699375E-2</v>
      </c>
      <c r="AA1240" s="102">
        <v>2.8056974242947064E-2</v>
      </c>
    </row>
    <row r="1241" spans="19:27" x14ac:dyDescent="0.2">
      <c r="S1241" s="61"/>
      <c r="T1241" s="82"/>
      <c r="W1241" s="103" t="str">
        <f t="shared" si="28"/>
        <v>1w</v>
      </c>
      <c r="X1241" s="101">
        <f>_xll.qlCalendarAdvance(Calendar,X1240,W1241,"f",FALSE)</f>
        <v>47988</v>
      </c>
      <c r="Y1241" s="104">
        <f>_xll.qlCalendarAdvance(Calendar,X1241,NDays&amp;"D")</f>
        <v>47991</v>
      </c>
      <c r="Z1241" s="105">
        <v>2.8125776241835845E-2</v>
      </c>
      <c r="AA1241" s="102">
        <v>2.8051849684089802E-2</v>
      </c>
    </row>
    <row r="1242" spans="19:27" x14ac:dyDescent="0.2">
      <c r="S1242" s="61"/>
      <c r="T1242" s="82"/>
      <c r="W1242" s="103" t="str">
        <f t="shared" si="28"/>
        <v>1w</v>
      </c>
      <c r="X1242" s="101">
        <f>_xll.qlCalendarAdvance(Calendar,X1241,W1242,"f",FALSE)</f>
        <v>47995</v>
      </c>
      <c r="Y1242" s="104">
        <f>_xll.qlCalendarAdvance(Calendar,X1242,NDays&amp;"D")</f>
        <v>47997</v>
      </c>
      <c r="Z1242" s="105">
        <v>2.8120273263201132E-2</v>
      </c>
      <c r="AA1242" s="102">
        <v>2.8047346285955399E-2</v>
      </c>
    </row>
    <row r="1243" spans="19:27" x14ac:dyDescent="0.2">
      <c r="S1243" s="61"/>
      <c r="T1243" s="82"/>
      <c r="W1243" s="103" t="str">
        <f t="shared" si="28"/>
        <v>1w</v>
      </c>
      <c r="X1243" s="101">
        <f>_xll.qlCalendarAdvance(Calendar,X1242,W1243,"f",FALSE)</f>
        <v>48002</v>
      </c>
      <c r="Y1243" s="104">
        <f>_xll.qlCalendarAdvance(Calendar,X1243,NDays&amp;"D")</f>
        <v>48004</v>
      </c>
      <c r="Z1243" s="105">
        <v>2.8115614059596464E-2</v>
      </c>
      <c r="AA1243" s="102">
        <v>2.8043471812093657E-2</v>
      </c>
    </row>
    <row r="1244" spans="19:27" x14ac:dyDescent="0.2">
      <c r="S1244" s="61"/>
      <c r="T1244" s="82"/>
      <c r="W1244" s="103" t="str">
        <f t="shared" si="28"/>
        <v>1w</v>
      </c>
      <c r="X1244" s="101">
        <f>_xll.qlCalendarAdvance(Calendar,X1243,W1244,"f",FALSE)</f>
        <v>48009</v>
      </c>
      <c r="Y1244" s="104">
        <f>_xll.qlCalendarAdvance(Calendar,X1244,NDays&amp;"D")</f>
        <v>48011</v>
      </c>
      <c r="Z1244" s="105">
        <v>2.8110936617506292E-2</v>
      </c>
      <c r="AA1244" s="102">
        <v>2.8038934771350554E-2</v>
      </c>
    </row>
    <row r="1245" spans="19:27" x14ac:dyDescent="0.2">
      <c r="S1245" s="61"/>
      <c r="T1245" s="82"/>
      <c r="W1245" s="103" t="str">
        <f t="shared" si="28"/>
        <v>1w</v>
      </c>
      <c r="X1245" s="101">
        <f>_xll.qlCalendarAdvance(Calendar,X1244,W1245,"f",FALSE)</f>
        <v>48016</v>
      </c>
      <c r="Y1245" s="104">
        <f>_xll.qlCalendarAdvance(Calendar,X1245,NDays&amp;"D")</f>
        <v>48018</v>
      </c>
      <c r="Z1245" s="105">
        <v>2.8106240936997519E-2</v>
      </c>
      <c r="AA1245" s="102">
        <v>2.8033727400016417E-2</v>
      </c>
    </row>
    <row r="1246" spans="19:27" x14ac:dyDescent="0.2">
      <c r="S1246" s="61"/>
      <c r="T1246" s="82"/>
      <c r="W1246" s="103" t="str">
        <f t="shared" si="28"/>
        <v>1w</v>
      </c>
      <c r="X1246" s="101">
        <f>_xll.qlCalendarAdvance(Calendar,X1245,W1246,"f",FALSE)</f>
        <v>48023</v>
      </c>
      <c r="Y1246" s="104">
        <f>_xll.qlCalendarAdvance(Calendar,X1246,NDays&amp;"D")</f>
        <v>48025</v>
      </c>
      <c r="Z1246" s="105">
        <v>2.8101527018133569E-2</v>
      </c>
      <c r="AA1246" s="102">
        <v>2.8029806344216368E-2</v>
      </c>
    </row>
    <row r="1247" spans="19:27" x14ac:dyDescent="0.2">
      <c r="S1247" s="61"/>
      <c r="T1247" s="82"/>
      <c r="W1247" s="103" t="str">
        <f t="shared" si="28"/>
        <v>1w</v>
      </c>
      <c r="X1247" s="101">
        <f>_xll.qlCalendarAdvance(Calendar,X1246,W1247,"f",FALSE)</f>
        <v>48030</v>
      </c>
      <c r="Y1247" s="104">
        <f>_xll.qlCalendarAdvance(Calendar,X1247,NDays&amp;"D")</f>
        <v>48032</v>
      </c>
      <c r="Z1247" s="105">
        <v>2.8096794860982221E-2</v>
      </c>
      <c r="AA1247" s="102">
        <v>2.8025214957825284E-2</v>
      </c>
    </row>
    <row r="1248" spans="19:27" x14ac:dyDescent="0.2">
      <c r="S1248" s="61"/>
      <c r="T1248" s="82"/>
      <c r="W1248" s="103" t="str">
        <f t="shared" si="28"/>
        <v>1w</v>
      </c>
      <c r="X1248" s="101">
        <f>_xll.qlCalendarAdvance(Calendar,X1247,W1248,"f",FALSE)</f>
        <v>48037</v>
      </c>
      <c r="Y1248" s="104">
        <f>_xll.qlCalendarAdvance(Calendar,X1248,NDays&amp;"D")</f>
        <v>48039</v>
      </c>
      <c r="Z1248" s="105">
        <v>2.8092044465606897E-2</v>
      </c>
      <c r="AA1248" s="102">
        <v>2.8020605456164915E-2</v>
      </c>
    </row>
    <row r="1249" spans="19:27" x14ac:dyDescent="0.2">
      <c r="S1249" s="61"/>
      <c r="T1249" s="82"/>
      <c r="W1249" s="103" t="str">
        <f t="shared" si="28"/>
        <v>1w</v>
      </c>
      <c r="X1249" s="101">
        <f>_xll.qlCalendarAdvance(Calendar,X1248,W1249,"f",FALSE)</f>
        <v>48044</v>
      </c>
      <c r="Y1249" s="104">
        <f>_xll.qlCalendarAdvance(Calendar,X1249,NDays&amp;"D")</f>
        <v>48046</v>
      </c>
      <c r="Z1249" s="105">
        <v>2.8087275832073631E-2</v>
      </c>
      <c r="AA1249" s="102">
        <v>2.8015977839315198E-2</v>
      </c>
    </row>
    <row r="1250" spans="19:27" x14ac:dyDescent="0.2">
      <c r="S1250" s="61"/>
      <c r="T1250" s="82"/>
      <c r="W1250" s="103" t="str">
        <f t="shared" si="28"/>
        <v>1w</v>
      </c>
      <c r="X1250" s="101">
        <f>_xll.qlCalendarAdvance(Calendar,X1249,W1250,"f",FALSE)</f>
        <v>48051</v>
      </c>
      <c r="Y1250" s="104">
        <f>_xll.qlCalendarAdvance(Calendar,X1250,NDays&amp;"D")</f>
        <v>48053</v>
      </c>
      <c r="Z1250" s="105">
        <v>2.8082488960451065E-2</v>
      </c>
      <c r="AA1250" s="102">
        <v>2.8011332107356068E-2</v>
      </c>
    </row>
    <row r="1251" spans="19:27" x14ac:dyDescent="0.2">
      <c r="S1251" s="61"/>
      <c r="T1251" s="82"/>
      <c r="W1251" s="103" t="str">
        <f t="shared" si="28"/>
        <v>1w</v>
      </c>
      <c r="X1251" s="101">
        <f>_xll.qlCalendarAdvance(Calendar,X1250,W1251,"f",FALSE)</f>
        <v>48058</v>
      </c>
      <c r="Y1251" s="104">
        <f>_xll.qlCalendarAdvance(Calendar,X1251,NDays&amp;"D")</f>
        <v>48060</v>
      </c>
      <c r="Z1251" s="105">
        <v>2.8077683850802629E-2</v>
      </c>
      <c r="AA1251" s="102">
        <v>2.8006668260127654E-2</v>
      </c>
    </row>
    <row r="1252" spans="19:27" x14ac:dyDescent="0.2">
      <c r="S1252" s="61"/>
      <c r="T1252" s="82"/>
      <c r="W1252" s="103" t="str">
        <f t="shared" si="28"/>
        <v>1w</v>
      </c>
      <c r="X1252" s="101">
        <f>_xll.qlCalendarAdvance(Calendar,X1251,W1252,"f",FALSE)</f>
        <v>48065</v>
      </c>
      <c r="Y1252" s="104">
        <f>_xll.qlCalendarAdvance(Calendar,X1252,NDays&amp;"D")</f>
        <v>48067</v>
      </c>
      <c r="Z1252" s="105">
        <v>2.8072860503197829E-2</v>
      </c>
      <c r="AA1252" s="102">
        <v>2.8001986297629955E-2</v>
      </c>
    </row>
    <row r="1253" spans="19:27" x14ac:dyDescent="0.2">
      <c r="S1253" s="61"/>
      <c r="T1253" s="82"/>
      <c r="W1253" s="103" t="str">
        <f t="shared" si="28"/>
        <v>1w</v>
      </c>
      <c r="X1253" s="101">
        <f>_xll.qlCalendarAdvance(Calendar,X1252,W1253,"f",FALSE)</f>
        <v>48072</v>
      </c>
      <c r="Y1253" s="104">
        <f>_xll.qlCalendarAdvance(Calendar,X1253,NDays&amp;"D")</f>
        <v>48074</v>
      </c>
      <c r="Z1253" s="105">
        <v>2.8068018917700097E-2</v>
      </c>
      <c r="AA1253" s="102">
        <v>2.7997286220022843E-2</v>
      </c>
    </row>
    <row r="1254" spans="19:27" x14ac:dyDescent="0.2">
      <c r="S1254" s="61"/>
      <c r="T1254" s="82"/>
      <c r="W1254" s="103" t="str">
        <f t="shared" si="28"/>
        <v>1w</v>
      </c>
      <c r="X1254" s="101">
        <f>_xll.qlCalendarAdvance(Calendar,X1253,W1254,"f",FALSE)</f>
        <v>48079</v>
      </c>
      <c r="Y1254" s="104">
        <f>_xll.qlCalendarAdvance(Calendar,X1254,NDays&amp;"D")</f>
        <v>48081</v>
      </c>
      <c r="Z1254" s="105">
        <v>2.8063159094381541E-2</v>
      </c>
      <c r="AA1254" s="102">
        <v>2.7992568027066511E-2</v>
      </c>
    </row>
    <row r="1255" spans="19:27" x14ac:dyDescent="0.2">
      <c r="S1255" s="61"/>
      <c r="T1255" s="82"/>
      <c r="W1255" s="103" t="str">
        <f t="shared" si="28"/>
        <v>1w</v>
      </c>
      <c r="X1255" s="101">
        <f>_xll.qlCalendarAdvance(Calendar,X1254,W1255,"f",FALSE)</f>
        <v>48086</v>
      </c>
      <c r="Y1255" s="104">
        <f>_xll.qlCalendarAdvance(Calendar,X1255,NDays&amp;"D")</f>
        <v>48088</v>
      </c>
      <c r="Z1255" s="105">
        <v>2.8058281033304728E-2</v>
      </c>
      <c r="AA1255" s="102">
        <v>2.7987831719080702E-2</v>
      </c>
    </row>
    <row r="1256" spans="19:27" x14ac:dyDescent="0.2">
      <c r="S1256" s="61"/>
      <c r="T1256" s="82"/>
      <c r="W1256" s="103" t="str">
        <f t="shared" si="28"/>
        <v>1w</v>
      </c>
      <c r="X1256" s="101">
        <f>_xll.qlCalendarAdvance(Calendar,X1255,W1256,"f",FALSE)</f>
        <v>48093</v>
      </c>
      <c r="Y1256" s="104">
        <f>_xll.qlCalendarAdvance(Calendar,X1256,NDays&amp;"D")</f>
        <v>48095</v>
      </c>
      <c r="Z1256" s="105">
        <v>2.8052647472519409E-2</v>
      </c>
      <c r="AA1256" s="102">
        <v>2.7983077295745673E-2</v>
      </c>
    </row>
    <row r="1257" spans="19:27" x14ac:dyDescent="0.2">
      <c r="S1257" s="61"/>
      <c r="T1257" s="82"/>
      <c r="W1257" s="103" t="str">
        <f t="shared" si="28"/>
        <v>1w</v>
      </c>
      <c r="X1257" s="101">
        <f>_xll.qlCalendarAdvance(Calendar,X1256,W1257,"f",FALSE)</f>
        <v>48100</v>
      </c>
      <c r="Y1257" s="104">
        <f>_xll.qlCalendarAdvance(Calendar,X1257,NDays&amp;"D")</f>
        <v>48102</v>
      </c>
      <c r="Z1257" s="105">
        <v>2.8047734620275704E-2</v>
      </c>
      <c r="AA1257" s="102">
        <v>2.7978304757221295E-2</v>
      </c>
    </row>
    <row r="1258" spans="19:27" x14ac:dyDescent="0.2">
      <c r="S1258" s="61"/>
      <c r="T1258" s="82"/>
      <c r="W1258" s="103" t="str">
        <f t="shared" si="28"/>
        <v>1w</v>
      </c>
      <c r="X1258" s="101">
        <f>_xll.qlCalendarAdvance(Calendar,X1257,W1258,"f",FALSE)</f>
        <v>48107</v>
      </c>
      <c r="Y1258" s="104">
        <f>_xll.qlCalendarAdvance(Calendar,X1258,NDays&amp;"D")</f>
        <v>48109</v>
      </c>
      <c r="Z1258" s="105">
        <v>2.8042803531824732E-2</v>
      </c>
      <c r="AA1258" s="102">
        <v>2.7973514103427632E-2</v>
      </c>
    </row>
    <row r="1259" spans="19:27" x14ac:dyDescent="0.2">
      <c r="S1259" s="61"/>
      <c r="T1259" s="82"/>
      <c r="W1259" s="103" t="str">
        <f t="shared" si="28"/>
        <v>1w</v>
      </c>
      <c r="X1259" s="101">
        <f>_xll.qlCalendarAdvance(Calendar,X1258,W1259,"f",FALSE)</f>
        <v>48114</v>
      </c>
      <c r="Y1259" s="104">
        <f>_xll.qlCalendarAdvance(Calendar,X1259,NDays&amp;"D")</f>
        <v>48116</v>
      </c>
      <c r="Z1259" s="105">
        <v>2.8040782290667036E-2</v>
      </c>
      <c r="AA1259" s="102">
        <v>2.7968705334524557E-2</v>
      </c>
    </row>
    <row r="1260" spans="19:27" x14ac:dyDescent="0.2">
      <c r="S1260" s="61"/>
      <c r="T1260" s="82"/>
      <c r="W1260" s="103" t="str">
        <f t="shared" si="28"/>
        <v>1w</v>
      </c>
      <c r="X1260" s="101">
        <f>_xll.qlCalendarAdvance(Calendar,X1259,W1260,"f",FALSE)</f>
        <v>48121</v>
      </c>
      <c r="Y1260" s="104">
        <f>_xll.qlCalendarAdvance(Calendar,X1260,NDays&amp;"D")</f>
        <v>48123</v>
      </c>
      <c r="Z1260" s="105">
        <v>2.803361716396309E-2</v>
      </c>
      <c r="AA1260" s="102">
        <v>2.7963878450432134E-2</v>
      </c>
    </row>
    <row r="1261" spans="19:27" x14ac:dyDescent="0.2">
      <c r="S1261" s="61"/>
      <c r="T1261" s="82"/>
      <c r="W1261" s="103" t="str">
        <f t="shared" si="28"/>
        <v>1w</v>
      </c>
      <c r="X1261" s="101">
        <f>_xll.qlCalendarAdvance(Calendar,X1260,W1261,"f",FALSE)</f>
        <v>48128</v>
      </c>
      <c r="Y1261" s="104">
        <f>_xll.qlCalendarAdvance(Calendar,X1261,NDays&amp;"D")</f>
        <v>48130</v>
      </c>
      <c r="Z1261" s="105">
        <v>2.8028629677781646E-2</v>
      </c>
      <c r="AA1261" s="102">
        <v>2.7959033451070425E-2</v>
      </c>
    </row>
    <row r="1262" spans="19:27" x14ac:dyDescent="0.2">
      <c r="S1262" s="61"/>
      <c r="T1262" s="82"/>
      <c r="W1262" s="103" t="str">
        <f t="shared" si="28"/>
        <v>1w</v>
      </c>
      <c r="X1262" s="101">
        <f>_xll.qlCalendarAdvance(Calendar,X1261,W1262,"f",FALSE)</f>
        <v>48135</v>
      </c>
      <c r="Y1262" s="104">
        <f>_xll.qlCalendarAdvance(Calendar,X1262,NDays&amp;"D")</f>
        <v>48137</v>
      </c>
      <c r="Z1262" s="105">
        <v>2.8023623954323298E-2</v>
      </c>
      <c r="AA1262" s="102">
        <v>2.7954170336519368E-2</v>
      </c>
    </row>
    <row r="1263" spans="19:27" x14ac:dyDescent="0.2">
      <c r="S1263" s="61"/>
      <c r="T1263" s="82"/>
      <c r="W1263" s="103" t="str">
        <f t="shared" si="28"/>
        <v>1w</v>
      </c>
      <c r="X1263" s="101">
        <f>_xll.qlCalendarAdvance(Calendar,X1262,W1263,"f",FALSE)</f>
        <v>48142</v>
      </c>
      <c r="Y1263" s="104">
        <f>_xll.qlCalendarAdvance(Calendar,X1263,NDays&amp;"D")</f>
        <v>48144</v>
      </c>
      <c r="Z1263" s="105">
        <v>2.8018599993659292E-2</v>
      </c>
      <c r="AA1263" s="102">
        <v>2.7949289106778963E-2</v>
      </c>
    </row>
    <row r="1264" spans="19:27" x14ac:dyDescent="0.2">
      <c r="S1264" s="61"/>
      <c r="T1264" s="82"/>
      <c r="W1264" s="103" t="str">
        <f t="shared" si="28"/>
        <v>1w</v>
      </c>
      <c r="X1264" s="101">
        <f>_xll.qlCalendarAdvance(Calendar,X1263,W1264,"f",FALSE)</f>
        <v>48149</v>
      </c>
      <c r="Y1264" s="104">
        <f>_xll.qlCalendarAdvance(Calendar,X1264,NDays&amp;"D")</f>
        <v>48151</v>
      </c>
      <c r="Z1264" s="105">
        <v>2.8013557795855661E-2</v>
      </c>
      <c r="AA1264" s="102">
        <v>2.7944389761769273E-2</v>
      </c>
    </row>
    <row r="1265" spans="19:27" x14ac:dyDescent="0.2">
      <c r="S1265" s="61"/>
      <c r="T1265" s="82"/>
      <c r="W1265" s="103" t="str">
        <f t="shared" si="28"/>
        <v>1w</v>
      </c>
      <c r="X1265" s="101">
        <f>_xll.qlCalendarAdvance(Calendar,X1264,W1265,"f",FALSE)</f>
        <v>48156</v>
      </c>
      <c r="Y1265" s="104">
        <f>_xll.qlCalendarAdvance(Calendar,X1265,NDays&amp;"D")</f>
        <v>48158</v>
      </c>
      <c r="Z1265" s="105">
        <v>2.8008497360987126E-2</v>
      </c>
      <c r="AA1265" s="102">
        <v>2.793947230165017E-2</v>
      </c>
    </row>
    <row r="1266" spans="19:27" x14ac:dyDescent="0.2">
      <c r="S1266" s="61"/>
      <c r="T1266" s="82"/>
      <c r="W1266" s="103" t="str">
        <f t="shared" si="28"/>
        <v>1w</v>
      </c>
      <c r="X1266" s="101">
        <f>_xll.qlCalendarAdvance(Calendar,X1265,W1266,"f",FALSE)</f>
        <v>48163</v>
      </c>
      <c r="Y1266" s="104">
        <f>_xll.qlCalendarAdvance(Calendar,X1266,NDays&amp;"D")</f>
        <v>48165</v>
      </c>
      <c r="Z1266" s="105">
        <v>2.8003418689120593E-2</v>
      </c>
      <c r="AA1266" s="102">
        <v>2.7934536726261783E-2</v>
      </c>
    </row>
    <row r="1267" spans="19:27" x14ac:dyDescent="0.2">
      <c r="S1267" s="61"/>
      <c r="T1267" s="82"/>
      <c r="W1267" s="103" t="str">
        <f t="shared" si="28"/>
        <v>1w</v>
      </c>
      <c r="X1267" s="101">
        <f>_xll.qlCalendarAdvance(Calendar,X1266,W1267,"f",FALSE)</f>
        <v>48170</v>
      </c>
      <c r="Y1267" s="104">
        <f>_xll.qlCalendarAdvance(Calendar,X1267,NDays&amp;"D")</f>
        <v>48172</v>
      </c>
      <c r="Z1267" s="105">
        <v>2.7998321780326442E-2</v>
      </c>
      <c r="AA1267" s="102">
        <v>2.7929583035763983E-2</v>
      </c>
    </row>
    <row r="1268" spans="19:27" x14ac:dyDescent="0.2">
      <c r="S1268" s="61"/>
      <c r="T1268" s="82"/>
      <c r="W1268" s="103" t="str">
        <f t="shared" si="28"/>
        <v>1w</v>
      </c>
      <c r="X1268" s="101">
        <f>_xll.qlCalendarAdvance(Calendar,X1267,W1268,"f",FALSE)</f>
        <v>48177</v>
      </c>
      <c r="Y1268" s="104">
        <f>_xll.qlCalendarAdvance(Calendar,X1268,NDays&amp;"D")</f>
        <v>48179</v>
      </c>
      <c r="Z1268" s="105">
        <v>2.7993206634678521E-2</v>
      </c>
      <c r="AA1268" s="102">
        <v>2.7924611229916962E-2</v>
      </c>
    </row>
    <row r="1269" spans="19:27" x14ac:dyDescent="0.2">
      <c r="S1269" s="61"/>
      <c r="T1269" s="82"/>
      <c r="W1269" s="103" t="str">
        <f t="shared" si="28"/>
        <v>1w</v>
      </c>
      <c r="X1269" s="101">
        <f>_xll.qlCalendarAdvance(Calendar,X1268,W1269,"f",FALSE)</f>
        <v>48184</v>
      </c>
      <c r="Y1269" s="104">
        <f>_xll.qlCalendarAdvance(Calendar,X1269,NDays&amp;"D")</f>
        <v>48186</v>
      </c>
      <c r="Z1269" s="105">
        <v>2.7987357988677228E-2</v>
      </c>
      <c r="AA1269" s="102">
        <v>2.7919621309040465E-2</v>
      </c>
    </row>
    <row r="1270" spans="19:27" x14ac:dyDescent="0.2">
      <c r="S1270" s="61"/>
      <c r="T1270" s="82"/>
      <c r="W1270" s="103" t="str">
        <f t="shared" si="28"/>
        <v>1w</v>
      </c>
      <c r="X1270" s="101">
        <f>_xll.qlCalendarAdvance(Calendar,X1269,W1270,"f",FALSE)</f>
        <v>48191</v>
      </c>
      <c r="Y1270" s="104">
        <f>_xll.qlCalendarAdvance(Calendar,X1270,NDays&amp;"D")</f>
        <v>48193</v>
      </c>
      <c r="Z1270" s="105">
        <v>2.7982208071084196E-2</v>
      </c>
      <c r="AA1270" s="102">
        <v>2.7914613272814748E-2</v>
      </c>
    </row>
    <row r="1271" spans="19:27" x14ac:dyDescent="0.2">
      <c r="S1271" s="61"/>
      <c r="T1271" s="82"/>
      <c r="W1271" s="103" t="str">
        <f t="shared" si="28"/>
        <v>1w</v>
      </c>
      <c r="X1271" s="101">
        <f>_xll.qlCalendarAdvance(Calendar,X1270,W1271,"f",FALSE)</f>
        <v>48198</v>
      </c>
      <c r="Y1271" s="104">
        <f>_xll.qlCalendarAdvance(Calendar,X1271,NDays&amp;"D")</f>
        <v>48200</v>
      </c>
      <c r="Z1271" s="105">
        <v>2.7977039918182515E-2</v>
      </c>
      <c r="AA1271" s="102">
        <v>2.7909587121479618E-2</v>
      </c>
    </row>
    <row r="1272" spans="19:27" x14ac:dyDescent="0.2">
      <c r="S1272" s="61"/>
      <c r="T1272" s="82"/>
      <c r="W1272" s="103" t="str">
        <f t="shared" si="28"/>
        <v>1w</v>
      </c>
      <c r="X1272" s="101">
        <f>_xll.qlCalendarAdvance(Calendar,X1271,W1272,"f",FALSE)</f>
        <v>48205</v>
      </c>
      <c r="Y1272" s="104">
        <f>_xll.qlCalendarAdvance(Calendar,X1272,NDays&amp;"D")</f>
        <v>48212</v>
      </c>
      <c r="Z1272" s="105">
        <v>2.7968846739485343E-2</v>
      </c>
      <c r="AA1272" s="102">
        <v>2.790019919168607E-2</v>
      </c>
    </row>
    <row r="1273" spans="19:27" x14ac:dyDescent="0.2">
      <c r="S1273" s="61"/>
      <c r="T1273" s="82"/>
      <c r="W1273" s="103" t="str">
        <f t="shared" si="28"/>
        <v>1w</v>
      </c>
      <c r="X1273" s="101">
        <f>_xll.qlCalendarAdvance(Calendar,X1272,W1273,"f",FALSE)</f>
        <v>48212</v>
      </c>
      <c r="Y1273" s="104">
        <f>_xll.qlCalendarAdvance(Calendar,X1273,NDays&amp;"D")</f>
        <v>48218</v>
      </c>
      <c r="Z1273" s="105">
        <v>2.7963666649091713E-2</v>
      </c>
      <c r="AA1273" s="102">
        <v>2.7897305335491396E-2</v>
      </c>
    </row>
    <row r="1274" spans="19:27" x14ac:dyDescent="0.2">
      <c r="S1274" s="61"/>
      <c r="T1274" s="82"/>
      <c r="W1274" s="103" t="str">
        <f t="shared" si="28"/>
        <v>1w</v>
      </c>
      <c r="X1274" s="101">
        <f>_xll.qlCalendarAdvance(Calendar,X1273,W1274,"f",FALSE)</f>
        <v>48220</v>
      </c>
      <c r="Y1274" s="104">
        <f>_xll.qlCalendarAdvance(Calendar,X1274,NDays&amp;"D")</f>
        <v>48222</v>
      </c>
      <c r="Z1274" s="105">
        <v>2.7960678437139546E-2</v>
      </c>
      <c r="AA1274" s="102">
        <v>2.7893672712169248E-2</v>
      </c>
    </row>
    <row r="1275" spans="19:27" x14ac:dyDescent="0.2">
      <c r="S1275" s="61"/>
      <c r="T1275" s="82"/>
      <c r="W1275" s="103" t="str">
        <f t="shared" si="28"/>
        <v>1w</v>
      </c>
      <c r="X1275" s="101">
        <f>_xll.qlCalendarAdvance(Calendar,X1274,W1275,"f",FALSE)</f>
        <v>48227</v>
      </c>
      <c r="Y1275" s="104">
        <f>_xll.qlCalendarAdvance(Calendar,X1275,NDays&amp;"D")</f>
        <v>48229</v>
      </c>
      <c r="Z1275" s="105">
        <v>2.795543473872077E-2</v>
      </c>
      <c r="AA1275" s="102">
        <v>2.7888571512066918E-2</v>
      </c>
    </row>
    <row r="1276" spans="19:27" x14ac:dyDescent="0.2">
      <c r="S1276" s="61"/>
      <c r="T1276" s="82"/>
      <c r="W1276" s="103" t="str">
        <f t="shared" si="28"/>
        <v>1w</v>
      </c>
      <c r="X1276" s="101">
        <f>_xll.qlCalendarAdvance(Calendar,X1275,W1276,"f",FALSE)</f>
        <v>48234</v>
      </c>
      <c r="Y1276" s="104">
        <f>_xll.qlCalendarAdvance(Calendar,X1276,NDays&amp;"D")</f>
        <v>48236</v>
      </c>
      <c r="Z1276" s="105">
        <v>2.7950172805362283E-2</v>
      </c>
      <c r="AA1276" s="102">
        <v>2.7883452196855174E-2</v>
      </c>
    </row>
    <row r="1277" spans="19:27" x14ac:dyDescent="0.2">
      <c r="S1277" s="61"/>
      <c r="T1277" s="82"/>
      <c r="W1277" s="103" t="str">
        <f t="shared" si="28"/>
        <v>1w</v>
      </c>
      <c r="X1277" s="101">
        <f>_xll.qlCalendarAdvance(Calendar,X1276,W1277,"f",FALSE)</f>
        <v>48241</v>
      </c>
      <c r="Y1277" s="104">
        <f>_xll.qlCalendarAdvance(Calendar,X1277,NDays&amp;"D")</f>
        <v>48243</v>
      </c>
      <c r="Z1277" s="105">
        <v>2.7944892637135239E-2</v>
      </c>
      <c r="AA1277" s="102">
        <v>2.7878314766374146E-2</v>
      </c>
    </row>
    <row r="1278" spans="19:27" x14ac:dyDescent="0.2">
      <c r="S1278" s="61"/>
      <c r="T1278" s="82"/>
      <c r="W1278" s="103" t="str">
        <f t="shared" si="28"/>
        <v>1w</v>
      </c>
      <c r="X1278" s="101">
        <f>_xll.qlCalendarAdvance(Calendar,X1277,W1278,"f",FALSE)</f>
        <v>48248</v>
      </c>
      <c r="Y1278" s="104">
        <f>_xll.qlCalendarAdvance(Calendar,X1278,NDays&amp;"D")</f>
        <v>48250</v>
      </c>
      <c r="Z1278" s="105">
        <v>2.7939594234113418E-2</v>
      </c>
      <c r="AA1278" s="102">
        <v>2.7873159220783705E-2</v>
      </c>
    </row>
    <row r="1279" spans="19:27" x14ac:dyDescent="0.2">
      <c r="S1279" s="61"/>
      <c r="T1279" s="82"/>
      <c r="W1279" s="103" t="str">
        <f t="shared" si="28"/>
        <v>1w</v>
      </c>
      <c r="X1279" s="101">
        <f>_xll.qlCalendarAdvance(Calendar,X1278,W1279,"f",FALSE)</f>
        <v>48255</v>
      </c>
      <c r="Y1279" s="104">
        <f>_xll.qlCalendarAdvance(Calendar,X1279,NDays&amp;"D")</f>
        <v>48257</v>
      </c>
      <c r="Z1279" s="105">
        <v>2.7933579525615038E-2</v>
      </c>
      <c r="AA1279" s="102">
        <v>2.7867985560003916E-2</v>
      </c>
    </row>
    <row r="1280" spans="19:27" x14ac:dyDescent="0.2">
      <c r="S1280" s="61"/>
      <c r="T1280" s="82"/>
      <c r="W1280" s="103" t="str">
        <f t="shared" si="28"/>
        <v>1w</v>
      </c>
      <c r="X1280" s="101">
        <f>_xll.qlCalendarAdvance(Calendar,X1279,W1280,"f",FALSE)</f>
        <v>48262</v>
      </c>
      <c r="Y1280" s="104">
        <f>_xll.qlCalendarAdvance(Calendar,X1280,NDays&amp;"D")</f>
        <v>48264</v>
      </c>
      <c r="Z1280" s="105">
        <v>2.7928246368045251E-2</v>
      </c>
      <c r="AA1280" s="102">
        <v>2.7862793784034778E-2</v>
      </c>
    </row>
    <row r="1281" spans="19:27" x14ac:dyDescent="0.2">
      <c r="S1281" s="61"/>
      <c r="T1281" s="82"/>
      <c r="W1281" s="103" t="str">
        <f t="shared" si="28"/>
        <v>1w</v>
      </c>
      <c r="X1281" s="101">
        <f>_xll.qlCalendarAdvance(Calendar,X1280,W1281,"f",FALSE)</f>
        <v>48269</v>
      </c>
      <c r="Y1281" s="104">
        <f>_xll.qlCalendarAdvance(Calendar,X1281,NDays&amp;"D")</f>
        <v>48271</v>
      </c>
      <c r="Z1281" s="105">
        <v>2.7925672768237184E-2</v>
      </c>
      <c r="AA1281" s="102">
        <v>2.7857583892876292E-2</v>
      </c>
    </row>
    <row r="1282" spans="19:27" x14ac:dyDescent="0.2">
      <c r="S1282" s="61"/>
      <c r="T1282" s="82"/>
      <c r="W1282" s="103" t="str">
        <f t="shared" si="28"/>
        <v>1w</v>
      </c>
      <c r="X1282" s="101">
        <f>_xll.qlCalendarAdvance(Calendar,X1281,W1282,"f",FALSE)</f>
        <v>48276</v>
      </c>
      <c r="Y1282" s="104">
        <f>_xll.qlCalendarAdvance(Calendar,X1282,NDays&amp;"D")</f>
        <v>48278</v>
      </c>
      <c r="Z1282" s="105">
        <v>2.7920296273008585E-2</v>
      </c>
      <c r="AA1282" s="102">
        <v>2.7852355886368585E-2</v>
      </c>
    </row>
    <row r="1283" spans="19:27" x14ac:dyDescent="0.2">
      <c r="S1283" s="61"/>
      <c r="T1283" s="82"/>
      <c r="W1283" s="103" t="str">
        <f t="shared" si="28"/>
        <v>1w</v>
      </c>
      <c r="X1283" s="101">
        <f>_xll.qlCalendarAdvance(Calendar,X1282,W1283,"f",FALSE)</f>
        <v>48283</v>
      </c>
      <c r="Y1283" s="104">
        <f>_xll.qlCalendarAdvance(Calendar,X1283,NDays&amp;"D")</f>
        <v>48285</v>
      </c>
      <c r="Z1283" s="105">
        <v>2.7914901539379408E-2</v>
      </c>
      <c r="AA1283" s="102">
        <v>2.7847109764911337E-2</v>
      </c>
    </row>
    <row r="1284" spans="19:27" x14ac:dyDescent="0.2">
      <c r="S1284" s="61"/>
      <c r="T1284" s="82"/>
      <c r="W1284" s="103" t="str">
        <f t="shared" si="28"/>
        <v>1w</v>
      </c>
      <c r="X1284" s="101">
        <f>_xll.qlCalendarAdvance(Calendar,X1283,W1284,"f",FALSE)</f>
        <v>48290</v>
      </c>
      <c r="Y1284" s="104">
        <f>_xll.qlCalendarAdvance(Calendar,X1284,NDays&amp;"D")</f>
        <v>48292</v>
      </c>
      <c r="Z1284" s="105">
        <v>2.7909488567427039E-2</v>
      </c>
      <c r="AA1284" s="102">
        <v>2.7841845528024933E-2</v>
      </c>
    </row>
    <row r="1285" spans="19:27" x14ac:dyDescent="0.2">
      <c r="S1285" s="61"/>
      <c r="T1285" s="82"/>
      <c r="W1285" s="103" t="str">
        <f t="shared" si="28"/>
        <v>1w</v>
      </c>
      <c r="X1285" s="101">
        <f>_xll.qlCalendarAdvance(Calendar,X1284,W1285,"f",FALSE)</f>
        <v>48297</v>
      </c>
      <c r="Y1285" s="104">
        <f>_xll.qlCalendarAdvance(Calendar,X1285,NDays&amp;"D")</f>
        <v>48303</v>
      </c>
      <c r="Z1285" s="105">
        <v>2.7899572709812737E-2</v>
      </c>
      <c r="AA1285" s="102">
        <v>2.7835050605400369E-2</v>
      </c>
    </row>
    <row r="1286" spans="19:27" x14ac:dyDescent="0.2">
      <c r="S1286" s="61"/>
      <c r="T1286" s="82"/>
      <c r="W1286" s="103" t="str">
        <f t="shared" si="28"/>
        <v>1w</v>
      </c>
      <c r="X1286" s="101">
        <f>_xll.qlCalendarAdvance(Calendar,X1285,W1286,"f",FALSE)</f>
        <v>48304</v>
      </c>
      <c r="Y1286" s="104">
        <f>_xll.qlCalendarAdvance(Calendar,X1286,NDays&amp;"D")</f>
        <v>48306</v>
      </c>
      <c r="Z1286" s="105">
        <v>2.7896550566083984E-2</v>
      </c>
      <c r="AA1286" s="102">
        <v>2.7831262709003823E-2</v>
      </c>
    </row>
    <row r="1287" spans="19:27" x14ac:dyDescent="0.2">
      <c r="S1287" s="61"/>
      <c r="T1287" s="82"/>
      <c r="W1287" s="103" t="str">
        <f t="shared" si="28"/>
        <v>1w</v>
      </c>
      <c r="X1287" s="101">
        <f>_xll.qlCalendarAdvance(Calendar,X1286,W1287,"f",FALSE)</f>
        <v>48311</v>
      </c>
      <c r="Y1287" s="104">
        <f>_xll.qlCalendarAdvance(Calendar,X1287,NDays&amp;"D")</f>
        <v>48313</v>
      </c>
      <c r="Z1287" s="105">
        <v>2.7891088053206788E-2</v>
      </c>
      <c r="AA1287" s="102">
        <v>2.7825944126629309E-2</v>
      </c>
    </row>
    <row r="1288" spans="19:27" x14ac:dyDescent="0.2">
      <c r="S1288" s="61"/>
      <c r="T1288" s="82"/>
      <c r="W1288" s="103" t="str">
        <f t="shared" si="28"/>
        <v>1w</v>
      </c>
      <c r="X1288" s="101">
        <f>_xll.qlCalendarAdvance(Calendar,X1287,W1288,"f",FALSE)</f>
        <v>48318</v>
      </c>
      <c r="Y1288" s="104">
        <f>_xll.qlCalendarAdvance(Calendar,X1288,NDays&amp;"D")</f>
        <v>48320</v>
      </c>
      <c r="Z1288" s="105">
        <v>2.7885607306273569E-2</v>
      </c>
      <c r="AA1288" s="102">
        <v>2.7820607429145383E-2</v>
      </c>
    </row>
    <row r="1289" spans="19:27" x14ac:dyDescent="0.2">
      <c r="S1289" s="61"/>
      <c r="T1289" s="82"/>
      <c r="W1289" s="103" t="str">
        <f t="shared" si="28"/>
        <v>1w</v>
      </c>
      <c r="X1289" s="101">
        <f>_xll.qlCalendarAdvance(Calendar,X1288,W1289,"f",FALSE)</f>
        <v>48325</v>
      </c>
      <c r="Y1289" s="104">
        <f>_xll.qlCalendarAdvance(Calendar,X1289,NDays&amp;"D")</f>
        <v>48327</v>
      </c>
      <c r="Z1289" s="105">
        <v>2.7880108325358994E-2</v>
      </c>
      <c r="AA1289" s="102">
        <v>2.7815252616472108E-2</v>
      </c>
    </row>
    <row r="1290" spans="19:27" x14ac:dyDescent="0.2">
      <c r="S1290" s="61"/>
      <c r="T1290" s="82"/>
      <c r="W1290" s="103" t="str">
        <f t="shared" si="28"/>
        <v>1w</v>
      </c>
      <c r="X1290" s="101">
        <f>_xll.qlCalendarAdvance(Calendar,X1289,W1290,"f",FALSE)</f>
        <v>48332</v>
      </c>
      <c r="Y1290" s="104">
        <f>_xll.qlCalendarAdvance(Calendar,X1290,NDays&amp;"D")</f>
        <v>48334</v>
      </c>
      <c r="Z1290" s="105">
        <v>2.7874591110539481E-2</v>
      </c>
      <c r="AA1290" s="102">
        <v>2.7809879688529549E-2</v>
      </c>
    </row>
    <row r="1291" spans="19:27" x14ac:dyDescent="0.2">
      <c r="S1291" s="61"/>
      <c r="T1291" s="82"/>
      <c r="W1291" s="103" t="str">
        <f t="shared" si="28"/>
        <v>1w</v>
      </c>
      <c r="X1291" s="101">
        <f>_xll.qlCalendarAdvance(Calendar,X1290,W1291,"f",FALSE)</f>
        <v>48339</v>
      </c>
      <c r="Y1291" s="104">
        <f>_xll.qlCalendarAdvance(Calendar,X1291,NDays&amp;"D")</f>
        <v>48344</v>
      </c>
      <c r="Z1291" s="105">
        <v>2.7867354278674969E-2</v>
      </c>
      <c r="AA1291" s="102">
        <v>2.7803717017675922E-2</v>
      </c>
    </row>
    <row r="1292" spans="19:27" x14ac:dyDescent="0.2">
      <c r="S1292" s="61"/>
      <c r="T1292" s="82"/>
      <c r="W1292" s="103" t="str">
        <f t="shared" si="28"/>
        <v>1w</v>
      </c>
      <c r="X1292" s="101">
        <f>_xll.qlCalendarAdvance(Calendar,X1291,W1292,"f",FALSE)</f>
        <v>48346</v>
      </c>
      <c r="Y1292" s="104">
        <f>_xll.qlCalendarAdvance(Calendar,X1292,NDays&amp;"D")</f>
        <v>48348</v>
      </c>
      <c r="Z1292" s="105">
        <v>2.7865528221389619E-2</v>
      </c>
      <c r="AA1292" s="102">
        <v>2.7798305271584667E-2</v>
      </c>
    </row>
    <row r="1293" spans="19:27" x14ac:dyDescent="0.2">
      <c r="S1293" s="61"/>
      <c r="T1293" s="82"/>
      <c r="W1293" s="103" t="str">
        <f t="shared" si="28"/>
        <v>1w</v>
      </c>
      <c r="X1293" s="101">
        <f>_xll.qlCalendarAdvance(Calendar,X1292,W1293,"f",FALSE)</f>
        <v>48353</v>
      </c>
      <c r="Y1293" s="104">
        <f>_xll.qlCalendarAdvance(Calendar,X1293,NDays&amp;"D")</f>
        <v>48355</v>
      </c>
      <c r="Z1293" s="105">
        <v>2.7859951108003187E-2</v>
      </c>
      <c r="AA1293" s="102">
        <v>2.7793652213885522E-2</v>
      </c>
    </row>
    <row r="1294" spans="19:27" x14ac:dyDescent="0.2">
      <c r="S1294" s="61"/>
      <c r="T1294" s="82"/>
      <c r="W1294" s="103" t="str">
        <f t="shared" si="28"/>
        <v>1w</v>
      </c>
      <c r="X1294" s="101">
        <f>_xll.qlCalendarAdvance(Calendar,X1293,W1294,"f",FALSE)</f>
        <v>48360</v>
      </c>
      <c r="Y1294" s="104">
        <f>_xll.qlCalendarAdvance(Calendar,X1294,NDays&amp;"D")</f>
        <v>48362</v>
      </c>
      <c r="Z1294" s="105">
        <v>2.7854355757071667E-2</v>
      </c>
      <c r="AA1294" s="102">
        <v>2.7788206825265505E-2</v>
      </c>
    </row>
    <row r="1295" spans="19:27" x14ac:dyDescent="0.2">
      <c r="S1295" s="61"/>
      <c r="T1295" s="82"/>
      <c r="W1295" s="103" t="str">
        <f t="shared" si="28"/>
        <v>1w</v>
      </c>
      <c r="X1295" s="101">
        <f>_xll.qlCalendarAdvance(Calendar,X1294,W1295,"f",FALSE)</f>
        <v>48367</v>
      </c>
      <c r="Y1295" s="104">
        <f>_xll.qlCalendarAdvance(Calendar,X1295,NDays&amp;"D")</f>
        <v>48369</v>
      </c>
      <c r="Z1295" s="105">
        <v>2.7848742168674986E-2</v>
      </c>
      <c r="AA1295" s="102">
        <v>2.7782743321456138E-2</v>
      </c>
    </row>
    <row r="1296" spans="19:27" x14ac:dyDescent="0.2">
      <c r="S1296" s="61"/>
      <c r="T1296" s="82"/>
      <c r="W1296" s="103" t="str">
        <f t="shared" si="28"/>
        <v>1w</v>
      </c>
      <c r="X1296" s="101">
        <f>_xll.qlCalendarAdvance(Calendar,X1295,W1296,"f",FALSE)</f>
        <v>48374</v>
      </c>
      <c r="Y1296" s="104">
        <f>_xll.qlCalendarAdvance(Calendar,X1296,NDays&amp;"D")</f>
        <v>48376</v>
      </c>
      <c r="Z1296" s="105">
        <v>2.784311034289309E-2</v>
      </c>
      <c r="AA1296" s="102">
        <v>2.7777261702537359E-2</v>
      </c>
    </row>
    <row r="1297" spans="19:27" x14ac:dyDescent="0.2">
      <c r="S1297" s="61"/>
      <c r="T1297" s="82"/>
      <c r="W1297" s="103" t="str">
        <f t="shared" si="28"/>
        <v>1w</v>
      </c>
      <c r="X1297" s="101">
        <f>_xll.qlCalendarAdvance(Calendar,X1296,W1297,"f",FALSE)</f>
        <v>48381</v>
      </c>
      <c r="Y1297" s="104">
        <f>_xll.qlCalendarAdvance(Calendar,X1297,NDays&amp;"D")</f>
        <v>48383</v>
      </c>
      <c r="Z1297" s="105">
        <v>2.7837460279803359E-2</v>
      </c>
      <c r="AA1297" s="102">
        <v>2.7771761968429232E-2</v>
      </c>
    </row>
    <row r="1298" spans="19:27" x14ac:dyDescent="0.2">
      <c r="S1298" s="61"/>
      <c r="T1298" s="82"/>
      <c r="W1298" s="103" t="str">
        <f t="shared" si="28"/>
        <v>1w</v>
      </c>
      <c r="X1298" s="101">
        <f>_xll.qlCalendarAdvance(Calendar,X1297,W1298,"f",FALSE)</f>
        <v>48388</v>
      </c>
      <c r="Y1298" s="104">
        <f>_xll.qlCalendarAdvance(Calendar,X1298,NDays&amp;"D")</f>
        <v>48393</v>
      </c>
      <c r="Z1298" s="105">
        <v>2.7828028749075279E-2</v>
      </c>
      <c r="AA1298" s="102">
        <v>2.7765454376060816E-2</v>
      </c>
    </row>
    <row r="1299" spans="19:27" x14ac:dyDescent="0.2">
      <c r="S1299" s="61"/>
      <c r="T1299" s="82"/>
      <c r="W1299" s="103" t="str">
        <f t="shared" si="28"/>
        <v>1w</v>
      </c>
      <c r="X1299" s="101">
        <f>_xll.qlCalendarAdvance(Calendar,X1298,W1299,"f",FALSE)</f>
        <v>48395</v>
      </c>
      <c r="Y1299" s="104">
        <f>_xll.qlCalendarAdvance(Calendar,X1299,NDays&amp;"D")</f>
        <v>48397</v>
      </c>
      <c r="Z1299" s="105">
        <v>2.7826105442030347E-2</v>
      </c>
      <c r="AA1299" s="102">
        <v>2.7760708154564995E-2</v>
      </c>
    </row>
    <row r="1300" spans="19:27" x14ac:dyDescent="0.2">
      <c r="S1300" s="61"/>
      <c r="T1300" s="82"/>
      <c r="W1300" s="103" t="str">
        <f t="shared" si="28"/>
        <v>1w</v>
      </c>
      <c r="X1300" s="101">
        <f>_xll.qlCalendarAdvance(Calendar,X1299,W1300,"f",FALSE)</f>
        <v>48402</v>
      </c>
      <c r="Y1300" s="104">
        <f>_xll.qlCalendarAdvance(Calendar,X1300,NDays&amp;"D")</f>
        <v>48404</v>
      </c>
      <c r="Z1300" s="105">
        <v>2.782040066750523E-2</v>
      </c>
      <c r="AA1300" s="102">
        <v>2.7755154074888821E-2</v>
      </c>
    </row>
    <row r="1301" spans="19:27" x14ac:dyDescent="0.2">
      <c r="S1301" s="61"/>
      <c r="T1301" s="82"/>
      <c r="W1301" s="103" t="str">
        <f t="shared" ref="W1301:W1364" si="29">W1300</f>
        <v>1w</v>
      </c>
      <c r="X1301" s="101">
        <f>_xll.qlCalendarAdvance(Calendar,X1300,W1301,"f",FALSE)</f>
        <v>48409</v>
      </c>
      <c r="Y1301" s="104">
        <f>_xll.qlCalendarAdvance(Calendar,X1301,NDays&amp;"D")</f>
        <v>48411</v>
      </c>
      <c r="Z1301" s="105">
        <v>2.7814677655997981E-2</v>
      </c>
      <c r="AA1301" s="102">
        <v>2.77495818800233E-2</v>
      </c>
    </row>
    <row r="1302" spans="19:27" x14ac:dyDescent="0.2">
      <c r="S1302" s="61"/>
      <c r="T1302" s="82"/>
      <c r="W1302" s="103" t="str">
        <f t="shared" si="29"/>
        <v>1w</v>
      </c>
      <c r="X1302" s="101">
        <f>_xll.qlCalendarAdvance(Calendar,X1301,W1302,"f",FALSE)</f>
        <v>48416</v>
      </c>
      <c r="Y1302" s="104">
        <f>_xll.qlCalendarAdvance(Calendar,X1302,NDays&amp;"D")</f>
        <v>48418</v>
      </c>
      <c r="Z1302" s="105">
        <v>2.7808936407586828E-2</v>
      </c>
      <c r="AA1302" s="102">
        <v>2.7743991569968429E-2</v>
      </c>
    </row>
    <row r="1303" spans="19:27" x14ac:dyDescent="0.2">
      <c r="S1303" s="61"/>
      <c r="T1303" s="82"/>
      <c r="W1303" s="103" t="str">
        <f t="shared" si="29"/>
        <v>1w</v>
      </c>
      <c r="X1303" s="101">
        <f>_xll.qlCalendarAdvance(Calendar,X1302,W1303,"f",FALSE)</f>
        <v>48423</v>
      </c>
      <c r="Y1303" s="104">
        <f>_xll.qlCalendarAdvance(Calendar,X1303,NDays&amp;"D")</f>
        <v>48425</v>
      </c>
      <c r="Z1303" s="105">
        <v>2.7801208067275519E-2</v>
      </c>
      <c r="AA1303" s="102">
        <v>2.7738383144884082E-2</v>
      </c>
    </row>
    <row r="1304" spans="19:27" x14ac:dyDescent="0.2">
      <c r="S1304" s="61"/>
      <c r="T1304" s="82"/>
      <c r="W1304" s="103" t="str">
        <f t="shared" si="29"/>
        <v>1w</v>
      </c>
      <c r="X1304" s="101">
        <f>_xll.qlCalendarAdvance(Calendar,X1303,W1304,"f",FALSE)</f>
        <v>48430</v>
      </c>
      <c r="Y1304" s="104">
        <f>_xll.qlCalendarAdvance(Calendar,X1304,NDays&amp;"D")</f>
        <v>48432</v>
      </c>
      <c r="Z1304" s="105">
        <v>2.779739920038447E-2</v>
      </c>
      <c r="AA1304" s="102">
        <v>2.7732756604370579E-2</v>
      </c>
    </row>
    <row r="1305" spans="19:27" x14ac:dyDescent="0.2">
      <c r="S1305" s="61"/>
      <c r="T1305" s="82"/>
      <c r="W1305" s="103" t="str">
        <f t="shared" si="29"/>
        <v>1w</v>
      </c>
      <c r="X1305" s="101">
        <f>_xll.qlCalendarAdvance(Calendar,X1304,W1305,"f",FALSE)</f>
        <v>48437</v>
      </c>
      <c r="Y1305" s="104">
        <f>_xll.qlCalendarAdvance(Calendar,X1305,NDays&amp;"D")</f>
        <v>48439</v>
      </c>
      <c r="Z1305" s="105">
        <v>2.7791603241755683E-2</v>
      </c>
      <c r="AA1305" s="102">
        <v>2.7727111948907535E-2</v>
      </c>
    </row>
    <row r="1306" spans="19:27" x14ac:dyDescent="0.2">
      <c r="S1306" s="61"/>
      <c r="T1306" s="82"/>
      <c r="W1306" s="103" t="str">
        <f t="shared" si="29"/>
        <v>1w</v>
      </c>
      <c r="X1306" s="101">
        <f>_xll.qlCalendarAdvance(Calendar,X1305,W1306,"f",FALSE)</f>
        <v>48444</v>
      </c>
      <c r="Y1306" s="104">
        <f>_xll.qlCalendarAdvance(Calendar,X1306,NDays&amp;"D")</f>
        <v>48446</v>
      </c>
      <c r="Z1306" s="105">
        <v>2.7785789046552094E-2</v>
      </c>
      <c r="AA1306" s="102">
        <v>2.7721449178255142E-2</v>
      </c>
    </row>
    <row r="1307" spans="19:27" x14ac:dyDescent="0.2">
      <c r="S1307" s="61"/>
      <c r="T1307" s="82"/>
      <c r="W1307" s="103" t="str">
        <f t="shared" si="29"/>
        <v>1w</v>
      </c>
      <c r="X1307" s="101">
        <f>_xll.qlCalendarAdvance(Calendar,X1306,W1307,"f",FALSE)</f>
        <v>48451</v>
      </c>
      <c r="Y1307" s="104">
        <f>_xll.qlCalendarAdvance(Calendar,X1307,NDays&amp;"D")</f>
        <v>48453</v>
      </c>
      <c r="Z1307" s="105">
        <v>2.7779956614855342E-2</v>
      </c>
      <c r="AA1307" s="102">
        <v>2.7715768292333465E-2</v>
      </c>
    </row>
    <row r="1308" spans="19:27" x14ac:dyDescent="0.2">
      <c r="S1308" s="61"/>
      <c r="T1308" s="82"/>
      <c r="W1308" s="103" t="str">
        <f t="shared" si="29"/>
        <v>1w</v>
      </c>
      <c r="X1308" s="101">
        <f>_xll.qlCalendarAdvance(Calendar,X1307,W1308,"f",FALSE)</f>
        <v>48458</v>
      </c>
      <c r="Y1308" s="104">
        <f>_xll.qlCalendarAdvance(Calendar,X1308,NDays&amp;"D")</f>
        <v>48460</v>
      </c>
      <c r="Z1308" s="105">
        <v>2.7772163333494373E-2</v>
      </c>
      <c r="AA1308" s="102">
        <v>2.7710069291302375E-2</v>
      </c>
    </row>
    <row r="1309" spans="19:27" x14ac:dyDescent="0.2">
      <c r="S1309" s="61"/>
      <c r="T1309" s="82"/>
      <c r="W1309" s="103" t="str">
        <f t="shared" si="29"/>
        <v>1w</v>
      </c>
      <c r="X1309" s="101">
        <f>_xll.qlCalendarAdvance(Calendar,X1308,W1309,"f",FALSE)</f>
        <v>48465</v>
      </c>
      <c r="Y1309" s="104">
        <f>_xll.qlCalendarAdvance(Calendar,X1309,NDays&amp;"D")</f>
        <v>48467</v>
      </c>
      <c r="Z1309" s="105">
        <v>2.7766299689148038E-2</v>
      </c>
      <c r="AA1309" s="102">
        <v>2.7704352175081937E-2</v>
      </c>
    </row>
    <row r="1310" spans="19:27" x14ac:dyDescent="0.2">
      <c r="S1310" s="61"/>
      <c r="T1310" s="82"/>
      <c r="W1310" s="103" t="str">
        <f t="shared" si="29"/>
        <v>1w</v>
      </c>
      <c r="X1310" s="101">
        <f>_xll.qlCalendarAdvance(Calendar,X1309,W1310,"f",FALSE)</f>
        <v>48472</v>
      </c>
      <c r="Y1310" s="104">
        <f>_xll.qlCalendarAdvance(Calendar,X1310,NDays&amp;"D")</f>
        <v>48474</v>
      </c>
      <c r="Z1310" s="105">
        <v>2.7760417812460352E-2</v>
      </c>
      <c r="AA1310" s="102">
        <v>2.7698616943752086E-2</v>
      </c>
    </row>
    <row r="1311" spans="19:27" x14ac:dyDescent="0.2">
      <c r="S1311" s="61"/>
      <c r="T1311" s="82"/>
      <c r="W1311" s="103" t="str">
        <f t="shared" si="29"/>
        <v>1w</v>
      </c>
      <c r="X1311" s="101">
        <f>_xll.qlCalendarAdvance(Calendar,X1310,W1311,"f",FALSE)</f>
        <v>48479</v>
      </c>
      <c r="Y1311" s="104">
        <f>_xll.qlCalendarAdvance(Calendar,X1311,NDays&amp;"D")</f>
        <v>48481</v>
      </c>
      <c r="Z1311" s="105">
        <v>2.7756444524800854E-2</v>
      </c>
      <c r="AA1311" s="102">
        <v>2.769286359715295E-2</v>
      </c>
    </row>
    <row r="1312" spans="19:27" x14ac:dyDescent="0.2">
      <c r="S1312" s="61"/>
      <c r="T1312" s="82"/>
      <c r="W1312" s="103" t="str">
        <f t="shared" si="29"/>
        <v>1w</v>
      </c>
      <c r="X1312" s="101">
        <f>_xll.qlCalendarAdvance(Calendar,X1311,W1312,"f",FALSE)</f>
        <v>48486</v>
      </c>
      <c r="Y1312" s="104">
        <f>_xll.qlCalendarAdvance(Calendar,X1312,NDays&amp;"D")</f>
        <v>48488</v>
      </c>
      <c r="Z1312" s="105">
        <v>2.7750520911886629E-2</v>
      </c>
      <c r="AA1312" s="102">
        <v>2.7687092135444402E-2</v>
      </c>
    </row>
    <row r="1313" spans="19:27" x14ac:dyDescent="0.2">
      <c r="S1313" s="61"/>
      <c r="T1313" s="82"/>
      <c r="W1313" s="103" t="str">
        <f t="shared" si="29"/>
        <v>1w</v>
      </c>
      <c r="X1313" s="101">
        <f>_xll.qlCalendarAdvance(Calendar,X1312,W1313,"f",FALSE)</f>
        <v>48493</v>
      </c>
      <c r="Y1313" s="104">
        <f>_xll.qlCalendarAdvance(Calendar,X1313,NDays&amp;"D")</f>
        <v>48495</v>
      </c>
      <c r="Z1313" s="105">
        <v>2.7744579062980963E-2</v>
      </c>
      <c r="AA1313" s="102">
        <v>2.7681302558546506E-2</v>
      </c>
    </row>
    <row r="1314" spans="19:27" x14ac:dyDescent="0.2">
      <c r="S1314" s="61"/>
      <c r="T1314" s="82"/>
      <c r="W1314" s="103" t="str">
        <f t="shared" si="29"/>
        <v>1w</v>
      </c>
      <c r="X1314" s="101">
        <f>_xll.qlCalendarAdvance(Calendar,X1313,W1314,"f",FALSE)</f>
        <v>48500</v>
      </c>
      <c r="Y1314" s="104">
        <f>_xll.qlCalendarAdvance(Calendar,X1314,NDays&amp;"D")</f>
        <v>48502</v>
      </c>
      <c r="Z1314" s="105">
        <v>2.7738618978166346E-2</v>
      </c>
      <c r="AA1314" s="102">
        <v>2.767549486645926E-2</v>
      </c>
    </row>
    <row r="1315" spans="19:27" x14ac:dyDescent="0.2">
      <c r="S1315" s="61"/>
      <c r="T1315" s="82"/>
      <c r="W1315" s="103" t="str">
        <f t="shared" si="29"/>
        <v>1w</v>
      </c>
      <c r="X1315" s="101">
        <f>_xll.qlCalendarAdvance(Calendar,X1314,W1315,"f",FALSE)</f>
        <v>48507</v>
      </c>
      <c r="Y1315" s="104">
        <f>_xll.qlCalendarAdvance(Calendar,X1315,NDays&amp;"D")</f>
        <v>48509</v>
      </c>
      <c r="Z1315" s="105">
        <v>2.7732640657528663E-2</v>
      </c>
      <c r="AA1315" s="102">
        <v>2.7669669059262603E-2</v>
      </c>
    </row>
    <row r="1316" spans="19:27" x14ac:dyDescent="0.2">
      <c r="S1316" s="61"/>
      <c r="T1316" s="82"/>
      <c r="W1316" s="103" t="str">
        <f t="shared" si="29"/>
        <v>1w</v>
      </c>
      <c r="X1316" s="101">
        <f>_xll.qlCalendarAdvance(Calendar,X1315,W1316,"f",FALSE)</f>
        <v>48514</v>
      </c>
      <c r="Y1316" s="104">
        <f>_xll.qlCalendarAdvance(Calendar,X1316,NDays&amp;"D")</f>
        <v>48516</v>
      </c>
      <c r="Z1316" s="105">
        <v>2.7726644101152102E-2</v>
      </c>
      <c r="AA1316" s="102">
        <v>2.7663825136876596E-2</v>
      </c>
    </row>
    <row r="1317" spans="19:27" x14ac:dyDescent="0.2">
      <c r="S1317" s="61"/>
      <c r="T1317" s="82"/>
      <c r="W1317" s="103" t="str">
        <f t="shared" si="29"/>
        <v>1w</v>
      </c>
      <c r="X1317" s="101">
        <f>_xll.qlCalendarAdvance(Calendar,X1316,W1317,"f",FALSE)</f>
        <v>48521</v>
      </c>
      <c r="Y1317" s="104">
        <f>_xll.qlCalendarAdvance(Calendar,X1317,NDays&amp;"D")</f>
        <v>48523</v>
      </c>
      <c r="Z1317" s="105">
        <v>2.7720629309121704E-2</v>
      </c>
      <c r="AA1317" s="102">
        <v>2.7657963099461114E-2</v>
      </c>
    </row>
    <row r="1318" spans="19:27" x14ac:dyDescent="0.2">
      <c r="S1318" s="61"/>
      <c r="T1318" s="82"/>
      <c r="W1318" s="103" t="str">
        <f t="shared" si="29"/>
        <v>1w</v>
      </c>
      <c r="X1318" s="101">
        <f>_xll.qlCalendarAdvance(Calendar,X1317,W1318,"f",FALSE)</f>
        <v>48528</v>
      </c>
      <c r="Y1318" s="104">
        <f>_xll.qlCalendarAdvance(Calendar,X1318,NDays&amp;"D")</f>
        <v>48530</v>
      </c>
      <c r="Z1318" s="105">
        <v>2.7714596281523358E-2</v>
      </c>
      <c r="AA1318" s="102">
        <v>2.765208294669641E-2</v>
      </c>
    </row>
    <row r="1319" spans="19:27" x14ac:dyDescent="0.2">
      <c r="S1319" s="61"/>
      <c r="T1319" s="82"/>
      <c r="W1319" s="103" t="str">
        <f t="shared" si="29"/>
        <v>1w</v>
      </c>
      <c r="X1319" s="101">
        <f>_xll.qlCalendarAdvance(Calendar,X1318,W1319,"f",FALSE)</f>
        <v>48535</v>
      </c>
      <c r="Y1319" s="104">
        <f>_xll.qlCalendarAdvance(Calendar,X1319,NDays&amp;"D")</f>
        <v>48537</v>
      </c>
      <c r="Z1319" s="105">
        <v>2.7708545018442953E-2</v>
      </c>
      <c r="AA1319" s="102">
        <v>2.7646184678982166E-2</v>
      </c>
    </row>
    <row r="1320" spans="19:27" x14ac:dyDescent="0.2">
      <c r="S1320" s="61"/>
      <c r="T1320" s="82"/>
      <c r="W1320" s="103" t="str">
        <f t="shared" si="29"/>
        <v>1w</v>
      </c>
      <c r="X1320" s="101">
        <f>_xll.qlCalendarAdvance(Calendar,X1319,W1320,"f",FALSE)</f>
        <v>48542</v>
      </c>
      <c r="Y1320" s="104">
        <f>_xll.qlCalendarAdvance(Calendar,X1320,NDays&amp;"D")</f>
        <v>48544</v>
      </c>
      <c r="Z1320" s="105">
        <v>2.7702475519964673E-2</v>
      </c>
      <c r="AA1320" s="102">
        <v>2.7640268295918702E-2</v>
      </c>
    </row>
    <row r="1321" spans="19:27" x14ac:dyDescent="0.2">
      <c r="S1321" s="61"/>
      <c r="T1321" s="82"/>
      <c r="W1321" s="103" t="str">
        <f t="shared" si="29"/>
        <v>1w</v>
      </c>
      <c r="X1321" s="101">
        <f>_xll.qlCalendarAdvance(Calendar,X1320,W1321,"f",FALSE)</f>
        <v>48549</v>
      </c>
      <c r="Y1321" s="104">
        <f>_xll.qlCalendarAdvance(Calendar,X1321,NDays&amp;"D")</f>
        <v>48551</v>
      </c>
      <c r="Z1321" s="105">
        <v>2.7693888940967248E-2</v>
      </c>
      <c r="AA1321" s="102">
        <v>2.7634333797745825E-2</v>
      </c>
    </row>
    <row r="1322" spans="19:27" x14ac:dyDescent="0.2">
      <c r="S1322" s="61"/>
      <c r="T1322" s="82"/>
      <c r="W1322" s="103" t="str">
        <f t="shared" si="29"/>
        <v>1w</v>
      </c>
      <c r="X1322" s="101">
        <f>_xll.qlCalendarAdvance(Calendar,X1321,W1322,"f",FALSE)</f>
        <v>48556</v>
      </c>
      <c r="Y1322" s="104">
        <f>_xll.qlCalendarAdvance(Calendar,X1322,NDays&amp;"D")</f>
        <v>48558</v>
      </c>
      <c r="Z1322" s="105">
        <v>2.7687790052294936E-2</v>
      </c>
      <c r="AA1322" s="102">
        <v>2.7628381184383599E-2</v>
      </c>
    </row>
    <row r="1323" spans="19:27" x14ac:dyDescent="0.2">
      <c r="S1323" s="61"/>
      <c r="T1323" s="82"/>
      <c r="W1323" s="103" t="str">
        <f t="shared" si="29"/>
        <v>1w</v>
      </c>
      <c r="X1323" s="101">
        <f>_xll.qlCalendarAdvance(Calendar,X1322,W1323,"f",FALSE)</f>
        <v>48563</v>
      </c>
      <c r="Y1323" s="104">
        <f>_xll.qlCalendarAdvance(Calendar,X1323,NDays&amp;"D")</f>
        <v>48565</v>
      </c>
      <c r="Z1323" s="105">
        <v>2.7681672933637103E-2</v>
      </c>
      <c r="AA1323" s="102">
        <v>2.7622410455911961E-2</v>
      </c>
    </row>
    <row r="1324" spans="19:27" x14ac:dyDescent="0.2">
      <c r="S1324" s="61"/>
      <c r="T1324" s="82"/>
      <c r="W1324" s="103" t="str">
        <f t="shared" si="29"/>
        <v>1w</v>
      </c>
      <c r="X1324" s="101">
        <f>_xll.qlCalendarAdvance(Calendar,X1323,W1324,"f",FALSE)</f>
        <v>48570</v>
      </c>
      <c r="Y1324" s="104">
        <f>_xll.qlCalendarAdvance(Calendar,X1324,NDays&amp;"D")</f>
        <v>48575</v>
      </c>
      <c r="Z1324" s="105">
        <v>2.7673521412914508E-2</v>
      </c>
      <c r="AA1324" s="102">
        <v>2.7615564584442254E-2</v>
      </c>
    </row>
    <row r="1325" spans="19:27" x14ac:dyDescent="0.2">
      <c r="S1325" s="61"/>
      <c r="T1325" s="82"/>
      <c r="W1325" s="103" t="str">
        <f t="shared" si="29"/>
        <v>1w</v>
      </c>
      <c r="X1325" s="101">
        <f>_xll.qlCalendarAdvance(Calendar,X1324,W1325,"f",FALSE)</f>
        <v>48577</v>
      </c>
      <c r="Y1325" s="104">
        <f>_xll.qlCalendarAdvance(Calendar,X1325,NDays&amp;"D")</f>
        <v>48582</v>
      </c>
      <c r="Z1325" s="105">
        <v>2.7667358247615955E-2</v>
      </c>
      <c r="AA1325" s="102">
        <v>2.761018374474844E-2</v>
      </c>
    </row>
    <row r="1326" spans="19:27" x14ac:dyDescent="0.2">
      <c r="S1326" s="61"/>
      <c r="T1326" s="82"/>
      <c r="W1326" s="103" t="str">
        <f t="shared" si="29"/>
        <v>1w</v>
      </c>
      <c r="X1326" s="101">
        <f>_xll.qlCalendarAdvance(Calendar,X1325,W1326,"f",FALSE)</f>
        <v>48584</v>
      </c>
      <c r="Y1326" s="104">
        <f>_xll.qlCalendarAdvance(Calendar,X1326,NDays&amp;"D")</f>
        <v>48589</v>
      </c>
      <c r="Z1326" s="105">
        <v>2.7661176851333208E-2</v>
      </c>
      <c r="AA1326" s="102">
        <v>2.7603527376012238E-2</v>
      </c>
    </row>
    <row r="1327" spans="19:27" x14ac:dyDescent="0.2">
      <c r="S1327" s="61"/>
      <c r="T1327" s="82"/>
      <c r="W1327" s="103" t="str">
        <f t="shared" si="29"/>
        <v>1w</v>
      </c>
      <c r="X1327" s="101">
        <f>_xll.qlCalendarAdvance(Calendar,X1326,W1327,"f",FALSE)</f>
        <v>48591</v>
      </c>
      <c r="Y1327" s="104">
        <f>_xll.qlCalendarAdvance(Calendar,X1327,NDays&amp;"D")</f>
        <v>48593</v>
      </c>
      <c r="Z1327" s="105">
        <v>2.765702216082655E-2</v>
      </c>
      <c r="AA1327" s="102">
        <v>2.7598346390531603E-2</v>
      </c>
    </row>
    <row r="1328" spans="19:27" x14ac:dyDescent="0.2">
      <c r="S1328" s="61"/>
      <c r="T1328" s="82"/>
      <c r="W1328" s="103" t="str">
        <f t="shared" si="29"/>
        <v>1w</v>
      </c>
      <c r="X1328" s="101">
        <f>_xll.qlCalendarAdvance(Calendar,X1327,W1328,"f",FALSE)</f>
        <v>48598</v>
      </c>
      <c r="Y1328" s="104">
        <f>_xll.qlCalendarAdvance(Calendar,X1328,NDays&amp;"D")</f>
        <v>48600</v>
      </c>
      <c r="Z1328" s="105">
        <v>2.7650813893498771E-2</v>
      </c>
      <c r="AA1328" s="102">
        <v>2.7592285086273094E-2</v>
      </c>
    </row>
    <row r="1329" spans="19:27" x14ac:dyDescent="0.2">
      <c r="S1329" s="61"/>
      <c r="T1329" s="82"/>
      <c r="W1329" s="103" t="str">
        <f t="shared" si="29"/>
        <v>1w</v>
      </c>
      <c r="X1329" s="101">
        <f>_xll.qlCalendarAdvance(Calendar,X1328,W1329,"f",FALSE)</f>
        <v>48605</v>
      </c>
      <c r="Y1329" s="104">
        <f>_xll.qlCalendarAdvance(Calendar,X1329,NDays&amp;"D")</f>
        <v>48607</v>
      </c>
      <c r="Z1329" s="105">
        <v>2.7644587396687292E-2</v>
      </c>
      <c r="AA1329" s="102">
        <v>2.7586205666825236E-2</v>
      </c>
    </row>
    <row r="1330" spans="19:27" x14ac:dyDescent="0.2">
      <c r="S1330" s="61"/>
      <c r="T1330" s="82"/>
      <c r="W1330" s="103" t="str">
        <f t="shared" si="29"/>
        <v>1w</v>
      </c>
      <c r="X1330" s="101">
        <f>_xll.qlCalendarAdvance(Calendar,X1329,W1330,"f",FALSE)</f>
        <v>48612</v>
      </c>
      <c r="Y1330" s="104">
        <f>_xll.qlCalendarAdvance(Calendar,X1330,NDays&amp;"D")</f>
        <v>48614</v>
      </c>
      <c r="Z1330" s="105">
        <v>2.7637733589200027E-2</v>
      </c>
      <c r="AA1330" s="102">
        <v>2.7580108132427839E-2</v>
      </c>
    </row>
    <row r="1331" spans="19:27" x14ac:dyDescent="0.2">
      <c r="S1331" s="61"/>
      <c r="T1331" s="82"/>
      <c r="W1331" s="103" t="str">
        <f t="shared" si="29"/>
        <v>1w</v>
      </c>
      <c r="X1331" s="101">
        <f>_xll.qlCalendarAdvance(Calendar,X1330,W1331,"f",FALSE)</f>
        <v>48619</v>
      </c>
      <c r="Y1331" s="104">
        <f>_xll.qlCalendarAdvance(Calendar,X1331,NDays&amp;"D")</f>
        <v>48621</v>
      </c>
      <c r="Z1331" s="105">
        <v>2.7631472414774361E-2</v>
      </c>
      <c r="AA1331" s="102">
        <v>2.757399248268122E-2</v>
      </c>
    </row>
    <row r="1332" spans="19:27" x14ac:dyDescent="0.2">
      <c r="S1332" s="61"/>
      <c r="T1332" s="82"/>
      <c r="W1332" s="103" t="str">
        <f t="shared" si="29"/>
        <v>1w</v>
      </c>
      <c r="X1332" s="101">
        <f>_xll.qlCalendarAdvance(Calendar,X1331,W1332,"f",FALSE)</f>
        <v>48626</v>
      </c>
      <c r="Y1332" s="104">
        <f>_xll.qlCalendarAdvance(Calendar,X1332,NDays&amp;"D")</f>
        <v>48628</v>
      </c>
      <c r="Z1332" s="105">
        <v>2.7625193012399206E-2</v>
      </c>
      <c r="AA1332" s="102">
        <v>2.7567858717905125E-2</v>
      </c>
    </row>
    <row r="1333" spans="19:27" x14ac:dyDescent="0.2">
      <c r="S1333" s="61"/>
      <c r="T1333" s="82"/>
      <c r="W1333" s="103" t="str">
        <f t="shared" si="29"/>
        <v>1w</v>
      </c>
      <c r="X1333" s="101">
        <f>_xll.qlCalendarAdvance(Calendar,X1332,W1333,"f",FALSE)</f>
        <v>48633</v>
      </c>
      <c r="Y1333" s="104">
        <f>_xll.qlCalendarAdvance(Calendar,X1333,NDays&amp;"D")</f>
        <v>48635</v>
      </c>
      <c r="Z1333" s="105">
        <v>2.7618895382161685E-2</v>
      </c>
      <c r="AA1333" s="102">
        <v>2.7561706837859745E-2</v>
      </c>
    </row>
    <row r="1334" spans="19:27" x14ac:dyDescent="0.2">
      <c r="S1334" s="61"/>
      <c r="T1334" s="82"/>
      <c r="W1334" s="103" t="str">
        <f t="shared" si="29"/>
        <v>1w</v>
      </c>
      <c r="X1334" s="101">
        <f>_xll.qlCalendarAdvance(Calendar,X1333,W1334,"f",FALSE)</f>
        <v>48640</v>
      </c>
      <c r="Y1334" s="104">
        <f>_xll.qlCalendarAdvance(Calendar,X1334,NDays&amp;"D")</f>
        <v>48642</v>
      </c>
      <c r="Z1334" s="105">
        <v>2.7616189123878841E-2</v>
      </c>
      <c r="AA1334" s="102">
        <v>2.7555536842704953E-2</v>
      </c>
    </row>
    <row r="1335" spans="19:27" x14ac:dyDescent="0.2">
      <c r="S1335" s="61"/>
      <c r="T1335" s="82"/>
      <c r="W1335" s="103" t="str">
        <f t="shared" si="29"/>
        <v>1w</v>
      </c>
      <c r="X1335" s="101">
        <f>_xll.qlCalendarAdvance(Calendar,X1334,W1335,"f",FALSE)</f>
        <v>48647</v>
      </c>
      <c r="Y1335" s="104">
        <f>_xll.qlCalendarAdvance(Calendar,X1335,NDays&amp;"D")</f>
        <v>48649</v>
      </c>
      <c r="Z1335" s="105">
        <v>2.7609244854339614E-2</v>
      </c>
      <c r="AA1335" s="102">
        <v>2.7549348732440748E-2</v>
      </c>
    </row>
    <row r="1336" spans="19:27" x14ac:dyDescent="0.2">
      <c r="S1336" s="61"/>
      <c r="T1336" s="82"/>
      <c r="W1336" s="103" t="str">
        <f t="shared" si="29"/>
        <v>1w</v>
      </c>
      <c r="X1336" s="101">
        <f>_xll.qlCalendarAdvance(Calendar,X1335,W1336,"f",FALSE)</f>
        <v>48654</v>
      </c>
      <c r="Y1336" s="104">
        <f>_xll.qlCalendarAdvance(Calendar,X1336,NDays&amp;"D")</f>
        <v>48656</v>
      </c>
      <c r="Z1336" s="105">
        <v>2.7602883601397343E-2</v>
      </c>
      <c r="AA1336" s="102">
        <v>2.7543142507067131E-2</v>
      </c>
    </row>
    <row r="1337" spans="19:27" x14ac:dyDescent="0.2">
      <c r="S1337" s="61"/>
      <c r="T1337" s="82"/>
      <c r="W1337" s="103" t="str">
        <f t="shared" si="29"/>
        <v>1w</v>
      </c>
      <c r="X1337" s="101">
        <f>_xll.qlCalendarAdvance(Calendar,X1336,W1337,"f",FALSE)</f>
        <v>48661</v>
      </c>
      <c r="Y1337" s="104">
        <f>_xll.qlCalendarAdvance(Calendar,X1337,NDays&amp;"D")</f>
        <v>48663</v>
      </c>
      <c r="Z1337" s="105">
        <v>2.7596504114558124E-2</v>
      </c>
      <c r="AA1337" s="102">
        <v>2.7536918166504165E-2</v>
      </c>
    </row>
    <row r="1338" spans="19:27" x14ac:dyDescent="0.2">
      <c r="S1338" s="61"/>
      <c r="T1338" s="82"/>
      <c r="W1338" s="103" t="str">
        <f t="shared" si="29"/>
        <v>1w</v>
      </c>
      <c r="X1338" s="101">
        <f>_xll.qlCalendarAdvance(Calendar,X1337,W1338,"f",FALSE)</f>
        <v>48668</v>
      </c>
      <c r="Y1338" s="104">
        <f>_xll.qlCalendarAdvance(Calendar,X1338,NDays&amp;"D")</f>
        <v>48670</v>
      </c>
      <c r="Z1338" s="105">
        <v>2.7588323268907495E-2</v>
      </c>
      <c r="AA1338" s="102">
        <v>2.7530675710751851E-2</v>
      </c>
    </row>
    <row r="1339" spans="19:27" x14ac:dyDescent="0.2">
      <c r="S1339" s="61"/>
      <c r="T1339" s="82"/>
      <c r="W1339" s="103" t="str">
        <f t="shared" si="29"/>
        <v>1w</v>
      </c>
      <c r="X1339" s="101">
        <f>_xll.qlCalendarAdvance(Calendar,X1338,W1339,"f",FALSE)</f>
        <v>48675</v>
      </c>
      <c r="Y1339" s="104">
        <f>_xll.qlCalendarAdvance(Calendar,X1339,NDays&amp;"D")</f>
        <v>48677</v>
      </c>
      <c r="Z1339" s="105">
        <v>2.7581912690439431E-2</v>
      </c>
      <c r="AA1339" s="102">
        <v>2.7524415140049996E-2</v>
      </c>
    </row>
    <row r="1340" spans="19:27" x14ac:dyDescent="0.2">
      <c r="S1340" s="61"/>
      <c r="T1340" s="82"/>
      <c r="W1340" s="103" t="str">
        <f t="shared" si="29"/>
        <v>1w</v>
      </c>
      <c r="X1340" s="101">
        <f>_xll.qlCalendarAdvance(Calendar,X1339,W1340,"f",FALSE)</f>
        <v>48682</v>
      </c>
      <c r="Y1340" s="104">
        <f>_xll.qlCalendarAdvance(Calendar,X1340,NDays&amp;"D")</f>
        <v>48688</v>
      </c>
      <c r="Z1340" s="105">
        <v>2.7571802092650987E-2</v>
      </c>
      <c r="AA1340" s="102">
        <v>2.7516339216440144E-2</v>
      </c>
    </row>
    <row r="1341" spans="19:27" x14ac:dyDescent="0.2">
      <c r="S1341" s="61"/>
      <c r="T1341" s="82"/>
      <c r="W1341" s="103" t="str">
        <f t="shared" si="29"/>
        <v>1w</v>
      </c>
      <c r="X1341" s="101">
        <f>_xll.qlCalendarAdvance(Calendar,X1340,W1341,"f",FALSE)</f>
        <v>48689</v>
      </c>
      <c r="Y1341" s="104">
        <f>_xll.qlCalendarAdvance(Calendar,X1341,NDays&amp;"D")</f>
        <v>48691</v>
      </c>
      <c r="Z1341" s="105">
        <v>2.7569036844160139E-2</v>
      </c>
      <c r="AA1341" s="102">
        <v>2.7511839652918368E-2</v>
      </c>
    </row>
    <row r="1342" spans="19:27" x14ac:dyDescent="0.2">
      <c r="S1342" s="61"/>
      <c r="T1342" s="82"/>
      <c r="W1342" s="103" t="str">
        <f t="shared" si="29"/>
        <v>1w</v>
      </c>
      <c r="X1342" s="101">
        <f>_xll.qlCalendarAdvance(Calendar,X1341,W1342,"f",FALSE)</f>
        <v>48696</v>
      </c>
      <c r="Y1342" s="104">
        <f>_xll.qlCalendarAdvance(Calendar,X1342,NDays&amp;"D")</f>
        <v>48698</v>
      </c>
      <c r="Z1342" s="105">
        <v>2.7562571576526352E-2</v>
      </c>
      <c r="AA1342" s="102">
        <v>2.7505524736648468E-2</v>
      </c>
    </row>
    <row r="1343" spans="19:27" x14ac:dyDescent="0.2">
      <c r="S1343" s="61"/>
      <c r="T1343" s="82"/>
      <c r="W1343" s="103" t="str">
        <f t="shared" si="29"/>
        <v>1w</v>
      </c>
      <c r="X1343" s="101">
        <f>_xll.qlCalendarAdvance(Calendar,X1342,W1343,"f",FALSE)</f>
        <v>48703</v>
      </c>
      <c r="Y1343" s="104">
        <f>_xll.qlCalendarAdvance(Calendar,X1343,NDays&amp;"D")</f>
        <v>48705</v>
      </c>
      <c r="Z1343" s="105">
        <v>2.7557844286751849E-2</v>
      </c>
      <c r="AA1343" s="102">
        <v>2.7499191705189219E-2</v>
      </c>
    </row>
    <row r="1344" spans="19:27" x14ac:dyDescent="0.2">
      <c r="S1344" s="61"/>
      <c r="T1344" s="82"/>
      <c r="W1344" s="103" t="str">
        <f t="shared" si="29"/>
        <v>1w</v>
      </c>
      <c r="X1344" s="101">
        <f>_xll.qlCalendarAdvance(Calendar,X1343,W1344,"f",FALSE)</f>
        <v>48710</v>
      </c>
      <c r="Y1344" s="104">
        <f>_xll.qlCalendarAdvance(Calendar,X1344,NDays&amp;"D")</f>
        <v>48712</v>
      </c>
      <c r="Z1344" s="105">
        <v>2.7551337165175809E-2</v>
      </c>
      <c r="AA1344" s="102">
        <v>2.7492840558700493E-2</v>
      </c>
    </row>
    <row r="1345" spans="19:27" x14ac:dyDescent="0.2">
      <c r="S1345" s="61"/>
      <c r="T1345" s="82"/>
      <c r="W1345" s="103" t="str">
        <f t="shared" si="29"/>
        <v>1w</v>
      </c>
      <c r="X1345" s="101">
        <f>_xll.qlCalendarAdvance(Calendar,X1344,W1345,"f",FALSE)</f>
        <v>48717</v>
      </c>
      <c r="Y1345" s="104">
        <f>_xll.qlCalendarAdvance(Calendar,X1345,NDays&amp;"D")</f>
        <v>48719</v>
      </c>
      <c r="Z1345" s="105">
        <v>2.7544811810432453E-2</v>
      </c>
      <c r="AA1345" s="102">
        <v>2.7486471297022419E-2</v>
      </c>
    </row>
    <row r="1346" spans="19:27" x14ac:dyDescent="0.2">
      <c r="S1346" s="61"/>
      <c r="T1346" s="82"/>
      <c r="W1346" s="103" t="str">
        <f t="shared" si="29"/>
        <v>1w</v>
      </c>
      <c r="X1346" s="101">
        <f>_xll.qlCalendarAdvance(Calendar,X1345,W1346,"f",FALSE)</f>
        <v>48724</v>
      </c>
      <c r="Y1346" s="104">
        <f>_xll.qlCalendarAdvance(Calendar,X1346,NDays&amp;"D")</f>
        <v>48729</v>
      </c>
      <c r="Z1346" s="105">
        <v>2.7534299925674806E-2</v>
      </c>
      <c r="AA1346" s="102">
        <v>2.7479169959088168E-2</v>
      </c>
    </row>
    <row r="1347" spans="19:27" x14ac:dyDescent="0.2">
      <c r="S1347" s="61"/>
      <c r="T1347" s="82"/>
      <c r="W1347" s="103" t="str">
        <f t="shared" si="29"/>
        <v>1w</v>
      </c>
      <c r="X1347" s="101">
        <f>_xll.qlCalendarAdvance(Calendar,X1346,W1347,"f",FALSE)</f>
        <v>48731</v>
      </c>
      <c r="Y1347" s="104">
        <f>_xll.qlCalendarAdvance(Calendar,X1347,NDays&amp;"D")</f>
        <v>48733</v>
      </c>
      <c r="Z1347" s="105">
        <v>2.753170640181796E-2</v>
      </c>
      <c r="AA1347" s="102">
        <v>2.7472761879261398E-2</v>
      </c>
    </row>
    <row r="1348" spans="19:27" x14ac:dyDescent="0.2">
      <c r="S1348" s="61"/>
      <c r="T1348" s="82"/>
      <c r="W1348" s="103" t="str">
        <f t="shared" si="29"/>
        <v>1w</v>
      </c>
      <c r="X1348" s="101">
        <f>_xll.qlCalendarAdvance(Calendar,X1347,W1348,"f",FALSE)</f>
        <v>48738</v>
      </c>
      <c r="Y1348" s="104">
        <f>_xll.qlCalendarAdvance(Calendar,X1348,NDays&amp;"D")</f>
        <v>48740</v>
      </c>
      <c r="Z1348" s="105">
        <v>2.7525126348130508E-2</v>
      </c>
      <c r="AA1348" s="102">
        <v>2.7467254821331721E-2</v>
      </c>
    </row>
    <row r="1349" spans="19:27" x14ac:dyDescent="0.2">
      <c r="S1349" s="61"/>
      <c r="T1349" s="82"/>
      <c r="W1349" s="103" t="str">
        <f t="shared" si="29"/>
        <v>1w</v>
      </c>
      <c r="X1349" s="101">
        <f>_xll.qlCalendarAdvance(Calendar,X1348,W1349,"f",FALSE)</f>
        <v>48745</v>
      </c>
      <c r="Y1349" s="104">
        <f>_xll.qlCalendarAdvance(Calendar,X1349,NDays&amp;"D")</f>
        <v>48747</v>
      </c>
      <c r="Z1349" s="105">
        <v>2.7518528061649908E-2</v>
      </c>
      <c r="AA1349" s="102">
        <v>2.7460813099056125E-2</v>
      </c>
    </row>
    <row r="1350" spans="19:27" x14ac:dyDescent="0.2">
      <c r="S1350" s="61"/>
      <c r="T1350" s="82"/>
      <c r="W1350" s="103" t="str">
        <f t="shared" si="29"/>
        <v>1w</v>
      </c>
      <c r="X1350" s="101">
        <f>_xll.qlCalendarAdvance(Calendar,X1349,W1350,"f",FALSE)</f>
        <v>48752</v>
      </c>
      <c r="Y1350" s="104">
        <f>_xll.qlCalendarAdvance(Calendar,X1350,NDays&amp;"D")</f>
        <v>48757</v>
      </c>
      <c r="Z1350" s="105">
        <v>2.7507926426593651E-2</v>
      </c>
      <c r="AA1350" s="102">
        <v>2.7453428949044678E-2</v>
      </c>
    </row>
    <row r="1351" spans="19:27" x14ac:dyDescent="0.2">
      <c r="S1351" s="61"/>
      <c r="T1351" s="82"/>
      <c r="W1351" s="103" t="str">
        <f t="shared" si="29"/>
        <v>1w</v>
      </c>
      <c r="X1351" s="101">
        <f>_xll.qlCalendarAdvance(Calendar,X1350,W1351,"f",FALSE)</f>
        <v>48759</v>
      </c>
      <c r="Y1351" s="104">
        <f>_xll.qlCalendarAdvance(Calendar,X1351,NDays&amp;"D")</f>
        <v>48761</v>
      </c>
      <c r="Z1351" s="105">
        <v>2.7505276790679177E-2</v>
      </c>
      <c r="AA1351" s="102">
        <v>2.7447875309336567E-2</v>
      </c>
    </row>
    <row r="1352" spans="19:27" x14ac:dyDescent="0.2">
      <c r="S1352" s="61"/>
      <c r="T1352" s="82"/>
      <c r="W1352" s="103" t="str">
        <f t="shared" si="29"/>
        <v>1w</v>
      </c>
      <c r="X1352" s="101">
        <f>_xll.qlCalendarAdvance(Calendar,X1351,W1352,"f",FALSE)</f>
        <v>48766</v>
      </c>
      <c r="Y1352" s="104">
        <f>_xll.qlCalendarAdvance(Calendar,X1352,NDays&amp;"D")</f>
        <v>48768</v>
      </c>
      <c r="Z1352" s="105">
        <v>2.7498623806376136E-2</v>
      </c>
      <c r="AA1352" s="102">
        <v>2.7441379241652797E-2</v>
      </c>
    </row>
    <row r="1353" spans="19:27" x14ac:dyDescent="0.2">
      <c r="S1353" s="61"/>
      <c r="T1353" s="82"/>
      <c r="W1353" s="103" t="str">
        <f t="shared" si="29"/>
        <v>1w</v>
      </c>
      <c r="X1353" s="101">
        <f>_xll.qlCalendarAdvance(Calendar,X1352,W1353,"f",FALSE)</f>
        <v>48773</v>
      </c>
      <c r="Y1353" s="104">
        <f>_xll.qlCalendarAdvance(Calendar,X1353,NDays&amp;"D")</f>
        <v>48775</v>
      </c>
      <c r="Z1353" s="105">
        <v>2.7491952589654114E-2</v>
      </c>
      <c r="AA1353" s="102">
        <v>2.7434865059019486E-2</v>
      </c>
    </row>
    <row r="1354" spans="19:27" x14ac:dyDescent="0.2">
      <c r="S1354" s="61"/>
      <c r="T1354" s="82"/>
      <c r="W1354" s="103" t="str">
        <f t="shared" si="29"/>
        <v>1w</v>
      </c>
      <c r="X1354" s="101">
        <f>_xll.qlCalendarAdvance(Calendar,X1353,W1354,"f",FALSE)</f>
        <v>48780</v>
      </c>
      <c r="Y1354" s="104">
        <f>_xll.qlCalendarAdvance(Calendar,X1354,NDays&amp;"D")</f>
        <v>48782</v>
      </c>
      <c r="Z1354" s="105">
        <v>2.7485263140608358E-2</v>
      </c>
      <c r="AA1354" s="102">
        <v>2.7428332761116891E-2</v>
      </c>
    </row>
    <row r="1355" spans="19:27" x14ac:dyDescent="0.2">
      <c r="S1355" s="61"/>
      <c r="T1355" s="82"/>
      <c r="W1355" s="103" t="str">
        <f t="shared" si="29"/>
        <v>1w</v>
      </c>
      <c r="X1355" s="101">
        <f>_xll.qlCalendarAdvance(Calendar,X1354,W1355,"f",FALSE)</f>
        <v>48787</v>
      </c>
      <c r="Y1355" s="104">
        <f>_xll.qlCalendarAdvance(Calendar,X1355,NDays&amp;"D")</f>
        <v>48789</v>
      </c>
      <c r="Z1355" s="105">
        <v>2.7478555459334107E-2</v>
      </c>
      <c r="AA1355" s="102">
        <v>2.742178234818482E-2</v>
      </c>
    </row>
    <row r="1356" spans="19:27" x14ac:dyDescent="0.2">
      <c r="S1356" s="61"/>
      <c r="T1356" s="82"/>
      <c r="W1356" s="103" t="str">
        <f t="shared" si="29"/>
        <v>1w</v>
      </c>
      <c r="X1356" s="101">
        <f>_xll.qlCalendarAdvance(Calendar,X1355,W1356,"f",FALSE)</f>
        <v>48794</v>
      </c>
      <c r="Y1356" s="104">
        <f>_xll.qlCalendarAdvance(Calendar,X1356,NDays&amp;"D")</f>
        <v>48796</v>
      </c>
      <c r="Z1356" s="105">
        <v>2.7471829545924056E-2</v>
      </c>
      <c r="AA1356" s="102">
        <v>2.74152138200634E-2</v>
      </c>
    </row>
    <row r="1357" spans="19:27" x14ac:dyDescent="0.2">
      <c r="S1357" s="61"/>
      <c r="T1357" s="82"/>
      <c r="W1357" s="103" t="str">
        <f t="shared" si="29"/>
        <v>1w</v>
      </c>
      <c r="X1357" s="101">
        <f>_xll.qlCalendarAdvance(Calendar,X1356,W1357,"f",FALSE)</f>
        <v>48801</v>
      </c>
      <c r="Y1357" s="104">
        <f>_xll.qlCalendarAdvance(Calendar,X1357,NDays&amp;"D")</f>
        <v>48803</v>
      </c>
      <c r="Z1357" s="105">
        <v>2.7465085400475996E-2</v>
      </c>
      <c r="AA1357" s="102">
        <v>2.7408627176912503E-2</v>
      </c>
    </row>
    <row r="1358" spans="19:27" x14ac:dyDescent="0.2">
      <c r="S1358" s="61"/>
      <c r="T1358" s="82"/>
      <c r="W1358" s="103" t="str">
        <f t="shared" si="29"/>
        <v>1w</v>
      </c>
      <c r="X1358" s="101">
        <f>_xll.qlCalendarAdvance(Calendar,X1357,W1358,"f",FALSE)</f>
        <v>48808</v>
      </c>
      <c r="Y1358" s="104">
        <f>_xll.qlCalendarAdvance(Calendar,X1358,NDays&amp;"D")</f>
        <v>48810</v>
      </c>
      <c r="Z1358" s="105">
        <v>2.7458323023085172E-2</v>
      </c>
      <c r="AA1358" s="102">
        <v>2.7402022418572258E-2</v>
      </c>
    </row>
    <row r="1359" spans="19:27" x14ac:dyDescent="0.2">
      <c r="S1359" s="61"/>
      <c r="T1359" s="82"/>
      <c r="W1359" s="103" t="str">
        <f t="shared" si="29"/>
        <v>1w</v>
      </c>
      <c r="X1359" s="101">
        <f>_xll.qlCalendarAdvance(Calendar,X1358,W1359,"f",FALSE)</f>
        <v>48815</v>
      </c>
      <c r="Y1359" s="104">
        <f>_xll.qlCalendarAdvance(Calendar,X1359,NDays&amp;"D")</f>
        <v>48817</v>
      </c>
      <c r="Z1359" s="105">
        <v>2.7451542413846831E-2</v>
      </c>
      <c r="AA1359" s="102">
        <v>2.7395399545122601E-2</v>
      </c>
    </row>
    <row r="1360" spans="19:27" x14ac:dyDescent="0.2">
      <c r="S1360" s="61"/>
      <c r="T1360" s="82"/>
      <c r="W1360" s="103" t="str">
        <f t="shared" si="29"/>
        <v>1w</v>
      </c>
      <c r="X1360" s="101">
        <f>_xll.qlCalendarAdvance(Calendar,X1359,W1360,"f",FALSE)</f>
        <v>48822</v>
      </c>
      <c r="Y1360" s="104">
        <f>_xll.qlCalendarAdvance(Calendar,X1360,NDays&amp;"D")</f>
        <v>48824</v>
      </c>
      <c r="Z1360" s="105">
        <v>2.7443079594235049E-2</v>
      </c>
      <c r="AA1360" s="102">
        <v>2.7388758556563531E-2</v>
      </c>
    </row>
    <row r="1361" spans="19:27" x14ac:dyDescent="0.2">
      <c r="S1361" s="61"/>
      <c r="T1361" s="82"/>
      <c r="W1361" s="103" t="str">
        <f t="shared" si="29"/>
        <v>1w</v>
      </c>
      <c r="X1361" s="101">
        <f>_xll.qlCalendarAdvance(Calendar,X1360,W1361,"f",FALSE)</f>
        <v>48829</v>
      </c>
      <c r="Y1361" s="104">
        <f>_xll.qlCalendarAdvance(Calendar,X1361,NDays&amp;"D")</f>
        <v>48831</v>
      </c>
      <c r="Z1361" s="105">
        <v>2.7436267980721813E-2</v>
      </c>
      <c r="AA1361" s="102">
        <v>2.7382099452815112E-2</v>
      </c>
    </row>
    <row r="1362" spans="19:27" x14ac:dyDescent="0.2">
      <c r="S1362" s="61"/>
      <c r="T1362" s="82"/>
      <c r="W1362" s="103" t="str">
        <f t="shared" si="29"/>
        <v>1w</v>
      </c>
      <c r="X1362" s="101">
        <f>_xll.qlCalendarAdvance(Calendar,X1361,W1362,"f",FALSE)</f>
        <v>48836</v>
      </c>
      <c r="Y1362" s="104">
        <f>_xll.qlCalendarAdvance(Calendar,X1362,NDays&amp;"D")</f>
        <v>48838</v>
      </c>
      <c r="Z1362" s="105">
        <v>2.7429438139398108E-2</v>
      </c>
      <c r="AA1362" s="102">
        <v>2.7375422233957281E-2</v>
      </c>
    </row>
    <row r="1363" spans="19:27" x14ac:dyDescent="0.2">
      <c r="S1363" s="61"/>
      <c r="T1363" s="82"/>
      <c r="W1363" s="103" t="str">
        <f t="shared" si="29"/>
        <v>1w</v>
      </c>
      <c r="X1363" s="101">
        <f>_xll.qlCalendarAdvance(Calendar,X1362,W1363,"f",FALSE)</f>
        <v>48843</v>
      </c>
      <c r="Y1363" s="104">
        <f>_xll.qlCalendarAdvance(Calendar,X1363,NDays&amp;"D")</f>
        <v>48845</v>
      </c>
      <c r="Z1363" s="105">
        <v>2.7422590070358802E-2</v>
      </c>
      <c r="AA1363" s="102">
        <v>2.7368726900069973E-2</v>
      </c>
    </row>
    <row r="1364" spans="19:27" x14ac:dyDescent="0.2">
      <c r="S1364" s="61"/>
      <c r="T1364" s="82"/>
      <c r="W1364" s="103" t="str">
        <f t="shared" si="29"/>
        <v>1w</v>
      </c>
      <c r="X1364" s="101">
        <f>_xll.qlCalendarAdvance(Calendar,X1363,W1364,"f",FALSE)</f>
        <v>48850</v>
      </c>
      <c r="Y1364" s="104">
        <f>_xll.qlCalendarAdvance(Calendar,X1364,NDays&amp;"D")</f>
        <v>48852</v>
      </c>
      <c r="Z1364" s="105">
        <v>2.7415723773697009E-2</v>
      </c>
      <c r="AA1364" s="102">
        <v>2.7362013451073253E-2</v>
      </c>
    </row>
    <row r="1365" spans="19:27" x14ac:dyDescent="0.2">
      <c r="S1365" s="61"/>
      <c r="T1365" s="82"/>
      <c r="W1365" s="103" t="str">
        <f t="shared" ref="W1365:W1428" si="30">W1364</f>
        <v>1w</v>
      </c>
      <c r="X1365" s="101">
        <f>_xll.qlCalendarAdvance(Calendar,X1364,W1365,"f",FALSE)</f>
        <v>48857</v>
      </c>
      <c r="Y1365" s="104">
        <f>_xll.qlCalendarAdvance(Calendar,X1365,NDays&amp;"D")</f>
        <v>48859</v>
      </c>
      <c r="Z1365" s="105">
        <v>2.7410475895034918E-2</v>
      </c>
      <c r="AA1365" s="102">
        <v>2.7355281886887184E-2</v>
      </c>
    </row>
    <row r="1366" spans="19:27" x14ac:dyDescent="0.2">
      <c r="S1366" s="61"/>
      <c r="T1366" s="82"/>
      <c r="W1366" s="103" t="str">
        <f t="shared" si="30"/>
        <v>1w</v>
      </c>
      <c r="X1366" s="101">
        <f>_xll.qlCalendarAdvance(Calendar,X1365,W1366,"f",FALSE)</f>
        <v>48864</v>
      </c>
      <c r="Y1366" s="104">
        <f>_xll.qlCalendarAdvance(Calendar,X1366,NDays&amp;"D")</f>
        <v>48866</v>
      </c>
      <c r="Z1366" s="105">
        <v>2.74035676655741E-2</v>
      </c>
      <c r="AA1366" s="102">
        <v>2.7348532207671639E-2</v>
      </c>
    </row>
    <row r="1367" spans="19:27" x14ac:dyDescent="0.2">
      <c r="S1367" s="61"/>
      <c r="T1367" s="82"/>
      <c r="W1367" s="103" t="str">
        <f t="shared" si="30"/>
        <v>1w</v>
      </c>
      <c r="X1367" s="101">
        <f>_xll.qlCalendarAdvance(Calendar,X1366,W1367,"f",FALSE)</f>
        <v>48871</v>
      </c>
      <c r="Y1367" s="104">
        <f>_xll.qlCalendarAdvance(Calendar,X1367,NDays&amp;"D")</f>
        <v>48873</v>
      </c>
      <c r="Z1367" s="105">
        <v>2.7396641205043863E-2</v>
      </c>
      <c r="AA1367" s="102">
        <v>2.7341764413186809E-2</v>
      </c>
    </row>
    <row r="1368" spans="19:27" x14ac:dyDescent="0.2">
      <c r="S1368" s="61"/>
      <c r="T1368" s="82"/>
      <c r="W1368" s="103" t="str">
        <f t="shared" si="30"/>
        <v>1w</v>
      </c>
      <c r="X1368" s="101">
        <f>_xll.qlCalendarAdvance(Calendar,X1367,W1368,"f",FALSE)</f>
        <v>48878</v>
      </c>
      <c r="Y1368" s="104">
        <f>_xll.qlCalendarAdvance(Calendar,X1368,NDays&amp;"D")</f>
        <v>48880</v>
      </c>
      <c r="Z1368" s="105">
        <v>2.7389696513541149E-2</v>
      </c>
      <c r="AA1368" s="102">
        <v>2.7334978503832374E-2</v>
      </c>
    </row>
    <row r="1369" spans="19:27" x14ac:dyDescent="0.2">
      <c r="S1369" s="61"/>
      <c r="T1369" s="82"/>
      <c r="W1369" s="103" t="str">
        <f t="shared" si="30"/>
        <v>1w</v>
      </c>
      <c r="X1369" s="101">
        <f>_xll.qlCalendarAdvance(Calendar,X1368,W1369,"f",FALSE)</f>
        <v>48885</v>
      </c>
      <c r="Y1369" s="104">
        <f>_xll.qlCalendarAdvance(Calendar,X1369,NDays&amp;"D")</f>
        <v>48887</v>
      </c>
      <c r="Z1369" s="105">
        <v>2.7382733591165453E-2</v>
      </c>
      <c r="AA1369" s="102">
        <v>2.732817447912872E-2</v>
      </c>
    </row>
    <row r="1370" spans="19:27" x14ac:dyDescent="0.2">
      <c r="S1370" s="61"/>
      <c r="T1370" s="82"/>
      <c r="W1370" s="103" t="str">
        <f t="shared" si="30"/>
        <v>1w</v>
      </c>
      <c r="X1370" s="101">
        <f>_xll.qlCalendarAdvance(Calendar,X1369,W1370,"f",FALSE)</f>
        <v>48892</v>
      </c>
      <c r="Y1370" s="104">
        <f>_xll.qlCalendarAdvance(Calendar,X1370,NDays&amp;"D")</f>
        <v>48894</v>
      </c>
      <c r="Z1370" s="105">
        <v>2.7375752438014569E-2</v>
      </c>
      <c r="AA1370" s="102">
        <v>2.7321352339395588E-2</v>
      </c>
    </row>
    <row r="1371" spans="19:27" x14ac:dyDescent="0.2">
      <c r="S1371" s="61"/>
      <c r="T1371" s="82"/>
      <c r="W1371" s="103" t="str">
        <f t="shared" si="30"/>
        <v>1w</v>
      </c>
      <c r="X1371" s="101">
        <f>_xll.qlCalendarAdvance(Calendar,X1370,W1371,"f",FALSE)</f>
        <v>48899</v>
      </c>
      <c r="Y1371" s="104">
        <f>_xll.qlCalendarAdvance(Calendar,X1371,NDays&amp;"D")</f>
        <v>48901</v>
      </c>
      <c r="Z1371" s="105">
        <v>2.736875305418799E-2</v>
      </c>
      <c r="AA1371" s="102">
        <v>2.7314512084553044E-2</v>
      </c>
    </row>
    <row r="1372" spans="19:27" x14ac:dyDescent="0.2">
      <c r="S1372" s="61"/>
      <c r="T1372" s="82"/>
      <c r="W1372" s="103" t="str">
        <f t="shared" si="30"/>
        <v>1w</v>
      </c>
      <c r="X1372" s="101">
        <f>_xll.qlCalendarAdvance(Calendar,X1371,W1372,"f",FALSE)</f>
        <v>48906</v>
      </c>
      <c r="Y1372" s="104">
        <f>_xll.qlCalendarAdvance(Calendar,X1372,NDays&amp;"D")</f>
        <v>48908</v>
      </c>
      <c r="Z1372" s="105">
        <v>2.7361735439784367E-2</v>
      </c>
      <c r="AA1372" s="102">
        <v>2.7307653714601088E-2</v>
      </c>
    </row>
    <row r="1373" spans="19:27" x14ac:dyDescent="0.2">
      <c r="S1373" s="61"/>
      <c r="T1373" s="82"/>
      <c r="W1373" s="103" t="str">
        <f t="shared" si="30"/>
        <v>1w</v>
      </c>
      <c r="X1373" s="101">
        <f>_xll.qlCalendarAdvance(Calendar,X1372,W1373,"f",FALSE)</f>
        <v>48913</v>
      </c>
      <c r="Y1373" s="104">
        <f>_xll.qlCalendarAdvance(Calendar,X1373,NDays&amp;"D")</f>
        <v>48915</v>
      </c>
      <c r="Z1373" s="105">
        <v>2.735257567372873E-2</v>
      </c>
      <c r="AA1373" s="102">
        <v>2.7300777229539719E-2</v>
      </c>
    </row>
    <row r="1374" spans="19:27" x14ac:dyDescent="0.2">
      <c r="S1374" s="61"/>
      <c r="T1374" s="82"/>
      <c r="W1374" s="103" t="str">
        <f t="shared" si="30"/>
        <v>1w</v>
      </c>
      <c r="X1374" s="101">
        <f>_xll.qlCalendarAdvance(Calendar,X1373,W1374,"f",FALSE)</f>
        <v>48920</v>
      </c>
      <c r="Y1374" s="104">
        <f>_xll.qlCalendarAdvance(Calendar,X1374,NDays&amp;"D")</f>
        <v>48922</v>
      </c>
      <c r="Z1374" s="105">
        <v>2.7345528941505215E-2</v>
      </c>
      <c r="AA1374" s="102">
        <v>2.7293882629448873E-2</v>
      </c>
    </row>
    <row r="1375" spans="19:27" x14ac:dyDescent="0.2">
      <c r="S1375" s="61"/>
      <c r="T1375" s="82"/>
      <c r="W1375" s="103" t="str">
        <f t="shared" si="30"/>
        <v>1w</v>
      </c>
      <c r="X1375" s="101">
        <f>_xll.qlCalendarAdvance(Calendar,X1374,W1375,"f",FALSE)</f>
        <v>48927</v>
      </c>
      <c r="Y1375" s="104">
        <f>_xll.qlCalendarAdvance(Calendar,X1375,NDays&amp;"D")</f>
        <v>48929</v>
      </c>
      <c r="Z1375" s="105">
        <v>2.7338463983944905E-2</v>
      </c>
      <c r="AA1375" s="102">
        <v>2.7286969914248616E-2</v>
      </c>
    </row>
    <row r="1376" spans="19:27" x14ac:dyDescent="0.2">
      <c r="S1376" s="61"/>
      <c r="T1376" s="82"/>
      <c r="W1376" s="103" t="str">
        <f t="shared" si="30"/>
        <v>1w</v>
      </c>
      <c r="X1376" s="101">
        <f>_xll.qlCalendarAdvance(Calendar,X1375,W1376,"f",FALSE)</f>
        <v>48934</v>
      </c>
      <c r="Y1376" s="104">
        <f>_xll.qlCalendarAdvance(Calendar,X1376,NDays&amp;"D")</f>
        <v>48936</v>
      </c>
      <c r="Z1376" s="105">
        <v>2.7331380801146388E-2</v>
      </c>
      <c r="AA1376" s="102">
        <v>2.7279047486414854E-2</v>
      </c>
    </row>
    <row r="1377" spans="19:27" x14ac:dyDescent="0.2">
      <c r="S1377" s="61"/>
      <c r="T1377" s="82"/>
      <c r="W1377" s="103" t="str">
        <f t="shared" si="30"/>
        <v>1w</v>
      </c>
      <c r="X1377" s="101">
        <f>_xll.qlCalendarAdvance(Calendar,X1376,W1377,"f",FALSE)</f>
        <v>48941</v>
      </c>
      <c r="Y1377" s="104">
        <f>_xll.qlCalendarAdvance(Calendar,X1377,NDays&amp;"D")</f>
        <v>48943</v>
      </c>
      <c r="Z1377" s="105">
        <v>2.732480324672076E-2</v>
      </c>
      <c r="AA1377" s="102">
        <v>2.727309013835999E-2</v>
      </c>
    </row>
    <row r="1378" spans="19:27" x14ac:dyDescent="0.2">
      <c r="S1378" s="61"/>
      <c r="T1378" s="82"/>
      <c r="W1378" s="103" t="str">
        <f t="shared" si="30"/>
        <v>1w</v>
      </c>
      <c r="X1378" s="101">
        <f>_xll.qlCalendarAdvance(Calendar,X1377,W1378,"f",FALSE)</f>
        <v>48948</v>
      </c>
      <c r="Y1378" s="104">
        <f>_xll.qlCalendarAdvance(Calendar,X1378,NDays&amp;"D")</f>
        <v>48953</v>
      </c>
      <c r="Z1378" s="105">
        <v>2.7315145208548015E-2</v>
      </c>
      <c r="AA1378" s="102">
        <v>2.7265126304607534E-2</v>
      </c>
    </row>
    <row r="1379" spans="19:27" x14ac:dyDescent="0.2">
      <c r="S1379" s="61"/>
      <c r="T1379" s="82"/>
      <c r="W1379" s="103" t="str">
        <f t="shared" si="30"/>
        <v>1w</v>
      </c>
      <c r="X1379" s="101">
        <f>_xll.qlCalendarAdvance(Calendar,X1378,W1379,"f",FALSE)</f>
        <v>48955</v>
      </c>
      <c r="Y1379" s="104">
        <f>_xll.qlCalendarAdvance(Calendar,X1379,NDays&amp;"D")</f>
        <v>48957</v>
      </c>
      <c r="Z1379" s="105">
        <v>2.7310021902273718E-2</v>
      </c>
      <c r="AA1379" s="102">
        <v>2.725913790211365E-2</v>
      </c>
    </row>
    <row r="1380" spans="19:27" x14ac:dyDescent="0.2">
      <c r="S1380" s="61"/>
      <c r="T1380" s="82"/>
      <c r="W1380" s="103" t="str">
        <f t="shared" si="30"/>
        <v>1w</v>
      </c>
      <c r="X1380" s="101">
        <f>_xll.qlCalendarAdvance(Calendar,X1379,W1380,"f",FALSE)</f>
        <v>48962</v>
      </c>
      <c r="Y1380" s="104">
        <f>_xll.qlCalendarAdvance(Calendar,X1380,NDays&amp;"D")</f>
        <v>48964</v>
      </c>
      <c r="Z1380" s="105">
        <v>2.7302865819478939E-2</v>
      </c>
      <c r="AA1380" s="102">
        <v>2.7252134611286394E-2</v>
      </c>
    </row>
    <row r="1381" spans="19:27" x14ac:dyDescent="0.2">
      <c r="S1381" s="61"/>
      <c r="T1381" s="82"/>
      <c r="W1381" s="103" t="str">
        <f t="shared" si="30"/>
        <v>1w</v>
      </c>
      <c r="X1381" s="101">
        <f>_xll.qlCalendarAdvance(Calendar,X1380,W1381,"f",FALSE)</f>
        <v>48969</v>
      </c>
      <c r="Y1381" s="104">
        <f>_xll.qlCalendarAdvance(Calendar,X1381,NDays&amp;"D")</f>
        <v>48971</v>
      </c>
      <c r="Z1381" s="105">
        <v>2.7295691511929121E-2</v>
      </c>
      <c r="AA1381" s="102">
        <v>2.7245113205509597E-2</v>
      </c>
    </row>
    <row r="1382" spans="19:27" x14ac:dyDescent="0.2">
      <c r="S1382" s="61"/>
      <c r="T1382" s="82"/>
      <c r="W1382" s="103" t="str">
        <f t="shared" si="30"/>
        <v>1w</v>
      </c>
      <c r="X1382" s="101">
        <f>_xll.qlCalendarAdvance(Calendar,X1381,W1382,"f",FALSE)</f>
        <v>48976</v>
      </c>
      <c r="Y1382" s="104">
        <f>_xll.qlCalendarAdvance(Calendar,X1382,NDays&amp;"D")</f>
        <v>48978</v>
      </c>
      <c r="Z1382" s="105">
        <v>2.7287984190201727E-2</v>
      </c>
      <c r="AA1382" s="102">
        <v>2.7238073684463515E-2</v>
      </c>
    </row>
    <row r="1383" spans="19:27" x14ac:dyDescent="0.2">
      <c r="S1383" s="61"/>
      <c r="T1383" s="82"/>
      <c r="W1383" s="103" t="str">
        <f t="shared" si="30"/>
        <v>1w</v>
      </c>
      <c r="X1383" s="101">
        <f>_xll.qlCalendarAdvance(Calendar,X1382,W1383,"f",FALSE)</f>
        <v>48983</v>
      </c>
      <c r="Y1383" s="104">
        <f>_xll.qlCalendarAdvance(Calendar,X1383,NDays&amp;"D")</f>
        <v>48985</v>
      </c>
      <c r="Z1383" s="105">
        <v>2.7280775279725524E-2</v>
      </c>
      <c r="AA1383" s="102">
        <v>2.7231016048387957E-2</v>
      </c>
    </row>
    <row r="1384" spans="19:27" x14ac:dyDescent="0.2">
      <c r="S1384" s="61"/>
      <c r="T1384" s="82"/>
      <c r="W1384" s="103" t="str">
        <f t="shared" si="30"/>
        <v>1w</v>
      </c>
      <c r="X1384" s="101">
        <f>_xll.qlCalendarAdvance(Calendar,X1383,W1384,"f",FALSE)</f>
        <v>48990</v>
      </c>
      <c r="Y1384" s="104">
        <f>_xll.qlCalendarAdvance(Calendar,X1384,NDays&amp;"D")</f>
        <v>48992</v>
      </c>
      <c r="Z1384" s="105">
        <v>2.7273548146013366E-2</v>
      </c>
      <c r="AA1384" s="102">
        <v>2.7223940297282923E-2</v>
      </c>
    </row>
    <row r="1385" spans="19:27" x14ac:dyDescent="0.2">
      <c r="S1385" s="61"/>
      <c r="T1385" s="82"/>
      <c r="W1385" s="103" t="str">
        <f t="shared" si="30"/>
        <v>1w</v>
      </c>
      <c r="X1385" s="101">
        <f>_xll.qlCalendarAdvance(Calendar,X1384,W1385,"f",FALSE)</f>
        <v>48997</v>
      </c>
      <c r="Y1385" s="104">
        <f>_xll.qlCalendarAdvance(Calendar,X1385,NDays&amp;"D")</f>
        <v>48999</v>
      </c>
      <c r="Z1385" s="105">
        <v>2.7266302789160458E-2</v>
      </c>
      <c r="AA1385" s="102">
        <v>2.7216846430988539E-2</v>
      </c>
    </row>
    <row r="1386" spans="19:27" x14ac:dyDescent="0.2">
      <c r="S1386" s="61"/>
      <c r="T1386" s="82"/>
      <c r="W1386" s="103" t="str">
        <f t="shared" si="30"/>
        <v>1w</v>
      </c>
      <c r="X1386" s="101">
        <f>_xll.qlCalendarAdvance(Calendar,X1385,W1386,"f",FALSE)</f>
        <v>49004</v>
      </c>
      <c r="Y1386" s="104">
        <f>_xll.qlCalendarAdvance(Calendar,X1386,NDays&amp;"D")</f>
        <v>49006</v>
      </c>
      <c r="Z1386" s="105">
        <v>2.7261574683829632E-2</v>
      </c>
      <c r="AA1386" s="102">
        <v>2.720973444966468E-2</v>
      </c>
    </row>
    <row r="1387" spans="19:27" x14ac:dyDescent="0.2">
      <c r="S1387" s="61"/>
      <c r="T1387" s="82"/>
      <c r="W1387" s="103" t="str">
        <f t="shared" si="30"/>
        <v>1w</v>
      </c>
      <c r="X1387" s="101">
        <f>_xll.qlCalendarAdvance(Calendar,X1386,W1387,"f",FALSE)</f>
        <v>49011</v>
      </c>
      <c r="Y1387" s="104">
        <f>_xll.qlCalendarAdvance(Calendar,X1387,NDays&amp;"D")</f>
        <v>49013</v>
      </c>
      <c r="Z1387" s="105">
        <v>2.7254283622870395E-2</v>
      </c>
      <c r="AA1387" s="102">
        <v>2.7202604353231408E-2</v>
      </c>
    </row>
    <row r="1388" spans="19:27" x14ac:dyDescent="0.2">
      <c r="S1388" s="61"/>
      <c r="T1388" s="82"/>
      <c r="W1388" s="103" t="str">
        <f t="shared" si="30"/>
        <v>1w</v>
      </c>
      <c r="X1388" s="101">
        <f>_xll.qlCalendarAdvance(Calendar,X1387,W1388,"f",FALSE)</f>
        <v>49018</v>
      </c>
      <c r="Y1388" s="104">
        <f>_xll.qlCalendarAdvance(Calendar,X1388,NDays&amp;"D")</f>
        <v>49020</v>
      </c>
      <c r="Z1388" s="105">
        <v>2.7246974332958345E-2</v>
      </c>
      <c r="AA1388" s="102">
        <v>2.7195456141688723E-2</v>
      </c>
    </row>
    <row r="1389" spans="19:27" x14ac:dyDescent="0.2">
      <c r="S1389" s="61"/>
      <c r="T1389" s="82"/>
      <c r="W1389" s="103" t="str">
        <f t="shared" si="30"/>
        <v>1w</v>
      </c>
      <c r="X1389" s="101">
        <f>_xll.qlCalendarAdvance(Calendar,X1388,W1389,"f",FALSE)</f>
        <v>49025</v>
      </c>
      <c r="Y1389" s="104">
        <f>_xll.qlCalendarAdvance(Calendar,X1389,NDays&amp;"D")</f>
        <v>49027</v>
      </c>
      <c r="Z1389" s="105">
        <v>2.7239646814197226E-2</v>
      </c>
      <c r="AA1389" s="102">
        <v>2.7188289815036626E-2</v>
      </c>
    </row>
    <row r="1390" spans="19:27" x14ac:dyDescent="0.2">
      <c r="S1390" s="61"/>
      <c r="T1390" s="82"/>
      <c r="W1390" s="103" t="str">
        <f t="shared" si="30"/>
        <v>1w</v>
      </c>
      <c r="X1390" s="101">
        <f>_xll.qlCalendarAdvance(Calendar,X1389,W1390,"f",FALSE)</f>
        <v>49032</v>
      </c>
      <c r="Y1390" s="104">
        <f>_xll.qlCalendarAdvance(Calendar,X1390,NDays&amp;"D")</f>
        <v>49034</v>
      </c>
      <c r="Z1390" s="105">
        <v>2.723080247913864E-2</v>
      </c>
      <c r="AA1390" s="102">
        <v>2.7181105373355052E-2</v>
      </c>
    </row>
    <row r="1391" spans="19:27" x14ac:dyDescent="0.2">
      <c r="S1391" s="61"/>
      <c r="T1391" s="82"/>
      <c r="W1391" s="103" t="str">
        <f t="shared" si="30"/>
        <v>1w</v>
      </c>
      <c r="X1391" s="101">
        <f>_xll.qlCalendarAdvance(Calendar,X1390,W1391,"f",FALSE)</f>
        <v>49039</v>
      </c>
      <c r="Y1391" s="104">
        <f>_xll.qlCalendarAdvance(Calendar,X1391,NDays&amp;"D")</f>
        <v>49045</v>
      </c>
      <c r="Z1391" s="105">
        <v>2.7219231087105947E-2</v>
      </c>
      <c r="AA1391" s="102">
        <v>2.7171841615913905E-2</v>
      </c>
    </row>
    <row r="1392" spans="19:27" x14ac:dyDescent="0.2">
      <c r="S1392" s="61"/>
      <c r="T1392" s="82"/>
      <c r="W1392" s="103" t="str">
        <f t="shared" si="30"/>
        <v>1w</v>
      </c>
      <c r="X1392" s="101">
        <f>_xll.qlCalendarAdvance(Calendar,X1391,W1392,"f",FALSE)</f>
        <v>49046</v>
      </c>
      <c r="Y1392" s="104">
        <f>_xll.qlCalendarAdvance(Calendar,X1392,NDays&amp;"D")</f>
        <v>49048</v>
      </c>
      <c r="Z1392" s="105">
        <v>2.7216067442257439E-2</v>
      </c>
      <c r="AA1392" s="102">
        <v>2.7166682144663667E-2</v>
      </c>
    </row>
    <row r="1393" spans="19:27" x14ac:dyDescent="0.2">
      <c r="S1393" s="61"/>
      <c r="T1393" s="82"/>
      <c r="W1393" s="103" t="str">
        <f t="shared" si="30"/>
        <v>1w</v>
      </c>
      <c r="X1393" s="101">
        <f>_xll.qlCalendarAdvance(Calendar,X1392,W1393,"f",FALSE)</f>
        <v>49053</v>
      </c>
      <c r="Y1393" s="104">
        <f>_xll.qlCalendarAdvance(Calendar,X1393,NDays&amp;"D")</f>
        <v>49055</v>
      </c>
      <c r="Z1393" s="105">
        <v>2.720867258658809E-2</v>
      </c>
      <c r="AA1393" s="102">
        <v>2.7159443357733792E-2</v>
      </c>
    </row>
    <row r="1394" spans="19:27" x14ac:dyDescent="0.2">
      <c r="S1394" s="61"/>
      <c r="T1394" s="82"/>
      <c r="W1394" s="103" t="str">
        <f t="shared" si="30"/>
        <v>1w</v>
      </c>
      <c r="X1394" s="101">
        <f>_xll.qlCalendarAdvance(Calendar,X1393,W1394,"f",FALSE)</f>
        <v>49060</v>
      </c>
      <c r="Y1394" s="104">
        <f>_xll.qlCalendarAdvance(Calendar,X1394,NDays&amp;"D")</f>
        <v>49062</v>
      </c>
      <c r="Z1394" s="105">
        <v>2.7202735791305447E-2</v>
      </c>
      <c r="AA1394" s="102">
        <v>2.7151148276551851E-2</v>
      </c>
    </row>
    <row r="1395" spans="19:27" x14ac:dyDescent="0.2">
      <c r="S1395" s="61"/>
      <c r="T1395" s="82"/>
      <c r="W1395" s="103" t="str">
        <f t="shared" si="30"/>
        <v>1w</v>
      </c>
      <c r="X1395" s="101">
        <f>_xll.qlCalendarAdvance(Calendar,X1394,W1395,"f",FALSE)</f>
        <v>49067</v>
      </c>
      <c r="Y1395" s="104">
        <f>_xll.qlCalendarAdvance(Calendar,X1395,NDays&amp;"D")</f>
        <v>49069</v>
      </c>
      <c r="Z1395" s="105">
        <v>2.7195298901643055E-2</v>
      </c>
      <c r="AA1395" s="102">
        <v>2.7144911438545805E-2</v>
      </c>
    </row>
    <row r="1396" spans="19:27" x14ac:dyDescent="0.2">
      <c r="S1396" s="61"/>
      <c r="T1396" s="82"/>
      <c r="W1396" s="103" t="str">
        <f t="shared" si="30"/>
        <v>1w</v>
      </c>
      <c r="X1396" s="101">
        <f>_xll.qlCalendarAdvance(Calendar,X1395,W1396,"f",FALSE)</f>
        <v>49074</v>
      </c>
      <c r="Y1396" s="104">
        <f>_xll.qlCalendarAdvance(Calendar,X1396,NDays&amp;"D")</f>
        <v>49076</v>
      </c>
      <c r="Z1396" s="105">
        <v>2.7187843783863776E-2</v>
      </c>
      <c r="AA1396" s="102">
        <v>2.7137618306287692E-2</v>
      </c>
    </row>
    <row r="1397" spans="19:27" x14ac:dyDescent="0.2">
      <c r="S1397" s="61"/>
      <c r="T1397" s="82"/>
      <c r="W1397" s="103" t="str">
        <f t="shared" si="30"/>
        <v>1w</v>
      </c>
      <c r="X1397" s="101">
        <f>_xll.qlCalendarAdvance(Calendar,X1396,W1397,"f",FALSE)</f>
        <v>49081</v>
      </c>
      <c r="Y1397" s="104">
        <f>_xll.qlCalendarAdvance(Calendar,X1397,NDays&amp;"D")</f>
        <v>49086</v>
      </c>
      <c r="Z1397" s="105">
        <v>2.7176190734288907E-2</v>
      </c>
      <c r="AA1397" s="102">
        <v>2.7129261116307646E-2</v>
      </c>
    </row>
    <row r="1398" spans="19:27" x14ac:dyDescent="0.2">
      <c r="S1398" s="61"/>
      <c r="T1398" s="82"/>
      <c r="W1398" s="103" t="str">
        <f t="shared" si="30"/>
        <v>1w</v>
      </c>
      <c r="X1398" s="101">
        <f>_xll.qlCalendarAdvance(Calendar,X1397,W1398,"f",FALSE)</f>
        <v>49088</v>
      </c>
      <c r="Y1398" s="104">
        <f>_xll.qlCalendarAdvance(Calendar,X1398,NDays&amp;"D")</f>
        <v>49090</v>
      </c>
      <c r="Z1398" s="105">
        <v>2.7172878864382296E-2</v>
      </c>
      <c r="AA1398" s="102">
        <v>2.712192916606071E-2</v>
      </c>
    </row>
    <row r="1399" spans="19:27" x14ac:dyDescent="0.2">
      <c r="S1399" s="61"/>
      <c r="T1399" s="82"/>
      <c r="W1399" s="103" t="str">
        <f t="shared" si="30"/>
        <v>1w</v>
      </c>
      <c r="X1399" s="101">
        <f>_xll.qlCalendarAdvance(Calendar,X1398,W1399,"f",FALSE)</f>
        <v>49095</v>
      </c>
      <c r="Y1399" s="104">
        <f>_xll.qlCalendarAdvance(Calendar,X1399,NDays&amp;"D")</f>
        <v>49097</v>
      </c>
      <c r="Z1399" s="105">
        <v>2.7165369062891839E-2</v>
      </c>
      <c r="AA1399" s="102">
        <v>2.7115630219176623E-2</v>
      </c>
    </row>
    <row r="1400" spans="19:27" x14ac:dyDescent="0.2">
      <c r="S1400" s="61"/>
      <c r="T1400" s="82"/>
      <c r="W1400" s="103" t="str">
        <f t="shared" si="30"/>
        <v>1w</v>
      </c>
      <c r="X1400" s="101">
        <f>_xll.qlCalendarAdvance(Calendar,X1399,W1400,"f",FALSE)</f>
        <v>49102</v>
      </c>
      <c r="Y1400" s="104">
        <f>_xll.qlCalendarAdvance(Calendar,X1400,NDays&amp;"D")</f>
        <v>49104</v>
      </c>
      <c r="Z1400" s="105">
        <v>2.715784103370969E-2</v>
      </c>
      <c r="AA1400" s="102">
        <v>2.7108264626560796E-2</v>
      </c>
    </row>
    <row r="1401" spans="19:27" x14ac:dyDescent="0.2">
      <c r="S1401" s="61"/>
      <c r="T1401" s="82"/>
      <c r="W1401" s="103" t="str">
        <f t="shared" si="30"/>
        <v>1w</v>
      </c>
      <c r="X1401" s="101">
        <f>_xll.qlCalendarAdvance(Calendar,X1400,W1401,"f",FALSE)</f>
        <v>49109</v>
      </c>
      <c r="Y1401" s="104">
        <f>_xll.qlCalendarAdvance(Calendar,X1401,NDays&amp;"D")</f>
        <v>49111</v>
      </c>
      <c r="Z1401" s="105">
        <v>2.7150294776942988E-2</v>
      </c>
      <c r="AA1401" s="102">
        <v>2.7100880918995429E-2</v>
      </c>
    </row>
    <row r="1402" spans="19:27" x14ac:dyDescent="0.2">
      <c r="S1402" s="61"/>
      <c r="T1402" s="82"/>
      <c r="W1402" s="103" t="str">
        <f t="shared" si="30"/>
        <v>1w</v>
      </c>
      <c r="X1402" s="101">
        <f>_xll.qlCalendarAdvance(Calendar,X1401,W1402,"f",FALSE)</f>
        <v>49116</v>
      </c>
      <c r="Y1402" s="104">
        <f>_xll.qlCalendarAdvance(Calendar,X1402,NDays&amp;"D")</f>
        <v>49121</v>
      </c>
      <c r="Z1402" s="105">
        <v>2.713853021219674E-2</v>
      </c>
      <c r="AA1402" s="102">
        <v>2.7092420214298585E-2</v>
      </c>
    </row>
    <row r="1403" spans="19:27" x14ac:dyDescent="0.2">
      <c r="S1403" s="61"/>
      <c r="T1403" s="82"/>
      <c r="W1403" s="103" t="str">
        <f t="shared" si="30"/>
        <v>1w</v>
      </c>
      <c r="X1403" s="101">
        <f>_xll.qlCalendarAdvance(Calendar,X1402,W1403,"f",FALSE)</f>
        <v>49123</v>
      </c>
      <c r="Y1403" s="104">
        <f>_xll.qlCalendarAdvance(Calendar,X1403,NDays&amp;"D")</f>
        <v>49125</v>
      </c>
      <c r="Z1403" s="105">
        <v>2.7133721689119861E-2</v>
      </c>
      <c r="AA1403" s="102">
        <v>2.7086059158456521E-2</v>
      </c>
    </row>
    <row r="1404" spans="19:27" x14ac:dyDescent="0.2">
      <c r="S1404" s="61"/>
      <c r="T1404" s="82"/>
      <c r="W1404" s="103" t="str">
        <f t="shared" si="30"/>
        <v>1w</v>
      </c>
      <c r="X1404" s="101">
        <f>_xll.qlCalendarAdvance(Calendar,X1403,W1404,"f",FALSE)</f>
        <v>49130</v>
      </c>
      <c r="Y1404" s="104">
        <f>_xll.qlCalendarAdvance(Calendar,X1404,NDays&amp;"D")</f>
        <v>49132</v>
      </c>
      <c r="Z1404" s="105">
        <v>2.7127546642207082E-2</v>
      </c>
      <c r="AA1404" s="102">
        <v>2.7078621105722789E-2</v>
      </c>
    </row>
    <row r="1405" spans="19:27" x14ac:dyDescent="0.2">
      <c r="S1405" s="61"/>
      <c r="T1405" s="82"/>
      <c r="W1405" s="103" t="str">
        <f t="shared" si="30"/>
        <v>1w</v>
      </c>
      <c r="X1405" s="101">
        <f>_xll.qlCalendarAdvance(Calendar,X1404,W1405,"f",FALSE)</f>
        <v>49137</v>
      </c>
      <c r="Y1405" s="104">
        <f>_xll.qlCalendarAdvance(Calendar,X1405,NDays&amp;"D")</f>
        <v>49139</v>
      </c>
      <c r="Z1405" s="105">
        <v>2.7119927476175375E-2</v>
      </c>
      <c r="AA1405" s="102">
        <v>2.7071164937719772E-2</v>
      </c>
    </row>
    <row r="1406" spans="19:27" x14ac:dyDescent="0.2">
      <c r="S1406" s="61"/>
      <c r="T1406" s="82"/>
      <c r="W1406" s="103" t="str">
        <f t="shared" si="30"/>
        <v>1w</v>
      </c>
      <c r="X1406" s="101">
        <f>_xll.qlCalendarAdvance(Calendar,X1405,W1406,"f",FALSE)</f>
        <v>49144</v>
      </c>
      <c r="Y1406" s="104">
        <f>_xll.qlCalendarAdvance(Calendar,X1406,NDays&amp;"D")</f>
        <v>49146</v>
      </c>
      <c r="Z1406" s="105">
        <v>2.7112290083095708E-2</v>
      </c>
      <c r="AA1406" s="102">
        <v>2.7063690654767214E-2</v>
      </c>
    </row>
    <row r="1407" spans="19:27" x14ac:dyDescent="0.2">
      <c r="S1407" s="61"/>
      <c r="T1407" s="82"/>
      <c r="W1407" s="103" t="str">
        <f t="shared" si="30"/>
        <v>1w</v>
      </c>
      <c r="X1407" s="101">
        <f>_xll.qlCalendarAdvance(Calendar,X1406,W1407,"f",FALSE)</f>
        <v>49151</v>
      </c>
      <c r="Y1407" s="104">
        <f>_xll.qlCalendarAdvance(Calendar,X1407,NDays&amp;"D")</f>
        <v>49153</v>
      </c>
      <c r="Z1407" s="105">
        <v>2.710463446307949E-2</v>
      </c>
      <c r="AA1407" s="102">
        <v>2.7056198256705244E-2</v>
      </c>
    </row>
    <row r="1408" spans="19:27" x14ac:dyDescent="0.2">
      <c r="S1408" s="61"/>
      <c r="T1408" s="82"/>
      <c r="W1408" s="103" t="str">
        <f t="shared" si="30"/>
        <v>1w</v>
      </c>
      <c r="X1408" s="101">
        <f>_xll.qlCalendarAdvance(Calendar,X1407,W1408,"f",FALSE)</f>
        <v>49158</v>
      </c>
      <c r="Y1408" s="104">
        <f>_xll.qlCalendarAdvance(Calendar,X1408,NDays&amp;"D")</f>
        <v>49160</v>
      </c>
      <c r="Z1408" s="105">
        <v>2.7096960616232159E-2</v>
      </c>
      <c r="AA1408" s="102">
        <v>2.7048687743613797E-2</v>
      </c>
    </row>
    <row r="1409" spans="19:27" x14ac:dyDescent="0.2">
      <c r="S1409" s="61"/>
      <c r="T1409" s="82"/>
      <c r="W1409" s="103" t="str">
        <f t="shared" si="30"/>
        <v>1w</v>
      </c>
      <c r="X1409" s="101">
        <f>_xll.qlCalendarAdvance(Calendar,X1408,W1409,"f",FALSE)</f>
        <v>49165</v>
      </c>
      <c r="Y1409" s="104">
        <f>_xll.qlCalendarAdvance(Calendar,X1409,NDays&amp;"D")</f>
        <v>49167</v>
      </c>
      <c r="Z1409" s="105">
        <v>2.7089268542665124E-2</v>
      </c>
      <c r="AA1409" s="102">
        <v>2.7041159115412938E-2</v>
      </c>
    </row>
    <row r="1410" spans="19:27" x14ac:dyDescent="0.2">
      <c r="S1410" s="61"/>
      <c r="T1410" s="82"/>
      <c r="W1410" s="103" t="str">
        <f t="shared" si="30"/>
        <v>1w</v>
      </c>
      <c r="X1410" s="101">
        <f>_xll.qlCalendarAdvance(Calendar,X1409,W1410,"f",FALSE)</f>
        <v>49172</v>
      </c>
      <c r="Y1410" s="104">
        <f>_xll.qlCalendarAdvance(Calendar,X1410,NDays&amp;"D")</f>
        <v>49174</v>
      </c>
      <c r="Z1410" s="105">
        <v>2.7081558242484677E-2</v>
      </c>
      <c r="AA1410" s="102">
        <v>2.7033612372182603E-2</v>
      </c>
    </row>
    <row r="1411" spans="19:27" x14ac:dyDescent="0.2">
      <c r="S1411" s="61"/>
      <c r="T1411" s="82"/>
      <c r="W1411" s="103" t="str">
        <f t="shared" si="30"/>
        <v>1w</v>
      </c>
      <c r="X1411" s="101">
        <f>_xll.qlCalendarAdvance(Calendar,X1410,W1411,"f",FALSE)</f>
        <v>49179</v>
      </c>
      <c r="Y1411" s="104">
        <f>_xll.qlCalendarAdvance(Calendar,X1411,NDays&amp;"D")</f>
        <v>49181</v>
      </c>
      <c r="Z1411" s="105">
        <v>2.707382971580307E-2</v>
      </c>
      <c r="AA1411" s="102">
        <v>2.7026047513842855E-2</v>
      </c>
    </row>
    <row r="1412" spans="19:27" x14ac:dyDescent="0.2">
      <c r="S1412" s="61"/>
      <c r="T1412" s="82"/>
      <c r="W1412" s="103" t="str">
        <f t="shared" si="30"/>
        <v>1w</v>
      </c>
      <c r="X1412" s="101">
        <f>_xll.qlCalendarAdvance(Calendar,X1411,W1412,"f",FALSE)</f>
        <v>49186</v>
      </c>
      <c r="Y1412" s="104">
        <f>_xll.qlCalendarAdvance(Calendar,X1412,NDays&amp;"D")</f>
        <v>49188</v>
      </c>
      <c r="Z1412" s="105">
        <v>2.7064707756074127E-2</v>
      </c>
      <c r="AA1412" s="102">
        <v>2.7018464540393694E-2</v>
      </c>
    </row>
    <row r="1413" spans="19:27" x14ac:dyDescent="0.2">
      <c r="S1413" s="61"/>
      <c r="T1413" s="82"/>
      <c r="W1413" s="103" t="str">
        <f t="shared" si="30"/>
        <v>1w</v>
      </c>
      <c r="X1413" s="101">
        <f>_xll.qlCalendarAdvance(Calendar,X1412,W1413,"f",FALSE)</f>
        <v>49193</v>
      </c>
      <c r="Y1413" s="104">
        <f>_xll.qlCalendarAdvance(Calendar,X1413,NDays&amp;"D")</f>
        <v>49195</v>
      </c>
      <c r="Z1413" s="105">
        <v>2.7056948426343302E-2</v>
      </c>
      <c r="AA1413" s="102">
        <v>2.7010863451994993E-2</v>
      </c>
    </row>
    <row r="1414" spans="19:27" x14ac:dyDescent="0.2">
      <c r="S1414" s="61"/>
      <c r="T1414" s="82"/>
      <c r="W1414" s="103" t="str">
        <f t="shared" si="30"/>
        <v>1w</v>
      </c>
      <c r="X1414" s="101">
        <f>_xll.qlCalendarAdvance(Calendar,X1413,W1414,"f",FALSE)</f>
        <v>49200</v>
      </c>
      <c r="Y1414" s="104">
        <f>_xll.qlCalendarAdvance(Calendar,X1414,NDays&amp;"D")</f>
        <v>49202</v>
      </c>
      <c r="Z1414" s="105">
        <v>2.7049170874010146E-2</v>
      </c>
      <c r="AA1414" s="102">
        <v>2.700324424848688E-2</v>
      </c>
    </row>
    <row r="1415" spans="19:27" x14ac:dyDescent="0.2">
      <c r="S1415" s="61"/>
      <c r="T1415" s="82"/>
      <c r="W1415" s="103" t="str">
        <f t="shared" si="30"/>
        <v>1w</v>
      </c>
      <c r="X1415" s="101">
        <f>_xll.qlCalendarAdvance(Calendar,X1414,W1415,"f",FALSE)</f>
        <v>49207</v>
      </c>
      <c r="Y1415" s="104">
        <f>_xll.qlCalendarAdvance(Calendar,X1415,NDays&amp;"D")</f>
        <v>49209</v>
      </c>
      <c r="Z1415" s="105">
        <v>2.7041375099183588E-2</v>
      </c>
      <c r="AA1415" s="102">
        <v>2.6995606929869354E-2</v>
      </c>
    </row>
    <row r="1416" spans="19:27" x14ac:dyDescent="0.2">
      <c r="S1416" s="61"/>
      <c r="T1416" s="82"/>
      <c r="W1416" s="103" t="str">
        <f t="shared" si="30"/>
        <v>1w</v>
      </c>
      <c r="X1416" s="101">
        <f>_xll.qlCalendarAdvance(Calendar,X1415,W1416,"f",FALSE)</f>
        <v>49214</v>
      </c>
      <c r="Y1416" s="104">
        <f>_xll.qlCalendarAdvance(Calendar,X1416,NDays&amp;"D")</f>
        <v>49216</v>
      </c>
      <c r="Z1416" s="105">
        <v>2.7033561101969913E-2</v>
      </c>
      <c r="AA1416" s="102">
        <v>2.6987951496222351E-2</v>
      </c>
    </row>
    <row r="1417" spans="19:27" x14ac:dyDescent="0.2">
      <c r="S1417" s="61"/>
      <c r="T1417" s="82"/>
      <c r="W1417" s="103" t="str">
        <f t="shared" si="30"/>
        <v>1w</v>
      </c>
      <c r="X1417" s="101">
        <f>_xll.qlCalendarAdvance(Calendar,X1416,W1417,"f",FALSE)</f>
        <v>49221</v>
      </c>
      <c r="Y1417" s="104">
        <f>_xll.qlCalendarAdvance(Calendar,X1417,NDays&amp;"D")</f>
        <v>49223</v>
      </c>
      <c r="Z1417" s="105">
        <v>2.70270758053161E-2</v>
      </c>
      <c r="AA1417" s="102">
        <v>2.6980277947545872E-2</v>
      </c>
    </row>
    <row r="1418" spans="19:27" x14ac:dyDescent="0.2">
      <c r="S1418" s="61"/>
      <c r="T1418" s="82"/>
      <c r="W1418" s="103" t="str">
        <f t="shared" si="30"/>
        <v>1w</v>
      </c>
      <c r="X1418" s="101">
        <f>_xll.qlCalendarAdvance(Calendar,X1417,W1418,"f",FALSE)</f>
        <v>49228</v>
      </c>
      <c r="Y1418" s="104">
        <f>_xll.qlCalendarAdvance(Calendar,X1418,NDays&amp;"D")</f>
        <v>49230</v>
      </c>
      <c r="Z1418" s="105">
        <v>2.7019219696200514E-2</v>
      </c>
      <c r="AA1418" s="102">
        <v>2.6972586283839917E-2</v>
      </c>
    </row>
    <row r="1419" spans="19:27" x14ac:dyDescent="0.2">
      <c r="S1419" s="61"/>
      <c r="T1419" s="82"/>
      <c r="W1419" s="103" t="str">
        <f t="shared" si="30"/>
        <v>1w</v>
      </c>
      <c r="X1419" s="101">
        <f>_xll.qlCalendarAdvance(Calendar,X1418,W1419,"f",FALSE)</f>
        <v>49235</v>
      </c>
      <c r="Y1419" s="104">
        <f>_xll.qlCalendarAdvance(Calendar,X1419,NDays&amp;"D")</f>
        <v>49237</v>
      </c>
      <c r="Z1419" s="105">
        <v>2.701134536146732E-2</v>
      </c>
      <c r="AA1419" s="102">
        <v>2.6964876504944613E-2</v>
      </c>
    </row>
    <row r="1420" spans="19:27" x14ac:dyDescent="0.2">
      <c r="S1420" s="61"/>
      <c r="T1420" s="82"/>
      <c r="W1420" s="103" t="str">
        <f t="shared" si="30"/>
        <v>1w</v>
      </c>
      <c r="X1420" s="101">
        <f>_xll.qlCalendarAdvance(Calendar,X1419,W1420,"f",FALSE)</f>
        <v>49242</v>
      </c>
      <c r="Y1420" s="104">
        <f>_xll.qlCalendarAdvance(Calendar,X1420,NDays&amp;"D")</f>
        <v>49244</v>
      </c>
      <c r="Z1420" s="105">
        <v>2.7003452801227911E-2</v>
      </c>
      <c r="AA1420" s="102">
        <v>2.6957148611099768E-2</v>
      </c>
    </row>
    <row r="1421" spans="19:27" x14ac:dyDescent="0.2">
      <c r="S1421" s="61"/>
      <c r="T1421" s="82"/>
      <c r="W1421" s="103" t="str">
        <f t="shared" si="30"/>
        <v>1w</v>
      </c>
      <c r="X1421" s="101">
        <f>_xll.qlCalendarAdvance(Calendar,X1420,W1421,"f",FALSE)</f>
        <v>49249</v>
      </c>
      <c r="Y1421" s="104">
        <f>_xll.qlCalendarAdvance(Calendar,X1421,NDays&amp;"D")</f>
        <v>49251</v>
      </c>
      <c r="Z1421" s="105">
        <v>2.6995542015592844E-2</v>
      </c>
      <c r="AA1421" s="102">
        <v>2.6949402602225447E-2</v>
      </c>
    </row>
    <row r="1422" spans="19:27" x14ac:dyDescent="0.2">
      <c r="S1422" s="61"/>
      <c r="T1422" s="82"/>
      <c r="W1422" s="103" t="str">
        <f t="shared" si="30"/>
        <v>1w</v>
      </c>
      <c r="X1422" s="101">
        <f>_xll.qlCalendarAdvance(Calendar,X1421,W1422,"f",FALSE)</f>
        <v>49256</v>
      </c>
      <c r="Y1422" s="104">
        <f>_xll.qlCalendarAdvance(Calendar,X1422,NDays&amp;"D")</f>
        <v>49258</v>
      </c>
      <c r="Z1422" s="105">
        <v>2.6987613004676919E-2</v>
      </c>
      <c r="AA1422" s="102">
        <v>2.6941638478241714E-2</v>
      </c>
    </row>
    <row r="1423" spans="19:27" x14ac:dyDescent="0.2">
      <c r="S1423" s="61"/>
      <c r="T1423" s="82"/>
      <c r="W1423" s="103" t="str">
        <f t="shared" si="30"/>
        <v>1w</v>
      </c>
      <c r="X1423" s="101">
        <f>_xll.qlCalendarAdvance(Calendar,X1422,W1423,"f",FALSE)</f>
        <v>49263</v>
      </c>
      <c r="Y1423" s="104">
        <f>_xll.qlCalendarAdvance(Calendar,X1423,NDays&amp;"D")</f>
        <v>49265</v>
      </c>
      <c r="Z1423" s="105">
        <v>2.6979665768589831E-2</v>
      </c>
      <c r="AA1423" s="102">
        <v>2.6933856239148568E-2</v>
      </c>
    </row>
    <row r="1424" spans="19:27" x14ac:dyDescent="0.2">
      <c r="S1424" s="61"/>
      <c r="T1424" s="82"/>
      <c r="W1424" s="103" t="str">
        <f t="shared" si="30"/>
        <v>1w</v>
      </c>
      <c r="X1424" s="101">
        <f>_xll.qlCalendarAdvance(Calendar,X1423,W1424,"f",FALSE)</f>
        <v>49270</v>
      </c>
      <c r="Y1424" s="104">
        <f>_xll.qlCalendarAdvance(Calendar,X1424,NDays&amp;"D")</f>
        <v>49272</v>
      </c>
      <c r="Z1424" s="105">
        <v>2.6971700307445539E-2</v>
      </c>
      <c r="AA1424" s="102">
        <v>2.6926055885105882E-2</v>
      </c>
    </row>
    <row r="1425" spans="19:27" x14ac:dyDescent="0.2">
      <c r="S1425" s="61"/>
      <c r="T1425" s="82"/>
      <c r="W1425" s="103" t="str">
        <f t="shared" si="30"/>
        <v>1w</v>
      </c>
      <c r="X1425" s="101">
        <f>_xll.qlCalendarAdvance(Calendar,X1424,W1425,"f",FALSE)</f>
        <v>49277</v>
      </c>
      <c r="Y1425" s="104">
        <f>_xll.qlCalendarAdvance(Calendar,X1425,NDays&amp;"D")</f>
        <v>49279</v>
      </c>
      <c r="Z1425" s="105">
        <v>2.6961980990579448E-2</v>
      </c>
      <c r="AA1425" s="102">
        <v>2.6918237415953783E-2</v>
      </c>
    </row>
    <row r="1426" spans="19:27" x14ac:dyDescent="0.2">
      <c r="S1426" s="61"/>
      <c r="T1426" s="82"/>
      <c r="W1426" s="103" t="str">
        <f t="shared" si="30"/>
        <v>1w</v>
      </c>
      <c r="X1426" s="101">
        <f>_xll.qlCalendarAdvance(Calendar,X1425,W1426,"f",FALSE)</f>
        <v>49284</v>
      </c>
      <c r="Y1426" s="104">
        <f>_xll.qlCalendarAdvance(Calendar,X1426,NDays&amp;"D")</f>
        <v>49286</v>
      </c>
      <c r="Z1426" s="105">
        <v>2.69539866736066E-2</v>
      </c>
      <c r="AA1426" s="102">
        <v>2.6910400831852144E-2</v>
      </c>
    </row>
    <row r="1427" spans="19:27" x14ac:dyDescent="0.2">
      <c r="S1427" s="61"/>
      <c r="T1427" s="82"/>
      <c r="W1427" s="103" t="str">
        <f t="shared" si="30"/>
        <v>1w</v>
      </c>
      <c r="X1427" s="101">
        <f>_xll.qlCalendarAdvance(Calendar,X1426,W1427,"f",FALSE)</f>
        <v>49291</v>
      </c>
      <c r="Y1427" s="104">
        <f>_xll.qlCalendarAdvance(Calendar,X1427,NDays&amp;"D")</f>
        <v>49293</v>
      </c>
      <c r="Z1427" s="105">
        <v>2.6945974136615369E-2</v>
      </c>
      <c r="AA1427" s="102">
        <v>2.6902546132561156E-2</v>
      </c>
    </row>
    <row r="1428" spans="19:27" x14ac:dyDescent="0.2">
      <c r="S1428" s="61"/>
      <c r="T1428" s="82"/>
      <c r="W1428" s="103" t="str">
        <f t="shared" si="30"/>
        <v>1w</v>
      </c>
      <c r="X1428" s="101">
        <f>_xll.qlCalendarAdvance(Calendar,X1427,W1428,"f",FALSE)</f>
        <v>49298</v>
      </c>
      <c r="Y1428" s="104">
        <f>_xll.qlCalendarAdvance(Calendar,X1428,NDays&amp;"D")</f>
        <v>49300</v>
      </c>
      <c r="Z1428" s="105">
        <v>2.6937943379715001E-2</v>
      </c>
      <c r="AA1428" s="102">
        <v>2.6892420615496349E-2</v>
      </c>
    </row>
    <row r="1429" spans="19:27" x14ac:dyDescent="0.2">
      <c r="S1429" s="61"/>
      <c r="T1429" s="82"/>
      <c r="W1429" s="103" t="str">
        <f t="shared" ref="W1429:W1492" si="31">W1428</f>
        <v>1w</v>
      </c>
      <c r="X1429" s="101">
        <f>_xll.qlCalendarAdvance(Calendar,X1428,W1429,"f",FALSE)</f>
        <v>49305</v>
      </c>
      <c r="Y1429" s="104">
        <f>_xll.qlCalendarAdvance(Calendar,X1429,NDays&amp;"D")</f>
        <v>49307</v>
      </c>
      <c r="Z1429" s="105">
        <v>2.6930320950146365E-2</v>
      </c>
      <c r="AA1429" s="102">
        <v>2.6885653634680651E-2</v>
      </c>
    </row>
    <row r="1430" spans="19:27" x14ac:dyDescent="0.2">
      <c r="S1430" s="61"/>
      <c r="T1430" s="82"/>
      <c r="W1430" s="103" t="str">
        <f t="shared" si="31"/>
        <v>1w</v>
      </c>
      <c r="X1430" s="101">
        <f>_xll.qlCalendarAdvance(Calendar,X1429,W1430,"f",FALSE)</f>
        <v>49312</v>
      </c>
      <c r="Y1430" s="104">
        <f>_xll.qlCalendarAdvance(Calendar,X1430,NDays&amp;"D")</f>
        <v>49314</v>
      </c>
      <c r="Z1430" s="105">
        <v>2.6921827206623838E-2</v>
      </c>
      <c r="AA1430" s="102">
        <v>2.6878873344671206E-2</v>
      </c>
    </row>
    <row r="1431" spans="19:27" x14ac:dyDescent="0.2">
      <c r="S1431" s="61"/>
      <c r="T1431" s="82"/>
      <c r="W1431" s="103" t="str">
        <f t="shared" si="31"/>
        <v>1w</v>
      </c>
      <c r="X1431" s="101">
        <f>_xll.qlCalendarAdvance(Calendar,X1430,W1431,"f",FALSE)</f>
        <v>49319</v>
      </c>
      <c r="Y1431" s="104">
        <f>_xll.qlCalendarAdvance(Calendar,X1431,NDays&amp;"D")</f>
        <v>49321</v>
      </c>
      <c r="Z1431" s="105">
        <v>2.6913741790652423E-2</v>
      </c>
      <c r="AA1431" s="102">
        <v>2.6870946185262312E-2</v>
      </c>
    </row>
    <row r="1432" spans="19:27" x14ac:dyDescent="0.2">
      <c r="S1432" s="61"/>
      <c r="T1432" s="82"/>
      <c r="W1432" s="103" t="str">
        <f t="shared" si="31"/>
        <v>1w</v>
      </c>
      <c r="X1432" s="101">
        <f>_xll.qlCalendarAdvance(Calendar,X1431,W1432,"f",FALSE)</f>
        <v>49326</v>
      </c>
      <c r="Y1432" s="104">
        <f>_xll.qlCalendarAdvance(Calendar,X1432,NDays&amp;"D")</f>
        <v>49328</v>
      </c>
      <c r="Z1432" s="105">
        <v>2.6905638155210632E-2</v>
      </c>
      <c r="AA1432" s="102">
        <v>2.6863000910823942E-2</v>
      </c>
    </row>
    <row r="1433" spans="19:27" x14ac:dyDescent="0.2">
      <c r="S1433" s="61"/>
      <c r="T1433" s="82"/>
      <c r="W1433" s="103" t="str">
        <f t="shared" si="31"/>
        <v>1w</v>
      </c>
      <c r="X1433" s="101">
        <f>_xll.qlCalendarAdvance(Calendar,X1432,W1433,"f",FALSE)</f>
        <v>49333</v>
      </c>
      <c r="Y1433" s="104">
        <f>_xll.qlCalendarAdvance(Calendar,X1433,NDays&amp;"D")</f>
        <v>49335</v>
      </c>
      <c r="Z1433" s="105">
        <v>2.6897516300405044E-2</v>
      </c>
      <c r="AA1433" s="102">
        <v>2.6855037521356095E-2</v>
      </c>
    </row>
    <row r="1434" spans="19:27" x14ac:dyDescent="0.2">
      <c r="S1434" s="61"/>
      <c r="T1434" s="82"/>
      <c r="W1434" s="103" t="str">
        <f t="shared" si="31"/>
        <v>1w</v>
      </c>
      <c r="X1434" s="101">
        <f>_xll.qlCalendarAdvance(Calendar,X1433,W1434,"f",FALSE)</f>
        <v>49340</v>
      </c>
      <c r="Y1434" s="104">
        <f>_xll.qlCalendarAdvance(Calendar,X1434,NDays&amp;"D")</f>
        <v>49342</v>
      </c>
      <c r="Z1434" s="105">
        <v>2.6888959043915958E-2</v>
      </c>
      <c r="AA1434" s="102">
        <v>2.6847056016778836E-2</v>
      </c>
    </row>
    <row r="1435" spans="19:27" x14ac:dyDescent="0.2">
      <c r="S1435" s="61"/>
      <c r="T1435" s="82"/>
      <c r="W1435" s="103" t="str">
        <f t="shared" si="31"/>
        <v>1w</v>
      </c>
      <c r="X1435" s="101">
        <f>_xll.qlCalendarAdvance(Calendar,X1434,W1435,"f",FALSE)</f>
        <v>49347</v>
      </c>
      <c r="Y1435" s="104">
        <f>_xll.qlCalendarAdvance(Calendar,X1435,NDays&amp;"D")</f>
        <v>49349</v>
      </c>
      <c r="Z1435" s="105">
        <v>2.6880802659204957E-2</v>
      </c>
      <c r="AA1435" s="102">
        <v>2.6839056397252037E-2</v>
      </c>
    </row>
    <row r="1436" spans="19:27" x14ac:dyDescent="0.2">
      <c r="S1436" s="61"/>
      <c r="T1436" s="82"/>
      <c r="W1436" s="103" t="str">
        <f t="shared" si="31"/>
        <v>1w</v>
      </c>
      <c r="X1436" s="101">
        <f>_xll.qlCalendarAdvance(Calendar,X1435,W1436,"f",FALSE)</f>
        <v>49354</v>
      </c>
      <c r="Y1436" s="104">
        <f>_xll.qlCalendarAdvance(Calendar,X1436,NDays&amp;"D")</f>
        <v>49356</v>
      </c>
      <c r="Z1436" s="105">
        <v>2.687262805662988E-2</v>
      </c>
      <c r="AA1436" s="102">
        <v>2.6831038662615825E-2</v>
      </c>
    </row>
    <row r="1437" spans="19:27" x14ac:dyDescent="0.2">
      <c r="S1437" s="61"/>
      <c r="T1437" s="82"/>
      <c r="W1437" s="103" t="str">
        <f t="shared" si="31"/>
        <v>1w</v>
      </c>
      <c r="X1437" s="101">
        <f>_xll.qlCalendarAdvance(Calendar,X1436,W1437,"f",FALSE)</f>
        <v>49361</v>
      </c>
      <c r="Y1437" s="104">
        <f>_xll.qlCalendarAdvance(Calendar,X1437,NDays&amp;"D")</f>
        <v>49363</v>
      </c>
      <c r="Z1437" s="105">
        <v>2.686443523629941E-2</v>
      </c>
      <c r="AA1437" s="102">
        <v>2.6823002813030072E-2</v>
      </c>
    </row>
    <row r="1438" spans="19:27" x14ac:dyDescent="0.2">
      <c r="S1438" s="61"/>
      <c r="T1438" s="82"/>
      <c r="W1438" s="103" t="str">
        <f t="shared" si="31"/>
        <v>1w</v>
      </c>
      <c r="X1438" s="101">
        <f>_xll.qlCalendarAdvance(Calendar,X1437,W1438,"f",FALSE)</f>
        <v>49368</v>
      </c>
      <c r="Y1438" s="104">
        <f>_xll.qlCalendarAdvance(Calendar,X1438,NDays&amp;"D")</f>
        <v>49370</v>
      </c>
      <c r="Z1438" s="105">
        <v>2.6858270284182889E-2</v>
      </c>
      <c r="AA1438" s="102">
        <v>2.6814948848334907E-2</v>
      </c>
    </row>
    <row r="1439" spans="19:27" x14ac:dyDescent="0.2">
      <c r="S1439" s="61"/>
      <c r="T1439" s="82"/>
      <c r="W1439" s="103" t="str">
        <f t="shared" si="31"/>
        <v>1w</v>
      </c>
      <c r="X1439" s="101">
        <f>_xll.qlCalendarAdvance(Calendar,X1438,W1439,"f",FALSE)</f>
        <v>49375</v>
      </c>
      <c r="Y1439" s="104">
        <f>_xll.qlCalendarAdvance(Calendar,X1439,NDays&amp;"D")</f>
        <v>49377</v>
      </c>
      <c r="Z1439" s="105">
        <v>2.6850031460886107E-2</v>
      </c>
      <c r="AA1439" s="102">
        <v>2.6806876768610266E-2</v>
      </c>
    </row>
    <row r="1440" spans="19:27" x14ac:dyDescent="0.2">
      <c r="S1440" s="61"/>
      <c r="T1440" s="82"/>
      <c r="W1440" s="103" t="str">
        <f t="shared" si="31"/>
        <v>1w</v>
      </c>
      <c r="X1440" s="101">
        <f>_xll.qlCalendarAdvance(Calendar,X1439,W1440,"f",FALSE)</f>
        <v>49382</v>
      </c>
      <c r="Y1440" s="104">
        <f>_xll.qlCalendarAdvance(Calendar,X1440,NDays&amp;"D")</f>
        <v>49384</v>
      </c>
      <c r="Z1440" s="105">
        <v>2.6841774414370644E-2</v>
      </c>
      <c r="AA1440" s="102">
        <v>2.6798786573936084E-2</v>
      </c>
    </row>
    <row r="1441" spans="19:27" x14ac:dyDescent="0.2">
      <c r="S1441" s="61"/>
      <c r="T1441" s="82"/>
      <c r="W1441" s="103" t="str">
        <f t="shared" si="31"/>
        <v>1w</v>
      </c>
      <c r="X1441" s="101">
        <f>_xll.qlCalendarAdvance(Calendar,X1440,W1441,"f",FALSE)</f>
        <v>49389</v>
      </c>
      <c r="Y1441" s="104">
        <f>_xll.qlCalendarAdvance(Calendar,X1441,NDays&amp;"D")</f>
        <v>49395</v>
      </c>
      <c r="Z1441" s="105">
        <v>2.6827957970899315E-2</v>
      </c>
      <c r="AA1441" s="102">
        <v>2.678835827699011E-2</v>
      </c>
    </row>
    <row r="1442" spans="19:27" x14ac:dyDescent="0.2">
      <c r="S1442" s="61"/>
      <c r="T1442" s="82"/>
      <c r="W1442" s="103" t="str">
        <f t="shared" si="31"/>
        <v>1w</v>
      </c>
      <c r="X1442" s="101">
        <f>_xll.qlCalendarAdvance(Calendar,X1441,W1442,"f",FALSE)</f>
        <v>49396</v>
      </c>
      <c r="Y1442" s="104">
        <f>_xll.qlCalendarAdvance(Calendar,X1442,NDays&amp;"D")</f>
        <v>49398</v>
      </c>
      <c r="Z1442" s="105">
        <v>2.6824001473242182E-2</v>
      </c>
      <c r="AA1442" s="102">
        <v>2.6782551839339419E-2</v>
      </c>
    </row>
    <row r="1443" spans="19:27" x14ac:dyDescent="0.2">
      <c r="S1443" s="61"/>
      <c r="T1443" s="82"/>
      <c r="W1443" s="103" t="str">
        <f t="shared" si="31"/>
        <v>1w</v>
      </c>
      <c r="X1443" s="101">
        <f>_xll.qlCalendarAdvance(Calendar,X1442,W1443,"f",FALSE)</f>
        <v>49403</v>
      </c>
      <c r="Y1443" s="104">
        <f>_xll.qlCalendarAdvance(Calendar,X1443,NDays&amp;"D")</f>
        <v>49405</v>
      </c>
      <c r="Z1443" s="105">
        <v>2.6815695512961299E-2</v>
      </c>
      <c r="AA1443" s="102">
        <v>2.6774407299496872E-2</v>
      </c>
    </row>
    <row r="1444" spans="19:27" x14ac:dyDescent="0.2">
      <c r="S1444" s="61"/>
      <c r="T1444" s="82"/>
      <c r="W1444" s="103" t="str">
        <f t="shared" si="31"/>
        <v>1w</v>
      </c>
      <c r="X1444" s="101">
        <f>_xll.qlCalendarAdvance(Calendar,X1443,W1444,"f",FALSE)</f>
        <v>49410</v>
      </c>
      <c r="Y1444" s="104">
        <f>_xll.qlCalendarAdvance(Calendar,X1444,NDays&amp;"D")</f>
        <v>49412</v>
      </c>
      <c r="Z1444" s="105">
        <v>2.6807371333390603E-2</v>
      </c>
      <c r="AA1444" s="102">
        <v>2.676624464478472E-2</v>
      </c>
    </row>
    <row r="1445" spans="19:27" x14ac:dyDescent="0.2">
      <c r="S1445" s="61"/>
      <c r="T1445" s="82"/>
      <c r="W1445" s="103" t="str">
        <f t="shared" si="31"/>
        <v>1w</v>
      </c>
      <c r="X1445" s="101">
        <f>_xll.qlCalendarAdvance(Calendar,X1444,W1445,"f",FALSE)</f>
        <v>49417</v>
      </c>
      <c r="Y1445" s="104">
        <f>_xll.qlCalendarAdvance(Calendar,X1445,NDays&amp;"D")</f>
        <v>49419</v>
      </c>
      <c r="Z1445" s="105">
        <v>2.6799028934648684E-2</v>
      </c>
      <c r="AA1445" s="102">
        <v>2.675806387488322E-2</v>
      </c>
    </row>
    <row r="1446" spans="19:27" x14ac:dyDescent="0.2">
      <c r="S1446" s="61"/>
      <c r="T1446" s="82"/>
      <c r="W1446" s="103" t="str">
        <f t="shared" si="31"/>
        <v>1w</v>
      </c>
      <c r="X1446" s="101">
        <f>_xll.qlCalendarAdvance(Calendar,X1445,W1446,"f",FALSE)</f>
        <v>49424</v>
      </c>
      <c r="Y1446" s="104">
        <f>_xll.qlCalendarAdvance(Calendar,X1446,NDays&amp;"D")</f>
        <v>49426</v>
      </c>
      <c r="Z1446" s="105">
        <v>2.6790668316846216E-2</v>
      </c>
      <c r="AA1446" s="102">
        <v>2.6749099379057562E-2</v>
      </c>
    </row>
    <row r="1447" spans="19:27" x14ac:dyDescent="0.2">
      <c r="S1447" s="61"/>
      <c r="T1447" s="82"/>
      <c r="W1447" s="103" t="str">
        <f t="shared" si="31"/>
        <v>1w</v>
      </c>
      <c r="X1447" s="101">
        <f>_xll.qlCalendarAdvance(Calendar,X1446,W1447,"f",FALSE)</f>
        <v>49431</v>
      </c>
      <c r="Y1447" s="104">
        <f>_xll.qlCalendarAdvance(Calendar,X1447,NDays&amp;"D")</f>
        <v>49436</v>
      </c>
      <c r="Z1447" s="105">
        <v>2.6779084102049058E-2</v>
      </c>
      <c r="AA1447" s="102">
        <v>2.6740472654163128E-2</v>
      </c>
    </row>
    <row r="1448" spans="19:27" x14ac:dyDescent="0.2">
      <c r="S1448" s="61"/>
      <c r="T1448" s="82"/>
      <c r="W1448" s="103" t="str">
        <f t="shared" si="31"/>
        <v>1w</v>
      </c>
      <c r="X1448" s="101">
        <f>_xll.qlCalendarAdvance(Calendar,X1447,W1448,"f",FALSE)</f>
        <v>49438</v>
      </c>
      <c r="Y1448" s="104">
        <f>_xll.qlCalendarAdvance(Calendar,X1448,NDays&amp;"D")</f>
        <v>49440</v>
      </c>
      <c r="Z1448" s="105">
        <v>2.6775062020500239E-2</v>
      </c>
      <c r="AA1448" s="102">
        <v>2.6732234951323264E-2</v>
      </c>
    </row>
    <row r="1449" spans="19:27" x14ac:dyDescent="0.2">
      <c r="S1449" s="61"/>
      <c r="T1449" s="82"/>
      <c r="W1449" s="103" t="str">
        <f t="shared" si="31"/>
        <v>1w</v>
      </c>
      <c r="X1449" s="101">
        <f>_xll.qlCalendarAdvance(Calendar,X1448,W1449,"f",FALSE)</f>
        <v>49445</v>
      </c>
      <c r="Y1449" s="104">
        <f>_xll.qlCalendarAdvance(Calendar,X1449,NDays&amp;"D")</f>
        <v>49447</v>
      </c>
      <c r="Z1449" s="105">
        <v>2.6766640970323063E-2</v>
      </c>
      <c r="AA1449" s="102">
        <v>2.6725159645142327E-2</v>
      </c>
    </row>
    <row r="1450" spans="19:27" x14ac:dyDescent="0.2">
      <c r="S1450" s="61"/>
      <c r="T1450" s="82"/>
      <c r="W1450" s="103" t="str">
        <f t="shared" si="31"/>
        <v>1w</v>
      </c>
      <c r="X1450" s="101">
        <f>_xll.qlCalendarAdvance(Calendar,X1449,W1450,"f",FALSE)</f>
        <v>49452</v>
      </c>
      <c r="Y1450" s="104">
        <f>_xll.qlCalendarAdvance(Calendar,X1450,NDays&amp;"D")</f>
        <v>49454</v>
      </c>
      <c r="Z1450" s="105">
        <v>2.6758201698109243E-2</v>
      </c>
      <c r="AA1450" s="102">
        <v>2.671688830017338E-2</v>
      </c>
    </row>
    <row r="1451" spans="19:27" x14ac:dyDescent="0.2">
      <c r="S1451" s="61"/>
      <c r="T1451" s="82"/>
      <c r="W1451" s="103" t="str">
        <f t="shared" si="31"/>
        <v>1w</v>
      </c>
      <c r="X1451" s="101">
        <f>_xll.qlCalendarAdvance(Calendar,X1450,W1451,"f",FALSE)</f>
        <v>49459</v>
      </c>
      <c r="Y1451" s="104">
        <f>_xll.qlCalendarAdvance(Calendar,X1451,NDays&amp;"D")</f>
        <v>49461</v>
      </c>
      <c r="Z1451" s="105">
        <v>2.674974420397953E-2</v>
      </c>
      <c r="AA1451" s="102">
        <v>2.6708598840254894E-2</v>
      </c>
    </row>
    <row r="1452" spans="19:27" x14ac:dyDescent="0.2">
      <c r="S1452" s="61"/>
      <c r="T1452" s="82"/>
      <c r="W1452" s="103" t="str">
        <f t="shared" si="31"/>
        <v>1w</v>
      </c>
      <c r="X1452" s="101">
        <f>_xll.qlCalendarAdvance(Calendar,X1451,W1452,"f",FALSE)</f>
        <v>49466</v>
      </c>
      <c r="Y1452" s="104">
        <f>_xll.qlCalendarAdvance(Calendar,X1452,NDays&amp;"D")</f>
        <v>49468</v>
      </c>
      <c r="Z1452" s="105">
        <v>2.6741268488055529E-2</v>
      </c>
      <c r="AA1452" s="102">
        <v>2.6700291265226994E-2</v>
      </c>
    </row>
    <row r="1453" spans="19:27" x14ac:dyDescent="0.2">
      <c r="S1453" s="61"/>
      <c r="T1453" s="82"/>
      <c r="W1453" s="103" t="str">
        <f t="shared" si="31"/>
        <v>1w</v>
      </c>
      <c r="X1453" s="101">
        <f>_xll.qlCalendarAdvance(Calendar,X1452,W1453,"f",FALSE)</f>
        <v>49473</v>
      </c>
      <c r="Y1453" s="104">
        <f>_xll.qlCalendarAdvance(Calendar,X1453,NDays&amp;"D")</f>
        <v>49475</v>
      </c>
      <c r="Z1453" s="105">
        <v>2.6732774550453746E-2</v>
      </c>
      <c r="AA1453" s="102">
        <v>2.6691965575169618E-2</v>
      </c>
    </row>
    <row r="1454" spans="19:27" x14ac:dyDescent="0.2">
      <c r="S1454" s="61"/>
      <c r="T1454" s="82"/>
      <c r="W1454" s="103" t="str">
        <f t="shared" si="31"/>
        <v>1w</v>
      </c>
      <c r="X1454" s="101">
        <f>_xll.qlCalendarAdvance(Calendar,X1453,W1454,"f",FALSE)</f>
        <v>49480</v>
      </c>
      <c r="Y1454" s="104">
        <f>_xll.qlCalendarAdvance(Calendar,X1454,NDays&amp;"D")</f>
        <v>49485</v>
      </c>
      <c r="Z1454" s="105">
        <v>2.6719853973840028E-2</v>
      </c>
      <c r="AA1454" s="102">
        <v>2.6682428319224627E-2</v>
      </c>
    </row>
    <row r="1455" spans="19:27" x14ac:dyDescent="0.2">
      <c r="S1455" s="61"/>
      <c r="T1455" s="82"/>
      <c r="W1455" s="103" t="str">
        <f t="shared" si="31"/>
        <v>1w</v>
      </c>
      <c r="X1455" s="101">
        <f>_xll.qlCalendarAdvance(Calendar,X1454,W1455,"f",FALSE)</f>
        <v>49487</v>
      </c>
      <c r="Y1455" s="104">
        <f>_xll.qlCalendarAdvance(Calendar,X1455,NDays&amp;"D")</f>
        <v>49489</v>
      </c>
      <c r="Z1455" s="105">
        <v>2.6714602917998008E-2</v>
      </c>
      <c r="AA1455" s="102">
        <v>2.6675259850046373E-2</v>
      </c>
    </row>
    <row r="1456" spans="19:27" x14ac:dyDescent="0.2">
      <c r="S1456" s="61"/>
      <c r="T1456" s="82"/>
      <c r="W1456" s="103" t="str">
        <f t="shared" si="31"/>
        <v>1w</v>
      </c>
      <c r="X1456" s="101">
        <f>_xll.qlCalendarAdvance(Calendar,X1455,W1456,"f",FALSE)</f>
        <v>49494</v>
      </c>
      <c r="Y1456" s="104">
        <f>_xll.qlCalendarAdvance(Calendar,X1456,NDays&amp;"D")</f>
        <v>49496</v>
      </c>
      <c r="Z1456" s="105">
        <v>2.6707183679189114E-2</v>
      </c>
      <c r="AA1456" s="102">
        <v>2.6666879814980504E-2</v>
      </c>
    </row>
    <row r="1457" spans="19:27" x14ac:dyDescent="0.2">
      <c r="S1457" s="61"/>
      <c r="T1457" s="82"/>
      <c r="W1457" s="103" t="str">
        <f t="shared" si="31"/>
        <v>1w</v>
      </c>
      <c r="X1457" s="101">
        <f>_xll.qlCalendarAdvance(Calendar,X1456,W1457,"f",FALSE)</f>
        <v>49501</v>
      </c>
      <c r="Y1457" s="104">
        <f>_xll.qlCalendarAdvance(Calendar,X1457,NDays&amp;"D")</f>
        <v>49503</v>
      </c>
      <c r="Z1457" s="105">
        <v>2.6698617914101243E-2</v>
      </c>
      <c r="AA1457" s="102">
        <v>2.6658481664885159E-2</v>
      </c>
    </row>
    <row r="1458" spans="19:27" x14ac:dyDescent="0.2">
      <c r="S1458" s="61"/>
      <c r="T1458" s="82"/>
      <c r="W1458" s="103" t="str">
        <f t="shared" si="31"/>
        <v>1w</v>
      </c>
      <c r="X1458" s="101">
        <f>_xll.qlCalendarAdvance(Calendar,X1457,W1458,"f",FALSE)</f>
        <v>49508</v>
      </c>
      <c r="Y1458" s="104">
        <f>_xll.qlCalendarAdvance(Calendar,X1458,NDays&amp;"D")</f>
        <v>49510</v>
      </c>
      <c r="Z1458" s="105">
        <v>2.6690035279308591E-2</v>
      </c>
      <c r="AA1458" s="102">
        <v>2.6650065399840273E-2</v>
      </c>
    </row>
    <row r="1459" spans="19:27" x14ac:dyDescent="0.2">
      <c r="S1459" s="61"/>
      <c r="T1459" s="82"/>
      <c r="W1459" s="103" t="str">
        <f t="shared" si="31"/>
        <v>1w</v>
      </c>
      <c r="X1459" s="101">
        <f>_xll.qlCalendarAdvance(Calendar,X1458,W1459,"f",FALSE)</f>
        <v>49515</v>
      </c>
      <c r="Y1459" s="104">
        <f>_xll.qlCalendarAdvance(Calendar,X1459,NDays&amp;"D")</f>
        <v>49517</v>
      </c>
      <c r="Z1459" s="105">
        <v>2.6681436331370212E-2</v>
      </c>
      <c r="AA1459" s="102">
        <v>2.6641631019685974E-2</v>
      </c>
    </row>
    <row r="1460" spans="19:27" x14ac:dyDescent="0.2">
      <c r="S1460" s="61"/>
      <c r="T1460" s="82"/>
      <c r="W1460" s="103" t="str">
        <f t="shared" si="31"/>
        <v>1w</v>
      </c>
      <c r="X1460" s="101">
        <f>_xll.qlCalendarAdvance(Calendar,X1459,W1460,"f",FALSE)</f>
        <v>49522</v>
      </c>
      <c r="Y1460" s="104">
        <f>_xll.qlCalendarAdvance(Calendar,X1460,NDays&amp;"D")</f>
        <v>49524</v>
      </c>
      <c r="Z1460" s="105">
        <v>2.6672821626839208E-2</v>
      </c>
      <c r="AA1460" s="102">
        <v>2.6633178524662071E-2</v>
      </c>
    </row>
    <row r="1461" spans="19:27" x14ac:dyDescent="0.2">
      <c r="S1461" s="61"/>
      <c r="T1461" s="82"/>
      <c r="W1461" s="103" t="str">
        <f t="shared" si="31"/>
        <v>1w</v>
      </c>
      <c r="X1461" s="101">
        <f>_xll.qlCalendarAdvance(Calendar,X1460,W1461,"f",FALSE)</f>
        <v>49529</v>
      </c>
      <c r="Y1461" s="104">
        <f>_xll.qlCalendarAdvance(Calendar,X1461,NDays&amp;"D")</f>
        <v>49531</v>
      </c>
      <c r="Z1461" s="105">
        <v>2.6664191722263572E-2</v>
      </c>
      <c r="AA1461" s="102">
        <v>2.6624707914528756E-2</v>
      </c>
    </row>
    <row r="1462" spans="19:27" x14ac:dyDescent="0.2">
      <c r="S1462" s="61"/>
      <c r="T1462" s="82"/>
      <c r="W1462" s="103" t="str">
        <f t="shared" si="31"/>
        <v>1w</v>
      </c>
      <c r="X1462" s="101">
        <f>_xll.qlCalendarAdvance(Calendar,X1461,W1462,"f",FALSE)</f>
        <v>49536</v>
      </c>
      <c r="Y1462" s="104">
        <f>_xll.qlCalendarAdvance(Calendar,X1462,NDays&amp;"D")</f>
        <v>49538</v>
      </c>
      <c r="Z1462" s="105">
        <v>2.6655547174187062E-2</v>
      </c>
      <c r="AA1462" s="102">
        <v>2.66162191894459E-2</v>
      </c>
    </row>
    <row r="1463" spans="19:27" x14ac:dyDescent="0.2">
      <c r="S1463" s="61"/>
      <c r="T1463" s="82"/>
      <c r="W1463" s="103" t="str">
        <f t="shared" si="31"/>
        <v>1w</v>
      </c>
      <c r="X1463" s="101">
        <f>_xll.qlCalendarAdvance(Calendar,X1462,W1463,"f",FALSE)</f>
        <v>49543</v>
      </c>
      <c r="Y1463" s="104">
        <f>_xll.qlCalendarAdvance(Calendar,X1463,NDays&amp;"D")</f>
        <v>49545</v>
      </c>
      <c r="Z1463" s="105">
        <v>2.6646888539150013E-2</v>
      </c>
      <c r="AA1463" s="102">
        <v>2.6607712349253632E-2</v>
      </c>
    </row>
    <row r="1464" spans="19:27" x14ac:dyDescent="0.2">
      <c r="S1464" s="61"/>
      <c r="T1464" s="82"/>
      <c r="W1464" s="103" t="str">
        <f t="shared" si="31"/>
        <v>1w</v>
      </c>
      <c r="X1464" s="101">
        <f>_xll.qlCalendarAdvance(Calendar,X1463,W1464,"f",FALSE)</f>
        <v>49550</v>
      </c>
      <c r="Y1464" s="104">
        <f>_xll.qlCalendarAdvance(Calendar,X1464,NDays&amp;"D")</f>
        <v>49552</v>
      </c>
      <c r="Z1464" s="105">
        <v>2.6637131690177448E-2</v>
      </c>
      <c r="AA1464" s="102">
        <v>2.6599187394191759E-2</v>
      </c>
    </row>
    <row r="1465" spans="19:27" x14ac:dyDescent="0.2">
      <c r="S1465" s="61"/>
      <c r="T1465" s="82"/>
      <c r="W1465" s="103" t="str">
        <f t="shared" si="31"/>
        <v>1w</v>
      </c>
      <c r="X1465" s="101">
        <f>_xll.qlCalendarAdvance(Calendar,X1464,W1465,"f",FALSE)</f>
        <v>49557</v>
      </c>
      <c r="Y1465" s="104">
        <f>_xll.qlCalendarAdvance(Calendar,X1465,NDays&amp;"D")</f>
        <v>49559</v>
      </c>
      <c r="Z1465" s="105">
        <v>2.6628450887464308E-2</v>
      </c>
      <c r="AA1465" s="102">
        <v>2.659064432410041E-2</v>
      </c>
    </row>
    <row r="1466" spans="19:27" x14ac:dyDescent="0.2">
      <c r="S1466" s="61"/>
      <c r="T1466" s="82"/>
      <c r="W1466" s="103" t="str">
        <f t="shared" si="31"/>
        <v>1w</v>
      </c>
      <c r="X1466" s="101">
        <f>_xll.qlCalendarAdvance(Calendar,X1465,W1466,"f",FALSE)</f>
        <v>49564</v>
      </c>
      <c r="Y1466" s="104">
        <f>_xll.qlCalendarAdvance(Calendar,X1466,NDays&amp;"D")</f>
        <v>49566</v>
      </c>
      <c r="Z1466" s="105">
        <v>2.661975761446175E-2</v>
      </c>
      <c r="AA1466" s="102">
        <v>2.6582083138979584E-2</v>
      </c>
    </row>
    <row r="1467" spans="19:27" x14ac:dyDescent="0.2">
      <c r="S1467" s="61"/>
      <c r="T1467" s="82"/>
      <c r="W1467" s="103" t="str">
        <f t="shared" si="31"/>
        <v>1w</v>
      </c>
      <c r="X1467" s="101">
        <f>_xll.qlCalendarAdvance(Calendar,X1466,W1467,"f",FALSE)</f>
        <v>49571</v>
      </c>
      <c r="Y1467" s="104">
        <f>_xll.qlCalendarAdvance(Calendar,X1467,NDays&amp;"D")</f>
        <v>49573</v>
      </c>
      <c r="Z1467" s="105">
        <v>2.6611052445905642E-2</v>
      </c>
      <c r="AA1467" s="102">
        <v>2.6573503838829282E-2</v>
      </c>
    </row>
    <row r="1468" spans="19:27" x14ac:dyDescent="0.2">
      <c r="S1468" s="61"/>
      <c r="T1468" s="82"/>
      <c r="W1468" s="103" t="str">
        <f t="shared" si="31"/>
        <v>1w</v>
      </c>
      <c r="X1468" s="101">
        <f>_xll.qlCalendarAdvance(Calendar,X1467,W1468,"f",FALSE)</f>
        <v>49578</v>
      </c>
      <c r="Y1468" s="104">
        <f>_xll.qlCalendarAdvance(Calendar,X1468,NDays&amp;"D")</f>
        <v>49580</v>
      </c>
      <c r="Z1468" s="105">
        <v>2.6602335956523056E-2</v>
      </c>
      <c r="AA1468" s="102">
        <v>2.6564907963537721E-2</v>
      </c>
    </row>
    <row r="1469" spans="19:27" x14ac:dyDescent="0.2">
      <c r="S1469" s="61"/>
      <c r="T1469" s="82"/>
      <c r="W1469" s="103" t="str">
        <f t="shared" si="31"/>
        <v>1w</v>
      </c>
      <c r="X1469" s="101">
        <f>_xll.qlCalendarAdvance(Calendar,X1468,W1469,"f",FALSE)</f>
        <v>49585</v>
      </c>
      <c r="Y1469" s="104">
        <f>_xll.qlCalendarAdvance(Calendar,X1469,NDays&amp;"D")</f>
        <v>49587</v>
      </c>
      <c r="Z1469" s="105">
        <v>2.6594671975579975E-2</v>
      </c>
      <c r="AA1469" s="102">
        <v>2.6556300914784003E-2</v>
      </c>
    </row>
    <row r="1470" spans="19:27" x14ac:dyDescent="0.2">
      <c r="S1470" s="61"/>
      <c r="T1470" s="82"/>
      <c r="W1470" s="103" t="str">
        <f t="shared" si="31"/>
        <v>1w</v>
      </c>
      <c r="X1470" s="101">
        <f>_xll.qlCalendarAdvance(Calendar,X1469,W1470,"f",FALSE)</f>
        <v>49592</v>
      </c>
      <c r="Y1470" s="104">
        <f>_xll.qlCalendarAdvance(Calendar,X1470,NDays&amp;"D")</f>
        <v>49594</v>
      </c>
      <c r="Z1470" s="105">
        <v>2.6585929665328936E-2</v>
      </c>
      <c r="AA1470" s="102">
        <v>2.6547683172024605E-2</v>
      </c>
    </row>
    <row r="1471" spans="19:27" x14ac:dyDescent="0.2">
      <c r="S1471" s="61"/>
      <c r="T1471" s="82"/>
      <c r="W1471" s="103" t="str">
        <f t="shared" si="31"/>
        <v>1w</v>
      </c>
      <c r="X1471" s="101">
        <f>_xll.qlCalendarAdvance(Calendar,X1470,W1471,"f",FALSE)</f>
        <v>49599</v>
      </c>
      <c r="Y1471" s="104">
        <f>_xll.qlCalendarAdvance(Calendar,X1471,NDays&amp;"D")</f>
        <v>49601</v>
      </c>
      <c r="Z1471" s="105">
        <v>2.6577176607396003E-2</v>
      </c>
      <c r="AA1471" s="102">
        <v>2.6539054735419398E-2</v>
      </c>
    </row>
    <row r="1472" spans="19:27" x14ac:dyDescent="0.2">
      <c r="S1472" s="61"/>
      <c r="T1472" s="82"/>
      <c r="W1472" s="103" t="str">
        <f t="shared" si="31"/>
        <v>1w</v>
      </c>
      <c r="X1472" s="101">
        <f>_xll.qlCalendarAdvance(Calendar,X1471,W1472,"f",FALSE)</f>
        <v>49606</v>
      </c>
      <c r="Y1472" s="104">
        <f>_xll.qlCalendarAdvance(Calendar,X1472,NDays&amp;"D")</f>
        <v>49608</v>
      </c>
      <c r="Z1472" s="105">
        <v>2.6568412801854312E-2</v>
      </c>
      <c r="AA1472" s="102">
        <v>2.6530415604968383E-2</v>
      </c>
    </row>
    <row r="1473" spans="19:27" x14ac:dyDescent="0.2">
      <c r="S1473" s="61"/>
      <c r="T1473" s="82"/>
      <c r="W1473" s="103" t="str">
        <f t="shared" si="31"/>
        <v>1w</v>
      </c>
      <c r="X1473" s="101">
        <f>_xll.qlCalendarAdvance(Calendar,X1472,W1473,"f",FALSE)</f>
        <v>49613</v>
      </c>
      <c r="Y1473" s="104">
        <f>_xll.qlCalendarAdvance(Calendar,X1473,NDays&amp;"D")</f>
        <v>49615</v>
      </c>
      <c r="Z1473" s="105">
        <v>2.6559638248777842E-2</v>
      </c>
      <c r="AA1473" s="102">
        <v>2.6521765780671558E-2</v>
      </c>
    </row>
    <row r="1474" spans="19:27" x14ac:dyDescent="0.2">
      <c r="S1474" s="61"/>
      <c r="T1474" s="82"/>
      <c r="W1474" s="103" t="str">
        <f t="shared" si="31"/>
        <v>1w</v>
      </c>
      <c r="X1474" s="101">
        <f>_xll.qlCalendarAdvance(Calendar,X1473,W1474,"f",FALSE)</f>
        <v>49620</v>
      </c>
      <c r="Y1474" s="104">
        <f>_xll.qlCalendarAdvance(Calendar,X1474,NDays&amp;"D")</f>
        <v>49622</v>
      </c>
      <c r="Z1474" s="105">
        <v>2.6550852948238026E-2</v>
      </c>
      <c r="AA1474" s="102">
        <v>2.6513105262448988E-2</v>
      </c>
    </row>
    <row r="1475" spans="19:27" x14ac:dyDescent="0.2">
      <c r="S1475" s="61"/>
      <c r="T1475" s="82"/>
      <c r="W1475" s="103" t="str">
        <f t="shared" si="31"/>
        <v>1w</v>
      </c>
      <c r="X1475" s="101">
        <f>_xll.qlCalendarAdvance(Calendar,X1474,W1475,"f",FALSE)</f>
        <v>49627</v>
      </c>
      <c r="Y1475" s="104">
        <f>_xll.qlCalendarAdvance(Calendar,X1475,NDays&amp;"D")</f>
        <v>49629</v>
      </c>
      <c r="Z1475" s="105">
        <v>2.654205690030885E-2</v>
      </c>
      <c r="AA1475" s="102">
        <v>2.6504434050300674E-2</v>
      </c>
    </row>
    <row r="1476" spans="19:27" x14ac:dyDescent="0.2">
      <c r="S1476" s="61"/>
      <c r="T1476" s="82"/>
      <c r="W1476" s="103" t="str">
        <f t="shared" si="31"/>
        <v>1w</v>
      </c>
      <c r="X1476" s="101">
        <f>_xll.qlCalendarAdvance(Calendar,X1475,W1476,"f",FALSE)</f>
        <v>49634</v>
      </c>
      <c r="Y1476" s="104">
        <f>_xll.qlCalendarAdvance(Calendar,X1476,NDays&amp;"D")</f>
        <v>49636</v>
      </c>
      <c r="Z1476" s="105">
        <v>2.6533250105065995E-2</v>
      </c>
      <c r="AA1476" s="102">
        <v>2.6495752144386486E-2</v>
      </c>
    </row>
    <row r="1477" spans="19:27" x14ac:dyDescent="0.2">
      <c r="S1477" s="61"/>
      <c r="T1477" s="82"/>
      <c r="W1477" s="103" t="str">
        <f t="shared" si="31"/>
        <v>1w</v>
      </c>
      <c r="X1477" s="101">
        <f>_xll.qlCalendarAdvance(Calendar,X1476,W1477,"f",FALSE)</f>
        <v>49641</v>
      </c>
      <c r="Y1477" s="104">
        <f>_xll.qlCalendarAdvance(Calendar,X1477,NDays&amp;"D")</f>
        <v>49643</v>
      </c>
      <c r="Z1477" s="105">
        <v>2.6523403124137642E-2</v>
      </c>
      <c r="AA1477" s="102">
        <v>2.6487059544546554E-2</v>
      </c>
    </row>
    <row r="1478" spans="19:27" x14ac:dyDescent="0.2">
      <c r="S1478" s="61"/>
      <c r="T1478" s="82"/>
      <c r="W1478" s="103" t="str">
        <f t="shared" si="31"/>
        <v>1w</v>
      </c>
      <c r="X1478" s="101">
        <f>_xll.qlCalendarAdvance(Calendar,X1477,W1478,"f",FALSE)</f>
        <v>49648</v>
      </c>
      <c r="Y1478" s="104">
        <f>_xll.qlCalendarAdvance(Calendar,X1478,NDays&amp;"D")</f>
        <v>49650</v>
      </c>
      <c r="Z1478" s="105">
        <v>2.6514579081179344E-2</v>
      </c>
      <c r="AA1478" s="102">
        <v>2.6478356250860813E-2</v>
      </c>
    </row>
    <row r="1479" spans="19:27" x14ac:dyDescent="0.2">
      <c r="S1479" s="61"/>
      <c r="T1479" s="82"/>
      <c r="W1479" s="103" t="str">
        <f t="shared" si="31"/>
        <v>1w</v>
      </c>
      <c r="X1479" s="101">
        <f>_xll.qlCalendarAdvance(Calendar,X1478,W1479,"f",FALSE)</f>
        <v>49655</v>
      </c>
      <c r="Y1479" s="104">
        <f>_xll.qlCalendarAdvance(Calendar,X1479,NDays&amp;"D")</f>
        <v>49657</v>
      </c>
      <c r="Z1479" s="105">
        <v>2.650574429283141E-2</v>
      </c>
      <c r="AA1479" s="102">
        <v>2.6469642263249327E-2</v>
      </c>
    </row>
    <row r="1480" spans="19:27" x14ac:dyDescent="0.2">
      <c r="S1480" s="61"/>
      <c r="T1480" s="82"/>
      <c r="W1480" s="103" t="str">
        <f t="shared" si="31"/>
        <v>1w</v>
      </c>
      <c r="X1480" s="101">
        <f>_xll.qlCalendarAdvance(Calendar,X1479,W1480,"f",FALSE)</f>
        <v>49662</v>
      </c>
      <c r="Y1480" s="104">
        <f>_xll.qlCalendarAdvance(Calendar,X1480,NDays&amp;"D")</f>
        <v>49664</v>
      </c>
      <c r="Z1480" s="105">
        <v>2.6496898759167633E-2</v>
      </c>
      <c r="AA1480" s="102">
        <v>2.6458567242572784E-2</v>
      </c>
    </row>
    <row r="1481" spans="19:27" x14ac:dyDescent="0.2">
      <c r="S1481" s="61"/>
      <c r="T1481" s="82"/>
      <c r="W1481" s="103" t="str">
        <f t="shared" si="31"/>
        <v>1w</v>
      </c>
      <c r="X1481" s="101">
        <f>_xll.qlCalendarAdvance(Calendar,X1480,W1481,"f",FALSE)</f>
        <v>49670</v>
      </c>
      <c r="Y1481" s="104">
        <f>_xll.qlCalendarAdvance(Calendar,X1481,NDays&amp;"D")</f>
        <v>49676</v>
      </c>
      <c r="Z1481" s="105">
        <v>2.6481709988069636E-2</v>
      </c>
      <c r="AA1481" s="102">
        <v>2.6449128663816879E-2</v>
      </c>
    </row>
    <row r="1482" spans="19:27" x14ac:dyDescent="0.2">
      <c r="S1482" s="61"/>
      <c r="T1482" s="82"/>
      <c r="W1482" s="103" t="str">
        <f t="shared" si="31"/>
        <v>1w</v>
      </c>
      <c r="X1482" s="101">
        <f>_xll.qlCalendarAdvance(Calendar,X1481,W1482,"f",FALSE)</f>
        <v>49677</v>
      </c>
      <c r="Y1482" s="104">
        <f>_xll.qlCalendarAdvance(Calendar,X1482,NDays&amp;"D")</f>
        <v>49681</v>
      </c>
      <c r="Z1482" s="105">
        <v>2.6475372013676415E-2</v>
      </c>
      <c r="AA1482" s="102">
        <v>2.6442185826045517E-2</v>
      </c>
    </row>
    <row r="1483" spans="19:27" x14ac:dyDescent="0.2">
      <c r="S1483" s="61"/>
      <c r="T1483" s="82"/>
      <c r="W1483" s="103" t="str">
        <f t="shared" si="31"/>
        <v>1w</v>
      </c>
      <c r="X1483" s="101">
        <f>_xll.qlCalendarAdvance(Calendar,X1482,W1483,"f",FALSE)</f>
        <v>49684</v>
      </c>
      <c r="Y1483" s="104">
        <f>_xll.qlCalendarAdvance(Calendar,X1483,NDays&amp;"D")</f>
        <v>49688</v>
      </c>
      <c r="Z1483" s="105">
        <v>2.6466823794652556E-2</v>
      </c>
      <c r="AA1483" s="102">
        <v>2.6433427535312859E-2</v>
      </c>
    </row>
    <row r="1484" spans="19:27" x14ac:dyDescent="0.2">
      <c r="S1484" s="61"/>
      <c r="T1484" s="82"/>
      <c r="W1484" s="103" t="str">
        <f t="shared" si="31"/>
        <v>1w</v>
      </c>
      <c r="X1484" s="101">
        <f>_xll.qlCalendarAdvance(Calendar,X1483,W1484,"f",FALSE)</f>
        <v>49691</v>
      </c>
      <c r="Y1484" s="104">
        <f>_xll.qlCalendarAdvance(Calendar,X1484,NDays&amp;"D")</f>
        <v>49695</v>
      </c>
      <c r="Z1484" s="105">
        <v>2.6457596520266906E-2</v>
      </c>
      <c r="AA1484" s="102">
        <v>2.6424658550734392E-2</v>
      </c>
    </row>
    <row r="1485" spans="19:27" x14ac:dyDescent="0.2">
      <c r="S1485" s="61"/>
      <c r="T1485" s="82"/>
      <c r="W1485" s="103" t="str">
        <f t="shared" si="31"/>
        <v>1w</v>
      </c>
      <c r="X1485" s="101">
        <f>_xll.qlCalendarAdvance(Calendar,X1484,W1485,"f",FALSE)</f>
        <v>49698</v>
      </c>
      <c r="Y1485" s="104">
        <f>_xll.qlCalendarAdvance(Calendar,X1485,NDays&amp;"D")</f>
        <v>49702</v>
      </c>
      <c r="Z1485" s="105">
        <v>2.6448692656136516E-2</v>
      </c>
      <c r="AA1485" s="102">
        <v>2.6415878872230181E-2</v>
      </c>
    </row>
    <row r="1486" spans="19:27" x14ac:dyDescent="0.2">
      <c r="S1486" s="61"/>
      <c r="T1486" s="82"/>
      <c r="W1486" s="103" t="str">
        <f t="shared" si="31"/>
        <v>1w</v>
      </c>
      <c r="X1486" s="101">
        <f>_xll.qlCalendarAdvance(Calendar,X1485,W1486,"f",FALSE)</f>
        <v>49705</v>
      </c>
      <c r="Y1486" s="104">
        <f>_xll.qlCalendarAdvance(Calendar,X1486,NDays&amp;"D")</f>
        <v>49709</v>
      </c>
      <c r="Z1486" s="105">
        <v>2.6439778047150572E-2</v>
      </c>
      <c r="AA1486" s="102">
        <v>2.6407088499960096E-2</v>
      </c>
    </row>
    <row r="1487" spans="19:27" x14ac:dyDescent="0.2">
      <c r="S1487" s="61"/>
      <c r="T1487" s="82"/>
      <c r="W1487" s="103" t="str">
        <f t="shared" si="31"/>
        <v>1w</v>
      </c>
      <c r="X1487" s="101">
        <f>_xll.qlCalendarAdvance(Calendar,X1486,W1487,"f",FALSE)</f>
        <v>49712</v>
      </c>
      <c r="Y1487" s="104">
        <f>_xll.qlCalendarAdvance(Calendar,X1487,NDays&amp;"D")</f>
        <v>49716</v>
      </c>
      <c r="Z1487" s="105">
        <v>2.6430852693383741E-2</v>
      </c>
      <c r="AA1487" s="102">
        <v>2.6398287433764267E-2</v>
      </c>
    </row>
    <row r="1488" spans="19:27" x14ac:dyDescent="0.2">
      <c r="S1488" s="61"/>
      <c r="T1488" s="82"/>
      <c r="W1488" s="103" t="str">
        <f t="shared" si="31"/>
        <v>1w</v>
      </c>
      <c r="X1488" s="101">
        <f>_xll.qlCalendarAdvance(Calendar,X1487,W1488,"f",FALSE)</f>
        <v>49719</v>
      </c>
      <c r="Y1488" s="104">
        <f>_xll.qlCalendarAdvance(Calendar,X1488,NDays&amp;"D")</f>
        <v>49723</v>
      </c>
      <c r="Z1488" s="105">
        <v>2.6421916594906291E-2</v>
      </c>
      <c r="AA1488" s="102">
        <v>2.6389475673722629E-2</v>
      </c>
    </row>
    <row r="1489" spans="19:27" x14ac:dyDescent="0.2">
      <c r="S1489" s="61"/>
      <c r="T1489" s="82"/>
      <c r="W1489" s="103" t="str">
        <f t="shared" si="31"/>
        <v>1w</v>
      </c>
      <c r="X1489" s="101">
        <f>_xll.qlCalendarAdvance(Calendar,X1488,W1489,"f",FALSE)</f>
        <v>49726</v>
      </c>
      <c r="Y1489" s="104">
        <f>_xll.qlCalendarAdvance(Calendar,X1489,NDays&amp;"D")</f>
        <v>49730</v>
      </c>
      <c r="Z1489" s="105">
        <v>2.641296975179289E-2</v>
      </c>
      <c r="AA1489" s="102">
        <v>2.6380653219835182E-2</v>
      </c>
    </row>
    <row r="1490" spans="19:27" x14ac:dyDescent="0.2">
      <c r="S1490" s="61"/>
      <c r="T1490" s="82"/>
      <c r="W1490" s="103" t="str">
        <f t="shared" si="31"/>
        <v>1w</v>
      </c>
      <c r="X1490" s="101">
        <f>_xll.qlCalendarAdvance(Calendar,X1489,W1490,"f",FALSE)</f>
        <v>49733</v>
      </c>
      <c r="Y1490" s="104">
        <f>_xll.qlCalendarAdvance(Calendar,X1490,NDays&amp;"D")</f>
        <v>49737</v>
      </c>
      <c r="Z1490" s="105">
        <v>2.6404336373959961E-2</v>
      </c>
      <c r="AA1490" s="102">
        <v>2.637182007202199E-2</v>
      </c>
    </row>
    <row r="1491" spans="19:27" x14ac:dyDescent="0.2">
      <c r="S1491" s="61"/>
      <c r="T1491" s="82"/>
      <c r="W1491" s="103" t="str">
        <f t="shared" si="31"/>
        <v>1w</v>
      </c>
      <c r="X1491" s="101">
        <f>_xll.qlCalendarAdvance(Calendar,X1490,W1491,"f",FALSE)</f>
        <v>49740</v>
      </c>
      <c r="Y1491" s="104">
        <f>_xll.qlCalendarAdvance(Calendar,X1491,NDays&amp;"D")</f>
        <v>49744</v>
      </c>
      <c r="Z1491" s="105">
        <v>2.6395366618785693E-2</v>
      </c>
      <c r="AA1491" s="102">
        <v>2.6362976230442925E-2</v>
      </c>
    </row>
    <row r="1492" spans="19:27" x14ac:dyDescent="0.2">
      <c r="S1492" s="61"/>
      <c r="T1492" s="82"/>
      <c r="W1492" s="103" t="str">
        <f t="shared" si="31"/>
        <v>1w</v>
      </c>
      <c r="X1492" s="101">
        <f>_xll.qlCalendarAdvance(Calendar,X1491,W1492,"f",FALSE)</f>
        <v>49747</v>
      </c>
      <c r="Y1492" s="104">
        <f>_xll.qlCalendarAdvance(Calendar,X1492,NDays&amp;"D")</f>
        <v>49751</v>
      </c>
      <c r="Z1492" s="105">
        <v>2.6386386118634343E-2</v>
      </c>
      <c r="AA1492" s="102">
        <v>2.6354121695018051E-2</v>
      </c>
    </row>
    <row r="1493" spans="19:27" x14ac:dyDescent="0.2">
      <c r="S1493" s="61"/>
      <c r="T1493" s="82"/>
      <c r="W1493" s="103" t="str">
        <f t="shared" ref="W1493:W1556" si="32">W1492</f>
        <v>1w</v>
      </c>
      <c r="X1493" s="101">
        <f>_xll.qlCalendarAdvance(Calendar,X1492,W1493,"f",FALSE)</f>
        <v>49754</v>
      </c>
      <c r="Y1493" s="104">
        <f>_xll.qlCalendarAdvance(Calendar,X1493,NDays&amp;"D")</f>
        <v>49758</v>
      </c>
      <c r="Z1493" s="105">
        <v>2.6377394873578899E-2</v>
      </c>
      <c r="AA1493" s="102">
        <v>2.6345256465587497E-2</v>
      </c>
    </row>
    <row r="1494" spans="19:27" x14ac:dyDescent="0.2">
      <c r="S1494" s="61"/>
      <c r="T1494" s="82"/>
      <c r="W1494" s="103" t="str">
        <f t="shared" si="32"/>
        <v>1w</v>
      </c>
      <c r="X1494" s="101">
        <f>_xll.qlCalendarAdvance(Calendar,X1493,W1494,"f",FALSE)</f>
        <v>49761</v>
      </c>
      <c r="Y1494" s="104">
        <f>_xll.qlCalendarAdvance(Calendar,X1494,NDays&amp;"D")</f>
        <v>49765</v>
      </c>
      <c r="Z1494" s="105">
        <v>2.6368074369199794E-2</v>
      </c>
      <c r="AA1494" s="102">
        <v>2.6336380542471005E-2</v>
      </c>
    </row>
    <row r="1495" spans="19:27" x14ac:dyDescent="0.2">
      <c r="S1495" s="61"/>
      <c r="T1495" s="82"/>
      <c r="W1495" s="103" t="str">
        <f t="shared" si="32"/>
        <v>1w</v>
      </c>
      <c r="X1495" s="101">
        <f>_xll.qlCalendarAdvance(Calendar,X1494,W1495,"f",FALSE)</f>
        <v>49768</v>
      </c>
      <c r="Y1495" s="104">
        <f>_xll.qlCalendarAdvance(Calendar,X1495,NDays&amp;"D")</f>
        <v>49772</v>
      </c>
      <c r="Z1495" s="105">
        <v>2.6359063059786844E-2</v>
      </c>
      <c r="AA1495" s="102">
        <v>2.6327493925348833E-2</v>
      </c>
    </row>
    <row r="1496" spans="19:27" x14ac:dyDescent="0.2">
      <c r="S1496" s="61"/>
      <c r="T1496" s="82"/>
      <c r="W1496" s="103" t="str">
        <f t="shared" si="32"/>
        <v>1w</v>
      </c>
      <c r="X1496" s="101">
        <f>_xll.qlCalendarAdvance(Calendar,X1495,W1496,"f",FALSE)</f>
        <v>49775</v>
      </c>
      <c r="Y1496" s="104">
        <f>_xll.qlCalendarAdvance(Calendar,X1496,NDays&amp;"D")</f>
        <v>49781</v>
      </c>
      <c r="Z1496" s="105">
        <v>2.6347461303261693E-2</v>
      </c>
      <c r="AA1496" s="102">
        <v>2.6316703702953248E-2</v>
      </c>
    </row>
    <row r="1497" spans="19:27" x14ac:dyDescent="0.2">
      <c r="S1497" s="61"/>
      <c r="T1497" s="82"/>
      <c r="W1497" s="103" t="str">
        <f t="shared" si="32"/>
        <v>1w</v>
      </c>
      <c r="X1497" s="101">
        <f>_xll.qlCalendarAdvance(Calendar,X1496,W1497,"f",FALSE)</f>
        <v>49782</v>
      </c>
      <c r="Y1497" s="104">
        <f>_xll.qlCalendarAdvance(Calendar,X1497,NDays&amp;"D")</f>
        <v>49786</v>
      </c>
      <c r="Z1497" s="105">
        <v>2.6341008208650055E-2</v>
      </c>
      <c r="AA1497" s="102">
        <v>2.6309688609646997E-2</v>
      </c>
    </row>
    <row r="1498" spans="19:27" x14ac:dyDescent="0.2">
      <c r="S1498" s="61"/>
      <c r="T1498" s="82"/>
      <c r="W1498" s="103" t="str">
        <f t="shared" si="32"/>
        <v>1w</v>
      </c>
      <c r="X1498" s="101">
        <f>_xll.qlCalendarAdvance(Calendar,X1497,W1498,"f",FALSE)</f>
        <v>49789</v>
      </c>
      <c r="Y1498" s="104">
        <f>_xll.qlCalendarAdvance(Calendar,X1498,NDays&amp;"D")</f>
        <v>49793</v>
      </c>
      <c r="Z1498" s="105">
        <v>2.6331964667071158E-2</v>
      </c>
      <c r="AA1498" s="102">
        <v>2.6301093114891039E-2</v>
      </c>
    </row>
    <row r="1499" spans="19:27" x14ac:dyDescent="0.2">
      <c r="S1499" s="61"/>
      <c r="T1499" s="82"/>
      <c r="W1499" s="103" t="str">
        <f t="shared" si="32"/>
        <v>1w</v>
      </c>
      <c r="X1499" s="101">
        <f>_xll.qlCalendarAdvance(Calendar,X1498,W1499,"f",FALSE)</f>
        <v>49797</v>
      </c>
      <c r="Y1499" s="104">
        <f>_xll.qlCalendarAdvance(Calendar,X1499,NDays&amp;"D")</f>
        <v>49801</v>
      </c>
      <c r="Z1499" s="105">
        <v>2.6321927214029105E-2</v>
      </c>
      <c r="AA1499" s="102">
        <v>2.62905640182165E-2</v>
      </c>
    </row>
    <row r="1500" spans="19:27" x14ac:dyDescent="0.2">
      <c r="S1500" s="61"/>
      <c r="T1500" s="82"/>
      <c r="W1500" s="103" t="str">
        <f t="shared" si="32"/>
        <v>1w</v>
      </c>
      <c r="X1500" s="101">
        <f>_xll.qlCalendarAdvance(Calendar,X1499,W1500,"f",FALSE)</f>
        <v>49804</v>
      </c>
      <c r="Y1500" s="104">
        <f>_xll.qlCalendarAdvance(Calendar,X1500,NDays&amp;"D")</f>
        <v>49808</v>
      </c>
      <c r="Z1500" s="105">
        <v>2.6312859221809381E-2</v>
      </c>
      <c r="AA1500" s="102">
        <v>2.6281622404127347E-2</v>
      </c>
    </row>
    <row r="1501" spans="19:27" x14ac:dyDescent="0.2">
      <c r="S1501" s="61"/>
      <c r="T1501" s="82"/>
      <c r="W1501" s="103" t="str">
        <f t="shared" si="32"/>
        <v>1w</v>
      </c>
      <c r="X1501" s="101">
        <f>_xll.qlCalendarAdvance(Calendar,X1500,W1501,"f",FALSE)</f>
        <v>49811</v>
      </c>
      <c r="Y1501" s="104">
        <f>_xll.qlCalendarAdvance(Calendar,X1501,NDays&amp;"D")</f>
        <v>49815</v>
      </c>
      <c r="Z1501" s="105">
        <v>2.6303780485287691E-2</v>
      </c>
      <c r="AA1501" s="102">
        <v>2.6272027300056067E-2</v>
      </c>
    </row>
    <row r="1502" spans="19:27" x14ac:dyDescent="0.2">
      <c r="S1502" s="61"/>
      <c r="T1502" s="82"/>
      <c r="W1502" s="103" t="str">
        <f t="shared" si="32"/>
        <v>1w</v>
      </c>
      <c r="X1502" s="101">
        <f>_xll.qlCalendarAdvance(Calendar,X1501,W1502,"f",FALSE)</f>
        <v>49818</v>
      </c>
      <c r="Y1502" s="104">
        <f>_xll.qlCalendarAdvance(Calendar,X1502,NDays&amp;"D")</f>
        <v>49822</v>
      </c>
      <c r="Z1502" s="105">
        <v>2.629469100453875E-2</v>
      </c>
      <c r="AA1502" s="102">
        <v>2.6263707094491551E-2</v>
      </c>
    </row>
    <row r="1503" spans="19:27" x14ac:dyDescent="0.2">
      <c r="S1503" s="61"/>
      <c r="T1503" s="82"/>
      <c r="W1503" s="103" t="str">
        <f t="shared" si="32"/>
        <v>1w</v>
      </c>
      <c r="X1503" s="101">
        <f>_xll.qlCalendarAdvance(Calendar,X1502,W1503,"f",FALSE)</f>
        <v>49825</v>
      </c>
      <c r="Y1503" s="104">
        <f>_xll.qlCalendarAdvance(Calendar,X1503,NDays&amp;"D")</f>
        <v>49830</v>
      </c>
      <c r="Z1503" s="105">
        <v>2.6284289870440399E-2</v>
      </c>
      <c r="AA1503" s="102">
        <v>2.6254081874084179E-2</v>
      </c>
    </row>
    <row r="1504" spans="19:27" x14ac:dyDescent="0.2">
      <c r="S1504" s="61"/>
      <c r="T1504" s="82"/>
      <c r="W1504" s="103" t="str">
        <f t="shared" si="32"/>
        <v>1w</v>
      </c>
      <c r="X1504" s="101">
        <f>_xll.qlCalendarAdvance(Calendar,X1503,W1504,"f",FALSE)</f>
        <v>49832</v>
      </c>
      <c r="Y1504" s="104">
        <f>_xll.qlCalendarAdvance(Calendar,X1504,NDays&amp;"D")</f>
        <v>49836</v>
      </c>
      <c r="Z1504" s="105">
        <v>2.6276479810658893E-2</v>
      </c>
      <c r="AA1504" s="102">
        <v>2.6245749009552455E-2</v>
      </c>
    </row>
    <row r="1505" spans="19:27" x14ac:dyDescent="0.2">
      <c r="S1505" s="61"/>
      <c r="T1505" s="82"/>
      <c r="W1505" s="103" t="str">
        <f t="shared" si="32"/>
        <v>1w</v>
      </c>
      <c r="X1505" s="101">
        <f>_xll.qlCalendarAdvance(Calendar,X1504,W1505,"f",FALSE)</f>
        <v>49839</v>
      </c>
      <c r="Y1505" s="104">
        <f>_xll.qlCalendarAdvance(Calendar,X1505,NDays&amp;"D")</f>
        <v>49843</v>
      </c>
      <c r="Z1505" s="105">
        <v>2.6267358097676548E-2</v>
      </c>
      <c r="AA1505" s="102">
        <v>2.6237692795156864E-2</v>
      </c>
    </row>
    <row r="1506" spans="19:27" x14ac:dyDescent="0.2">
      <c r="S1506" s="61"/>
      <c r="T1506" s="82"/>
      <c r="W1506" s="103" t="str">
        <f t="shared" si="32"/>
        <v>1w</v>
      </c>
      <c r="X1506" s="101">
        <f>_xll.qlCalendarAdvance(Calendar,X1505,W1506,"f",FALSE)</f>
        <v>49849</v>
      </c>
      <c r="Y1506" s="104">
        <f>_xll.qlCalendarAdvance(Calendar,X1506,NDays&amp;"D")</f>
        <v>49851</v>
      </c>
      <c r="Z1506" s="105">
        <v>2.6256920127013094E-2</v>
      </c>
      <c r="AA1506" s="102">
        <v>2.6227083523009398E-2</v>
      </c>
    </row>
    <row r="1507" spans="19:27" x14ac:dyDescent="0.2">
      <c r="S1507" s="61"/>
      <c r="T1507" s="82"/>
      <c r="W1507" s="103" t="str">
        <f t="shared" si="32"/>
        <v>1w</v>
      </c>
      <c r="X1507" s="101">
        <f>_xll.qlCalendarAdvance(Calendar,X1506,W1507,"f",FALSE)</f>
        <v>49856</v>
      </c>
      <c r="Y1507" s="104">
        <f>_xll.qlCalendarAdvance(Calendar,X1507,NDays&amp;"D")</f>
        <v>49858</v>
      </c>
      <c r="Z1507" s="105">
        <v>2.6247775391418239E-2</v>
      </c>
      <c r="AA1507" s="102">
        <v>2.621806268272131E-2</v>
      </c>
    </row>
    <row r="1508" spans="19:27" x14ac:dyDescent="0.2">
      <c r="S1508" s="61"/>
      <c r="T1508" s="82"/>
      <c r="W1508" s="103" t="str">
        <f t="shared" si="32"/>
        <v>1w</v>
      </c>
      <c r="X1508" s="101">
        <f>_xll.qlCalendarAdvance(Calendar,X1507,W1508,"f",FALSE)</f>
        <v>49863</v>
      </c>
      <c r="Y1508" s="104">
        <f>_xll.qlCalendarAdvance(Calendar,X1508,NDays&amp;"D")</f>
        <v>49865</v>
      </c>
      <c r="Z1508" s="105">
        <v>2.6238619912054902E-2</v>
      </c>
      <c r="AA1508" s="102">
        <v>2.6209031147494954E-2</v>
      </c>
    </row>
    <row r="1509" spans="19:27" x14ac:dyDescent="0.2">
      <c r="S1509" s="61"/>
      <c r="T1509" s="82"/>
      <c r="W1509" s="103" t="str">
        <f t="shared" si="32"/>
        <v>1w</v>
      </c>
      <c r="X1509" s="101">
        <f>_xll.qlCalendarAdvance(Calendar,X1508,W1509,"f",FALSE)</f>
        <v>49870</v>
      </c>
      <c r="Y1509" s="104">
        <f>_xll.qlCalendarAdvance(Calendar,X1509,NDays&amp;"D")</f>
        <v>49872</v>
      </c>
      <c r="Z1509" s="105">
        <v>2.6229453688997803E-2</v>
      </c>
      <c r="AA1509" s="102">
        <v>2.619998891733033E-2</v>
      </c>
    </row>
    <row r="1510" spans="19:27" x14ac:dyDescent="0.2">
      <c r="S1510" s="61"/>
      <c r="T1510" s="82"/>
      <c r="W1510" s="103" t="str">
        <f t="shared" si="32"/>
        <v>1w</v>
      </c>
      <c r="X1510" s="101">
        <f>_xll.qlCalendarAdvance(Calendar,X1509,W1510,"f",FALSE)</f>
        <v>49877</v>
      </c>
      <c r="Y1510" s="104">
        <f>_xll.qlCalendarAdvance(Calendar,X1510,NDays&amp;"D")</f>
        <v>49879</v>
      </c>
      <c r="Z1510" s="105">
        <v>2.6220276722325141E-2</v>
      </c>
      <c r="AA1510" s="102">
        <v>2.6190935992174147E-2</v>
      </c>
    </row>
    <row r="1511" spans="19:27" x14ac:dyDescent="0.2">
      <c r="S1511" s="61"/>
      <c r="T1511" s="82"/>
      <c r="W1511" s="103" t="str">
        <f t="shared" si="32"/>
        <v>1w</v>
      </c>
      <c r="X1511" s="101">
        <f>_xll.qlCalendarAdvance(Calendar,X1510,W1511,"f",FALSE)</f>
        <v>49884</v>
      </c>
      <c r="Y1511" s="104">
        <f>_xll.qlCalendarAdvance(Calendar,X1511,NDays&amp;"D")</f>
        <v>49886</v>
      </c>
      <c r="Z1511" s="105">
        <v>2.6211089012106427E-2</v>
      </c>
      <c r="AA1511" s="102">
        <v>2.6181872372106341E-2</v>
      </c>
    </row>
    <row r="1512" spans="19:27" x14ac:dyDescent="0.2">
      <c r="S1512" s="61"/>
      <c r="T1512" s="82"/>
      <c r="W1512" s="103" t="str">
        <f t="shared" si="32"/>
        <v>1w</v>
      </c>
      <c r="X1512" s="101">
        <f>_xll.qlCalendarAdvance(Calendar,X1511,W1512,"f",FALSE)</f>
        <v>49891</v>
      </c>
      <c r="Y1512" s="104">
        <f>_xll.qlCalendarAdvance(Calendar,X1512,NDays&amp;"D")</f>
        <v>49893</v>
      </c>
      <c r="Z1512" s="105">
        <v>2.620189055842333E-2</v>
      </c>
      <c r="AA1512" s="102">
        <v>2.6172798057100266E-2</v>
      </c>
    </row>
    <row r="1513" spans="19:27" x14ac:dyDescent="0.2">
      <c r="S1513" s="61"/>
      <c r="T1513" s="82"/>
      <c r="W1513" s="103" t="str">
        <f t="shared" si="32"/>
        <v>1w</v>
      </c>
      <c r="X1513" s="101">
        <f>_xll.qlCalendarAdvance(Calendar,X1512,W1513,"f",FALSE)</f>
        <v>49898</v>
      </c>
      <c r="Y1513" s="104">
        <f>_xll.qlCalendarAdvance(Calendar,X1513,NDays&amp;"D")</f>
        <v>49900</v>
      </c>
      <c r="Z1513" s="105">
        <v>2.6192681361345369E-2</v>
      </c>
      <c r="AA1513" s="102">
        <v>2.6163713047155923E-2</v>
      </c>
    </row>
    <row r="1514" spans="19:27" x14ac:dyDescent="0.2">
      <c r="S1514" s="61"/>
      <c r="T1514" s="82"/>
      <c r="W1514" s="103" t="str">
        <f t="shared" si="32"/>
        <v>1w</v>
      </c>
      <c r="X1514" s="101">
        <f>_xll.qlCalendarAdvance(Calendar,X1513,W1514,"f",FALSE)</f>
        <v>49905</v>
      </c>
      <c r="Y1514" s="104">
        <f>_xll.qlCalendarAdvance(Calendar,X1514,NDays&amp;"D")</f>
        <v>49907</v>
      </c>
      <c r="Z1514" s="105">
        <v>2.6183461420951605E-2</v>
      </c>
      <c r="AA1514" s="102">
        <v>2.6154617342246667E-2</v>
      </c>
    </row>
    <row r="1515" spans="19:27" x14ac:dyDescent="0.2">
      <c r="S1515" s="61"/>
      <c r="T1515" s="82"/>
      <c r="W1515" s="103" t="str">
        <f t="shared" si="32"/>
        <v>1w</v>
      </c>
      <c r="X1515" s="101">
        <f>_xll.qlCalendarAdvance(Calendar,X1514,W1515,"f",FALSE)</f>
        <v>49912</v>
      </c>
      <c r="Y1515" s="104">
        <f>_xll.qlCalendarAdvance(Calendar,X1515,NDays&amp;"D")</f>
        <v>49914</v>
      </c>
      <c r="Z1515" s="105">
        <v>2.6174230737317627E-2</v>
      </c>
      <c r="AA1515" s="102">
        <v>2.6145510942425787E-2</v>
      </c>
    </row>
    <row r="1516" spans="19:27" x14ac:dyDescent="0.2">
      <c r="S1516" s="61"/>
      <c r="T1516" s="82"/>
      <c r="W1516" s="103" t="str">
        <f t="shared" si="32"/>
        <v>1w</v>
      </c>
      <c r="X1516" s="101">
        <f>_xll.qlCalendarAdvance(Calendar,X1515,W1516,"f",FALSE)</f>
        <v>49919</v>
      </c>
      <c r="Y1516" s="104">
        <f>_xll.qlCalendarAdvance(Calendar,X1516,NDays&amp;"D")</f>
        <v>49921</v>
      </c>
      <c r="Z1516" s="105">
        <v>2.616470268845553E-2</v>
      </c>
      <c r="AA1516" s="102">
        <v>2.6136393847693284E-2</v>
      </c>
    </row>
    <row r="1517" spans="19:27" x14ac:dyDescent="0.2">
      <c r="S1517" s="61"/>
      <c r="T1517" s="82"/>
      <c r="W1517" s="103" t="str">
        <f t="shared" si="32"/>
        <v>1w</v>
      </c>
      <c r="X1517" s="101">
        <f>_xll.qlCalendarAdvance(Calendar,X1516,W1517,"f",FALSE)</f>
        <v>49926</v>
      </c>
      <c r="Y1517" s="104">
        <f>_xll.qlCalendarAdvance(Calendar,X1517,NDays&amp;"D")</f>
        <v>49928</v>
      </c>
      <c r="Z1517" s="105">
        <v>2.6155451955955509E-2</v>
      </c>
      <c r="AA1517" s="102">
        <v>2.6127266057995868E-2</v>
      </c>
    </row>
    <row r="1518" spans="19:27" x14ac:dyDescent="0.2">
      <c r="S1518" s="61"/>
      <c r="T1518" s="82"/>
      <c r="W1518" s="103" t="str">
        <f t="shared" si="32"/>
        <v>1w</v>
      </c>
      <c r="X1518" s="101">
        <f>_xll.qlCalendarAdvance(Calendar,X1517,W1518,"f",FALSE)</f>
        <v>49933</v>
      </c>
      <c r="Y1518" s="104">
        <f>_xll.qlCalendarAdvance(Calendar,X1518,NDays&amp;"D")</f>
        <v>49935</v>
      </c>
      <c r="Z1518" s="105">
        <v>2.6146190480977809E-2</v>
      </c>
      <c r="AA1518" s="102">
        <v>2.6118127573386829E-2</v>
      </c>
    </row>
    <row r="1519" spans="19:27" x14ac:dyDescent="0.2">
      <c r="S1519" s="61"/>
      <c r="T1519" s="82"/>
      <c r="W1519" s="103" t="str">
        <f t="shared" si="32"/>
        <v>1w</v>
      </c>
      <c r="X1519" s="101">
        <f>_xll.qlCalendarAdvance(Calendar,X1518,W1519,"f",FALSE)</f>
        <v>49940</v>
      </c>
      <c r="Y1519" s="104">
        <f>_xll.qlCalendarAdvance(Calendar,X1519,NDays&amp;"D")</f>
        <v>49942</v>
      </c>
      <c r="Z1519" s="105">
        <v>2.6138328568948987E-2</v>
      </c>
      <c r="AA1519" s="102">
        <v>2.6108978393839521E-2</v>
      </c>
    </row>
    <row r="1520" spans="19:27" x14ac:dyDescent="0.2">
      <c r="S1520" s="61"/>
      <c r="T1520" s="82"/>
      <c r="W1520" s="103" t="str">
        <f t="shared" si="32"/>
        <v>1w</v>
      </c>
      <c r="X1520" s="101">
        <f>_xll.qlCalendarAdvance(Calendar,X1519,W1520,"f",FALSE)</f>
        <v>49947</v>
      </c>
      <c r="Y1520" s="104">
        <f>_xll.qlCalendarAdvance(Calendar,X1520,NDays&amp;"D")</f>
        <v>49949</v>
      </c>
      <c r="Z1520" s="105">
        <v>2.6128196918749506E-2</v>
      </c>
      <c r="AA1520" s="102">
        <v>2.6099818519380591E-2</v>
      </c>
    </row>
    <row r="1521" spans="19:27" x14ac:dyDescent="0.2">
      <c r="S1521" s="61"/>
      <c r="T1521" s="82"/>
      <c r="W1521" s="103" t="str">
        <f t="shared" si="32"/>
        <v>1w</v>
      </c>
      <c r="X1521" s="101">
        <f>_xll.qlCalendarAdvance(Calendar,X1520,W1521,"f",FALSE)</f>
        <v>49954</v>
      </c>
      <c r="Y1521" s="104">
        <f>_xll.qlCalendarAdvance(Calendar,X1521,NDays&amp;"D")</f>
        <v>49956</v>
      </c>
      <c r="Z1521" s="105">
        <v>2.6118621031684244E-2</v>
      </c>
      <c r="AA1521" s="102">
        <v>2.6090647950010037E-2</v>
      </c>
    </row>
    <row r="1522" spans="19:27" x14ac:dyDescent="0.2">
      <c r="S1522" s="61"/>
      <c r="T1522" s="82"/>
      <c r="W1522" s="103" t="str">
        <f t="shared" si="32"/>
        <v>1w</v>
      </c>
      <c r="X1522" s="101">
        <f>_xll.qlCalendarAdvance(Calendar,X1521,W1522,"f",FALSE)</f>
        <v>49961</v>
      </c>
      <c r="Y1522" s="104">
        <f>_xll.qlCalendarAdvance(Calendar,X1522,NDays&amp;"D")</f>
        <v>49963</v>
      </c>
      <c r="Z1522" s="105">
        <v>2.6109315147482756E-2</v>
      </c>
      <c r="AA1522" s="102">
        <v>2.6081466685727861E-2</v>
      </c>
    </row>
    <row r="1523" spans="19:27" x14ac:dyDescent="0.2">
      <c r="S1523" s="61"/>
      <c r="T1523" s="82"/>
      <c r="W1523" s="103" t="str">
        <f t="shared" si="32"/>
        <v>1w</v>
      </c>
      <c r="X1523" s="101">
        <f>_xll.qlCalendarAdvance(Calendar,X1522,W1523,"f",FALSE)</f>
        <v>49968</v>
      </c>
      <c r="Y1523" s="104">
        <f>_xll.qlCalendarAdvance(Calendar,X1523,NDays&amp;"D")</f>
        <v>49970</v>
      </c>
      <c r="Z1523" s="105">
        <v>2.6099998520647528E-2</v>
      </c>
      <c r="AA1523" s="102">
        <v>2.6072274726507416E-2</v>
      </c>
    </row>
    <row r="1524" spans="19:27" x14ac:dyDescent="0.2">
      <c r="S1524" s="61"/>
      <c r="T1524" s="82"/>
      <c r="W1524" s="103" t="str">
        <f t="shared" si="32"/>
        <v>1w</v>
      </c>
      <c r="X1524" s="101">
        <f>_xll.qlCalendarAdvance(Calendar,X1523,W1524,"f",FALSE)</f>
        <v>49975</v>
      </c>
      <c r="Y1524" s="104">
        <f>_xll.qlCalendarAdvance(Calendar,X1524,NDays&amp;"D")</f>
        <v>49977</v>
      </c>
      <c r="Z1524" s="105">
        <v>2.6090671151255022E-2</v>
      </c>
      <c r="AA1524" s="102">
        <v>2.6063072072375348E-2</v>
      </c>
    </row>
    <row r="1525" spans="19:27" x14ac:dyDescent="0.2">
      <c r="S1525" s="61"/>
      <c r="T1525" s="82"/>
      <c r="W1525" s="103" t="str">
        <f t="shared" si="32"/>
        <v>1w</v>
      </c>
      <c r="X1525" s="101">
        <f>_xll.qlCalendarAdvance(Calendar,X1524,W1525,"f",FALSE)</f>
        <v>49982</v>
      </c>
      <c r="Y1525" s="104">
        <f>_xll.qlCalendarAdvance(Calendar,X1525,NDays&amp;"D")</f>
        <v>49984</v>
      </c>
      <c r="Z1525" s="105">
        <v>2.6081333039381698E-2</v>
      </c>
      <c r="AA1525" s="102">
        <v>2.6053858723358303E-2</v>
      </c>
    </row>
    <row r="1526" spans="19:27" x14ac:dyDescent="0.2">
      <c r="S1526" s="61"/>
      <c r="T1526" s="82"/>
      <c r="W1526" s="103" t="str">
        <f t="shared" si="32"/>
        <v>1w</v>
      </c>
      <c r="X1526" s="101">
        <f>_xll.qlCalendarAdvance(Calendar,X1525,W1526,"f",FALSE)</f>
        <v>49989</v>
      </c>
      <c r="Y1526" s="104">
        <f>_xll.qlCalendarAdvance(Calendar,X1526,NDays&amp;"D")</f>
        <v>49991</v>
      </c>
      <c r="Z1526" s="105">
        <v>2.6071984185104018E-2</v>
      </c>
      <c r="AA1526" s="102">
        <v>2.6044634679429635E-2</v>
      </c>
    </row>
    <row r="1527" spans="19:27" x14ac:dyDescent="0.2">
      <c r="S1527" s="61"/>
      <c r="T1527" s="82"/>
      <c r="W1527" s="103" t="str">
        <f t="shared" si="32"/>
        <v>1w</v>
      </c>
      <c r="X1527" s="101">
        <f>_xll.qlCalendarAdvance(Calendar,X1526,W1527,"f",FALSE)</f>
        <v>49996</v>
      </c>
      <c r="Y1527" s="104">
        <f>_xll.qlCalendarAdvance(Calendar,X1527,NDays&amp;"D")</f>
        <v>49998</v>
      </c>
      <c r="Z1527" s="105">
        <v>2.606262458849844E-2</v>
      </c>
      <c r="AA1527" s="102">
        <v>2.6035399940562698E-2</v>
      </c>
    </row>
    <row r="1528" spans="19:27" x14ac:dyDescent="0.2">
      <c r="S1528" s="61"/>
      <c r="T1528" s="82"/>
      <c r="W1528" s="103" t="str">
        <f t="shared" si="32"/>
        <v>1w</v>
      </c>
      <c r="X1528" s="101">
        <f>_xll.qlCalendarAdvance(Calendar,X1527,W1528,"f",FALSE)</f>
        <v>50003</v>
      </c>
      <c r="Y1528" s="104">
        <f>_xll.qlCalendarAdvance(Calendar,X1528,NDays&amp;"D")</f>
        <v>50005</v>
      </c>
      <c r="Z1528" s="105">
        <v>2.6053254249641427E-2</v>
      </c>
      <c r="AA1528" s="102">
        <v>2.6026154506810784E-2</v>
      </c>
    </row>
    <row r="1529" spans="19:27" x14ac:dyDescent="0.2">
      <c r="S1529" s="61"/>
      <c r="T1529" s="82"/>
      <c r="W1529" s="103" t="str">
        <f t="shared" si="32"/>
        <v>1w</v>
      </c>
      <c r="X1529" s="101">
        <f>_xll.qlCalendarAdvance(Calendar,X1528,W1529,"f",FALSE)</f>
        <v>50010</v>
      </c>
      <c r="Y1529" s="104">
        <f>_xll.qlCalendarAdvance(Calendar,X1529,NDays&amp;"D")</f>
        <v>50012</v>
      </c>
      <c r="Z1529" s="105">
        <v>2.6043337254974652E-2</v>
      </c>
      <c r="AA1529" s="102">
        <v>2.6016898378173892E-2</v>
      </c>
    </row>
    <row r="1530" spans="19:27" x14ac:dyDescent="0.2">
      <c r="S1530" s="61"/>
      <c r="T1530" s="82"/>
      <c r="W1530" s="103" t="str">
        <f t="shared" si="32"/>
        <v>1w</v>
      </c>
      <c r="X1530" s="101">
        <f>_xll.qlCalendarAdvance(Calendar,X1529,W1530,"f",FALSE)</f>
        <v>50017</v>
      </c>
      <c r="Y1530" s="104">
        <f>_xll.qlCalendarAdvance(Calendar,X1530,NDays&amp;"D")</f>
        <v>50019</v>
      </c>
      <c r="Z1530" s="105">
        <v>2.6033948320309364E-2</v>
      </c>
      <c r="AA1530" s="102">
        <v>2.6007631554652022E-2</v>
      </c>
    </row>
    <row r="1531" spans="19:27" x14ac:dyDescent="0.2">
      <c r="S1531" s="61"/>
      <c r="T1531" s="82"/>
      <c r="W1531" s="103" t="str">
        <f t="shared" si="32"/>
        <v>1w</v>
      </c>
      <c r="X1531" s="101">
        <f>_xll.qlCalendarAdvance(Calendar,X1530,W1531,"f",FALSE)</f>
        <v>50024</v>
      </c>
      <c r="Y1531" s="104">
        <f>_xll.qlCalendarAdvance(Calendar,X1531,NDays&amp;"D")</f>
        <v>50026</v>
      </c>
      <c r="Z1531" s="105">
        <v>2.6024548644673295E-2</v>
      </c>
      <c r="AA1531" s="102">
        <v>2.5998354036191884E-2</v>
      </c>
    </row>
    <row r="1532" spans="19:27" x14ac:dyDescent="0.2">
      <c r="S1532" s="61"/>
      <c r="T1532" s="82"/>
      <c r="W1532" s="103" t="str">
        <f t="shared" si="32"/>
        <v>1w</v>
      </c>
      <c r="X1532" s="101">
        <f>_xll.qlCalendarAdvance(Calendar,X1531,W1532,"f",FALSE)</f>
        <v>50031</v>
      </c>
      <c r="Y1532" s="104">
        <f>_xll.qlCalendarAdvance(Calendar,X1532,NDays&amp;"D")</f>
        <v>50038</v>
      </c>
      <c r="Z1532" s="105">
        <v>2.6008672578552366E-2</v>
      </c>
      <c r="AA1532" s="102">
        <v>2.5979766914669966E-2</v>
      </c>
    </row>
    <row r="1533" spans="19:27" x14ac:dyDescent="0.2">
      <c r="S1533" s="61"/>
      <c r="T1533" s="82"/>
      <c r="W1533" s="103" t="str">
        <f t="shared" si="32"/>
        <v>1w</v>
      </c>
      <c r="X1533" s="101">
        <f>_xll.qlCalendarAdvance(Calendar,X1532,W1533,"f",FALSE)</f>
        <v>50038</v>
      </c>
      <c r="Y1533" s="104">
        <f>_xll.qlCalendarAdvance(Calendar,X1533,NDays&amp;"D")</f>
        <v>50042</v>
      </c>
      <c r="Z1533" s="105">
        <v>2.6003023338756925E-2</v>
      </c>
      <c r="AA1533" s="102">
        <v>2.5972574660331205E-2</v>
      </c>
    </row>
    <row r="1534" spans="19:27" x14ac:dyDescent="0.2">
      <c r="S1534" s="61"/>
      <c r="T1534" s="82"/>
      <c r="W1534" s="103" t="str">
        <f t="shared" si="32"/>
        <v>1w</v>
      </c>
      <c r="X1534" s="101">
        <f>_xll.qlCalendarAdvance(Calendar,X1533,W1534,"f",FALSE)</f>
        <v>50045</v>
      </c>
      <c r="Y1534" s="104">
        <f>_xll.qlCalendarAdvance(Calendar,X1534,NDays&amp;"D")</f>
        <v>50048</v>
      </c>
      <c r="Z1534" s="105">
        <v>2.5994936881893693E-2</v>
      </c>
      <c r="AA1534" s="102">
        <v>2.5965922629564986E-2</v>
      </c>
    </row>
    <row r="1535" spans="19:27" x14ac:dyDescent="0.2">
      <c r="S1535" s="61"/>
      <c r="T1535" s="82"/>
      <c r="W1535" s="103" t="str">
        <f t="shared" si="32"/>
        <v>1w</v>
      </c>
      <c r="X1535" s="101">
        <f>_xll.qlCalendarAdvance(Calendar,X1534,W1535,"f",FALSE)</f>
        <v>50052</v>
      </c>
      <c r="Y1535" s="104">
        <f>_xll.qlCalendarAdvance(Calendar,X1535,NDays&amp;"D")</f>
        <v>50054</v>
      </c>
      <c r="Z1535" s="105">
        <v>2.5986842533936461E-2</v>
      </c>
      <c r="AA1535" s="102">
        <v>2.5961137013528202E-2</v>
      </c>
    </row>
    <row r="1536" spans="19:27" x14ac:dyDescent="0.2">
      <c r="S1536" s="61"/>
      <c r="T1536" s="82"/>
      <c r="W1536" s="103" t="str">
        <f t="shared" si="32"/>
        <v>1w</v>
      </c>
      <c r="X1536" s="101">
        <f>_xll.qlCalendarAdvance(Calendar,X1535,W1536,"f",FALSE)</f>
        <v>50059</v>
      </c>
      <c r="Y1536" s="104">
        <f>_xll.qlCalendarAdvance(Calendar,X1536,NDays&amp;"D")</f>
        <v>50061</v>
      </c>
      <c r="Z1536" s="105">
        <v>2.5977389154580699E-2</v>
      </c>
      <c r="AA1536" s="102">
        <v>2.5951806020696466E-2</v>
      </c>
    </row>
    <row r="1537" spans="19:27" x14ac:dyDescent="0.2">
      <c r="S1537" s="61"/>
      <c r="T1537" s="82"/>
      <c r="W1537" s="103" t="str">
        <f t="shared" si="32"/>
        <v>1w</v>
      </c>
      <c r="X1537" s="101">
        <f>_xll.qlCalendarAdvance(Calendar,X1536,W1537,"f",FALSE)</f>
        <v>50066</v>
      </c>
      <c r="Y1537" s="104">
        <f>_xll.qlCalendarAdvance(Calendar,X1537,NDays&amp;"D")</f>
        <v>50068</v>
      </c>
      <c r="Z1537" s="105">
        <v>2.5967925034708017E-2</v>
      </c>
      <c r="AA1537" s="102">
        <v>2.5942464332899817E-2</v>
      </c>
    </row>
    <row r="1538" spans="19:27" x14ac:dyDescent="0.2">
      <c r="S1538" s="61"/>
      <c r="T1538" s="82"/>
      <c r="W1538" s="103" t="str">
        <f t="shared" si="32"/>
        <v>1w</v>
      </c>
      <c r="X1538" s="101">
        <f>_xll.qlCalendarAdvance(Calendar,X1537,W1538,"f",FALSE)</f>
        <v>50073</v>
      </c>
      <c r="Y1538" s="104">
        <f>_xll.qlCalendarAdvance(Calendar,X1538,NDays&amp;"D")</f>
        <v>50075</v>
      </c>
      <c r="Z1538" s="105">
        <v>2.5958195045629542E-2</v>
      </c>
      <c r="AA1538" s="102">
        <v>2.5933111950271481E-2</v>
      </c>
    </row>
    <row r="1539" spans="19:27" x14ac:dyDescent="0.2">
      <c r="S1539" s="61"/>
      <c r="T1539" s="82"/>
      <c r="W1539" s="103" t="str">
        <f t="shared" si="32"/>
        <v>1w</v>
      </c>
      <c r="X1539" s="101">
        <f>_xll.qlCalendarAdvance(Calendar,X1538,W1539,"f",FALSE)</f>
        <v>50080</v>
      </c>
      <c r="Y1539" s="104">
        <f>_xll.qlCalendarAdvance(Calendar,X1539,NDays&amp;"D")</f>
        <v>50082</v>
      </c>
      <c r="Z1539" s="105">
        <v>2.5948710893693831E-2</v>
      </c>
      <c r="AA1539" s="102">
        <v>2.5923748872758168E-2</v>
      </c>
    </row>
    <row r="1540" spans="19:27" x14ac:dyDescent="0.2">
      <c r="S1540" s="61"/>
      <c r="T1540" s="82"/>
      <c r="W1540" s="103" t="str">
        <f t="shared" si="32"/>
        <v>1w</v>
      </c>
      <c r="X1540" s="101">
        <f>_xll.qlCalendarAdvance(Calendar,X1539,W1540,"f",FALSE)</f>
        <v>50087</v>
      </c>
      <c r="Y1540" s="104">
        <f>_xll.qlCalendarAdvance(Calendar,X1540,NDays&amp;"D")</f>
        <v>50089</v>
      </c>
      <c r="Z1540" s="105">
        <v>2.5939216001986801E-2</v>
      </c>
      <c r="AA1540" s="102">
        <v>2.5914375100386522E-2</v>
      </c>
    </row>
    <row r="1541" spans="19:27" x14ac:dyDescent="0.2">
      <c r="S1541" s="61"/>
      <c r="T1541" s="82"/>
      <c r="W1541" s="103" t="str">
        <f t="shared" si="32"/>
        <v>1w</v>
      </c>
      <c r="X1541" s="101">
        <f>_xll.qlCalendarAdvance(Calendar,X1540,W1541,"f",FALSE)</f>
        <v>50094</v>
      </c>
      <c r="Y1541" s="104">
        <f>_xll.qlCalendarAdvance(Calendar,X1541,NDays&amp;"D")</f>
        <v>50096</v>
      </c>
      <c r="Z1541" s="105">
        <v>2.5929961151565983E-2</v>
      </c>
      <c r="AA1541" s="102">
        <v>2.5904990633129898E-2</v>
      </c>
    </row>
    <row r="1542" spans="19:27" x14ac:dyDescent="0.2">
      <c r="S1542" s="61"/>
      <c r="T1542" s="82"/>
      <c r="W1542" s="103" t="str">
        <f t="shared" si="32"/>
        <v>1w</v>
      </c>
      <c r="X1542" s="101">
        <f>_xll.qlCalendarAdvance(Calendar,X1541,W1542,"f",FALSE)</f>
        <v>50101</v>
      </c>
      <c r="Y1542" s="104">
        <f>_xll.qlCalendarAdvance(Calendar,X1542,NDays&amp;"D")</f>
        <v>50103</v>
      </c>
      <c r="Z1542" s="105">
        <v>2.5920941612410511E-2</v>
      </c>
      <c r="AA1542" s="102">
        <v>2.5895595471014943E-2</v>
      </c>
    </row>
    <row r="1543" spans="19:27" x14ac:dyDescent="0.2">
      <c r="S1543" s="61"/>
      <c r="T1543" s="82"/>
      <c r="W1543" s="103" t="str">
        <f t="shared" si="32"/>
        <v>1w</v>
      </c>
      <c r="X1543" s="101">
        <f>_xll.qlCalendarAdvance(Calendar,X1542,W1543,"f",FALSE)</f>
        <v>50108</v>
      </c>
      <c r="Y1543" s="104">
        <f>_xll.qlCalendarAdvance(Calendar,X1543,NDays&amp;"D")</f>
        <v>50110</v>
      </c>
      <c r="Z1543" s="105">
        <v>2.5911410149045848E-2</v>
      </c>
      <c r="AA1543" s="102">
        <v>2.5886189614041655E-2</v>
      </c>
    </row>
    <row r="1544" spans="19:27" x14ac:dyDescent="0.2">
      <c r="S1544" s="61"/>
      <c r="T1544" s="82"/>
      <c r="W1544" s="103" t="str">
        <f t="shared" si="32"/>
        <v>1w</v>
      </c>
      <c r="X1544" s="101">
        <f>_xll.qlCalendarAdvance(Calendar,X1543,W1544,"f",FALSE)</f>
        <v>50115</v>
      </c>
      <c r="Y1544" s="104">
        <f>_xll.qlCalendarAdvance(Calendar,X1544,NDays&amp;"D")</f>
        <v>50117</v>
      </c>
      <c r="Z1544" s="105">
        <v>2.5901867944668758E-2</v>
      </c>
      <c r="AA1544" s="102">
        <v>2.5876773062183389E-2</v>
      </c>
    </row>
    <row r="1545" spans="19:27" x14ac:dyDescent="0.2">
      <c r="S1545" s="61"/>
      <c r="T1545" s="82"/>
      <c r="W1545" s="103" t="str">
        <f t="shared" si="32"/>
        <v>1w</v>
      </c>
      <c r="X1545" s="101">
        <f>_xll.qlCalendarAdvance(Calendar,X1544,W1545,"f",FALSE)</f>
        <v>50122</v>
      </c>
      <c r="Y1545" s="104">
        <f>_xll.qlCalendarAdvance(Calendar,X1545,NDays&amp;"D")</f>
        <v>50124</v>
      </c>
      <c r="Z1545" s="105">
        <v>2.5892314999357437E-2</v>
      </c>
      <c r="AA1545" s="102">
        <v>2.5867345815466791E-2</v>
      </c>
    </row>
    <row r="1546" spans="19:27" x14ac:dyDescent="0.2">
      <c r="S1546" s="61"/>
      <c r="T1546" s="82"/>
      <c r="W1546" s="103" t="str">
        <f t="shared" si="32"/>
        <v>1w</v>
      </c>
      <c r="X1546" s="101">
        <f>_xll.qlCalendarAdvance(Calendar,X1545,W1546,"f",FALSE)</f>
        <v>50129</v>
      </c>
      <c r="Y1546" s="104">
        <f>_xll.qlCalendarAdvance(Calendar,X1546,NDays&amp;"D")</f>
        <v>50131</v>
      </c>
      <c r="Z1546" s="105">
        <v>2.5882508042615625E-2</v>
      </c>
      <c r="AA1546" s="102">
        <v>2.5852003334927431E-2</v>
      </c>
    </row>
    <row r="1547" spans="19:27" x14ac:dyDescent="0.2">
      <c r="S1547" s="61"/>
      <c r="T1547" s="82"/>
      <c r="W1547" s="103" t="str">
        <f t="shared" si="32"/>
        <v>1w</v>
      </c>
      <c r="X1547" s="101">
        <f>_xll.qlCalendarAdvance(Calendar,X1546,W1547,"f",FALSE)</f>
        <v>50137</v>
      </c>
      <c r="Y1547" s="104">
        <f>_xll.qlCalendarAdvance(Calendar,X1547,NDays&amp;"D")</f>
        <v>50139</v>
      </c>
      <c r="Z1547" s="105">
        <v>2.5871566624333459E-2</v>
      </c>
      <c r="AA1547" s="102">
        <v>2.5843902393010154E-2</v>
      </c>
    </row>
    <row r="1548" spans="19:27" x14ac:dyDescent="0.2">
      <c r="S1548" s="61"/>
      <c r="T1548" s="82"/>
      <c r="W1548" s="103" t="str">
        <f t="shared" si="32"/>
        <v>1w</v>
      </c>
      <c r="X1548" s="101">
        <f>_xll.qlCalendarAdvance(Calendar,X1547,W1548,"f",FALSE)</f>
        <v>50144</v>
      </c>
      <c r="Y1548" s="104">
        <f>_xll.qlCalendarAdvance(Calendar,X1548,NDays&amp;"D")</f>
        <v>50146</v>
      </c>
      <c r="Z1548" s="105">
        <v>2.5861981375998624E-2</v>
      </c>
      <c r="AA1548" s="102">
        <v>2.5834441364329663E-2</v>
      </c>
    </row>
    <row r="1549" spans="19:27" x14ac:dyDescent="0.2">
      <c r="S1549" s="61"/>
      <c r="T1549" s="82"/>
      <c r="W1549" s="103" t="str">
        <f t="shared" si="32"/>
        <v>1w</v>
      </c>
      <c r="X1549" s="101">
        <f>_xll.qlCalendarAdvance(Calendar,X1548,W1549,"f",FALSE)</f>
        <v>50151</v>
      </c>
      <c r="Y1549" s="104">
        <f>_xll.qlCalendarAdvance(Calendar,X1549,NDays&amp;"D")</f>
        <v>50153</v>
      </c>
      <c r="Z1549" s="105">
        <v>2.5852385387563993E-2</v>
      </c>
      <c r="AA1549" s="102">
        <v>2.5824969641723428E-2</v>
      </c>
    </row>
    <row r="1550" spans="19:27" x14ac:dyDescent="0.2">
      <c r="S1550" s="61"/>
      <c r="T1550" s="82"/>
      <c r="W1550" s="103" t="str">
        <f t="shared" si="32"/>
        <v>1w</v>
      </c>
      <c r="X1550" s="101">
        <f>_xll.qlCalendarAdvance(Calendar,X1549,W1550,"f",FALSE)</f>
        <v>50158</v>
      </c>
      <c r="Y1550" s="104">
        <f>_xll.qlCalendarAdvance(Calendar,X1550,NDays&amp;"D")</f>
        <v>50160</v>
      </c>
      <c r="Z1550" s="105">
        <v>2.5843015906353031E-2</v>
      </c>
      <c r="AA1550" s="102">
        <v>2.5814131721402234E-2</v>
      </c>
    </row>
    <row r="1551" spans="19:27" x14ac:dyDescent="0.2">
      <c r="S1551" s="61"/>
      <c r="T1551" s="82"/>
      <c r="W1551" s="103" t="str">
        <f t="shared" si="32"/>
        <v>1w</v>
      </c>
      <c r="X1551" s="101">
        <f>_xll.qlCalendarAdvance(Calendar,X1550,W1551,"f",FALSE)</f>
        <v>50165</v>
      </c>
      <c r="Y1551" s="104">
        <f>_xll.qlCalendarAdvance(Calendar,X1551,NDays&amp;"D")</f>
        <v>50167</v>
      </c>
      <c r="Z1551" s="105">
        <v>2.5833396982738021E-2</v>
      </c>
      <c r="AA1551" s="102">
        <v>2.5805994115213338E-2</v>
      </c>
    </row>
    <row r="1552" spans="19:27" x14ac:dyDescent="0.2">
      <c r="S1552" s="61"/>
      <c r="T1552" s="82"/>
      <c r="W1552" s="103" t="str">
        <f t="shared" si="32"/>
        <v>1w</v>
      </c>
      <c r="X1552" s="101">
        <f>_xll.qlCalendarAdvance(Calendar,X1551,W1552,"f",FALSE)</f>
        <v>50172</v>
      </c>
      <c r="Y1552" s="104">
        <f>_xll.qlCalendarAdvance(Calendar,X1552,NDays&amp;"D")</f>
        <v>50175</v>
      </c>
      <c r="Z1552" s="105">
        <v>2.5822858649206467E-2</v>
      </c>
      <c r="AA1552" s="102">
        <v>2.5795131751884526E-2</v>
      </c>
    </row>
    <row r="1553" spans="19:27" x14ac:dyDescent="0.2">
      <c r="S1553" s="61"/>
      <c r="T1553" s="82"/>
      <c r="W1553" s="103" t="str">
        <f t="shared" si="32"/>
        <v>1w</v>
      </c>
      <c r="X1553" s="101">
        <f>_xll.qlCalendarAdvance(Calendar,X1552,W1553,"f",FALSE)</f>
        <v>50179</v>
      </c>
      <c r="Y1553" s="104">
        <f>_xll.qlCalendarAdvance(Calendar,X1553,NDays&amp;"D")</f>
        <v>50181</v>
      </c>
      <c r="Z1553" s="105">
        <v>2.5814126914464778E-2</v>
      </c>
      <c r="AA1553" s="102">
        <v>2.5785615726396927E-2</v>
      </c>
    </row>
    <row r="1554" spans="19:27" x14ac:dyDescent="0.2">
      <c r="S1554" s="61"/>
      <c r="T1554" s="82"/>
      <c r="W1554" s="103" t="str">
        <f t="shared" si="32"/>
        <v>1w</v>
      </c>
      <c r="X1554" s="101">
        <f>_xll.qlCalendarAdvance(Calendar,X1553,W1554,"f",FALSE)</f>
        <v>50186</v>
      </c>
      <c r="Y1554" s="104">
        <f>_xll.qlCalendarAdvance(Calendar,X1554,NDays&amp;"D")</f>
        <v>50188</v>
      </c>
      <c r="Z1554" s="105">
        <v>2.5804475769964679E-2</v>
      </c>
      <c r="AA1554" s="102">
        <v>2.577745062172454E-2</v>
      </c>
    </row>
    <row r="1555" spans="19:27" x14ac:dyDescent="0.2">
      <c r="S1555" s="61"/>
      <c r="T1555" s="82"/>
      <c r="W1555" s="103" t="str">
        <f t="shared" si="32"/>
        <v>1w</v>
      </c>
      <c r="X1555" s="101">
        <f>_xll.qlCalendarAdvance(Calendar,X1554,W1555,"f",FALSE)</f>
        <v>50193</v>
      </c>
      <c r="Y1555" s="104">
        <f>_xll.qlCalendarAdvance(Calendar,X1555,NDays&amp;"D")</f>
        <v>50195</v>
      </c>
      <c r="Z1555" s="105">
        <v>2.5794813885329712E-2</v>
      </c>
      <c r="AA1555" s="102">
        <v>2.5767914736283259E-2</v>
      </c>
    </row>
    <row r="1556" spans="19:27" x14ac:dyDescent="0.2">
      <c r="S1556" s="61"/>
      <c r="T1556" s="82"/>
      <c r="W1556" s="103" t="str">
        <f t="shared" si="32"/>
        <v>1w</v>
      </c>
      <c r="X1556" s="101">
        <f>_xll.qlCalendarAdvance(Calendar,X1555,W1556,"f",FALSE)</f>
        <v>50200</v>
      </c>
      <c r="Y1556" s="104">
        <f>_xll.qlCalendarAdvance(Calendar,X1556,NDays&amp;"D")</f>
        <v>50202</v>
      </c>
      <c r="Z1556" s="105">
        <v>2.5785141260637204E-2</v>
      </c>
      <c r="AA1556" s="102">
        <v>2.5758368157076106E-2</v>
      </c>
    </row>
    <row r="1557" spans="19:27" x14ac:dyDescent="0.2">
      <c r="S1557" s="61"/>
      <c r="T1557" s="82"/>
      <c r="W1557" s="103" t="str">
        <f t="shared" ref="W1557:W1620" si="33">W1556</f>
        <v>1w</v>
      </c>
      <c r="X1557" s="101">
        <f>_xll.qlCalendarAdvance(Calendar,X1556,W1557,"f",FALSE)</f>
        <v>50207</v>
      </c>
      <c r="Y1557" s="104">
        <f>_xll.qlCalendarAdvance(Calendar,X1557,NDays&amp;"D")</f>
        <v>50209</v>
      </c>
      <c r="Z1557" s="105">
        <v>2.5775457895966226E-2</v>
      </c>
      <c r="AA1557" s="102">
        <v>2.5747444686388121E-2</v>
      </c>
    </row>
    <row r="1558" spans="19:27" x14ac:dyDescent="0.2">
      <c r="S1558" s="61"/>
      <c r="T1558" s="82"/>
      <c r="W1558" s="103" t="str">
        <f t="shared" si="33"/>
        <v>1w</v>
      </c>
      <c r="X1558" s="101">
        <f>_xll.qlCalendarAdvance(Calendar,X1557,W1558,"f",FALSE)</f>
        <v>50214</v>
      </c>
      <c r="Y1558" s="104">
        <f>_xll.qlCalendarAdvance(Calendar,X1558,NDays&amp;"D")</f>
        <v>50216</v>
      </c>
      <c r="Z1558" s="105">
        <v>2.5765763791395842E-2</v>
      </c>
      <c r="AA1558" s="102">
        <v>2.5739242917284244E-2</v>
      </c>
    </row>
    <row r="1559" spans="19:27" x14ac:dyDescent="0.2">
      <c r="S1559" s="61"/>
      <c r="T1559" s="82"/>
      <c r="W1559" s="103" t="str">
        <f t="shared" si="33"/>
        <v>1w</v>
      </c>
      <c r="X1559" s="101">
        <f>_xll.qlCalendarAdvance(Calendar,X1558,W1559,"f",FALSE)</f>
        <v>50221</v>
      </c>
      <c r="Y1559" s="104">
        <f>_xll.qlCalendarAdvance(Calendar,X1559,NDays&amp;"D")</f>
        <v>50223</v>
      </c>
      <c r="Z1559" s="105">
        <v>2.5756058947007728E-2</v>
      </c>
      <c r="AA1559" s="102">
        <v>2.57296642566196E-2</v>
      </c>
    </row>
    <row r="1560" spans="19:27" x14ac:dyDescent="0.2">
      <c r="S1560" s="61"/>
      <c r="T1560" s="82"/>
      <c r="W1560" s="103" t="str">
        <f t="shared" si="33"/>
        <v>1w</v>
      </c>
      <c r="X1560" s="101">
        <f>_xll.qlCalendarAdvance(Calendar,X1559,W1560,"f",FALSE)</f>
        <v>50228</v>
      </c>
      <c r="Y1560" s="104">
        <f>_xll.qlCalendarAdvance(Calendar,X1560,NDays&amp;"D")</f>
        <v>50230</v>
      </c>
      <c r="Z1560" s="105">
        <v>2.5746343362879211E-2</v>
      </c>
      <c r="AA1560" s="102">
        <v>2.5720074902109147E-2</v>
      </c>
    </row>
    <row r="1561" spans="19:27" x14ac:dyDescent="0.2">
      <c r="S1561" s="61"/>
      <c r="T1561" s="82"/>
      <c r="W1561" s="103" t="str">
        <f t="shared" si="33"/>
        <v>1w</v>
      </c>
      <c r="X1561" s="101">
        <f>_xll.qlCalendarAdvance(Calendar,X1560,W1561,"f",FALSE)</f>
        <v>50235</v>
      </c>
      <c r="Y1561" s="104">
        <f>_xll.qlCalendarAdvance(Calendar,X1561,NDays&amp;"D")</f>
        <v>50237</v>
      </c>
      <c r="Z1561" s="105">
        <v>2.5736617039090231E-2</v>
      </c>
      <c r="AA1561" s="102">
        <v>2.5710474853832821E-2</v>
      </c>
    </row>
    <row r="1562" spans="19:27" x14ac:dyDescent="0.2">
      <c r="S1562" s="61"/>
      <c r="T1562" s="82"/>
      <c r="W1562" s="103" t="str">
        <f t="shared" si="33"/>
        <v>1w</v>
      </c>
      <c r="X1562" s="101">
        <f>_xll.qlCalendarAdvance(Calendar,X1561,W1562,"f",FALSE)</f>
        <v>50242</v>
      </c>
      <c r="Y1562" s="104">
        <f>_xll.qlCalendarAdvance(Calendar,X1562,NDays&amp;"D")</f>
        <v>50244</v>
      </c>
      <c r="Z1562" s="105">
        <v>2.5726879975720721E-2</v>
      </c>
      <c r="AA1562" s="102">
        <v>2.5700864111870558E-2</v>
      </c>
    </row>
    <row r="1563" spans="19:27" x14ac:dyDescent="0.2">
      <c r="S1563" s="61"/>
      <c r="T1563" s="82"/>
      <c r="W1563" s="103" t="str">
        <f t="shared" si="33"/>
        <v>1w</v>
      </c>
      <c r="X1563" s="101">
        <f>_xll.qlCalendarAdvance(Calendar,X1562,W1563,"f",FALSE)</f>
        <v>50249</v>
      </c>
      <c r="Y1563" s="104">
        <f>_xll.qlCalendarAdvance(Calendar,X1563,NDays&amp;"D")</f>
        <v>50251</v>
      </c>
      <c r="Z1563" s="105">
        <v>2.5717132172850616E-2</v>
      </c>
      <c r="AA1563" s="102">
        <v>2.5691242675982551E-2</v>
      </c>
    </row>
    <row r="1564" spans="19:27" x14ac:dyDescent="0.2">
      <c r="S1564" s="61"/>
      <c r="T1564" s="82"/>
      <c r="W1564" s="103" t="str">
        <f t="shared" si="33"/>
        <v>1w</v>
      </c>
      <c r="X1564" s="101">
        <f>_xll.qlCalendarAdvance(Calendar,X1563,W1564,"f",FALSE)</f>
        <v>50256</v>
      </c>
      <c r="Y1564" s="104">
        <f>_xll.qlCalendarAdvance(Calendar,X1564,NDays&amp;"D")</f>
        <v>50258</v>
      </c>
      <c r="Z1564" s="105">
        <v>2.5707373630560727E-2</v>
      </c>
      <c r="AA1564" s="102">
        <v>2.568161054632867E-2</v>
      </c>
    </row>
    <row r="1565" spans="19:27" x14ac:dyDescent="0.2">
      <c r="S1565" s="61"/>
      <c r="T1565" s="82"/>
      <c r="W1565" s="103" t="str">
        <f t="shared" si="33"/>
        <v>1w</v>
      </c>
      <c r="X1565" s="101">
        <f>_xll.qlCalendarAdvance(Calendar,X1564,W1565,"f",FALSE)</f>
        <v>50263</v>
      </c>
      <c r="Y1565" s="104">
        <f>_xll.qlCalendarAdvance(Calendar,X1565,NDays&amp;"D")</f>
        <v>50265</v>
      </c>
      <c r="Z1565" s="105">
        <v>2.5697604348928375E-2</v>
      </c>
      <c r="AA1565" s="102">
        <v>2.5671967722908917E-2</v>
      </c>
    </row>
    <row r="1566" spans="19:27" x14ac:dyDescent="0.2">
      <c r="S1566" s="61"/>
      <c r="T1566" s="82"/>
      <c r="W1566" s="103" t="str">
        <f t="shared" si="33"/>
        <v>1w</v>
      </c>
      <c r="X1566" s="101">
        <f>_xll.qlCalendarAdvance(Calendar,X1565,W1566,"f",FALSE)</f>
        <v>50270</v>
      </c>
      <c r="Y1566" s="104">
        <f>_xll.qlCalendarAdvance(Calendar,X1566,NDays&amp;"D")</f>
        <v>50272</v>
      </c>
      <c r="Z1566" s="105">
        <v>2.568782432803611E-2</v>
      </c>
      <c r="AA1566" s="102">
        <v>2.5662314205723291E-2</v>
      </c>
    </row>
    <row r="1567" spans="19:27" x14ac:dyDescent="0.2">
      <c r="S1567" s="61"/>
      <c r="T1567" s="82"/>
      <c r="W1567" s="103" t="str">
        <f t="shared" si="33"/>
        <v>1w</v>
      </c>
      <c r="X1567" s="101">
        <f>_xll.qlCalendarAdvance(Calendar,X1566,W1567,"f",FALSE)</f>
        <v>50277</v>
      </c>
      <c r="Y1567" s="104">
        <f>_xll.qlCalendarAdvance(Calendar,X1567,NDays&amp;"D")</f>
        <v>50279</v>
      </c>
      <c r="Z1567" s="105">
        <v>2.5678033567961257E-2</v>
      </c>
      <c r="AA1567" s="102">
        <v>2.5652649994531984E-2</v>
      </c>
    </row>
    <row r="1568" spans="19:27" x14ac:dyDescent="0.2">
      <c r="S1568" s="61"/>
      <c r="T1568" s="82"/>
      <c r="W1568" s="103" t="str">
        <f t="shared" si="33"/>
        <v>1w</v>
      </c>
      <c r="X1568" s="101">
        <f>_xll.qlCalendarAdvance(Calendar,X1567,W1568,"f",FALSE)</f>
        <v>50284</v>
      </c>
      <c r="Y1568" s="104">
        <f>_xll.qlCalendarAdvance(Calendar,X1568,NDays&amp;"D")</f>
        <v>50286</v>
      </c>
      <c r="Z1568" s="105">
        <v>2.5668021092269042E-2</v>
      </c>
      <c r="AA1568" s="102">
        <v>2.5642975089814612E-2</v>
      </c>
    </row>
    <row r="1569" spans="19:27" x14ac:dyDescent="0.2">
      <c r="S1569" s="61"/>
      <c r="T1569" s="82"/>
      <c r="W1569" s="103" t="str">
        <f t="shared" si="33"/>
        <v>1w</v>
      </c>
      <c r="X1569" s="101">
        <f>_xll.qlCalendarAdvance(Calendar,X1568,W1569,"f",FALSE)</f>
        <v>50291</v>
      </c>
      <c r="Y1569" s="104">
        <f>_xll.qlCalendarAdvance(Calendar,X1569,NDays&amp;"D")</f>
        <v>50293</v>
      </c>
      <c r="Z1569" s="105">
        <v>2.5658210318281548E-2</v>
      </c>
      <c r="AA1569" s="102">
        <v>2.5633289491171496E-2</v>
      </c>
    </row>
    <row r="1570" spans="19:27" x14ac:dyDescent="0.2">
      <c r="S1570" s="61"/>
      <c r="T1570" s="82"/>
      <c r="W1570" s="103" t="str">
        <f t="shared" si="33"/>
        <v>1w</v>
      </c>
      <c r="X1570" s="101">
        <f>_xll.qlCalendarAdvance(Calendar,X1569,W1570,"f",FALSE)</f>
        <v>50298</v>
      </c>
      <c r="Y1570" s="104">
        <f>_xll.qlCalendarAdvance(Calendar,X1570,NDays&amp;"D")</f>
        <v>50300</v>
      </c>
      <c r="Z1570" s="105">
        <v>2.5648388805846564E-2</v>
      </c>
      <c r="AA1570" s="102">
        <v>2.562359319868257E-2</v>
      </c>
    </row>
    <row r="1571" spans="19:27" x14ac:dyDescent="0.2">
      <c r="S1571" s="61"/>
      <c r="T1571" s="82"/>
      <c r="W1571" s="103" t="str">
        <f t="shared" si="33"/>
        <v>1w</v>
      </c>
      <c r="X1571" s="101">
        <f>_xll.qlCalendarAdvance(Calendar,X1570,W1571,"f",FALSE)</f>
        <v>50305</v>
      </c>
      <c r="Y1571" s="104">
        <f>_xll.qlCalendarAdvance(Calendar,X1571,NDays&amp;"D")</f>
        <v>50307</v>
      </c>
      <c r="Z1571" s="105">
        <v>2.5639382104807831E-2</v>
      </c>
      <c r="AA1571" s="102">
        <v>2.5613886212427772E-2</v>
      </c>
    </row>
    <row r="1572" spans="19:27" x14ac:dyDescent="0.2">
      <c r="S1572" s="61"/>
      <c r="T1572" s="82"/>
      <c r="W1572" s="103" t="str">
        <f t="shared" si="33"/>
        <v>1w</v>
      </c>
      <c r="X1572" s="101">
        <f>_xll.qlCalendarAdvance(Calendar,X1571,W1572,"f",FALSE)</f>
        <v>50312</v>
      </c>
      <c r="Y1572" s="104">
        <f>_xll.qlCalendarAdvance(Calendar,X1572,NDays&amp;"D")</f>
        <v>50314</v>
      </c>
      <c r="Z1572" s="105">
        <v>2.5629533252282722E-2</v>
      </c>
      <c r="AA1572" s="102">
        <v>2.5604168532487037E-2</v>
      </c>
    </row>
    <row r="1573" spans="19:27" x14ac:dyDescent="0.2">
      <c r="S1573" s="61"/>
      <c r="T1573" s="82"/>
      <c r="W1573" s="103" t="str">
        <f t="shared" si="33"/>
        <v>1w</v>
      </c>
      <c r="X1573" s="101">
        <f>_xll.qlCalendarAdvance(Calendar,X1572,W1573,"f",FALSE)</f>
        <v>50319</v>
      </c>
      <c r="Y1573" s="104">
        <f>_xll.qlCalendarAdvance(Calendar,X1573,NDays&amp;"D")</f>
        <v>50321</v>
      </c>
      <c r="Z1573" s="105">
        <v>2.5619063489222875E-2</v>
      </c>
      <c r="AA1573" s="102">
        <v>2.5594440158700493E-2</v>
      </c>
    </row>
    <row r="1574" spans="19:27" x14ac:dyDescent="0.2">
      <c r="S1574" s="61"/>
      <c r="T1574" s="82"/>
      <c r="W1574" s="103" t="str">
        <f t="shared" si="33"/>
        <v>1w</v>
      </c>
      <c r="X1574" s="101">
        <f>_xll.qlCalendarAdvance(Calendar,X1573,W1574,"f",FALSE)</f>
        <v>50326</v>
      </c>
      <c r="Y1574" s="104">
        <f>_xll.qlCalendarAdvance(Calendar,X1574,NDays&amp;"D")</f>
        <v>50328</v>
      </c>
      <c r="Z1574" s="105">
        <v>2.5609197557134193E-2</v>
      </c>
      <c r="AA1574" s="102">
        <v>2.558470109106814E-2</v>
      </c>
    </row>
    <row r="1575" spans="19:27" x14ac:dyDescent="0.2">
      <c r="S1575" s="61"/>
      <c r="T1575" s="82"/>
      <c r="W1575" s="103" t="str">
        <f t="shared" si="33"/>
        <v>1w</v>
      </c>
      <c r="X1575" s="101">
        <f>_xll.qlCalendarAdvance(Calendar,X1574,W1575,"f",FALSE)</f>
        <v>50333</v>
      </c>
      <c r="Y1575" s="104">
        <f>_xll.qlCalendarAdvance(Calendar,X1575,NDays&amp;"D")</f>
        <v>50335</v>
      </c>
      <c r="Z1575" s="105">
        <v>2.5599320886509361E-2</v>
      </c>
      <c r="AA1575" s="102">
        <v>2.5574951329749851E-2</v>
      </c>
    </row>
    <row r="1576" spans="19:27" x14ac:dyDescent="0.2">
      <c r="S1576" s="61"/>
      <c r="T1576" s="82"/>
      <c r="W1576" s="103" t="str">
        <f t="shared" si="33"/>
        <v>1w</v>
      </c>
      <c r="X1576" s="101">
        <f>_xll.qlCalendarAdvance(Calendar,X1575,W1576,"f",FALSE)</f>
        <v>50340</v>
      </c>
      <c r="Y1576" s="104">
        <f>_xll.qlCalendarAdvance(Calendar,X1576,NDays&amp;"D")</f>
        <v>50342</v>
      </c>
      <c r="Z1576" s="105">
        <v>2.558943347742745E-2</v>
      </c>
      <c r="AA1576" s="102">
        <v>2.5565190874505817E-2</v>
      </c>
    </row>
    <row r="1577" spans="19:27" x14ac:dyDescent="0.2">
      <c r="S1577" s="61"/>
      <c r="T1577" s="82"/>
      <c r="W1577" s="103" t="str">
        <f t="shared" si="33"/>
        <v>1w</v>
      </c>
      <c r="X1577" s="101">
        <f>_xll.qlCalendarAdvance(Calendar,X1576,W1577,"f",FALSE)</f>
        <v>50347</v>
      </c>
      <c r="Y1577" s="104">
        <f>_xll.qlCalendarAdvance(Calendar,X1577,NDays&amp;"D")</f>
        <v>50349</v>
      </c>
      <c r="Z1577" s="105">
        <v>2.557953532997187E-2</v>
      </c>
      <c r="AA1577" s="102">
        <v>2.5555419725655781E-2</v>
      </c>
    </row>
    <row r="1578" spans="19:27" x14ac:dyDescent="0.2">
      <c r="S1578" s="61"/>
      <c r="T1578" s="82"/>
      <c r="W1578" s="103" t="str">
        <f t="shared" si="33"/>
        <v>1w</v>
      </c>
      <c r="X1578" s="101">
        <f>_xll.qlCalendarAdvance(Calendar,X1577,W1578,"f",FALSE)</f>
        <v>50354</v>
      </c>
      <c r="Y1578" s="104">
        <f>_xll.qlCalendarAdvance(Calendar,X1578,NDays&amp;"D")</f>
        <v>50356</v>
      </c>
      <c r="Z1578" s="105">
        <v>2.5569626444223427E-2</v>
      </c>
      <c r="AA1578" s="102">
        <v>2.5545637882800065E-2</v>
      </c>
    </row>
    <row r="1579" spans="19:27" x14ac:dyDescent="0.2">
      <c r="S1579" s="61"/>
      <c r="T1579" s="82"/>
      <c r="W1579" s="103" t="str">
        <f t="shared" si="33"/>
        <v>1w</v>
      </c>
      <c r="X1579" s="101">
        <f>_xll.qlCalendarAdvance(Calendar,X1578,W1579,"f",FALSE)</f>
        <v>50361</v>
      </c>
      <c r="Y1579" s="104">
        <f>_xll.qlCalendarAdvance(Calendar,X1579,NDays&amp;"D")</f>
        <v>50363</v>
      </c>
      <c r="Z1579" s="105">
        <v>2.5559706820260316E-2</v>
      </c>
      <c r="AA1579" s="102">
        <v>2.5535845346258412E-2</v>
      </c>
    </row>
    <row r="1580" spans="19:27" x14ac:dyDescent="0.2">
      <c r="S1580" s="61"/>
      <c r="T1580" s="82"/>
      <c r="W1580" s="103" t="str">
        <f t="shared" si="33"/>
        <v>1w</v>
      </c>
      <c r="X1580" s="101">
        <f>_xll.qlCalendarAdvance(Calendar,X1579,W1580,"f",FALSE)</f>
        <v>50368</v>
      </c>
      <c r="Y1580" s="104">
        <f>_xll.qlCalendarAdvance(Calendar,X1580,NDays&amp;"D")</f>
        <v>50370</v>
      </c>
      <c r="Z1580" s="105">
        <v>2.5549776458167691E-2</v>
      </c>
      <c r="AA1580" s="102">
        <v>2.5526042115950887E-2</v>
      </c>
    </row>
    <row r="1581" spans="19:27" x14ac:dyDescent="0.2">
      <c r="S1581" s="61"/>
      <c r="T1581" s="82"/>
      <c r="W1581" s="103" t="str">
        <f t="shared" si="33"/>
        <v>1w</v>
      </c>
      <c r="X1581" s="101">
        <f>_xll.qlCalendarAdvance(Calendar,X1580,W1581,"f",FALSE)</f>
        <v>50375</v>
      </c>
      <c r="Y1581" s="104">
        <f>_xll.qlCalendarAdvance(Calendar,X1581,NDays&amp;"D")</f>
        <v>50377</v>
      </c>
      <c r="Z1581" s="105">
        <v>2.5539451419349213E-2</v>
      </c>
      <c r="AA1581" s="102">
        <v>2.5516228191877488E-2</v>
      </c>
    </row>
    <row r="1582" spans="19:27" x14ac:dyDescent="0.2">
      <c r="S1582" s="61"/>
      <c r="T1582" s="82"/>
      <c r="W1582" s="103" t="str">
        <f t="shared" si="33"/>
        <v>1w</v>
      </c>
      <c r="X1582" s="101">
        <f>_xll.qlCalendarAdvance(Calendar,X1581,W1582,"f",FALSE)</f>
        <v>50382</v>
      </c>
      <c r="Y1582" s="104">
        <f>_xll.qlCalendarAdvance(Calendar,X1582,NDays&amp;"D")</f>
        <v>50384</v>
      </c>
      <c r="Z1582" s="105">
        <v>2.552950252216668E-2</v>
      </c>
      <c r="AA1582" s="102">
        <v>2.5506403573958281E-2</v>
      </c>
    </row>
    <row r="1583" spans="19:27" x14ac:dyDescent="0.2">
      <c r="S1583" s="61"/>
      <c r="T1583" s="82"/>
      <c r="W1583" s="103" t="str">
        <f t="shared" si="33"/>
        <v>1w</v>
      </c>
      <c r="X1583" s="101">
        <f>_xll.qlCalendarAdvance(Calendar,X1582,W1583,"f",FALSE)</f>
        <v>50389</v>
      </c>
      <c r="Y1583" s="104">
        <f>_xll.qlCalendarAdvance(Calendar,X1583,NDays&amp;"D")</f>
        <v>50391</v>
      </c>
      <c r="Z1583" s="105">
        <v>2.5519542888055469E-2</v>
      </c>
      <c r="AA1583" s="102">
        <v>2.54965682622732E-2</v>
      </c>
    </row>
    <row r="1584" spans="19:27" x14ac:dyDescent="0.2">
      <c r="S1584" s="61"/>
      <c r="T1584" s="82"/>
      <c r="W1584" s="103" t="str">
        <f t="shared" si="33"/>
        <v>1w</v>
      </c>
      <c r="X1584" s="101">
        <f>_xll.qlCalendarAdvance(Calendar,X1583,W1584,"f",FALSE)</f>
        <v>50396</v>
      </c>
      <c r="Y1584" s="104">
        <f>_xll.qlCalendarAdvance(Calendar,X1584,NDays&amp;"D")</f>
        <v>50402</v>
      </c>
      <c r="Z1584" s="105">
        <v>2.5504057122934468E-2</v>
      </c>
      <c r="AA1584" s="102">
        <v>2.5484698348197554E-2</v>
      </c>
    </row>
    <row r="1585" spans="19:27" x14ac:dyDescent="0.2">
      <c r="S1585" s="61"/>
      <c r="T1585" s="82"/>
      <c r="W1585" s="103" t="str">
        <f t="shared" si="33"/>
        <v>1w</v>
      </c>
      <c r="X1585" s="101">
        <f>_xll.qlCalendarAdvance(Calendar,X1584,W1585,"f",FALSE)</f>
        <v>50403</v>
      </c>
      <c r="Y1585" s="104">
        <f>_xll.qlCalendarAdvance(Calendar,X1585,NDays&amp;"D")</f>
        <v>50409</v>
      </c>
      <c r="Z1585" s="105">
        <v>2.5494068407833706E-2</v>
      </c>
      <c r="AA1585" s="102">
        <v>2.5472637984274016E-2</v>
      </c>
    </row>
    <row r="1586" spans="19:27" x14ac:dyDescent="0.2">
      <c r="S1586" s="61"/>
      <c r="T1586" s="82"/>
      <c r="W1586" s="103" t="str">
        <f t="shared" si="33"/>
        <v>1w</v>
      </c>
      <c r="X1586" s="101">
        <f>_xll.qlCalendarAdvance(Calendar,X1585,W1586,"f",FALSE)</f>
        <v>50410</v>
      </c>
      <c r="Y1586" s="104">
        <f>_xll.qlCalendarAdvance(Calendar,X1586,NDays&amp;"D")</f>
        <v>50413</v>
      </c>
      <c r="Z1586" s="105">
        <v>2.5488171282153083E-2</v>
      </c>
      <c r="AA1586" s="102">
        <v>2.5465587663946465E-2</v>
      </c>
    </row>
    <row r="1587" spans="19:27" x14ac:dyDescent="0.2">
      <c r="S1587" s="61"/>
      <c r="T1587" s="82"/>
      <c r="W1587" s="103" t="str">
        <f t="shared" si="33"/>
        <v>1w</v>
      </c>
      <c r="X1587" s="101">
        <f>_xll.qlCalendarAdvance(Calendar,X1586,W1587,"f",FALSE)</f>
        <v>50417</v>
      </c>
      <c r="Y1587" s="104">
        <f>_xll.qlCalendarAdvance(Calendar,X1587,NDays&amp;"D")</f>
        <v>50419</v>
      </c>
      <c r="Z1587" s="105">
        <v>2.547959698393587E-2</v>
      </c>
      <c r="AA1587" s="102">
        <v>2.5457120077794215E-2</v>
      </c>
    </row>
    <row r="1588" spans="19:27" x14ac:dyDescent="0.2">
      <c r="S1588" s="61"/>
      <c r="T1588" s="82"/>
      <c r="W1588" s="103" t="str">
        <f t="shared" si="33"/>
        <v>1w</v>
      </c>
      <c r="X1588" s="101">
        <f>_xll.qlCalendarAdvance(Calendar,X1587,W1588,"f",FALSE)</f>
        <v>50424</v>
      </c>
      <c r="Y1588" s="104">
        <f>_xll.qlCalendarAdvance(Calendar,X1588,NDays&amp;"D")</f>
        <v>50426</v>
      </c>
      <c r="Z1588" s="105">
        <v>2.5469583666386519E-2</v>
      </c>
      <c r="AA1588" s="102">
        <v>2.5447231297199835E-2</v>
      </c>
    </row>
    <row r="1589" spans="19:27" x14ac:dyDescent="0.2">
      <c r="S1589" s="61"/>
      <c r="T1589" s="82"/>
      <c r="W1589" s="103" t="str">
        <f t="shared" si="33"/>
        <v>1w</v>
      </c>
      <c r="X1589" s="101">
        <f>_xll.qlCalendarAdvance(Calendar,X1588,W1589,"f",FALSE)</f>
        <v>50431</v>
      </c>
      <c r="Y1589" s="104">
        <f>_xll.qlCalendarAdvance(Calendar,X1589,NDays&amp;"D")</f>
        <v>50433</v>
      </c>
      <c r="Z1589" s="105">
        <v>2.5459559612389882E-2</v>
      </c>
      <c r="AA1589" s="102">
        <v>2.5437331822839582E-2</v>
      </c>
    </row>
    <row r="1590" spans="19:27" x14ac:dyDescent="0.2">
      <c r="S1590" s="61"/>
      <c r="T1590" s="82"/>
      <c r="W1590" s="103" t="str">
        <f t="shared" si="33"/>
        <v>1w</v>
      </c>
      <c r="X1590" s="101">
        <f>_xll.qlCalendarAdvance(Calendar,X1589,W1590,"f",FALSE)</f>
        <v>50438</v>
      </c>
      <c r="Y1590" s="104">
        <f>_xll.qlCalendarAdvance(Calendar,X1590,NDays&amp;"D")</f>
        <v>50440</v>
      </c>
      <c r="Z1590" s="105">
        <v>2.5449345905762692E-2</v>
      </c>
      <c r="AA1590" s="102">
        <v>2.5427421654713456E-2</v>
      </c>
    </row>
    <row r="1591" spans="19:27" x14ac:dyDescent="0.2">
      <c r="S1591" s="61"/>
      <c r="T1591" s="82"/>
      <c r="W1591" s="103" t="str">
        <f t="shared" si="33"/>
        <v>1w</v>
      </c>
      <c r="X1591" s="101">
        <f>_xll.qlCalendarAdvance(Calendar,X1590,W1591,"f",FALSE)</f>
        <v>50445</v>
      </c>
      <c r="Y1591" s="104">
        <f>_xll.qlCalendarAdvance(Calendar,X1591,NDays&amp;"D")</f>
        <v>50447</v>
      </c>
      <c r="Z1591" s="105">
        <v>2.5439301853684555E-2</v>
      </c>
      <c r="AA1591" s="102">
        <v>2.5417500792821457E-2</v>
      </c>
    </row>
    <row r="1592" spans="19:27" x14ac:dyDescent="0.2">
      <c r="S1592" s="61"/>
      <c r="T1592" s="82"/>
      <c r="W1592" s="103" t="str">
        <f t="shared" si="33"/>
        <v>1w</v>
      </c>
      <c r="X1592" s="101">
        <f>_xll.qlCalendarAdvance(Calendar,X1591,W1592,"f",FALSE)</f>
        <v>50452</v>
      </c>
      <c r="Y1592" s="104">
        <f>_xll.qlCalendarAdvance(Calendar,X1592,NDays&amp;"D")</f>
        <v>50454</v>
      </c>
      <c r="Z1592" s="105">
        <v>2.5429247065872313E-2</v>
      </c>
      <c r="AA1592" s="102">
        <v>2.5407569237163585E-2</v>
      </c>
    </row>
    <row r="1593" spans="19:27" x14ac:dyDescent="0.2">
      <c r="S1593" s="61"/>
      <c r="T1593" s="82"/>
      <c r="W1593" s="103" t="str">
        <f t="shared" si="33"/>
        <v>1w</v>
      </c>
      <c r="X1593" s="101">
        <f>_xll.qlCalendarAdvance(Calendar,X1592,W1593,"f",FALSE)</f>
        <v>50459</v>
      </c>
      <c r="Y1593" s="104">
        <f>_xll.qlCalendarAdvance(Calendar,X1593,NDays&amp;"D")</f>
        <v>50461</v>
      </c>
      <c r="Z1593" s="105">
        <v>2.5419181542405911E-2</v>
      </c>
      <c r="AA1593" s="102">
        <v>2.5397626987739841E-2</v>
      </c>
    </row>
    <row r="1594" spans="19:27" x14ac:dyDescent="0.2">
      <c r="S1594" s="61"/>
      <c r="T1594" s="82"/>
      <c r="W1594" s="103" t="str">
        <f t="shared" si="33"/>
        <v>1w</v>
      </c>
      <c r="X1594" s="101">
        <f>_xll.qlCalendarAdvance(Calendar,X1593,W1594,"f",FALSE)</f>
        <v>50466</v>
      </c>
      <c r="Y1594" s="104">
        <f>_xll.qlCalendarAdvance(Calendar,X1594,NDays&amp;"D")</f>
        <v>50468</v>
      </c>
      <c r="Z1594" s="105">
        <v>2.5409623930797084E-2</v>
      </c>
      <c r="AA1594" s="102">
        <v>2.5387674044390351E-2</v>
      </c>
    </row>
    <row r="1595" spans="19:27" x14ac:dyDescent="0.2">
      <c r="S1595" s="61"/>
      <c r="T1595" s="82"/>
      <c r="W1595" s="103" t="str">
        <f t="shared" si="33"/>
        <v>1w</v>
      </c>
      <c r="X1595" s="101">
        <f>_xll.qlCalendarAdvance(Calendar,X1594,W1595,"f",FALSE)</f>
        <v>50473</v>
      </c>
      <c r="Y1595" s="104">
        <f>_xll.qlCalendarAdvance(Calendar,X1595,NDays&amp;"D")</f>
        <v>50475</v>
      </c>
      <c r="Z1595" s="105">
        <v>2.5399532506546064E-2</v>
      </c>
      <c r="AA1595" s="102">
        <v>2.5377710407434861E-2</v>
      </c>
    </row>
    <row r="1596" spans="19:27" x14ac:dyDescent="0.2">
      <c r="S1596" s="61"/>
      <c r="T1596" s="82"/>
      <c r="W1596" s="103" t="str">
        <f t="shared" si="33"/>
        <v>1w</v>
      </c>
      <c r="X1596" s="101">
        <f>_xll.qlCalendarAdvance(Calendar,X1595,W1596,"f",FALSE)</f>
        <v>50480</v>
      </c>
      <c r="Y1596" s="104">
        <f>_xll.qlCalendarAdvance(Calendar,X1596,NDays&amp;"D")</f>
        <v>50482</v>
      </c>
      <c r="Z1596" s="105">
        <v>2.5389430345475788E-2</v>
      </c>
      <c r="AA1596" s="102">
        <v>2.5367736076633562E-2</v>
      </c>
    </row>
    <row r="1597" spans="19:27" x14ac:dyDescent="0.2">
      <c r="S1597" s="61"/>
      <c r="T1597" s="82"/>
      <c r="W1597" s="103" t="str">
        <f t="shared" si="33"/>
        <v>1w</v>
      </c>
      <c r="X1597" s="101">
        <f>_xll.qlCalendarAdvance(Calendar,X1596,W1597,"f",FALSE)</f>
        <v>50487</v>
      </c>
      <c r="Y1597" s="104">
        <f>_xll.qlCalendarAdvance(Calendar,X1597,NDays&amp;"D")</f>
        <v>50489</v>
      </c>
      <c r="Z1597" s="105">
        <v>2.5379821604294299E-2</v>
      </c>
      <c r="AA1597" s="102">
        <v>2.5357751052146327E-2</v>
      </c>
    </row>
    <row r="1598" spans="19:27" x14ac:dyDescent="0.2">
      <c r="S1598" s="61"/>
      <c r="T1598" s="82"/>
      <c r="W1598" s="103" t="str">
        <f t="shared" si="33"/>
        <v>1w</v>
      </c>
      <c r="X1598" s="101">
        <f>_xll.qlCalendarAdvance(Calendar,X1597,W1598,"f",FALSE)</f>
        <v>50494</v>
      </c>
      <c r="Y1598" s="104">
        <f>_xll.qlCalendarAdvance(Calendar,X1598,NDays&amp;"D")</f>
        <v>50496</v>
      </c>
      <c r="Z1598" s="105">
        <v>2.5369026972961419E-2</v>
      </c>
      <c r="AA1598" s="102">
        <v>2.5347755333813282E-2</v>
      </c>
    </row>
    <row r="1599" spans="19:27" x14ac:dyDescent="0.2">
      <c r="S1599" s="61"/>
      <c r="T1599" s="82"/>
      <c r="W1599" s="103" t="str">
        <f t="shared" si="33"/>
        <v>1w</v>
      </c>
      <c r="X1599" s="101">
        <f>_xll.qlCalendarAdvance(Calendar,X1598,W1599,"f",FALSE)</f>
        <v>50501</v>
      </c>
      <c r="Y1599" s="104">
        <f>_xll.qlCalendarAdvance(Calendar,X1599,NDays&amp;"D")</f>
        <v>50503</v>
      </c>
      <c r="Z1599" s="105">
        <v>2.5358894080485559E-2</v>
      </c>
      <c r="AA1599" s="102">
        <v>2.5337748921714365E-2</v>
      </c>
    </row>
    <row r="1600" spans="19:27" x14ac:dyDescent="0.2">
      <c r="S1600" s="61"/>
      <c r="T1600" s="82"/>
      <c r="W1600" s="103" t="str">
        <f t="shared" si="33"/>
        <v>1w</v>
      </c>
      <c r="X1600" s="101">
        <f>_xll.qlCalendarAdvance(Calendar,X1599,W1600,"f",FALSE)</f>
        <v>50508</v>
      </c>
      <c r="Y1600" s="104">
        <f>_xll.qlCalendarAdvance(Calendar,X1600,NDays&amp;"D")</f>
        <v>50510</v>
      </c>
      <c r="Z1600" s="105">
        <v>2.5348750451986642E-2</v>
      </c>
      <c r="AA1600" s="102">
        <v>2.5327731815929511E-2</v>
      </c>
    </row>
    <row r="1601" spans="19:27" x14ac:dyDescent="0.2">
      <c r="S1601" s="61"/>
      <c r="T1601" s="82"/>
      <c r="W1601" s="103" t="str">
        <f t="shared" si="33"/>
        <v>1w</v>
      </c>
      <c r="X1601" s="101">
        <f>_xll.qlCalendarAdvance(Calendar,X1600,W1601,"f",FALSE)</f>
        <v>50515</v>
      </c>
      <c r="Y1601" s="104">
        <f>_xll.qlCalendarAdvance(Calendar,X1601,NDays&amp;"D")</f>
        <v>50517</v>
      </c>
      <c r="Z1601" s="105">
        <v>2.5338596087544598E-2</v>
      </c>
      <c r="AA1601" s="102">
        <v>2.5314836966501275E-2</v>
      </c>
    </row>
    <row r="1602" spans="19:27" x14ac:dyDescent="0.2">
      <c r="S1602" s="61"/>
      <c r="T1602" s="82"/>
      <c r="W1602" s="103" t="str">
        <f t="shared" si="33"/>
        <v>1w</v>
      </c>
      <c r="X1602" s="101">
        <f>_xll.qlCalendarAdvance(Calendar,X1601,W1602,"f",FALSE)</f>
        <v>50522</v>
      </c>
      <c r="Y1602" s="104">
        <f>_xll.qlCalendarAdvance(Calendar,X1602,NDays&amp;"D")</f>
        <v>50524</v>
      </c>
      <c r="Z1602" s="105">
        <v>2.532843098724552E-2</v>
      </c>
      <c r="AA1602" s="102">
        <v>2.5307665522822376E-2</v>
      </c>
    </row>
    <row r="1603" spans="19:27" x14ac:dyDescent="0.2">
      <c r="S1603" s="61"/>
      <c r="T1603" s="82"/>
      <c r="W1603" s="103" t="str">
        <f t="shared" si="33"/>
        <v>1w</v>
      </c>
      <c r="X1603" s="101">
        <f>_xll.qlCalendarAdvance(Calendar,X1602,W1603,"f",FALSE)</f>
        <v>50529</v>
      </c>
      <c r="Y1603" s="104">
        <f>_xll.qlCalendarAdvance(Calendar,X1603,NDays&amp;"D")</f>
        <v>50531</v>
      </c>
      <c r="Z1603" s="105">
        <v>2.5318414594011171E-2</v>
      </c>
      <c r="AA1603" s="102">
        <v>2.5297616335739903E-2</v>
      </c>
    </row>
    <row r="1604" spans="19:27" x14ac:dyDescent="0.2">
      <c r="S1604" s="61"/>
      <c r="T1604" s="82"/>
      <c r="W1604" s="103" t="str">
        <f t="shared" si="33"/>
        <v>1w</v>
      </c>
      <c r="X1604" s="101">
        <f>_xll.qlCalendarAdvance(Calendar,X1603,W1604,"f",FALSE)</f>
        <v>50536</v>
      </c>
      <c r="Y1604" s="104">
        <f>_xll.qlCalendarAdvance(Calendar,X1604,NDays&amp;"D")</f>
        <v>50538</v>
      </c>
      <c r="Z1604" s="105">
        <v>2.5308226541373994E-2</v>
      </c>
      <c r="AA1604" s="102">
        <v>2.5287556454811622E-2</v>
      </c>
    </row>
    <row r="1605" spans="19:27" x14ac:dyDescent="0.2">
      <c r="S1605" s="61"/>
      <c r="T1605" s="82"/>
      <c r="W1605" s="103" t="str">
        <f t="shared" si="33"/>
        <v>1w</v>
      </c>
      <c r="X1605" s="101">
        <f>_xll.qlCalendarAdvance(Calendar,X1604,W1605,"f",FALSE)</f>
        <v>50543</v>
      </c>
      <c r="Y1605" s="104">
        <f>_xll.qlCalendarAdvance(Calendar,X1605,NDays&amp;"D")</f>
        <v>50545</v>
      </c>
      <c r="Z1605" s="105">
        <v>2.5298027752664782E-2</v>
      </c>
      <c r="AA1605" s="102">
        <v>2.5277485880117467E-2</v>
      </c>
    </row>
    <row r="1606" spans="19:27" x14ac:dyDescent="0.2">
      <c r="S1606" s="61"/>
      <c r="T1606" s="82"/>
      <c r="W1606" s="103" t="str">
        <f t="shared" si="33"/>
        <v>1w</v>
      </c>
      <c r="X1606" s="101">
        <f>_xll.qlCalendarAdvance(Calendar,X1605,W1606,"f",FALSE)</f>
        <v>50550</v>
      </c>
      <c r="Y1606" s="104">
        <f>_xll.qlCalendarAdvance(Calendar,X1606,NDays&amp;"D")</f>
        <v>50552</v>
      </c>
      <c r="Z1606" s="105">
        <v>2.5287818227969557E-2</v>
      </c>
      <c r="AA1606" s="102">
        <v>2.526740461165744E-2</v>
      </c>
    </row>
    <row r="1607" spans="19:27" x14ac:dyDescent="0.2">
      <c r="S1607" s="61"/>
      <c r="T1607" s="82"/>
      <c r="W1607" s="103" t="str">
        <f t="shared" si="33"/>
        <v>1w</v>
      </c>
      <c r="X1607" s="101">
        <f>_xll.qlCalendarAdvance(Calendar,X1606,W1607,"f",FALSE)</f>
        <v>50557</v>
      </c>
      <c r="Y1607" s="104">
        <f>_xll.qlCalendarAdvance(Calendar,X1607,NDays&amp;"D")</f>
        <v>50560</v>
      </c>
      <c r="Z1607" s="105">
        <v>2.5276443260708784E-2</v>
      </c>
      <c r="AA1607" s="102">
        <v>2.5255870067617536E-2</v>
      </c>
    </row>
    <row r="1608" spans="19:27" x14ac:dyDescent="0.2">
      <c r="S1608" s="61"/>
      <c r="T1608" s="82"/>
      <c r="W1608" s="103" t="str">
        <f t="shared" si="33"/>
        <v>1w</v>
      </c>
      <c r="X1608" s="101">
        <f>_xll.qlCalendarAdvance(Calendar,X1607,W1608,"f",FALSE)</f>
        <v>50564</v>
      </c>
      <c r="Y1608" s="104">
        <f>_xll.qlCalendarAdvance(Calendar,X1608,NDays&amp;"D")</f>
        <v>50566</v>
      </c>
      <c r="Z1608" s="105">
        <v>2.526736697094863E-2</v>
      </c>
      <c r="AA1608" s="102">
        <v>2.52457658840477E-2</v>
      </c>
    </row>
    <row r="1609" spans="19:27" x14ac:dyDescent="0.2">
      <c r="S1609" s="61"/>
      <c r="T1609" s="82"/>
      <c r="W1609" s="103" t="str">
        <f t="shared" si="33"/>
        <v>1w</v>
      </c>
      <c r="X1609" s="101">
        <f>_xll.qlCalendarAdvance(Calendar,X1608,W1609,"f",FALSE)</f>
        <v>50571</v>
      </c>
      <c r="Y1609" s="104">
        <f>_xll.qlCalendarAdvance(Calendar,X1609,NDays&amp;"D")</f>
        <v>50573</v>
      </c>
      <c r="Z1609" s="105">
        <v>2.5257125238792359E-2</v>
      </c>
      <c r="AA1609" s="102">
        <v>2.5237096643762058E-2</v>
      </c>
    </row>
    <row r="1610" spans="19:27" x14ac:dyDescent="0.2">
      <c r="S1610" s="61"/>
      <c r="T1610" s="82"/>
      <c r="W1610" s="103" t="str">
        <f t="shared" si="33"/>
        <v>1w</v>
      </c>
      <c r="X1610" s="101">
        <f>_xll.qlCalendarAdvance(Calendar,X1609,W1610,"f",FALSE)</f>
        <v>50578</v>
      </c>
      <c r="Y1610" s="104">
        <f>_xll.qlCalendarAdvance(Calendar,X1610,NDays&amp;"D")</f>
        <v>50580</v>
      </c>
      <c r="Z1610" s="105">
        <v>2.5246872770983725E-2</v>
      </c>
      <c r="AA1610" s="102">
        <v>2.5225525435450535E-2</v>
      </c>
    </row>
    <row r="1611" spans="19:27" x14ac:dyDescent="0.2">
      <c r="S1611" s="61"/>
      <c r="T1611" s="82"/>
      <c r="W1611" s="103" t="str">
        <f t="shared" si="33"/>
        <v>1w</v>
      </c>
      <c r="X1611" s="101">
        <f>_xll.qlCalendarAdvance(Calendar,X1610,W1611,"f",FALSE)</f>
        <v>50585</v>
      </c>
      <c r="Y1611" s="104">
        <f>_xll.qlCalendarAdvance(Calendar,X1611,NDays&amp;"D")</f>
        <v>50587</v>
      </c>
      <c r="Z1611" s="105">
        <v>2.5236609567605262E-2</v>
      </c>
      <c r="AA1611" s="102">
        <v>2.5216837863109021E-2</v>
      </c>
    </row>
    <row r="1612" spans="19:27" x14ac:dyDescent="0.2">
      <c r="S1612" s="61"/>
      <c r="T1612" s="82"/>
      <c r="W1612" s="103" t="str">
        <f t="shared" si="33"/>
        <v>1w</v>
      </c>
      <c r="X1612" s="101">
        <f>_xll.qlCalendarAdvance(Calendar,X1611,W1612,"f",FALSE)</f>
        <v>50592</v>
      </c>
      <c r="Y1612" s="104">
        <f>_xll.qlCalendarAdvance(Calendar,X1612,NDays&amp;"D")</f>
        <v>50594</v>
      </c>
      <c r="Z1612" s="105">
        <v>2.5226335628742994E-2</v>
      </c>
      <c r="AA1612" s="102">
        <v>2.5206692432133693E-2</v>
      </c>
    </row>
    <row r="1613" spans="19:27" x14ac:dyDescent="0.2">
      <c r="S1613" s="61"/>
      <c r="T1613" s="82"/>
      <c r="W1613" s="103" t="str">
        <f t="shared" si="33"/>
        <v>1w</v>
      </c>
      <c r="X1613" s="101">
        <f>_xll.qlCalendarAdvance(Calendar,X1612,W1613,"f",FALSE)</f>
        <v>50599</v>
      </c>
      <c r="Y1613" s="104">
        <f>_xll.qlCalendarAdvance(Calendar,X1613,NDays&amp;"D")</f>
        <v>50601</v>
      </c>
      <c r="Z1613" s="105">
        <v>2.5216050954479461E-2</v>
      </c>
      <c r="AA1613" s="102">
        <v>2.5196536307472428E-2</v>
      </c>
    </row>
    <row r="1614" spans="19:27" x14ac:dyDescent="0.2">
      <c r="S1614" s="61"/>
      <c r="T1614" s="82"/>
      <c r="W1614" s="103" t="str">
        <f t="shared" si="33"/>
        <v>1w</v>
      </c>
      <c r="X1614" s="101">
        <f>_xll.qlCalendarAdvance(Calendar,X1613,W1614,"f",FALSE)</f>
        <v>50606</v>
      </c>
      <c r="Y1614" s="104">
        <f>_xll.qlCalendarAdvance(Calendar,X1614,NDays&amp;"D")</f>
        <v>50608</v>
      </c>
      <c r="Z1614" s="105">
        <v>2.5205755544900683E-2</v>
      </c>
      <c r="AA1614" s="102">
        <v>2.5186369488805482E-2</v>
      </c>
    </row>
    <row r="1615" spans="19:27" x14ac:dyDescent="0.2">
      <c r="S1615" s="61"/>
      <c r="T1615" s="82"/>
      <c r="W1615" s="103" t="str">
        <f t="shared" si="33"/>
        <v>1w</v>
      </c>
      <c r="X1615" s="101">
        <f>_xll.qlCalendarAdvance(Calendar,X1614,W1615,"f",FALSE)</f>
        <v>50613</v>
      </c>
      <c r="Y1615" s="104">
        <f>_xll.qlCalendarAdvance(Calendar,X1615,NDays&amp;"D")</f>
        <v>50615</v>
      </c>
      <c r="Z1615" s="105">
        <v>2.5195449400089203E-2</v>
      </c>
      <c r="AA1615" s="102">
        <v>2.5176191976532536E-2</v>
      </c>
    </row>
    <row r="1616" spans="19:27" x14ac:dyDescent="0.2">
      <c r="S1616" s="61"/>
      <c r="T1616" s="82"/>
      <c r="W1616" s="103" t="str">
        <f t="shared" si="33"/>
        <v>1w</v>
      </c>
      <c r="X1616" s="101">
        <f>_xll.qlCalendarAdvance(Calendar,X1615,W1616,"f",FALSE)</f>
        <v>50620</v>
      </c>
      <c r="Y1616" s="104">
        <f>_xll.qlCalendarAdvance(Calendar,X1616,NDays&amp;"D")</f>
        <v>50622</v>
      </c>
      <c r="Z1616" s="105">
        <v>2.5185132520131909E-2</v>
      </c>
      <c r="AA1616" s="102">
        <v>2.5166003770653589E-2</v>
      </c>
    </row>
    <row r="1617" spans="19:27" x14ac:dyDescent="0.2">
      <c r="S1617" s="61"/>
      <c r="T1617" s="82"/>
      <c r="W1617" s="103" t="str">
        <f t="shared" si="33"/>
        <v>1w</v>
      </c>
      <c r="X1617" s="101">
        <f>_xll.qlCalendarAdvance(Calendar,X1616,W1617,"f",FALSE)</f>
        <v>50627</v>
      </c>
      <c r="Y1617" s="104">
        <f>_xll.qlCalendarAdvance(Calendar,X1617,NDays&amp;"D")</f>
        <v>50629</v>
      </c>
      <c r="Z1617" s="105">
        <v>2.5174804905110468E-2</v>
      </c>
      <c r="AA1617" s="102">
        <v>2.5155804870768961E-2</v>
      </c>
    </row>
    <row r="1618" spans="19:27" x14ac:dyDescent="0.2">
      <c r="S1618" s="61"/>
      <c r="T1618" s="82"/>
      <c r="W1618" s="103" t="str">
        <f t="shared" si="33"/>
        <v>1w</v>
      </c>
      <c r="X1618" s="101">
        <f>_xll.qlCalendarAdvance(Calendar,X1617,W1618,"f",FALSE)</f>
        <v>50634</v>
      </c>
      <c r="Y1618" s="104">
        <f>_xll.qlCalendarAdvance(Calendar,X1618,NDays&amp;"D")</f>
        <v>50636</v>
      </c>
      <c r="Z1618" s="105">
        <v>2.5164466555110909E-2</v>
      </c>
      <c r="AA1618" s="102">
        <v>2.5145595277278332E-2</v>
      </c>
    </row>
    <row r="1619" spans="19:27" x14ac:dyDescent="0.2">
      <c r="S1619" s="61"/>
      <c r="T1619" s="82"/>
      <c r="W1619" s="103" t="str">
        <f t="shared" si="33"/>
        <v>1w</v>
      </c>
      <c r="X1619" s="101">
        <f>_xll.qlCalendarAdvance(Calendar,X1618,W1619,"f",FALSE)</f>
        <v>50641</v>
      </c>
      <c r="Y1619" s="104">
        <f>_xll.qlCalendarAdvance(Calendar,X1619,NDays&amp;"D")</f>
        <v>50643</v>
      </c>
      <c r="Z1619" s="105">
        <v>2.51541174702175E-2</v>
      </c>
      <c r="AA1619" s="102">
        <v>2.513537499002183E-2</v>
      </c>
    </row>
    <row r="1620" spans="19:27" x14ac:dyDescent="0.2">
      <c r="S1620" s="61"/>
      <c r="T1620" s="82"/>
      <c r="W1620" s="103" t="str">
        <f t="shared" si="33"/>
        <v>1w</v>
      </c>
      <c r="X1620" s="101">
        <f>_xll.qlCalendarAdvance(Calendar,X1619,W1620,"f",FALSE)</f>
        <v>50648</v>
      </c>
      <c r="Y1620" s="104">
        <f>_xll.qlCalendarAdvance(Calendar,X1620,NDays&amp;"D")</f>
        <v>50650</v>
      </c>
      <c r="Z1620" s="105">
        <v>2.5143623444285182E-2</v>
      </c>
      <c r="AA1620" s="102">
        <v>2.5125144008999456E-2</v>
      </c>
    </row>
    <row r="1621" spans="19:27" x14ac:dyDescent="0.2">
      <c r="S1621" s="61"/>
      <c r="T1621" s="82"/>
      <c r="W1621" s="103" t="str">
        <f t="shared" ref="W1621:W1684" si="34">W1620</f>
        <v>1w</v>
      </c>
      <c r="X1621" s="101">
        <f>_xll.qlCalendarAdvance(Calendar,X1620,W1621,"f",FALSE)</f>
        <v>50655</v>
      </c>
      <c r="Y1621" s="104">
        <f>_xll.qlCalendarAdvance(Calendar,X1621,NDays&amp;"D")</f>
        <v>50657</v>
      </c>
      <c r="Z1621" s="105">
        <v>2.5133254378412882E-2</v>
      </c>
      <c r="AA1621" s="102">
        <v>2.5114902334291145E-2</v>
      </c>
    </row>
    <row r="1622" spans="19:27" x14ac:dyDescent="0.2">
      <c r="S1622" s="61"/>
      <c r="T1622" s="82"/>
      <c r="W1622" s="103" t="str">
        <f t="shared" si="34"/>
        <v>1w</v>
      </c>
      <c r="X1622" s="101">
        <f>_xll.qlCalendarAdvance(Calendar,X1621,W1622,"f",FALSE)</f>
        <v>50662</v>
      </c>
      <c r="Y1622" s="104">
        <f>_xll.qlCalendarAdvance(Calendar,X1622,NDays&amp;"D")</f>
        <v>50664</v>
      </c>
      <c r="Z1622" s="105">
        <v>2.5122874578347262E-2</v>
      </c>
      <c r="AA1622" s="102">
        <v>2.5104649965737025E-2</v>
      </c>
    </row>
    <row r="1623" spans="19:27" x14ac:dyDescent="0.2">
      <c r="S1623" s="61"/>
      <c r="T1623" s="82"/>
      <c r="W1623" s="103" t="str">
        <f t="shared" si="34"/>
        <v>1w</v>
      </c>
      <c r="X1623" s="101">
        <f>_xll.qlCalendarAdvance(Calendar,X1622,W1623,"f",FALSE)</f>
        <v>50669</v>
      </c>
      <c r="Y1623" s="104">
        <f>_xll.qlCalendarAdvance(Calendar,X1623,NDays&amp;"D")</f>
        <v>50671</v>
      </c>
      <c r="Z1623" s="105">
        <v>2.5112484044169148E-2</v>
      </c>
      <c r="AA1623" s="102">
        <v>2.5094386903417032E-2</v>
      </c>
    </row>
    <row r="1624" spans="19:27" x14ac:dyDescent="0.2">
      <c r="S1624" s="61"/>
      <c r="T1624" s="82"/>
      <c r="W1624" s="103" t="str">
        <f t="shared" si="34"/>
        <v>1w</v>
      </c>
      <c r="X1624" s="101">
        <f>_xll.qlCalendarAdvance(Calendar,X1623,W1624,"f",FALSE)</f>
        <v>50676</v>
      </c>
      <c r="Y1624" s="104">
        <f>_xll.qlCalendarAdvance(Calendar,X1624,NDays&amp;"D")</f>
        <v>50678</v>
      </c>
      <c r="Z1624" s="105">
        <v>2.5102082775964617E-2</v>
      </c>
      <c r="AA1624" s="102">
        <v>2.5084113147570974E-2</v>
      </c>
    </row>
    <row r="1625" spans="19:27" x14ac:dyDescent="0.2">
      <c r="S1625" s="61"/>
      <c r="T1625" s="82"/>
      <c r="W1625" s="103" t="str">
        <f t="shared" si="34"/>
        <v>1w</v>
      </c>
      <c r="X1625" s="101">
        <f>_xll.qlCalendarAdvance(Calendar,X1624,W1625,"f",FALSE)</f>
        <v>50683</v>
      </c>
      <c r="Y1625" s="104">
        <f>_xll.qlCalendarAdvance(Calendar,X1625,NDays&amp;"D")</f>
        <v>50685</v>
      </c>
      <c r="Z1625" s="105">
        <v>2.509179753284603E-2</v>
      </c>
      <c r="AA1625" s="102">
        <v>2.50738286976393E-2</v>
      </c>
    </row>
    <row r="1626" spans="19:27" x14ac:dyDescent="0.2">
      <c r="S1626" s="61"/>
      <c r="T1626" s="82"/>
      <c r="W1626" s="103" t="str">
        <f t="shared" si="34"/>
        <v>1w</v>
      </c>
      <c r="X1626" s="101">
        <f>_xll.qlCalendarAdvance(Calendar,X1625,W1626,"f",FALSE)</f>
        <v>50690</v>
      </c>
      <c r="Y1626" s="104">
        <f>_xll.qlCalendarAdvance(Calendar,X1626,NDays&amp;"D")</f>
        <v>50692</v>
      </c>
      <c r="Z1626" s="105">
        <v>2.5081373306076425E-2</v>
      </c>
      <c r="AA1626" s="102">
        <v>2.5063533554181561E-2</v>
      </c>
    </row>
    <row r="1627" spans="19:27" x14ac:dyDescent="0.2">
      <c r="S1627" s="61"/>
      <c r="T1627" s="82"/>
      <c r="W1627" s="103" t="str">
        <f t="shared" si="34"/>
        <v>1w</v>
      </c>
      <c r="X1627" s="101">
        <f>_xll.qlCalendarAdvance(Calendar,X1626,W1627,"f",FALSE)</f>
        <v>50697</v>
      </c>
      <c r="Y1627" s="104">
        <f>_xll.qlCalendarAdvance(Calendar,X1627,NDays&amp;"D")</f>
        <v>50699</v>
      </c>
      <c r="Z1627" s="105">
        <v>2.5070938345092435E-2</v>
      </c>
      <c r="AA1627" s="102">
        <v>2.5053227716957949E-2</v>
      </c>
    </row>
    <row r="1628" spans="19:27" x14ac:dyDescent="0.2">
      <c r="S1628" s="61"/>
      <c r="T1628" s="82"/>
      <c r="W1628" s="103" t="str">
        <f t="shared" si="34"/>
        <v>1w</v>
      </c>
      <c r="X1628" s="101">
        <f>_xll.qlCalendarAdvance(Calendar,X1627,W1628,"f",FALSE)</f>
        <v>50704</v>
      </c>
      <c r="Y1628" s="104">
        <f>_xll.qlCalendarAdvance(Calendar,X1628,NDays&amp;"D")</f>
        <v>50706</v>
      </c>
      <c r="Z1628" s="105">
        <v>2.5060492649981812E-2</v>
      </c>
      <c r="AA1628" s="102">
        <v>2.5042911185968464E-2</v>
      </c>
    </row>
    <row r="1629" spans="19:27" x14ac:dyDescent="0.2">
      <c r="S1629" s="61"/>
      <c r="T1629" s="82"/>
      <c r="W1629" s="103" t="str">
        <f t="shared" si="34"/>
        <v>1w</v>
      </c>
      <c r="X1629" s="101">
        <f>_xll.qlCalendarAdvance(Calendar,X1628,W1629,"f",FALSE)</f>
        <v>50711</v>
      </c>
      <c r="Y1629" s="104">
        <f>_xll.qlCalendarAdvance(Calendar,X1629,NDays&amp;"D")</f>
        <v>50713</v>
      </c>
      <c r="Z1629" s="105">
        <v>2.5050036220829706E-2</v>
      </c>
      <c r="AA1629" s="102">
        <v>2.5032583961293042E-2</v>
      </c>
    </row>
    <row r="1630" spans="19:27" x14ac:dyDescent="0.2">
      <c r="S1630" s="61"/>
      <c r="T1630" s="82"/>
      <c r="W1630" s="103" t="str">
        <f t="shared" si="34"/>
        <v>1w</v>
      </c>
      <c r="X1630" s="101">
        <f>_xll.qlCalendarAdvance(Calendar,X1629,W1630,"f",FALSE)</f>
        <v>50718</v>
      </c>
      <c r="Y1630" s="104">
        <f>_xll.qlCalendarAdvance(Calendar,X1630,NDays&amp;"D")</f>
        <v>50720</v>
      </c>
      <c r="Z1630" s="105">
        <v>2.503956905772127E-2</v>
      </c>
      <c r="AA1630" s="102">
        <v>2.5022246042771812E-2</v>
      </c>
    </row>
    <row r="1631" spans="19:27" x14ac:dyDescent="0.2">
      <c r="S1631" s="61"/>
      <c r="T1631" s="82"/>
      <c r="W1631" s="103" t="str">
        <f t="shared" si="34"/>
        <v>1w</v>
      </c>
      <c r="X1631" s="101">
        <f>_xll.qlCalendarAdvance(Calendar,X1630,W1631,"f",FALSE)</f>
        <v>50725</v>
      </c>
      <c r="Y1631" s="104">
        <f>_xll.qlCalendarAdvance(Calendar,X1631,NDays&amp;"D")</f>
        <v>50727</v>
      </c>
      <c r="Z1631" s="105">
        <v>2.5029091160741649E-2</v>
      </c>
      <c r="AA1631" s="102">
        <v>2.5011897430644581E-2</v>
      </c>
    </row>
    <row r="1632" spans="19:27" x14ac:dyDescent="0.2">
      <c r="S1632" s="61"/>
      <c r="T1632" s="82"/>
      <c r="W1632" s="103" t="str">
        <f t="shared" si="34"/>
        <v>1w</v>
      </c>
      <c r="X1632" s="101">
        <f>_xll.qlCalendarAdvance(Calendar,X1631,W1632,"f",FALSE)</f>
        <v>50732</v>
      </c>
      <c r="Y1632" s="104">
        <f>_xll.qlCalendarAdvance(Calendar,X1632,NDays&amp;"D")</f>
        <v>50734</v>
      </c>
      <c r="Z1632" s="105">
        <v>2.5018602529976865E-2</v>
      </c>
      <c r="AA1632" s="102">
        <v>2.5001538124591605E-2</v>
      </c>
    </row>
    <row r="1633" spans="19:27" x14ac:dyDescent="0.2">
      <c r="S1633" s="61"/>
      <c r="T1633" s="82"/>
      <c r="W1633" s="103" t="str">
        <f t="shared" si="34"/>
        <v>1w</v>
      </c>
      <c r="X1633" s="101">
        <f>_xll.qlCalendarAdvance(Calendar,X1632,W1633,"f",FALSE)</f>
        <v>50739</v>
      </c>
      <c r="Y1633" s="104">
        <f>_xll.qlCalendarAdvance(Calendar,X1633,NDays&amp;"D")</f>
        <v>50741</v>
      </c>
      <c r="Z1633" s="105">
        <v>2.5007873387022705E-2</v>
      </c>
      <c r="AA1633" s="102">
        <v>2.4991168125012564E-2</v>
      </c>
    </row>
    <row r="1634" spans="19:27" x14ac:dyDescent="0.2">
      <c r="S1634" s="61"/>
      <c r="T1634" s="82"/>
      <c r="W1634" s="103" t="str">
        <f t="shared" si="34"/>
        <v>1w</v>
      </c>
      <c r="X1634" s="101">
        <f>_xll.qlCalendarAdvance(Calendar,X1633,W1634,"f",FALSE)</f>
        <v>50746</v>
      </c>
      <c r="Y1634" s="104">
        <f>_xll.qlCalendarAdvance(Calendar,X1634,NDays&amp;"D")</f>
        <v>50748</v>
      </c>
      <c r="Z1634" s="105">
        <v>2.4997366277338173E-2</v>
      </c>
      <c r="AA1634" s="102">
        <v>2.4980787431507778E-2</v>
      </c>
    </row>
    <row r="1635" spans="19:27" x14ac:dyDescent="0.2">
      <c r="S1635" s="61"/>
      <c r="T1635" s="82"/>
      <c r="W1635" s="103" t="str">
        <f t="shared" si="34"/>
        <v>1w</v>
      </c>
      <c r="X1635" s="101">
        <f>_xll.qlCalendarAdvance(Calendar,X1634,W1635,"f",FALSE)</f>
        <v>50753</v>
      </c>
      <c r="Y1635" s="104">
        <f>_xll.qlCalendarAdvance(Calendar,X1635,NDays&amp;"D")</f>
        <v>50755</v>
      </c>
      <c r="Z1635" s="105">
        <v>2.4986848434989994E-2</v>
      </c>
      <c r="AA1635" s="102">
        <v>2.4970396044317056E-2</v>
      </c>
    </row>
    <row r="1636" spans="19:27" x14ac:dyDescent="0.2">
      <c r="S1636" s="61"/>
      <c r="T1636" s="82"/>
      <c r="W1636" s="103" t="str">
        <f t="shared" si="34"/>
        <v>1w</v>
      </c>
      <c r="X1636" s="101">
        <f>_xll.qlCalendarAdvance(Calendar,X1635,W1636,"f",FALSE)</f>
        <v>50760</v>
      </c>
      <c r="Y1636" s="104">
        <f>_xll.qlCalendarAdvance(Calendar,X1636,NDays&amp;"D")</f>
        <v>50762</v>
      </c>
      <c r="Z1636" s="105">
        <v>2.4976319860062546E-2</v>
      </c>
      <c r="AA1636" s="102">
        <v>2.4958507078984837E-2</v>
      </c>
    </row>
    <row r="1637" spans="19:27" x14ac:dyDescent="0.2">
      <c r="S1637" s="61"/>
      <c r="T1637" s="82"/>
      <c r="W1637" s="103" t="str">
        <f t="shared" si="34"/>
        <v>1w</v>
      </c>
      <c r="X1637" s="101">
        <f>_xll.qlCalendarAdvance(Calendar,X1636,W1637,"f",FALSE)</f>
        <v>50767</v>
      </c>
      <c r="Y1637" s="104">
        <f>_xll.qlCalendarAdvance(Calendar,X1637,NDays&amp;"D")</f>
        <v>50769</v>
      </c>
      <c r="Z1637" s="105">
        <v>2.4965889531323074E-2</v>
      </c>
      <c r="AA1637" s="102">
        <v>2.4948092776604369E-2</v>
      </c>
    </row>
    <row r="1638" spans="19:27" x14ac:dyDescent="0.2">
      <c r="S1638" s="61"/>
      <c r="T1638" s="82"/>
      <c r="W1638" s="103" t="str">
        <f t="shared" si="34"/>
        <v>1w</v>
      </c>
      <c r="X1638" s="101">
        <f>_xll.qlCalendarAdvance(Calendar,X1637,W1638,"f",FALSE)</f>
        <v>50774</v>
      </c>
      <c r="Y1638" s="104">
        <f>_xll.qlCalendarAdvance(Calendar,X1638,NDays&amp;"D")</f>
        <v>50777</v>
      </c>
      <c r="Z1638" s="105">
        <v>2.4953722488151087E-2</v>
      </c>
      <c r="AA1638" s="102">
        <v>2.49376677806179E-2</v>
      </c>
    </row>
    <row r="1639" spans="19:27" x14ac:dyDescent="0.2">
      <c r="S1639" s="61"/>
      <c r="T1639" s="82"/>
      <c r="W1639" s="103" t="str">
        <f t="shared" si="34"/>
        <v>1w</v>
      </c>
      <c r="X1639" s="101">
        <f>_xll.qlCalendarAdvance(Calendar,X1638,W1639,"f",FALSE)</f>
        <v>50781</v>
      </c>
      <c r="Y1639" s="104">
        <f>_xll.qlCalendarAdvance(Calendar,X1639,NDays&amp;"D")</f>
        <v>50783</v>
      </c>
      <c r="Z1639" s="105">
        <v>2.4944669740652792E-2</v>
      </c>
      <c r="AA1639" s="102">
        <v>2.4928723558375054E-2</v>
      </c>
    </row>
    <row r="1640" spans="19:27" x14ac:dyDescent="0.2">
      <c r="S1640" s="61"/>
      <c r="T1640" s="82"/>
      <c r="W1640" s="103" t="str">
        <f t="shared" si="34"/>
        <v>1w</v>
      </c>
      <c r="X1640" s="101">
        <f>_xll.qlCalendarAdvance(Calendar,X1639,W1640,"f",FALSE)</f>
        <v>50788</v>
      </c>
      <c r="Y1640" s="104">
        <f>_xll.qlCalendarAdvance(Calendar,X1640,NDays&amp;"D")</f>
        <v>50790</v>
      </c>
      <c r="Z1640" s="105">
        <v>2.493409823625381E-2</v>
      </c>
      <c r="AA1640" s="102">
        <v>2.491827870251484E-2</v>
      </c>
    </row>
    <row r="1641" spans="19:27" x14ac:dyDescent="0.2">
      <c r="S1641" s="61"/>
      <c r="T1641" s="82"/>
      <c r="W1641" s="103" t="str">
        <f t="shared" si="34"/>
        <v>1w</v>
      </c>
      <c r="X1641" s="101">
        <f>_xll.qlCalendarAdvance(Calendar,X1640,W1641,"f",FALSE)</f>
        <v>50795</v>
      </c>
      <c r="Y1641" s="104">
        <f>_xll.qlCalendarAdvance(Calendar,X1641,NDays&amp;"D")</f>
        <v>50797</v>
      </c>
      <c r="Z1641" s="105">
        <v>2.4923515999699219E-2</v>
      </c>
      <c r="AA1641" s="102">
        <v>2.4907823152968689E-2</v>
      </c>
    </row>
    <row r="1642" spans="19:27" x14ac:dyDescent="0.2">
      <c r="S1642" s="61"/>
      <c r="T1642" s="82"/>
      <c r="W1642" s="103" t="str">
        <f t="shared" si="34"/>
        <v>1w</v>
      </c>
      <c r="X1642" s="101">
        <f>_xll.qlCalendarAdvance(Calendar,X1641,W1642,"f",FALSE)</f>
        <v>50802</v>
      </c>
      <c r="Y1642" s="104">
        <f>_xll.qlCalendarAdvance(Calendar,X1642,NDays&amp;"D")</f>
        <v>50804</v>
      </c>
      <c r="Z1642" s="105">
        <v>2.4912821397817708E-2</v>
      </c>
      <c r="AA1642" s="102">
        <v>2.4897356909656665E-2</v>
      </c>
    </row>
    <row r="1643" spans="19:27" x14ac:dyDescent="0.2">
      <c r="S1643" s="61"/>
      <c r="T1643" s="82"/>
      <c r="W1643" s="103" t="str">
        <f t="shared" si="34"/>
        <v>1w</v>
      </c>
      <c r="X1643" s="101">
        <f>_xll.qlCalendarAdvance(Calendar,X1642,W1643,"f",FALSE)</f>
        <v>50809</v>
      </c>
      <c r="Y1643" s="104">
        <f>_xll.qlCalendarAdvance(Calendar,X1643,NDays&amp;"D")</f>
        <v>50811</v>
      </c>
      <c r="Z1643" s="105">
        <v>2.4902219195083983E-2</v>
      </c>
      <c r="AA1643" s="102">
        <v>2.4886879972658704E-2</v>
      </c>
    </row>
    <row r="1644" spans="19:27" x14ac:dyDescent="0.2">
      <c r="S1644" s="61"/>
      <c r="T1644" s="82"/>
      <c r="W1644" s="103" t="str">
        <f t="shared" si="34"/>
        <v>1w</v>
      </c>
      <c r="X1644" s="101">
        <f>_xll.qlCalendarAdvance(Calendar,X1643,W1644,"f",FALSE)</f>
        <v>50816</v>
      </c>
      <c r="Y1644" s="104">
        <f>_xll.qlCalendarAdvance(Calendar,X1644,NDays&amp;"D")</f>
        <v>50818</v>
      </c>
      <c r="Z1644" s="105">
        <v>2.4891606260872532E-2</v>
      </c>
      <c r="AA1644" s="102">
        <v>2.4876392341974807E-2</v>
      </c>
    </row>
    <row r="1645" spans="19:27" x14ac:dyDescent="0.2">
      <c r="S1645" s="61"/>
      <c r="T1645" s="82"/>
      <c r="W1645" s="103" t="str">
        <f t="shared" si="34"/>
        <v>1w</v>
      </c>
      <c r="X1645" s="101">
        <f>_xll.qlCalendarAdvance(Calendar,X1644,W1645,"f",FALSE)</f>
        <v>50823</v>
      </c>
      <c r="Y1645" s="104">
        <f>_xll.qlCalendarAdvance(Calendar,X1645,NDays&amp;"D")</f>
        <v>50825</v>
      </c>
      <c r="Z1645" s="105">
        <v>2.488098259526688E-2</v>
      </c>
      <c r="AA1645" s="102">
        <v>2.4865894017525036E-2</v>
      </c>
    </row>
    <row r="1646" spans="19:27" x14ac:dyDescent="0.2">
      <c r="S1646" s="61"/>
      <c r="T1646" s="82"/>
      <c r="W1646" s="103" t="str">
        <f t="shared" si="34"/>
        <v>1w</v>
      </c>
      <c r="X1646" s="101">
        <f>_xll.qlCalendarAdvance(Calendar,X1645,W1646,"f",FALSE)</f>
        <v>50830</v>
      </c>
      <c r="Y1646" s="104">
        <f>_xll.qlCalendarAdvance(Calendar,X1646,NDays&amp;"D")</f>
        <v>50832</v>
      </c>
      <c r="Z1646" s="105">
        <v>2.4870634700154104E-2</v>
      </c>
      <c r="AA1646" s="102">
        <v>2.4855384999309393E-2</v>
      </c>
    </row>
    <row r="1647" spans="19:27" x14ac:dyDescent="0.2">
      <c r="S1647" s="61"/>
      <c r="T1647" s="82"/>
      <c r="W1647" s="103" t="str">
        <f t="shared" si="34"/>
        <v>1w</v>
      </c>
      <c r="X1647" s="101">
        <f>_xll.qlCalendarAdvance(Calendar,X1646,W1647,"f",FALSE)</f>
        <v>50837</v>
      </c>
      <c r="Y1647" s="104">
        <f>_xll.qlCalendarAdvance(Calendar,X1647,NDays&amp;"D")</f>
        <v>50839</v>
      </c>
      <c r="Z1647" s="105">
        <v>2.4859985072978333E-2</v>
      </c>
      <c r="AA1647" s="102">
        <v>2.4844865287407814E-2</v>
      </c>
    </row>
    <row r="1648" spans="19:27" x14ac:dyDescent="0.2">
      <c r="S1648" s="61"/>
      <c r="T1648" s="82"/>
      <c r="W1648" s="103" t="str">
        <f t="shared" si="34"/>
        <v>1w</v>
      </c>
      <c r="X1648" s="101">
        <f>_xll.qlCalendarAdvance(Calendar,X1647,W1648,"f",FALSE)</f>
        <v>50844</v>
      </c>
      <c r="Y1648" s="104">
        <f>_xll.qlCalendarAdvance(Calendar,X1648,NDays&amp;"D")</f>
        <v>50846</v>
      </c>
      <c r="Z1648" s="105">
        <v>2.4849324713402378E-2</v>
      </c>
      <c r="AA1648" s="102">
        <v>2.4834334881740361E-2</v>
      </c>
    </row>
    <row r="1649" spans="19:27" x14ac:dyDescent="0.2">
      <c r="S1649" s="61"/>
      <c r="T1649" s="82"/>
      <c r="W1649" s="103" t="str">
        <f t="shared" si="34"/>
        <v>1w</v>
      </c>
      <c r="X1649" s="101">
        <f>_xll.qlCalendarAdvance(Calendar,X1648,W1649,"f",FALSE)</f>
        <v>50851</v>
      </c>
      <c r="Y1649" s="104">
        <f>_xll.qlCalendarAdvance(Calendar,X1649,NDays&amp;"D")</f>
        <v>50853</v>
      </c>
      <c r="Z1649" s="105">
        <v>2.4838925371787394E-2</v>
      </c>
      <c r="AA1649" s="102">
        <v>2.4823793782307035E-2</v>
      </c>
    </row>
    <row r="1650" spans="19:27" x14ac:dyDescent="0.2">
      <c r="S1650" s="61"/>
      <c r="T1650" s="82"/>
      <c r="W1650" s="103" t="str">
        <f t="shared" si="34"/>
        <v>1w</v>
      </c>
      <c r="X1650" s="101">
        <f>_xll.qlCalendarAdvance(Calendar,X1649,W1650,"f",FALSE)</f>
        <v>50858</v>
      </c>
      <c r="Y1650" s="104">
        <f>_xll.qlCalendarAdvance(Calendar,X1650,NDays&amp;"D")</f>
        <v>50860</v>
      </c>
      <c r="Z1650" s="105">
        <v>2.4827882437072121E-2</v>
      </c>
      <c r="AA1650" s="102">
        <v>2.4813241989267709E-2</v>
      </c>
    </row>
    <row r="1651" spans="19:27" x14ac:dyDescent="0.2">
      <c r="S1651" s="61"/>
      <c r="T1651" s="82"/>
      <c r="W1651" s="103" t="str">
        <f t="shared" si="34"/>
        <v>1w</v>
      </c>
      <c r="X1651" s="101">
        <f>_xll.qlCalendarAdvance(Calendar,X1650,W1651,"f",FALSE)</f>
        <v>50865</v>
      </c>
      <c r="Y1651" s="104">
        <f>_xll.qlCalendarAdvance(Calendar,X1651,NDays&amp;"D")</f>
        <v>50867</v>
      </c>
      <c r="Z1651" s="105">
        <v>2.4817191382282531E-2</v>
      </c>
      <c r="AA1651" s="102">
        <v>2.4799659684946462E-2</v>
      </c>
    </row>
    <row r="1652" spans="19:27" x14ac:dyDescent="0.2">
      <c r="S1652" s="61"/>
      <c r="T1652" s="82"/>
      <c r="W1652" s="103" t="str">
        <f t="shared" si="34"/>
        <v>1w</v>
      </c>
      <c r="X1652" s="101">
        <f>_xll.qlCalendarAdvance(Calendar,X1651,W1652,"f",FALSE)</f>
        <v>50872</v>
      </c>
      <c r="Y1652" s="104">
        <f>_xll.qlCalendarAdvance(Calendar,X1652,NDays&amp;"D")</f>
        <v>50874</v>
      </c>
      <c r="Z1652" s="105">
        <v>2.4806489595856702E-2</v>
      </c>
      <c r="AA1652" s="102">
        <v>2.4792106321971374E-2</v>
      </c>
    </row>
    <row r="1653" spans="19:27" x14ac:dyDescent="0.2">
      <c r="S1653" s="61"/>
      <c r="T1653" s="82"/>
      <c r="W1653" s="103" t="str">
        <f t="shared" si="34"/>
        <v>1w</v>
      </c>
      <c r="X1653" s="101">
        <f>_xll.qlCalendarAdvance(Calendar,X1652,W1653,"f",FALSE)</f>
        <v>50879</v>
      </c>
      <c r="Y1653" s="104">
        <f>_xll.qlCalendarAdvance(Calendar,X1653,NDays&amp;"D")</f>
        <v>50881</v>
      </c>
      <c r="Z1653" s="105">
        <v>2.4795777077884235E-2</v>
      </c>
      <c r="AA1653" s="102">
        <v>2.4781522447714366E-2</v>
      </c>
    </row>
    <row r="1654" spans="19:27" x14ac:dyDescent="0.2">
      <c r="S1654" s="61"/>
      <c r="T1654" s="82"/>
      <c r="W1654" s="103" t="str">
        <f t="shared" si="34"/>
        <v>1w</v>
      </c>
      <c r="X1654" s="101">
        <f>_xll.qlCalendarAdvance(Calendar,X1653,W1654,"f",FALSE)</f>
        <v>50886</v>
      </c>
      <c r="Y1654" s="104">
        <f>_xll.qlCalendarAdvance(Calendar,X1654,NDays&amp;"D")</f>
        <v>50888</v>
      </c>
      <c r="Z1654" s="105">
        <v>2.4785053828451208E-2</v>
      </c>
      <c r="AA1654" s="102">
        <v>2.4770927879771421E-2</v>
      </c>
    </row>
    <row r="1655" spans="19:27" x14ac:dyDescent="0.2">
      <c r="S1655" s="61"/>
      <c r="T1655" s="82"/>
      <c r="W1655" s="103" t="str">
        <f t="shared" si="34"/>
        <v>1w</v>
      </c>
      <c r="X1655" s="101">
        <f>_xll.qlCalendarAdvance(Calendar,X1654,W1655,"f",FALSE)</f>
        <v>50893</v>
      </c>
      <c r="Y1655" s="104">
        <f>_xll.qlCalendarAdvance(Calendar,X1655,NDays&amp;"D")</f>
        <v>50895</v>
      </c>
      <c r="Z1655" s="105">
        <v>2.4774401696528281E-2</v>
      </c>
      <c r="AA1655" s="102">
        <v>2.476032261790273E-2</v>
      </c>
    </row>
    <row r="1656" spans="19:27" x14ac:dyDescent="0.2">
      <c r="S1656" s="61"/>
      <c r="T1656" s="82"/>
      <c r="W1656" s="103" t="str">
        <f t="shared" si="34"/>
        <v>1w</v>
      </c>
      <c r="X1656" s="101">
        <f>_xll.qlCalendarAdvance(Calendar,X1655,W1656,"f",FALSE)</f>
        <v>50900</v>
      </c>
      <c r="Y1656" s="104">
        <f>_xll.qlCalendarAdvance(Calendar,X1656,NDays&amp;"D")</f>
        <v>50902</v>
      </c>
      <c r="Z1656" s="105">
        <v>2.4763655480906574E-2</v>
      </c>
      <c r="AA1656" s="102">
        <v>2.4749706662587911E-2</v>
      </c>
    </row>
    <row r="1657" spans="19:27" x14ac:dyDescent="0.2">
      <c r="S1657" s="61"/>
      <c r="T1657" s="82"/>
      <c r="W1657" s="103" t="str">
        <f t="shared" si="34"/>
        <v>1w</v>
      </c>
      <c r="X1657" s="101">
        <f>_xll.qlCalendarAdvance(Calendar,X1656,W1657,"f",FALSE)</f>
        <v>50907</v>
      </c>
      <c r="Y1657" s="104">
        <f>_xll.qlCalendarAdvance(Calendar,X1657,NDays&amp;"D")</f>
        <v>50910</v>
      </c>
      <c r="Z1657" s="105">
        <v>2.475151778436812E-2</v>
      </c>
      <c r="AA1657" s="102">
        <v>2.4737561047833978E-2</v>
      </c>
    </row>
    <row r="1658" spans="19:27" x14ac:dyDescent="0.2">
      <c r="S1658" s="61"/>
      <c r="T1658" s="82"/>
      <c r="W1658" s="103" t="str">
        <f t="shared" si="34"/>
        <v>1w</v>
      </c>
      <c r="X1658" s="101">
        <f>_xll.qlCalendarAdvance(Calendar,X1657,W1658,"f",FALSE)</f>
        <v>50914</v>
      </c>
      <c r="Y1658" s="104">
        <f>_xll.qlCalendarAdvance(Calendar,X1658,NDays&amp;"D")</f>
        <v>50916</v>
      </c>
      <c r="Z1658" s="105">
        <v>2.4742130854918897E-2</v>
      </c>
      <c r="AA1658" s="102">
        <v>2.4726922177329413E-2</v>
      </c>
    </row>
    <row r="1659" spans="19:27" x14ac:dyDescent="0.2">
      <c r="S1659" s="61"/>
      <c r="T1659" s="82"/>
      <c r="W1659" s="103" t="str">
        <f t="shared" si="34"/>
        <v>1w</v>
      </c>
      <c r="X1659" s="101">
        <f>_xll.qlCalendarAdvance(Calendar,X1658,W1659,"f",FALSE)</f>
        <v>50921</v>
      </c>
      <c r="Y1659" s="104">
        <f>_xll.qlCalendarAdvance(Calendar,X1659,NDays&amp;"D")</f>
        <v>50923</v>
      </c>
      <c r="Z1659" s="105">
        <v>2.4731352444729307E-2</v>
      </c>
      <c r="AA1659" s="102">
        <v>2.4717794634128154E-2</v>
      </c>
    </row>
    <row r="1660" spans="19:27" x14ac:dyDescent="0.2">
      <c r="S1660" s="61"/>
      <c r="T1660" s="82"/>
      <c r="W1660" s="103" t="str">
        <f t="shared" si="34"/>
        <v>1w</v>
      </c>
      <c r="X1660" s="101">
        <f>_xll.qlCalendarAdvance(Calendar,X1659,W1660,"f",FALSE)</f>
        <v>50928</v>
      </c>
      <c r="Y1660" s="104">
        <f>_xll.qlCalendarAdvance(Calendar,X1660,NDays&amp;"D")</f>
        <v>50930</v>
      </c>
      <c r="Z1660" s="105">
        <v>2.4720563303195209E-2</v>
      </c>
      <c r="AA1660" s="102">
        <v>2.4707135903909716E-2</v>
      </c>
    </row>
    <row r="1661" spans="19:27" x14ac:dyDescent="0.2">
      <c r="S1661" s="61"/>
      <c r="T1661" s="82"/>
      <c r="W1661" s="103" t="str">
        <f t="shared" si="34"/>
        <v>1w</v>
      </c>
      <c r="X1661" s="101">
        <f>_xll.qlCalendarAdvance(Calendar,X1660,W1661,"f",FALSE)</f>
        <v>50935</v>
      </c>
      <c r="Y1661" s="104">
        <f>_xll.qlCalendarAdvance(Calendar,X1661,NDays&amp;"D")</f>
        <v>50937</v>
      </c>
      <c r="Z1661" s="105">
        <v>2.4709763430401752E-2</v>
      </c>
      <c r="AA1661" s="102">
        <v>2.4696466479925405E-2</v>
      </c>
    </row>
    <row r="1662" spans="19:27" x14ac:dyDescent="0.2">
      <c r="S1662" s="61"/>
      <c r="T1662" s="82"/>
      <c r="W1662" s="103" t="str">
        <f t="shared" si="34"/>
        <v>1w</v>
      </c>
      <c r="X1662" s="101">
        <f>_xll.qlCalendarAdvance(Calendar,X1661,W1662,"f",FALSE)</f>
        <v>50942</v>
      </c>
      <c r="Y1662" s="104">
        <f>_xll.qlCalendarAdvance(Calendar,X1662,NDays&amp;"D")</f>
        <v>50944</v>
      </c>
      <c r="Z1662" s="105">
        <v>2.4698952826440169E-2</v>
      </c>
      <c r="AA1662" s="102">
        <v>2.4684259758132043E-2</v>
      </c>
    </row>
    <row r="1663" spans="19:27" x14ac:dyDescent="0.2">
      <c r="S1663" s="61"/>
      <c r="T1663" s="82"/>
      <c r="W1663" s="103" t="str">
        <f t="shared" si="34"/>
        <v>1w</v>
      </c>
      <c r="X1663" s="101">
        <f>_xll.qlCalendarAdvance(Calendar,X1662,W1663,"f",FALSE)</f>
        <v>50949</v>
      </c>
      <c r="Y1663" s="104">
        <f>_xll.qlCalendarAdvance(Calendar,X1663,NDays&amp;"D")</f>
        <v>50951</v>
      </c>
      <c r="Z1663" s="105">
        <v>2.4688131491397342E-2</v>
      </c>
      <c r="AA1663" s="102">
        <v>2.4675095550898973E-2</v>
      </c>
    </row>
    <row r="1664" spans="19:27" x14ac:dyDescent="0.2">
      <c r="S1664" s="61"/>
      <c r="T1664" s="82"/>
      <c r="W1664" s="103" t="str">
        <f t="shared" si="34"/>
        <v>1w</v>
      </c>
      <c r="X1664" s="101">
        <f>_xll.qlCalendarAdvance(Calendar,X1663,W1664,"f",FALSE)</f>
        <v>50956</v>
      </c>
      <c r="Y1664" s="104">
        <f>_xll.qlCalendarAdvance(Calendar,X1664,NDays&amp;"D")</f>
        <v>50958</v>
      </c>
      <c r="Z1664" s="105">
        <v>2.4677299425362769E-2</v>
      </c>
      <c r="AA1664" s="102">
        <v>2.466439404569698E-2</v>
      </c>
    </row>
    <row r="1665" spans="19:27" x14ac:dyDescent="0.2">
      <c r="S1665" s="61"/>
      <c r="T1665" s="82"/>
      <c r="W1665" s="103" t="str">
        <f t="shared" si="34"/>
        <v>1w</v>
      </c>
      <c r="X1665" s="101">
        <f>_xll.qlCalendarAdvance(Calendar,X1664,W1665,"f",FALSE)</f>
        <v>50963</v>
      </c>
      <c r="Y1665" s="104">
        <f>_xll.qlCalendarAdvance(Calendar,X1665,NDays&amp;"D")</f>
        <v>50965</v>
      </c>
      <c r="Z1665" s="105">
        <v>2.4666456628425943E-2</v>
      </c>
      <c r="AA1665" s="102">
        <v>2.465368184680905E-2</v>
      </c>
    </row>
    <row r="1666" spans="19:27" x14ac:dyDescent="0.2">
      <c r="S1666" s="61"/>
      <c r="T1666" s="82"/>
      <c r="W1666" s="103" t="str">
        <f t="shared" si="34"/>
        <v>1w</v>
      </c>
      <c r="X1666" s="101">
        <f>_xll.qlCalendarAdvance(Calendar,X1665,W1666,"f",FALSE)</f>
        <v>50970</v>
      </c>
      <c r="Y1666" s="104">
        <f>_xll.qlCalendarAdvance(Calendar,X1666,NDays&amp;"D")</f>
        <v>50972</v>
      </c>
      <c r="Z1666" s="105">
        <v>2.4655603100672878E-2</v>
      </c>
      <c r="AA1666" s="102">
        <v>2.4642958954395056E-2</v>
      </c>
    </row>
    <row r="1667" spans="19:27" x14ac:dyDescent="0.2">
      <c r="S1667" s="61"/>
      <c r="T1667" s="82"/>
      <c r="W1667" s="103" t="str">
        <f t="shared" si="34"/>
        <v>1w</v>
      </c>
      <c r="X1667" s="101">
        <f>_xll.qlCalendarAdvance(Calendar,X1666,W1667,"f",FALSE)</f>
        <v>50977</v>
      </c>
      <c r="Y1667" s="104">
        <f>_xll.qlCalendarAdvance(Calendar,X1667,NDays&amp;"D")</f>
        <v>50979</v>
      </c>
      <c r="Z1667" s="105">
        <v>2.4644738842195681E-2</v>
      </c>
      <c r="AA1667" s="102">
        <v>2.4632225368215188E-2</v>
      </c>
    </row>
    <row r="1668" spans="19:27" x14ac:dyDescent="0.2">
      <c r="S1668" s="61"/>
      <c r="T1668" s="82"/>
      <c r="W1668" s="103" t="str">
        <f t="shared" si="34"/>
        <v>1w</v>
      </c>
      <c r="X1668" s="101">
        <f>_xll.qlCalendarAdvance(Calendar,X1667,W1668,"f",FALSE)</f>
        <v>50984</v>
      </c>
      <c r="Y1668" s="104">
        <f>_xll.qlCalendarAdvance(Calendar,X1668,NDays&amp;"D")</f>
        <v>50986</v>
      </c>
      <c r="Z1668" s="105">
        <v>2.4633863853081236E-2</v>
      </c>
      <c r="AA1668" s="102">
        <v>2.4621481088269448E-2</v>
      </c>
    </row>
    <row r="1669" spans="19:27" x14ac:dyDescent="0.2">
      <c r="S1669" s="61"/>
      <c r="T1669" s="82"/>
      <c r="W1669" s="103" t="str">
        <f t="shared" si="34"/>
        <v>1w</v>
      </c>
      <c r="X1669" s="101">
        <f>_xll.qlCalendarAdvance(Calendar,X1668,W1669,"f",FALSE)</f>
        <v>50991</v>
      </c>
      <c r="Y1669" s="104">
        <f>_xll.qlCalendarAdvance(Calendar,X1669,NDays&amp;"D")</f>
        <v>50993</v>
      </c>
      <c r="Z1669" s="105">
        <v>2.4622978133419033E-2</v>
      </c>
      <c r="AA1669" s="102">
        <v>2.4610726114637771E-2</v>
      </c>
    </row>
    <row r="1670" spans="19:27" x14ac:dyDescent="0.2">
      <c r="S1670" s="61"/>
      <c r="T1670" s="82"/>
      <c r="W1670" s="103" t="str">
        <f t="shared" si="34"/>
        <v>1w</v>
      </c>
      <c r="X1670" s="101">
        <f>_xll.qlCalendarAdvance(Calendar,X1669,W1670,"f",FALSE)</f>
        <v>50998</v>
      </c>
      <c r="Y1670" s="104">
        <f>_xll.qlCalendarAdvance(Calendar,X1670,NDays&amp;"D")</f>
        <v>51000</v>
      </c>
      <c r="Z1670" s="105">
        <v>2.4612081683299442E-2</v>
      </c>
      <c r="AA1670" s="102">
        <v>2.4599960447320157E-2</v>
      </c>
    </row>
    <row r="1671" spans="19:27" x14ac:dyDescent="0.2">
      <c r="S1671" s="61"/>
      <c r="T1671" s="82"/>
      <c r="W1671" s="103" t="str">
        <f t="shared" si="34"/>
        <v>1w</v>
      </c>
      <c r="X1671" s="101">
        <f>_xll.qlCalendarAdvance(Calendar,X1670,W1671,"f",FALSE)</f>
        <v>51005</v>
      </c>
      <c r="Y1671" s="104">
        <f>_xll.qlCalendarAdvance(Calendar,X1671,NDays&amp;"D")</f>
        <v>51007</v>
      </c>
      <c r="Z1671" s="105">
        <v>2.4601174502809343E-2</v>
      </c>
      <c r="AA1671" s="102">
        <v>2.4589184086316607E-2</v>
      </c>
    </row>
    <row r="1672" spans="19:27" x14ac:dyDescent="0.2">
      <c r="S1672" s="61"/>
      <c r="T1672" s="82"/>
      <c r="W1672" s="103" t="str">
        <f t="shared" si="34"/>
        <v>1w</v>
      </c>
      <c r="X1672" s="101">
        <f>_xll.qlCalendarAdvance(Calendar,X1671,W1672,"f",FALSE)</f>
        <v>51012</v>
      </c>
      <c r="Y1672" s="104">
        <f>_xll.qlCalendarAdvance(Calendar,X1672,NDays&amp;"D")</f>
        <v>51014</v>
      </c>
      <c r="Z1672" s="105">
        <v>2.459020035829922E-2</v>
      </c>
      <c r="AA1672" s="102">
        <v>2.4578397031467247E-2</v>
      </c>
    </row>
    <row r="1673" spans="19:27" x14ac:dyDescent="0.2">
      <c r="S1673" s="61"/>
      <c r="T1673" s="82"/>
      <c r="W1673" s="103" t="str">
        <f t="shared" si="34"/>
        <v>1w</v>
      </c>
      <c r="X1673" s="101">
        <f>_xll.qlCalendarAdvance(Calendar,X1672,W1673,"f",FALSE)</f>
        <v>51019</v>
      </c>
      <c r="Y1673" s="104">
        <f>_xll.qlCalendarAdvance(Calendar,X1673,NDays&amp;"D")</f>
        <v>51021</v>
      </c>
      <c r="Z1673" s="105">
        <v>2.4579273227714235E-2</v>
      </c>
      <c r="AA1673" s="102">
        <v>2.4567599283091823E-2</v>
      </c>
    </row>
    <row r="1674" spans="19:27" x14ac:dyDescent="0.2">
      <c r="S1674" s="61"/>
      <c r="T1674" s="82"/>
      <c r="W1674" s="103" t="str">
        <f t="shared" si="34"/>
        <v>1w</v>
      </c>
      <c r="X1674" s="101">
        <f>_xll.qlCalendarAdvance(Calendar,X1673,W1674,"f",FALSE)</f>
        <v>51026</v>
      </c>
      <c r="Y1674" s="104">
        <f>_xll.qlCalendarAdvance(Calendar,X1674,NDays&amp;"D")</f>
        <v>51028</v>
      </c>
      <c r="Z1674" s="105">
        <v>2.4568335367422894E-2</v>
      </c>
      <c r="AA1674" s="102">
        <v>2.4556790840950526E-2</v>
      </c>
    </row>
    <row r="1675" spans="19:27" x14ac:dyDescent="0.2">
      <c r="S1675" s="61"/>
      <c r="T1675" s="82"/>
      <c r="W1675" s="103" t="str">
        <f t="shared" si="34"/>
        <v>1w</v>
      </c>
      <c r="X1675" s="101">
        <f>_xll.qlCalendarAdvance(Calendar,X1674,W1675,"f",FALSE)</f>
        <v>51033</v>
      </c>
      <c r="Y1675" s="104">
        <f>_xll.qlCalendarAdvance(Calendar,X1675,NDays&amp;"D")</f>
        <v>51035</v>
      </c>
      <c r="Z1675" s="105">
        <v>2.4557386777513922E-2</v>
      </c>
      <c r="AA1675" s="102">
        <v>2.4545971705123293E-2</v>
      </c>
    </row>
    <row r="1676" spans="19:27" x14ac:dyDescent="0.2">
      <c r="S1676" s="61"/>
      <c r="T1676" s="82"/>
      <c r="W1676" s="103" t="str">
        <f t="shared" si="34"/>
        <v>1w</v>
      </c>
      <c r="X1676" s="101">
        <f>_xll.qlCalendarAdvance(Calendar,X1675,W1676,"f",FALSE)</f>
        <v>51040</v>
      </c>
      <c r="Y1676" s="104">
        <f>_xll.qlCalendarAdvance(Calendar,X1676,NDays&amp;"D")</f>
        <v>51042</v>
      </c>
      <c r="Z1676" s="105">
        <v>2.4546427458075157E-2</v>
      </c>
      <c r="AA1676" s="102">
        <v>2.4535141875610122E-2</v>
      </c>
    </row>
    <row r="1677" spans="19:27" x14ac:dyDescent="0.2">
      <c r="S1677" s="61"/>
      <c r="T1677" s="82"/>
      <c r="W1677" s="103" t="str">
        <f t="shared" si="34"/>
        <v>1w</v>
      </c>
      <c r="X1677" s="101">
        <f>_xll.qlCalendarAdvance(Calendar,X1676,W1677,"f",FALSE)</f>
        <v>51047</v>
      </c>
      <c r="Y1677" s="104">
        <f>_xll.qlCalendarAdvance(Calendar,X1677,NDays&amp;"D")</f>
        <v>51049</v>
      </c>
      <c r="Z1677" s="105">
        <v>2.4535651268861911E-2</v>
      </c>
      <c r="AA1677" s="102">
        <v>2.4524301352331079E-2</v>
      </c>
    </row>
    <row r="1678" spans="19:27" x14ac:dyDescent="0.2">
      <c r="S1678" s="61"/>
      <c r="T1678" s="82"/>
      <c r="W1678" s="103" t="str">
        <f t="shared" si="34"/>
        <v>1w</v>
      </c>
      <c r="X1678" s="101">
        <f>_xll.qlCalendarAdvance(Calendar,X1677,W1678,"f",FALSE)</f>
        <v>51054</v>
      </c>
      <c r="Y1678" s="104">
        <f>_xll.qlCalendarAdvance(Calendar,X1678,NDays&amp;"D")</f>
        <v>51056</v>
      </c>
      <c r="Z1678" s="105">
        <v>2.4524523796566288E-2</v>
      </c>
      <c r="AA1678" s="102">
        <v>2.4513450135446035E-2</v>
      </c>
    </row>
    <row r="1679" spans="19:27" x14ac:dyDescent="0.2">
      <c r="S1679" s="61"/>
      <c r="T1679" s="82"/>
      <c r="W1679" s="103" t="str">
        <f t="shared" si="34"/>
        <v>1w</v>
      </c>
      <c r="X1679" s="101">
        <f>_xll.qlCalendarAdvance(Calendar,X1678,W1679,"f",FALSE)</f>
        <v>51061</v>
      </c>
      <c r="Y1679" s="104">
        <f>_xll.qlCalendarAdvance(Calendar,X1679,NDays&amp;"D")</f>
        <v>51063</v>
      </c>
      <c r="Z1679" s="105">
        <v>2.4513530776347818E-2</v>
      </c>
      <c r="AA1679" s="102">
        <v>2.4502588224795119E-2</v>
      </c>
    </row>
    <row r="1680" spans="19:27" x14ac:dyDescent="0.2">
      <c r="S1680" s="61"/>
      <c r="T1680" s="82"/>
      <c r="W1680" s="103" t="str">
        <f t="shared" si="34"/>
        <v>1w</v>
      </c>
      <c r="X1680" s="101">
        <f>_xll.qlCalendarAdvance(Calendar,X1679,W1680,"f",FALSE)</f>
        <v>51068</v>
      </c>
      <c r="Y1680" s="104">
        <f>_xll.qlCalendarAdvance(Calendar,X1680,NDays&amp;"D")</f>
        <v>51070</v>
      </c>
      <c r="Z1680" s="105">
        <v>2.4502527026566898E-2</v>
      </c>
      <c r="AA1680" s="102">
        <v>2.4491715620618137E-2</v>
      </c>
    </row>
    <row r="1681" spans="19:27" x14ac:dyDescent="0.2">
      <c r="S1681" s="61"/>
      <c r="T1681" s="82"/>
      <c r="W1681" s="103" t="str">
        <f t="shared" si="34"/>
        <v>1w</v>
      </c>
      <c r="X1681" s="101">
        <f>_xll.qlCalendarAdvance(Calendar,X1680,W1681,"f",FALSE)</f>
        <v>51075</v>
      </c>
      <c r="Y1681" s="104">
        <f>_xll.qlCalendarAdvance(Calendar,X1681,NDays&amp;"D")</f>
        <v>51077</v>
      </c>
      <c r="Z1681" s="105">
        <v>2.4491512547314749E-2</v>
      </c>
      <c r="AA1681" s="102">
        <v>2.4480832322435475E-2</v>
      </c>
    </row>
    <row r="1682" spans="19:27" x14ac:dyDescent="0.2">
      <c r="S1682" s="61"/>
      <c r="T1682" s="82"/>
      <c r="W1682" s="103" t="str">
        <f t="shared" si="34"/>
        <v>1w</v>
      </c>
      <c r="X1682" s="101">
        <f>_xll.qlCalendarAdvance(Calendar,X1681,W1682,"f",FALSE)</f>
        <v>51082</v>
      </c>
      <c r="Y1682" s="104">
        <f>_xll.qlCalendarAdvance(Calendar,X1682,NDays&amp;"D")</f>
        <v>51084</v>
      </c>
      <c r="Z1682" s="105">
        <v>2.448048733868087E-2</v>
      </c>
      <c r="AA1682" s="102">
        <v>2.4469938330806684E-2</v>
      </c>
    </row>
    <row r="1683" spans="19:27" x14ac:dyDescent="0.2">
      <c r="S1683" s="61"/>
      <c r="T1683" s="82"/>
      <c r="W1683" s="103" t="str">
        <f t="shared" si="34"/>
        <v>1w</v>
      </c>
      <c r="X1683" s="101">
        <f>_xll.qlCalendarAdvance(Calendar,X1682,W1683,"f",FALSE)</f>
        <v>51089</v>
      </c>
      <c r="Y1683" s="104">
        <f>_xll.qlCalendarAdvance(Calendar,X1683,NDays&amp;"D")</f>
        <v>51091</v>
      </c>
      <c r="Z1683" s="105">
        <v>2.4469451400756494E-2</v>
      </c>
      <c r="AA1683" s="102">
        <v>2.4459033645412021E-2</v>
      </c>
    </row>
    <row r="1684" spans="19:27" x14ac:dyDescent="0.2">
      <c r="S1684" s="61"/>
      <c r="T1684" s="82"/>
      <c r="W1684" s="103" t="str">
        <f t="shared" si="34"/>
        <v>1w</v>
      </c>
      <c r="X1684" s="101">
        <f>_xll.qlCalendarAdvance(Calendar,X1683,W1684,"f",FALSE)</f>
        <v>51096</v>
      </c>
      <c r="Y1684" s="104">
        <f>_xll.qlCalendarAdvance(Calendar,X1684,NDays&amp;"D")</f>
        <v>51098</v>
      </c>
      <c r="Z1684" s="105">
        <v>2.4458404733630239E-2</v>
      </c>
      <c r="AA1684" s="102">
        <v>2.4448118266411356E-2</v>
      </c>
    </row>
    <row r="1685" spans="19:27" x14ac:dyDescent="0.2">
      <c r="S1685" s="61"/>
      <c r="T1685" s="82"/>
      <c r="W1685" s="103" t="str">
        <f t="shared" ref="W1685:W1748" si="35">W1684</f>
        <v>1w</v>
      </c>
      <c r="X1685" s="101">
        <f>_xll.qlCalendarAdvance(Calendar,X1684,W1685,"f",FALSE)</f>
        <v>51103</v>
      </c>
      <c r="Y1685" s="104">
        <f>_xll.qlCalendarAdvance(Calendar,X1685,NDays&amp;"D")</f>
        <v>51105</v>
      </c>
      <c r="Z1685" s="105">
        <v>2.4447310768971015E-2</v>
      </c>
      <c r="AA1685" s="102">
        <v>2.4437192193484947E-2</v>
      </c>
    </row>
    <row r="1686" spans="19:27" x14ac:dyDescent="0.2">
      <c r="S1686" s="61"/>
      <c r="T1686" s="82"/>
      <c r="W1686" s="103" t="str">
        <f t="shared" si="35"/>
        <v>1w</v>
      </c>
      <c r="X1686" s="101">
        <f>_xll.qlCalendarAdvance(Calendar,X1685,W1686,"f",FALSE)</f>
        <v>51110</v>
      </c>
      <c r="Y1686" s="104">
        <f>_xll.qlCalendarAdvance(Calendar,X1686,NDays&amp;"D")</f>
        <v>51112</v>
      </c>
      <c r="Z1686" s="105">
        <v>2.4436244159134146E-2</v>
      </c>
      <c r="AA1686" s="102">
        <v>2.4426255427192345E-2</v>
      </c>
    </row>
    <row r="1687" spans="19:27" x14ac:dyDescent="0.2">
      <c r="S1687" s="61"/>
      <c r="T1687" s="82"/>
      <c r="W1687" s="103" t="str">
        <f t="shared" si="35"/>
        <v>1w</v>
      </c>
      <c r="X1687" s="101">
        <f>_xll.qlCalendarAdvance(Calendar,X1686,W1687,"f",FALSE)</f>
        <v>51117</v>
      </c>
      <c r="Y1687" s="104">
        <f>_xll.qlCalendarAdvance(Calendar,X1687,NDays&amp;"D")</f>
        <v>51119</v>
      </c>
      <c r="Z1687" s="105">
        <v>2.4425166820749553E-2</v>
      </c>
      <c r="AA1687" s="102">
        <v>2.4415307967053934E-2</v>
      </c>
    </row>
    <row r="1688" spans="19:27" x14ac:dyDescent="0.2">
      <c r="S1688" s="61"/>
      <c r="T1688" s="82"/>
      <c r="W1688" s="103" t="str">
        <f t="shared" si="35"/>
        <v>1w</v>
      </c>
      <c r="X1688" s="101">
        <f>_xll.qlCalendarAdvance(Calendar,X1687,W1688,"f",FALSE)</f>
        <v>51124</v>
      </c>
      <c r="Y1688" s="104">
        <f>_xll.qlCalendarAdvance(Calendar,X1688,NDays&amp;"D")</f>
        <v>51126</v>
      </c>
      <c r="Z1688" s="105">
        <v>2.4414078753905086E-2</v>
      </c>
      <c r="AA1688" s="102">
        <v>2.4402783489678725E-2</v>
      </c>
    </row>
    <row r="1689" spans="19:27" x14ac:dyDescent="0.2">
      <c r="S1689" s="61"/>
      <c r="T1689" s="82"/>
      <c r="W1689" s="103" t="str">
        <f t="shared" si="35"/>
        <v>1w</v>
      </c>
      <c r="X1689" s="101">
        <f>_xll.qlCalendarAdvance(Calendar,X1688,W1689,"f",FALSE)</f>
        <v>51131</v>
      </c>
      <c r="Y1689" s="104">
        <f>_xll.qlCalendarAdvance(Calendar,X1689,NDays&amp;"D")</f>
        <v>51133</v>
      </c>
      <c r="Z1689" s="105">
        <v>2.440297995869297E-2</v>
      </c>
      <c r="AA1689" s="102">
        <v>2.4393380965639366E-2</v>
      </c>
    </row>
    <row r="1690" spans="19:27" x14ac:dyDescent="0.2">
      <c r="S1690" s="61"/>
      <c r="T1690" s="82"/>
      <c r="W1690" s="103" t="str">
        <f t="shared" si="35"/>
        <v>1w</v>
      </c>
      <c r="X1690" s="101">
        <f>_xll.qlCalendarAdvance(Calendar,X1689,W1690,"f",FALSE)</f>
        <v>51138</v>
      </c>
      <c r="Y1690" s="104">
        <f>_xll.qlCalendarAdvance(Calendar,X1690,NDays&amp;"D")</f>
        <v>51140</v>
      </c>
      <c r="Z1690" s="105">
        <v>2.4391870435202811E-2</v>
      </c>
      <c r="AA1690" s="102">
        <v>2.438083204565622E-2</v>
      </c>
    </row>
    <row r="1691" spans="19:27" x14ac:dyDescent="0.2">
      <c r="S1691" s="61"/>
      <c r="T1691" s="82"/>
      <c r="W1691" s="103" t="str">
        <f t="shared" si="35"/>
        <v>1w</v>
      </c>
      <c r="X1691" s="101">
        <f>_xll.qlCalendarAdvance(Calendar,X1690,W1691,"f",FALSE)</f>
        <v>51145</v>
      </c>
      <c r="Y1691" s="104">
        <f>_xll.qlCalendarAdvance(Calendar,X1691,NDays&amp;"D")</f>
        <v>51147</v>
      </c>
      <c r="Z1691" s="105">
        <v>2.4380750183523325E-2</v>
      </c>
      <c r="AA1691" s="102">
        <v>2.4371411189560988E-2</v>
      </c>
    </row>
    <row r="1692" spans="19:27" x14ac:dyDescent="0.2">
      <c r="S1692" s="61"/>
      <c r="T1692" s="82"/>
      <c r="W1692" s="103" t="str">
        <f t="shared" si="35"/>
        <v>1w</v>
      </c>
      <c r="X1692" s="101">
        <f>_xll.qlCalendarAdvance(Calendar,X1691,W1692,"f",FALSE)</f>
        <v>51152</v>
      </c>
      <c r="Y1692" s="104">
        <f>_xll.qlCalendarAdvance(Calendar,X1692,NDays&amp;"D")</f>
        <v>51154</v>
      </c>
      <c r="Z1692" s="105">
        <v>2.4369619203744988E-2</v>
      </c>
      <c r="AA1692" s="102">
        <v>2.4360410260992893E-2</v>
      </c>
    </row>
    <row r="1693" spans="19:27" x14ac:dyDescent="0.2">
      <c r="S1693" s="61"/>
      <c r="T1693" s="82"/>
      <c r="W1693" s="103" t="str">
        <f t="shared" si="35"/>
        <v>1w</v>
      </c>
      <c r="X1693" s="101">
        <f>_xll.qlCalendarAdvance(Calendar,X1692,W1693,"f",FALSE)</f>
        <v>51159</v>
      </c>
      <c r="Y1693" s="104">
        <f>_xll.qlCalendarAdvance(Calendar,X1693,NDays&amp;"D")</f>
        <v>51161</v>
      </c>
      <c r="Z1693" s="105">
        <v>2.4358477495959163E-2</v>
      </c>
      <c r="AA1693" s="102">
        <v>2.4349398638818798E-2</v>
      </c>
    </row>
    <row r="1694" spans="19:27" x14ac:dyDescent="0.2">
      <c r="S1694" s="61"/>
      <c r="T1694" s="82"/>
      <c r="W1694" s="103" t="str">
        <f t="shared" si="35"/>
        <v>1w</v>
      </c>
      <c r="X1694" s="101">
        <f>_xll.qlCalendarAdvance(Calendar,X1693,W1694,"f",FALSE)</f>
        <v>51166</v>
      </c>
      <c r="Y1694" s="104">
        <f>_xll.qlCalendarAdvance(Calendar,X1694,NDays&amp;"D")</f>
        <v>51168</v>
      </c>
      <c r="Z1694" s="105">
        <v>2.4347302000462534E-2</v>
      </c>
      <c r="AA1694" s="102">
        <v>2.433837632287883E-2</v>
      </c>
    </row>
    <row r="1695" spans="19:27" x14ac:dyDescent="0.2">
      <c r="S1695" s="61"/>
      <c r="T1695" s="82"/>
      <c r="W1695" s="103" t="str">
        <f t="shared" si="35"/>
        <v>1w</v>
      </c>
      <c r="X1695" s="101">
        <f>_xll.qlCalendarAdvance(Calendar,X1694,W1695,"f",FALSE)</f>
        <v>51173</v>
      </c>
      <c r="Y1695" s="104">
        <f>_xll.qlCalendarAdvance(Calendar,X1695,NDays&amp;"D")</f>
        <v>51175</v>
      </c>
      <c r="Z1695" s="105">
        <v>2.4336140355639913E-2</v>
      </c>
      <c r="AA1695" s="102">
        <v>2.4327343313252925E-2</v>
      </c>
    </row>
    <row r="1696" spans="19:27" x14ac:dyDescent="0.2">
      <c r="S1696" s="61"/>
      <c r="T1696" s="82"/>
      <c r="W1696" s="103" t="str">
        <f t="shared" si="35"/>
        <v>1w</v>
      </c>
      <c r="X1696" s="101">
        <f>_xll.qlCalendarAdvance(Calendar,X1695,W1696,"f",FALSE)</f>
        <v>51180</v>
      </c>
      <c r="Y1696" s="104">
        <f>_xll.qlCalendarAdvance(Calendar,X1696,NDays&amp;"D")</f>
        <v>51182</v>
      </c>
      <c r="Z1696" s="105">
        <v>2.432496798345074E-2</v>
      </c>
      <c r="AA1696" s="102">
        <v>2.4316299610100955E-2</v>
      </c>
    </row>
    <row r="1697" spans="19:27" x14ac:dyDescent="0.2">
      <c r="S1697" s="61"/>
      <c r="T1697" s="82"/>
      <c r="W1697" s="103" t="str">
        <f t="shared" si="35"/>
        <v>1w</v>
      </c>
      <c r="X1697" s="101">
        <f>_xll.qlCalendarAdvance(Calendar,X1696,W1697,"f",FALSE)</f>
        <v>51187</v>
      </c>
      <c r="Y1697" s="104">
        <f>_xll.qlCalendarAdvance(Calendar,X1697,NDays&amp;"D")</f>
        <v>51189</v>
      </c>
      <c r="Z1697" s="105">
        <v>2.43137848839865E-2</v>
      </c>
      <c r="AA1697" s="102">
        <v>2.4305245213023241E-2</v>
      </c>
    </row>
    <row r="1698" spans="19:27" x14ac:dyDescent="0.2">
      <c r="S1698" s="61"/>
      <c r="T1698" s="82"/>
      <c r="W1698" s="103" t="str">
        <f t="shared" si="35"/>
        <v>1w</v>
      </c>
      <c r="X1698" s="101">
        <f>_xll.qlCalendarAdvance(Calendar,X1697,W1698,"f",FALSE)</f>
        <v>51194</v>
      </c>
      <c r="Y1698" s="104">
        <f>_xll.qlCalendarAdvance(Calendar,X1698,NDays&amp;"D")</f>
        <v>51196</v>
      </c>
      <c r="Z1698" s="105">
        <v>2.4302624878600756E-2</v>
      </c>
      <c r="AA1698" s="102">
        <v>2.4294180122419462E-2</v>
      </c>
    </row>
    <row r="1699" spans="19:27" x14ac:dyDescent="0.2">
      <c r="S1699" s="61"/>
      <c r="T1699" s="82"/>
      <c r="W1699" s="103" t="str">
        <f t="shared" si="35"/>
        <v>1w</v>
      </c>
      <c r="X1699" s="101">
        <f>_xll.qlCalendarAdvance(Calendar,X1698,W1699,"f",FALSE)</f>
        <v>51201</v>
      </c>
      <c r="Y1699" s="104">
        <f>_xll.qlCalendarAdvance(Calendar,X1699,NDays&amp;"D")</f>
        <v>51203</v>
      </c>
      <c r="Z1699" s="105">
        <v>2.4291417284367213E-2</v>
      </c>
      <c r="AA1699" s="102">
        <v>2.4283104338129746E-2</v>
      </c>
    </row>
    <row r="1700" spans="19:27" x14ac:dyDescent="0.2">
      <c r="S1700" s="61"/>
      <c r="T1700" s="82"/>
      <c r="W1700" s="103" t="str">
        <f t="shared" si="35"/>
        <v>1w</v>
      </c>
      <c r="X1700" s="101">
        <f>_xll.qlCalendarAdvance(Calendar,X1699,W1700,"f",FALSE)</f>
        <v>51208</v>
      </c>
      <c r="Y1700" s="104">
        <f>_xll.qlCalendarAdvance(Calendar,X1700,NDays&amp;"D")</f>
        <v>51210</v>
      </c>
      <c r="Z1700" s="105">
        <v>2.4280198962392363E-2</v>
      </c>
      <c r="AA1700" s="102">
        <v>2.4272017860154094E-2</v>
      </c>
    </row>
    <row r="1701" spans="19:27" x14ac:dyDescent="0.2">
      <c r="S1701" s="61"/>
      <c r="T1701" s="82"/>
      <c r="W1701" s="103" t="str">
        <f t="shared" si="35"/>
        <v>1w</v>
      </c>
      <c r="X1701" s="101">
        <f>_xll.qlCalendarAdvance(Calendar,X1700,W1701,"f",FALSE)</f>
        <v>51215</v>
      </c>
      <c r="Y1701" s="104">
        <f>_xll.qlCalendarAdvance(Calendar,X1701,NDays&amp;"D")</f>
        <v>51217</v>
      </c>
      <c r="Z1701" s="105">
        <v>2.4269005875201276E-2</v>
      </c>
      <c r="AA1701" s="102">
        <v>2.4260920688412568E-2</v>
      </c>
    </row>
    <row r="1702" spans="19:27" x14ac:dyDescent="0.2">
      <c r="S1702" s="61"/>
      <c r="T1702" s="82"/>
      <c r="W1702" s="103" t="str">
        <f t="shared" si="35"/>
        <v>1w</v>
      </c>
      <c r="X1702" s="101">
        <f>_xll.qlCalendarAdvance(Calendar,X1701,W1702,"f",FALSE)</f>
        <v>51222</v>
      </c>
      <c r="Y1702" s="104">
        <f>_xll.qlCalendarAdvance(Calendar,X1702,NDays&amp;"D")</f>
        <v>51224</v>
      </c>
      <c r="Z1702" s="105">
        <v>2.4257730135579334E-2</v>
      </c>
      <c r="AA1702" s="102">
        <v>2.4246637183233943E-2</v>
      </c>
    </row>
    <row r="1703" spans="19:27" x14ac:dyDescent="0.2">
      <c r="S1703" s="61"/>
      <c r="T1703" s="82"/>
      <c r="W1703" s="103" t="str">
        <f t="shared" si="35"/>
        <v>1w</v>
      </c>
      <c r="X1703" s="101">
        <f>_xll.qlCalendarAdvance(Calendar,X1702,W1703,"f",FALSE)</f>
        <v>51229</v>
      </c>
      <c r="Y1703" s="104">
        <f>_xll.qlCalendarAdvance(Calendar,X1703,NDays&amp;"D")</f>
        <v>51231</v>
      </c>
      <c r="Z1703" s="105">
        <v>2.4246470397537481E-2</v>
      </c>
      <c r="AA1703" s="102">
        <v>2.4238694264191452E-2</v>
      </c>
    </row>
    <row r="1704" spans="19:27" x14ac:dyDescent="0.2">
      <c r="S1704" s="61"/>
      <c r="T1704" s="82"/>
      <c r="W1704" s="103" t="str">
        <f t="shared" si="35"/>
        <v>1w</v>
      </c>
      <c r="X1704" s="101">
        <f>_xll.qlCalendarAdvance(Calendar,X1703,W1704,"f",FALSE)</f>
        <v>51236</v>
      </c>
      <c r="Y1704" s="104">
        <f>_xll.qlCalendarAdvance(Calendar,X1704,NDays&amp;"D")</f>
        <v>51238</v>
      </c>
      <c r="Z1704" s="105">
        <v>2.4235210687635442E-2</v>
      </c>
      <c r="AA1704" s="102">
        <v>2.4227565011551988E-2</v>
      </c>
    </row>
    <row r="1705" spans="19:27" x14ac:dyDescent="0.2">
      <c r="S1705" s="61"/>
      <c r="T1705" s="82"/>
      <c r="W1705" s="103" t="str">
        <f t="shared" si="35"/>
        <v>1w</v>
      </c>
      <c r="X1705" s="101">
        <f>_xll.qlCalendarAdvance(Calendar,X1704,W1705,"f",FALSE)</f>
        <v>51243</v>
      </c>
      <c r="Y1705" s="104">
        <f>_xll.qlCalendarAdvance(Calendar,X1705,NDays&amp;"D")</f>
        <v>51245</v>
      </c>
      <c r="Z1705" s="105">
        <v>2.4223940250814271E-2</v>
      </c>
      <c r="AA1705" s="102">
        <v>2.4216425065226588E-2</v>
      </c>
    </row>
    <row r="1706" spans="19:27" x14ac:dyDescent="0.2">
      <c r="S1706" s="61"/>
      <c r="T1706" s="82"/>
      <c r="W1706" s="103" t="str">
        <f t="shared" si="35"/>
        <v>1w</v>
      </c>
      <c r="X1706" s="101">
        <f>_xll.qlCalendarAdvance(Calendar,X1705,W1706,"f",FALSE)</f>
        <v>51250</v>
      </c>
      <c r="Y1706" s="104">
        <f>_xll.qlCalendarAdvance(Calendar,X1706,NDays&amp;"D")</f>
        <v>51252</v>
      </c>
      <c r="Z1706" s="105">
        <v>2.4212659087164443E-2</v>
      </c>
      <c r="AA1706" s="102">
        <v>2.4205291204313362E-2</v>
      </c>
    </row>
    <row r="1707" spans="19:27" x14ac:dyDescent="0.2">
      <c r="S1707" s="61"/>
      <c r="T1707" s="82"/>
      <c r="W1707" s="103" t="str">
        <f t="shared" si="35"/>
        <v>1w</v>
      </c>
      <c r="X1707" s="101">
        <f>_xll.qlCalendarAdvance(Calendar,X1706,W1707,"f",FALSE)</f>
        <v>51258</v>
      </c>
      <c r="Y1707" s="104">
        <f>_xll.qlCalendarAdvance(Calendar,X1707,NDays&amp;"D")</f>
        <v>51260</v>
      </c>
      <c r="Z1707" s="105">
        <v>2.4199761533705996E-2</v>
      </c>
      <c r="AA1707" s="102">
        <v>2.4192517742385178E-2</v>
      </c>
    </row>
    <row r="1708" spans="19:27" x14ac:dyDescent="0.2">
      <c r="S1708" s="61"/>
      <c r="T1708" s="82"/>
      <c r="W1708" s="103" t="str">
        <f t="shared" si="35"/>
        <v>1w</v>
      </c>
      <c r="X1708" s="101">
        <f>_xll.qlCalendarAdvance(Calendar,X1707,W1708,"f",FALSE)</f>
        <v>51265</v>
      </c>
      <c r="Y1708" s="104">
        <f>_xll.qlCalendarAdvance(Calendar,X1708,NDays&amp;"D")</f>
        <v>51270</v>
      </c>
      <c r="Z1708" s="105">
        <v>2.4183601873804361E-2</v>
      </c>
      <c r="AA1708" s="102">
        <v>2.417974709232773E-2</v>
      </c>
    </row>
    <row r="1709" spans="19:27" x14ac:dyDescent="0.2">
      <c r="S1709" s="61"/>
      <c r="T1709" s="82"/>
      <c r="W1709" s="103" t="str">
        <f t="shared" si="35"/>
        <v>1w</v>
      </c>
      <c r="X1709" s="101">
        <f>_xll.qlCalendarAdvance(Calendar,X1708,W1709,"f",FALSE)</f>
        <v>51272</v>
      </c>
      <c r="Y1709" s="104">
        <f>_xll.qlCalendarAdvance(Calendar,X1709,NDays&amp;"D")</f>
        <v>51274</v>
      </c>
      <c r="Z1709" s="105">
        <v>2.4177133364936612E-2</v>
      </c>
      <c r="AA1709" s="102">
        <v>2.4168561315862647E-2</v>
      </c>
    </row>
    <row r="1710" spans="19:27" x14ac:dyDescent="0.2">
      <c r="S1710" s="61"/>
      <c r="T1710" s="82"/>
      <c r="W1710" s="103" t="str">
        <f t="shared" si="35"/>
        <v>1w</v>
      </c>
      <c r="X1710" s="101">
        <f>_xll.qlCalendarAdvance(Calendar,X1709,W1710,"f",FALSE)</f>
        <v>51279</v>
      </c>
      <c r="Y1710" s="104">
        <f>_xll.qlCalendarAdvance(Calendar,X1710,NDays&amp;"D")</f>
        <v>51281</v>
      </c>
      <c r="Z1710" s="105">
        <v>2.4165803189222373E-2</v>
      </c>
      <c r="AA1710" s="102">
        <v>2.4158964996363608E-2</v>
      </c>
    </row>
    <row r="1711" spans="19:27" x14ac:dyDescent="0.2">
      <c r="S1711" s="61"/>
      <c r="T1711" s="82"/>
      <c r="W1711" s="103" t="str">
        <f t="shared" si="35"/>
        <v>1w</v>
      </c>
      <c r="X1711" s="101">
        <f>_xll.qlCalendarAdvance(Calendar,X1710,W1711,"f",FALSE)</f>
        <v>51286</v>
      </c>
      <c r="Y1711" s="104">
        <f>_xll.qlCalendarAdvance(Calendar,X1711,NDays&amp;"D")</f>
        <v>51288</v>
      </c>
      <c r="Z1711" s="105">
        <v>2.4154462286078981E-2</v>
      </c>
      <c r="AA1711" s="102">
        <v>2.4147759360344523E-2</v>
      </c>
    </row>
    <row r="1712" spans="19:27" x14ac:dyDescent="0.2">
      <c r="S1712" s="61"/>
      <c r="T1712" s="82"/>
      <c r="W1712" s="103" t="str">
        <f t="shared" si="35"/>
        <v>1w</v>
      </c>
      <c r="X1712" s="101">
        <f>_xll.qlCalendarAdvance(Calendar,X1711,W1712,"f",FALSE)</f>
        <v>51293</v>
      </c>
      <c r="Y1712" s="104">
        <f>_xll.qlCalendarAdvance(Calendar,X1712,NDays&amp;"D")</f>
        <v>51295</v>
      </c>
      <c r="Z1712" s="105">
        <v>2.4143110655605923E-2</v>
      </c>
      <c r="AA1712" s="102">
        <v>2.4136543030719437E-2</v>
      </c>
    </row>
    <row r="1713" spans="19:27" x14ac:dyDescent="0.2">
      <c r="S1713" s="61"/>
      <c r="T1713" s="82"/>
      <c r="W1713" s="103" t="str">
        <f t="shared" si="35"/>
        <v>1w</v>
      </c>
      <c r="X1713" s="101">
        <f>_xll.qlCalendarAdvance(Calendar,X1712,W1713,"f",FALSE)</f>
        <v>51300</v>
      </c>
      <c r="Y1713" s="104">
        <f>_xll.qlCalendarAdvance(Calendar,X1713,NDays&amp;"D")</f>
        <v>51302</v>
      </c>
      <c r="Z1713" s="105">
        <v>2.4131748297895043E-2</v>
      </c>
      <c r="AA1713" s="102">
        <v>2.4125316007328479E-2</v>
      </c>
    </row>
    <row r="1714" spans="19:27" x14ac:dyDescent="0.2">
      <c r="S1714" s="61"/>
      <c r="T1714" s="82"/>
      <c r="W1714" s="103" t="str">
        <f t="shared" si="35"/>
        <v>1w</v>
      </c>
      <c r="X1714" s="101">
        <f>_xll.qlCalendarAdvance(Calendar,X1713,W1714,"f",FALSE)</f>
        <v>51307</v>
      </c>
      <c r="Y1714" s="104">
        <f>_xll.qlCalendarAdvance(Calendar,X1714,NDays&amp;"D")</f>
        <v>51312</v>
      </c>
      <c r="Z1714" s="105">
        <v>2.4115514991327955E-2</v>
      </c>
      <c r="AA1714" s="102">
        <v>2.4112472029287346E-2</v>
      </c>
    </row>
    <row r="1715" spans="19:27" x14ac:dyDescent="0.2">
      <c r="S1715" s="61"/>
      <c r="T1715" s="82"/>
      <c r="W1715" s="103" t="str">
        <f t="shared" si="35"/>
        <v>1w</v>
      </c>
      <c r="X1715" s="101">
        <f>_xll.qlCalendarAdvance(Calendar,X1714,W1715,"f",FALSE)</f>
        <v>51314</v>
      </c>
      <c r="Y1715" s="104">
        <f>_xll.qlCalendarAdvance(Calendar,X1715,NDays&amp;"D")</f>
        <v>51316</v>
      </c>
      <c r="Z1715" s="105">
        <v>2.4109019660716983E-2</v>
      </c>
      <c r="AA1715" s="102">
        <v>2.410282987972856E-2</v>
      </c>
    </row>
    <row r="1716" spans="19:27" x14ac:dyDescent="0.2">
      <c r="S1716" s="61"/>
      <c r="T1716" s="82"/>
      <c r="W1716" s="103" t="str">
        <f t="shared" si="35"/>
        <v>1w</v>
      </c>
      <c r="X1716" s="101">
        <f>_xll.qlCalendarAdvance(Calendar,X1715,W1716,"f",FALSE)</f>
        <v>51321</v>
      </c>
      <c r="Y1716" s="104">
        <f>_xll.qlCalendarAdvance(Calendar,X1716,NDays&amp;"D")</f>
        <v>51323</v>
      </c>
      <c r="Z1716" s="105">
        <v>2.4097598840011423E-2</v>
      </c>
      <c r="AA1716" s="102">
        <v>2.4091570775439664E-2</v>
      </c>
    </row>
    <row r="1717" spans="19:27" x14ac:dyDescent="0.2">
      <c r="S1717" s="61"/>
      <c r="T1717" s="82"/>
      <c r="W1717" s="103" t="str">
        <f t="shared" si="35"/>
        <v>1w</v>
      </c>
      <c r="X1717" s="101">
        <f>_xll.qlCalendarAdvance(Calendar,X1716,W1717,"f",FALSE)</f>
        <v>51328</v>
      </c>
      <c r="Y1717" s="104">
        <f>_xll.qlCalendarAdvance(Calendar,X1717,NDays&amp;"D")</f>
        <v>51330</v>
      </c>
      <c r="Z1717" s="105">
        <v>2.4086201313095124E-2</v>
      </c>
      <c r="AA1717" s="102">
        <v>2.408030097746483E-2</v>
      </c>
    </row>
    <row r="1718" spans="19:27" x14ac:dyDescent="0.2">
      <c r="S1718" s="61"/>
      <c r="T1718" s="82"/>
      <c r="W1718" s="103" t="str">
        <f t="shared" si="35"/>
        <v>1w</v>
      </c>
      <c r="X1718" s="101">
        <f>_xll.qlCalendarAdvance(Calendar,X1717,W1718,"f",FALSE)</f>
        <v>51335</v>
      </c>
      <c r="Y1718" s="104">
        <f>_xll.qlCalendarAdvance(Calendar,X1718,NDays&amp;"D")</f>
        <v>51337</v>
      </c>
      <c r="Z1718" s="105">
        <v>2.4074802943961464E-2</v>
      </c>
      <c r="AA1718" s="102">
        <v>2.4069020485883996E-2</v>
      </c>
    </row>
    <row r="1719" spans="19:27" x14ac:dyDescent="0.2">
      <c r="S1719" s="61"/>
      <c r="T1719" s="82"/>
      <c r="W1719" s="103" t="str">
        <f t="shared" si="35"/>
        <v>1w</v>
      </c>
      <c r="X1719" s="101">
        <f>_xll.qlCalendarAdvance(Calendar,X1718,W1719,"f",FALSE)</f>
        <v>51342</v>
      </c>
      <c r="Y1719" s="104">
        <f>_xll.qlCalendarAdvance(Calendar,X1719,NDays&amp;"D")</f>
        <v>51344</v>
      </c>
      <c r="Z1719" s="105">
        <v>2.4063407802728306E-2</v>
      </c>
      <c r="AA1719" s="102">
        <v>2.4057729300617225E-2</v>
      </c>
    </row>
    <row r="1720" spans="19:27" x14ac:dyDescent="0.2">
      <c r="S1720" s="61"/>
      <c r="T1720" s="82"/>
      <c r="W1720" s="103" t="str">
        <f t="shared" si="35"/>
        <v>1w</v>
      </c>
      <c r="X1720" s="101">
        <f>_xll.qlCalendarAdvance(Calendar,X1719,W1720,"f",FALSE)</f>
        <v>51349</v>
      </c>
      <c r="Y1720" s="104">
        <f>_xll.qlCalendarAdvance(Calendar,X1720,NDays&amp;"D")</f>
        <v>51351</v>
      </c>
      <c r="Z1720" s="105">
        <v>2.4052019959471836E-2</v>
      </c>
      <c r="AA1720" s="102">
        <v>2.4046427421744454E-2</v>
      </c>
    </row>
    <row r="1721" spans="19:27" x14ac:dyDescent="0.2">
      <c r="S1721" s="61"/>
      <c r="T1721" s="82"/>
      <c r="W1721" s="103" t="str">
        <f t="shared" si="35"/>
        <v>1w</v>
      </c>
      <c r="X1721" s="101">
        <f>_xll.qlCalendarAdvance(Calendar,X1720,W1721,"f",FALSE)</f>
        <v>51356</v>
      </c>
      <c r="Y1721" s="104">
        <f>_xll.qlCalendarAdvance(Calendar,X1721,NDays&amp;"D")</f>
        <v>51358</v>
      </c>
      <c r="Z1721" s="105">
        <v>2.4040643484214676E-2</v>
      </c>
      <c r="AA1721" s="102">
        <v>2.4035114849265682E-2</v>
      </c>
    </row>
    <row r="1722" spans="19:27" x14ac:dyDescent="0.2">
      <c r="S1722" s="61"/>
      <c r="T1722" s="82"/>
      <c r="W1722" s="103" t="str">
        <f t="shared" si="35"/>
        <v>1w</v>
      </c>
      <c r="X1722" s="101">
        <f>_xll.qlCalendarAdvance(Calendar,X1721,W1722,"f",FALSE)</f>
        <v>51363</v>
      </c>
      <c r="Y1722" s="104">
        <f>_xll.qlCalendarAdvance(Calendar,X1722,NDays&amp;"D")</f>
        <v>51365</v>
      </c>
      <c r="Z1722" s="105">
        <v>2.402928244693267E-2</v>
      </c>
      <c r="AA1722" s="102">
        <v>2.4023791582941101E-2</v>
      </c>
    </row>
    <row r="1723" spans="19:27" x14ac:dyDescent="0.2">
      <c r="S1723" s="61"/>
      <c r="T1723" s="82"/>
      <c r="W1723" s="103" t="str">
        <f t="shared" si="35"/>
        <v>1w</v>
      </c>
      <c r="X1723" s="101">
        <f>_xll.qlCalendarAdvance(Calendar,X1722,W1723,"f",FALSE)</f>
        <v>51370</v>
      </c>
      <c r="Y1723" s="104">
        <f>_xll.qlCalendarAdvance(Calendar,X1723,NDays&amp;"D")</f>
        <v>51372</v>
      </c>
      <c r="Z1723" s="105">
        <v>2.4017940917554041E-2</v>
      </c>
      <c r="AA1723" s="102">
        <v>2.4012457623090455E-2</v>
      </c>
    </row>
    <row r="1724" spans="19:27" x14ac:dyDescent="0.2">
      <c r="S1724" s="61"/>
      <c r="T1724" s="82"/>
      <c r="W1724" s="103" t="str">
        <f t="shared" si="35"/>
        <v>1w</v>
      </c>
      <c r="X1724" s="101">
        <f>_xll.qlCalendarAdvance(Calendar,X1723,W1724,"f",FALSE)</f>
        <v>51377</v>
      </c>
      <c r="Y1724" s="104">
        <f>_xll.qlCalendarAdvance(Calendar,X1724,NDays&amp;"D")</f>
        <v>51379</v>
      </c>
      <c r="Z1724" s="105">
        <v>2.4006634619506084E-2</v>
      </c>
      <c r="AA1724" s="102">
        <v>2.4001112969553873E-2</v>
      </c>
    </row>
    <row r="1725" spans="19:27" x14ac:dyDescent="0.2">
      <c r="S1725" s="61"/>
      <c r="T1725" s="82"/>
      <c r="W1725" s="103" t="str">
        <f t="shared" si="35"/>
        <v>1w</v>
      </c>
      <c r="X1725" s="101">
        <f>_xll.qlCalendarAdvance(Calendar,X1724,W1725,"f",FALSE)</f>
        <v>51384</v>
      </c>
      <c r="Y1725" s="104">
        <f>_xll.qlCalendarAdvance(Calendar,X1725,NDays&amp;"D")</f>
        <v>51386</v>
      </c>
      <c r="Z1725" s="105">
        <v>2.3995337982739843E-2</v>
      </c>
      <c r="AA1725" s="102">
        <v>2.398975762241129E-2</v>
      </c>
    </row>
    <row r="1726" spans="19:27" x14ac:dyDescent="0.2">
      <c r="S1726" s="61"/>
      <c r="T1726" s="82"/>
      <c r="W1726" s="103" t="str">
        <f t="shared" si="35"/>
        <v>1w</v>
      </c>
      <c r="X1726" s="101">
        <f>_xll.qlCalendarAdvance(Calendar,X1725,W1726,"f",FALSE)</f>
        <v>51391</v>
      </c>
      <c r="Y1726" s="104">
        <f>_xll.qlCalendarAdvance(Calendar,X1726,NDays&amp;"D")</f>
        <v>51393</v>
      </c>
      <c r="Z1726" s="105">
        <v>2.3984072653621066E-2</v>
      </c>
      <c r="AA1726" s="102">
        <v>2.3978391581662706E-2</v>
      </c>
    </row>
    <row r="1727" spans="19:27" x14ac:dyDescent="0.2">
      <c r="S1727" s="61"/>
      <c r="T1727" s="82"/>
      <c r="W1727" s="103" t="str">
        <f t="shared" si="35"/>
        <v>1w</v>
      </c>
      <c r="X1727" s="101">
        <f>_xll.qlCalendarAdvance(Calendar,X1726,W1727,"f",FALSE)</f>
        <v>51398</v>
      </c>
      <c r="Y1727" s="104">
        <f>_xll.qlCalendarAdvance(Calendar,X1727,NDays&amp;"D")</f>
        <v>51400</v>
      </c>
      <c r="Z1727" s="105">
        <v>2.3972842835243008E-2</v>
      </c>
      <c r="AA1727" s="102">
        <v>2.3967014847148249E-2</v>
      </c>
    </row>
    <row r="1728" spans="19:27" x14ac:dyDescent="0.2">
      <c r="S1728" s="61"/>
      <c r="T1728" s="82"/>
      <c r="W1728" s="103" t="str">
        <f t="shared" si="35"/>
        <v>1w</v>
      </c>
      <c r="X1728" s="101">
        <f>_xll.qlCalendarAdvance(Calendar,X1727,W1728,"f",FALSE)</f>
        <v>51405</v>
      </c>
      <c r="Y1728" s="104">
        <f>_xll.qlCalendarAdvance(Calendar,X1728,NDays&amp;"D")</f>
        <v>51407</v>
      </c>
      <c r="Z1728" s="105">
        <v>2.3961652730650616E-2</v>
      </c>
      <c r="AA1728" s="102">
        <v>2.3955638689052705E-2</v>
      </c>
    </row>
    <row r="1729" spans="19:27" x14ac:dyDescent="0.2">
      <c r="S1729" s="61"/>
      <c r="T1729" s="82"/>
      <c r="W1729" s="103" t="str">
        <f t="shared" si="35"/>
        <v>1w</v>
      </c>
      <c r="X1729" s="101">
        <f>_xll.qlCalendarAdvance(Calendar,X1728,W1729,"f",FALSE)</f>
        <v>51412</v>
      </c>
      <c r="Y1729" s="104">
        <f>_xll.qlCalendarAdvance(Calendar,X1729,NDays&amp;"D")</f>
        <v>51414</v>
      </c>
      <c r="Z1729" s="105">
        <v>2.3950528638948788E-2</v>
      </c>
      <c r="AA1729" s="102">
        <v>2.3944302645269033E-2</v>
      </c>
    </row>
    <row r="1730" spans="19:27" x14ac:dyDescent="0.2">
      <c r="S1730" s="61"/>
      <c r="T1730" s="82"/>
      <c r="W1730" s="103" t="str">
        <f t="shared" si="35"/>
        <v>1w</v>
      </c>
      <c r="X1730" s="101">
        <f>_xll.qlCalendarAdvance(Calendar,X1729,W1730,"f",FALSE)</f>
        <v>51419</v>
      </c>
      <c r="Y1730" s="104">
        <f>_xll.qlCalendarAdvance(Calendar,X1730,NDays&amp;"D")</f>
        <v>51421</v>
      </c>
      <c r="Z1730" s="105">
        <v>2.3939432870613168E-2</v>
      </c>
      <c r="AA1730" s="102">
        <v>2.3933010225949403E-2</v>
      </c>
    </row>
    <row r="1731" spans="19:27" x14ac:dyDescent="0.2">
      <c r="S1731" s="61"/>
      <c r="T1731" s="82"/>
      <c r="W1731" s="103" t="str">
        <f t="shared" si="35"/>
        <v>1w</v>
      </c>
      <c r="X1731" s="101">
        <f>_xll.qlCalendarAdvance(Calendar,X1730,W1731,"f",FALSE)</f>
        <v>51426</v>
      </c>
      <c r="Y1731" s="104">
        <f>_xll.qlCalendarAdvance(Calendar,X1731,NDays&amp;"D")</f>
        <v>51428</v>
      </c>
      <c r="Z1731" s="105">
        <v>2.3928381028004431E-2</v>
      </c>
      <c r="AA1731" s="102">
        <v>2.3921761431013877E-2</v>
      </c>
    </row>
    <row r="1732" spans="19:27" x14ac:dyDescent="0.2">
      <c r="S1732" s="61"/>
      <c r="T1732" s="82"/>
      <c r="W1732" s="103" t="str">
        <f t="shared" si="35"/>
        <v>1w</v>
      </c>
      <c r="X1732" s="101">
        <f>_xll.qlCalendarAdvance(Calendar,X1731,W1732,"f",FALSE)</f>
        <v>51433</v>
      </c>
      <c r="Y1732" s="104">
        <f>_xll.qlCalendarAdvance(Calendar,X1732,NDays&amp;"D")</f>
        <v>51435</v>
      </c>
      <c r="Z1732" s="105">
        <v>2.3917373110745006E-2</v>
      </c>
      <c r="AA1732" s="102">
        <v>2.3910556260542393E-2</v>
      </c>
    </row>
    <row r="1733" spans="19:27" x14ac:dyDescent="0.2">
      <c r="S1733" s="61"/>
      <c r="T1733" s="82"/>
      <c r="W1733" s="103" t="str">
        <f t="shared" si="35"/>
        <v>1w</v>
      </c>
      <c r="X1733" s="101">
        <f>_xll.qlCalendarAdvance(Calendar,X1732,W1733,"f",FALSE)</f>
        <v>51440</v>
      </c>
      <c r="Y1733" s="104">
        <f>_xll.qlCalendarAdvance(Calendar,X1733,NDays&amp;"D")</f>
        <v>51442</v>
      </c>
      <c r="Z1733" s="105">
        <v>2.3906409118459031E-2</v>
      </c>
      <c r="AA1733" s="102">
        <v>2.3899394714614886E-2</v>
      </c>
    </row>
    <row r="1734" spans="19:27" x14ac:dyDescent="0.2">
      <c r="S1734" s="61"/>
      <c r="T1734" s="82"/>
      <c r="W1734" s="103" t="str">
        <f t="shared" si="35"/>
        <v>1w</v>
      </c>
      <c r="X1734" s="101">
        <f>_xll.qlCalendarAdvance(Calendar,X1733,W1734,"f",FALSE)</f>
        <v>51447</v>
      </c>
      <c r="Y1734" s="104">
        <f>_xll.qlCalendarAdvance(Calendar,X1734,NDays&amp;"D")</f>
        <v>51449</v>
      </c>
      <c r="Z1734" s="105">
        <v>2.389548905077148E-2</v>
      </c>
      <c r="AA1734" s="102">
        <v>2.3888276793231356E-2</v>
      </c>
    </row>
    <row r="1735" spans="19:27" x14ac:dyDescent="0.2">
      <c r="S1735" s="61"/>
      <c r="T1735" s="82"/>
      <c r="W1735" s="103" t="str">
        <f t="shared" si="35"/>
        <v>1w</v>
      </c>
      <c r="X1735" s="101">
        <f>_xll.qlCalendarAdvance(Calendar,X1734,W1735,"f",FALSE)</f>
        <v>51454</v>
      </c>
      <c r="Y1735" s="104">
        <f>_xll.qlCalendarAdvance(Calendar,X1735,NDays&amp;"D")</f>
        <v>51456</v>
      </c>
      <c r="Z1735" s="105">
        <v>2.388461290730819E-2</v>
      </c>
      <c r="AA1735" s="102">
        <v>2.3877202496231931E-2</v>
      </c>
    </row>
    <row r="1736" spans="19:27" x14ac:dyDescent="0.2">
      <c r="S1736" s="61"/>
      <c r="T1736" s="82"/>
      <c r="W1736" s="103" t="str">
        <f t="shared" si="35"/>
        <v>1w</v>
      </c>
      <c r="X1736" s="101">
        <f>_xll.qlCalendarAdvance(Calendar,X1735,W1736,"f",FALSE)</f>
        <v>51461</v>
      </c>
      <c r="Y1736" s="104">
        <f>_xll.qlCalendarAdvance(Calendar,X1736,NDays&amp;"D")</f>
        <v>51463</v>
      </c>
      <c r="Z1736" s="105">
        <v>2.3873780687699239E-2</v>
      </c>
      <c r="AA1736" s="102">
        <v>2.3866171823696547E-2</v>
      </c>
    </row>
    <row r="1737" spans="19:27" x14ac:dyDescent="0.2">
      <c r="S1737" s="61"/>
      <c r="T1737" s="82"/>
      <c r="W1737" s="103" t="str">
        <f t="shared" si="35"/>
        <v>1w</v>
      </c>
      <c r="X1737" s="101">
        <f>_xll.qlCalendarAdvance(Calendar,X1736,W1737,"f",FALSE)</f>
        <v>51468</v>
      </c>
      <c r="Y1737" s="104">
        <f>_xll.qlCalendarAdvance(Calendar,X1737,NDays&amp;"D")</f>
        <v>51470</v>
      </c>
      <c r="Z1737" s="105">
        <v>2.3862885262783351E-2</v>
      </c>
      <c r="AA1737" s="102">
        <v>2.3855184775625204E-2</v>
      </c>
    </row>
    <row r="1738" spans="19:27" x14ac:dyDescent="0.2">
      <c r="S1738" s="61"/>
      <c r="T1738" s="82"/>
      <c r="W1738" s="103" t="str">
        <f t="shared" si="35"/>
        <v>1w</v>
      </c>
      <c r="X1738" s="101">
        <f>_xll.qlCalendarAdvance(Calendar,X1737,W1738,"f",FALSE)</f>
        <v>51475</v>
      </c>
      <c r="Y1738" s="104">
        <f>_xll.qlCalendarAdvance(Calendar,X1738,NDays&amp;"D")</f>
        <v>51477</v>
      </c>
      <c r="Z1738" s="105">
        <v>2.3852131183060621E-2</v>
      </c>
      <c r="AA1738" s="102">
        <v>2.3844241352097839E-2</v>
      </c>
    </row>
    <row r="1739" spans="19:27" x14ac:dyDescent="0.2">
      <c r="S1739" s="61"/>
      <c r="T1739" s="82"/>
      <c r="W1739" s="103" t="str">
        <f t="shared" si="35"/>
        <v>1w</v>
      </c>
      <c r="X1739" s="101">
        <f>_xll.qlCalendarAdvance(Calendar,X1738,W1739,"f",FALSE)</f>
        <v>51482</v>
      </c>
      <c r="Y1739" s="104">
        <f>_xll.qlCalendarAdvance(Calendar,X1739,NDays&amp;"D")</f>
        <v>51484</v>
      </c>
      <c r="Z1739" s="105">
        <v>2.3841421013312214E-2</v>
      </c>
      <c r="AA1739" s="102">
        <v>2.3833341552954579E-2</v>
      </c>
    </row>
    <row r="1740" spans="19:27" x14ac:dyDescent="0.2">
      <c r="S1740" s="61"/>
      <c r="T1740" s="82"/>
      <c r="W1740" s="103" t="str">
        <f t="shared" si="35"/>
        <v>1w</v>
      </c>
      <c r="X1740" s="101">
        <f>_xll.qlCalendarAdvance(Calendar,X1739,W1740,"f",FALSE)</f>
        <v>51489</v>
      </c>
      <c r="Y1740" s="104">
        <f>_xll.qlCalendarAdvance(Calendar,X1740,NDays&amp;"D")</f>
        <v>51491</v>
      </c>
      <c r="Z1740" s="105">
        <v>2.3830754753189076E-2</v>
      </c>
      <c r="AA1740" s="102">
        <v>2.3817909568272455E-2</v>
      </c>
    </row>
    <row r="1741" spans="19:27" x14ac:dyDescent="0.2">
      <c r="S1741" s="61"/>
      <c r="T1741" s="82"/>
      <c r="W1741" s="103" t="str">
        <f t="shared" si="35"/>
        <v>1w</v>
      </c>
      <c r="X1741" s="101">
        <f>_xll.qlCalendarAdvance(Calendar,X1740,W1741,"f",FALSE)</f>
        <v>51497</v>
      </c>
      <c r="Y1741" s="104">
        <f>_xll.qlCalendarAdvance(Calendar,X1741,NDays&amp;"D")</f>
        <v>51503</v>
      </c>
      <c r="Z1741" s="105">
        <v>2.3812571891914658E-2</v>
      </c>
      <c r="AA1741" s="102">
        <v>2.380708831947409E-2</v>
      </c>
    </row>
    <row r="1742" spans="19:27" x14ac:dyDescent="0.2">
      <c r="S1742" s="61"/>
      <c r="T1742" s="82"/>
      <c r="W1742" s="103" t="str">
        <f t="shared" si="35"/>
        <v>1w</v>
      </c>
      <c r="X1742" s="101">
        <f>_xll.qlCalendarAdvance(Calendar,X1741,W1742,"f",FALSE)</f>
        <v>51504</v>
      </c>
      <c r="Y1742" s="104">
        <f>_xll.qlCalendarAdvance(Calendar,X1742,NDays&amp;"D")</f>
        <v>51508</v>
      </c>
      <c r="Z1742" s="105">
        <v>2.380507342541912E-2</v>
      </c>
      <c r="AA1742" s="102">
        <v>2.3799369045427454E-2</v>
      </c>
    </row>
    <row r="1743" spans="19:27" x14ac:dyDescent="0.2">
      <c r="S1743" s="61"/>
      <c r="T1743" s="82"/>
      <c r="W1743" s="103" t="str">
        <f t="shared" si="35"/>
        <v>1w</v>
      </c>
      <c r="X1743" s="101">
        <f>_xll.qlCalendarAdvance(Calendar,X1742,W1743,"f",FALSE)</f>
        <v>51511</v>
      </c>
      <c r="Y1743" s="104">
        <f>_xll.qlCalendarAdvance(Calendar,X1743,NDays&amp;"D")</f>
        <v>51515</v>
      </c>
      <c r="Z1743" s="105">
        <v>2.3794560153291087E-2</v>
      </c>
      <c r="AA1743" s="102">
        <v>2.3788649976195231E-2</v>
      </c>
    </row>
    <row r="1744" spans="19:27" x14ac:dyDescent="0.2">
      <c r="S1744" s="61"/>
      <c r="T1744" s="82"/>
      <c r="W1744" s="103" t="str">
        <f t="shared" si="35"/>
        <v>1w</v>
      </c>
      <c r="X1744" s="101">
        <f>_xll.qlCalendarAdvance(Calendar,X1743,W1744,"f",FALSE)</f>
        <v>51518</v>
      </c>
      <c r="Y1744" s="104">
        <f>_xll.qlCalendarAdvance(Calendar,X1744,NDays&amp;"D")</f>
        <v>51522</v>
      </c>
      <c r="Z1744" s="105">
        <v>2.3784135559545165E-2</v>
      </c>
      <c r="AA1744" s="102">
        <v>2.3777974531427049E-2</v>
      </c>
    </row>
    <row r="1745" spans="19:27" x14ac:dyDescent="0.2">
      <c r="S1745" s="61"/>
      <c r="T1745" s="82"/>
      <c r="W1745" s="103" t="str">
        <f t="shared" si="35"/>
        <v>1w</v>
      </c>
      <c r="X1745" s="101">
        <f>_xll.qlCalendarAdvance(Calendar,X1744,W1745,"f",FALSE)</f>
        <v>51525</v>
      </c>
      <c r="Y1745" s="104">
        <f>_xll.qlCalendarAdvance(Calendar,X1745,NDays&amp;"D")</f>
        <v>51529</v>
      </c>
      <c r="Z1745" s="105">
        <v>2.3773665342476765E-2</v>
      </c>
      <c r="AA1745" s="102">
        <v>2.3767342710883099E-2</v>
      </c>
    </row>
    <row r="1746" spans="19:27" x14ac:dyDescent="0.2">
      <c r="S1746" s="61"/>
      <c r="T1746" s="82"/>
      <c r="W1746" s="103" t="str">
        <f t="shared" si="35"/>
        <v>1w</v>
      </c>
      <c r="X1746" s="101">
        <f>_xll.qlCalendarAdvance(Calendar,X1745,W1746,"f",FALSE)</f>
        <v>51532</v>
      </c>
      <c r="Y1746" s="104">
        <f>_xll.qlCalendarAdvance(Calendar,X1746,NDays&amp;"D")</f>
        <v>51536</v>
      </c>
      <c r="Z1746" s="105">
        <v>2.3763283803099156E-2</v>
      </c>
      <c r="AA1746" s="102">
        <v>2.3756754515042999E-2</v>
      </c>
    </row>
    <row r="1747" spans="19:27" x14ac:dyDescent="0.2">
      <c r="S1747" s="61"/>
      <c r="T1747" s="82"/>
      <c r="W1747" s="103" t="str">
        <f t="shared" si="35"/>
        <v>1w</v>
      </c>
      <c r="X1747" s="101">
        <f>_xll.qlCalendarAdvance(Calendar,X1746,W1747,"f",FALSE)</f>
        <v>51539</v>
      </c>
      <c r="Y1747" s="104">
        <f>_xll.qlCalendarAdvance(Calendar,X1747,NDays&amp;"D")</f>
        <v>51543</v>
      </c>
      <c r="Z1747" s="105">
        <v>2.3752946173948214E-2</v>
      </c>
      <c r="AA1747" s="102">
        <v>2.3746209943347196E-2</v>
      </c>
    </row>
    <row r="1748" spans="19:27" x14ac:dyDescent="0.2">
      <c r="S1748" s="61"/>
      <c r="T1748" s="82"/>
      <c r="W1748" s="103" t="str">
        <f t="shared" si="35"/>
        <v>1w</v>
      </c>
      <c r="X1748" s="101">
        <f>_xll.qlCalendarAdvance(Calendar,X1747,W1748,"f",FALSE)</f>
        <v>51546</v>
      </c>
      <c r="Y1748" s="104">
        <f>_xll.qlCalendarAdvance(Calendar,X1748,NDays&amp;"D")</f>
        <v>51550</v>
      </c>
      <c r="Z1748" s="105">
        <v>2.3742652454684862E-2</v>
      </c>
      <c r="AA1748" s="102">
        <v>2.3735708996275307E-2</v>
      </c>
    </row>
    <row r="1749" spans="19:27" x14ac:dyDescent="0.2">
      <c r="S1749" s="61"/>
      <c r="T1749" s="82"/>
      <c r="W1749" s="103" t="str">
        <f t="shared" ref="W1749:W1812" si="36">W1748</f>
        <v>1w</v>
      </c>
      <c r="X1749" s="101">
        <f>_xll.qlCalendarAdvance(Calendar,X1748,W1749,"f",FALSE)</f>
        <v>51553</v>
      </c>
      <c r="Y1749" s="104">
        <f>_xll.qlCalendarAdvance(Calendar,X1749,NDays&amp;"D")</f>
        <v>51557</v>
      </c>
      <c r="Z1749" s="105">
        <v>2.3732402644966524E-2</v>
      </c>
      <c r="AA1749" s="102">
        <v>2.3725251673507586E-2</v>
      </c>
    </row>
    <row r="1750" spans="19:27" x14ac:dyDescent="0.2">
      <c r="S1750" s="61"/>
      <c r="T1750" s="82"/>
      <c r="W1750" s="103" t="str">
        <f t="shared" si="36"/>
        <v>1w</v>
      </c>
      <c r="X1750" s="101">
        <f>_xll.qlCalendarAdvance(Calendar,X1749,W1750,"f",FALSE)</f>
        <v>51560</v>
      </c>
      <c r="Y1750" s="104">
        <f>_xll.qlCalendarAdvance(Calendar,X1750,NDays&amp;"D")</f>
        <v>51564</v>
      </c>
      <c r="Z1750" s="105">
        <v>2.3722256259596765E-2</v>
      </c>
      <c r="AA1750" s="102">
        <v>2.3714837975283842E-2</v>
      </c>
    </row>
    <row r="1751" spans="19:27" x14ac:dyDescent="0.2">
      <c r="S1751" s="61"/>
      <c r="T1751" s="82"/>
      <c r="W1751" s="103" t="str">
        <f t="shared" si="36"/>
        <v>1w</v>
      </c>
      <c r="X1751" s="101">
        <f>_xll.qlCalendarAdvance(Calendar,X1750,W1751,"f",FALSE)</f>
        <v>51567</v>
      </c>
      <c r="Y1751" s="104">
        <f>_xll.qlCalendarAdvance(Calendar,X1751,NDays&amp;"D")</f>
        <v>51571</v>
      </c>
      <c r="Z1751" s="105">
        <v>2.3712096736991834E-2</v>
      </c>
      <c r="AA1751" s="102">
        <v>2.3704467901284332E-2</v>
      </c>
    </row>
    <row r="1752" spans="19:27" x14ac:dyDescent="0.2">
      <c r="S1752" s="61"/>
      <c r="T1752" s="82"/>
      <c r="W1752" s="103" t="str">
        <f t="shared" si="36"/>
        <v>1w</v>
      </c>
      <c r="X1752" s="101">
        <f>_xll.qlCalendarAdvance(Calendar,X1751,W1752,"f",FALSE)</f>
        <v>51574</v>
      </c>
      <c r="Y1752" s="104">
        <f>_xll.qlCalendarAdvance(Calendar,X1752,NDays&amp;"D")</f>
        <v>51578</v>
      </c>
      <c r="Z1752" s="105">
        <v>2.3701981126063806E-2</v>
      </c>
      <c r="AA1752" s="102">
        <v>2.3694141451828798E-2</v>
      </c>
    </row>
    <row r="1753" spans="19:27" x14ac:dyDescent="0.2">
      <c r="S1753" s="61"/>
      <c r="T1753" s="82"/>
      <c r="W1753" s="103" t="str">
        <f t="shared" si="36"/>
        <v>1w</v>
      </c>
      <c r="X1753" s="101">
        <f>_xll.qlCalendarAdvance(Calendar,X1752,W1753,"f",FALSE)</f>
        <v>51581</v>
      </c>
      <c r="Y1753" s="104">
        <f>_xll.qlCalendarAdvance(Calendar,X1753,NDays&amp;"D")</f>
        <v>51585</v>
      </c>
      <c r="Z1753" s="105">
        <v>2.3691909426471217E-2</v>
      </c>
      <c r="AA1753" s="102">
        <v>2.368385862675737E-2</v>
      </c>
    </row>
    <row r="1754" spans="19:27" x14ac:dyDescent="0.2">
      <c r="S1754" s="61"/>
      <c r="T1754" s="82"/>
      <c r="W1754" s="103" t="str">
        <f t="shared" si="36"/>
        <v>1w</v>
      </c>
      <c r="X1754" s="101">
        <f>_xll.qlCalendarAdvance(Calendar,X1753,W1754,"f",FALSE)</f>
        <v>51588</v>
      </c>
      <c r="Y1754" s="104">
        <f>_xll.qlCalendarAdvance(Calendar,X1754,NDays&amp;"D")</f>
        <v>51592</v>
      </c>
      <c r="Z1754" s="105">
        <v>2.3681812227733509E-2</v>
      </c>
      <c r="AA1754" s="102">
        <v>2.3673619425990111E-2</v>
      </c>
    </row>
    <row r="1755" spans="19:27" x14ac:dyDescent="0.2">
      <c r="S1755" s="61"/>
      <c r="T1755" s="82"/>
      <c r="W1755" s="103" t="str">
        <f t="shared" si="36"/>
        <v>1w</v>
      </c>
      <c r="X1755" s="101">
        <f>_xll.qlCalendarAdvance(Calendar,X1754,W1755,"f",FALSE)</f>
        <v>51595</v>
      </c>
      <c r="Y1755" s="104">
        <f>_xll.qlCalendarAdvance(Calendar,X1755,NDays&amp;"D")</f>
        <v>51599</v>
      </c>
      <c r="Z1755" s="105">
        <v>2.3671825868214848E-2</v>
      </c>
      <c r="AA1755" s="102">
        <v>2.3663423849766829E-2</v>
      </c>
    </row>
    <row r="1756" spans="19:27" x14ac:dyDescent="0.2">
      <c r="S1756" s="61"/>
      <c r="T1756" s="82"/>
      <c r="W1756" s="103" t="str">
        <f t="shared" si="36"/>
        <v>1w</v>
      </c>
      <c r="X1756" s="101">
        <f>_xll.qlCalendarAdvance(Calendar,X1755,W1756,"f",FALSE)</f>
        <v>51602</v>
      </c>
      <c r="Y1756" s="104">
        <f>_xll.qlCalendarAdvance(Calendar,X1756,NDays&amp;"D")</f>
        <v>51606</v>
      </c>
      <c r="Z1756" s="105">
        <v>2.3661883415900212E-2</v>
      </c>
      <c r="AA1756" s="102">
        <v>2.3653271897847716E-2</v>
      </c>
    </row>
    <row r="1757" spans="19:27" x14ac:dyDescent="0.2">
      <c r="S1757" s="61"/>
      <c r="T1757" s="82"/>
      <c r="W1757" s="103" t="str">
        <f t="shared" si="36"/>
        <v>1w</v>
      </c>
      <c r="X1757" s="101">
        <f>_xll.qlCalendarAdvance(Calendar,X1756,W1757,"f",FALSE)</f>
        <v>51609</v>
      </c>
      <c r="Y1757" s="104">
        <f>_xll.qlCalendarAdvance(Calendar,X1757,NDays&amp;"D")</f>
        <v>51615</v>
      </c>
      <c r="Z1757" s="105">
        <v>2.3649164779098005E-2</v>
      </c>
      <c r="AA1757" s="102">
        <v>2.3640397323454465E-2</v>
      </c>
    </row>
    <row r="1758" spans="19:27" x14ac:dyDescent="0.2">
      <c r="S1758" s="61"/>
      <c r="T1758" s="82"/>
      <c r="W1758" s="103" t="str">
        <f t="shared" si="36"/>
        <v>1w</v>
      </c>
      <c r="X1758" s="101">
        <f>_xll.qlCalendarAdvance(Calendar,X1757,W1758,"f",FALSE)</f>
        <v>51616</v>
      </c>
      <c r="Y1758" s="104">
        <f>_xll.qlCalendarAdvance(Calendar,X1758,NDays&amp;"D")</f>
        <v>51620</v>
      </c>
      <c r="Z1758" s="105">
        <v>2.3642130231559245E-2</v>
      </c>
      <c r="AA1758" s="102">
        <v>2.3631664613645853E-2</v>
      </c>
    </row>
    <row r="1759" spans="19:27" x14ac:dyDescent="0.2">
      <c r="S1759" s="61"/>
      <c r="T1759" s="82"/>
      <c r="W1759" s="103" t="str">
        <f t="shared" si="36"/>
        <v>1w</v>
      </c>
      <c r="X1759" s="101">
        <f>_xll.qlCalendarAdvance(Calendar,X1758,W1759,"f",FALSE)</f>
        <v>51623</v>
      </c>
      <c r="Y1759" s="104">
        <f>_xll.qlCalendarAdvance(Calendar,X1759,NDays&amp;"D")</f>
        <v>51627</v>
      </c>
      <c r="Z1759" s="105">
        <v>2.3632401348240056E-2</v>
      </c>
      <c r="AA1759" s="102">
        <v>2.3623077788474944E-2</v>
      </c>
    </row>
    <row r="1760" spans="19:27" x14ac:dyDescent="0.2">
      <c r="S1760" s="61"/>
      <c r="T1760" s="82"/>
      <c r="W1760" s="103" t="str">
        <f t="shared" si="36"/>
        <v>1w</v>
      </c>
      <c r="X1760" s="101">
        <f>_xll.qlCalendarAdvance(Calendar,X1759,W1760,"f",FALSE)</f>
        <v>51630</v>
      </c>
      <c r="Y1760" s="104">
        <f>_xll.qlCalendarAdvance(Calendar,X1760,NDays&amp;"D")</f>
        <v>51634</v>
      </c>
      <c r="Z1760" s="105">
        <v>2.3622637018659517E-2</v>
      </c>
      <c r="AA1760" s="102">
        <v>2.3613100334012316E-2</v>
      </c>
    </row>
    <row r="1761" spans="19:27" x14ac:dyDescent="0.2">
      <c r="S1761" s="61"/>
      <c r="T1761" s="82"/>
      <c r="W1761" s="103" t="str">
        <f t="shared" si="36"/>
        <v>1w</v>
      </c>
      <c r="X1761" s="101">
        <f>_xll.qlCalendarAdvance(Calendar,X1760,W1761,"f",FALSE)</f>
        <v>51637</v>
      </c>
      <c r="Y1761" s="104">
        <f>_xll.qlCalendarAdvance(Calendar,X1761,NDays&amp;"D")</f>
        <v>51641</v>
      </c>
      <c r="Z1761" s="105">
        <v>2.3612916597760887E-2</v>
      </c>
      <c r="AA1761" s="102">
        <v>2.3603166504093664E-2</v>
      </c>
    </row>
    <row r="1762" spans="19:27" x14ac:dyDescent="0.2">
      <c r="S1762" s="61"/>
      <c r="T1762" s="82"/>
      <c r="W1762" s="103" t="str">
        <f t="shared" si="36"/>
        <v>1w</v>
      </c>
      <c r="X1762" s="101">
        <f>_xll.qlCalendarAdvance(Calendar,X1761,W1762,"f",FALSE)</f>
        <v>51644</v>
      </c>
      <c r="Y1762" s="104">
        <f>_xll.qlCalendarAdvance(Calendar,X1762,NDays&amp;"D")</f>
        <v>51648</v>
      </c>
      <c r="Z1762" s="105">
        <v>2.3603240085220075E-2</v>
      </c>
      <c r="AA1762" s="102">
        <v>2.359334470440011E-2</v>
      </c>
    </row>
    <row r="1763" spans="19:27" x14ac:dyDescent="0.2">
      <c r="S1763" s="61"/>
      <c r="T1763" s="82"/>
      <c r="W1763" s="103" t="str">
        <f t="shared" si="36"/>
        <v>1w</v>
      </c>
      <c r="X1763" s="101">
        <f>_xll.qlCalendarAdvance(Calendar,X1762,W1763,"f",FALSE)</f>
        <v>51652</v>
      </c>
      <c r="Y1763" s="104">
        <f>_xll.qlCalendarAdvance(Calendar,X1763,NDays&amp;"D")</f>
        <v>51656</v>
      </c>
      <c r="Z1763" s="105">
        <v>2.3592234978667068E-2</v>
      </c>
      <c r="AA1763" s="102">
        <v>2.3582026623847341E-2</v>
      </c>
    </row>
    <row r="1764" spans="19:27" x14ac:dyDescent="0.2">
      <c r="S1764" s="61"/>
      <c r="T1764" s="82"/>
      <c r="W1764" s="103" t="str">
        <f t="shared" si="36"/>
        <v>1w</v>
      </c>
      <c r="X1764" s="101">
        <f>_xll.qlCalendarAdvance(Calendar,X1763,W1764,"f",FALSE)</f>
        <v>51659</v>
      </c>
      <c r="Y1764" s="104">
        <f>_xll.qlCalendarAdvance(Calendar,X1764,NDays&amp;"D")</f>
        <v>51664</v>
      </c>
      <c r="Z1764" s="105">
        <v>2.3581287220902383E-2</v>
      </c>
      <c r="AA1764" s="102">
        <v>2.3570982284670805E-2</v>
      </c>
    </row>
    <row r="1765" spans="19:27" x14ac:dyDescent="0.2">
      <c r="S1765" s="61"/>
      <c r="T1765" s="82"/>
      <c r="W1765" s="103" t="str">
        <f t="shared" si="36"/>
        <v>1w</v>
      </c>
      <c r="X1765" s="101">
        <f>_xll.qlCalendarAdvance(Calendar,X1764,W1765,"f",FALSE)</f>
        <v>51666</v>
      </c>
      <c r="Y1765" s="104">
        <f>_xll.qlCalendarAdvance(Calendar,X1765,NDays&amp;"D")</f>
        <v>51670</v>
      </c>
      <c r="Z1765" s="105">
        <v>2.3573114037433236E-2</v>
      </c>
      <c r="AA1765" s="102">
        <v>2.3562706065214378E-2</v>
      </c>
    </row>
    <row r="1766" spans="19:27" x14ac:dyDescent="0.2">
      <c r="S1766" s="61"/>
      <c r="T1766" s="82"/>
      <c r="W1766" s="103" t="str">
        <f t="shared" si="36"/>
        <v>1w</v>
      </c>
      <c r="X1766" s="101">
        <f>_xll.qlCalendarAdvance(Calendar,X1765,W1766,"f",FALSE)</f>
        <v>51676</v>
      </c>
      <c r="Y1766" s="104">
        <f>_xll.qlCalendarAdvance(Calendar,X1766,NDays&amp;"D")</f>
        <v>51678</v>
      </c>
      <c r="Z1766" s="105">
        <v>2.3562266638899914E-2</v>
      </c>
      <c r="AA1766" s="102">
        <v>2.3551542092015154E-2</v>
      </c>
    </row>
    <row r="1767" spans="19:27" x14ac:dyDescent="0.2">
      <c r="S1767" s="61"/>
      <c r="T1767" s="82"/>
      <c r="W1767" s="103" t="str">
        <f t="shared" si="36"/>
        <v>1w</v>
      </c>
      <c r="X1767" s="101">
        <f>_xll.qlCalendarAdvance(Calendar,X1766,W1767,"f",FALSE)</f>
        <v>51683</v>
      </c>
      <c r="Y1767" s="104">
        <f>_xll.qlCalendarAdvance(Calendar,X1767,NDays&amp;"D")</f>
        <v>51685</v>
      </c>
      <c r="Z1767" s="105">
        <v>2.3552822208054703E-2</v>
      </c>
      <c r="AA1767" s="102">
        <v>2.3541887441549392E-2</v>
      </c>
    </row>
    <row r="1768" spans="19:27" x14ac:dyDescent="0.2">
      <c r="S1768" s="61"/>
      <c r="T1768" s="82"/>
      <c r="W1768" s="103" t="str">
        <f t="shared" si="36"/>
        <v>1w</v>
      </c>
      <c r="X1768" s="101">
        <f>_xll.qlCalendarAdvance(Calendar,X1767,W1768,"f",FALSE)</f>
        <v>51690</v>
      </c>
      <c r="Y1768" s="104">
        <f>_xll.qlCalendarAdvance(Calendar,X1768,NDays&amp;"D")</f>
        <v>51692</v>
      </c>
      <c r="Z1768" s="105">
        <v>2.3543421683555877E-2</v>
      </c>
      <c r="AA1768" s="102">
        <v>2.3532276421649456E-2</v>
      </c>
    </row>
    <row r="1769" spans="19:27" x14ac:dyDescent="0.2">
      <c r="S1769" s="61"/>
      <c r="T1769" s="82"/>
      <c r="W1769" s="103" t="str">
        <f t="shared" si="36"/>
        <v>1w</v>
      </c>
      <c r="X1769" s="101">
        <f>_xll.qlCalendarAdvance(Calendar,X1768,W1769,"f",FALSE)</f>
        <v>51697</v>
      </c>
      <c r="Y1769" s="104">
        <f>_xll.qlCalendarAdvance(Calendar,X1769,NDays&amp;"D")</f>
        <v>51699</v>
      </c>
      <c r="Z1769" s="105">
        <v>2.3534065065090641E-2</v>
      </c>
      <c r="AA1769" s="102">
        <v>2.3522709032315348E-2</v>
      </c>
    </row>
    <row r="1770" spans="19:27" x14ac:dyDescent="0.2">
      <c r="S1770" s="61"/>
      <c r="T1770" s="82"/>
      <c r="W1770" s="103" t="str">
        <f t="shared" si="36"/>
        <v>1w</v>
      </c>
      <c r="X1770" s="101">
        <f>_xll.qlCalendarAdvance(Calendar,X1769,W1770,"f",FALSE)</f>
        <v>51704</v>
      </c>
      <c r="Y1770" s="104">
        <f>_xll.qlCalendarAdvance(Calendar,X1770,NDays&amp;"D")</f>
        <v>51706</v>
      </c>
      <c r="Z1770" s="105">
        <v>2.3524752352346207E-2</v>
      </c>
      <c r="AA1770" s="102">
        <v>2.3513185273520421E-2</v>
      </c>
    </row>
    <row r="1771" spans="19:27" x14ac:dyDescent="0.2">
      <c r="S1771" s="61"/>
      <c r="T1771" s="82"/>
      <c r="W1771" s="103" t="str">
        <f t="shared" si="36"/>
        <v>1w</v>
      </c>
      <c r="X1771" s="101">
        <f>_xll.qlCalendarAdvance(Calendar,X1770,W1771,"f",FALSE)</f>
        <v>51711</v>
      </c>
      <c r="Y1771" s="104">
        <f>_xll.qlCalendarAdvance(Calendar,X1771,NDays&amp;"D")</f>
        <v>51713</v>
      </c>
      <c r="Z1771" s="105">
        <v>2.3515483545010644E-2</v>
      </c>
      <c r="AA1771" s="102">
        <v>2.350370514523803E-2</v>
      </c>
    </row>
    <row r="1772" spans="19:27" x14ac:dyDescent="0.2">
      <c r="S1772" s="61"/>
      <c r="T1772" s="82"/>
      <c r="W1772" s="103" t="str">
        <f t="shared" si="36"/>
        <v>1w</v>
      </c>
      <c r="X1772" s="101">
        <f>_xll.qlCalendarAdvance(Calendar,X1771,W1772,"f",FALSE)</f>
        <v>51718</v>
      </c>
      <c r="Y1772" s="104">
        <f>_xll.qlCalendarAdvance(Calendar,X1772,NDays&amp;"D")</f>
        <v>51720</v>
      </c>
      <c r="Z1772" s="105">
        <v>2.3506258642775505E-2</v>
      </c>
      <c r="AA1772" s="102">
        <v>2.3494268647521466E-2</v>
      </c>
    </row>
    <row r="1773" spans="19:27" x14ac:dyDescent="0.2">
      <c r="S1773" s="61"/>
      <c r="T1773" s="82"/>
      <c r="W1773" s="103" t="str">
        <f t="shared" si="36"/>
        <v>1w</v>
      </c>
      <c r="X1773" s="101">
        <f>_xll.qlCalendarAdvance(Calendar,X1772,W1773,"f",FALSE)</f>
        <v>51725</v>
      </c>
      <c r="Y1773" s="104">
        <f>_xll.qlCalendarAdvance(Calendar,X1773,NDays&amp;"D")</f>
        <v>51727</v>
      </c>
      <c r="Z1773" s="105">
        <v>2.3497077645329736E-2</v>
      </c>
      <c r="AA1773" s="102">
        <v>2.3484875780290793E-2</v>
      </c>
    </row>
    <row r="1774" spans="19:27" x14ac:dyDescent="0.2">
      <c r="S1774" s="61"/>
      <c r="T1774" s="82"/>
      <c r="W1774" s="103" t="str">
        <f t="shared" si="36"/>
        <v>1w</v>
      </c>
      <c r="X1774" s="101">
        <f>_xll.qlCalendarAdvance(Calendar,X1773,W1774,"f",FALSE)</f>
        <v>51732</v>
      </c>
      <c r="Y1774" s="104">
        <f>_xll.qlCalendarAdvance(Calendar,X1774,NDays&amp;"D")</f>
        <v>51734</v>
      </c>
      <c r="Z1774" s="105">
        <v>2.3487940552367494E-2</v>
      </c>
      <c r="AA1774" s="102">
        <v>2.3475526543572656E-2</v>
      </c>
    </row>
    <row r="1775" spans="19:27" x14ac:dyDescent="0.2">
      <c r="S1775" s="61"/>
      <c r="T1775" s="82"/>
      <c r="W1775" s="103" t="str">
        <f t="shared" si="36"/>
        <v>1w</v>
      </c>
      <c r="X1775" s="101">
        <f>_xll.qlCalendarAdvance(Calendar,X1774,W1775,"f",FALSE)</f>
        <v>51739</v>
      </c>
      <c r="Y1775" s="104">
        <f>_xll.qlCalendarAdvance(Calendar,X1775,NDays&amp;"D")</f>
        <v>51741</v>
      </c>
      <c r="Z1775" s="105">
        <v>2.3478847363583809E-2</v>
      </c>
      <c r="AA1775" s="102">
        <v>2.3466220937367055E-2</v>
      </c>
    </row>
    <row r="1776" spans="19:27" x14ac:dyDescent="0.2">
      <c r="S1776" s="61"/>
      <c r="T1776" s="82"/>
      <c r="W1776" s="103" t="str">
        <f t="shared" si="36"/>
        <v>1w</v>
      </c>
      <c r="X1776" s="101">
        <f>_xll.qlCalendarAdvance(Calendar,X1775,W1776,"f",FALSE)</f>
        <v>51746</v>
      </c>
      <c r="Y1776" s="104">
        <f>_xll.qlCalendarAdvance(Calendar,X1776,NDays&amp;"D")</f>
        <v>51748</v>
      </c>
      <c r="Z1776" s="105">
        <v>2.3469672627863557E-2</v>
      </c>
      <c r="AA1776" s="102">
        <v>2.3456958961647345E-2</v>
      </c>
    </row>
    <row r="1777" spans="19:27" x14ac:dyDescent="0.2">
      <c r="S1777" s="61"/>
      <c r="T1777" s="82"/>
      <c r="W1777" s="103" t="str">
        <f t="shared" si="36"/>
        <v>1w</v>
      </c>
      <c r="X1777" s="101">
        <f>_xll.qlCalendarAdvance(Calendar,X1776,W1777,"f",FALSE)</f>
        <v>51753</v>
      </c>
      <c r="Y1777" s="104">
        <f>_xll.qlCalendarAdvance(Calendar,X1777,NDays&amp;"D")</f>
        <v>51755</v>
      </c>
      <c r="Z1777" s="105">
        <v>2.3460664696010818E-2</v>
      </c>
      <c r="AA1777" s="102">
        <v>2.3447740616386881E-2</v>
      </c>
    </row>
    <row r="1778" spans="19:27" x14ac:dyDescent="0.2">
      <c r="S1778" s="61"/>
      <c r="T1778" s="82"/>
      <c r="W1778" s="103" t="str">
        <f t="shared" si="36"/>
        <v>1w</v>
      </c>
      <c r="X1778" s="101">
        <f>_xll.qlCalendarAdvance(Calendar,X1777,W1778,"f",FALSE)</f>
        <v>51760</v>
      </c>
      <c r="Y1778" s="104">
        <f>_xll.qlCalendarAdvance(Calendar,X1778,NDays&amp;"D")</f>
        <v>51762</v>
      </c>
      <c r="Z1778" s="105">
        <v>2.3451700664374284E-2</v>
      </c>
      <c r="AA1778" s="102">
        <v>2.3438565901559016E-2</v>
      </c>
    </row>
    <row r="1779" spans="19:27" x14ac:dyDescent="0.2">
      <c r="S1779" s="61"/>
      <c r="T1779" s="82"/>
      <c r="W1779" s="103" t="str">
        <f t="shared" si="36"/>
        <v>1w</v>
      </c>
      <c r="X1779" s="101">
        <f>_xll.qlCalendarAdvance(Calendar,X1778,W1779,"f",FALSE)</f>
        <v>51767</v>
      </c>
      <c r="Y1779" s="104">
        <f>_xll.qlCalendarAdvance(Calendar,X1779,NDays&amp;"D")</f>
        <v>51769</v>
      </c>
      <c r="Z1779" s="105">
        <v>2.3443047005664429E-2</v>
      </c>
      <c r="AA1779" s="102">
        <v>2.3429434817217043E-2</v>
      </c>
    </row>
    <row r="1780" spans="19:27" x14ac:dyDescent="0.2">
      <c r="S1780" s="61"/>
      <c r="T1780" s="82"/>
      <c r="W1780" s="103" t="str">
        <f t="shared" si="36"/>
        <v>1w</v>
      </c>
      <c r="X1780" s="101">
        <f>_xll.qlCalendarAdvance(Calendar,X1779,W1780,"f",FALSE)</f>
        <v>51774</v>
      </c>
      <c r="Y1780" s="104">
        <f>_xll.qlCalendarAdvance(Calendar,X1780,NDays&amp;"D")</f>
        <v>51776</v>
      </c>
      <c r="Z1780" s="105">
        <v>2.3434039971734769E-2</v>
      </c>
      <c r="AA1780" s="102">
        <v>2.3420347363334315E-2</v>
      </c>
    </row>
    <row r="1781" spans="19:27" x14ac:dyDescent="0.2">
      <c r="S1781" s="61"/>
      <c r="T1781" s="82"/>
      <c r="W1781" s="103" t="str">
        <f t="shared" si="36"/>
        <v>1w</v>
      </c>
      <c r="X1781" s="101">
        <f>_xll.qlCalendarAdvance(Calendar,X1780,W1781,"f",FALSE)</f>
        <v>51781</v>
      </c>
      <c r="Y1781" s="104">
        <f>_xll.qlCalendarAdvance(Calendar,X1781,NDays&amp;"D")</f>
        <v>51783</v>
      </c>
      <c r="Z1781" s="105">
        <v>2.3425210201682256E-2</v>
      </c>
      <c r="AA1781" s="102">
        <v>2.3411303539884187E-2</v>
      </c>
    </row>
    <row r="1782" spans="19:27" x14ac:dyDescent="0.2">
      <c r="S1782" s="61"/>
      <c r="T1782" s="82"/>
      <c r="W1782" s="103" t="str">
        <f t="shared" si="36"/>
        <v>1w</v>
      </c>
      <c r="X1782" s="101">
        <f>_xll.qlCalendarAdvance(Calendar,X1781,W1782,"f",FALSE)</f>
        <v>51788</v>
      </c>
      <c r="Y1782" s="104">
        <f>_xll.qlCalendarAdvance(Calendar,X1782,NDays&amp;"D")</f>
        <v>51790</v>
      </c>
      <c r="Z1782" s="105">
        <v>2.3416424333708236E-2</v>
      </c>
      <c r="AA1782" s="102">
        <v>2.3402303346840014E-2</v>
      </c>
    </row>
    <row r="1783" spans="19:27" x14ac:dyDescent="0.2">
      <c r="S1783" s="61"/>
      <c r="T1783" s="82"/>
      <c r="W1783" s="103" t="str">
        <f t="shared" si="36"/>
        <v>1w</v>
      </c>
      <c r="X1783" s="101">
        <f>_xll.qlCalendarAdvance(Calendar,X1782,W1783,"f",FALSE)</f>
        <v>51795</v>
      </c>
      <c r="Y1783" s="104">
        <f>_xll.qlCalendarAdvance(Calendar,X1783,NDays&amp;"D")</f>
        <v>51797</v>
      </c>
      <c r="Z1783" s="105">
        <v>2.3407682367520773E-2</v>
      </c>
      <c r="AA1783" s="102">
        <v>2.3393346784201796E-2</v>
      </c>
    </row>
    <row r="1784" spans="19:27" x14ac:dyDescent="0.2">
      <c r="S1784" s="61"/>
      <c r="T1784" s="82"/>
      <c r="W1784" s="103" t="str">
        <f t="shared" si="36"/>
        <v>1w</v>
      </c>
      <c r="X1784" s="101">
        <f>_xll.qlCalendarAdvance(Calendar,X1783,W1784,"f",FALSE)</f>
        <v>51802</v>
      </c>
      <c r="Y1784" s="104">
        <f>_xll.qlCalendarAdvance(Calendar,X1784,NDays&amp;"D")</f>
        <v>51804</v>
      </c>
      <c r="Z1784" s="105">
        <v>2.3398984302826185E-2</v>
      </c>
      <c r="AA1784" s="102">
        <v>2.3384433851996178E-2</v>
      </c>
    </row>
    <row r="1785" spans="19:27" x14ac:dyDescent="0.2">
      <c r="S1785" s="61"/>
      <c r="T1785" s="82"/>
      <c r="W1785" s="103" t="str">
        <f t="shared" si="36"/>
        <v>1w</v>
      </c>
      <c r="X1785" s="101">
        <f>_xll.qlCalendarAdvance(Calendar,X1784,W1785,"f",FALSE)</f>
        <v>51809</v>
      </c>
      <c r="Y1785" s="104">
        <f>_xll.qlCalendarAdvance(Calendar,X1785,NDays&amp;"D")</f>
        <v>51811</v>
      </c>
      <c r="Z1785" s="105">
        <v>2.3390330139335138E-2</v>
      </c>
      <c r="AA1785" s="102">
        <v>2.3375564550169869E-2</v>
      </c>
    </row>
    <row r="1786" spans="19:27" x14ac:dyDescent="0.2">
      <c r="S1786" s="61"/>
      <c r="T1786" s="82"/>
      <c r="W1786" s="103" t="str">
        <f t="shared" si="36"/>
        <v>1w</v>
      </c>
      <c r="X1786" s="101">
        <f>_xll.qlCalendarAdvance(Calendar,X1785,W1786,"f",FALSE)</f>
        <v>51816</v>
      </c>
      <c r="Y1786" s="104">
        <f>_xll.qlCalendarAdvance(Calendar,X1786,NDays&amp;"D")</f>
        <v>51818</v>
      </c>
      <c r="Z1786" s="105">
        <v>2.3381719876754827E-2</v>
      </c>
      <c r="AA1786" s="102">
        <v>2.336673887872287E-2</v>
      </c>
    </row>
    <row r="1787" spans="19:27" x14ac:dyDescent="0.2">
      <c r="S1787" s="61"/>
      <c r="T1787" s="82"/>
      <c r="W1787" s="103" t="str">
        <f t="shared" si="36"/>
        <v>1w</v>
      </c>
      <c r="X1787" s="101">
        <f>_xll.qlCalendarAdvance(Calendar,X1786,W1787,"f",FALSE)</f>
        <v>51823</v>
      </c>
      <c r="Y1787" s="104">
        <f>_xll.qlCalendarAdvance(Calendar,X1787,NDays&amp;"D")</f>
        <v>51825</v>
      </c>
      <c r="Z1787" s="105">
        <v>2.3373153514801993E-2</v>
      </c>
      <c r="AA1787" s="102">
        <v>2.3357956837628535E-2</v>
      </c>
    </row>
    <row r="1788" spans="19:27" x14ac:dyDescent="0.2">
      <c r="S1788" s="61"/>
      <c r="T1788" s="82"/>
      <c r="W1788" s="103" t="str">
        <f t="shared" si="36"/>
        <v>1w</v>
      </c>
      <c r="X1788" s="101">
        <f>_xll.qlCalendarAdvance(Calendar,X1787,W1788,"f",FALSE)</f>
        <v>51830</v>
      </c>
      <c r="Y1788" s="104">
        <f>_xll.qlCalendarAdvance(Calendar,X1788,NDays&amp;"D")</f>
        <v>51832</v>
      </c>
      <c r="Z1788" s="105">
        <v>2.3364631053185571E-2</v>
      </c>
      <c r="AA1788" s="102">
        <v>2.33492184269668E-2</v>
      </c>
    </row>
    <row r="1789" spans="19:27" x14ac:dyDescent="0.2">
      <c r="S1789" s="61"/>
      <c r="T1789" s="82"/>
      <c r="W1789" s="103" t="str">
        <f t="shared" si="36"/>
        <v>1w</v>
      </c>
      <c r="X1789" s="101">
        <f>_xll.qlCalendarAdvance(Calendar,X1788,W1789,"f",FALSE)</f>
        <v>51837</v>
      </c>
      <c r="Y1789" s="104">
        <f>_xll.qlCalendarAdvance(Calendar,X1789,NDays&amp;"D")</f>
        <v>51839</v>
      </c>
      <c r="Z1789" s="105">
        <v>2.3355835055929752E-2</v>
      </c>
      <c r="AA1789" s="102">
        <v>2.3340523646604439E-2</v>
      </c>
    </row>
    <row r="1790" spans="19:27" x14ac:dyDescent="0.2">
      <c r="S1790" s="61"/>
      <c r="T1790" s="82"/>
      <c r="W1790" s="103" t="str">
        <f t="shared" si="36"/>
        <v>1w</v>
      </c>
      <c r="X1790" s="101">
        <f>_xll.qlCalendarAdvance(Calendar,X1789,W1790,"f",FALSE)</f>
        <v>51844</v>
      </c>
      <c r="Y1790" s="104">
        <f>_xll.qlCalendarAdvance(Calendar,X1790,NDays&amp;"D")</f>
        <v>51846</v>
      </c>
      <c r="Z1790" s="105">
        <v>2.3347395214585731E-2</v>
      </c>
      <c r="AA1790" s="102">
        <v>2.3331872496648032E-2</v>
      </c>
    </row>
    <row r="1791" spans="19:27" x14ac:dyDescent="0.2">
      <c r="S1791" s="61"/>
      <c r="T1791" s="82"/>
      <c r="W1791" s="103" t="str">
        <f t="shared" si="36"/>
        <v>1w</v>
      </c>
      <c r="X1791" s="101">
        <f>_xll.qlCalendarAdvance(Calendar,X1790,W1791,"f",FALSE)</f>
        <v>51851</v>
      </c>
      <c r="Y1791" s="104">
        <f>_xll.qlCalendarAdvance(Calendar,X1791,NDays&amp;"D")</f>
        <v>51853</v>
      </c>
      <c r="Z1791" s="105">
        <v>2.3338999266701244E-2</v>
      </c>
      <c r="AA1791" s="102">
        <v>2.3323264976990998E-2</v>
      </c>
    </row>
    <row r="1792" spans="19:27" x14ac:dyDescent="0.2">
      <c r="S1792" s="61"/>
      <c r="T1792" s="82"/>
      <c r="W1792" s="103" t="str">
        <f t="shared" si="36"/>
        <v>1w</v>
      </c>
      <c r="X1792" s="101">
        <f>_xll.qlCalendarAdvance(Calendar,X1791,W1792,"f",FALSE)</f>
        <v>51858</v>
      </c>
      <c r="Y1792" s="104">
        <f>_xll.qlCalendarAdvance(Calendar,X1792,NDays&amp;"D")</f>
        <v>51865</v>
      </c>
      <c r="Z1792" s="105">
        <v>2.3324876556376398E-2</v>
      </c>
      <c r="AA1792" s="102">
        <v>2.3306328510088736E-2</v>
      </c>
    </row>
    <row r="1793" spans="19:27" x14ac:dyDescent="0.2">
      <c r="S1793" s="61"/>
      <c r="T1793" s="82"/>
      <c r="W1793" s="103" t="str">
        <f t="shared" si="36"/>
        <v>1w</v>
      </c>
      <c r="X1793" s="101">
        <f>_xll.qlCalendarAdvance(Calendar,X1792,W1793,"f",FALSE)</f>
        <v>51865</v>
      </c>
      <c r="Y1793" s="104">
        <f>_xll.qlCalendarAdvance(Calendar,X1793,NDays&amp;"D")</f>
        <v>51869</v>
      </c>
      <c r="Z1793" s="105">
        <v>2.3319973351625833E-2</v>
      </c>
      <c r="AA1793" s="102">
        <v>2.3299823364126837E-2</v>
      </c>
    </row>
    <row r="1794" spans="19:27" x14ac:dyDescent="0.2">
      <c r="S1794" s="61"/>
      <c r="T1794" s="82"/>
      <c r="W1794" s="103" t="str">
        <f t="shared" si="36"/>
        <v>1w</v>
      </c>
      <c r="X1794" s="101">
        <f>_xll.qlCalendarAdvance(Calendar,X1793,W1794,"f",FALSE)</f>
        <v>51873</v>
      </c>
      <c r="Y1794" s="104">
        <f>_xll.qlCalendarAdvance(Calendar,X1794,NDays&amp;"D")</f>
        <v>51875</v>
      </c>
      <c r="Z1794" s="105">
        <v>2.3312897754239614E-2</v>
      </c>
      <c r="AA1794" s="102">
        <v>2.329378276738403E-2</v>
      </c>
    </row>
    <row r="1795" spans="19:27" x14ac:dyDescent="0.2">
      <c r="S1795" s="61"/>
      <c r="T1795" s="82"/>
      <c r="W1795" s="103" t="str">
        <f t="shared" si="36"/>
        <v>1w</v>
      </c>
      <c r="X1795" s="101">
        <f>_xll.qlCalendarAdvance(Calendar,X1794,W1795,"f",FALSE)</f>
        <v>51880</v>
      </c>
      <c r="Y1795" s="104">
        <f>_xll.qlCalendarAdvance(Calendar,X1795,NDays&amp;"D")</f>
        <v>51882</v>
      </c>
      <c r="Z1795" s="105">
        <v>2.3304683647776159E-2</v>
      </c>
      <c r="AA1795" s="102">
        <v>2.3285363324161423E-2</v>
      </c>
    </row>
    <row r="1796" spans="19:27" x14ac:dyDescent="0.2">
      <c r="S1796" s="61"/>
      <c r="T1796" s="82"/>
      <c r="W1796" s="103" t="str">
        <f t="shared" si="36"/>
        <v>1w</v>
      </c>
      <c r="X1796" s="101">
        <f>_xll.qlCalendarAdvance(Calendar,X1795,W1796,"f",FALSE)</f>
        <v>51887</v>
      </c>
      <c r="Y1796" s="104">
        <f>_xll.qlCalendarAdvance(Calendar,X1796,NDays&amp;"D")</f>
        <v>51889</v>
      </c>
      <c r="Z1796" s="105">
        <v>2.3296513433372468E-2</v>
      </c>
      <c r="AA1796" s="102">
        <v>2.3276987505163049E-2</v>
      </c>
    </row>
    <row r="1797" spans="19:27" x14ac:dyDescent="0.2">
      <c r="S1797" s="61"/>
      <c r="T1797" s="82"/>
      <c r="W1797" s="103" t="str">
        <f t="shared" si="36"/>
        <v>1w</v>
      </c>
      <c r="X1797" s="101">
        <f>_xll.qlCalendarAdvance(Calendar,X1796,W1797,"f",FALSE)</f>
        <v>51894</v>
      </c>
      <c r="Y1797" s="104">
        <f>_xll.qlCalendarAdvance(Calendar,X1797,NDays&amp;"D")</f>
        <v>51896</v>
      </c>
      <c r="Z1797" s="105">
        <v>2.3288387110763864E-2</v>
      </c>
      <c r="AA1797" s="102">
        <v>2.3268655310468844E-2</v>
      </c>
    </row>
    <row r="1798" spans="19:27" x14ac:dyDescent="0.2">
      <c r="S1798" s="61"/>
      <c r="T1798" s="82"/>
      <c r="W1798" s="103" t="str">
        <f t="shared" si="36"/>
        <v>1w</v>
      </c>
      <c r="X1798" s="101">
        <f>_xll.qlCalendarAdvance(Calendar,X1797,W1798,"f",FALSE)</f>
        <v>51901</v>
      </c>
      <c r="Y1798" s="104">
        <f>_xll.qlCalendarAdvance(Calendar,X1798,NDays&amp;"D")</f>
        <v>51903</v>
      </c>
      <c r="Z1798" s="105">
        <v>2.3280122558188322E-2</v>
      </c>
      <c r="AA1798" s="102">
        <v>2.3260366740078808E-2</v>
      </c>
    </row>
    <row r="1799" spans="19:27" x14ac:dyDescent="0.2">
      <c r="S1799" s="61"/>
      <c r="T1799" s="82"/>
      <c r="W1799" s="103" t="str">
        <f t="shared" si="36"/>
        <v>1w</v>
      </c>
      <c r="X1799" s="101">
        <f>_xll.qlCalendarAdvance(Calendar,X1798,W1799,"f",FALSE)</f>
        <v>51908</v>
      </c>
      <c r="Y1799" s="104">
        <f>_xll.qlCalendarAdvance(Calendar,X1799,NDays&amp;"D")</f>
        <v>51910</v>
      </c>
      <c r="Z1799" s="105">
        <v>2.3272081401738406E-2</v>
      </c>
      <c r="AA1799" s="102">
        <v>2.3252121793833069E-2</v>
      </c>
    </row>
    <row r="1800" spans="19:27" x14ac:dyDescent="0.2">
      <c r="S1800" s="61"/>
      <c r="T1800" s="82"/>
      <c r="W1800" s="103" t="str">
        <f t="shared" si="36"/>
        <v>1w</v>
      </c>
      <c r="X1800" s="101">
        <f>_xll.qlCalendarAdvance(Calendar,X1799,W1800,"f",FALSE)</f>
        <v>51915</v>
      </c>
      <c r="Y1800" s="104">
        <f>_xll.qlCalendarAdvance(Calendar,X1800,NDays&amp;"D")</f>
        <v>51917</v>
      </c>
      <c r="Z1800" s="105">
        <v>2.3264084133299921E-2</v>
      </c>
      <c r="AA1800" s="102">
        <v>2.3243920471891499E-2</v>
      </c>
    </row>
    <row r="1801" spans="19:27" x14ac:dyDescent="0.2">
      <c r="S1801" s="61"/>
      <c r="T1801" s="82"/>
      <c r="W1801" s="103" t="str">
        <f t="shared" si="36"/>
        <v>1w</v>
      </c>
      <c r="X1801" s="101">
        <f>_xll.qlCalendarAdvance(Calendar,X1800,W1801,"f",FALSE)</f>
        <v>51922</v>
      </c>
      <c r="Y1801" s="104">
        <f>_xll.qlCalendarAdvance(Calendar,X1801,NDays&amp;"D")</f>
        <v>51924</v>
      </c>
      <c r="Z1801" s="105">
        <v>2.3256130752617784E-2</v>
      </c>
      <c r="AA1801" s="102">
        <v>2.3235762774094226E-2</v>
      </c>
    </row>
    <row r="1802" spans="19:27" x14ac:dyDescent="0.2">
      <c r="S1802" s="61"/>
      <c r="T1802" s="82"/>
      <c r="W1802" s="103" t="str">
        <f t="shared" si="36"/>
        <v>1w</v>
      </c>
      <c r="X1802" s="101">
        <f>_xll.qlCalendarAdvance(Calendar,X1801,W1802,"f",FALSE)</f>
        <v>51929</v>
      </c>
      <c r="Y1802" s="104">
        <f>_xll.qlCalendarAdvance(Calendar,X1802,NDays&amp;"D")</f>
        <v>51931</v>
      </c>
      <c r="Z1802" s="105">
        <v>2.324879985449468E-2</v>
      </c>
      <c r="AA1802" s="102">
        <v>2.3227648700601122E-2</v>
      </c>
    </row>
    <row r="1803" spans="19:27" x14ac:dyDescent="0.2">
      <c r="S1803" s="61"/>
      <c r="T1803" s="82"/>
      <c r="W1803" s="103" t="str">
        <f t="shared" si="36"/>
        <v>1w</v>
      </c>
      <c r="X1803" s="101">
        <f>_xll.qlCalendarAdvance(Calendar,X1802,W1803,"f",FALSE)</f>
        <v>51936</v>
      </c>
      <c r="Y1803" s="104">
        <f>_xll.qlCalendarAdvance(Calendar,X1803,NDays&amp;"D")</f>
        <v>51938</v>
      </c>
      <c r="Z1803" s="105">
        <v>2.3240942135438387E-2</v>
      </c>
      <c r="AA1803" s="102">
        <v>2.3219578251412187E-2</v>
      </c>
    </row>
    <row r="1804" spans="19:27" x14ac:dyDescent="0.2">
      <c r="S1804" s="61"/>
      <c r="T1804" s="82"/>
      <c r="W1804" s="103" t="str">
        <f t="shared" si="36"/>
        <v>1w</v>
      </c>
      <c r="X1804" s="101">
        <f>_xll.qlCalendarAdvance(Calendar,X1803,W1804,"f",FALSE)</f>
        <v>51943</v>
      </c>
      <c r="Y1804" s="104">
        <f>_xll.qlCalendarAdvance(Calendar,X1804,NDays&amp;"D")</f>
        <v>51945</v>
      </c>
      <c r="Z1804" s="105">
        <v>2.323372502964105E-2</v>
      </c>
      <c r="AA1804" s="102">
        <v>2.3211551426367549E-2</v>
      </c>
    </row>
    <row r="1805" spans="19:27" x14ac:dyDescent="0.2">
      <c r="S1805" s="61"/>
      <c r="T1805" s="82"/>
      <c r="W1805" s="103" t="str">
        <f t="shared" si="36"/>
        <v>1w</v>
      </c>
      <c r="X1805" s="101">
        <f>_xll.qlCalendarAdvance(Calendar,X1804,W1805,"f",FALSE)</f>
        <v>51950</v>
      </c>
      <c r="Y1805" s="104">
        <f>_xll.qlCalendarAdvance(Calendar,X1805,NDays&amp;"D")</f>
        <v>51952</v>
      </c>
      <c r="Z1805" s="105">
        <v>2.3225358384812798E-2</v>
      </c>
      <c r="AA1805" s="102">
        <v>2.3203568225547144E-2</v>
      </c>
    </row>
    <row r="1806" spans="19:27" x14ac:dyDescent="0.2">
      <c r="S1806" s="61"/>
      <c r="T1806" s="82"/>
      <c r="W1806" s="103" t="str">
        <f t="shared" si="36"/>
        <v>1w</v>
      </c>
      <c r="X1806" s="101">
        <f>_xll.qlCalendarAdvance(Calendar,X1805,W1806,"f",FALSE)</f>
        <v>51957</v>
      </c>
      <c r="Y1806" s="104">
        <f>_xll.qlCalendarAdvance(Calendar,X1806,NDays&amp;"D")</f>
        <v>51959</v>
      </c>
      <c r="Z1806" s="105">
        <v>2.3217428693333399E-2</v>
      </c>
      <c r="AA1806" s="102">
        <v>2.3193368211193999E-2</v>
      </c>
    </row>
    <row r="1807" spans="19:27" x14ac:dyDescent="0.2">
      <c r="S1807" s="61"/>
      <c r="T1807" s="82"/>
      <c r="W1807" s="103" t="str">
        <f t="shared" si="36"/>
        <v>1w</v>
      </c>
      <c r="X1807" s="101">
        <f>_xll.qlCalendarAdvance(Calendar,X1806,W1807,"f",FALSE)</f>
        <v>51964</v>
      </c>
      <c r="Y1807" s="104">
        <f>_xll.qlCalendarAdvance(Calendar,X1807,NDays&amp;"D")</f>
        <v>51966</v>
      </c>
      <c r="Z1807" s="105">
        <v>2.3209743915134116E-2</v>
      </c>
      <c r="AA1807" s="102">
        <v>2.3187732696658969E-2</v>
      </c>
    </row>
    <row r="1808" spans="19:27" x14ac:dyDescent="0.2">
      <c r="S1808" s="61"/>
      <c r="T1808" s="82"/>
      <c r="W1808" s="103" t="str">
        <f t="shared" si="36"/>
        <v>1w</v>
      </c>
      <c r="X1808" s="101">
        <f>_xll.qlCalendarAdvance(Calendar,X1807,W1808,"f",FALSE)</f>
        <v>51971</v>
      </c>
      <c r="Y1808" s="104">
        <f>_xll.qlCalendarAdvance(Calendar,X1808,NDays&amp;"D")</f>
        <v>51973</v>
      </c>
      <c r="Z1808" s="105">
        <v>2.3202103028848231E-2</v>
      </c>
      <c r="AA1808" s="102">
        <v>2.3179880368431327E-2</v>
      </c>
    </row>
    <row r="1809" spans="19:27" x14ac:dyDescent="0.2">
      <c r="S1809" s="61"/>
      <c r="T1809" s="82"/>
      <c r="W1809" s="103" t="str">
        <f t="shared" si="36"/>
        <v>1w</v>
      </c>
      <c r="X1809" s="101">
        <f>_xll.qlCalendarAdvance(Calendar,X1808,W1809,"f",FALSE)</f>
        <v>51978</v>
      </c>
      <c r="Y1809" s="104">
        <f>_xll.qlCalendarAdvance(Calendar,X1809,NDays&amp;"D")</f>
        <v>51980</v>
      </c>
      <c r="Z1809" s="105">
        <v>2.3194506034224519E-2</v>
      </c>
      <c r="AA1809" s="102">
        <v>2.3172071664667726E-2</v>
      </c>
    </row>
    <row r="1810" spans="19:27" x14ac:dyDescent="0.2">
      <c r="S1810" s="61"/>
      <c r="T1810" s="82"/>
      <c r="W1810" s="103" t="str">
        <f t="shared" si="36"/>
        <v>1w</v>
      </c>
      <c r="X1810" s="101">
        <f>_xll.qlCalendarAdvance(Calendar,X1809,W1810,"f",FALSE)</f>
        <v>51985</v>
      </c>
      <c r="Y1810" s="104">
        <f>_xll.qlCalendarAdvance(Calendar,X1810,NDays&amp;"D")</f>
        <v>51988</v>
      </c>
      <c r="Z1810" s="105">
        <v>2.3186522149335309E-2</v>
      </c>
      <c r="AA1810" s="102">
        <v>2.3163200848905774E-2</v>
      </c>
    </row>
    <row r="1811" spans="19:27" x14ac:dyDescent="0.2">
      <c r="S1811" s="61"/>
      <c r="T1811" s="82"/>
      <c r="W1811" s="103" t="str">
        <f t="shared" si="36"/>
        <v>1w</v>
      </c>
      <c r="X1811" s="101">
        <f>_xll.qlCalendarAdvance(Calendar,X1810,W1811,"f",FALSE)</f>
        <v>51992</v>
      </c>
      <c r="Y1811" s="104">
        <f>_xll.qlCalendarAdvance(Calendar,X1811,NDays&amp;"D")</f>
        <v>51994</v>
      </c>
      <c r="Z1811" s="105">
        <v>2.3179660614202603E-2</v>
      </c>
      <c r="AA1811" s="102">
        <v>2.3156585129413543E-2</v>
      </c>
    </row>
    <row r="1812" spans="19:27" x14ac:dyDescent="0.2">
      <c r="S1812" s="61"/>
      <c r="T1812" s="82"/>
      <c r="W1812" s="103" t="str">
        <f t="shared" si="36"/>
        <v>1w</v>
      </c>
      <c r="X1812" s="101">
        <f>_xll.qlCalendarAdvance(Calendar,X1811,W1812,"f",FALSE)</f>
        <v>51999</v>
      </c>
      <c r="Y1812" s="104">
        <f>_xll.qlCalendarAdvance(Calendar,X1812,NDays&amp;"D")</f>
        <v>52002</v>
      </c>
      <c r="Z1812" s="105">
        <v>2.3171576088697677E-2</v>
      </c>
      <c r="AA1812" s="102">
        <v>2.3147814026209801E-2</v>
      </c>
    </row>
    <row r="1813" spans="19:27" x14ac:dyDescent="0.2">
      <c r="S1813" s="61"/>
      <c r="T1813" s="82"/>
      <c r="W1813" s="103" t="str">
        <f t="shared" ref="W1813:W1876" si="37">W1812</f>
        <v>1w</v>
      </c>
      <c r="X1813" s="101">
        <f>_xll.qlCalendarAdvance(Calendar,X1812,W1813,"f",FALSE)</f>
        <v>52006</v>
      </c>
      <c r="Y1813" s="104">
        <f>_xll.qlCalendarAdvance(Calendar,X1813,NDays&amp;"D")</f>
        <v>52008</v>
      </c>
      <c r="Z1813" s="105">
        <v>2.3164779177630015E-2</v>
      </c>
      <c r="AA1813" s="102">
        <v>2.3140186051158196E-2</v>
      </c>
    </row>
    <row r="1814" spans="19:27" x14ac:dyDescent="0.2">
      <c r="S1814" s="61"/>
      <c r="T1814" s="82"/>
      <c r="W1814" s="103" t="str">
        <f t="shared" si="37"/>
        <v>1w</v>
      </c>
      <c r="X1814" s="101">
        <f>_xll.qlCalendarAdvance(Calendar,X1813,W1814,"f",FALSE)</f>
        <v>52013</v>
      </c>
      <c r="Y1814" s="104">
        <f>_xll.qlCalendarAdvance(Calendar,X1814,NDays&amp;"D")</f>
        <v>52015</v>
      </c>
      <c r="Z1814" s="105">
        <v>2.3157404299520942E-2</v>
      </c>
      <c r="AA1814" s="102">
        <v>2.3133682508094111E-2</v>
      </c>
    </row>
    <row r="1815" spans="19:27" x14ac:dyDescent="0.2">
      <c r="S1815" s="61"/>
      <c r="T1815" s="82"/>
      <c r="W1815" s="103" t="str">
        <f t="shared" si="37"/>
        <v>1w</v>
      </c>
      <c r="X1815" s="101">
        <f>_xll.qlCalendarAdvance(Calendar,X1814,W1815,"f",FALSE)</f>
        <v>52020</v>
      </c>
      <c r="Y1815" s="104">
        <f>_xll.qlCalendarAdvance(Calendar,X1815,NDays&amp;"D")</f>
        <v>52022</v>
      </c>
      <c r="Z1815" s="105">
        <v>2.3150073314533184E-2</v>
      </c>
      <c r="AA1815" s="102">
        <v>2.31261355494361E-2</v>
      </c>
    </row>
    <row r="1816" spans="19:27" x14ac:dyDescent="0.2">
      <c r="S1816" s="61"/>
      <c r="T1816" s="82"/>
      <c r="W1816" s="103" t="str">
        <f t="shared" si="37"/>
        <v>1w</v>
      </c>
      <c r="X1816" s="101">
        <f>_xll.qlCalendarAdvance(Calendar,X1815,W1816,"f",FALSE)</f>
        <v>52027</v>
      </c>
      <c r="Y1816" s="104">
        <f>_xll.qlCalendarAdvance(Calendar,X1816,NDays&amp;"D")</f>
        <v>52029</v>
      </c>
      <c r="Z1816" s="105">
        <v>2.3142786222424321E-2</v>
      </c>
      <c r="AA1816" s="102">
        <v>2.3118632214922386E-2</v>
      </c>
    </row>
    <row r="1817" spans="19:27" x14ac:dyDescent="0.2">
      <c r="S1817" s="61"/>
      <c r="T1817" s="82"/>
      <c r="W1817" s="103" t="str">
        <f t="shared" si="37"/>
        <v>1w</v>
      </c>
      <c r="X1817" s="101">
        <f>_xll.qlCalendarAdvance(Calendar,X1816,W1817,"f",FALSE)</f>
        <v>52034</v>
      </c>
      <c r="Y1817" s="104">
        <f>_xll.qlCalendarAdvance(Calendar,X1817,NDays&amp;"D")</f>
        <v>52036</v>
      </c>
      <c r="Z1817" s="105">
        <v>2.3135543022947597E-2</v>
      </c>
      <c r="AA1817" s="102">
        <v>2.3110110392794425E-2</v>
      </c>
    </row>
    <row r="1818" spans="19:27" x14ac:dyDescent="0.2">
      <c r="S1818" s="61"/>
      <c r="T1818" s="82"/>
      <c r="W1818" s="103" t="str">
        <f t="shared" si="37"/>
        <v>1w</v>
      </c>
      <c r="X1818" s="101">
        <f>_xll.qlCalendarAdvance(Calendar,X1817,W1818,"f",FALSE)</f>
        <v>52041</v>
      </c>
      <c r="Y1818" s="104">
        <f>_xll.qlCalendarAdvance(Calendar,X1818,NDays&amp;"D")</f>
        <v>52043</v>
      </c>
      <c r="Z1818" s="105">
        <v>2.3128343715862334E-2</v>
      </c>
      <c r="AA1818" s="102">
        <v>2.310375641848772E-2</v>
      </c>
    </row>
    <row r="1819" spans="19:27" x14ac:dyDescent="0.2">
      <c r="S1819" s="61"/>
      <c r="T1819" s="82"/>
      <c r="W1819" s="103" t="str">
        <f t="shared" si="37"/>
        <v>1w</v>
      </c>
      <c r="X1819" s="101">
        <f>_xll.qlCalendarAdvance(Calendar,X1818,W1819,"f",FALSE)</f>
        <v>52048</v>
      </c>
      <c r="Y1819" s="104">
        <f>_xll.qlCalendarAdvance(Calendar,X1819,NDays&amp;"D")</f>
        <v>52050</v>
      </c>
      <c r="Z1819" s="105">
        <v>2.3121188300926982E-2</v>
      </c>
      <c r="AA1819" s="102">
        <v>2.3096383956566768E-2</v>
      </c>
    </row>
    <row r="1820" spans="19:27" x14ac:dyDescent="0.2">
      <c r="S1820" s="61"/>
      <c r="T1820" s="82"/>
      <c r="W1820" s="103" t="str">
        <f t="shared" si="37"/>
        <v>1w</v>
      </c>
      <c r="X1820" s="101">
        <f>_xll.qlCalendarAdvance(Calendar,X1819,W1820,"f",FALSE)</f>
        <v>52055</v>
      </c>
      <c r="Y1820" s="104">
        <f>_xll.qlCalendarAdvance(Calendar,X1820,NDays&amp;"D")</f>
        <v>52057</v>
      </c>
      <c r="Z1820" s="105">
        <v>2.3114076777902608E-2</v>
      </c>
      <c r="AA1820" s="102">
        <v>2.3089055118790114E-2</v>
      </c>
    </row>
    <row r="1821" spans="19:27" x14ac:dyDescent="0.2">
      <c r="S1821" s="61"/>
      <c r="T1821" s="82"/>
      <c r="W1821" s="103" t="str">
        <f t="shared" si="37"/>
        <v>1w</v>
      </c>
      <c r="X1821" s="101">
        <f>_xll.qlCalendarAdvance(Calendar,X1820,W1821,"f",FALSE)</f>
        <v>52062</v>
      </c>
      <c r="Y1821" s="104">
        <f>_xll.qlCalendarAdvance(Calendar,X1821,NDays&amp;"D")</f>
        <v>52064</v>
      </c>
      <c r="Z1821" s="105">
        <v>2.3107009146552008E-2</v>
      </c>
      <c r="AA1821" s="102">
        <v>2.3081769905237692E-2</v>
      </c>
    </row>
    <row r="1822" spans="19:27" x14ac:dyDescent="0.2">
      <c r="S1822" s="61"/>
      <c r="T1822" s="82"/>
      <c r="W1822" s="103" t="str">
        <f t="shared" si="37"/>
        <v>1w</v>
      </c>
      <c r="X1822" s="101">
        <f>_xll.qlCalendarAdvance(Calendar,X1821,W1822,"f",FALSE)</f>
        <v>52069</v>
      </c>
      <c r="Y1822" s="104">
        <f>_xll.qlCalendarAdvance(Calendar,X1822,NDays&amp;"D")</f>
        <v>52071</v>
      </c>
      <c r="Z1822" s="105">
        <v>2.309998540663798E-2</v>
      </c>
      <c r="AA1822" s="102">
        <v>2.3074528315829568E-2</v>
      </c>
    </row>
    <row r="1823" spans="19:27" x14ac:dyDescent="0.2">
      <c r="S1823" s="61"/>
      <c r="T1823" s="82"/>
      <c r="W1823" s="103" t="str">
        <f t="shared" si="37"/>
        <v>1w</v>
      </c>
      <c r="X1823" s="101">
        <f>_xll.qlCalendarAdvance(Calendar,X1822,W1823,"f",FALSE)</f>
        <v>52076</v>
      </c>
      <c r="Y1823" s="104">
        <f>_xll.qlCalendarAdvance(Calendar,X1823,NDays&amp;"D")</f>
        <v>52078</v>
      </c>
      <c r="Z1823" s="105">
        <v>2.3093005557925931E-2</v>
      </c>
      <c r="AA1823" s="102">
        <v>2.3067330350645676E-2</v>
      </c>
    </row>
    <row r="1824" spans="19:27" x14ac:dyDescent="0.2">
      <c r="S1824" s="61"/>
      <c r="T1824" s="82"/>
      <c r="W1824" s="103" t="str">
        <f t="shared" si="37"/>
        <v>1w</v>
      </c>
      <c r="X1824" s="101">
        <f>_xll.qlCalendarAdvance(Calendar,X1823,W1824,"f",FALSE)</f>
        <v>52083</v>
      </c>
      <c r="Y1824" s="104">
        <f>_xll.qlCalendarAdvance(Calendar,X1824,NDays&amp;"D")</f>
        <v>52085</v>
      </c>
      <c r="Z1824" s="105">
        <v>2.308606960018126E-2</v>
      </c>
      <c r="AA1824" s="102">
        <v>2.3060176009606081E-2</v>
      </c>
    </row>
    <row r="1825" spans="19:27" x14ac:dyDescent="0.2">
      <c r="S1825" s="61"/>
      <c r="T1825" s="82"/>
      <c r="W1825" s="103" t="str">
        <f t="shared" si="37"/>
        <v>1w</v>
      </c>
      <c r="X1825" s="101">
        <f>_xll.qlCalendarAdvance(Calendar,X1824,W1825,"f",FALSE)</f>
        <v>52090</v>
      </c>
      <c r="Y1825" s="104">
        <f>_xll.qlCalendarAdvance(Calendar,X1825,NDays&amp;"D")</f>
        <v>52092</v>
      </c>
      <c r="Z1825" s="105">
        <v>2.3079177533173723E-2</v>
      </c>
      <c r="AA1825" s="102">
        <v>2.3053065292710784E-2</v>
      </c>
    </row>
    <row r="1826" spans="19:27" x14ac:dyDescent="0.2">
      <c r="S1826" s="61"/>
      <c r="T1826" s="82"/>
      <c r="W1826" s="103" t="str">
        <f t="shared" si="37"/>
        <v>1w</v>
      </c>
      <c r="X1826" s="101">
        <f>_xll.qlCalendarAdvance(Calendar,X1825,W1826,"f",FALSE)</f>
        <v>52097</v>
      </c>
      <c r="Y1826" s="104">
        <f>_xll.qlCalendarAdvance(Calendar,X1826,NDays&amp;"D")</f>
        <v>52099</v>
      </c>
      <c r="Z1826" s="105">
        <v>2.307232935667133E-2</v>
      </c>
      <c r="AA1826" s="102">
        <v>2.3045998200039719E-2</v>
      </c>
    </row>
    <row r="1827" spans="19:27" x14ac:dyDescent="0.2">
      <c r="S1827" s="61"/>
      <c r="T1827" s="82"/>
      <c r="W1827" s="103" t="str">
        <f t="shared" si="37"/>
        <v>1w</v>
      </c>
      <c r="X1827" s="101">
        <f>_xll.qlCalendarAdvance(Calendar,X1826,W1827,"f",FALSE)</f>
        <v>52104</v>
      </c>
      <c r="Y1827" s="104">
        <f>_xll.qlCalendarAdvance(Calendar,X1827,NDays&amp;"D")</f>
        <v>52106</v>
      </c>
      <c r="Z1827" s="105">
        <v>2.3065525070447304E-2</v>
      </c>
      <c r="AA1827" s="102">
        <v>2.3038974731512951E-2</v>
      </c>
    </row>
    <row r="1828" spans="19:27" x14ac:dyDescent="0.2">
      <c r="S1828" s="61"/>
      <c r="T1828" s="82"/>
      <c r="W1828" s="103" t="str">
        <f t="shared" si="37"/>
        <v>1w</v>
      </c>
      <c r="X1828" s="101">
        <f>_xll.qlCalendarAdvance(Calendar,X1827,W1828,"f",FALSE)</f>
        <v>52111</v>
      </c>
      <c r="Y1828" s="104">
        <f>_xll.qlCalendarAdvance(Calendar,X1828,NDays&amp;"D")</f>
        <v>52113</v>
      </c>
      <c r="Z1828" s="105">
        <v>2.3058502226453566E-2</v>
      </c>
      <c r="AA1828" s="102">
        <v>2.3031994887210416E-2</v>
      </c>
    </row>
    <row r="1829" spans="19:27" x14ac:dyDescent="0.2">
      <c r="S1829" s="61"/>
      <c r="T1829" s="82"/>
      <c r="W1829" s="103" t="str">
        <f t="shared" si="37"/>
        <v>1w</v>
      </c>
      <c r="X1829" s="101">
        <f>_xll.qlCalendarAdvance(Calendar,X1828,W1829,"f",FALSE)</f>
        <v>52118</v>
      </c>
      <c r="Y1829" s="104">
        <f>_xll.qlCalendarAdvance(Calendar,X1829,NDays&amp;"D")</f>
        <v>52120</v>
      </c>
      <c r="Z1829" s="105">
        <v>2.3051783014210261E-2</v>
      </c>
      <c r="AA1829" s="102">
        <v>2.3025058667052178E-2</v>
      </c>
    </row>
    <row r="1830" spans="19:27" x14ac:dyDescent="0.2">
      <c r="S1830" s="61"/>
      <c r="T1830" s="82"/>
      <c r="W1830" s="103" t="str">
        <f t="shared" si="37"/>
        <v>1w</v>
      </c>
      <c r="X1830" s="101">
        <f>_xll.qlCalendarAdvance(Calendar,X1829,W1830,"f",FALSE)</f>
        <v>52125</v>
      </c>
      <c r="Y1830" s="104">
        <f>_xll.qlCalendarAdvance(Calendar,X1830,NDays&amp;"D")</f>
        <v>52127</v>
      </c>
      <c r="Z1830" s="105">
        <v>2.3045107688654649E-2</v>
      </c>
      <c r="AA1830" s="102">
        <v>2.3018166070878365E-2</v>
      </c>
    </row>
    <row r="1831" spans="19:27" x14ac:dyDescent="0.2">
      <c r="S1831" s="61"/>
      <c r="T1831" s="82"/>
      <c r="W1831" s="103" t="str">
        <f t="shared" si="37"/>
        <v>1w</v>
      </c>
      <c r="X1831" s="101">
        <f>_xll.qlCalendarAdvance(Calendar,X1830,W1831,"f",FALSE)</f>
        <v>52132</v>
      </c>
      <c r="Y1831" s="104">
        <f>_xll.qlCalendarAdvance(Calendar,X1831,NDays&amp;"D")</f>
        <v>52134</v>
      </c>
      <c r="Z1831" s="105">
        <v>2.3039560169723701E-2</v>
      </c>
      <c r="AA1831" s="102">
        <v>2.3011317099008721E-2</v>
      </c>
    </row>
    <row r="1832" spans="19:27" x14ac:dyDescent="0.2">
      <c r="S1832" s="61"/>
      <c r="T1832" s="82"/>
      <c r="W1832" s="103" t="str">
        <f t="shared" si="37"/>
        <v>1w</v>
      </c>
      <c r="X1832" s="101">
        <f>_xll.qlCalendarAdvance(Calendar,X1831,W1832,"f",FALSE)</f>
        <v>52139</v>
      </c>
      <c r="Y1832" s="104">
        <f>_xll.qlCalendarAdvance(Calendar,X1832,NDays&amp;"D")</f>
        <v>52141</v>
      </c>
      <c r="Z1832" s="105">
        <v>2.3032161985559487E-2</v>
      </c>
      <c r="AA1832" s="102">
        <v>2.3004511751283374E-2</v>
      </c>
    </row>
    <row r="1833" spans="19:27" x14ac:dyDescent="0.2">
      <c r="S1833" s="61"/>
      <c r="T1833" s="82"/>
      <c r="W1833" s="103" t="str">
        <f t="shared" si="37"/>
        <v>1w</v>
      </c>
      <c r="X1833" s="101">
        <f>_xll.qlCalendarAdvance(Calendar,X1832,W1833,"f",FALSE)</f>
        <v>52146</v>
      </c>
      <c r="Y1833" s="104">
        <f>_xll.qlCalendarAdvance(Calendar,X1833,NDays&amp;"D")</f>
        <v>52148</v>
      </c>
      <c r="Z1833" s="105">
        <v>2.3025621036268592E-2</v>
      </c>
      <c r="AA1833" s="102">
        <v>2.299775002778226E-2</v>
      </c>
    </row>
    <row r="1834" spans="19:27" x14ac:dyDescent="0.2">
      <c r="S1834" s="61"/>
      <c r="T1834" s="82"/>
      <c r="W1834" s="103" t="str">
        <f t="shared" si="37"/>
        <v>1w</v>
      </c>
      <c r="X1834" s="101">
        <f>_xll.qlCalendarAdvance(Calendar,X1833,W1834,"f",FALSE)</f>
        <v>52153</v>
      </c>
      <c r="Y1834" s="104">
        <f>_xll.qlCalendarAdvance(Calendar,X1834,NDays&amp;"D")</f>
        <v>52155</v>
      </c>
      <c r="Z1834" s="105">
        <v>2.3019123975691228E-2</v>
      </c>
      <c r="AA1834" s="102">
        <v>2.2991031928345507E-2</v>
      </c>
    </row>
    <row r="1835" spans="19:27" x14ac:dyDescent="0.2">
      <c r="S1835" s="61"/>
      <c r="T1835" s="82"/>
      <c r="W1835" s="103" t="str">
        <f t="shared" si="37"/>
        <v>1w</v>
      </c>
      <c r="X1835" s="101">
        <f>_xll.qlCalendarAdvance(Calendar,X1834,W1835,"f",FALSE)</f>
        <v>52160</v>
      </c>
      <c r="Y1835" s="104">
        <f>_xll.qlCalendarAdvance(Calendar,X1835,NDays&amp;"D")</f>
        <v>52162</v>
      </c>
      <c r="Z1835" s="105">
        <v>2.3012670803611048E-2</v>
      </c>
      <c r="AA1835" s="102">
        <v>2.298435745305305E-2</v>
      </c>
    </row>
    <row r="1836" spans="19:27" x14ac:dyDescent="0.2">
      <c r="S1836" s="61"/>
      <c r="T1836" s="82"/>
      <c r="W1836" s="103" t="str">
        <f t="shared" si="37"/>
        <v>1w</v>
      </c>
      <c r="X1836" s="101">
        <f>_xll.qlCalendarAdvance(Calendar,X1835,W1836,"f",FALSE)</f>
        <v>52167</v>
      </c>
      <c r="Y1836" s="104">
        <f>_xll.qlCalendarAdvance(Calendar,X1836,NDays&amp;"D")</f>
        <v>52169</v>
      </c>
      <c r="Z1836" s="105">
        <v>2.3006261519812575E-2</v>
      </c>
      <c r="AA1836" s="102">
        <v>2.2977726601904891E-2</v>
      </c>
    </row>
    <row r="1837" spans="19:27" x14ac:dyDescent="0.2">
      <c r="S1837" s="61"/>
      <c r="T1837" s="82"/>
      <c r="W1837" s="103" t="str">
        <f t="shared" si="37"/>
        <v>1w</v>
      </c>
      <c r="X1837" s="101">
        <f>_xll.qlCalendarAdvance(Calendar,X1836,W1837,"f",FALSE)</f>
        <v>52174</v>
      </c>
      <c r="Y1837" s="104">
        <f>_xll.qlCalendarAdvance(Calendar,X1837,NDays&amp;"D")</f>
        <v>52176</v>
      </c>
      <c r="Z1837" s="105">
        <v>2.2999896124082063E-2</v>
      </c>
      <c r="AA1837" s="102">
        <v>2.2971139374901028E-2</v>
      </c>
    </row>
    <row r="1838" spans="19:27" x14ac:dyDescent="0.2">
      <c r="S1838" s="61"/>
      <c r="T1838" s="82"/>
      <c r="W1838" s="103" t="str">
        <f t="shared" si="37"/>
        <v>1w</v>
      </c>
      <c r="X1838" s="101">
        <f>_xll.qlCalendarAdvance(Calendar,X1837,W1838,"f",FALSE)</f>
        <v>52181</v>
      </c>
      <c r="Y1838" s="104">
        <f>_xll.qlCalendarAdvance(Calendar,X1838,NDays&amp;"D")</f>
        <v>52183</v>
      </c>
      <c r="Z1838" s="105">
        <v>2.2993574616205773E-2</v>
      </c>
      <c r="AA1838" s="102">
        <v>2.2964595772041463E-2</v>
      </c>
    </row>
    <row r="1839" spans="19:27" x14ac:dyDescent="0.2">
      <c r="S1839" s="61"/>
      <c r="T1839" s="82"/>
      <c r="W1839" s="103" t="str">
        <f t="shared" si="37"/>
        <v>1w</v>
      </c>
      <c r="X1839" s="101">
        <f>_xll.qlCalendarAdvance(Calendar,X1838,W1839,"f",FALSE)</f>
        <v>52188</v>
      </c>
      <c r="Y1839" s="104">
        <f>_xll.qlCalendarAdvance(Calendar,X1839,NDays&amp;"D")</f>
        <v>52190</v>
      </c>
      <c r="Z1839" s="105">
        <v>2.2987296995970827E-2</v>
      </c>
      <c r="AA1839" s="102">
        <v>2.295809579340613E-2</v>
      </c>
    </row>
    <row r="1840" spans="19:27" x14ac:dyDescent="0.2">
      <c r="S1840" s="61"/>
      <c r="T1840" s="82"/>
      <c r="W1840" s="103" t="str">
        <f t="shared" si="37"/>
        <v>1w</v>
      </c>
      <c r="X1840" s="101">
        <f>_xll.qlCalendarAdvance(Calendar,X1839,W1840,"f",FALSE)</f>
        <v>52195</v>
      </c>
      <c r="Y1840" s="104">
        <f>_xll.qlCalendarAdvance(Calendar,X1840,NDays&amp;"D")</f>
        <v>52197</v>
      </c>
      <c r="Z1840" s="105">
        <v>2.2981063263169569E-2</v>
      </c>
      <c r="AA1840" s="102">
        <v>2.2951639438755222E-2</v>
      </c>
    </row>
    <row r="1841" spans="19:27" x14ac:dyDescent="0.2">
      <c r="S1841" s="61"/>
      <c r="T1841" s="82"/>
      <c r="W1841" s="103" t="str">
        <f t="shared" si="37"/>
        <v>1w</v>
      </c>
      <c r="X1841" s="101">
        <f>_xll.qlCalendarAdvance(Calendar,X1840,W1841,"f",FALSE)</f>
        <v>52202</v>
      </c>
      <c r="Y1841" s="104">
        <f>_xll.qlCalendarAdvance(Calendar,X1841,NDays&amp;"D")</f>
        <v>52204</v>
      </c>
      <c r="Z1841" s="105">
        <v>2.2974277990463143E-2</v>
      </c>
      <c r="AA1841" s="102">
        <v>2.2945226708248612E-2</v>
      </c>
    </row>
    <row r="1842" spans="19:27" x14ac:dyDescent="0.2">
      <c r="S1842" s="61"/>
      <c r="T1842" s="82"/>
      <c r="W1842" s="103" t="str">
        <f t="shared" si="37"/>
        <v>1w</v>
      </c>
      <c r="X1842" s="101">
        <f>_xll.qlCalendarAdvance(Calendar,X1841,W1842,"f",FALSE)</f>
        <v>52209</v>
      </c>
      <c r="Y1842" s="104">
        <f>_xll.qlCalendarAdvance(Calendar,X1842,NDays&amp;"D")</f>
        <v>52211</v>
      </c>
      <c r="Z1842" s="105">
        <v>2.2968126545201528E-2</v>
      </c>
      <c r="AA1842" s="102">
        <v>2.2938857601966234E-2</v>
      </c>
    </row>
    <row r="1843" spans="19:27" x14ac:dyDescent="0.2">
      <c r="S1843" s="61"/>
      <c r="T1843" s="82"/>
      <c r="W1843" s="103" t="str">
        <f t="shared" si="37"/>
        <v>1w</v>
      </c>
      <c r="X1843" s="101">
        <f>_xll.qlCalendarAdvance(Calendar,X1842,W1843,"f",FALSE)</f>
        <v>52216</v>
      </c>
      <c r="Y1843" s="104">
        <f>_xll.qlCalendarAdvance(Calendar,X1843,NDays&amp;"D")</f>
        <v>52218</v>
      </c>
      <c r="Z1843" s="105">
        <v>2.296201898098893E-2</v>
      </c>
      <c r="AA1843" s="102">
        <v>2.2932532119748217E-2</v>
      </c>
    </row>
    <row r="1844" spans="19:27" x14ac:dyDescent="0.2">
      <c r="S1844" s="61"/>
      <c r="T1844" s="82"/>
      <c r="W1844" s="103" t="str">
        <f t="shared" si="37"/>
        <v>1w</v>
      </c>
      <c r="X1844" s="101">
        <f>_xll.qlCalendarAdvance(Calendar,X1843,W1844,"f",FALSE)</f>
        <v>52223</v>
      </c>
      <c r="Y1844" s="104">
        <f>_xll.qlCalendarAdvance(Calendar,X1844,NDays&amp;"D")</f>
        <v>52230</v>
      </c>
      <c r="Z1844" s="105">
        <v>2.2951958740724702E-2</v>
      </c>
      <c r="AA1844" s="102">
        <v>2.2920297812700774E-2</v>
      </c>
    </row>
    <row r="1845" spans="19:27" x14ac:dyDescent="0.2">
      <c r="S1845" s="61"/>
      <c r="T1845" s="82"/>
      <c r="W1845" s="103" t="str">
        <f t="shared" si="37"/>
        <v>1w</v>
      </c>
      <c r="X1845" s="101">
        <f>_xll.qlCalendarAdvance(Calendar,X1844,W1845,"f",FALSE)</f>
        <v>52230</v>
      </c>
      <c r="Y1845" s="104">
        <f>_xll.qlCalendarAdvance(Calendar,X1845,NDays&amp;"D")</f>
        <v>52236</v>
      </c>
      <c r="Z1845" s="105">
        <v>2.2946825449143008E-2</v>
      </c>
      <c r="AA1845" s="102">
        <v>2.2917351853264378E-2</v>
      </c>
    </row>
    <row r="1846" spans="19:27" x14ac:dyDescent="0.2">
      <c r="S1846" s="61"/>
      <c r="T1846" s="82"/>
      <c r="W1846" s="103" t="str">
        <f t="shared" si="37"/>
        <v>1w</v>
      </c>
      <c r="X1846" s="101">
        <f>_xll.qlCalendarAdvance(Calendar,X1845,W1846,"f",FALSE)</f>
        <v>52238</v>
      </c>
      <c r="Y1846" s="104">
        <f>_xll.qlCalendarAdvance(Calendar,X1846,NDays&amp;"D")</f>
        <v>52240</v>
      </c>
      <c r="Z1846" s="105">
        <v>2.2943109451547983E-2</v>
      </c>
      <c r="AA1846" s="102">
        <v>2.2912936034753528E-2</v>
      </c>
    </row>
    <row r="1847" spans="19:27" x14ac:dyDescent="0.2">
      <c r="S1847" s="61"/>
      <c r="T1847" s="82"/>
      <c r="W1847" s="103" t="str">
        <f t="shared" si="37"/>
        <v>1w</v>
      </c>
      <c r="X1847" s="101">
        <f>_xll.qlCalendarAdvance(Calendar,X1846,W1847,"f",FALSE)</f>
        <v>52245</v>
      </c>
      <c r="Y1847" s="104">
        <f>_xll.qlCalendarAdvance(Calendar,X1847,NDays&amp;"D")</f>
        <v>52247</v>
      </c>
      <c r="Z1847" s="105">
        <v>2.2937183678144457E-2</v>
      </c>
      <c r="AA1847" s="102">
        <v>2.2906791281087635E-2</v>
      </c>
    </row>
    <row r="1848" spans="19:27" x14ac:dyDescent="0.2">
      <c r="S1848" s="61"/>
      <c r="T1848" s="82"/>
      <c r="W1848" s="103" t="str">
        <f t="shared" si="37"/>
        <v>1w</v>
      </c>
      <c r="X1848" s="101">
        <f>_xll.qlCalendarAdvance(Calendar,X1847,W1848,"f",FALSE)</f>
        <v>52252</v>
      </c>
      <c r="Y1848" s="104">
        <f>_xll.qlCalendarAdvance(Calendar,X1848,NDays&amp;"D")</f>
        <v>52254</v>
      </c>
      <c r="Z1848" s="105">
        <v>2.2931301784778313E-2</v>
      </c>
      <c r="AA1848" s="102">
        <v>2.2900690151566039E-2</v>
      </c>
    </row>
    <row r="1849" spans="19:27" x14ac:dyDescent="0.2">
      <c r="S1849" s="61"/>
      <c r="T1849" s="82"/>
      <c r="W1849" s="103" t="str">
        <f t="shared" si="37"/>
        <v>1w</v>
      </c>
      <c r="X1849" s="101">
        <f>_xll.qlCalendarAdvance(Calendar,X1848,W1849,"f",FALSE)</f>
        <v>52259</v>
      </c>
      <c r="Y1849" s="104">
        <f>_xll.qlCalendarAdvance(Calendar,X1849,NDays&amp;"D")</f>
        <v>52261</v>
      </c>
      <c r="Z1849" s="105">
        <v>2.2925463771255927E-2</v>
      </c>
      <c r="AA1849" s="102">
        <v>2.2894632646108803E-2</v>
      </c>
    </row>
    <row r="1850" spans="19:27" x14ac:dyDescent="0.2">
      <c r="S1850" s="61"/>
      <c r="T1850" s="82"/>
      <c r="W1850" s="103" t="str">
        <f t="shared" si="37"/>
        <v>1w</v>
      </c>
      <c r="X1850" s="101">
        <f>_xll.qlCalendarAdvance(Calendar,X1849,W1850,"f",FALSE)</f>
        <v>52266</v>
      </c>
      <c r="Y1850" s="104">
        <f>_xll.qlCalendarAdvance(Calendar,X1850,NDays&amp;"D")</f>
        <v>52268</v>
      </c>
      <c r="Z1850" s="105">
        <v>2.2919347151460708E-2</v>
      </c>
      <c r="AA1850" s="102">
        <v>2.2888618764795865E-2</v>
      </c>
    </row>
    <row r="1851" spans="19:27" x14ac:dyDescent="0.2">
      <c r="S1851" s="61"/>
      <c r="T1851" s="82"/>
      <c r="W1851" s="103" t="str">
        <f t="shared" si="37"/>
        <v>1w</v>
      </c>
      <c r="X1851" s="101">
        <f>_xll.qlCalendarAdvance(Calendar,X1850,W1851,"f",FALSE)</f>
        <v>52273</v>
      </c>
      <c r="Y1851" s="104">
        <f>_xll.qlCalendarAdvance(Calendar,X1851,NDays&amp;"D")</f>
        <v>52275</v>
      </c>
      <c r="Z1851" s="105">
        <v>2.2913594128022397E-2</v>
      </c>
      <c r="AA1851" s="102">
        <v>2.2882648507467351E-2</v>
      </c>
    </row>
    <row r="1852" spans="19:27" x14ac:dyDescent="0.2">
      <c r="S1852" s="61"/>
      <c r="T1852" s="82"/>
      <c r="W1852" s="103" t="str">
        <f t="shared" si="37"/>
        <v>1w</v>
      </c>
      <c r="X1852" s="101">
        <f>_xll.qlCalendarAdvance(Calendar,X1851,W1852,"f",FALSE)</f>
        <v>52280</v>
      </c>
      <c r="Y1852" s="104">
        <f>_xll.qlCalendarAdvance(Calendar,X1852,NDays&amp;"D")</f>
        <v>52282</v>
      </c>
      <c r="Z1852" s="105">
        <v>2.2907884980998494E-2</v>
      </c>
      <c r="AA1852" s="102">
        <v>2.2876721874283135E-2</v>
      </c>
    </row>
    <row r="1853" spans="19:27" x14ac:dyDescent="0.2">
      <c r="S1853" s="61"/>
      <c r="T1853" s="82"/>
      <c r="W1853" s="103" t="str">
        <f t="shared" si="37"/>
        <v>1w</v>
      </c>
      <c r="X1853" s="101">
        <f>_xll.qlCalendarAdvance(Calendar,X1852,W1853,"f",FALSE)</f>
        <v>52287</v>
      </c>
      <c r="Y1853" s="104">
        <f>_xll.qlCalendarAdvance(Calendar,X1853,NDays&amp;"D")</f>
        <v>52289</v>
      </c>
      <c r="Z1853" s="105">
        <v>2.2902881592415485E-2</v>
      </c>
      <c r="AA1853" s="102">
        <v>2.2870838865323151E-2</v>
      </c>
    </row>
    <row r="1854" spans="19:27" x14ac:dyDescent="0.2">
      <c r="S1854" s="61"/>
      <c r="T1854" s="82"/>
      <c r="W1854" s="103" t="str">
        <f t="shared" si="37"/>
        <v>1w</v>
      </c>
      <c r="X1854" s="101">
        <f>_xll.qlCalendarAdvance(Calendar,X1853,W1854,"f",FALSE)</f>
        <v>52294</v>
      </c>
      <c r="Y1854" s="104">
        <f>_xll.qlCalendarAdvance(Calendar,X1854,NDays&amp;"D")</f>
        <v>52296</v>
      </c>
      <c r="Z1854" s="105">
        <v>2.2898269005831924E-2</v>
      </c>
      <c r="AA1854" s="102">
        <v>2.2864999480347592E-2</v>
      </c>
    </row>
    <row r="1855" spans="19:27" x14ac:dyDescent="0.2">
      <c r="S1855" s="61"/>
      <c r="T1855" s="82"/>
      <c r="W1855" s="103" t="str">
        <f t="shared" si="37"/>
        <v>1w</v>
      </c>
      <c r="X1855" s="101">
        <f>_xll.qlCalendarAdvance(Calendar,X1854,W1855,"f",FALSE)</f>
        <v>52301</v>
      </c>
      <c r="Y1855" s="104">
        <f>_xll.qlCalendarAdvance(Calendar,X1855,NDays&amp;"D")</f>
        <v>52303</v>
      </c>
      <c r="Z1855" s="105">
        <v>2.2892705393166034E-2</v>
      </c>
      <c r="AA1855" s="102">
        <v>2.2859203719436394E-2</v>
      </c>
    </row>
    <row r="1856" spans="19:27" x14ac:dyDescent="0.2">
      <c r="S1856" s="61"/>
      <c r="T1856" s="82"/>
      <c r="W1856" s="103" t="str">
        <f t="shared" si="37"/>
        <v>1w</v>
      </c>
      <c r="X1856" s="101">
        <f>_xll.qlCalendarAdvance(Calendar,X1855,W1856,"f",FALSE)</f>
        <v>52308</v>
      </c>
      <c r="Y1856" s="104">
        <f>_xll.qlCalendarAdvance(Calendar,X1856,NDays&amp;"D")</f>
        <v>52310</v>
      </c>
      <c r="Z1856" s="105">
        <v>2.2887185670454793E-2</v>
      </c>
      <c r="AA1856" s="102">
        <v>2.2853451582749429E-2</v>
      </c>
    </row>
    <row r="1857" spans="19:27" x14ac:dyDescent="0.2">
      <c r="S1857" s="61"/>
      <c r="T1857" s="82"/>
      <c r="W1857" s="103" t="str">
        <f t="shared" si="37"/>
        <v>1w</v>
      </c>
      <c r="X1857" s="101">
        <f>_xll.qlCalendarAdvance(Calendar,X1856,W1857,"f",FALSE)</f>
        <v>52315</v>
      </c>
      <c r="Y1857" s="104">
        <f>_xll.qlCalendarAdvance(Calendar,X1857,NDays&amp;"D")</f>
        <v>52321</v>
      </c>
      <c r="Z1857" s="105">
        <v>2.2877567400621312E-2</v>
      </c>
      <c r="AA1857" s="102">
        <v>2.2846120079105248E-2</v>
      </c>
    </row>
    <row r="1858" spans="19:27" x14ac:dyDescent="0.2">
      <c r="S1858" s="61"/>
      <c r="T1858" s="82"/>
      <c r="W1858" s="103" t="str">
        <f t="shared" si="37"/>
        <v>1w</v>
      </c>
      <c r="X1858" s="101">
        <f>_xll.qlCalendarAdvance(Calendar,X1857,W1858,"f",FALSE)</f>
        <v>52322</v>
      </c>
      <c r="Y1858" s="104">
        <f>_xll.qlCalendarAdvance(Calendar,X1858,NDays&amp;"D")</f>
        <v>52324</v>
      </c>
      <c r="Z1858" s="105">
        <v>2.2875241210685252E-2</v>
      </c>
      <c r="AA1858" s="102">
        <v>2.2842078181648517E-2</v>
      </c>
    </row>
    <row r="1859" spans="19:27" x14ac:dyDescent="0.2">
      <c r="S1859" s="61"/>
      <c r="T1859" s="82"/>
      <c r="W1859" s="103" t="str">
        <f t="shared" si="37"/>
        <v>1w</v>
      </c>
      <c r="X1859" s="101">
        <f>_xll.qlCalendarAdvance(Calendar,X1858,W1859,"f",FALSE)</f>
        <v>52329</v>
      </c>
      <c r="Y1859" s="104">
        <f>_xll.qlCalendarAdvance(Calendar,X1859,NDays&amp;"D")</f>
        <v>52331</v>
      </c>
      <c r="Z1859" s="105">
        <v>2.2869844777607271E-2</v>
      </c>
      <c r="AA1859" s="102">
        <v>2.2836456917154635E-2</v>
      </c>
    </row>
    <row r="1860" spans="19:27" x14ac:dyDescent="0.2">
      <c r="S1860" s="61"/>
      <c r="T1860" s="82"/>
      <c r="W1860" s="103" t="str">
        <f t="shared" si="37"/>
        <v>1w</v>
      </c>
      <c r="X1860" s="101">
        <f>_xll.qlCalendarAdvance(Calendar,X1859,W1860,"f",FALSE)</f>
        <v>52336</v>
      </c>
      <c r="Y1860" s="104">
        <f>_xll.qlCalendarAdvance(Calendar,X1860,NDays&amp;"D")</f>
        <v>52338</v>
      </c>
      <c r="Z1860" s="105">
        <v>2.2864492225199817E-2</v>
      </c>
      <c r="AA1860" s="102">
        <v>2.2830879276884986E-2</v>
      </c>
    </row>
    <row r="1861" spans="19:27" x14ac:dyDescent="0.2">
      <c r="S1861" s="61"/>
      <c r="T1861" s="82"/>
      <c r="W1861" s="103" t="str">
        <f t="shared" si="37"/>
        <v>1w</v>
      </c>
      <c r="X1861" s="101">
        <f>_xll.qlCalendarAdvance(Calendar,X1860,W1861,"f",FALSE)</f>
        <v>52343</v>
      </c>
      <c r="Y1861" s="104">
        <f>_xll.qlCalendarAdvance(Calendar,X1861,NDays&amp;"D")</f>
        <v>52345</v>
      </c>
      <c r="Z1861" s="105">
        <v>2.2859183553284569E-2</v>
      </c>
      <c r="AA1861" s="102">
        <v>2.2825345260519825E-2</v>
      </c>
    </row>
    <row r="1862" spans="19:27" x14ac:dyDescent="0.2">
      <c r="S1862" s="61"/>
      <c r="T1862" s="82"/>
      <c r="W1862" s="103" t="str">
        <f t="shared" si="37"/>
        <v>1w</v>
      </c>
      <c r="X1862" s="101">
        <f>_xll.qlCalendarAdvance(Calendar,X1861,W1862,"f",FALSE)</f>
        <v>52350</v>
      </c>
      <c r="Y1862" s="104">
        <f>_xll.qlCalendarAdvance(Calendar,X1862,NDays&amp;"D")</f>
        <v>52355</v>
      </c>
      <c r="Z1862" s="105">
        <v>2.285203352429703E-2</v>
      </c>
      <c r="AA1862" s="102">
        <v>2.2819407326495345E-2</v>
      </c>
    </row>
    <row r="1863" spans="19:27" x14ac:dyDescent="0.2">
      <c r="S1863" s="61"/>
      <c r="T1863" s="82"/>
      <c r="W1863" s="103" t="str">
        <f t="shared" si="37"/>
        <v>1w</v>
      </c>
      <c r="X1863" s="101">
        <f>_xll.qlCalendarAdvance(Calendar,X1862,W1863,"f",FALSE)</f>
        <v>52357</v>
      </c>
      <c r="Y1863" s="104">
        <f>_xll.qlCalendarAdvance(Calendar,X1863,NDays&amp;"D")</f>
        <v>52362</v>
      </c>
      <c r="Z1863" s="105">
        <v>2.2846834223806886E-2</v>
      </c>
      <c r="AA1863" s="102">
        <v>2.2813633551637125E-2</v>
      </c>
    </row>
    <row r="1864" spans="19:27" x14ac:dyDescent="0.2">
      <c r="S1864" s="61"/>
      <c r="T1864" s="82"/>
      <c r="W1864" s="103" t="str">
        <f t="shared" si="37"/>
        <v>1w</v>
      </c>
      <c r="X1864" s="101">
        <f>_xll.qlCalendarAdvance(Calendar,X1863,W1864,"f",FALSE)</f>
        <v>52364</v>
      </c>
      <c r="Y1864" s="104">
        <f>_xll.qlCalendarAdvance(Calendar,X1864,NDays&amp;"D")</f>
        <v>52366</v>
      </c>
      <c r="Z1864" s="105">
        <v>2.2844607904823285E-2</v>
      </c>
      <c r="AA1864" s="102">
        <v>2.2808236639679791E-2</v>
      </c>
    </row>
    <row r="1865" spans="19:27" x14ac:dyDescent="0.2">
      <c r="S1865" s="61"/>
      <c r="T1865" s="82"/>
      <c r="W1865" s="103" t="str">
        <f t="shared" si="37"/>
        <v>1w</v>
      </c>
      <c r="X1865" s="101">
        <f>_xll.qlCalendarAdvance(Calendar,X1864,W1865,"f",FALSE)</f>
        <v>52371</v>
      </c>
      <c r="Y1865" s="104">
        <f>_xll.qlCalendarAdvance(Calendar,X1865,NDays&amp;"D")</f>
        <v>52373</v>
      </c>
      <c r="Z1865" s="105">
        <v>2.283948318339904E-2</v>
      </c>
      <c r="AA1865" s="102">
        <v>2.2803645436342279E-2</v>
      </c>
    </row>
    <row r="1866" spans="19:27" x14ac:dyDescent="0.2">
      <c r="S1866" s="61"/>
      <c r="T1866" s="82"/>
      <c r="W1866" s="103" t="str">
        <f t="shared" si="37"/>
        <v>1w</v>
      </c>
      <c r="X1866" s="101">
        <f>_xll.qlCalendarAdvance(Calendar,X1865,W1866,"f",FALSE)</f>
        <v>52378</v>
      </c>
      <c r="Y1866" s="104">
        <f>_xll.qlCalendarAdvance(Calendar,X1866,NDays&amp;"D")</f>
        <v>52380</v>
      </c>
      <c r="Z1866" s="105">
        <v>2.2834402350110479E-2</v>
      </c>
      <c r="AA1866" s="102">
        <v>2.2798329540458795E-2</v>
      </c>
    </row>
    <row r="1867" spans="19:27" x14ac:dyDescent="0.2">
      <c r="S1867" s="61"/>
      <c r="T1867" s="82"/>
      <c r="W1867" s="103" t="str">
        <f t="shared" si="37"/>
        <v>1w</v>
      </c>
      <c r="X1867" s="101">
        <f>_xll.qlCalendarAdvance(Calendar,X1866,W1867,"f",FALSE)</f>
        <v>52385</v>
      </c>
      <c r="Y1867" s="104">
        <f>_xll.qlCalendarAdvance(Calendar,X1867,NDays&amp;"D")</f>
        <v>52387</v>
      </c>
      <c r="Z1867" s="105">
        <v>2.2829365404785817E-2</v>
      </c>
      <c r="AA1867" s="102">
        <v>2.2793057268639672E-2</v>
      </c>
    </row>
    <row r="1868" spans="19:27" x14ac:dyDescent="0.2">
      <c r="S1868" s="61"/>
      <c r="T1868" s="82"/>
      <c r="W1868" s="103" t="str">
        <f t="shared" si="37"/>
        <v>1w</v>
      </c>
      <c r="X1868" s="101">
        <f>_xll.qlCalendarAdvance(Calendar,X1867,W1868,"f",FALSE)</f>
        <v>52392</v>
      </c>
      <c r="Y1868" s="104">
        <f>_xll.qlCalendarAdvance(Calendar,X1868,NDays&amp;"D")</f>
        <v>52394</v>
      </c>
      <c r="Z1868" s="105">
        <v>2.2824372347249877E-2</v>
      </c>
      <c r="AA1868" s="102">
        <v>2.2787828620964845E-2</v>
      </c>
    </row>
    <row r="1869" spans="19:27" x14ac:dyDescent="0.2">
      <c r="S1869" s="61"/>
      <c r="T1869" s="82"/>
      <c r="W1869" s="103" t="str">
        <f t="shared" si="37"/>
        <v>1w</v>
      </c>
      <c r="X1869" s="101">
        <f>_xll.qlCalendarAdvance(Calendar,X1868,W1869,"f",FALSE)</f>
        <v>52399</v>
      </c>
      <c r="Y1869" s="104">
        <f>_xll.qlCalendarAdvance(Calendar,X1869,NDays&amp;"D")</f>
        <v>52404</v>
      </c>
      <c r="Z1869" s="105">
        <v>2.2816559952312822E-2</v>
      </c>
      <c r="AA1869" s="102">
        <v>2.2781906440858535E-2</v>
      </c>
    </row>
    <row r="1870" spans="19:27" x14ac:dyDescent="0.2">
      <c r="S1870" s="61"/>
      <c r="T1870" s="82"/>
      <c r="W1870" s="103" t="str">
        <f t="shared" si="37"/>
        <v>1w</v>
      </c>
      <c r="X1870" s="101">
        <f>_xll.qlCalendarAdvance(Calendar,X1869,W1870,"f",FALSE)</f>
        <v>52406</v>
      </c>
      <c r="Y1870" s="104">
        <f>_xll.qlCalendarAdvance(Calendar,X1870,NDays&amp;"D")</f>
        <v>52408</v>
      </c>
      <c r="Z1870" s="105">
        <v>2.281451789486981E-2</v>
      </c>
      <c r="AA1870" s="102">
        <v>2.2777502197728339E-2</v>
      </c>
    </row>
    <row r="1871" spans="19:27" x14ac:dyDescent="0.2">
      <c r="S1871" s="61"/>
      <c r="T1871" s="82"/>
      <c r="W1871" s="103" t="str">
        <f t="shared" si="37"/>
        <v>1w</v>
      </c>
      <c r="X1871" s="101">
        <f>_xll.qlCalendarAdvance(Calendar,X1870,W1871,"f",FALSE)</f>
        <v>52413</v>
      </c>
      <c r="Y1871" s="104">
        <f>_xll.qlCalendarAdvance(Calendar,X1871,NDays&amp;"D")</f>
        <v>52415</v>
      </c>
      <c r="Z1871" s="105">
        <v>2.280965649968723E-2</v>
      </c>
      <c r="AA1871" s="102">
        <v>2.2772404422246595E-2</v>
      </c>
    </row>
    <row r="1872" spans="19:27" x14ac:dyDescent="0.2">
      <c r="S1872" s="61"/>
      <c r="T1872" s="82"/>
      <c r="W1872" s="103" t="str">
        <f t="shared" si="37"/>
        <v>1w</v>
      </c>
      <c r="X1872" s="101">
        <f>_xll.qlCalendarAdvance(Calendar,X1871,W1872,"f",FALSE)</f>
        <v>52420</v>
      </c>
      <c r="Y1872" s="104">
        <f>_xll.qlCalendarAdvance(Calendar,X1872,NDays&amp;"D")</f>
        <v>52422</v>
      </c>
      <c r="Z1872" s="105">
        <v>2.280483899162327E-2</v>
      </c>
      <c r="AA1872" s="102">
        <v>2.2767350270909148E-2</v>
      </c>
    </row>
    <row r="1873" spans="19:27" x14ac:dyDescent="0.2">
      <c r="S1873" s="61"/>
      <c r="T1873" s="82"/>
      <c r="W1873" s="103" t="str">
        <f t="shared" si="37"/>
        <v>1w</v>
      </c>
      <c r="X1873" s="101">
        <f>_xll.qlCalendarAdvance(Calendar,X1872,W1873,"f",FALSE)</f>
        <v>52427</v>
      </c>
      <c r="Y1873" s="104">
        <f>_xll.qlCalendarAdvance(Calendar,X1873,NDays&amp;"D")</f>
        <v>52429</v>
      </c>
      <c r="Z1873" s="105">
        <v>2.2800065370511255E-2</v>
      </c>
      <c r="AA1873" s="102">
        <v>2.2762339743556126E-2</v>
      </c>
    </row>
    <row r="1874" spans="19:27" x14ac:dyDescent="0.2">
      <c r="S1874" s="61"/>
      <c r="T1874" s="82"/>
      <c r="W1874" s="103" t="str">
        <f t="shared" si="37"/>
        <v>1w</v>
      </c>
      <c r="X1874" s="101">
        <f>_xll.qlCalendarAdvance(Calendar,X1873,W1874,"f",FALSE)</f>
        <v>52434</v>
      </c>
      <c r="Y1874" s="104">
        <f>_xll.qlCalendarAdvance(Calendar,X1874,NDays&amp;"D")</f>
        <v>52436</v>
      </c>
      <c r="Z1874" s="105">
        <v>2.2795335636187061E-2</v>
      </c>
      <c r="AA1874" s="102">
        <v>2.2757372840187529E-2</v>
      </c>
    </row>
    <row r="1875" spans="19:27" x14ac:dyDescent="0.2">
      <c r="S1875" s="61"/>
      <c r="T1875" s="82"/>
      <c r="W1875" s="103" t="str">
        <f t="shared" si="37"/>
        <v>1w</v>
      </c>
      <c r="X1875" s="101">
        <f>_xll.qlCalendarAdvance(Calendar,X1874,W1875,"f",FALSE)</f>
        <v>52441</v>
      </c>
      <c r="Y1875" s="104">
        <f>_xll.qlCalendarAdvance(Calendar,X1875,NDays&amp;"D")</f>
        <v>52443</v>
      </c>
      <c r="Z1875" s="105">
        <v>2.2789469502479027E-2</v>
      </c>
      <c r="AA1875" s="102">
        <v>2.2752449560963228E-2</v>
      </c>
    </row>
    <row r="1876" spans="19:27" x14ac:dyDescent="0.2">
      <c r="S1876" s="61"/>
      <c r="T1876" s="82"/>
      <c r="W1876" s="103" t="str">
        <f t="shared" si="37"/>
        <v>1w</v>
      </c>
      <c r="X1876" s="101">
        <f>_xll.qlCalendarAdvance(Calendar,X1875,W1876,"f",FALSE)</f>
        <v>52448</v>
      </c>
      <c r="Y1876" s="104">
        <f>_xll.qlCalendarAdvance(Calendar,X1876,NDays&amp;"D")</f>
        <v>52450</v>
      </c>
      <c r="Z1876" s="105">
        <v>2.2786007827264351E-2</v>
      </c>
      <c r="AA1876" s="102">
        <v>2.2747569905723353E-2</v>
      </c>
    </row>
    <row r="1877" spans="19:27" x14ac:dyDescent="0.2">
      <c r="S1877" s="61"/>
      <c r="T1877" s="82"/>
      <c r="W1877" s="103" t="str">
        <f t="shared" ref="W1877:W1940" si="38">W1876</f>
        <v>1w</v>
      </c>
      <c r="X1877" s="101">
        <f>_xll.qlCalendarAdvance(Calendar,X1876,W1877,"f",FALSE)</f>
        <v>52455</v>
      </c>
      <c r="Y1877" s="104">
        <f>_xll.qlCalendarAdvance(Calendar,X1877,NDays&amp;"D")</f>
        <v>52457</v>
      </c>
      <c r="Z1877" s="105">
        <v>2.2781409752345237E-2</v>
      </c>
      <c r="AA1877" s="102">
        <v>2.274273387470771E-2</v>
      </c>
    </row>
    <row r="1878" spans="19:27" x14ac:dyDescent="0.2">
      <c r="S1878" s="61"/>
      <c r="T1878" s="82"/>
      <c r="W1878" s="103" t="str">
        <f t="shared" si="38"/>
        <v>1w</v>
      </c>
      <c r="X1878" s="101">
        <f>_xll.qlCalendarAdvance(Calendar,X1877,W1878,"f",FALSE)</f>
        <v>52462</v>
      </c>
      <c r="Y1878" s="104">
        <f>_xll.qlCalendarAdvance(Calendar,X1878,NDays&amp;"D")</f>
        <v>52464</v>
      </c>
      <c r="Z1878" s="105">
        <v>2.2776855563578707E-2</v>
      </c>
      <c r="AA1878" s="102">
        <v>2.2737941467596556E-2</v>
      </c>
    </row>
    <row r="1879" spans="19:27" x14ac:dyDescent="0.2">
      <c r="S1879" s="61"/>
      <c r="T1879" s="82"/>
      <c r="W1879" s="103" t="str">
        <f t="shared" si="38"/>
        <v>1w</v>
      </c>
      <c r="X1879" s="101">
        <f>_xll.qlCalendarAdvance(Calendar,X1878,W1879,"f",FALSE)</f>
        <v>52469</v>
      </c>
      <c r="Y1879" s="104">
        <f>_xll.qlCalendarAdvance(Calendar,X1879,NDays&amp;"D")</f>
        <v>52471</v>
      </c>
      <c r="Z1879" s="105">
        <v>2.2772345260807441E-2</v>
      </c>
      <c r="AA1879" s="102">
        <v>2.2733192684549763E-2</v>
      </c>
    </row>
    <row r="1880" spans="19:27" x14ac:dyDescent="0.2">
      <c r="S1880" s="61"/>
      <c r="T1880" s="82"/>
      <c r="W1880" s="103" t="str">
        <f t="shared" si="38"/>
        <v>1w</v>
      </c>
      <c r="X1880" s="101">
        <f>_xll.qlCalendarAdvance(Calendar,X1879,W1880,"f",FALSE)</f>
        <v>52476</v>
      </c>
      <c r="Y1880" s="104">
        <f>_xll.qlCalendarAdvance(Calendar,X1880,NDays&amp;"D")</f>
        <v>52478</v>
      </c>
      <c r="Z1880" s="105">
        <v>2.2766655855585665E-2</v>
      </c>
      <c r="AA1880" s="102">
        <v>2.2728487525567331E-2</v>
      </c>
    </row>
    <row r="1881" spans="19:27" x14ac:dyDescent="0.2">
      <c r="S1881" s="61"/>
      <c r="T1881" s="82"/>
      <c r="W1881" s="103" t="str">
        <f t="shared" si="38"/>
        <v>1w</v>
      </c>
      <c r="X1881" s="101">
        <f>_xll.qlCalendarAdvance(Calendar,X1880,W1881,"f",FALSE)</f>
        <v>52483</v>
      </c>
      <c r="Y1881" s="104">
        <f>_xll.qlCalendarAdvance(Calendar,X1881,NDays&amp;"D")</f>
        <v>52485</v>
      </c>
      <c r="Z1881" s="105">
        <v>2.2762224758571956E-2</v>
      </c>
      <c r="AA1881" s="102">
        <v>2.2723825990729196E-2</v>
      </c>
    </row>
    <row r="1882" spans="19:27" x14ac:dyDescent="0.2">
      <c r="S1882" s="61"/>
      <c r="T1882" s="82"/>
      <c r="W1882" s="103" t="str">
        <f t="shared" si="38"/>
        <v>1w</v>
      </c>
      <c r="X1882" s="101">
        <f>_xll.qlCalendarAdvance(Calendar,X1881,W1882,"f",FALSE)</f>
        <v>52490</v>
      </c>
      <c r="Y1882" s="104">
        <f>_xll.qlCalendarAdvance(Calendar,X1882,NDays&amp;"D")</f>
        <v>52492</v>
      </c>
      <c r="Z1882" s="105">
        <v>2.2757837538667666E-2</v>
      </c>
      <c r="AA1882" s="102">
        <v>2.2719208079875486E-2</v>
      </c>
    </row>
    <row r="1883" spans="19:27" x14ac:dyDescent="0.2">
      <c r="S1883" s="61"/>
      <c r="T1883" s="82"/>
      <c r="W1883" s="103" t="str">
        <f t="shared" si="38"/>
        <v>1w</v>
      </c>
      <c r="X1883" s="101">
        <f>_xll.qlCalendarAdvance(Calendar,X1882,W1883,"f",FALSE)</f>
        <v>52497</v>
      </c>
      <c r="Y1883" s="104">
        <f>_xll.qlCalendarAdvance(Calendar,X1883,NDays&amp;"D")</f>
        <v>52499</v>
      </c>
      <c r="Z1883" s="105">
        <v>2.2754742906625536E-2</v>
      </c>
      <c r="AA1883" s="102">
        <v>2.27146337930062E-2</v>
      </c>
    </row>
    <row r="1884" spans="19:27" x14ac:dyDescent="0.2">
      <c r="S1884" s="61"/>
      <c r="T1884" s="82"/>
      <c r="W1884" s="103" t="str">
        <f t="shared" si="38"/>
        <v>1w</v>
      </c>
      <c r="X1884" s="101">
        <f>_xll.qlCalendarAdvance(Calendar,X1883,W1884,"f",FALSE)</f>
        <v>52504</v>
      </c>
      <c r="Y1884" s="104">
        <f>_xll.qlCalendarAdvance(Calendar,X1884,NDays&amp;"D")</f>
        <v>52506</v>
      </c>
      <c r="Z1884" s="105">
        <v>2.2750452031553261E-2</v>
      </c>
      <c r="AA1884" s="102">
        <v>2.2710103130281212E-2</v>
      </c>
    </row>
    <row r="1885" spans="19:27" x14ac:dyDescent="0.2">
      <c r="S1885" s="61"/>
      <c r="T1885" s="82"/>
      <c r="W1885" s="103" t="str">
        <f t="shared" si="38"/>
        <v>1w</v>
      </c>
      <c r="X1885" s="101">
        <f>_xll.qlCalendarAdvance(Calendar,X1884,W1885,"f",FALSE)</f>
        <v>52511</v>
      </c>
      <c r="Y1885" s="104">
        <f>_xll.qlCalendarAdvance(Calendar,X1885,NDays&amp;"D")</f>
        <v>52513</v>
      </c>
      <c r="Z1885" s="105">
        <v>2.2746205041573993E-2</v>
      </c>
      <c r="AA1885" s="102">
        <v>2.2705616091540648E-2</v>
      </c>
    </row>
    <row r="1886" spans="19:27" x14ac:dyDescent="0.2">
      <c r="S1886" s="61"/>
      <c r="T1886" s="82"/>
      <c r="W1886" s="103" t="str">
        <f t="shared" si="38"/>
        <v>1w</v>
      </c>
      <c r="X1886" s="101">
        <f>_xll.qlCalendarAdvance(Calendar,X1885,W1886,"f",FALSE)</f>
        <v>52518</v>
      </c>
      <c r="Y1886" s="104">
        <f>_xll.qlCalendarAdvance(Calendar,X1886,NDays&amp;"D")</f>
        <v>52520</v>
      </c>
      <c r="Z1886" s="105">
        <v>2.2742001936545714E-2</v>
      </c>
      <c r="AA1886" s="102">
        <v>2.2701172676864445E-2</v>
      </c>
    </row>
    <row r="1887" spans="19:27" x14ac:dyDescent="0.2">
      <c r="S1887" s="61"/>
      <c r="T1887" s="82"/>
      <c r="W1887" s="103" t="str">
        <f t="shared" si="38"/>
        <v>1w</v>
      </c>
      <c r="X1887" s="101">
        <f>_xll.qlCalendarAdvance(Calendar,X1886,W1887,"f",FALSE)</f>
        <v>52525</v>
      </c>
      <c r="Y1887" s="104">
        <f>_xll.qlCalendarAdvance(Calendar,X1887,NDays&amp;"D")</f>
        <v>52527</v>
      </c>
      <c r="Z1887" s="105">
        <v>2.2737842716320462E-2</v>
      </c>
      <c r="AA1887" s="102">
        <v>2.2696772886332539E-2</v>
      </c>
    </row>
    <row r="1888" spans="19:27" x14ac:dyDescent="0.2">
      <c r="S1888" s="61"/>
      <c r="T1888" s="82"/>
      <c r="W1888" s="103" t="str">
        <f t="shared" si="38"/>
        <v>1w</v>
      </c>
      <c r="X1888" s="101">
        <f>_xll.qlCalendarAdvance(Calendar,X1887,W1888,"f",FALSE)</f>
        <v>52532</v>
      </c>
      <c r="Y1888" s="104">
        <f>_xll.qlCalendarAdvance(Calendar,X1888,NDays&amp;"D")</f>
        <v>52534</v>
      </c>
      <c r="Z1888" s="105">
        <v>2.2732435630512724E-2</v>
      </c>
      <c r="AA1888" s="102">
        <v>2.2692416719625186E-2</v>
      </c>
    </row>
    <row r="1889" spans="19:27" x14ac:dyDescent="0.2">
      <c r="S1889" s="61"/>
      <c r="T1889" s="82"/>
      <c r="W1889" s="103" t="str">
        <f t="shared" si="38"/>
        <v>1w</v>
      </c>
      <c r="X1889" s="101">
        <f>_xll.qlCalendarAdvance(Calendar,X1888,W1889,"f",FALSE)</f>
        <v>52539</v>
      </c>
      <c r="Y1889" s="104">
        <f>_xll.qlCalendarAdvance(Calendar,X1889,NDays&amp;"D")</f>
        <v>52541</v>
      </c>
      <c r="Z1889" s="105">
        <v>2.2729655929721183E-2</v>
      </c>
      <c r="AA1889" s="102">
        <v>2.2688104177062129E-2</v>
      </c>
    </row>
    <row r="1890" spans="19:27" x14ac:dyDescent="0.2">
      <c r="S1890" s="61"/>
      <c r="T1890" s="82"/>
      <c r="W1890" s="103" t="str">
        <f t="shared" si="38"/>
        <v>1w</v>
      </c>
      <c r="X1890" s="101">
        <f>_xll.qlCalendarAdvance(Calendar,X1889,W1890,"f",FALSE)</f>
        <v>52546</v>
      </c>
      <c r="Y1890" s="104">
        <f>_xll.qlCalendarAdvance(Calendar,X1890,NDays&amp;"D")</f>
        <v>52548</v>
      </c>
      <c r="Z1890" s="105">
        <v>2.2725628363064829E-2</v>
      </c>
      <c r="AA1890" s="102">
        <v>2.268383525864337E-2</v>
      </c>
    </row>
    <row r="1891" spans="19:27" x14ac:dyDescent="0.2">
      <c r="S1891" s="61"/>
      <c r="T1891" s="82"/>
      <c r="W1891" s="103" t="str">
        <f t="shared" si="38"/>
        <v>1w</v>
      </c>
      <c r="X1891" s="101">
        <f>_xll.qlCalendarAdvance(Calendar,X1890,W1891,"f",FALSE)</f>
        <v>52553</v>
      </c>
      <c r="Y1891" s="104">
        <f>_xll.qlCalendarAdvance(Calendar,X1891,NDays&amp;"D")</f>
        <v>52555</v>
      </c>
      <c r="Z1891" s="105">
        <v>2.2721644680655351E-2</v>
      </c>
      <c r="AA1891" s="102">
        <v>2.2679609964049163E-2</v>
      </c>
    </row>
    <row r="1892" spans="19:27" x14ac:dyDescent="0.2">
      <c r="S1892" s="61"/>
      <c r="T1892" s="82"/>
      <c r="W1892" s="103" t="str">
        <f t="shared" si="38"/>
        <v>1w</v>
      </c>
      <c r="X1892" s="101">
        <f>_xll.qlCalendarAdvance(Calendar,X1891,W1892,"f",FALSE)</f>
        <v>52560</v>
      </c>
      <c r="Y1892" s="104">
        <f>_xll.qlCalendarAdvance(Calendar,X1892,NDays&amp;"D")</f>
        <v>52562</v>
      </c>
      <c r="Z1892" s="105">
        <v>2.2717704882354983E-2</v>
      </c>
      <c r="AA1892" s="102">
        <v>2.2675428293599253E-2</v>
      </c>
    </row>
    <row r="1893" spans="19:27" x14ac:dyDescent="0.2">
      <c r="S1893" s="61"/>
      <c r="T1893" s="82"/>
      <c r="W1893" s="103" t="str">
        <f t="shared" si="38"/>
        <v>1w</v>
      </c>
      <c r="X1893" s="101">
        <f>_xll.qlCalendarAdvance(Calendar,X1892,W1893,"f",FALSE)</f>
        <v>52567</v>
      </c>
      <c r="Y1893" s="104">
        <f>_xll.qlCalendarAdvance(Calendar,X1893,NDays&amp;"D")</f>
        <v>52569</v>
      </c>
      <c r="Z1893" s="105">
        <v>2.2712473968469839E-2</v>
      </c>
      <c r="AA1893" s="102">
        <v>2.2671290247213705E-2</v>
      </c>
    </row>
    <row r="1894" spans="19:27" x14ac:dyDescent="0.2">
      <c r="S1894" s="61"/>
      <c r="T1894" s="82"/>
      <c r="W1894" s="103" t="str">
        <f t="shared" si="38"/>
        <v>1w</v>
      </c>
      <c r="X1894" s="101">
        <f>_xll.qlCalendarAdvance(Calendar,X1893,W1894,"f",FALSE)</f>
        <v>52574</v>
      </c>
      <c r="Y1894" s="104">
        <f>_xll.qlCalendarAdvance(Calendar,X1894,NDays&amp;"D")</f>
        <v>52576</v>
      </c>
      <c r="Z1894" s="105">
        <v>2.2708613262972129E-2</v>
      </c>
      <c r="AA1894" s="102">
        <v>2.266719582481258E-2</v>
      </c>
    </row>
    <row r="1895" spans="19:27" x14ac:dyDescent="0.2">
      <c r="S1895" s="61"/>
      <c r="T1895" s="82"/>
      <c r="W1895" s="103" t="str">
        <f t="shared" si="38"/>
        <v>1w</v>
      </c>
      <c r="X1895" s="101">
        <f>_xll.qlCalendarAdvance(Calendar,X1894,W1895,"f",FALSE)</f>
        <v>52581</v>
      </c>
      <c r="Y1895" s="104">
        <f>_xll.qlCalendarAdvance(Calendar,X1895,NDays&amp;"D")</f>
        <v>52583</v>
      </c>
      <c r="Z1895" s="105">
        <v>2.2704796432811189E-2</v>
      </c>
      <c r="AA1895" s="102">
        <v>2.2663145026475817E-2</v>
      </c>
    </row>
    <row r="1896" spans="19:27" x14ac:dyDescent="0.2">
      <c r="S1896" s="61"/>
      <c r="T1896" s="82"/>
      <c r="W1896" s="103" t="str">
        <f t="shared" si="38"/>
        <v>1w</v>
      </c>
      <c r="X1896" s="101">
        <f>_xll.qlCalendarAdvance(Calendar,X1895,W1896,"f",FALSE)</f>
        <v>52588</v>
      </c>
      <c r="Y1896" s="104">
        <f>_xll.qlCalendarAdvance(Calendar,X1896,NDays&amp;"D")</f>
        <v>52594</v>
      </c>
      <c r="Z1896" s="105">
        <v>2.269888720262821E-2</v>
      </c>
      <c r="AA1896" s="102">
        <v>2.2655737852401714E-2</v>
      </c>
    </row>
    <row r="1897" spans="19:27" x14ac:dyDescent="0.2">
      <c r="S1897" s="61"/>
      <c r="T1897" s="82"/>
      <c r="W1897" s="103" t="str">
        <f t="shared" si="38"/>
        <v>1w</v>
      </c>
      <c r="X1897" s="101">
        <f>_xll.qlCalendarAdvance(Calendar,X1896,W1897,"f",FALSE)</f>
        <v>52595</v>
      </c>
      <c r="Y1897" s="104">
        <f>_xll.qlCalendarAdvance(Calendar,X1897,NDays&amp;"D")</f>
        <v>52601</v>
      </c>
      <c r="Z1897" s="105">
        <v>2.2695183194183195E-2</v>
      </c>
      <c r="AA1897" s="102">
        <v>2.2654354759987783E-2</v>
      </c>
    </row>
    <row r="1898" spans="19:27" x14ac:dyDescent="0.2">
      <c r="S1898" s="61"/>
      <c r="T1898" s="82"/>
      <c r="W1898" s="103" t="str">
        <f t="shared" si="38"/>
        <v>1w</v>
      </c>
      <c r="X1898" s="101">
        <f>_xll.qlCalendarAdvance(Calendar,X1897,W1898,"f",FALSE)</f>
        <v>52603</v>
      </c>
      <c r="Y1898" s="104">
        <f>_xll.qlCalendarAdvance(Calendar,X1898,NDays&amp;"D")</f>
        <v>52607</v>
      </c>
      <c r="Z1898" s="105">
        <v>2.269204325063846E-2</v>
      </c>
      <c r="AA1898" s="102">
        <v>2.2650697947188547E-2</v>
      </c>
    </row>
    <row r="1899" spans="19:27" x14ac:dyDescent="0.2">
      <c r="S1899" s="61"/>
      <c r="T1899" s="82"/>
      <c r="W1899" s="103" t="str">
        <f t="shared" si="38"/>
        <v>1w</v>
      </c>
      <c r="X1899" s="101">
        <f>_xll.qlCalendarAdvance(Calendar,X1898,W1899,"f",FALSE)</f>
        <v>52610</v>
      </c>
      <c r="Y1899" s="104">
        <f>_xll.qlCalendarAdvance(Calendar,X1899,NDays&amp;"D")</f>
        <v>52614</v>
      </c>
      <c r="Z1899" s="105">
        <v>2.2688884064907738E-2</v>
      </c>
      <c r="AA1899" s="102">
        <v>2.2646827876924291E-2</v>
      </c>
    </row>
    <row r="1900" spans="19:27" x14ac:dyDescent="0.2">
      <c r="S1900" s="61"/>
      <c r="T1900" s="82"/>
      <c r="W1900" s="103" t="str">
        <f t="shared" si="38"/>
        <v>1w</v>
      </c>
      <c r="X1900" s="101">
        <f>_xll.qlCalendarAdvance(Calendar,X1899,W1900,"f",FALSE)</f>
        <v>52617</v>
      </c>
      <c r="Y1900" s="104">
        <f>_xll.qlCalendarAdvance(Calendar,X1900,NDays&amp;"D")</f>
        <v>52621</v>
      </c>
      <c r="Z1900" s="105">
        <v>2.2684842072107619E-2</v>
      </c>
      <c r="AA1900" s="102">
        <v>2.264300143064446E-2</v>
      </c>
    </row>
    <row r="1901" spans="19:27" x14ac:dyDescent="0.2">
      <c r="S1901" s="61"/>
      <c r="T1901" s="82"/>
      <c r="W1901" s="103" t="str">
        <f t="shared" si="38"/>
        <v>1w</v>
      </c>
      <c r="X1901" s="101">
        <f>_xll.qlCalendarAdvance(Calendar,X1900,W1901,"f",FALSE)</f>
        <v>52624</v>
      </c>
      <c r="Y1901" s="104">
        <f>_xll.qlCalendarAdvance(Calendar,X1901,NDays&amp;"D")</f>
        <v>52628</v>
      </c>
      <c r="Z1901" s="105">
        <v>2.2681307294725173E-2</v>
      </c>
      <c r="AA1901" s="102">
        <v>2.2639218608508926E-2</v>
      </c>
    </row>
    <row r="1902" spans="19:27" x14ac:dyDescent="0.2">
      <c r="S1902" s="61"/>
      <c r="T1902" s="82"/>
      <c r="W1902" s="103" t="str">
        <f t="shared" si="38"/>
        <v>1w</v>
      </c>
      <c r="X1902" s="101">
        <f>_xll.qlCalendarAdvance(Calendar,X1901,W1902,"f",FALSE)</f>
        <v>52631</v>
      </c>
      <c r="Y1902" s="104">
        <f>_xll.qlCalendarAdvance(Calendar,X1902,NDays&amp;"D")</f>
        <v>52635</v>
      </c>
      <c r="Z1902" s="105">
        <v>2.2677816391775605E-2</v>
      </c>
      <c r="AA1902" s="102">
        <v>2.2635479410277881E-2</v>
      </c>
    </row>
    <row r="1903" spans="19:27" x14ac:dyDescent="0.2">
      <c r="S1903" s="61"/>
      <c r="T1903" s="82"/>
      <c r="W1903" s="103" t="str">
        <f t="shared" si="38"/>
        <v>1w</v>
      </c>
      <c r="X1903" s="101">
        <f>_xll.qlCalendarAdvance(Calendar,X1902,W1903,"f",FALSE)</f>
        <v>52638</v>
      </c>
      <c r="Y1903" s="104">
        <f>_xll.qlCalendarAdvance(Calendar,X1903,NDays&amp;"D")</f>
        <v>52642</v>
      </c>
      <c r="Z1903" s="105">
        <v>2.2674369363144722E-2</v>
      </c>
      <c r="AA1903" s="102">
        <v>2.2631783836031261E-2</v>
      </c>
    </row>
    <row r="1904" spans="19:27" x14ac:dyDescent="0.2">
      <c r="S1904" s="61"/>
      <c r="T1904" s="82"/>
      <c r="W1904" s="103" t="str">
        <f t="shared" si="38"/>
        <v>1w</v>
      </c>
      <c r="X1904" s="101">
        <f>_xll.qlCalendarAdvance(Calendar,X1903,W1904,"f",FALSE)</f>
        <v>52645</v>
      </c>
      <c r="Y1904" s="104">
        <f>_xll.qlCalendarAdvance(Calendar,X1904,NDays&amp;"D")</f>
        <v>52649</v>
      </c>
      <c r="Z1904" s="105">
        <v>2.2670966208713936E-2</v>
      </c>
      <c r="AA1904" s="102">
        <v>2.2628131885928937E-2</v>
      </c>
    </row>
    <row r="1905" spans="19:27" x14ac:dyDescent="0.2">
      <c r="S1905" s="61"/>
      <c r="T1905" s="82"/>
      <c r="W1905" s="103" t="str">
        <f t="shared" si="38"/>
        <v>1w</v>
      </c>
      <c r="X1905" s="101">
        <f>_xll.qlCalendarAdvance(Calendar,X1904,W1905,"f",FALSE)</f>
        <v>52652</v>
      </c>
      <c r="Y1905" s="104">
        <f>_xll.qlCalendarAdvance(Calendar,X1905,NDays&amp;"D")</f>
        <v>52656</v>
      </c>
      <c r="Z1905" s="105">
        <v>2.266808776622983E-2</v>
      </c>
      <c r="AA1905" s="102">
        <v>2.2624523559731102E-2</v>
      </c>
    </row>
    <row r="1906" spans="19:27" x14ac:dyDescent="0.2">
      <c r="S1906" s="61"/>
      <c r="T1906" s="82"/>
      <c r="W1906" s="103" t="str">
        <f t="shared" si="38"/>
        <v>1w</v>
      </c>
      <c r="X1906" s="101">
        <f>_xll.qlCalendarAdvance(Calendar,X1905,W1906,"f",FALSE)</f>
        <v>52659</v>
      </c>
      <c r="Y1906" s="104">
        <f>_xll.qlCalendarAdvance(Calendar,X1906,NDays&amp;"D")</f>
        <v>52663</v>
      </c>
      <c r="Z1906" s="105">
        <v>2.2664775285762516E-2</v>
      </c>
      <c r="AA1906" s="102">
        <v>2.2620958857677564E-2</v>
      </c>
    </row>
    <row r="1907" spans="19:27" x14ac:dyDescent="0.2">
      <c r="S1907" s="61"/>
      <c r="T1907" s="82"/>
      <c r="W1907" s="103" t="str">
        <f t="shared" si="38"/>
        <v>1w</v>
      </c>
      <c r="X1907" s="101">
        <f>_xll.qlCalendarAdvance(Calendar,X1906,W1907,"f",FALSE)</f>
        <v>52666</v>
      </c>
      <c r="Y1907" s="104">
        <f>_xll.qlCalendarAdvance(Calendar,X1907,NDays&amp;"D")</f>
        <v>52670</v>
      </c>
      <c r="Z1907" s="105">
        <v>2.2661506681941869E-2</v>
      </c>
      <c r="AA1907" s="102">
        <v>2.2617437779448579E-2</v>
      </c>
    </row>
    <row r="1908" spans="19:27" x14ac:dyDescent="0.2">
      <c r="S1908" s="61"/>
      <c r="T1908" s="82"/>
      <c r="W1908" s="103" t="str">
        <f t="shared" si="38"/>
        <v>1w</v>
      </c>
      <c r="X1908" s="101">
        <f>_xll.qlCalendarAdvance(Calendar,X1907,W1908,"f",FALSE)</f>
        <v>52673</v>
      </c>
      <c r="Y1908" s="104">
        <f>_xll.qlCalendarAdvance(Calendar,X1908,NDays&amp;"D")</f>
        <v>52677</v>
      </c>
      <c r="Z1908" s="105">
        <v>2.2658281954660141E-2</v>
      </c>
      <c r="AA1908" s="102">
        <v>2.2613960325363891E-2</v>
      </c>
    </row>
    <row r="1909" spans="19:27" x14ac:dyDescent="0.2">
      <c r="S1909" s="61"/>
      <c r="T1909" s="82"/>
      <c r="W1909" s="103" t="str">
        <f t="shared" si="38"/>
        <v>1w</v>
      </c>
      <c r="X1909" s="101">
        <f>_xll.qlCalendarAdvance(Calendar,X1908,W1909,"f",FALSE)</f>
        <v>52680</v>
      </c>
      <c r="Y1909" s="104">
        <f>_xll.qlCalendarAdvance(Calendar,X1909,NDays&amp;"D")</f>
        <v>52684</v>
      </c>
      <c r="Z1909" s="105">
        <v>2.2655101103804389E-2</v>
      </c>
      <c r="AA1909" s="102">
        <v>2.2610526495263628E-2</v>
      </c>
    </row>
    <row r="1910" spans="19:27" x14ac:dyDescent="0.2">
      <c r="S1910" s="61"/>
      <c r="T1910" s="82"/>
      <c r="W1910" s="103" t="str">
        <f t="shared" si="38"/>
        <v>1w</v>
      </c>
      <c r="X1910" s="101">
        <f>_xll.qlCalendarAdvance(Calendar,X1909,W1910,"f",FALSE)</f>
        <v>52687</v>
      </c>
      <c r="Y1910" s="104">
        <f>_xll.qlCalendarAdvance(Calendar,X1910,NDays&amp;"D")</f>
        <v>52691</v>
      </c>
      <c r="Z1910" s="105">
        <v>2.2651468634202535E-2</v>
      </c>
      <c r="AA1910" s="102">
        <v>2.2607136289227725E-2</v>
      </c>
    </row>
    <row r="1911" spans="19:27" x14ac:dyDescent="0.2">
      <c r="S1911" s="61"/>
      <c r="T1911" s="82"/>
      <c r="W1911" s="103" t="str">
        <f t="shared" si="38"/>
        <v>1w</v>
      </c>
      <c r="X1911" s="101">
        <f>_xll.qlCalendarAdvance(Calendar,X1910,W1911,"f",FALSE)</f>
        <v>52694</v>
      </c>
      <c r="Y1911" s="104">
        <f>_xll.qlCalendarAdvance(Calendar,X1911,NDays&amp;"D")</f>
        <v>52698</v>
      </c>
      <c r="Z1911" s="105">
        <v>2.2648372596124317E-2</v>
      </c>
      <c r="AA1911" s="102">
        <v>2.2603789707096311E-2</v>
      </c>
    </row>
    <row r="1912" spans="19:27" x14ac:dyDescent="0.2">
      <c r="S1912" s="61"/>
      <c r="T1912" s="82"/>
      <c r="W1912" s="103" t="str">
        <f t="shared" si="38"/>
        <v>1w</v>
      </c>
      <c r="X1912" s="101">
        <f>_xll.qlCalendarAdvance(Calendar,X1911,W1912,"f",FALSE)</f>
        <v>52701</v>
      </c>
      <c r="Y1912" s="104">
        <f>_xll.qlCalendarAdvance(Calendar,X1912,NDays&amp;"D")</f>
        <v>52707</v>
      </c>
      <c r="Z1912" s="105">
        <v>2.2644456442677079E-2</v>
      </c>
      <c r="AA1912" s="102">
        <v>2.2600503539145222E-2</v>
      </c>
    </row>
    <row r="1913" spans="19:27" x14ac:dyDescent="0.2">
      <c r="S1913" s="61"/>
      <c r="T1913" s="82"/>
      <c r="W1913" s="103" t="str">
        <f t="shared" si="38"/>
        <v>1w</v>
      </c>
      <c r="X1913" s="101">
        <f>_xll.qlCalendarAdvance(Calendar,X1912,W1913,"f",FALSE)</f>
        <v>52708</v>
      </c>
      <c r="Y1913" s="104">
        <f>_xll.qlCalendarAdvance(Calendar,X1913,NDays&amp;"D")</f>
        <v>52712</v>
      </c>
      <c r="Z1913" s="105">
        <v>2.2642312139896027E-2</v>
      </c>
      <c r="AA1913" s="102">
        <v>2.2597227415026566E-2</v>
      </c>
    </row>
    <row r="1914" spans="19:27" x14ac:dyDescent="0.2">
      <c r="S1914" s="61"/>
      <c r="T1914" s="82"/>
      <c r="W1914" s="103" t="str">
        <f t="shared" si="38"/>
        <v>1w</v>
      </c>
      <c r="X1914" s="101">
        <f>_xll.qlCalendarAdvance(Calendar,X1913,W1914,"f",FALSE)</f>
        <v>52715</v>
      </c>
      <c r="Y1914" s="104">
        <f>_xll.qlCalendarAdvance(Calendar,X1914,NDays&amp;"D")</f>
        <v>52719</v>
      </c>
      <c r="Z1914" s="105">
        <v>2.2639854992298942E-2</v>
      </c>
      <c r="AA1914" s="102">
        <v>2.2594011704848427E-2</v>
      </c>
    </row>
    <row r="1915" spans="19:27" x14ac:dyDescent="0.2">
      <c r="S1915" s="61"/>
      <c r="T1915" s="82"/>
      <c r="W1915" s="103" t="str">
        <f t="shared" si="38"/>
        <v>1w</v>
      </c>
      <c r="X1915" s="101">
        <f>_xll.qlCalendarAdvance(Calendar,X1914,W1915,"f",FALSE)</f>
        <v>52722</v>
      </c>
      <c r="Y1915" s="104">
        <f>_xll.qlCalendarAdvance(Calendar,X1915,NDays&amp;"D")</f>
        <v>52726</v>
      </c>
      <c r="Z1915" s="105">
        <v>2.2636937397835524E-2</v>
      </c>
      <c r="AA1915" s="102">
        <v>2.2590839618814584E-2</v>
      </c>
    </row>
    <row r="1916" spans="19:27" x14ac:dyDescent="0.2">
      <c r="S1916" s="61"/>
      <c r="T1916" s="82"/>
      <c r="W1916" s="103" t="str">
        <f t="shared" si="38"/>
        <v>1w</v>
      </c>
      <c r="X1916" s="101">
        <f>_xll.qlCalendarAdvance(Calendar,X1915,W1916,"f",FALSE)</f>
        <v>52729</v>
      </c>
      <c r="Y1916" s="104">
        <f>_xll.qlCalendarAdvance(Calendar,X1916,NDays&amp;"D")</f>
        <v>52733</v>
      </c>
      <c r="Z1916" s="105">
        <v>2.2634063679088212E-2</v>
      </c>
      <c r="AA1916" s="102">
        <v>2.2587711156605295E-2</v>
      </c>
    </row>
    <row r="1917" spans="19:27" x14ac:dyDescent="0.2">
      <c r="S1917" s="61"/>
      <c r="T1917" s="82"/>
      <c r="W1917" s="103" t="str">
        <f t="shared" si="38"/>
        <v>1w</v>
      </c>
      <c r="X1917" s="101">
        <f>_xll.qlCalendarAdvance(Calendar,X1916,W1917,"f",FALSE)</f>
        <v>52736</v>
      </c>
      <c r="Y1917" s="104">
        <f>_xll.qlCalendarAdvance(Calendar,X1917,NDays&amp;"D")</f>
        <v>52740</v>
      </c>
      <c r="Z1917" s="105">
        <v>2.2631233835961426E-2</v>
      </c>
      <c r="AA1917" s="102">
        <v>2.2585116163984509E-2</v>
      </c>
    </row>
    <row r="1918" spans="19:27" x14ac:dyDescent="0.2">
      <c r="S1918" s="61"/>
      <c r="T1918" s="82"/>
      <c r="W1918" s="103" t="str">
        <f t="shared" si="38"/>
        <v>1w</v>
      </c>
      <c r="X1918" s="101">
        <f>_xll.qlCalendarAdvance(Calendar,X1917,W1918,"f",FALSE)</f>
        <v>52744</v>
      </c>
      <c r="Y1918" s="104">
        <f>_xll.qlCalendarAdvance(Calendar,X1918,NDays&amp;"D")</f>
        <v>52748</v>
      </c>
      <c r="Z1918" s="105">
        <v>2.2628053454655288E-2</v>
      </c>
      <c r="AA1918" s="102">
        <v>2.2581154206582355E-2</v>
      </c>
    </row>
    <row r="1919" spans="19:27" x14ac:dyDescent="0.2">
      <c r="S1919" s="61"/>
      <c r="T1919" s="82"/>
      <c r="W1919" s="103" t="str">
        <f t="shared" si="38"/>
        <v>1w</v>
      </c>
      <c r="X1919" s="101">
        <f>_xll.qlCalendarAdvance(Calendar,X1918,W1919,"f",FALSE)</f>
        <v>52751</v>
      </c>
      <c r="Y1919" s="104">
        <f>_xll.qlCalendarAdvance(Calendar,X1919,NDays&amp;"D")</f>
        <v>52756</v>
      </c>
      <c r="Z1919" s="105">
        <v>2.2624930380018997E-2</v>
      </c>
      <c r="AA1919" s="102">
        <v>2.2578732444804572E-2</v>
      </c>
    </row>
    <row r="1920" spans="19:27" x14ac:dyDescent="0.2">
      <c r="S1920" s="61"/>
      <c r="T1920" s="82"/>
      <c r="W1920" s="103" t="str">
        <f t="shared" si="38"/>
        <v>1w</v>
      </c>
      <c r="X1920" s="101">
        <f>_xll.qlCalendarAdvance(Calendar,X1919,W1920,"f",FALSE)</f>
        <v>52758</v>
      </c>
      <c r="Y1920" s="104">
        <f>_xll.qlCalendarAdvance(Calendar,X1920,NDays&amp;"D")</f>
        <v>52762</v>
      </c>
      <c r="Z1920" s="105">
        <v>2.2622625681460912E-2</v>
      </c>
      <c r="AA1920" s="102">
        <v>2.2575215114324365E-2</v>
      </c>
    </row>
    <row r="1921" spans="19:27" x14ac:dyDescent="0.2">
      <c r="S1921" s="61"/>
      <c r="T1921" s="82"/>
      <c r="W1921" s="103" t="str">
        <f t="shared" si="38"/>
        <v>1w</v>
      </c>
      <c r="X1921" s="101">
        <f>_xll.qlCalendarAdvance(Calendar,X1920,W1921,"f",FALSE)</f>
        <v>52765</v>
      </c>
      <c r="Y1921" s="104">
        <f>_xll.qlCalendarAdvance(Calendar,X1921,NDays&amp;"D")</f>
        <v>52769</v>
      </c>
      <c r="Z1921" s="105">
        <v>2.2619977607762333E-2</v>
      </c>
      <c r="AA1921" s="102">
        <v>2.2573817854896205E-2</v>
      </c>
    </row>
    <row r="1922" spans="19:27" x14ac:dyDescent="0.2">
      <c r="S1922" s="61"/>
      <c r="T1922" s="82"/>
      <c r="W1922" s="103" t="str">
        <f t="shared" si="38"/>
        <v>1w</v>
      </c>
      <c r="X1922" s="101">
        <f>_xll.qlCalendarAdvance(Calendar,X1921,W1922,"f",FALSE)</f>
        <v>52775</v>
      </c>
      <c r="Y1922" s="104">
        <f>_xll.qlCalendarAdvance(Calendar,X1922,NDays&amp;"D")</f>
        <v>52777</v>
      </c>
      <c r="Z1922" s="105">
        <v>2.2617004962488047E-2</v>
      </c>
      <c r="AA1922" s="102">
        <v>2.2570056418587114E-2</v>
      </c>
    </row>
    <row r="1923" spans="19:27" x14ac:dyDescent="0.2">
      <c r="S1923" s="61"/>
      <c r="T1923" s="82"/>
      <c r="W1923" s="103" t="str">
        <f t="shared" si="38"/>
        <v>1w</v>
      </c>
      <c r="X1923" s="101">
        <f>_xll.qlCalendarAdvance(Calendar,X1922,W1923,"f",FALSE)</f>
        <v>52782</v>
      </c>
      <c r="Y1923" s="104">
        <f>_xll.qlCalendarAdvance(Calendar,X1923,NDays&amp;"D")</f>
        <v>52784</v>
      </c>
      <c r="Z1923" s="105">
        <v>2.2614450906858451E-2</v>
      </c>
      <c r="AA1923" s="102">
        <v>2.2567251668901278E-2</v>
      </c>
    </row>
    <row r="1924" spans="19:27" x14ac:dyDescent="0.2">
      <c r="S1924" s="61"/>
      <c r="T1924" s="82"/>
      <c r="W1924" s="103" t="str">
        <f t="shared" si="38"/>
        <v>1w</v>
      </c>
      <c r="X1924" s="101">
        <f>_xll.qlCalendarAdvance(Calendar,X1923,W1924,"f",FALSE)</f>
        <v>52789</v>
      </c>
      <c r="Y1924" s="104">
        <f>_xll.qlCalendarAdvance(Calendar,X1924,NDays&amp;"D")</f>
        <v>52791</v>
      </c>
      <c r="Z1924" s="105">
        <v>2.2611940726193384E-2</v>
      </c>
      <c r="AA1924" s="102">
        <v>2.2564490548662164E-2</v>
      </c>
    </row>
    <row r="1925" spans="19:27" x14ac:dyDescent="0.2">
      <c r="S1925" s="61"/>
      <c r="T1925" s="82"/>
      <c r="W1925" s="103" t="str">
        <f t="shared" si="38"/>
        <v>1w</v>
      </c>
      <c r="X1925" s="101">
        <f>_xll.qlCalendarAdvance(Calendar,X1924,W1925,"f",FALSE)</f>
        <v>52796</v>
      </c>
      <c r="Y1925" s="104">
        <f>_xll.qlCalendarAdvance(Calendar,X1925,NDays&amp;"D")</f>
        <v>52798</v>
      </c>
      <c r="Z1925" s="105">
        <v>2.2609474420405094E-2</v>
      </c>
      <c r="AA1925" s="102">
        <v>2.2561773057976353E-2</v>
      </c>
    </row>
    <row r="1926" spans="19:27" x14ac:dyDescent="0.2">
      <c r="S1926" s="61"/>
      <c r="T1926" s="82"/>
      <c r="W1926" s="103" t="str">
        <f t="shared" si="38"/>
        <v>1w</v>
      </c>
      <c r="X1926" s="101">
        <f>_xll.qlCalendarAdvance(Calendar,X1925,W1926,"f",FALSE)</f>
        <v>52803</v>
      </c>
      <c r="Y1926" s="104">
        <f>_xll.qlCalendarAdvance(Calendar,X1926,NDays&amp;"D")</f>
        <v>52805</v>
      </c>
      <c r="Z1926" s="105">
        <v>2.2607051989415379E-2</v>
      </c>
      <c r="AA1926" s="102">
        <v>2.2559099196737264E-2</v>
      </c>
    </row>
    <row r="1927" spans="19:27" x14ac:dyDescent="0.2">
      <c r="S1927" s="61"/>
      <c r="T1927" s="82"/>
      <c r="W1927" s="103" t="str">
        <f t="shared" si="38"/>
        <v>1w</v>
      </c>
      <c r="X1927" s="101">
        <f>_xll.qlCalendarAdvance(Calendar,X1926,W1927,"f",FALSE)</f>
        <v>52810</v>
      </c>
      <c r="Y1927" s="104">
        <f>_xll.qlCalendarAdvance(Calendar,X1927,NDays&amp;"D")</f>
        <v>52812</v>
      </c>
      <c r="Z1927" s="105">
        <v>2.2604673433141698E-2</v>
      </c>
      <c r="AA1927" s="102">
        <v>2.2556468965024834E-2</v>
      </c>
    </row>
    <row r="1928" spans="19:27" x14ac:dyDescent="0.2">
      <c r="S1928" s="61"/>
      <c r="T1928" s="82"/>
      <c r="W1928" s="103" t="str">
        <f t="shared" si="38"/>
        <v>1w</v>
      </c>
      <c r="X1928" s="101">
        <f>_xll.qlCalendarAdvance(Calendar,X1927,W1928,"f",FALSE)</f>
        <v>52817</v>
      </c>
      <c r="Y1928" s="104">
        <f>_xll.qlCalendarAdvance(Calendar,X1928,NDays&amp;"D")</f>
        <v>52819</v>
      </c>
      <c r="Z1928" s="105">
        <v>2.2602338751503248E-2</v>
      </c>
      <c r="AA1928" s="102">
        <v>2.2553882362839062E-2</v>
      </c>
    </row>
    <row r="1929" spans="19:27" x14ac:dyDescent="0.2">
      <c r="S1929" s="61"/>
      <c r="T1929" s="82"/>
      <c r="W1929" s="103" t="str">
        <f t="shared" si="38"/>
        <v>1w</v>
      </c>
      <c r="X1929" s="101">
        <f>_xll.qlCalendarAdvance(Calendar,X1928,W1929,"f",FALSE)</f>
        <v>52824</v>
      </c>
      <c r="Y1929" s="104">
        <f>_xll.qlCalendarAdvance(Calendar,X1929,NDays&amp;"D")</f>
        <v>52826</v>
      </c>
      <c r="Z1929" s="105">
        <v>2.2600047944422698E-2</v>
      </c>
      <c r="AA1929" s="102">
        <v>2.2551339390073366E-2</v>
      </c>
    </row>
    <row r="1930" spans="19:27" x14ac:dyDescent="0.2">
      <c r="S1930" s="61"/>
      <c r="T1930" s="82"/>
      <c r="W1930" s="103" t="str">
        <f t="shared" si="38"/>
        <v>1w</v>
      </c>
      <c r="X1930" s="101">
        <f>_xll.qlCalendarAdvance(Calendar,X1929,W1930,"f",FALSE)</f>
        <v>52831</v>
      </c>
      <c r="Y1930" s="104">
        <f>_xll.qlCalendarAdvance(Calendar,X1930,NDays&amp;"D")</f>
        <v>52833</v>
      </c>
      <c r="Z1930" s="105">
        <v>2.2597801011824452E-2</v>
      </c>
      <c r="AA1930" s="102">
        <v>2.2548840046834329E-2</v>
      </c>
    </row>
    <row r="1931" spans="19:27" x14ac:dyDescent="0.2">
      <c r="S1931" s="61"/>
      <c r="T1931" s="82"/>
      <c r="W1931" s="103" t="str">
        <f t="shared" si="38"/>
        <v>1w</v>
      </c>
      <c r="X1931" s="101">
        <f>_xll.qlCalendarAdvance(Calendar,X1930,W1931,"f",FALSE)</f>
        <v>52838</v>
      </c>
      <c r="Y1931" s="104">
        <f>_xll.qlCalendarAdvance(Calendar,X1931,NDays&amp;"D")</f>
        <v>52840</v>
      </c>
      <c r="Z1931" s="105">
        <v>2.2595039286575389E-2</v>
      </c>
      <c r="AA1931" s="102">
        <v>2.2546384333068659E-2</v>
      </c>
    </row>
    <row r="1932" spans="19:27" x14ac:dyDescent="0.2">
      <c r="S1932" s="61"/>
      <c r="T1932" s="82"/>
      <c r="W1932" s="103" t="str">
        <f t="shared" si="38"/>
        <v>1w</v>
      </c>
      <c r="X1932" s="101">
        <f>_xll.qlCalendarAdvance(Calendar,X1931,W1932,"f",FALSE)</f>
        <v>52845</v>
      </c>
      <c r="Y1932" s="104">
        <f>_xll.qlCalendarAdvance(Calendar,X1932,NDays&amp;"D")</f>
        <v>52847</v>
      </c>
      <c r="Z1932" s="105">
        <v>2.259287710416074E-2</v>
      </c>
      <c r="AA1932" s="102">
        <v>2.2543972248776356E-2</v>
      </c>
    </row>
    <row r="1933" spans="19:27" x14ac:dyDescent="0.2">
      <c r="S1933" s="61"/>
      <c r="T1933" s="82"/>
      <c r="W1933" s="103" t="str">
        <f t="shared" si="38"/>
        <v>1w</v>
      </c>
      <c r="X1933" s="101">
        <f>_xll.qlCalendarAdvance(Calendar,X1932,W1933,"f",FALSE)</f>
        <v>52852</v>
      </c>
      <c r="Y1933" s="104">
        <f>_xll.qlCalendarAdvance(Calendar,X1933,NDays&amp;"D")</f>
        <v>52854</v>
      </c>
      <c r="Z1933" s="105">
        <v>2.2590758793252078E-2</v>
      </c>
      <c r="AA1933" s="102">
        <v>2.2541603794010712E-2</v>
      </c>
    </row>
    <row r="1934" spans="19:27" x14ac:dyDescent="0.2">
      <c r="S1934" s="61"/>
      <c r="T1934" s="82"/>
      <c r="W1934" s="103" t="str">
        <f t="shared" si="38"/>
        <v>1w</v>
      </c>
      <c r="X1934" s="101">
        <f>_xll.qlCalendarAdvance(Calendar,X1933,W1934,"f",FALSE)</f>
        <v>52859</v>
      </c>
      <c r="Y1934" s="104">
        <f>_xll.qlCalendarAdvance(Calendar,X1934,NDays&amp;"D")</f>
        <v>52861</v>
      </c>
      <c r="Z1934" s="105">
        <v>2.2588684353782647E-2</v>
      </c>
      <c r="AA1934" s="102">
        <v>2.2539278968638499E-2</v>
      </c>
    </row>
    <row r="1935" spans="19:27" x14ac:dyDescent="0.2">
      <c r="S1935" s="61"/>
      <c r="T1935" s="82"/>
      <c r="W1935" s="103" t="str">
        <f t="shared" si="38"/>
        <v>1w</v>
      </c>
      <c r="X1935" s="101">
        <f>_xll.qlCalendarAdvance(Calendar,X1934,W1935,"f",FALSE)</f>
        <v>52866</v>
      </c>
      <c r="Y1935" s="104">
        <f>_xll.qlCalendarAdvance(Calendar,X1935,NDays&amp;"D")</f>
        <v>52868</v>
      </c>
      <c r="Z1935" s="105">
        <v>2.2586653785680411E-2</v>
      </c>
      <c r="AA1935" s="102">
        <v>2.2536997772819589E-2</v>
      </c>
    </row>
    <row r="1936" spans="19:27" x14ac:dyDescent="0.2">
      <c r="S1936" s="61"/>
      <c r="T1936" s="82"/>
      <c r="W1936" s="103" t="str">
        <f t="shared" si="38"/>
        <v>1w</v>
      </c>
      <c r="X1936" s="101">
        <f>_xll.qlCalendarAdvance(Calendar,X1935,W1936,"f",FALSE)</f>
        <v>52873</v>
      </c>
      <c r="Y1936" s="104">
        <f>_xll.qlCalendarAdvance(Calendar,X1936,NDays&amp;"D")</f>
        <v>52875</v>
      </c>
      <c r="Z1936" s="105">
        <v>2.2585240776239808E-2</v>
      </c>
      <c r="AA1936" s="102">
        <v>2.2534760206420756E-2</v>
      </c>
    </row>
    <row r="1937" spans="19:27" x14ac:dyDescent="0.2">
      <c r="S1937" s="61"/>
      <c r="T1937" s="82"/>
      <c r="W1937" s="103" t="str">
        <f t="shared" si="38"/>
        <v>1w</v>
      </c>
      <c r="X1937" s="101">
        <f>_xll.qlCalendarAdvance(Calendar,X1936,W1937,"f",FALSE)</f>
        <v>52880</v>
      </c>
      <c r="Y1937" s="104">
        <f>_xll.qlCalendarAdvance(Calendar,X1937,NDays&amp;"D")</f>
        <v>52882</v>
      </c>
      <c r="Z1937" s="105">
        <v>2.2583300962989779E-2</v>
      </c>
      <c r="AA1937" s="102">
        <v>2.2532566269521936E-2</v>
      </c>
    </row>
    <row r="1938" spans="19:27" x14ac:dyDescent="0.2">
      <c r="S1938" s="61"/>
      <c r="T1938" s="82"/>
      <c r="W1938" s="103" t="str">
        <f t="shared" si="38"/>
        <v>1w</v>
      </c>
      <c r="X1938" s="101">
        <f>_xll.qlCalendarAdvance(Calendar,X1937,W1938,"f",FALSE)</f>
        <v>52887</v>
      </c>
      <c r="Y1938" s="104">
        <f>_xll.qlCalendarAdvance(Calendar,X1938,NDays&amp;"D")</f>
        <v>52889</v>
      </c>
      <c r="Z1938" s="105">
        <v>2.2581405023662505E-2</v>
      </c>
      <c r="AA1938" s="102">
        <v>2.2530415962096484E-2</v>
      </c>
    </row>
    <row r="1939" spans="19:27" x14ac:dyDescent="0.2">
      <c r="S1939" s="61"/>
      <c r="T1939" s="82"/>
      <c r="W1939" s="103" t="str">
        <f t="shared" si="38"/>
        <v>1w</v>
      </c>
      <c r="X1939" s="101">
        <f>_xll.qlCalendarAdvance(Calendar,X1938,W1939,"f",FALSE)</f>
        <v>52894</v>
      </c>
      <c r="Y1939" s="104">
        <f>_xll.qlCalendarAdvance(Calendar,X1939,NDays&amp;"D")</f>
        <v>52896</v>
      </c>
      <c r="Z1939" s="105">
        <v>2.2579552958191952E-2</v>
      </c>
      <c r="AA1939" s="102">
        <v>2.2528309284091108E-2</v>
      </c>
    </row>
    <row r="1940" spans="19:27" x14ac:dyDescent="0.2">
      <c r="S1940" s="61"/>
      <c r="T1940" s="82"/>
      <c r="W1940" s="103" t="str">
        <f t="shared" si="38"/>
        <v>1w</v>
      </c>
      <c r="X1940" s="101">
        <f>_xll.qlCalendarAdvance(Calendar,X1939,W1940,"f",FALSE)</f>
        <v>52901</v>
      </c>
      <c r="Y1940" s="104">
        <f>_xll.qlCalendarAdvance(Calendar,X1940,NDays&amp;"D")</f>
        <v>52903</v>
      </c>
      <c r="Z1940" s="105">
        <v>2.2577744766519039E-2</v>
      </c>
      <c r="AA1940" s="102">
        <v>2.25262462355591E-2</v>
      </c>
    </row>
    <row r="1941" spans="19:27" x14ac:dyDescent="0.2">
      <c r="S1941" s="61"/>
      <c r="T1941" s="82"/>
      <c r="W1941" s="103" t="str">
        <f t="shared" ref="W1941:W2004" si="39">W1940</f>
        <v>1w</v>
      </c>
      <c r="X1941" s="101">
        <f>_xll.qlCalendarAdvance(Calendar,X1940,W1941,"f",FALSE)</f>
        <v>52908</v>
      </c>
      <c r="Y1941" s="104">
        <f>_xll.qlCalendarAdvance(Calendar,X1941,NDays&amp;"D")</f>
        <v>52910</v>
      </c>
      <c r="Z1941" s="105">
        <v>2.2575980448581206E-2</v>
      </c>
      <c r="AA1941" s="102">
        <v>2.2524226816500459E-2</v>
      </c>
    </row>
    <row r="1942" spans="19:27" x14ac:dyDescent="0.2">
      <c r="S1942" s="61"/>
      <c r="T1942" s="82"/>
      <c r="W1942" s="103" t="str">
        <f t="shared" si="39"/>
        <v>1w</v>
      </c>
      <c r="X1942" s="101">
        <f>_xll.qlCalendarAdvance(Calendar,X1941,W1942,"f",FALSE)</f>
        <v>52915</v>
      </c>
      <c r="Y1942" s="104">
        <f>_xll.qlCalendarAdvance(Calendar,X1942,NDays&amp;"D")</f>
        <v>52917</v>
      </c>
      <c r="Z1942" s="105">
        <v>2.257426000431937E-2</v>
      </c>
      <c r="AA1942" s="102">
        <v>2.2522251026915185E-2</v>
      </c>
    </row>
    <row r="1943" spans="19:27" x14ac:dyDescent="0.2">
      <c r="S1943" s="61"/>
      <c r="T1943" s="82"/>
      <c r="W1943" s="103" t="str">
        <f t="shared" si="39"/>
        <v>1w</v>
      </c>
      <c r="X1943" s="101">
        <f>_xll.qlCalendarAdvance(Calendar,X1942,W1943,"f",FALSE)</f>
        <v>52922</v>
      </c>
      <c r="Y1943" s="104">
        <f>_xll.qlCalendarAdvance(Calendar,X1943,NDays&amp;"D")</f>
        <v>52924</v>
      </c>
      <c r="Z1943" s="105">
        <v>2.2572583433676182E-2</v>
      </c>
      <c r="AA1943" s="102">
        <v>2.2520318866749989E-2</v>
      </c>
    </row>
    <row r="1944" spans="19:27" x14ac:dyDescent="0.2">
      <c r="S1944" s="61"/>
      <c r="T1944" s="82"/>
      <c r="W1944" s="103" t="str">
        <f t="shared" si="39"/>
        <v>1w</v>
      </c>
      <c r="X1944" s="101">
        <f>_xll.qlCalendarAdvance(Calendar,X1943,W1944,"f",FALSE)</f>
        <v>52929</v>
      </c>
      <c r="Y1944" s="104">
        <f>_xll.qlCalendarAdvance(Calendar,X1944,NDays&amp;"D")</f>
        <v>52931</v>
      </c>
      <c r="Z1944" s="105">
        <v>2.2569755325220875E-2</v>
      </c>
      <c r="AA1944" s="102">
        <v>2.2518430336058159E-2</v>
      </c>
    </row>
    <row r="1945" spans="19:27" x14ac:dyDescent="0.2">
      <c r="S1945" s="61"/>
      <c r="T1945" s="82"/>
      <c r="W1945" s="103" t="str">
        <f t="shared" si="39"/>
        <v>1w</v>
      </c>
      <c r="X1945" s="101">
        <f>_xll.qlCalendarAdvance(Calendar,X1944,W1945,"f",FALSE)</f>
        <v>52936</v>
      </c>
      <c r="Y1945" s="104">
        <f>_xll.qlCalendarAdvance(Calendar,X1945,NDays&amp;"D")</f>
        <v>52938</v>
      </c>
      <c r="Z1945" s="105">
        <v>2.2568160433438678E-2</v>
      </c>
      <c r="AA1945" s="102">
        <v>2.2516585434786407E-2</v>
      </c>
    </row>
    <row r="1946" spans="19:27" x14ac:dyDescent="0.2">
      <c r="S1946" s="61"/>
      <c r="T1946" s="82"/>
      <c r="W1946" s="103" t="str">
        <f t="shared" si="39"/>
        <v>1w</v>
      </c>
      <c r="X1946" s="101">
        <f>_xll.qlCalendarAdvance(Calendar,X1945,W1946,"f",FALSE)</f>
        <v>52943</v>
      </c>
      <c r="Y1946" s="104">
        <f>_xll.qlCalendarAdvance(Calendar,X1946,NDays&amp;"D")</f>
        <v>52945</v>
      </c>
      <c r="Z1946" s="105">
        <v>2.2566609409618188E-2</v>
      </c>
      <c r="AA1946" s="102">
        <v>2.2514784163014667E-2</v>
      </c>
    </row>
    <row r="1947" spans="19:27" x14ac:dyDescent="0.2">
      <c r="S1947" s="61"/>
      <c r="T1947" s="82"/>
      <c r="W1947" s="103" t="str">
        <f t="shared" si="39"/>
        <v>1w</v>
      </c>
      <c r="X1947" s="101">
        <f>_xll.qlCalendarAdvance(Calendar,X1946,W1947,"f",FALSE)</f>
        <v>52950</v>
      </c>
      <c r="Y1947" s="104">
        <f>_xll.qlCalendarAdvance(Calendar,X1947,NDays&amp;"D")</f>
        <v>52952</v>
      </c>
      <c r="Z1947" s="105">
        <v>2.2565102253712332E-2</v>
      </c>
      <c r="AA1947" s="102">
        <v>2.2513606806269237E-2</v>
      </c>
    </row>
    <row r="1948" spans="19:27" x14ac:dyDescent="0.2">
      <c r="S1948" s="61"/>
      <c r="T1948" s="82"/>
      <c r="W1948" s="103" t="str">
        <f t="shared" si="39"/>
        <v>1w</v>
      </c>
      <c r="X1948" s="101">
        <f>_xll.qlCalendarAdvance(Calendar,X1947,W1948,"f",FALSE)</f>
        <v>52958</v>
      </c>
      <c r="Y1948" s="104">
        <f>_xll.qlCalendarAdvance(Calendar,X1948,NDays&amp;"D")</f>
        <v>52960</v>
      </c>
      <c r="Z1948" s="105">
        <v>2.2563433505569108E-2</v>
      </c>
      <c r="AA1948" s="102">
        <v>2.2509423049088539E-2</v>
      </c>
    </row>
    <row r="1949" spans="19:27" x14ac:dyDescent="0.2">
      <c r="S1949" s="61"/>
      <c r="T1949" s="82"/>
      <c r="W1949" s="103" t="str">
        <f t="shared" si="39"/>
        <v>1w</v>
      </c>
      <c r="X1949" s="101">
        <f>_xll.qlCalendarAdvance(Calendar,X1948,W1949,"f",FALSE)</f>
        <v>52965</v>
      </c>
      <c r="Y1949" s="104">
        <f>_xll.qlCalendarAdvance(Calendar,X1949,NDays&amp;"D")</f>
        <v>52967</v>
      </c>
      <c r="Z1949" s="105">
        <v>2.2562020352170364E-2</v>
      </c>
      <c r="AA1949" s="102">
        <v>2.2507532083784199E-2</v>
      </c>
    </row>
    <row r="1950" spans="19:27" x14ac:dyDescent="0.2">
      <c r="S1950" s="61"/>
      <c r="T1950" s="82"/>
      <c r="W1950" s="103" t="str">
        <f t="shared" si="39"/>
        <v>1w</v>
      </c>
      <c r="X1950" s="101">
        <f>_xll.qlCalendarAdvance(Calendar,X1949,W1950,"f",FALSE)</f>
        <v>52972</v>
      </c>
      <c r="Y1950" s="104">
        <f>_xll.qlCalendarAdvance(Calendar,X1950,NDays&amp;"D")</f>
        <v>52974</v>
      </c>
      <c r="Z1950" s="105">
        <v>2.2560651066533488E-2</v>
      </c>
      <c r="AA1950" s="102">
        <v>2.2506151251775464E-2</v>
      </c>
    </row>
    <row r="1951" spans="19:27" x14ac:dyDescent="0.2">
      <c r="S1951" s="61"/>
      <c r="T1951" s="82"/>
      <c r="W1951" s="103" t="str">
        <f t="shared" si="39"/>
        <v>1w</v>
      </c>
      <c r="X1951" s="101">
        <f>_xll.qlCalendarAdvance(Calendar,X1950,W1951,"f",FALSE)</f>
        <v>52979</v>
      </c>
      <c r="Y1951" s="104">
        <f>_xll.qlCalendarAdvance(Calendar,X1951,NDays&amp;"D")</f>
        <v>52981</v>
      </c>
      <c r="Z1951" s="105">
        <v>2.2559325648616735E-2</v>
      </c>
      <c r="AA1951" s="102">
        <v>2.2504580789215467E-2</v>
      </c>
    </row>
    <row r="1952" spans="19:27" x14ac:dyDescent="0.2">
      <c r="S1952" s="61"/>
      <c r="T1952" s="82"/>
      <c r="W1952" s="103" t="str">
        <f t="shared" si="39"/>
        <v>1w</v>
      </c>
      <c r="X1952" s="101">
        <f>_xll.qlCalendarAdvance(Calendar,X1951,W1952,"f",FALSE)</f>
        <v>52986</v>
      </c>
      <c r="Y1952" s="104">
        <f>_xll.qlCalendarAdvance(Calendar,X1952,NDays&amp;"D")</f>
        <v>52988</v>
      </c>
      <c r="Z1952" s="105">
        <v>2.2558044098373919E-2</v>
      </c>
      <c r="AA1952" s="102">
        <v>2.2503053950480023E-2</v>
      </c>
    </row>
    <row r="1953" spans="19:27" x14ac:dyDescent="0.2">
      <c r="S1953" s="61"/>
      <c r="T1953" s="82"/>
      <c r="W1953" s="103" t="str">
        <f t="shared" si="39"/>
        <v>1w</v>
      </c>
      <c r="X1953" s="101">
        <f>_xll.qlCalendarAdvance(Calendar,X1952,W1953,"f",FALSE)</f>
        <v>52993</v>
      </c>
      <c r="Y1953" s="104">
        <f>_xll.qlCalendarAdvance(Calendar,X1953,NDays&amp;"D")</f>
        <v>52995</v>
      </c>
      <c r="Z1953" s="105">
        <v>2.2556181344238917E-2</v>
      </c>
      <c r="AA1953" s="102">
        <v>2.2501570735649068E-2</v>
      </c>
    </row>
    <row r="1954" spans="19:27" x14ac:dyDescent="0.2">
      <c r="S1954" s="61"/>
      <c r="T1954" s="82"/>
      <c r="W1954" s="103" t="str">
        <f t="shared" si="39"/>
        <v>1w</v>
      </c>
      <c r="X1954" s="101">
        <f>_xll.qlCalendarAdvance(Calendar,X1953,W1954,"f",FALSE)</f>
        <v>53000</v>
      </c>
      <c r="Y1954" s="104">
        <f>_xll.qlCalendarAdvance(Calendar,X1954,NDays&amp;"D")</f>
        <v>53002</v>
      </c>
      <c r="Z1954" s="105">
        <v>2.2554984470608601E-2</v>
      </c>
      <c r="AA1954" s="102">
        <v>2.2500131145042346E-2</v>
      </c>
    </row>
    <row r="1955" spans="19:27" x14ac:dyDescent="0.2">
      <c r="S1955" s="61"/>
      <c r="T1955" s="82"/>
      <c r="W1955" s="103" t="str">
        <f t="shared" si="39"/>
        <v>1w</v>
      </c>
      <c r="X1955" s="101">
        <f>_xll.qlCalendarAdvance(Calendar,X1954,W1955,"f",FALSE)</f>
        <v>53007</v>
      </c>
      <c r="Y1955" s="104">
        <f>_xll.qlCalendarAdvance(Calendar,X1955,NDays&amp;"D")</f>
        <v>53009</v>
      </c>
      <c r="Z1955" s="105">
        <v>2.2553831461791189E-2</v>
      </c>
      <c r="AA1955" s="102">
        <v>2.249873517818024E-2</v>
      </c>
    </row>
    <row r="1956" spans="19:27" x14ac:dyDescent="0.2">
      <c r="S1956" s="61"/>
      <c r="T1956" s="82"/>
      <c r="W1956" s="103" t="str">
        <f t="shared" si="39"/>
        <v>1w</v>
      </c>
      <c r="X1956" s="101">
        <f>_xll.qlCalendarAdvance(Calendar,X1955,W1956,"f",FALSE)</f>
        <v>53014</v>
      </c>
      <c r="Y1956" s="104">
        <f>_xll.qlCalendarAdvance(Calendar,X1956,NDays&amp;"D")</f>
        <v>53016</v>
      </c>
      <c r="Z1956" s="105">
        <v>2.2552722317747166E-2</v>
      </c>
      <c r="AA1956" s="102">
        <v>2.2497382835382496E-2</v>
      </c>
    </row>
    <row r="1957" spans="19:27" x14ac:dyDescent="0.2">
      <c r="S1957" s="61"/>
      <c r="T1957" s="82"/>
      <c r="W1957" s="103" t="str">
        <f t="shared" si="39"/>
        <v>1w</v>
      </c>
      <c r="X1957" s="101">
        <f>_xll.qlCalendarAdvance(Calendar,X1956,W1957,"f",FALSE)</f>
        <v>53021</v>
      </c>
      <c r="Y1957" s="104">
        <f>_xll.qlCalendarAdvance(Calendar,X1957,NDays&amp;"D")</f>
        <v>53023</v>
      </c>
      <c r="Z1957" s="105">
        <v>2.2553569963827187E-2</v>
      </c>
      <c r="AA1957" s="102">
        <v>2.2496074116569176E-2</v>
      </c>
    </row>
    <row r="1958" spans="19:27" x14ac:dyDescent="0.2">
      <c r="S1958" s="61"/>
      <c r="T1958" s="82"/>
      <c r="W1958" s="103" t="str">
        <f t="shared" si="39"/>
        <v>1w</v>
      </c>
      <c r="X1958" s="101">
        <f>_xll.qlCalendarAdvance(Calendar,X1957,W1958,"f",FALSE)</f>
        <v>53028</v>
      </c>
      <c r="Y1958" s="104">
        <f>_xll.qlCalendarAdvance(Calendar,X1958,NDays&amp;"D")</f>
        <v>53030</v>
      </c>
      <c r="Z1958" s="105">
        <v>2.2552557759123654E-2</v>
      </c>
      <c r="AA1958" s="102">
        <v>2.2494809021580409E-2</v>
      </c>
    </row>
    <row r="1959" spans="19:27" x14ac:dyDescent="0.2">
      <c r="S1959" s="61"/>
      <c r="T1959" s="82"/>
      <c r="W1959" s="103" t="str">
        <f t="shared" si="39"/>
        <v>1w</v>
      </c>
      <c r="X1959" s="101">
        <f>_xll.qlCalendarAdvance(Calendar,X1958,W1959,"f",FALSE)</f>
        <v>53035</v>
      </c>
      <c r="Y1959" s="104">
        <f>_xll.qlCalendarAdvance(Calendar,X1959,NDays&amp;"D")</f>
        <v>53037</v>
      </c>
      <c r="Z1959" s="105">
        <v>2.2551589427313265E-2</v>
      </c>
      <c r="AA1959" s="102">
        <v>2.2493587550735938E-2</v>
      </c>
    </row>
    <row r="1960" spans="19:27" x14ac:dyDescent="0.2">
      <c r="S1960" s="61"/>
      <c r="T1960" s="82"/>
      <c r="W1960" s="103" t="str">
        <f t="shared" si="39"/>
        <v>1w</v>
      </c>
      <c r="X1960" s="101">
        <f>_xll.qlCalendarAdvance(Calendar,X1959,W1960,"f",FALSE)</f>
        <v>53042</v>
      </c>
      <c r="Y1960" s="104">
        <f>_xll.qlCalendarAdvance(Calendar,X1960,NDays&amp;"D")</f>
        <v>53044</v>
      </c>
      <c r="Z1960" s="105">
        <v>2.2552608433749684E-2</v>
      </c>
      <c r="AA1960" s="102">
        <v>2.2492409703716021E-2</v>
      </c>
    </row>
    <row r="1961" spans="19:27" x14ac:dyDescent="0.2">
      <c r="S1961" s="61"/>
      <c r="T1961" s="82"/>
      <c r="W1961" s="103" t="str">
        <f t="shared" si="39"/>
        <v>1w</v>
      </c>
      <c r="X1961" s="101">
        <f>_xll.qlCalendarAdvance(Calendar,X1960,W1961,"f",FALSE)</f>
        <v>53049</v>
      </c>
      <c r="Y1961" s="104">
        <f>_xll.qlCalendarAdvance(Calendar,X1961,NDays&amp;"D")</f>
        <v>53051</v>
      </c>
      <c r="Z1961" s="105">
        <v>2.2549784382245936E-2</v>
      </c>
      <c r="AA1961" s="102">
        <v>2.2491275480680528E-2</v>
      </c>
    </row>
    <row r="1962" spans="19:27" x14ac:dyDescent="0.2">
      <c r="S1962" s="61"/>
      <c r="T1962" s="82"/>
      <c r="W1962" s="103" t="str">
        <f t="shared" si="39"/>
        <v>1w</v>
      </c>
      <c r="X1962" s="101">
        <f>_xll.qlCalendarAdvance(Calendar,X1961,W1962,"f",FALSE)</f>
        <v>53056</v>
      </c>
      <c r="Y1962" s="104">
        <f>_xll.qlCalendarAdvance(Calendar,X1962,NDays&amp;"D")</f>
        <v>53058</v>
      </c>
      <c r="Z1962" s="105">
        <v>2.2548294328569026E-2</v>
      </c>
      <c r="AA1962" s="102">
        <v>2.2489881294553982E-2</v>
      </c>
    </row>
    <row r="1963" spans="19:27" x14ac:dyDescent="0.2">
      <c r="S1963" s="61"/>
      <c r="T1963" s="82"/>
      <c r="W1963" s="103" t="str">
        <f t="shared" si="39"/>
        <v>1w</v>
      </c>
      <c r="X1963" s="101">
        <f>_xll.qlCalendarAdvance(Calendar,X1962,W1963,"f",FALSE)</f>
        <v>53063</v>
      </c>
      <c r="Y1963" s="104">
        <f>_xll.qlCalendarAdvance(Calendar,X1963,NDays&amp;"D")</f>
        <v>53065</v>
      </c>
      <c r="Z1963" s="105">
        <v>2.2547498403966318E-2</v>
      </c>
      <c r="AA1963" s="102">
        <v>2.2489137906642753E-2</v>
      </c>
    </row>
    <row r="1964" spans="19:27" x14ac:dyDescent="0.2">
      <c r="S1964" s="61"/>
      <c r="T1964" s="82"/>
      <c r="W1964" s="103" t="str">
        <f t="shared" si="39"/>
        <v>1w</v>
      </c>
      <c r="X1964" s="101">
        <f>_xll.qlCalendarAdvance(Calendar,X1963,W1964,"f",FALSE)</f>
        <v>53070</v>
      </c>
      <c r="Y1964" s="104">
        <f>_xll.qlCalendarAdvance(Calendar,X1964,NDays&amp;"D")</f>
        <v>53072</v>
      </c>
      <c r="Z1964" s="105">
        <v>2.2546746349371895E-2</v>
      </c>
      <c r="AA1964" s="102">
        <v>2.2488134555560535E-2</v>
      </c>
    </row>
    <row r="1965" spans="19:27" x14ac:dyDescent="0.2">
      <c r="S1965" s="61"/>
      <c r="T1965" s="82"/>
      <c r="W1965" s="103" t="str">
        <f t="shared" si="39"/>
        <v>1w</v>
      </c>
      <c r="X1965" s="101">
        <f>_xll.qlCalendarAdvance(Calendar,X1964,W1965,"f",FALSE)</f>
        <v>53077</v>
      </c>
      <c r="Y1965" s="104">
        <f>_xll.qlCalendarAdvance(Calendar,X1965,NDays&amp;"D")</f>
        <v>53079</v>
      </c>
      <c r="Z1965" s="105">
        <v>2.2546038164757646E-2</v>
      </c>
      <c r="AA1965" s="102">
        <v>2.2487041285685905E-2</v>
      </c>
    </row>
    <row r="1966" spans="19:27" x14ac:dyDescent="0.2">
      <c r="S1966" s="61"/>
      <c r="T1966" s="82"/>
      <c r="W1966" s="103" t="str">
        <f t="shared" si="39"/>
        <v>1w</v>
      </c>
      <c r="X1966" s="101">
        <f>_xll.qlCalendarAdvance(Calendar,X1965,W1966,"f",FALSE)</f>
        <v>53084</v>
      </c>
      <c r="Y1966" s="104">
        <f>_xll.qlCalendarAdvance(Calendar,X1966,NDays&amp;"D")</f>
        <v>53086</v>
      </c>
      <c r="Z1966" s="105">
        <v>2.2546039543121923E-2</v>
      </c>
      <c r="AA1966" s="102">
        <v>2.2486258725189501E-2</v>
      </c>
    </row>
    <row r="1967" spans="19:27" x14ac:dyDescent="0.2">
      <c r="S1967" s="61"/>
      <c r="T1967" s="82"/>
      <c r="W1967" s="103" t="str">
        <f t="shared" si="39"/>
        <v>1w</v>
      </c>
      <c r="X1967" s="101">
        <f>_xll.qlCalendarAdvance(Calendar,X1966,W1967,"f",FALSE)</f>
        <v>53091</v>
      </c>
      <c r="Y1967" s="104">
        <f>_xll.qlCalendarAdvance(Calendar,X1967,NDays&amp;"D")</f>
        <v>53093</v>
      </c>
      <c r="Z1967" s="105">
        <v>2.2545422193415782E-2</v>
      </c>
      <c r="AA1967" s="102">
        <v>2.2485386245980621E-2</v>
      </c>
    </row>
    <row r="1968" spans="19:27" x14ac:dyDescent="0.2">
      <c r="S1968" s="61"/>
      <c r="T1968" s="82"/>
      <c r="W1968" s="103" t="str">
        <f t="shared" si="39"/>
        <v>1w</v>
      </c>
      <c r="X1968" s="101">
        <f>_xll.qlCalendarAdvance(Calendar,X1967,W1968,"f",FALSE)</f>
        <v>53098</v>
      </c>
      <c r="Y1968" s="104">
        <f>_xll.qlCalendarAdvance(Calendar,X1968,NDays&amp;"D")</f>
        <v>53101</v>
      </c>
      <c r="Z1968" s="105">
        <v>2.2546116001037737E-2</v>
      </c>
      <c r="AA1968" s="102">
        <v>2.2484442543984073E-2</v>
      </c>
    </row>
    <row r="1969" spans="19:27" x14ac:dyDescent="0.2">
      <c r="S1969" s="61"/>
      <c r="T1969" s="82"/>
      <c r="W1969" s="103" t="str">
        <f t="shared" si="39"/>
        <v>1w</v>
      </c>
      <c r="X1969" s="101">
        <f>_xll.qlCalendarAdvance(Calendar,X1968,W1969,"f",FALSE)</f>
        <v>53105</v>
      </c>
      <c r="Y1969" s="104">
        <f>_xll.qlCalendarAdvance(Calendar,X1969,NDays&amp;"D")</f>
        <v>53107</v>
      </c>
      <c r="Z1969" s="105">
        <v>2.2544319111948746E-2</v>
      </c>
      <c r="AA1969" s="102">
        <v>2.2483663544639043E-2</v>
      </c>
    </row>
    <row r="1970" spans="19:27" x14ac:dyDescent="0.2">
      <c r="S1970" s="61"/>
      <c r="T1970" s="82"/>
      <c r="W1970" s="103" t="str">
        <f t="shared" si="39"/>
        <v>1w</v>
      </c>
      <c r="X1970" s="101">
        <f>_xll.qlCalendarAdvance(Calendar,X1969,W1970,"f",FALSE)</f>
        <v>53112</v>
      </c>
      <c r="Y1970" s="104">
        <f>_xll.qlCalendarAdvance(Calendar,X1970,NDays&amp;"D")</f>
        <v>53114</v>
      </c>
      <c r="Z1970" s="105">
        <v>2.2543833380151354E-2</v>
      </c>
      <c r="AA1970" s="102">
        <v>2.2483030552180594E-2</v>
      </c>
    </row>
    <row r="1971" spans="19:27" x14ac:dyDescent="0.2">
      <c r="S1971" s="61"/>
      <c r="T1971" s="82"/>
      <c r="W1971" s="103" t="str">
        <f t="shared" si="39"/>
        <v>1w</v>
      </c>
      <c r="X1971" s="101">
        <f>_xll.qlCalendarAdvance(Calendar,X1970,W1971,"f",FALSE)</f>
        <v>53119</v>
      </c>
      <c r="Y1971" s="104">
        <f>_xll.qlCalendarAdvance(Calendar,X1971,NDays&amp;"D")</f>
        <v>53121</v>
      </c>
      <c r="Z1971" s="105">
        <v>2.2543391520953426E-2</v>
      </c>
      <c r="AA1971" s="102">
        <v>2.2482332568829477E-2</v>
      </c>
    </row>
    <row r="1972" spans="19:27" x14ac:dyDescent="0.2">
      <c r="S1972" s="61"/>
      <c r="T1972" s="82"/>
      <c r="W1972" s="103" t="str">
        <f t="shared" si="39"/>
        <v>1w</v>
      </c>
      <c r="X1972" s="101">
        <f>_xll.qlCalendarAdvance(Calendar,X1971,W1972,"f",FALSE)</f>
        <v>53126</v>
      </c>
      <c r="Y1972" s="104">
        <f>_xll.qlCalendarAdvance(Calendar,X1972,NDays&amp;"D")</f>
        <v>53128</v>
      </c>
      <c r="Z1972" s="105">
        <v>2.2542993534344542E-2</v>
      </c>
      <c r="AA1972" s="102">
        <v>2.2481678209382849E-2</v>
      </c>
    </row>
    <row r="1973" spans="19:27" x14ac:dyDescent="0.2">
      <c r="S1973" s="61"/>
      <c r="T1973" s="82"/>
      <c r="W1973" s="103" t="str">
        <f t="shared" si="39"/>
        <v>1w</v>
      </c>
      <c r="X1973" s="101">
        <f>_xll.qlCalendarAdvance(Calendar,X1972,W1973,"f",FALSE)</f>
        <v>53133</v>
      </c>
      <c r="Y1973" s="104">
        <f>_xll.qlCalendarAdvance(Calendar,X1973,NDays&amp;"D")</f>
        <v>53135</v>
      </c>
      <c r="Z1973" s="105">
        <v>2.2542639420308187E-2</v>
      </c>
      <c r="AA1973" s="102">
        <v>2.248098378710317E-2</v>
      </c>
    </row>
    <row r="1974" spans="19:27" x14ac:dyDescent="0.2">
      <c r="S1974" s="61"/>
      <c r="T1974" s="82"/>
      <c r="W1974" s="103" t="str">
        <f t="shared" si="39"/>
        <v>1w</v>
      </c>
      <c r="X1974" s="101">
        <f>_xll.qlCalendarAdvance(Calendar,X1973,W1974,"f",FALSE)</f>
        <v>53140</v>
      </c>
      <c r="Y1974" s="104">
        <f>_xll.qlCalendarAdvance(Calendar,X1974,NDays&amp;"D")</f>
        <v>53142</v>
      </c>
      <c r="Z1974" s="105">
        <v>2.2542329178834804E-2</v>
      </c>
      <c r="AA1974" s="102">
        <v>2.2480500362442868E-2</v>
      </c>
    </row>
    <row r="1975" spans="19:27" x14ac:dyDescent="0.2">
      <c r="S1975" s="61"/>
      <c r="T1975" s="82"/>
      <c r="W1975" s="103" t="str">
        <f t="shared" si="39"/>
        <v>1w</v>
      </c>
      <c r="X1975" s="101">
        <f>_xll.qlCalendarAdvance(Calendar,X1974,W1975,"f",FALSE)</f>
        <v>53147</v>
      </c>
      <c r="Y1975" s="104">
        <f>_xll.qlCalendarAdvance(Calendar,X1975,NDays&amp;"D")</f>
        <v>53149</v>
      </c>
      <c r="Z1975" s="105">
        <v>2.2542062253555532E-2</v>
      </c>
      <c r="AA1975" s="102">
        <v>2.2479976874869578E-2</v>
      </c>
    </row>
    <row r="1976" spans="19:27" x14ac:dyDescent="0.2">
      <c r="S1976" s="61"/>
      <c r="T1976" s="82"/>
      <c r="W1976" s="103" t="str">
        <f t="shared" si="39"/>
        <v>1w</v>
      </c>
      <c r="X1976" s="101">
        <f>_xll.qlCalendarAdvance(Calendar,X1975,W1976,"f",FALSE)</f>
        <v>53154</v>
      </c>
      <c r="Y1976" s="104">
        <f>_xll.qlCalendarAdvance(Calendar,X1976,NDays&amp;"D")</f>
        <v>53156</v>
      </c>
      <c r="Z1976" s="105" t="e">
        <v>#N/A</v>
      </c>
      <c r="AA1976" s="102">
        <v>2.247949701136065E-2</v>
      </c>
    </row>
    <row r="1977" spans="19:27" x14ac:dyDescent="0.2">
      <c r="S1977" s="61"/>
      <c r="T1977" s="82"/>
      <c r="W1977" s="103" t="str">
        <f t="shared" si="39"/>
        <v>1w</v>
      </c>
      <c r="X1977" s="101">
        <f>_xll.qlCalendarAdvance(Calendar,X1976,W1977,"f",FALSE)</f>
        <v>53161</v>
      </c>
      <c r="Y1977" s="104">
        <f>_xll.qlCalendarAdvance(Calendar,X1977,NDays&amp;"D")</f>
        <v>53163</v>
      </c>
      <c r="Z1977" s="105" t="e">
        <v>#N/A</v>
      </c>
      <c r="AA1977" s="102">
        <v>2.2479060771676274E-2</v>
      </c>
    </row>
    <row r="1978" spans="19:27" x14ac:dyDescent="0.2">
      <c r="S1978" s="61"/>
      <c r="T1978" s="82"/>
      <c r="W1978" s="103" t="str">
        <f t="shared" si="39"/>
        <v>1w</v>
      </c>
      <c r="X1978" s="101">
        <f>_xll.qlCalendarAdvance(Calendar,X1977,W1978,"f",FALSE)</f>
        <v>53168</v>
      </c>
      <c r="Y1978" s="104">
        <f>_xll.qlCalendarAdvance(Calendar,X1978,NDays&amp;"D")</f>
        <v>53170</v>
      </c>
      <c r="Z1978" s="105" t="e">
        <v>#N/A</v>
      </c>
      <c r="AA1978" s="102">
        <v>2.2478668156136195E-2</v>
      </c>
    </row>
    <row r="1979" spans="19:27" x14ac:dyDescent="0.2">
      <c r="S1979" s="61"/>
      <c r="T1979" s="82"/>
      <c r="W1979" s="103" t="str">
        <f t="shared" si="39"/>
        <v>1w</v>
      </c>
      <c r="X1979" s="101">
        <f>_xll.qlCalendarAdvance(Calendar,X1978,W1979,"f",FALSE)</f>
        <v>53175</v>
      </c>
      <c r="Y1979" s="104">
        <f>_xll.qlCalendarAdvance(Calendar,X1979,NDays&amp;"D")</f>
        <v>53177</v>
      </c>
      <c r="Z1979" s="105" t="e">
        <v>#N/A</v>
      </c>
      <c r="AA1979" s="102">
        <v>2.2478319164340732E-2</v>
      </c>
    </row>
    <row r="1980" spans="19:27" x14ac:dyDescent="0.2">
      <c r="S1980" s="61"/>
      <c r="T1980" s="82"/>
      <c r="W1980" s="103" t="str">
        <f t="shared" si="39"/>
        <v>1w</v>
      </c>
      <c r="X1980" s="101">
        <f>_xll.qlCalendarAdvance(Calendar,X1979,W1980,"f",FALSE)</f>
        <v>53182</v>
      </c>
      <c r="Y1980" s="104">
        <f>_xll.qlCalendarAdvance(Calendar,X1980,NDays&amp;"D")</f>
        <v>53184</v>
      </c>
      <c r="Z1980" s="105" t="e">
        <v>#N/A</v>
      </c>
      <c r="AA1980" s="102">
        <v>2.2478013796769503E-2</v>
      </c>
    </row>
    <row r="1981" spans="19:27" x14ac:dyDescent="0.2">
      <c r="S1981" s="61"/>
      <c r="T1981" s="82"/>
      <c r="W1981" s="103" t="str">
        <f t="shared" si="39"/>
        <v>1w</v>
      </c>
      <c r="X1981" s="101">
        <f>_xll.qlCalendarAdvance(Calendar,X1980,W1981,"f",FALSE)</f>
        <v>53189</v>
      </c>
      <c r="Y1981" s="104">
        <f>_xll.qlCalendarAdvance(Calendar,X1981,NDays&amp;"D")</f>
        <v>53191</v>
      </c>
      <c r="Z1981" s="105" t="e">
        <v>#N/A</v>
      </c>
      <c r="AA1981" s="102">
        <v>2.247775205294289E-2</v>
      </c>
    </row>
    <row r="1982" spans="19:27" x14ac:dyDescent="0.2">
      <c r="S1982" s="61"/>
      <c r="T1982" s="82"/>
      <c r="W1982" s="103" t="str">
        <f t="shared" si="39"/>
        <v>1w</v>
      </c>
      <c r="X1982" s="101">
        <f>_xll.qlCalendarAdvance(Calendar,X1981,W1982,"f",FALSE)</f>
        <v>53196</v>
      </c>
      <c r="Y1982" s="104">
        <f>_xll.qlCalendarAdvance(Calendar,X1982,NDays&amp;"D")</f>
        <v>53198</v>
      </c>
      <c r="Z1982" s="105" t="e">
        <v>#N/A</v>
      </c>
      <c r="AA1982" s="102">
        <v>2.2477533933100702E-2</v>
      </c>
    </row>
    <row r="1983" spans="19:27" x14ac:dyDescent="0.2">
      <c r="S1983" s="61"/>
      <c r="T1983" s="82"/>
      <c r="W1983" s="103" t="str">
        <f t="shared" si="39"/>
        <v>1w</v>
      </c>
      <c r="X1983" s="101">
        <f>_xll.qlCalendarAdvance(Calendar,X1982,W1983,"f",FALSE)</f>
        <v>53203</v>
      </c>
      <c r="Y1983" s="104">
        <f>_xll.qlCalendarAdvance(Calendar,X1983,NDays&amp;"D")</f>
        <v>53205</v>
      </c>
      <c r="Z1983" s="105" t="e">
        <v>#N/A</v>
      </c>
      <c r="AA1983" s="102">
        <v>2.2477359437322875E-2</v>
      </c>
    </row>
    <row r="1984" spans="19:27" x14ac:dyDescent="0.2">
      <c r="S1984" s="61"/>
      <c r="T1984" s="82"/>
      <c r="W1984" s="103" t="str">
        <f t="shared" si="39"/>
        <v>1w</v>
      </c>
      <c r="X1984" s="101">
        <f>_xll.qlCalendarAdvance(Calendar,X1983,W1984,"f",FALSE)</f>
        <v>53210</v>
      </c>
      <c r="Y1984" s="104">
        <f>_xll.qlCalendarAdvance(Calendar,X1984,NDays&amp;"D")</f>
        <v>53212</v>
      </c>
      <c r="Z1984" s="105" t="e">
        <v>#N/A</v>
      </c>
      <c r="AA1984" s="102">
        <v>2.2477228565529472E-2</v>
      </c>
    </row>
    <row r="1985" spans="19:27" x14ac:dyDescent="0.2">
      <c r="S1985" s="61"/>
      <c r="T1985" s="82"/>
      <c r="W1985" s="103" t="str">
        <f t="shared" si="39"/>
        <v>1w</v>
      </c>
      <c r="X1985" s="101">
        <f>_xll.qlCalendarAdvance(Calendar,X1984,W1985,"f",FALSE)</f>
        <v>53217</v>
      </c>
      <c r="Y1985" s="104">
        <f>_xll.qlCalendarAdvance(Calendar,X1985,NDays&amp;"D")</f>
        <v>53219</v>
      </c>
      <c r="Z1985" s="105" t="e">
        <v>#N/A</v>
      </c>
      <c r="AA1985" s="102">
        <v>2.2477141317560623E-2</v>
      </c>
    </row>
    <row r="1986" spans="19:27" x14ac:dyDescent="0.2">
      <c r="S1986" s="61"/>
      <c r="T1986" s="82"/>
      <c r="W1986" s="103" t="str">
        <f t="shared" si="39"/>
        <v>1w</v>
      </c>
      <c r="X1986" s="101">
        <f>_xll.qlCalendarAdvance(Calendar,X1985,W1986,"f",FALSE)</f>
        <v>53224</v>
      </c>
      <c r="Y1986" s="104">
        <f>_xll.qlCalendarAdvance(Calendar,X1986,NDays&amp;"D")</f>
        <v>53226</v>
      </c>
      <c r="Z1986" s="105" t="e">
        <v>#N/A</v>
      </c>
      <c r="AA1986" s="102">
        <v>2.2477097693576198E-2</v>
      </c>
    </row>
    <row r="1987" spans="19:27" x14ac:dyDescent="0.2">
      <c r="S1987" s="61"/>
      <c r="T1987" s="82"/>
      <c r="W1987" s="103" t="str">
        <f t="shared" si="39"/>
        <v>1w</v>
      </c>
      <c r="X1987" s="101">
        <f>_xll.qlCalendarAdvance(Calendar,X1986,W1987,"f",FALSE)</f>
        <v>53231</v>
      </c>
      <c r="Y1987" s="104">
        <f>_xll.qlCalendarAdvance(Calendar,X1987,NDays&amp;"D")</f>
        <v>53233</v>
      </c>
      <c r="Z1987" s="105" t="e">
        <v>#N/A</v>
      </c>
      <c r="AA1987" s="102">
        <v>2.2477092203487814E-2</v>
      </c>
    </row>
    <row r="1988" spans="19:27" x14ac:dyDescent="0.2">
      <c r="S1988" s="61"/>
      <c r="T1988" s="82"/>
      <c r="W1988" s="103" t="str">
        <f t="shared" si="39"/>
        <v>1w</v>
      </c>
      <c r="X1988" s="101">
        <f>_xll.qlCalendarAdvance(Calendar,X1987,W1988,"f",FALSE)</f>
        <v>53238</v>
      </c>
      <c r="Y1988" s="104">
        <f>_xll.qlCalendarAdvance(Calendar,X1988,NDays&amp;"D")</f>
        <v>53240</v>
      </c>
      <c r="Z1988" s="105" t="e">
        <v>#N/A</v>
      </c>
      <c r="AA1988" s="102" t="e">
        <v>#N/A</v>
      </c>
    </row>
    <row r="1989" spans="19:27" x14ac:dyDescent="0.2">
      <c r="S1989" s="61"/>
      <c r="T1989" s="82"/>
      <c r="W1989" s="103" t="str">
        <f t="shared" si="39"/>
        <v>1w</v>
      </c>
      <c r="X1989" s="101">
        <f>_xll.qlCalendarAdvance(Calendar,X1988,W1989,"f",FALSE)</f>
        <v>53245</v>
      </c>
      <c r="Y1989" s="104">
        <f>_xll.qlCalendarAdvance(Calendar,X1989,NDays&amp;"D")</f>
        <v>53247</v>
      </c>
      <c r="Z1989" s="105" t="e">
        <v>#N/A</v>
      </c>
      <c r="AA1989" s="102" t="e">
        <v>#N/A</v>
      </c>
    </row>
    <row r="1990" spans="19:27" x14ac:dyDescent="0.2">
      <c r="S1990" s="61"/>
      <c r="T1990" s="82"/>
      <c r="W1990" s="103" t="str">
        <f t="shared" si="39"/>
        <v>1w</v>
      </c>
      <c r="X1990" s="101">
        <f>_xll.qlCalendarAdvance(Calendar,X1989,W1990,"f",FALSE)</f>
        <v>53252</v>
      </c>
      <c r="Y1990" s="104">
        <f>_xll.qlCalendarAdvance(Calendar,X1990,NDays&amp;"D")</f>
        <v>53254</v>
      </c>
      <c r="Z1990" s="105" t="e">
        <v>#N/A</v>
      </c>
      <c r="AA1990" s="102" t="e">
        <v>#N/A</v>
      </c>
    </row>
    <row r="1991" spans="19:27" x14ac:dyDescent="0.2">
      <c r="S1991" s="61"/>
      <c r="T1991" s="82"/>
      <c r="W1991" s="103" t="str">
        <f t="shared" si="39"/>
        <v>1w</v>
      </c>
      <c r="X1991" s="101">
        <f>_xll.qlCalendarAdvance(Calendar,X1990,W1991,"f",FALSE)</f>
        <v>53259</v>
      </c>
      <c r="Y1991" s="104">
        <f>_xll.qlCalendarAdvance(Calendar,X1991,NDays&amp;"D")</f>
        <v>53261</v>
      </c>
      <c r="Z1991" s="105" t="e">
        <v>#N/A</v>
      </c>
      <c r="AA1991" s="102" t="e">
        <v>#N/A</v>
      </c>
    </row>
    <row r="1992" spans="19:27" x14ac:dyDescent="0.2">
      <c r="S1992" s="61"/>
      <c r="T1992" s="82"/>
      <c r="W1992" s="103" t="str">
        <f t="shared" si="39"/>
        <v>1w</v>
      </c>
      <c r="X1992" s="101">
        <f>_xll.qlCalendarAdvance(Calendar,X1991,W1992,"f",FALSE)</f>
        <v>53266</v>
      </c>
      <c r="Y1992" s="104">
        <f>_xll.qlCalendarAdvance(Calendar,X1992,NDays&amp;"D")</f>
        <v>53268</v>
      </c>
      <c r="Z1992" s="105" t="e">
        <v>#N/A</v>
      </c>
      <c r="AA1992" s="102" t="e">
        <v>#N/A</v>
      </c>
    </row>
    <row r="1993" spans="19:27" x14ac:dyDescent="0.2">
      <c r="S1993" s="61"/>
      <c r="T1993" s="82"/>
      <c r="W1993" s="103" t="str">
        <f t="shared" si="39"/>
        <v>1w</v>
      </c>
      <c r="X1993" s="101">
        <f>_xll.qlCalendarAdvance(Calendar,X1992,W1993,"f",FALSE)</f>
        <v>53273</v>
      </c>
      <c r="Y1993" s="104">
        <f>_xll.qlCalendarAdvance(Calendar,X1993,NDays&amp;"D")</f>
        <v>53275</v>
      </c>
      <c r="Z1993" s="105" t="e">
        <v>#N/A</v>
      </c>
      <c r="AA1993" s="102" t="e">
        <v>#N/A</v>
      </c>
    </row>
    <row r="1994" spans="19:27" x14ac:dyDescent="0.2">
      <c r="S1994" s="61"/>
      <c r="T1994" s="82"/>
      <c r="W1994" s="103" t="str">
        <f t="shared" si="39"/>
        <v>1w</v>
      </c>
      <c r="X1994" s="101">
        <f>_xll.qlCalendarAdvance(Calendar,X1993,W1994,"f",FALSE)</f>
        <v>53280</v>
      </c>
      <c r="Y1994" s="104">
        <f>_xll.qlCalendarAdvance(Calendar,X1994,NDays&amp;"D")</f>
        <v>53282</v>
      </c>
      <c r="Z1994" s="105" t="e">
        <v>#N/A</v>
      </c>
      <c r="AA1994" s="102" t="e">
        <v>#N/A</v>
      </c>
    </row>
    <row r="1995" spans="19:27" x14ac:dyDescent="0.2">
      <c r="S1995" s="61"/>
      <c r="T1995" s="82"/>
      <c r="W1995" s="103" t="str">
        <f t="shared" si="39"/>
        <v>1w</v>
      </c>
      <c r="X1995" s="101">
        <f>_xll.qlCalendarAdvance(Calendar,X1994,W1995,"f",FALSE)</f>
        <v>53287</v>
      </c>
      <c r="Y1995" s="104">
        <f>_xll.qlCalendarAdvance(Calendar,X1995,NDays&amp;"D")</f>
        <v>53289</v>
      </c>
      <c r="Z1995" s="105" t="e">
        <v>#N/A</v>
      </c>
      <c r="AA1995" s="102" t="e">
        <v>#N/A</v>
      </c>
    </row>
    <row r="1996" spans="19:27" x14ac:dyDescent="0.2">
      <c r="S1996" s="61"/>
      <c r="T1996" s="82"/>
      <c r="W1996" s="103" t="str">
        <f t="shared" si="39"/>
        <v>1w</v>
      </c>
      <c r="X1996" s="101">
        <f>_xll.qlCalendarAdvance(Calendar,X1995,W1996,"f",FALSE)</f>
        <v>53294</v>
      </c>
      <c r="Y1996" s="104">
        <f>_xll.qlCalendarAdvance(Calendar,X1996,NDays&amp;"D")</f>
        <v>53296</v>
      </c>
      <c r="Z1996" s="105" t="e">
        <v>#N/A</v>
      </c>
      <c r="AA1996" s="102" t="e">
        <v>#N/A</v>
      </c>
    </row>
    <row r="1997" spans="19:27" x14ac:dyDescent="0.2">
      <c r="S1997" s="61"/>
      <c r="T1997" s="82"/>
      <c r="W1997" s="103" t="str">
        <f t="shared" si="39"/>
        <v>1w</v>
      </c>
      <c r="X1997" s="101">
        <f>_xll.qlCalendarAdvance(Calendar,X1996,W1997,"f",FALSE)</f>
        <v>53301</v>
      </c>
      <c r="Y1997" s="104">
        <f>_xll.qlCalendarAdvance(Calendar,X1997,NDays&amp;"D")</f>
        <v>53303</v>
      </c>
      <c r="Z1997" s="105" t="e">
        <v>#N/A</v>
      </c>
      <c r="AA1997" s="102" t="e">
        <v>#N/A</v>
      </c>
    </row>
    <row r="1998" spans="19:27" x14ac:dyDescent="0.2">
      <c r="S1998" s="61"/>
      <c r="T1998" s="82"/>
      <c r="W1998" s="103" t="str">
        <f t="shared" si="39"/>
        <v>1w</v>
      </c>
      <c r="X1998" s="101">
        <f>_xll.qlCalendarAdvance(Calendar,X1997,W1998,"f",FALSE)</f>
        <v>53308</v>
      </c>
      <c r="Y1998" s="104">
        <f>_xll.qlCalendarAdvance(Calendar,X1998,NDays&amp;"D")</f>
        <v>53310</v>
      </c>
      <c r="Z1998" s="105" t="e">
        <v>#N/A</v>
      </c>
      <c r="AA1998" s="102" t="e">
        <v>#N/A</v>
      </c>
    </row>
    <row r="1999" spans="19:27" x14ac:dyDescent="0.2">
      <c r="S1999" s="61"/>
      <c r="T1999" s="82"/>
      <c r="W1999" s="103" t="str">
        <f t="shared" si="39"/>
        <v>1w</v>
      </c>
      <c r="X1999" s="101">
        <f>_xll.qlCalendarAdvance(Calendar,X1998,W1999,"f",FALSE)</f>
        <v>53315</v>
      </c>
      <c r="Y1999" s="104">
        <f>_xll.qlCalendarAdvance(Calendar,X1999,NDays&amp;"D")</f>
        <v>53317</v>
      </c>
      <c r="Z1999" s="105" t="e">
        <v>#N/A</v>
      </c>
      <c r="AA1999" s="102" t="e">
        <v>#N/A</v>
      </c>
    </row>
    <row r="2000" spans="19:27" x14ac:dyDescent="0.2">
      <c r="S2000" s="61"/>
      <c r="T2000" s="82"/>
      <c r="W2000" s="103" t="str">
        <f t="shared" si="39"/>
        <v>1w</v>
      </c>
      <c r="X2000" s="101">
        <f>_xll.qlCalendarAdvance(Calendar,X1999,W2000,"f",FALSE)</f>
        <v>53323</v>
      </c>
      <c r="Y2000" s="104">
        <f>_xll.qlCalendarAdvance(Calendar,X2000,NDays&amp;"D")</f>
        <v>53325</v>
      </c>
      <c r="Z2000" s="105" t="e">
        <v>#N/A</v>
      </c>
      <c r="AA2000" s="102" t="e">
        <v>#N/A</v>
      </c>
    </row>
    <row r="2001" spans="19:27" x14ac:dyDescent="0.2">
      <c r="S2001" s="61"/>
      <c r="T2001" s="82"/>
      <c r="W2001" s="103" t="str">
        <f t="shared" si="39"/>
        <v>1w</v>
      </c>
      <c r="X2001" s="101">
        <f>_xll.qlCalendarAdvance(Calendar,X2000,W2001,"f",FALSE)</f>
        <v>53330</v>
      </c>
      <c r="Y2001" s="104">
        <f>_xll.qlCalendarAdvance(Calendar,X2001,NDays&amp;"D")</f>
        <v>53332</v>
      </c>
      <c r="Z2001" s="105" t="e">
        <v>#N/A</v>
      </c>
      <c r="AA2001" s="102" t="e">
        <v>#N/A</v>
      </c>
    </row>
    <row r="2002" spans="19:27" x14ac:dyDescent="0.2">
      <c r="S2002" s="61"/>
      <c r="T2002" s="82"/>
      <c r="W2002" s="103" t="str">
        <f t="shared" si="39"/>
        <v>1w</v>
      </c>
      <c r="X2002" s="101">
        <f>_xll.qlCalendarAdvance(Calendar,X2001,W2002,"f",FALSE)</f>
        <v>53337</v>
      </c>
      <c r="Y2002" s="104">
        <f>_xll.qlCalendarAdvance(Calendar,X2002,NDays&amp;"D")</f>
        <v>53339</v>
      </c>
      <c r="Z2002" s="105" t="e">
        <v>#N/A</v>
      </c>
      <c r="AA2002" s="102" t="e">
        <v>#N/A</v>
      </c>
    </row>
    <row r="2003" spans="19:27" x14ac:dyDescent="0.2">
      <c r="S2003" s="61"/>
      <c r="T2003" s="82"/>
      <c r="W2003" s="103" t="str">
        <f t="shared" si="39"/>
        <v>1w</v>
      </c>
      <c r="X2003" s="101">
        <f>_xll.qlCalendarAdvance(Calendar,X2002,W2003,"f",FALSE)</f>
        <v>53344</v>
      </c>
      <c r="Y2003" s="104">
        <f>_xll.qlCalendarAdvance(Calendar,X2003,NDays&amp;"D")</f>
        <v>53346</v>
      </c>
      <c r="Z2003" s="105" t="e">
        <v>#N/A</v>
      </c>
      <c r="AA2003" s="102" t="e">
        <v>#N/A</v>
      </c>
    </row>
    <row r="2004" spans="19:27" x14ac:dyDescent="0.2">
      <c r="S2004" s="61"/>
      <c r="T2004" s="82"/>
      <c r="W2004" s="103" t="str">
        <f t="shared" si="39"/>
        <v>1w</v>
      </c>
      <c r="X2004" s="101">
        <f>_xll.qlCalendarAdvance(Calendar,X2003,W2004,"f",FALSE)</f>
        <v>53351</v>
      </c>
      <c r="Y2004" s="104">
        <f>_xll.qlCalendarAdvance(Calendar,X2004,NDays&amp;"D")</f>
        <v>53353</v>
      </c>
      <c r="Z2004" s="105" t="e">
        <v>#N/A</v>
      </c>
      <c r="AA2004" s="102" t="e">
        <v>#N/A</v>
      </c>
    </row>
    <row r="2005" spans="19:27" x14ac:dyDescent="0.2">
      <c r="S2005" s="61"/>
      <c r="T2005" s="82"/>
      <c r="W2005" s="103" t="str">
        <f t="shared" ref="W2005:W2068" si="40">W2004</f>
        <v>1w</v>
      </c>
      <c r="X2005" s="101">
        <f>_xll.qlCalendarAdvance(Calendar,X2004,W2005,"f",FALSE)</f>
        <v>53358</v>
      </c>
      <c r="Y2005" s="104">
        <f>_xll.qlCalendarAdvance(Calendar,X2005,NDays&amp;"D")</f>
        <v>53360</v>
      </c>
      <c r="Z2005" s="105" t="e">
        <v>#N/A</v>
      </c>
      <c r="AA2005" s="102" t="e">
        <v>#N/A</v>
      </c>
    </row>
    <row r="2006" spans="19:27" x14ac:dyDescent="0.2">
      <c r="S2006" s="61"/>
      <c r="T2006" s="82"/>
      <c r="W2006" s="103" t="str">
        <f t="shared" si="40"/>
        <v>1w</v>
      </c>
      <c r="X2006" s="101">
        <f>_xll.qlCalendarAdvance(Calendar,X2005,W2006,"f",FALSE)</f>
        <v>53365</v>
      </c>
      <c r="Y2006" s="104">
        <f>_xll.qlCalendarAdvance(Calendar,X2006,NDays&amp;"D")</f>
        <v>53367</v>
      </c>
      <c r="Z2006" s="105" t="e">
        <v>#N/A</v>
      </c>
      <c r="AA2006" s="102" t="e">
        <v>#N/A</v>
      </c>
    </row>
    <row r="2007" spans="19:27" x14ac:dyDescent="0.2">
      <c r="S2007" s="61"/>
      <c r="T2007" s="82"/>
      <c r="W2007" s="103" t="str">
        <f t="shared" si="40"/>
        <v>1w</v>
      </c>
      <c r="X2007" s="101">
        <f>_xll.qlCalendarAdvance(Calendar,X2006,W2007,"f",FALSE)</f>
        <v>53372</v>
      </c>
      <c r="Y2007" s="104">
        <f>_xll.qlCalendarAdvance(Calendar,X2007,NDays&amp;"D")</f>
        <v>53374</v>
      </c>
      <c r="Z2007" s="105" t="e">
        <v>#N/A</v>
      </c>
      <c r="AA2007" s="102" t="e">
        <v>#N/A</v>
      </c>
    </row>
    <row r="2008" spans="19:27" x14ac:dyDescent="0.2">
      <c r="S2008" s="61"/>
      <c r="T2008" s="82"/>
      <c r="W2008" s="103" t="str">
        <f t="shared" si="40"/>
        <v>1w</v>
      </c>
      <c r="X2008" s="101">
        <f>_xll.qlCalendarAdvance(Calendar,X2007,W2008,"f",FALSE)</f>
        <v>53379</v>
      </c>
      <c r="Y2008" s="104">
        <f>_xll.qlCalendarAdvance(Calendar,X2008,NDays&amp;"D")</f>
        <v>53381</v>
      </c>
      <c r="Z2008" s="105" t="e">
        <v>#N/A</v>
      </c>
      <c r="AA2008" s="102" t="e">
        <v>#N/A</v>
      </c>
    </row>
    <row r="2009" spans="19:27" x14ac:dyDescent="0.2">
      <c r="S2009" s="61"/>
      <c r="T2009" s="82"/>
      <c r="W2009" s="103" t="str">
        <f t="shared" si="40"/>
        <v>1w</v>
      </c>
      <c r="X2009" s="101">
        <f>_xll.qlCalendarAdvance(Calendar,X2008,W2009,"f",FALSE)</f>
        <v>53386</v>
      </c>
      <c r="Y2009" s="104">
        <f>_xll.qlCalendarAdvance(Calendar,X2009,NDays&amp;"D")</f>
        <v>53388</v>
      </c>
      <c r="Z2009" s="105" t="e">
        <v>#N/A</v>
      </c>
      <c r="AA2009" s="102" t="e">
        <v>#N/A</v>
      </c>
    </row>
    <row r="2010" spans="19:27" x14ac:dyDescent="0.2">
      <c r="S2010" s="61"/>
      <c r="T2010" s="82"/>
      <c r="W2010" s="103" t="str">
        <f t="shared" si="40"/>
        <v>1w</v>
      </c>
      <c r="X2010" s="101">
        <f>_xll.qlCalendarAdvance(Calendar,X2009,W2010,"f",FALSE)</f>
        <v>53393</v>
      </c>
      <c r="Y2010" s="104">
        <f>_xll.qlCalendarAdvance(Calendar,X2010,NDays&amp;"D")</f>
        <v>53395</v>
      </c>
      <c r="Z2010" s="105" t="e">
        <v>#N/A</v>
      </c>
      <c r="AA2010" s="102" t="e">
        <v>#N/A</v>
      </c>
    </row>
    <row r="2011" spans="19:27" x14ac:dyDescent="0.2">
      <c r="S2011" s="61"/>
      <c r="T2011" s="82"/>
      <c r="W2011" s="103" t="str">
        <f t="shared" si="40"/>
        <v>1w</v>
      </c>
      <c r="X2011" s="101">
        <f>_xll.qlCalendarAdvance(Calendar,X2010,W2011,"f",FALSE)</f>
        <v>53400</v>
      </c>
      <c r="Y2011" s="104">
        <f>_xll.qlCalendarAdvance(Calendar,X2011,NDays&amp;"D")</f>
        <v>53402</v>
      </c>
      <c r="Z2011" s="105" t="e">
        <v>#N/A</v>
      </c>
      <c r="AA2011" s="102" t="e">
        <v>#N/A</v>
      </c>
    </row>
    <row r="2012" spans="19:27" x14ac:dyDescent="0.2">
      <c r="S2012" s="61"/>
      <c r="T2012" s="82"/>
      <c r="W2012" s="103" t="str">
        <f t="shared" si="40"/>
        <v>1w</v>
      </c>
      <c r="X2012" s="101">
        <f>_xll.qlCalendarAdvance(Calendar,X2011,W2012,"f",FALSE)</f>
        <v>53407</v>
      </c>
      <c r="Y2012" s="104">
        <f>_xll.qlCalendarAdvance(Calendar,X2012,NDays&amp;"D")</f>
        <v>53413</v>
      </c>
      <c r="Z2012" s="105" t="e">
        <v>#N/A</v>
      </c>
      <c r="AA2012" s="102" t="e">
        <v>#N/A</v>
      </c>
    </row>
    <row r="2013" spans="19:27" x14ac:dyDescent="0.2">
      <c r="S2013" s="61"/>
      <c r="T2013" s="82"/>
      <c r="W2013" s="103" t="str">
        <f t="shared" si="40"/>
        <v>1w</v>
      </c>
      <c r="X2013" s="101">
        <f>_xll.qlCalendarAdvance(Calendar,X2012,W2013,"f",FALSE)</f>
        <v>53414</v>
      </c>
      <c r="Y2013" s="104">
        <f>_xll.qlCalendarAdvance(Calendar,X2013,NDays&amp;"D")</f>
        <v>53416</v>
      </c>
      <c r="Z2013" s="105" t="e">
        <v>#N/A</v>
      </c>
      <c r="AA2013" s="102" t="e">
        <v>#N/A</v>
      </c>
    </row>
    <row r="2014" spans="19:27" x14ac:dyDescent="0.2">
      <c r="S2014" s="61"/>
      <c r="T2014" s="82"/>
      <c r="W2014" s="103" t="str">
        <f t="shared" si="40"/>
        <v>1w</v>
      </c>
      <c r="X2014" s="101">
        <f>_xll.qlCalendarAdvance(Calendar,X2013,W2014,"f",FALSE)</f>
        <v>53421</v>
      </c>
      <c r="Y2014" s="104">
        <f>_xll.qlCalendarAdvance(Calendar,X2014,NDays&amp;"D")</f>
        <v>53423</v>
      </c>
      <c r="Z2014" s="105" t="e">
        <v>#N/A</v>
      </c>
      <c r="AA2014" s="102" t="e">
        <v>#N/A</v>
      </c>
    </row>
    <row r="2015" spans="19:27" x14ac:dyDescent="0.2">
      <c r="S2015" s="61"/>
      <c r="T2015" s="82"/>
      <c r="W2015" s="103" t="str">
        <f t="shared" si="40"/>
        <v>1w</v>
      </c>
      <c r="X2015" s="101">
        <f>_xll.qlCalendarAdvance(Calendar,X2014,W2015,"f",FALSE)</f>
        <v>53428</v>
      </c>
      <c r="Y2015" s="104">
        <f>_xll.qlCalendarAdvance(Calendar,X2015,NDays&amp;"D")</f>
        <v>53430</v>
      </c>
      <c r="Z2015" s="105" t="e">
        <v>#N/A</v>
      </c>
      <c r="AA2015" s="102" t="e">
        <v>#N/A</v>
      </c>
    </row>
    <row r="2016" spans="19:27" x14ac:dyDescent="0.2">
      <c r="S2016" s="61"/>
      <c r="T2016" s="82"/>
      <c r="W2016" s="103" t="str">
        <f t="shared" si="40"/>
        <v>1w</v>
      </c>
      <c r="X2016" s="101">
        <f>_xll.qlCalendarAdvance(Calendar,X2015,W2016,"f",FALSE)</f>
        <v>53435</v>
      </c>
      <c r="Y2016" s="104">
        <f>_xll.qlCalendarAdvance(Calendar,X2016,NDays&amp;"D")</f>
        <v>53437</v>
      </c>
      <c r="Z2016" s="105" t="e">
        <v>#N/A</v>
      </c>
      <c r="AA2016" s="102" t="e">
        <v>#N/A</v>
      </c>
    </row>
    <row r="2017" spans="19:27" x14ac:dyDescent="0.2">
      <c r="S2017" s="61"/>
      <c r="T2017" s="82"/>
      <c r="W2017" s="103" t="str">
        <f t="shared" si="40"/>
        <v>1w</v>
      </c>
      <c r="X2017" s="101">
        <f>_xll.qlCalendarAdvance(Calendar,X2016,W2017,"f",FALSE)</f>
        <v>53442</v>
      </c>
      <c r="Y2017" s="104">
        <f>_xll.qlCalendarAdvance(Calendar,X2017,NDays&amp;"D")</f>
        <v>53444</v>
      </c>
      <c r="Z2017" s="105" t="e">
        <v>#N/A</v>
      </c>
      <c r="AA2017" s="102" t="e">
        <v>#N/A</v>
      </c>
    </row>
    <row r="2018" spans="19:27" x14ac:dyDescent="0.2">
      <c r="S2018" s="61"/>
      <c r="T2018" s="82"/>
      <c r="W2018" s="103" t="str">
        <f t="shared" si="40"/>
        <v>1w</v>
      </c>
      <c r="X2018" s="101">
        <f>_xll.qlCalendarAdvance(Calendar,X2017,W2018,"f",FALSE)</f>
        <v>53449</v>
      </c>
      <c r="Y2018" s="104">
        <f>_xll.qlCalendarAdvance(Calendar,X2018,NDays&amp;"D")</f>
        <v>53454</v>
      </c>
      <c r="Z2018" s="105" t="e">
        <v>#N/A</v>
      </c>
      <c r="AA2018" s="102" t="e">
        <v>#N/A</v>
      </c>
    </row>
    <row r="2019" spans="19:27" x14ac:dyDescent="0.2">
      <c r="S2019" s="61"/>
      <c r="T2019" s="82"/>
      <c r="W2019" s="103" t="str">
        <f t="shared" si="40"/>
        <v>1w</v>
      </c>
      <c r="X2019" s="101">
        <f>_xll.qlCalendarAdvance(Calendar,X2018,W2019,"f",FALSE)</f>
        <v>53456</v>
      </c>
      <c r="Y2019" s="104">
        <f>_xll.qlCalendarAdvance(Calendar,X2019,NDays&amp;"D")</f>
        <v>53458</v>
      </c>
      <c r="Z2019" s="105" t="e">
        <v>#N/A</v>
      </c>
      <c r="AA2019" s="102" t="e">
        <v>#N/A</v>
      </c>
    </row>
    <row r="2020" spans="19:27" x14ac:dyDescent="0.2">
      <c r="S2020" s="61"/>
      <c r="T2020" s="82"/>
      <c r="W2020" s="103" t="str">
        <f t="shared" si="40"/>
        <v>1w</v>
      </c>
      <c r="X2020" s="101">
        <f>_xll.qlCalendarAdvance(Calendar,X2019,W2020,"f",FALSE)</f>
        <v>53463</v>
      </c>
      <c r="Y2020" s="104">
        <f>_xll.qlCalendarAdvance(Calendar,X2020,NDays&amp;"D")</f>
        <v>53465</v>
      </c>
      <c r="Z2020" s="105" t="e">
        <v>#N/A</v>
      </c>
      <c r="AA2020" s="102" t="e">
        <v>#N/A</v>
      </c>
    </row>
    <row r="2021" spans="19:27" x14ac:dyDescent="0.2">
      <c r="S2021" s="61"/>
      <c r="T2021" s="82"/>
      <c r="W2021" s="103" t="str">
        <f t="shared" si="40"/>
        <v>1w</v>
      </c>
      <c r="X2021" s="101">
        <f>_xll.qlCalendarAdvance(Calendar,X2020,W2021,"f",FALSE)</f>
        <v>53470</v>
      </c>
      <c r="Y2021" s="104">
        <f>_xll.qlCalendarAdvance(Calendar,X2021,NDays&amp;"D")</f>
        <v>53472</v>
      </c>
      <c r="Z2021" s="105" t="e">
        <v>#N/A</v>
      </c>
      <c r="AA2021" s="102" t="e">
        <v>#N/A</v>
      </c>
    </row>
    <row r="2022" spans="19:27" x14ac:dyDescent="0.2">
      <c r="S2022" s="61"/>
      <c r="T2022" s="82"/>
      <c r="W2022" s="103" t="str">
        <f t="shared" si="40"/>
        <v>1w</v>
      </c>
      <c r="X2022" s="101">
        <f>_xll.qlCalendarAdvance(Calendar,X2021,W2022,"f",FALSE)</f>
        <v>53477</v>
      </c>
      <c r="Y2022" s="104">
        <f>_xll.qlCalendarAdvance(Calendar,X2022,NDays&amp;"D")</f>
        <v>53479</v>
      </c>
      <c r="Z2022" s="105" t="e">
        <v>#N/A</v>
      </c>
      <c r="AA2022" s="102" t="e">
        <v>#N/A</v>
      </c>
    </row>
    <row r="2023" spans="19:27" x14ac:dyDescent="0.2">
      <c r="S2023" s="61"/>
      <c r="T2023" s="82"/>
      <c r="W2023" s="103" t="str">
        <f t="shared" si="40"/>
        <v>1w</v>
      </c>
      <c r="X2023" s="101">
        <f>_xll.qlCalendarAdvance(Calendar,X2022,W2023,"f",FALSE)</f>
        <v>53484</v>
      </c>
      <c r="Y2023" s="104">
        <f>_xll.qlCalendarAdvance(Calendar,X2023,NDays&amp;"D")</f>
        <v>53486</v>
      </c>
      <c r="Z2023" s="105" t="e">
        <v>#N/A</v>
      </c>
      <c r="AA2023" s="102" t="e">
        <v>#N/A</v>
      </c>
    </row>
    <row r="2024" spans="19:27" x14ac:dyDescent="0.2">
      <c r="S2024" s="61"/>
      <c r="T2024" s="82"/>
      <c r="W2024" s="103" t="str">
        <f t="shared" si="40"/>
        <v>1w</v>
      </c>
      <c r="X2024" s="101">
        <f>_xll.qlCalendarAdvance(Calendar,X2023,W2024,"f",FALSE)</f>
        <v>53491</v>
      </c>
      <c r="Y2024" s="104">
        <f>_xll.qlCalendarAdvance(Calendar,X2024,NDays&amp;"D")</f>
        <v>53493</v>
      </c>
      <c r="Z2024" s="105" t="e">
        <v>#N/A</v>
      </c>
      <c r="AA2024" s="102" t="e">
        <v>#N/A</v>
      </c>
    </row>
    <row r="2025" spans="19:27" x14ac:dyDescent="0.2">
      <c r="S2025" s="61"/>
      <c r="T2025" s="82"/>
      <c r="W2025" s="103" t="str">
        <f t="shared" si="40"/>
        <v>1w</v>
      </c>
      <c r="X2025" s="101">
        <f>_xll.qlCalendarAdvance(Calendar,X2024,W2025,"f",FALSE)</f>
        <v>53498</v>
      </c>
      <c r="Y2025" s="104">
        <f>_xll.qlCalendarAdvance(Calendar,X2025,NDays&amp;"D")</f>
        <v>53503</v>
      </c>
      <c r="Z2025" s="105" t="e">
        <v>#N/A</v>
      </c>
      <c r="AA2025" s="102" t="e">
        <v>#N/A</v>
      </c>
    </row>
    <row r="2026" spans="19:27" x14ac:dyDescent="0.2">
      <c r="S2026" s="61"/>
      <c r="T2026" s="82"/>
      <c r="W2026" s="103" t="str">
        <f t="shared" si="40"/>
        <v>1w</v>
      </c>
      <c r="X2026" s="101">
        <f>_xll.qlCalendarAdvance(Calendar,X2025,W2026,"f",FALSE)</f>
        <v>53505</v>
      </c>
      <c r="Y2026" s="104">
        <f>_xll.qlCalendarAdvance(Calendar,X2026,NDays&amp;"D")</f>
        <v>53507</v>
      </c>
      <c r="Z2026" s="105" t="e">
        <v>#N/A</v>
      </c>
      <c r="AA2026" s="102" t="e">
        <v>#N/A</v>
      </c>
    </row>
    <row r="2027" spans="19:27" x14ac:dyDescent="0.2">
      <c r="S2027" s="61"/>
      <c r="T2027" s="82"/>
      <c r="W2027" s="103" t="str">
        <f t="shared" si="40"/>
        <v>1w</v>
      </c>
      <c r="X2027" s="101">
        <f>_xll.qlCalendarAdvance(Calendar,X2026,W2027,"f",FALSE)</f>
        <v>53512</v>
      </c>
      <c r="Y2027" s="104">
        <f>_xll.qlCalendarAdvance(Calendar,X2027,NDays&amp;"D")</f>
        <v>53514</v>
      </c>
      <c r="Z2027" s="105" t="e">
        <v>#N/A</v>
      </c>
      <c r="AA2027" s="102" t="e">
        <v>#N/A</v>
      </c>
    </row>
    <row r="2028" spans="19:27" x14ac:dyDescent="0.2">
      <c r="S2028" s="61"/>
      <c r="T2028" s="82"/>
      <c r="W2028" s="103" t="str">
        <f t="shared" si="40"/>
        <v>1w</v>
      </c>
      <c r="X2028" s="101">
        <f>_xll.qlCalendarAdvance(Calendar,X2027,W2028,"f",FALSE)</f>
        <v>53519</v>
      </c>
      <c r="Y2028" s="104">
        <f>_xll.qlCalendarAdvance(Calendar,X2028,NDays&amp;"D")</f>
        <v>53521</v>
      </c>
      <c r="Z2028" s="105" t="e">
        <v>#N/A</v>
      </c>
      <c r="AA2028" s="102" t="e">
        <v>#N/A</v>
      </c>
    </row>
    <row r="2029" spans="19:27" x14ac:dyDescent="0.2">
      <c r="S2029" s="61"/>
      <c r="T2029" s="82"/>
      <c r="W2029" s="103" t="str">
        <f t="shared" si="40"/>
        <v>1w</v>
      </c>
      <c r="X2029" s="101">
        <f>_xll.qlCalendarAdvance(Calendar,X2028,W2029,"f",FALSE)</f>
        <v>53526</v>
      </c>
      <c r="Y2029" s="104">
        <f>_xll.qlCalendarAdvance(Calendar,X2029,NDays&amp;"D")</f>
        <v>53528</v>
      </c>
      <c r="Z2029" s="105" t="e">
        <v>#N/A</v>
      </c>
      <c r="AA2029" s="102" t="e">
        <v>#N/A</v>
      </c>
    </row>
    <row r="2030" spans="19:27" x14ac:dyDescent="0.2">
      <c r="S2030" s="61"/>
      <c r="T2030" s="82"/>
      <c r="W2030" s="103" t="str">
        <f t="shared" si="40"/>
        <v>1w</v>
      </c>
      <c r="X2030" s="101">
        <f>_xll.qlCalendarAdvance(Calendar,X2029,W2030,"f",FALSE)</f>
        <v>53533</v>
      </c>
      <c r="Y2030" s="104">
        <f>_xll.qlCalendarAdvance(Calendar,X2030,NDays&amp;"D")</f>
        <v>53535</v>
      </c>
      <c r="Z2030" s="105" t="e">
        <v>#N/A</v>
      </c>
      <c r="AA2030" s="102" t="e">
        <v>#N/A</v>
      </c>
    </row>
    <row r="2031" spans="19:27" x14ac:dyDescent="0.2">
      <c r="S2031" s="61"/>
      <c r="T2031" s="82"/>
      <c r="W2031" s="103" t="str">
        <f t="shared" si="40"/>
        <v>1w</v>
      </c>
      <c r="X2031" s="101">
        <f>_xll.qlCalendarAdvance(Calendar,X2030,W2031,"f",FALSE)</f>
        <v>53540</v>
      </c>
      <c r="Y2031" s="104">
        <f>_xll.qlCalendarAdvance(Calendar,X2031,NDays&amp;"D")</f>
        <v>53542</v>
      </c>
      <c r="Z2031" s="105" t="e">
        <v>#N/A</v>
      </c>
      <c r="AA2031" s="102" t="e">
        <v>#N/A</v>
      </c>
    </row>
    <row r="2032" spans="19:27" x14ac:dyDescent="0.2">
      <c r="S2032" s="61"/>
      <c r="T2032" s="82"/>
      <c r="W2032" s="103" t="str">
        <f t="shared" si="40"/>
        <v>1w</v>
      </c>
      <c r="X2032" s="101">
        <f>_xll.qlCalendarAdvance(Calendar,X2031,W2032,"f",FALSE)</f>
        <v>53547</v>
      </c>
      <c r="Y2032" s="104">
        <f>_xll.qlCalendarAdvance(Calendar,X2032,NDays&amp;"D")</f>
        <v>53549</v>
      </c>
      <c r="Z2032" s="105" t="e">
        <v>#N/A</v>
      </c>
      <c r="AA2032" s="102" t="e">
        <v>#N/A</v>
      </c>
    </row>
    <row r="2033" spans="19:27" x14ac:dyDescent="0.2">
      <c r="S2033" s="61"/>
      <c r="T2033" s="82"/>
      <c r="W2033" s="103" t="str">
        <f t="shared" si="40"/>
        <v>1w</v>
      </c>
      <c r="X2033" s="101">
        <f>_xll.qlCalendarAdvance(Calendar,X2032,W2033,"f",FALSE)</f>
        <v>53554</v>
      </c>
      <c r="Y2033" s="104">
        <f>_xll.qlCalendarAdvance(Calendar,X2033,NDays&amp;"D")</f>
        <v>53556</v>
      </c>
      <c r="Z2033" s="105" t="e">
        <v>#N/A</v>
      </c>
      <c r="AA2033" s="102" t="e">
        <v>#N/A</v>
      </c>
    </row>
    <row r="2034" spans="19:27" x14ac:dyDescent="0.2">
      <c r="S2034" s="61"/>
      <c r="T2034" s="82"/>
      <c r="W2034" s="103" t="str">
        <f t="shared" si="40"/>
        <v>1w</v>
      </c>
      <c r="X2034" s="101">
        <f>_xll.qlCalendarAdvance(Calendar,X2033,W2034,"f",FALSE)</f>
        <v>53561</v>
      </c>
      <c r="Y2034" s="104">
        <f>_xll.qlCalendarAdvance(Calendar,X2034,NDays&amp;"D")</f>
        <v>53563</v>
      </c>
      <c r="Z2034" s="105" t="e">
        <v>#N/A</v>
      </c>
      <c r="AA2034" s="102" t="e">
        <v>#N/A</v>
      </c>
    </row>
    <row r="2035" spans="19:27" x14ac:dyDescent="0.2">
      <c r="S2035" s="61"/>
      <c r="T2035" s="82"/>
      <c r="W2035" s="103" t="str">
        <f t="shared" si="40"/>
        <v>1w</v>
      </c>
      <c r="X2035" s="101">
        <f>_xll.qlCalendarAdvance(Calendar,X2034,W2035,"f",FALSE)</f>
        <v>53568</v>
      </c>
      <c r="Y2035" s="104">
        <f>_xll.qlCalendarAdvance(Calendar,X2035,NDays&amp;"D")</f>
        <v>53570</v>
      </c>
      <c r="Z2035" s="105" t="e">
        <v>#N/A</v>
      </c>
      <c r="AA2035" s="102" t="e">
        <v>#N/A</v>
      </c>
    </row>
    <row r="2036" spans="19:27" x14ac:dyDescent="0.2">
      <c r="S2036" s="61"/>
      <c r="T2036" s="82"/>
      <c r="W2036" s="103" t="str">
        <f t="shared" si="40"/>
        <v>1w</v>
      </c>
      <c r="X2036" s="101">
        <f>_xll.qlCalendarAdvance(Calendar,X2035,W2036,"f",FALSE)</f>
        <v>53575</v>
      </c>
      <c r="Y2036" s="104">
        <f>_xll.qlCalendarAdvance(Calendar,X2036,NDays&amp;"D")</f>
        <v>53577</v>
      </c>
      <c r="Z2036" s="105" t="e">
        <v>#N/A</v>
      </c>
      <c r="AA2036" s="102" t="e">
        <v>#N/A</v>
      </c>
    </row>
    <row r="2037" spans="19:27" x14ac:dyDescent="0.2">
      <c r="S2037" s="61"/>
      <c r="T2037" s="82"/>
      <c r="W2037" s="103" t="str">
        <f t="shared" si="40"/>
        <v>1w</v>
      </c>
      <c r="X2037" s="101">
        <f>_xll.qlCalendarAdvance(Calendar,X2036,W2037,"f",FALSE)</f>
        <v>53582</v>
      </c>
      <c r="Y2037" s="104">
        <f>_xll.qlCalendarAdvance(Calendar,X2037,NDays&amp;"D")</f>
        <v>53584</v>
      </c>
      <c r="Z2037" s="105" t="e">
        <v>#N/A</v>
      </c>
      <c r="AA2037" s="102" t="e">
        <v>#N/A</v>
      </c>
    </row>
    <row r="2038" spans="19:27" x14ac:dyDescent="0.2">
      <c r="S2038" s="61"/>
      <c r="T2038" s="82"/>
      <c r="W2038" s="103" t="str">
        <f t="shared" si="40"/>
        <v>1w</v>
      </c>
      <c r="X2038" s="101">
        <f>_xll.qlCalendarAdvance(Calendar,X2037,W2038,"f",FALSE)</f>
        <v>53589</v>
      </c>
      <c r="Y2038" s="104">
        <f>_xll.qlCalendarAdvance(Calendar,X2038,NDays&amp;"D")</f>
        <v>53591</v>
      </c>
      <c r="Z2038" s="105" t="e">
        <v>#N/A</v>
      </c>
      <c r="AA2038" s="102" t="e">
        <v>#N/A</v>
      </c>
    </row>
    <row r="2039" spans="19:27" x14ac:dyDescent="0.2">
      <c r="S2039" s="61"/>
      <c r="T2039" s="82"/>
      <c r="W2039" s="103" t="str">
        <f t="shared" si="40"/>
        <v>1w</v>
      </c>
      <c r="X2039" s="101">
        <f>_xll.qlCalendarAdvance(Calendar,X2038,W2039,"f",FALSE)</f>
        <v>53596</v>
      </c>
      <c r="Y2039" s="104">
        <f>_xll.qlCalendarAdvance(Calendar,X2039,NDays&amp;"D")</f>
        <v>53598</v>
      </c>
      <c r="Z2039" s="105" t="e">
        <v>#N/A</v>
      </c>
      <c r="AA2039" s="102" t="e">
        <v>#N/A</v>
      </c>
    </row>
    <row r="2040" spans="19:27" x14ac:dyDescent="0.2">
      <c r="S2040" s="61"/>
      <c r="T2040" s="82"/>
      <c r="W2040" s="103" t="str">
        <f t="shared" si="40"/>
        <v>1w</v>
      </c>
      <c r="X2040" s="101">
        <f>_xll.qlCalendarAdvance(Calendar,X2039,W2040,"f",FALSE)</f>
        <v>53603</v>
      </c>
      <c r="Y2040" s="104">
        <f>_xll.qlCalendarAdvance(Calendar,X2040,NDays&amp;"D")</f>
        <v>53605</v>
      </c>
      <c r="Z2040" s="105" t="e">
        <v>#N/A</v>
      </c>
      <c r="AA2040" s="102" t="e">
        <v>#N/A</v>
      </c>
    </row>
    <row r="2041" spans="19:27" x14ac:dyDescent="0.2">
      <c r="S2041" s="61"/>
      <c r="T2041" s="82"/>
      <c r="W2041" s="103" t="str">
        <f t="shared" si="40"/>
        <v>1w</v>
      </c>
      <c r="X2041" s="101">
        <f>_xll.qlCalendarAdvance(Calendar,X2040,W2041,"f",FALSE)</f>
        <v>53610</v>
      </c>
      <c r="Y2041" s="104">
        <f>_xll.qlCalendarAdvance(Calendar,X2041,NDays&amp;"D")</f>
        <v>53612</v>
      </c>
      <c r="Z2041" s="105" t="e">
        <v>#N/A</v>
      </c>
      <c r="AA2041" s="102" t="e">
        <v>#N/A</v>
      </c>
    </row>
    <row r="2042" spans="19:27" x14ac:dyDescent="0.2">
      <c r="S2042" s="61"/>
      <c r="T2042" s="82"/>
      <c r="W2042" s="103" t="str">
        <f t="shared" si="40"/>
        <v>1w</v>
      </c>
      <c r="X2042" s="101">
        <f>_xll.qlCalendarAdvance(Calendar,X2041,W2042,"f",FALSE)</f>
        <v>53617</v>
      </c>
      <c r="Y2042" s="104">
        <f>_xll.qlCalendarAdvance(Calendar,X2042,NDays&amp;"D")</f>
        <v>53619</v>
      </c>
      <c r="Z2042" s="105" t="e">
        <v>#N/A</v>
      </c>
      <c r="AA2042" s="102" t="e">
        <v>#N/A</v>
      </c>
    </row>
    <row r="2043" spans="19:27" x14ac:dyDescent="0.2">
      <c r="S2043" s="61"/>
      <c r="T2043" s="82"/>
      <c r="W2043" s="103" t="str">
        <f t="shared" si="40"/>
        <v>1w</v>
      </c>
      <c r="X2043" s="101">
        <f>_xll.qlCalendarAdvance(Calendar,X2042,W2043,"f",FALSE)</f>
        <v>53624</v>
      </c>
      <c r="Y2043" s="104">
        <f>_xll.qlCalendarAdvance(Calendar,X2043,NDays&amp;"D")</f>
        <v>53626</v>
      </c>
      <c r="Z2043" s="105" t="e">
        <v>#N/A</v>
      </c>
      <c r="AA2043" s="102" t="e">
        <v>#N/A</v>
      </c>
    </row>
    <row r="2044" spans="19:27" x14ac:dyDescent="0.2">
      <c r="S2044" s="61"/>
      <c r="T2044" s="82"/>
      <c r="W2044" s="103" t="str">
        <f t="shared" si="40"/>
        <v>1w</v>
      </c>
      <c r="X2044" s="101">
        <f>_xll.qlCalendarAdvance(Calendar,X2043,W2044,"f",FALSE)</f>
        <v>53631</v>
      </c>
      <c r="Y2044" s="104">
        <f>_xll.qlCalendarAdvance(Calendar,X2044,NDays&amp;"D")</f>
        <v>53633</v>
      </c>
      <c r="Z2044" s="105" t="e">
        <v>#N/A</v>
      </c>
      <c r="AA2044" s="102" t="e">
        <v>#N/A</v>
      </c>
    </row>
    <row r="2045" spans="19:27" x14ac:dyDescent="0.2">
      <c r="S2045" s="61"/>
      <c r="T2045" s="82"/>
      <c r="W2045" s="103" t="str">
        <f t="shared" si="40"/>
        <v>1w</v>
      </c>
      <c r="X2045" s="101">
        <f>_xll.qlCalendarAdvance(Calendar,X2044,W2045,"f",FALSE)</f>
        <v>53638</v>
      </c>
      <c r="Y2045" s="104">
        <f>_xll.qlCalendarAdvance(Calendar,X2045,NDays&amp;"D")</f>
        <v>53640</v>
      </c>
      <c r="Z2045" s="105" t="e">
        <v>#N/A</v>
      </c>
      <c r="AA2045" s="102" t="e">
        <v>#N/A</v>
      </c>
    </row>
    <row r="2046" spans="19:27" x14ac:dyDescent="0.2">
      <c r="S2046" s="61"/>
      <c r="T2046" s="82"/>
      <c r="W2046" s="103" t="str">
        <f t="shared" si="40"/>
        <v>1w</v>
      </c>
      <c r="X2046" s="101">
        <f>_xll.qlCalendarAdvance(Calendar,X2045,W2046,"f",FALSE)</f>
        <v>53645</v>
      </c>
      <c r="Y2046" s="104">
        <f>_xll.qlCalendarAdvance(Calendar,X2046,NDays&amp;"D")</f>
        <v>53647</v>
      </c>
      <c r="Z2046" s="105" t="e">
        <v>#N/A</v>
      </c>
      <c r="AA2046" s="102" t="e">
        <v>#N/A</v>
      </c>
    </row>
    <row r="2047" spans="19:27" x14ac:dyDescent="0.2">
      <c r="S2047" s="61"/>
      <c r="T2047" s="82"/>
      <c r="W2047" s="103" t="str">
        <f t="shared" si="40"/>
        <v>1w</v>
      </c>
      <c r="X2047" s="101">
        <f>_xll.qlCalendarAdvance(Calendar,X2046,W2047,"f",FALSE)</f>
        <v>53652</v>
      </c>
      <c r="Y2047" s="104">
        <f>_xll.qlCalendarAdvance(Calendar,X2047,NDays&amp;"D")</f>
        <v>53654</v>
      </c>
      <c r="Z2047" s="105" t="e">
        <v>#N/A</v>
      </c>
      <c r="AA2047" s="102" t="e">
        <v>#N/A</v>
      </c>
    </row>
    <row r="2048" spans="19:27" x14ac:dyDescent="0.2">
      <c r="S2048" s="61"/>
      <c r="T2048" s="82"/>
      <c r="W2048" s="103" t="str">
        <f t="shared" si="40"/>
        <v>1w</v>
      </c>
      <c r="X2048" s="101">
        <f>_xll.qlCalendarAdvance(Calendar,X2047,W2048,"f",FALSE)</f>
        <v>53659</v>
      </c>
      <c r="Y2048" s="104">
        <f>_xll.qlCalendarAdvance(Calendar,X2048,NDays&amp;"D")</f>
        <v>53661</v>
      </c>
      <c r="Z2048" s="105" t="e">
        <v>#N/A</v>
      </c>
      <c r="AA2048" s="102" t="e">
        <v>#N/A</v>
      </c>
    </row>
    <row r="2049" spans="19:27" x14ac:dyDescent="0.2">
      <c r="S2049" s="61"/>
      <c r="T2049" s="82"/>
      <c r="W2049" s="103" t="str">
        <f t="shared" si="40"/>
        <v>1w</v>
      </c>
      <c r="X2049" s="101">
        <f>_xll.qlCalendarAdvance(Calendar,X2048,W2049,"f",FALSE)</f>
        <v>53666</v>
      </c>
      <c r="Y2049" s="104">
        <f>_xll.qlCalendarAdvance(Calendar,X2049,NDays&amp;"D")</f>
        <v>53668</v>
      </c>
      <c r="Z2049" s="105" t="e">
        <v>#N/A</v>
      </c>
      <c r="AA2049" s="102" t="e">
        <v>#N/A</v>
      </c>
    </row>
    <row r="2050" spans="19:27" x14ac:dyDescent="0.2">
      <c r="S2050" s="61"/>
      <c r="T2050" s="82"/>
      <c r="W2050" s="103" t="str">
        <f t="shared" si="40"/>
        <v>1w</v>
      </c>
      <c r="X2050" s="101">
        <f>_xll.qlCalendarAdvance(Calendar,X2049,W2050,"f",FALSE)</f>
        <v>53673</v>
      </c>
      <c r="Y2050" s="104">
        <f>_xll.qlCalendarAdvance(Calendar,X2050,NDays&amp;"D")</f>
        <v>53675</v>
      </c>
      <c r="Z2050" s="105" t="e">
        <v>#N/A</v>
      </c>
      <c r="AA2050" s="102" t="e">
        <v>#N/A</v>
      </c>
    </row>
    <row r="2051" spans="19:27" x14ac:dyDescent="0.2">
      <c r="S2051" s="61"/>
      <c r="T2051" s="82"/>
      <c r="W2051" s="103" t="str">
        <f t="shared" si="40"/>
        <v>1w</v>
      </c>
      <c r="X2051" s="101">
        <f>_xll.qlCalendarAdvance(Calendar,X2050,W2051,"f",FALSE)</f>
        <v>53680</v>
      </c>
      <c r="Y2051" s="104">
        <f>_xll.qlCalendarAdvance(Calendar,X2051,NDays&amp;"D")</f>
        <v>53682</v>
      </c>
      <c r="Z2051" s="105" t="e">
        <v>#N/A</v>
      </c>
      <c r="AA2051" s="102" t="e">
        <v>#N/A</v>
      </c>
    </row>
    <row r="2052" spans="19:27" x14ac:dyDescent="0.2">
      <c r="S2052" s="61"/>
      <c r="T2052" s="82"/>
      <c r="W2052" s="103" t="str">
        <f t="shared" si="40"/>
        <v>1w</v>
      </c>
      <c r="X2052" s="101">
        <f>_xll.qlCalendarAdvance(Calendar,X2051,W2052,"f",FALSE)</f>
        <v>53688</v>
      </c>
      <c r="Y2052" s="104">
        <f>_xll.qlCalendarAdvance(Calendar,X2052,NDays&amp;"D")</f>
        <v>53694</v>
      </c>
      <c r="Z2052" s="105" t="e">
        <v>#N/A</v>
      </c>
      <c r="AA2052" s="102" t="e">
        <v>#N/A</v>
      </c>
    </row>
    <row r="2053" spans="19:27" x14ac:dyDescent="0.2">
      <c r="S2053" s="61"/>
      <c r="T2053" s="82"/>
      <c r="W2053" s="103" t="str">
        <f t="shared" si="40"/>
        <v>1w</v>
      </c>
      <c r="X2053" s="101">
        <f>_xll.qlCalendarAdvance(Calendar,X2052,W2053,"f",FALSE)</f>
        <v>53695</v>
      </c>
      <c r="Y2053" s="104">
        <f>_xll.qlCalendarAdvance(Calendar,X2053,NDays&amp;"D")</f>
        <v>53699</v>
      </c>
      <c r="Z2053" s="105" t="e">
        <v>#N/A</v>
      </c>
      <c r="AA2053" s="102" t="e">
        <v>#N/A</v>
      </c>
    </row>
    <row r="2054" spans="19:27" x14ac:dyDescent="0.2">
      <c r="S2054" s="61"/>
      <c r="T2054" s="82"/>
      <c r="W2054" s="103" t="str">
        <f t="shared" si="40"/>
        <v>1w</v>
      </c>
      <c r="X2054" s="101">
        <f>_xll.qlCalendarAdvance(Calendar,X2053,W2054,"f",FALSE)</f>
        <v>53702</v>
      </c>
      <c r="Y2054" s="104">
        <f>_xll.qlCalendarAdvance(Calendar,X2054,NDays&amp;"D")</f>
        <v>53706</v>
      </c>
      <c r="Z2054" s="105" t="e">
        <v>#N/A</v>
      </c>
      <c r="AA2054" s="102" t="e">
        <v>#N/A</v>
      </c>
    </row>
    <row r="2055" spans="19:27" x14ac:dyDescent="0.2">
      <c r="S2055" s="61"/>
      <c r="T2055" s="82"/>
      <c r="W2055" s="103" t="str">
        <f t="shared" si="40"/>
        <v>1w</v>
      </c>
      <c r="X2055" s="101">
        <f>_xll.qlCalendarAdvance(Calendar,X2054,W2055,"f",FALSE)</f>
        <v>53709</v>
      </c>
      <c r="Y2055" s="104">
        <f>_xll.qlCalendarAdvance(Calendar,X2055,NDays&amp;"D")</f>
        <v>53713</v>
      </c>
      <c r="Z2055" s="105" t="e">
        <v>#N/A</v>
      </c>
      <c r="AA2055" s="102" t="e">
        <v>#N/A</v>
      </c>
    </row>
    <row r="2056" spans="19:27" x14ac:dyDescent="0.2">
      <c r="S2056" s="61"/>
      <c r="T2056" s="82"/>
      <c r="W2056" s="103" t="str">
        <f t="shared" si="40"/>
        <v>1w</v>
      </c>
      <c r="X2056" s="101">
        <f>_xll.qlCalendarAdvance(Calendar,X2055,W2056,"f",FALSE)</f>
        <v>53716</v>
      </c>
      <c r="Y2056" s="104">
        <f>_xll.qlCalendarAdvance(Calendar,X2056,NDays&amp;"D")</f>
        <v>53720</v>
      </c>
      <c r="Z2056" s="105" t="e">
        <v>#N/A</v>
      </c>
      <c r="AA2056" s="102" t="e">
        <v>#N/A</v>
      </c>
    </row>
    <row r="2057" spans="19:27" x14ac:dyDescent="0.2">
      <c r="S2057" s="61"/>
      <c r="T2057" s="82"/>
      <c r="W2057" s="103" t="str">
        <f t="shared" si="40"/>
        <v>1w</v>
      </c>
      <c r="X2057" s="101">
        <f>_xll.qlCalendarAdvance(Calendar,X2056,W2057,"f",FALSE)</f>
        <v>53723</v>
      </c>
      <c r="Y2057" s="104">
        <f>_xll.qlCalendarAdvance(Calendar,X2057,NDays&amp;"D")</f>
        <v>53727</v>
      </c>
      <c r="Z2057" s="105" t="e">
        <v>#N/A</v>
      </c>
      <c r="AA2057" s="102" t="e">
        <v>#N/A</v>
      </c>
    </row>
    <row r="2058" spans="19:27" x14ac:dyDescent="0.2">
      <c r="S2058" s="61"/>
      <c r="T2058" s="82"/>
      <c r="W2058" s="103" t="str">
        <f t="shared" si="40"/>
        <v>1w</v>
      </c>
      <c r="X2058" s="101">
        <f>_xll.qlCalendarAdvance(Calendar,X2057,W2058,"f",FALSE)</f>
        <v>53730</v>
      </c>
      <c r="Y2058" s="104">
        <f>_xll.qlCalendarAdvance(Calendar,X2058,NDays&amp;"D")</f>
        <v>53734</v>
      </c>
      <c r="Z2058" s="105" t="e">
        <v>#N/A</v>
      </c>
      <c r="AA2058" s="102" t="e">
        <v>#N/A</v>
      </c>
    </row>
    <row r="2059" spans="19:27" x14ac:dyDescent="0.2">
      <c r="S2059" s="61"/>
      <c r="T2059" s="82"/>
      <c r="W2059" s="103" t="str">
        <f t="shared" si="40"/>
        <v>1w</v>
      </c>
      <c r="X2059" s="101">
        <f>_xll.qlCalendarAdvance(Calendar,X2058,W2059,"f",FALSE)</f>
        <v>53737</v>
      </c>
      <c r="Y2059" s="104">
        <f>_xll.qlCalendarAdvance(Calendar,X2059,NDays&amp;"D")</f>
        <v>53741</v>
      </c>
      <c r="Z2059" s="105" t="e">
        <v>#N/A</v>
      </c>
      <c r="AA2059" s="102" t="e">
        <v>#N/A</v>
      </c>
    </row>
    <row r="2060" spans="19:27" x14ac:dyDescent="0.2">
      <c r="S2060" s="61"/>
      <c r="T2060" s="82"/>
      <c r="W2060" s="103" t="str">
        <f t="shared" si="40"/>
        <v>1w</v>
      </c>
      <c r="X2060" s="101">
        <f>_xll.qlCalendarAdvance(Calendar,X2059,W2060,"f",FALSE)</f>
        <v>53744</v>
      </c>
      <c r="Y2060" s="104">
        <f>_xll.qlCalendarAdvance(Calendar,X2060,NDays&amp;"D")</f>
        <v>53748</v>
      </c>
      <c r="Z2060" s="105" t="e">
        <v>#N/A</v>
      </c>
      <c r="AA2060" s="102" t="e">
        <v>#N/A</v>
      </c>
    </row>
    <row r="2061" spans="19:27" x14ac:dyDescent="0.2">
      <c r="S2061" s="61"/>
      <c r="T2061" s="82"/>
      <c r="W2061" s="103" t="str">
        <f t="shared" si="40"/>
        <v>1w</v>
      </c>
      <c r="X2061" s="101">
        <f>_xll.qlCalendarAdvance(Calendar,X2060,W2061,"f",FALSE)</f>
        <v>53751</v>
      </c>
      <c r="Y2061" s="104">
        <f>_xll.qlCalendarAdvance(Calendar,X2061,NDays&amp;"D")</f>
        <v>53755</v>
      </c>
      <c r="Z2061" s="105" t="e">
        <v>#N/A</v>
      </c>
      <c r="AA2061" s="102" t="e">
        <v>#N/A</v>
      </c>
    </row>
    <row r="2062" spans="19:27" x14ac:dyDescent="0.2">
      <c r="S2062" s="61"/>
      <c r="T2062" s="82"/>
      <c r="W2062" s="103" t="str">
        <f t="shared" si="40"/>
        <v>1w</v>
      </c>
      <c r="X2062" s="101">
        <f>_xll.qlCalendarAdvance(Calendar,X2061,W2062,"f",FALSE)</f>
        <v>53758</v>
      </c>
      <c r="Y2062" s="104">
        <f>_xll.qlCalendarAdvance(Calendar,X2062,NDays&amp;"D")</f>
        <v>53762</v>
      </c>
      <c r="Z2062" s="105" t="e">
        <v>#N/A</v>
      </c>
      <c r="AA2062" s="102" t="e">
        <v>#N/A</v>
      </c>
    </row>
    <row r="2063" spans="19:27" x14ac:dyDescent="0.2">
      <c r="S2063" s="61"/>
      <c r="T2063" s="82"/>
      <c r="W2063" s="103" t="str">
        <f t="shared" si="40"/>
        <v>1w</v>
      </c>
      <c r="X2063" s="101">
        <f>_xll.qlCalendarAdvance(Calendar,X2062,W2063,"f",FALSE)</f>
        <v>53765</v>
      </c>
      <c r="Y2063" s="104">
        <f>_xll.qlCalendarAdvance(Calendar,X2063,NDays&amp;"D")</f>
        <v>53769</v>
      </c>
      <c r="Z2063" s="105" t="e">
        <v>#N/A</v>
      </c>
      <c r="AA2063" s="102" t="e">
        <v>#N/A</v>
      </c>
    </row>
    <row r="2064" spans="19:27" x14ac:dyDescent="0.2">
      <c r="S2064" s="61"/>
      <c r="T2064" s="82"/>
      <c r="W2064" s="103" t="str">
        <f t="shared" si="40"/>
        <v>1w</v>
      </c>
      <c r="X2064" s="101">
        <f>_xll.qlCalendarAdvance(Calendar,X2063,W2064,"f",FALSE)</f>
        <v>53772</v>
      </c>
      <c r="Y2064" s="104">
        <f>_xll.qlCalendarAdvance(Calendar,X2064,NDays&amp;"D")</f>
        <v>53776</v>
      </c>
      <c r="Z2064" s="105" t="e">
        <v>#N/A</v>
      </c>
      <c r="AA2064" s="102" t="e">
        <v>#N/A</v>
      </c>
    </row>
    <row r="2065" spans="19:27" x14ac:dyDescent="0.2">
      <c r="S2065" s="61"/>
      <c r="T2065" s="82"/>
      <c r="W2065" s="103" t="str">
        <f t="shared" si="40"/>
        <v>1w</v>
      </c>
      <c r="X2065" s="101">
        <f>_xll.qlCalendarAdvance(Calendar,X2064,W2065,"f",FALSE)</f>
        <v>53779</v>
      </c>
      <c r="Y2065" s="104">
        <f>_xll.qlCalendarAdvance(Calendar,X2065,NDays&amp;"D")</f>
        <v>53783</v>
      </c>
      <c r="Z2065" s="105" t="e">
        <v>#N/A</v>
      </c>
      <c r="AA2065" s="102" t="e">
        <v>#N/A</v>
      </c>
    </row>
    <row r="2066" spans="19:27" x14ac:dyDescent="0.2">
      <c r="S2066" s="61"/>
      <c r="T2066" s="82"/>
      <c r="W2066" s="103" t="str">
        <f t="shared" si="40"/>
        <v>1w</v>
      </c>
      <c r="X2066" s="101">
        <f>_xll.qlCalendarAdvance(Calendar,X2065,W2066,"f",FALSE)</f>
        <v>53786</v>
      </c>
      <c r="Y2066" s="104">
        <f>_xll.qlCalendarAdvance(Calendar,X2066,NDays&amp;"D")</f>
        <v>53790</v>
      </c>
      <c r="Z2066" s="105" t="e">
        <v>#N/A</v>
      </c>
      <c r="AA2066" s="102" t="e">
        <v>#N/A</v>
      </c>
    </row>
    <row r="2067" spans="19:27" x14ac:dyDescent="0.2">
      <c r="S2067" s="61"/>
      <c r="T2067" s="82"/>
      <c r="W2067" s="103" t="str">
        <f t="shared" si="40"/>
        <v>1w</v>
      </c>
      <c r="X2067" s="101">
        <f>_xll.qlCalendarAdvance(Calendar,X2066,W2067,"f",FALSE)</f>
        <v>53793</v>
      </c>
      <c r="Y2067" s="104">
        <f>_xll.qlCalendarAdvance(Calendar,X2067,NDays&amp;"D")</f>
        <v>53799</v>
      </c>
      <c r="Z2067" s="105" t="e">
        <v>#N/A</v>
      </c>
      <c r="AA2067" s="102" t="e">
        <v>#N/A</v>
      </c>
    </row>
    <row r="2068" spans="19:27" x14ac:dyDescent="0.2">
      <c r="S2068" s="61"/>
      <c r="T2068" s="82"/>
      <c r="W2068" s="103" t="str">
        <f t="shared" si="40"/>
        <v>1w</v>
      </c>
      <c r="X2068" s="101">
        <f>_xll.qlCalendarAdvance(Calendar,X2067,W2068,"f",FALSE)</f>
        <v>53800</v>
      </c>
      <c r="Y2068" s="104">
        <f>_xll.qlCalendarAdvance(Calendar,X2068,NDays&amp;"D")</f>
        <v>53804</v>
      </c>
      <c r="Z2068" s="105" t="e">
        <v>#N/A</v>
      </c>
      <c r="AA2068" s="102" t="e">
        <v>#N/A</v>
      </c>
    </row>
    <row r="2069" spans="19:27" x14ac:dyDescent="0.2">
      <c r="S2069" s="61"/>
      <c r="T2069" s="82"/>
      <c r="W2069" s="103" t="str">
        <f t="shared" ref="W2069:W2132" si="41">W2068</f>
        <v>1w</v>
      </c>
      <c r="X2069" s="101">
        <f>_xll.qlCalendarAdvance(Calendar,X2068,W2069,"f",FALSE)</f>
        <v>53807</v>
      </c>
      <c r="Y2069" s="104">
        <f>_xll.qlCalendarAdvance(Calendar,X2069,NDays&amp;"D")</f>
        <v>53811</v>
      </c>
      <c r="Z2069" s="105" t="e">
        <v>#N/A</v>
      </c>
      <c r="AA2069" s="102" t="e">
        <v>#N/A</v>
      </c>
    </row>
    <row r="2070" spans="19:27" x14ac:dyDescent="0.2">
      <c r="S2070" s="61"/>
      <c r="T2070" s="82"/>
      <c r="W2070" s="103" t="str">
        <f t="shared" si="41"/>
        <v>1w</v>
      </c>
      <c r="X2070" s="101">
        <f>_xll.qlCalendarAdvance(Calendar,X2069,W2070,"f",FALSE)</f>
        <v>53814</v>
      </c>
      <c r="Y2070" s="104">
        <f>_xll.qlCalendarAdvance(Calendar,X2070,NDays&amp;"D")</f>
        <v>53818</v>
      </c>
      <c r="Z2070" s="105" t="e">
        <v>#N/A</v>
      </c>
      <c r="AA2070" s="102" t="e">
        <v>#N/A</v>
      </c>
    </row>
    <row r="2071" spans="19:27" x14ac:dyDescent="0.2">
      <c r="S2071" s="61"/>
      <c r="T2071" s="82"/>
      <c r="W2071" s="103" t="str">
        <f t="shared" si="41"/>
        <v>1w</v>
      </c>
      <c r="X2071" s="101">
        <f>_xll.qlCalendarAdvance(Calendar,X2070,W2071,"f",FALSE)</f>
        <v>53821</v>
      </c>
      <c r="Y2071" s="104">
        <f>_xll.qlCalendarAdvance(Calendar,X2071,NDays&amp;"D")</f>
        <v>53825</v>
      </c>
      <c r="Z2071" s="105" t="e">
        <v>#N/A</v>
      </c>
      <c r="AA2071" s="102" t="e">
        <v>#N/A</v>
      </c>
    </row>
    <row r="2072" spans="19:27" x14ac:dyDescent="0.2">
      <c r="S2072" s="61"/>
      <c r="T2072" s="82"/>
      <c r="W2072" s="103" t="str">
        <f t="shared" si="41"/>
        <v>1w</v>
      </c>
      <c r="X2072" s="101">
        <f>_xll.qlCalendarAdvance(Calendar,X2071,W2072,"f",FALSE)</f>
        <v>53828</v>
      </c>
      <c r="Y2072" s="104">
        <f>_xll.qlCalendarAdvance(Calendar,X2072,NDays&amp;"D")</f>
        <v>53832</v>
      </c>
      <c r="Z2072" s="105" t="e">
        <v>#N/A</v>
      </c>
      <c r="AA2072" s="102" t="e">
        <v>#N/A</v>
      </c>
    </row>
    <row r="2073" spans="19:27" x14ac:dyDescent="0.2">
      <c r="S2073" s="61"/>
      <c r="T2073" s="82"/>
      <c r="W2073" s="103" t="str">
        <f t="shared" si="41"/>
        <v>1w</v>
      </c>
      <c r="X2073" s="101">
        <f>_xll.qlCalendarAdvance(Calendar,X2072,W2073,"f",FALSE)</f>
        <v>53836</v>
      </c>
      <c r="Y2073" s="104">
        <f>_xll.qlCalendarAdvance(Calendar,X2073,NDays&amp;"D")</f>
        <v>53840</v>
      </c>
      <c r="Z2073" s="105" t="e">
        <v>#N/A</v>
      </c>
      <c r="AA2073" s="102" t="e">
        <v>#N/A</v>
      </c>
    </row>
    <row r="2074" spans="19:27" x14ac:dyDescent="0.2">
      <c r="S2074" s="61"/>
      <c r="T2074" s="82"/>
      <c r="W2074" s="103" t="str">
        <f t="shared" si="41"/>
        <v>1w</v>
      </c>
      <c r="X2074" s="101">
        <f>_xll.qlCalendarAdvance(Calendar,X2073,W2074,"f",FALSE)</f>
        <v>53843</v>
      </c>
      <c r="Y2074" s="104">
        <f>_xll.qlCalendarAdvance(Calendar,X2074,NDays&amp;"D")</f>
        <v>53848</v>
      </c>
      <c r="Z2074" s="105" t="e">
        <v>#N/A</v>
      </c>
      <c r="AA2074" s="102" t="e">
        <v>#N/A</v>
      </c>
    </row>
    <row r="2075" spans="19:27" x14ac:dyDescent="0.2">
      <c r="S2075" s="61"/>
      <c r="T2075" s="82"/>
      <c r="W2075" s="103" t="str">
        <f t="shared" si="41"/>
        <v>1w</v>
      </c>
      <c r="X2075" s="101">
        <f>_xll.qlCalendarAdvance(Calendar,X2074,W2075,"f",FALSE)</f>
        <v>53850</v>
      </c>
      <c r="Y2075" s="104">
        <f>_xll.qlCalendarAdvance(Calendar,X2075,NDays&amp;"D")</f>
        <v>53854</v>
      </c>
      <c r="Z2075" s="105" t="e">
        <v>#N/A</v>
      </c>
      <c r="AA2075" s="102" t="e">
        <v>#N/A</v>
      </c>
    </row>
    <row r="2076" spans="19:27" x14ac:dyDescent="0.2">
      <c r="S2076" s="61"/>
      <c r="T2076" s="82"/>
      <c r="W2076" s="103" t="str">
        <f t="shared" si="41"/>
        <v>1w</v>
      </c>
      <c r="X2076" s="101">
        <f>_xll.qlCalendarAdvance(Calendar,X2075,W2076,"f",FALSE)</f>
        <v>53857</v>
      </c>
      <c r="Y2076" s="104">
        <f>_xll.qlCalendarAdvance(Calendar,X2076,NDays&amp;"D")</f>
        <v>53861</v>
      </c>
      <c r="Z2076" s="105" t="e">
        <v>#N/A</v>
      </c>
      <c r="AA2076" s="102" t="e">
        <v>#N/A</v>
      </c>
    </row>
    <row r="2077" spans="19:27" x14ac:dyDescent="0.2">
      <c r="S2077" s="61"/>
      <c r="T2077" s="82"/>
      <c r="W2077" s="103" t="str">
        <f t="shared" si="41"/>
        <v>1w</v>
      </c>
      <c r="X2077" s="101">
        <f>_xll.qlCalendarAdvance(Calendar,X2076,W2077,"f",FALSE)</f>
        <v>53867</v>
      </c>
      <c r="Y2077" s="104">
        <f>_xll.qlCalendarAdvance(Calendar,X2077,NDays&amp;"D")</f>
        <v>53869</v>
      </c>
      <c r="Z2077" s="105" t="e">
        <v>#N/A</v>
      </c>
      <c r="AA2077" s="102" t="e">
        <v>#N/A</v>
      </c>
    </row>
    <row r="2078" spans="19:27" x14ac:dyDescent="0.2">
      <c r="S2078" s="61"/>
      <c r="T2078" s="82"/>
      <c r="W2078" s="103" t="str">
        <f t="shared" si="41"/>
        <v>1w</v>
      </c>
      <c r="X2078" s="101">
        <f>_xll.qlCalendarAdvance(Calendar,X2077,W2078,"f",FALSE)</f>
        <v>53874</v>
      </c>
      <c r="Y2078" s="104">
        <f>_xll.qlCalendarAdvance(Calendar,X2078,NDays&amp;"D")</f>
        <v>53876</v>
      </c>
      <c r="Z2078" s="105" t="e">
        <v>#N/A</v>
      </c>
      <c r="AA2078" s="102" t="e">
        <v>#N/A</v>
      </c>
    </row>
    <row r="2079" spans="19:27" x14ac:dyDescent="0.2">
      <c r="S2079" s="61"/>
      <c r="T2079" s="82"/>
      <c r="W2079" s="103" t="str">
        <f t="shared" si="41"/>
        <v>1w</v>
      </c>
      <c r="X2079" s="101">
        <f>_xll.qlCalendarAdvance(Calendar,X2078,W2079,"f",FALSE)</f>
        <v>53881</v>
      </c>
      <c r="Y2079" s="104">
        <f>_xll.qlCalendarAdvance(Calendar,X2079,NDays&amp;"D")</f>
        <v>53883</v>
      </c>
      <c r="Z2079" s="105" t="e">
        <v>#N/A</v>
      </c>
      <c r="AA2079" s="102" t="e">
        <v>#N/A</v>
      </c>
    </row>
    <row r="2080" spans="19:27" x14ac:dyDescent="0.2">
      <c r="S2080" s="61"/>
      <c r="T2080" s="82"/>
      <c r="W2080" s="103" t="str">
        <f t="shared" si="41"/>
        <v>1w</v>
      </c>
      <c r="X2080" s="101">
        <f>_xll.qlCalendarAdvance(Calendar,X2079,W2080,"f",FALSE)</f>
        <v>53888</v>
      </c>
      <c r="Y2080" s="104">
        <f>_xll.qlCalendarAdvance(Calendar,X2080,NDays&amp;"D")</f>
        <v>53890</v>
      </c>
      <c r="Z2080" s="105" t="e">
        <v>#N/A</v>
      </c>
      <c r="AA2080" s="102" t="e">
        <v>#N/A</v>
      </c>
    </row>
    <row r="2081" spans="19:27" x14ac:dyDescent="0.2">
      <c r="S2081" s="61"/>
      <c r="T2081" s="82"/>
      <c r="W2081" s="103" t="str">
        <f t="shared" si="41"/>
        <v>1w</v>
      </c>
      <c r="X2081" s="101">
        <f>_xll.qlCalendarAdvance(Calendar,X2080,W2081,"f",FALSE)</f>
        <v>53895</v>
      </c>
      <c r="Y2081" s="104">
        <f>_xll.qlCalendarAdvance(Calendar,X2081,NDays&amp;"D")</f>
        <v>53897</v>
      </c>
      <c r="Z2081" s="105" t="e">
        <v>#N/A</v>
      </c>
      <c r="AA2081" s="102" t="e">
        <v>#N/A</v>
      </c>
    </row>
    <row r="2082" spans="19:27" x14ac:dyDescent="0.2">
      <c r="S2082" s="61"/>
      <c r="T2082" s="82"/>
      <c r="W2082" s="103" t="str">
        <f t="shared" si="41"/>
        <v>1w</v>
      </c>
      <c r="X2082" s="101">
        <f>_xll.qlCalendarAdvance(Calendar,X2081,W2082,"f",FALSE)</f>
        <v>53902</v>
      </c>
      <c r="Y2082" s="104">
        <f>_xll.qlCalendarAdvance(Calendar,X2082,NDays&amp;"D")</f>
        <v>53904</v>
      </c>
      <c r="Z2082" s="105" t="e">
        <v>#N/A</v>
      </c>
      <c r="AA2082" s="102" t="e">
        <v>#N/A</v>
      </c>
    </row>
    <row r="2083" spans="19:27" x14ac:dyDescent="0.2">
      <c r="S2083" s="61"/>
      <c r="T2083" s="82"/>
      <c r="W2083" s="103" t="str">
        <f t="shared" si="41"/>
        <v>1w</v>
      </c>
      <c r="X2083" s="101">
        <f>_xll.qlCalendarAdvance(Calendar,X2082,W2083,"f",FALSE)</f>
        <v>53909</v>
      </c>
      <c r="Y2083" s="104">
        <f>_xll.qlCalendarAdvance(Calendar,X2083,NDays&amp;"D")</f>
        <v>53911</v>
      </c>
      <c r="Z2083" s="105" t="e">
        <v>#N/A</v>
      </c>
      <c r="AA2083" s="102" t="e">
        <v>#N/A</v>
      </c>
    </row>
    <row r="2084" spans="19:27" x14ac:dyDescent="0.2">
      <c r="S2084" s="61"/>
      <c r="T2084" s="82"/>
      <c r="W2084" s="103" t="str">
        <f t="shared" si="41"/>
        <v>1w</v>
      </c>
      <c r="X2084" s="101">
        <f>_xll.qlCalendarAdvance(Calendar,X2083,W2084,"f",FALSE)</f>
        <v>53916</v>
      </c>
      <c r="Y2084" s="104">
        <f>_xll.qlCalendarAdvance(Calendar,X2084,NDays&amp;"D")</f>
        <v>53918</v>
      </c>
      <c r="Z2084" s="105" t="e">
        <v>#N/A</v>
      </c>
      <c r="AA2084" s="102" t="e">
        <v>#N/A</v>
      </c>
    </row>
    <row r="2085" spans="19:27" x14ac:dyDescent="0.2">
      <c r="S2085" s="61"/>
      <c r="T2085" s="82"/>
      <c r="W2085" s="103" t="str">
        <f t="shared" si="41"/>
        <v>1w</v>
      </c>
      <c r="X2085" s="101">
        <f>_xll.qlCalendarAdvance(Calendar,X2084,W2085,"f",FALSE)</f>
        <v>53923</v>
      </c>
      <c r="Y2085" s="104">
        <f>_xll.qlCalendarAdvance(Calendar,X2085,NDays&amp;"D")</f>
        <v>53925</v>
      </c>
      <c r="Z2085" s="105" t="e">
        <v>#N/A</v>
      </c>
      <c r="AA2085" s="102" t="e">
        <v>#N/A</v>
      </c>
    </row>
    <row r="2086" spans="19:27" x14ac:dyDescent="0.2">
      <c r="S2086" s="61"/>
      <c r="T2086" s="82"/>
      <c r="W2086" s="103" t="str">
        <f t="shared" si="41"/>
        <v>1w</v>
      </c>
      <c r="X2086" s="101">
        <f>_xll.qlCalendarAdvance(Calendar,X2085,W2086,"f",FALSE)</f>
        <v>53930</v>
      </c>
      <c r="Y2086" s="104">
        <f>_xll.qlCalendarAdvance(Calendar,X2086,NDays&amp;"D")</f>
        <v>53932</v>
      </c>
      <c r="Z2086" s="105" t="e">
        <v>#N/A</v>
      </c>
      <c r="AA2086" s="102" t="e">
        <v>#N/A</v>
      </c>
    </row>
    <row r="2087" spans="19:27" x14ac:dyDescent="0.2">
      <c r="S2087" s="61"/>
      <c r="T2087" s="82"/>
      <c r="W2087" s="103" t="str">
        <f t="shared" si="41"/>
        <v>1w</v>
      </c>
      <c r="X2087" s="101">
        <f>_xll.qlCalendarAdvance(Calendar,X2086,W2087,"f",FALSE)</f>
        <v>53937</v>
      </c>
      <c r="Y2087" s="104">
        <f>_xll.qlCalendarAdvance(Calendar,X2087,NDays&amp;"D")</f>
        <v>53939</v>
      </c>
      <c r="Z2087" s="105" t="e">
        <v>#N/A</v>
      </c>
      <c r="AA2087" s="102" t="e">
        <v>#N/A</v>
      </c>
    </row>
    <row r="2088" spans="19:27" x14ac:dyDescent="0.2">
      <c r="S2088" s="61"/>
      <c r="T2088" s="82"/>
      <c r="W2088" s="103" t="str">
        <f t="shared" si="41"/>
        <v>1w</v>
      </c>
      <c r="X2088" s="101">
        <f>_xll.qlCalendarAdvance(Calendar,X2087,W2088,"f",FALSE)</f>
        <v>53944</v>
      </c>
      <c r="Y2088" s="104">
        <f>_xll.qlCalendarAdvance(Calendar,X2088,NDays&amp;"D")</f>
        <v>53946</v>
      </c>
      <c r="Z2088" s="105" t="e">
        <v>#N/A</v>
      </c>
      <c r="AA2088" s="102" t="e">
        <v>#N/A</v>
      </c>
    </row>
    <row r="2089" spans="19:27" x14ac:dyDescent="0.2">
      <c r="S2089" s="61"/>
      <c r="T2089" s="82"/>
      <c r="W2089" s="103" t="str">
        <f t="shared" si="41"/>
        <v>1w</v>
      </c>
      <c r="X2089" s="101">
        <f>_xll.qlCalendarAdvance(Calendar,X2088,W2089,"f",FALSE)</f>
        <v>53951</v>
      </c>
      <c r="Y2089" s="104">
        <f>_xll.qlCalendarAdvance(Calendar,X2089,NDays&amp;"D")</f>
        <v>53953</v>
      </c>
      <c r="Z2089" s="105" t="e">
        <v>#N/A</v>
      </c>
      <c r="AA2089" s="102" t="e">
        <v>#N/A</v>
      </c>
    </row>
    <row r="2090" spans="19:27" x14ac:dyDescent="0.2">
      <c r="S2090" s="61"/>
      <c r="T2090" s="82"/>
      <c r="W2090" s="103" t="str">
        <f t="shared" si="41"/>
        <v>1w</v>
      </c>
      <c r="X2090" s="101">
        <f>_xll.qlCalendarAdvance(Calendar,X2089,W2090,"f",FALSE)</f>
        <v>53958</v>
      </c>
      <c r="Y2090" s="104">
        <f>_xll.qlCalendarAdvance(Calendar,X2090,NDays&amp;"D")</f>
        <v>53960</v>
      </c>
      <c r="Z2090" s="105" t="e">
        <v>#N/A</v>
      </c>
      <c r="AA2090" s="102" t="e">
        <v>#N/A</v>
      </c>
    </row>
    <row r="2091" spans="19:27" x14ac:dyDescent="0.2">
      <c r="S2091" s="61"/>
      <c r="T2091" s="82"/>
      <c r="W2091" s="103" t="str">
        <f t="shared" si="41"/>
        <v>1w</v>
      </c>
      <c r="X2091" s="101">
        <f>_xll.qlCalendarAdvance(Calendar,X2090,W2091,"f",FALSE)</f>
        <v>53965</v>
      </c>
      <c r="Y2091" s="104">
        <f>_xll.qlCalendarAdvance(Calendar,X2091,NDays&amp;"D")</f>
        <v>53967</v>
      </c>
      <c r="Z2091" s="105" t="e">
        <v>#N/A</v>
      </c>
      <c r="AA2091" s="102" t="e">
        <v>#N/A</v>
      </c>
    </row>
    <row r="2092" spans="19:27" x14ac:dyDescent="0.2">
      <c r="S2092" s="61"/>
      <c r="T2092" s="82"/>
      <c r="W2092" s="103" t="str">
        <f t="shared" si="41"/>
        <v>1w</v>
      </c>
      <c r="X2092" s="101">
        <f>_xll.qlCalendarAdvance(Calendar,X2091,W2092,"f",FALSE)</f>
        <v>53972</v>
      </c>
      <c r="Y2092" s="104">
        <f>_xll.qlCalendarAdvance(Calendar,X2092,NDays&amp;"D")</f>
        <v>53974</v>
      </c>
      <c r="Z2092" s="105" t="e">
        <v>#N/A</v>
      </c>
      <c r="AA2092" s="102" t="e">
        <v>#N/A</v>
      </c>
    </row>
    <row r="2093" spans="19:27" x14ac:dyDescent="0.2">
      <c r="S2093" s="61"/>
      <c r="T2093" s="82"/>
      <c r="W2093" s="103" t="str">
        <f t="shared" si="41"/>
        <v>1w</v>
      </c>
      <c r="X2093" s="101">
        <f>_xll.qlCalendarAdvance(Calendar,X2092,W2093,"f",FALSE)</f>
        <v>53979</v>
      </c>
      <c r="Y2093" s="104">
        <f>_xll.qlCalendarAdvance(Calendar,X2093,NDays&amp;"D")</f>
        <v>53981</v>
      </c>
      <c r="Z2093" s="105" t="e">
        <v>#N/A</v>
      </c>
      <c r="AA2093" s="102" t="e">
        <v>#N/A</v>
      </c>
    </row>
    <row r="2094" spans="19:27" x14ac:dyDescent="0.2">
      <c r="S2094" s="61"/>
      <c r="T2094" s="82"/>
      <c r="W2094" s="103" t="str">
        <f t="shared" si="41"/>
        <v>1w</v>
      </c>
      <c r="X2094" s="101">
        <f>_xll.qlCalendarAdvance(Calendar,X2093,W2094,"f",FALSE)</f>
        <v>53986</v>
      </c>
      <c r="Y2094" s="104">
        <f>_xll.qlCalendarAdvance(Calendar,X2094,NDays&amp;"D")</f>
        <v>53988</v>
      </c>
      <c r="Z2094" s="105" t="e">
        <v>#N/A</v>
      </c>
      <c r="AA2094" s="102" t="e">
        <v>#N/A</v>
      </c>
    </row>
    <row r="2095" spans="19:27" x14ac:dyDescent="0.2">
      <c r="S2095" s="61"/>
      <c r="T2095" s="82"/>
      <c r="W2095" s="103" t="str">
        <f t="shared" si="41"/>
        <v>1w</v>
      </c>
      <c r="X2095" s="101">
        <f>_xll.qlCalendarAdvance(Calendar,X2094,W2095,"f",FALSE)</f>
        <v>53993</v>
      </c>
      <c r="Y2095" s="104">
        <f>_xll.qlCalendarAdvance(Calendar,X2095,NDays&amp;"D")</f>
        <v>53995</v>
      </c>
      <c r="Z2095" s="105" t="e">
        <v>#N/A</v>
      </c>
      <c r="AA2095" s="102" t="e">
        <v>#N/A</v>
      </c>
    </row>
    <row r="2096" spans="19:27" x14ac:dyDescent="0.2">
      <c r="S2096" s="61"/>
      <c r="T2096" s="82"/>
      <c r="W2096" s="103" t="str">
        <f t="shared" si="41"/>
        <v>1w</v>
      </c>
      <c r="X2096" s="101">
        <f>_xll.qlCalendarAdvance(Calendar,X2095,W2096,"f",FALSE)</f>
        <v>54000</v>
      </c>
      <c r="Y2096" s="104">
        <f>_xll.qlCalendarAdvance(Calendar,X2096,NDays&amp;"D")</f>
        <v>54002</v>
      </c>
      <c r="Z2096" s="105" t="e">
        <v>#N/A</v>
      </c>
      <c r="AA2096" s="102" t="e">
        <v>#N/A</v>
      </c>
    </row>
    <row r="2097" spans="19:27" x14ac:dyDescent="0.2">
      <c r="S2097" s="61"/>
      <c r="T2097" s="82"/>
      <c r="W2097" s="103" t="str">
        <f t="shared" si="41"/>
        <v>1w</v>
      </c>
      <c r="X2097" s="101">
        <f>_xll.qlCalendarAdvance(Calendar,X2096,W2097,"f",FALSE)</f>
        <v>54007</v>
      </c>
      <c r="Y2097" s="104">
        <f>_xll.qlCalendarAdvance(Calendar,X2097,NDays&amp;"D")</f>
        <v>54009</v>
      </c>
      <c r="Z2097" s="105" t="e">
        <v>#N/A</v>
      </c>
      <c r="AA2097" s="102" t="e">
        <v>#N/A</v>
      </c>
    </row>
    <row r="2098" spans="19:27" x14ac:dyDescent="0.2">
      <c r="S2098" s="61"/>
      <c r="T2098" s="82"/>
      <c r="W2098" s="103" t="str">
        <f t="shared" si="41"/>
        <v>1w</v>
      </c>
      <c r="X2098" s="101">
        <f>_xll.qlCalendarAdvance(Calendar,X2097,W2098,"f",FALSE)</f>
        <v>54014</v>
      </c>
      <c r="Y2098" s="104">
        <f>_xll.qlCalendarAdvance(Calendar,X2098,NDays&amp;"D")</f>
        <v>54016</v>
      </c>
      <c r="Z2098" s="105" t="e">
        <v>#N/A</v>
      </c>
      <c r="AA2098" s="102" t="e">
        <v>#N/A</v>
      </c>
    </row>
    <row r="2099" spans="19:27" x14ac:dyDescent="0.2">
      <c r="S2099" s="61"/>
      <c r="T2099" s="82"/>
      <c r="W2099" s="103" t="str">
        <f t="shared" si="41"/>
        <v>1w</v>
      </c>
      <c r="X2099" s="101">
        <f>_xll.qlCalendarAdvance(Calendar,X2098,W2099,"f",FALSE)</f>
        <v>54021</v>
      </c>
      <c r="Y2099" s="104">
        <f>_xll.qlCalendarAdvance(Calendar,X2099,NDays&amp;"D")</f>
        <v>54023</v>
      </c>
      <c r="Z2099" s="105" t="e">
        <v>#N/A</v>
      </c>
      <c r="AA2099" s="102" t="e">
        <v>#N/A</v>
      </c>
    </row>
    <row r="2100" spans="19:27" x14ac:dyDescent="0.2">
      <c r="S2100" s="61"/>
      <c r="T2100" s="82"/>
      <c r="W2100" s="103" t="str">
        <f t="shared" si="41"/>
        <v>1w</v>
      </c>
      <c r="X2100" s="101">
        <f>_xll.qlCalendarAdvance(Calendar,X2099,W2100,"f",FALSE)</f>
        <v>54028</v>
      </c>
      <c r="Y2100" s="104">
        <f>_xll.qlCalendarAdvance(Calendar,X2100,NDays&amp;"D")</f>
        <v>54030</v>
      </c>
      <c r="Z2100" s="105" t="e">
        <v>#N/A</v>
      </c>
      <c r="AA2100" s="102" t="e">
        <v>#N/A</v>
      </c>
    </row>
    <row r="2101" spans="19:27" x14ac:dyDescent="0.2">
      <c r="S2101" s="61"/>
      <c r="T2101" s="82"/>
      <c r="W2101" s="103" t="str">
        <f t="shared" si="41"/>
        <v>1w</v>
      </c>
      <c r="X2101" s="101">
        <f>_xll.qlCalendarAdvance(Calendar,X2100,W2101,"f",FALSE)</f>
        <v>54035</v>
      </c>
      <c r="Y2101" s="104">
        <f>_xll.qlCalendarAdvance(Calendar,X2101,NDays&amp;"D")</f>
        <v>54037</v>
      </c>
      <c r="Z2101" s="105" t="e">
        <v>#N/A</v>
      </c>
      <c r="AA2101" s="102" t="e">
        <v>#N/A</v>
      </c>
    </row>
    <row r="2102" spans="19:27" x14ac:dyDescent="0.2">
      <c r="S2102" s="61"/>
      <c r="T2102" s="82"/>
      <c r="W2102" s="103" t="str">
        <f t="shared" si="41"/>
        <v>1w</v>
      </c>
      <c r="X2102" s="101">
        <f>_xll.qlCalendarAdvance(Calendar,X2101,W2102,"f",FALSE)</f>
        <v>54042</v>
      </c>
      <c r="Y2102" s="104">
        <f>_xll.qlCalendarAdvance(Calendar,X2102,NDays&amp;"D")</f>
        <v>54044</v>
      </c>
      <c r="Z2102" s="105" t="e">
        <v>#N/A</v>
      </c>
      <c r="AA2102" s="102" t="e">
        <v>#N/A</v>
      </c>
    </row>
    <row r="2103" spans="19:27" x14ac:dyDescent="0.2">
      <c r="S2103" s="61"/>
      <c r="T2103" s="82"/>
      <c r="W2103" s="103" t="str">
        <f t="shared" si="41"/>
        <v>1w</v>
      </c>
      <c r="X2103" s="101">
        <f>_xll.qlCalendarAdvance(Calendar,X2102,W2103,"f",FALSE)</f>
        <v>54049</v>
      </c>
      <c r="Y2103" s="104">
        <f>_xll.qlCalendarAdvance(Calendar,X2103,NDays&amp;"D")</f>
        <v>54056</v>
      </c>
      <c r="Z2103" s="105" t="e">
        <v>#N/A</v>
      </c>
      <c r="AA2103" s="102" t="e">
        <v>#N/A</v>
      </c>
    </row>
    <row r="2104" spans="19:27" x14ac:dyDescent="0.2">
      <c r="S2104" s="61"/>
      <c r="T2104" s="82"/>
      <c r="W2104" s="103" t="str">
        <f t="shared" si="41"/>
        <v>1w</v>
      </c>
      <c r="X2104" s="101">
        <f>_xll.qlCalendarAdvance(Calendar,X2103,W2104,"f",FALSE)</f>
        <v>54056</v>
      </c>
      <c r="Y2104" s="104">
        <f>_xll.qlCalendarAdvance(Calendar,X2104,NDays&amp;"D")</f>
        <v>54060</v>
      </c>
      <c r="Z2104" s="105" t="e">
        <v>#N/A</v>
      </c>
      <c r="AA2104" s="102" t="e">
        <v>#N/A</v>
      </c>
    </row>
    <row r="2105" spans="19:27" x14ac:dyDescent="0.2">
      <c r="S2105" s="61"/>
      <c r="T2105" s="82"/>
      <c r="W2105" s="103" t="str">
        <f t="shared" si="41"/>
        <v>1w</v>
      </c>
      <c r="X2105" s="101">
        <f>_xll.qlCalendarAdvance(Calendar,X2104,W2105,"f",FALSE)</f>
        <v>54064</v>
      </c>
      <c r="Y2105" s="104">
        <f>_xll.qlCalendarAdvance(Calendar,X2105,NDays&amp;"D")</f>
        <v>54066</v>
      </c>
      <c r="Z2105" s="105" t="e">
        <v>#N/A</v>
      </c>
      <c r="AA2105" s="102" t="e">
        <v>#N/A</v>
      </c>
    </row>
    <row r="2106" spans="19:27" x14ac:dyDescent="0.2">
      <c r="S2106" s="61"/>
      <c r="T2106" s="82"/>
      <c r="W2106" s="103" t="str">
        <f t="shared" si="41"/>
        <v>1w</v>
      </c>
      <c r="X2106" s="101">
        <f>_xll.qlCalendarAdvance(Calendar,X2105,W2106,"f",FALSE)</f>
        <v>54071</v>
      </c>
      <c r="Y2106" s="104">
        <f>_xll.qlCalendarAdvance(Calendar,X2106,NDays&amp;"D")</f>
        <v>54073</v>
      </c>
      <c r="Z2106" s="105" t="e">
        <v>#N/A</v>
      </c>
      <c r="AA2106" s="102" t="e">
        <v>#N/A</v>
      </c>
    </row>
    <row r="2107" spans="19:27" x14ac:dyDescent="0.2">
      <c r="S2107" s="61"/>
      <c r="T2107" s="82"/>
      <c r="W2107" s="103" t="str">
        <f t="shared" si="41"/>
        <v>1w</v>
      </c>
      <c r="X2107" s="101">
        <f>_xll.qlCalendarAdvance(Calendar,X2106,W2107,"f",FALSE)</f>
        <v>54078</v>
      </c>
      <c r="Y2107" s="104">
        <f>_xll.qlCalendarAdvance(Calendar,X2107,NDays&amp;"D")</f>
        <v>54080</v>
      </c>
      <c r="Z2107" s="105" t="e">
        <v>#N/A</v>
      </c>
      <c r="AA2107" s="102" t="e">
        <v>#N/A</v>
      </c>
    </row>
    <row r="2108" spans="19:27" x14ac:dyDescent="0.2">
      <c r="S2108" s="61"/>
      <c r="T2108" s="82"/>
      <c r="W2108" s="103" t="str">
        <f t="shared" si="41"/>
        <v>1w</v>
      </c>
      <c r="X2108" s="101">
        <f>_xll.qlCalendarAdvance(Calendar,X2107,W2108,"f",FALSE)</f>
        <v>54085</v>
      </c>
      <c r="Y2108" s="104">
        <f>_xll.qlCalendarAdvance(Calendar,X2108,NDays&amp;"D")</f>
        <v>54087</v>
      </c>
      <c r="Z2108" s="105" t="e">
        <v>#N/A</v>
      </c>
      <c r="AA2108" s="102" t="e">
        <v>#N/A</v>
      </c>
    </row>
    <row r="2109" spans="19:27" x14ac:dyDescent="0.2">
      <c r="S2109" s="61"/>
      <c r="T2109" s="82"/>
      <c r="W2109" s="103" t="str">
        <f t="shared" si="41"/>
        <v>1w</v>
      </c>
      <c r="X2109" s="101">
        <f>_xll.qlCalendarAdvance(Calendar,X2108,W2109,"f",FALSE)</f>
        <v>54092</v>
      </c>
      <c r="Y2109" s="104">
        <f>_xll.qlCalendarAdvance(Calendar,X2109,NDays&amp;"D")</f>
        <v>54094</v>
      </c>
      <c r="Z2109" s="105" t="e">
        <v>#N/A</v>
      </c>
      <c r="AA2109" s="102" t="e">
        <v>#N/A</v>
      </c>
    </row>
    <row r="2110" spans="19:27" x14ac:dyDescent="0.2">
      <c r="S2110" s="61"/>
      <c r="T2110" s="82"/>
      <c r="W2110" s="103" t="str">
        <f t="shared" si="41"/>
        <v>1w</v>
      </c>
      <c r="X2110" s="101">
        <f>_xll.qlCalendarAdvance(Calendar,X2109,W2110,"f",FALSE)</f>
        <v>54099</v>
      </c>
      <c r="Y2110" s="104">
        <f>_xll.qlCalendarAdvance(Calendar,X2110,NDays&amp;"D")</f>
        <v>54101</v>
      </c>
      <c r="Z2110" s="105" t="e">
        <v>#N/A</v>
      </c>
      <c r="AA2110" s="102" t="e">
        <v>#N/A</v>
      </c>
    </row>
    <row r="2111" spans="19:27" x14ac:dyDescent="0.2">
      <c r="S2111" s="61"/>
      <c r="T2111" s="82"/>
      <c r="W2111" s="103" t="str">
        <f t="shared" si="41"/>
        <v>1w</v>
      </c>
      <c r="X2111" s="101">
        <f>_xll.qlCalendarAdvance(Calendar,X2110,W2111,"f",FALSE)</f>
        <v>54106</v>
      </c>
      <c r="Y2111" s="104">
        <f>_xll.qlCalendarAdvance(Calendar,X2111,NDays&amp;"D")</f>
        <v>54108</v>
      </c>
      <c r="Z2111" s="105" t="e">
        <v>#N/A</v>
      </c>
      <c r="AA2111" s="102" t="e">
        <v>#N/A</v>
      </c>
    </row>
    <row r="2112" spans="19:27" x14ac:dyDescent="0.2">
      <c r="S2112" s="61"/>
      <c r="T2112" s="82"/>
      <c r="W2112" s="103" t="str">
        <f t="shared" si="41"/>
        <v>1w</v>
      </c>
      <c r="X2112" s="101">
        <f>_xll.qlCalendarAdvance(Calendar,X2111,W2112,"f",FALSE)</f>
        <v>54113</v>
      </c>
      <c r="Y2112" s="104">
        <f>_xll.qlCalendarAdvance(Calendar,X2112,NDays&amp;"D")</f>
        <v>54115</v>
      </c>
      <c r="Z2112" s="105" t="e">
        <v>#N/A</v>
      </c>
      <c r="AA2112" s="102" t="e">
        <v>#N/A</v>
      </c>
    </row>
    <row r="2113" spans="19:27" x14ac:dyDescent="0.2">
      <c r="S2113" s="61"/>
      <c r="T2113" s="82"/>
      <c r="W2113" s="103" t="str">
        <f t="shared" si="41"/>
        <v>1w</v>
      </c>
      <c r="X2113" s="101">
        <f>_xll.qlCalendarAdvance(Calendar,X2112,W2113,"f",FALSE)</f>
        <v>54120</v>
      </c>
      <c r="Y2113" s="104">
        <f>_xll.qlCalendarAdvance(Calendar,X2113,NDays&amp;"D")</f>
        <v>54122</v>
      </c>
      <c r="Z2113" s="105" t="e">
        <v>#N/A</v>
      </c>
      <c r="AA2113" s="102" t="e">
        <v>#N/A</v>
      </c>
    </row>
    <row r="2114" spans="19:27" x14ac:dyDescent="0.2">
      <c r="S2114" s="61"/>
      <c r="T2114" s="82"/>
      <c r="W2114" s="103" t="str">
        <f t="shared" si="41"/>
        <v>1w</v>
      </c>
      <c r="X2114" s="101">
        <f>_xll.qlCalendarAdvance(Calendar,X2113,W2114,"f",FALSE)</f>
        <v>54127</v>
      </c>
      <c r="Y2114" s="104">
        <f>_xll.qlCalendarAdvance(Calendar,X2114,NDays&amp;"D")</f>
        <v>54129</v>
      </c>
      <c r="Z2114" s="105" t="e">
        <v>#N/A</v>
      </c>
      <c r="AA2114" s="102" t="e">
        <v>#N/A</v>
      </c>
    </row>
    <row r="2115" spans="19:27" x14ac:dyDescent="0.2">
      <c r="S2115" s="61"/>
      <c r="T2115" s="82"/>
      <c r="W2115" s="103" t="str">
        <f t="shared" si="41"/>
        <v>1w</v>
      </c>
      <c r="X2115" s="101">
        <f>_xll.qlCalendarAdvance(Calendar,X2114,W2115,"f",FALSE)</f>
        <v>54134</v>
      </c>
      <c r="Y2115" s="104">
        <f>_xll.qlCalendarAdvance(Calendar,X2115,NDays&amp;"D")</f>
        <v>54136</v>
      </c>
      <c r="Z2115" s="105" t="e">
        <v>#N/A</v>
      </c>
      <c r="AA2115" s="102" t="e">
        <v>#N/A</v>
      </c>
    </row>
    <row r="2116" spans="19:27" x14ac:dyDescent="0.2">
      <c r="S2116" s="61"/>
      <c r="T2116" s="82"/>
      <c r="W2116" s="103" t="str">
        <f t="shared" si="41"/>
        <v>1w</v>
      </c>
      <c r="X2116" s="101">
        <f>_xll.qlCalendarAdvance(Calendar,X2115,W2116,"f",FALSE)</f>
        <v>54141</v>
      </c>
      <c r="Y2116" s="104">
        <f>_xll.qlCalendarAdvance(Calendar,X2116,NDays&amp;"D")</f>
        <v>54143</v>
      </c>
      <c r="Z2116" s="105" t="e">
        <v>#N/A</v>
      </c>
      <c r="AA2116" s="102" t="e">
        <v>#N/A</v>
      </c>
    </row>
    <row r="2117" spans="19:27" x14ac:dyDescent="0.2">
      <c r="S2117" s="61"/>
      <c r="T2117" s="82"/>
      <c r="W2117" s="103" t="str">
        <f t="shared" si="41"/>
        <v>1w</v>
      </c>
      <c r="X2117" s="101">
        <f>_xll.qlCalendarAdvance(Calendar,X2116,W2117,"f",FALSE)</f>
        <v>54148</v>
      </c>
      <c r="Y2117" s="104">
        <f>_xll.qlCalendarAdvance(Calendar,X2117,NDays&amp;"D")</f>
        <v>54150</v>
      </c>
      <c r="Z2117" s="105" t="e">
        <v>#N/A</v>
      </c>
      <c r="AA2117" s="102" t="e">
        <v>#N/A</v>
      </c>
    </row>
    <row r="2118" spans="19:27" x14ac:dyDescent="0.2">
      <c r="S2118" s="61"/>
      <c r="T2118" s="82"/>
      <c r="W2118" s="103" t="str">
        <f t="shared" si="41"/>
        <v>1w</v>
      </c>
      <c r="X2118" s="101">
        <f>_xll.qlCalendarAdvance(Calendar,X2117,W2118,"f",FALSE)</f>
        <v>54155</v>
      </c>
      <c r="Y2118" s="104">
        <f>_xll.qlCalendarAdvance(Calendar,X2118,NDays&amp;"D")</f>
        <v>54157</v>
      </c>
      <c r="Z2118" s="105" t="e">
        <v>#N/A</v>
      </c>
      <c r="AA2118" s="102" t="e">
        <v>#N/A</v>
      </c>
    </row>
    <row r="2119" spans="19:27" x14ac:dyDescent="0.2">
      <c r="S2119" s="61"/>
      <c r="T2119" s="82"/>
      <c r="W2119" s="103" t="str">
        <f t="shared" si="41"/>
        <v>1w</v>
      </c>
      <c r="X2119" s="101">
        <f>_xll.qlCalendarAdvance(Calendar,X2118,W2119,"f",FALSE)</f>
        <v>54162</v>
      </c>
      <c r="Y2119" s="104">
        <f>_xll.qlCalendarAdvance(Calendar,X2119,NDays&amp;"D")</f>
        <v>54164</v>
      </c>
      <c r="Z2119" s="105" t="e">
        <v>#N/A</v>
      </c>
      <c r="AA2119" s="102" t="e">
        <v>#N/A</v>
      </c>
    </row>
    <row r="2120" spans="19:27" x14ac:dyDescent="0.2">
      <c r="S2120" s="61"/>
      <c r="T2120" s="82"/>
      <c r="W2120" s="103" t="str">
        <f t="shared" si="41"/>
        <v>1w</v>
      </c>
      <c r="X2120" s="101">
        <f>_xll.qlCalendarAdvance(Calendar,X2119,W2120,"f",FALSE)</f>
        <v>54169</v>
      </c>
      <c r="Y2120" s="104">
        <f>_xll.qlCalendarAdvance(Calendar,X2120,NDays&amp;"D")</f>
        <v>54171</v>
      </c>
      <c r="Z2120" s="105" t="e">
        <v>#N/A</v>
      </c>
      <c r="AA2120" s="102" t="e">
        <v>#N/A</v>
      </c>
    </row>
    <row r="2121" spans="19:27" x14ac:dyDescent="0.2">
      <c r="S2121" s="61"/>
      <c r="T2121" s="82"/>
      <c r="W2121" s="103" t="str">
        <f t="shared" si="41"/>
        <v>1w</v>
      </c>
      <c r="X2121" s="101">
        <f>_xll.qlCalendarAdvance(Calendar,X2120,W2121,"f",FALSE)</f>
        <v>54176</v>
      </c>
      <c r="Y2121" s="104">
        <f>_xll.qlCalendarAdvance(Calendar,X2121,NDays&amp;"D")</f>
        <v>54178</v>
      </c>
      <c r="Z2121" s="105" t="e">
        <v>#N/A</v>
      </c>
      <c r="AA2121" s="102" t="e">
        <v>#N/A</v>
      </c>
    </row>
    <row r="2122" spans="19:27" x14ac:dyDescent="0.2">
      <c r="S2122" s="61"/>
      <c r="T2122" s="82"/>
      <c r="W2122" s="103" t="str">
        <f t="shared" si="41"/>
        <v>1w</v>
      </c>
      <c r="X2122" s="101">
        <f>_xll.qlCalendarAdvance(Calendar,X2121,W2122,"f",FALSE)</f>
        <v>54183</v>
      </c>
      <c r="Y2122" s="104">
        <f>_xll.qlCalendarAdvance(Calendar,X2122,NDays&amp;"D")</f>
        <v>54185</v>
      </c>
      <c r="Z2122" s="105" t="e">
        <v>#N/A</v>
      </c>
      <c r="AA2122" s="102" t="e">
        <v>#N/A</v>
      </c>
    </row>
    <row r="2123" spans="19:27" x14ac:dyDescent="0.2">
      <c r="S2123" s="61"/>
      <c r="T2123" s="82"/>
      <c r="W2123" s="103" t="str">
        <f t="shared" si="41"/>
        <v>1w</v>
      </c>
      <c r="X2123" s="101">
        <f>_xll.qlCalendarAdvance(Calendar,X2122,W2123,"f",FALSE)</f>
        <v>54190</v>
      </c>
      <c r="Y2123" s="104">
        <f>_xll.qlCalendarAdvance(Calendar,X2123,NDays&amp;"D")</f>
        <v>54193</v>
      </c>
      <c r="Z2123" s="105" t="e">
        <v>#N/A</v>
      </c>
      <c r="AA2123" s="102" t="e">
        <v>#N/A</v>
      </c>
    </row>
    <row r="2124" spans="19:27" x14ac:dyDescent="0.2">
      <c r="S2124" s="61"/>
      <c r="T2124" s="82"/>
      <c r="W2124" s="103" t="str">
        <f t="shared" si="41"/>
        <v>1w</v>
      </c>
      <c r="X2124" s="101">
        <f>_xll.qlCalendarAdvance(Calendar,X2123,W2124,"f",FALSE)</f>
        <v>54197</v>
      </c>
      <c r="Y2124" s="104">
        <f>_xll.qlCalendarAdvance(Calendar,X2124,NDays&amp;"D")</f>
        <v>54199</v>
      </c>
      <c r="Z2124" s="105" t="e">
        <v>#N/A</v>
      </c>
      <c r="AA2124" s="102" t="e">
        <v>#N/A</v>
      </c>
    </row>
    <row r="2125" spans="19:27" x14ac:dyDescent="0.2">
      <c r="S2125" s="61"/>
      <c r="T2125" s="82"/>
      <c r="W2125" s="103" t="str">
        <f t="shared" si="41"/>
        <v>1w</v>
      </c>
      <c r="X2125" s="101">
        <f>_xll.qlCalendarAdvance(Calendar,X2124,W2125,"f",FALSE)</f>
        <v>54204</v>
      </c>
      <c r="Y2125" s="104">
        <f>_xll.qlCalendarAdvance(Calendar,X2125,NDays&amp;"D")</f>
        <v>54206</v>
      </c>
      <c r="Z2125" s="105" t="e">
        <v>#N/A</v>
      </c>
      <c r="AA2125" s="102" t="e">
        <v>#N/A</v>
      </c>
    </row>
    <row r="2126" spans="19:27" x14ac:dyDescent="0.2">
      <c r="S2126" s="61"/>
      <c r="T2126" s="82"/>
      <c r="W2126" s="103" t="str">
        <f t="shared" si="41"/>
        <v>1w</v>
      </c>
      <c r="X2126" s="101">
        <f>_xll.qlCalendarAdvance(Calendar,X2125,W2126,"f",FALSE)</f>
        <v>54211</v>
      </c>
      <c r="Y2126" s="104">
        <f>_xll.qlCalendarAdvance(Calendar,X2126,NDays&amp;"D")</f>
        <v>54213</v>
      </c>
      <c r="Z2126" s="105" t="e">
        <v>#N/A</v>
      </c>
      <c r="AA2126" s="102" t="e">
        <v>#N/A</v>
      </c>
    </row>
    <row r="2127" spans="19:27" x14ac:dyDescent="0.2">
      <c r="S2127" s="61"/>
      <c r="T2127" s="82"/>
      <c r="W2127" s="103" t="str">
        <f t="shared" si="41"/>
        <v>1w</v>
      </c>
      <c r="X2127" s="101">
        <f>_xll.qlCalendarAdvance(Calendar,X2126,W2127,"f",FALSE)</f>
        <v>54218</v>
      </c>
      <c r="Y2127" s="104">
        <f>_xll.qlCalendarAdvance(Calendar,X2127,NDays&amp;"D")</f>
        <v>54220</v>
      </c>
      <c r="Z2127" s="105" t="e">
        <v>#N/A</v>
      </c>
      <c r="AA2127" s="102" t="e">
        <v>#N/A</v>
      </c>
    </row>
    <row r="2128" spans="19:27" x14ac:dyDescent="0.2">
      <c r="S2128" s="61"/>
      <c r="T2128" s="82"/>
      <c r="W2128" s="103" t="str">
        <f t="shared" si="41"/>
        <v>1w</v>
      </c>
      <c r="X2128" s="101">
        <f>_xll.qlCalendarAdvance(Calendar,X2127,W2128,"f",FALSE)</f>
        <v>54225</v>
      </c>
      <c r="Y2128" s="104">
        <f>_xll.qlCalendarAdvance(Calendar,X2128,NDays&amp;"D")</f>
        <v>54227</v>
      </c>
      <c r="Z2128" s="105" t="e">
        <v>#N/A</v>
      </c>
      <c r="AA2128" s="102" t="e">
        <v>#N/A</v>
      </c>
    </row>
    <row r="2129" spans="19:27" x14ac:dyDescent="0.2">
      <c r="S2129" s="61"/>
      <c r="T2129" s="82"/>
      <c r="W2129" s="103" t="str">
        <f t="shared" si="41"/>
        <v>1w</v>
      </c>
      <c r="X2129" s="101">
        <f>_xll.qlCalendarAdvance(Calendar,X2128,W2129,"f",FALSE)</f>
        <v>54232</v>
      </c>
      <c r="Y2129" s="104">
        <f>_xll.qlCalendarAdvance(Calendar,X2129,NDays&amp;"D")</f>
        <v>54234</v>
      </c>
      <c r="Z2129" s="105" t="e">
        <v>#N/A</v>
      </c>
      <c r="AA2129" s="102" t="e">
        <v>#N/A</v>
      </c>
    </row>
    <row r="2130" spans="19:27" x14ac:dyDescent="0.2">
      <c r="S2130" s="61"/>
      <c r="T2130" s="82"/>
      <c r="W2130" s="103" t="str">
        <f t="shared" si="41"/>
        <v>1w</v>
      </c>
      <c r="X2130" s="101">
        <f>_xll.qlCalendarAdvance(Calendar,X2129,W2130,"f",FALSE)</f>
        <v>54239</v>
      </c>
      <c r="Y2130" s="104">
        <f>_xll.qlCalendarAdvance(Calendar,X2130,NDays&amp;"D")</f>
        <v>54241</v>
      </c>
      <c r="Z2130" s="105" t="e">
        <v>#N/A</v>
      </c>
      <c r="AA2130" s="102" t="e">
        <v>#N/A</v>
      </c>
    </row>
    <row r="2131" spans="19:27" x14ac:dyDescent="0.2">
      <c r="S2131" s="61"/>
      <c r="T2131" s="82"/>
      <c r="W2131" s="103" t="str">
        <f t="shared" si="41"/>
        <v>1w</v>
      </c>
      <c r="X2131" s="101">
        <f>_xll.qlCalendarAdvance(Calendar,X2130,W2131,"f",FALSE)</f>
        <v>54246</v>
      </c>
      <c r="Y2131" s="104">
        <f>_xll.qlCalendarAdvance(Calendar,X2131,NDays&amp;"D")</f>
        <v>54248</v>
      </c>
      <c r="Z2131" s="105" t="e">
        <v>#N/A</v>
      </c>
      <c r="AA2131" s="102" t="e">
        <v>#N/A</v>
      </c>
    </row>
    <row r="2132" spans="19:27" x14ac:dyDescent="0.2">
      <c r="S2132" s="61"/>
      <c r="T2132" s="82"/>
      <c r="W2132" s="103" t="str">
        <f t="shared" si="41"/>
        <v>1w</v>
      </c>
      <c r="X2132" s="101">
        <f>_xll.qlCalendarAdvance(Calendar,X2131,W2132,"f",FALSE)</f>
        <v>54253</v>
      </c>
      <c r="Y2132" s="104">
        <f>_xll.qlCalendarAdvance(Calendar,X2132,NDays&amp;"D")</f>
        <v>54255</v>
      </c>
      <c r="Z2132" s="105" t="e">
        <v>#N/A</v>
      </c>
      <c r="AA2132" s="102" t="e">
        <v>#N/A</v>
      </c>
    </row>
    <row r="2133" spans="19:27" x14ac:dyDescent="0.2">
      <c r="S2133" s="61"/>
      <c r="T2133" s="82"/>
      <c r="W2133" s="103" t="str">
        <f t="shared" ref="W2133:W2196" si="42">W2132</f>
        <v>1w</v>
      </c>
      <c r="X2133" s="101">
        <f>_xll.qlCalendarAdvance(Calendar,X2132,W2133,"f",FALSE)</f>
        <v>54260</v>
      </c>
      <c r="Y2133" s="104">
        <f>_xll.qlCalendarAdvance(Calendar,X2133,NDays&amp;"D")</f>
        <v>54262</v>
      </c>
      <c r="Z2133" s="105" t="e">
        <v>#N/A</v>
      </c>
      <c r="AA2133" s="102" t="e">
        <v>#N/A</v>
      </c>
    </row>
    <row r="2134" spans="19:27" x14ac:dyDescent="0.2">
      <c r="S2134" s="61"/>
      <c r="T2134" s="82"/>
      <c r="W2134" s="103" t="str">
        <f t="shared" si="42"/>
        <v>1w</v>
      </c>
      <c r="X2134" s="101">
        <f>_xll.qlCalendarAdvance(Calendar,X2133,W2134,"f",FALSE)</f>
        <v>54267</v>
      </c>
      <c r="Y2134" s="104">
        <f>_xll.qlCalendarAdvance(Calendar,X2134,NDays&amp;"D")</f>
        <v>54269</v>
      </c>
      <c r="Z2134" s="105" t="e">
        <v>#N/A</v>
      </c>
      <c r="AA2134" s="102" t="e">
        <v>#N/A</v>
      </c>
    </row>
    <row r="2135" spans="19:27" x14ac:dyDescent="0.2">
      <c r="S2135" s="61"/>
      <c r="T2135" s="82"/>
      <c r="W2135" s="103" t="str">
        <f t="shared" si="42"/>
        <v>1w</v>
      </c>
      <c r="X2135" s="101">
        <f>_xll.qlCalendarAdvance(Calendar,X2134,W2135,"f",FALSE)</f>
        <v>54274</v>
      </c>
      <c r="Y2135" s="104">
        <f>_xll.qlCalendarAdvance(Calendar,X2135,NDays&amp;"D")</f>
        <v>54276</v>
      </c>
      <c r="Z2135" s="105" t="e">
        <v>#N/A</v>
      </c>
      <c r="AA2135" s="102" t="e">
        <v>#N/A</v>
      </c>
    </row>
    <row r="2136" spans="19:27" x14ac:dyDescent="0.2">
      <c r="S2136" s="61"/>
      <c r="T2136" s="82"/>
      <c r="W2136" s="103" t="str">
        <f t="shared" si="42"/>
        <v>1w</v>
      </c>
      <c r="X2136" s="101">
        <f>_xll.qlCalendarAdvance(Calendar,X2135,W2136,"f",FALSE)</f>
        <v>54281</v>
      </c>
      <c r="Y2136" s="104">
        <f>_xll.qlCalendarAdvance(Calendar,X2136,NDays&amp;"D")</f>
        <v>54283</v>
      </c>
      <c r="Z2136" s="105" t="e">
        <v>#N/A</v>
      </c>
      <c r="AA2136" s="102" t="e">
        <v>#N/A</v>
      </c>
    </row>
    <row r="2137" spans="19:27" x14ac:dyDescent="0.2">
      <c r="S2137" s="61"/>
      <c r="T2137" s="82"/>
      <c r="W2137" s="103" t="str">
        <f t="shared" si="42"/>
        <v>1w</v>
      </c>
      <c r="X2137" s="101">
        <f>_xll.qlCalendarAdvance(Calendar,X2136,W2137,"f",FALSE)</f>
        <v>54288</v>
      </c>
      <c r="Y2137" s="104">
        <f>_xll.qlCalendarAdvance(Calendar,X2137,NDays&amp;"D")</f>
        <v>54290</v>
      </c>
      <c r="Z2137" s="105" t="e">
        <v>#N/A</v>
      </c>
      <c r="AA2137" s="102" t="e">
        <v>#N/A</v>
      </c>
    </row>
    <row r="2138" spans="19:27" x14ac:dyDescent="0.2">
      <c r="S2138" s="61"/>
      <c r="T2138" s="82"/>
      <c r="W2138" s="103" t="str">
        <f t="shared" si="42"/>
        <v>1w</v>
      </c>
      <c r="X2138" s="101">
        <f>_xll.qlCalendarAdvance(Calendar,X2137,W2138,"f",FALSE)</f>
        <v>54295</v>
      </c>
      <c r="Y2138" s="104">
        <f>_xll.qlCalendarAdvance(Calendar,X2138,NDays&amp;"D")</f>
        <v>54297</v>
      </c>
      <c r="Z2138" s="105" t="e">
        <v>#N/A</v>
      </c>
      <c r="AA2138" s="102" t="e">
        <v>#N/A</v>
      </c>
    </row>
    <row r="2139" spans="19:27" x14ac:dyDescent="0.2">
      <c r="S2139" s="61"/>
      <c r="T2139" s="82"/>
      <c r="W2139" s="103" t="str">
        <f t="shared" si="42"/>
        <v>1w</v>
      </c>
      <c r="X2139" s="101">
        <f>_xll.qlCalendarAdvance(Calendar,X2138,W2139,"f",FALSE)</f>
        <v>54302</v>
      </c>
      <c r="Y2139" s="104">
        <f>_xll.qlCalendarAdvance(Calendar,X2139,NDays&amp;"D")</f>
        <v>54304</v>
      </c>
      <c r="Z2139" s="105" t="e">
        <v>#N/A</v>
      </c>
      <c r="AA2139" s="102" t="e">
        <v>#N/A</v>
      </c>
    </row>
    <row r="2140" spans="19:27" x14ac:dyDescent="0.2">
      <c r="S2140" s="61"/>
      <c r="T2140" s="82"/>
      <c r="W2140" s="103" t="str">
        <f t="shared" si="42"/>
        <v>1w</v>
      </c>
      <c r="X2140" s="101">
        <f>_xll.qlCalendarAdvance(Calendar,X2139,W2140,"f",FALSE)</f>
        <v>54309</v>
      </c>
      <c r="Y2140" s="104">
        <f>_xll.qlCalendarAdvance(Calendar,X2140,NDays&amp;"D")</f>
        <v>54311</v>
      </c>
      <c r="Z2140" s="105" t="e">
        <v>#N/A</v>
      </c>
      <c r="AA2140" s="102" t="e">
        <v>#N/A</v>
      </c>
    </row>
    <row r="2141" spans="19:27" x14ac:dyDescent="0.2">
      <c r="S2141" s="61"/>
      <c r="T2141" s="82"/>
      <c r="W2141" s="103" t="str">
        <f t="shared" si="42"/>
        <v>1w</v>
      </c>
      <c r="X2141" s="101">
        <f>_xll.qlCalendarAdvance(Calendar,X2140,W2141,"f",FALSE)</f>
        <v>54316</v>
      </c>
      <c r="Y2141" s="104">
        <f>_xll.qlCalendarAdvance(Calendar,X2141,NDays&amp;"D")</f>
        <v>54318</v>
      </c>
      <c r="Z2141" s="105" t="e">
        <v>#N/A</v>
      </c>
      <c r="AA2141" s="102" t="e">
        <v>#N/A</v>
      </c>
    </row>
    <row r="2142" spans="19:27" x14ac:dyDescent="0.2">
      <c r="S2142" s="61"/>
      <c r="T2142" s="82"/>
      <c r="W2142" s="103" t="str">
        <f t="shared" si="42"/>
        <v>1w</v>
      </c>
      <c r="X2142" s="101">
        <f>_xll.qlCalendarAdvance(Calendar,X2141,W2142,"f",FALSE)</f>
        <v>54323</v>
      </c>
      <c r="Y2142" s="104">
        <f>_xll.qlCalendarAdvance(Calendar,X2142,NDays&amp;"D")</f>
        <v>54325</v>
      </c>
      <c r="Z2142" s="105" t="e">
        <v>#N/A</v>
      </c>
      <c r="AA2142" s="102" t="e">
        <v>#N/A</v>
      </c>
    </row>
    <row r="2143" spans="19:27" x14ac:dyDescent="0.2">
      <c r="S2143" s="61"/>
      <c r="T2143" s="82"/>
      <c r="W2143" s="103" t="str">
        <f t="shared" si="42"/>
        <v>1w</v>
      </c>
      <c r="X2143" s="101">
        <f>_xll.qlCalendarAdvance(Calendar,X2142,W2143,"f",FALSE)</f>
        <v>54330</v>
      </c>
      <c r="Y2143" s="104">
        <f>_xll.qlCalendarAdvance(Calendar,X2143,NDays&amp;"D")</f>
        <v>54332</v>
      </c>
      <c r="Z2143" s="105" t="e">
        <v>#N/A</v>
      </c>
      <c r="AA2143" s="102" t="e">
        <v>#N/A</v>
      </c>
    </row>
    <row r="2144" spans="19:27" x14ac:dyDescent="0.2">
      <c r="S2144" s="61"/>
      <c r="T2144" s="82"/>
      <c r="W2144" s="103" t="str">
        <f t="shared" si="42"/>
        <v>1w</v>
      </c>
      <c r="X2144" s="101">
        <f>_xll.qlCalendarAdvance(Calendar,X2143,W2144,"f",FALSE)</f>
        <v>54337</v>
      </c>
      <c r="Y2144" s="104">
        <f>_xll.qlCalendarAdvance(Calendar,X2144,NDays&amp;"D")</f>
        <v>54339</v>
      </c>
      <c r="Z2144" s="105" t="e">
        <v>#N/A</v>
      </c>
      <c r="AA2144" s="102" t="e">
        <v>#N/A</v>
      </c>
    </row>
    <row r="2145" spans="19:27" x14ac:dyDescent="0.2">
      <c r="S2145" s="61"/>
      <c r="T2145" s="82"/>
      <c r="W2145" s="103" t="str">
        <f t="shared" si="42"/>
        <v>1w</v>
      </c>
      <c r="X2145" s="101">
        <f>_xll.qlCalendarAdvance(Calendar,X2144,W2145,"f",FALSE)</f>
        <v>54344</v>
      </c>
      <c r="Y2145" s="104">
        <f>_xll.qlCalendarAdvance(Calendar,X2145,NDays&amp;"D")</f>
        <v>54346</v>
      </c>
      <c r="Z2145" s="105" t="e">
        <v>#N/A</v>
      </c>
      <c r="AA2145" s="102" t="e">
        <v>#N/A</v>
      </c>
    </row>
    <row r="2146" spans="19:27" x14ac:dyDescent="0.2">
      <c r="S2146" s="61"/>
      <c r="T2146" s="82"/>
      <c r="W2146" s="103" t="str">
        <f t="shared" si="42"/>
        <v>1w</v>
      </c>
      <c r="X2146" s="101">
        <f>_xll.qlCalendarAdvance(Calendar,X2145,W2146,"f",FALSE)</f>
        <v>54351</v>
      </c>
      <c r="Y2146" s="104">
        <f>_xll.qlCalendarAdvance(Calendar,X2146,NDays&amp;"D")</f>
        <v>54353</v>
      </c>
      <c r="Z2146" s="105" t="e">
        <v>#N/A</v>
      </c>
      <c r="AA2146" s="102" t="e">
        <v>#N/A</v>
      </c>
    </row>
    <row r="2147" spans="19:27" x14ac:dyDescent="0.2">
      <c r="S2147" s="61"/>
      <c r="T2147" s="82"/>
      <c r="W2147" s="103" t="str">
        <f t="shared" si="42"/>
        <v>1w</v>
      </c>
      <c r="X2147" s="101">
        <f>_xll.qlCalendarAdvance(Calendar,X2146,W2147,"f",FALSE)</f>
        <v>54358</v>
      </c>
      <c r="Y2147" s="104">
        <f>_xll.qlCalendarAdvance(Calendar,X2147,NDays&amp;"D")</f>
        <v>54360</v>
      </c>
      <c r="Z2147" s="105" t="e">
        <v>#N/A</v>
      </c>
      <c r="AA2147" s="102" t="e">
        <v>#N/A</v>
      </c>
    </row>
    <row r="2148" spans="19:27" x14ac:dyDescent="0.2">
      <c r="S2148" s="61"/>
      <c r="T2148" s="82"/>
      <c r="W2148" s="103" t="str">
        <f t="shared" si="42"/>
        <v>1w</v>
      </c>
      <c r="X2148" s="101">
        <f>_xll.qlCalendarAdvance(Calendar,X2147,W2148,"f",FALSE)</f>
        <v>54365</v>
      </c>
      <c r="Y2148" s="104">
        <f>_xll.qlCalendarAdvance(Calendar,X2148,NDays&amp;"D")</f>
        <v>54367</v>
      </c>
      <c r="Z2148" s="105" t="e">
        <v>#N/A</v>
      </c>
      <c r="AA2148" s="102" t="e">
        <v>#N/A</v>
      </c>
    </row>
    <row r="2149" spans="19:27" x14ac:dyDescent="0.2">
      <c r="S2149" s="61"/>
      <c r="T2149" s="82"/>
      <c r="W2149" s="103" t="str">
        <f t="shared" si="42"/>
        <v>1w</v>
      </c>
      <c r="X2149" s="101">
        <f>_xll.qlCalendarAdvance(Calendar,X2148,W2149,"f",FALSE)</f>
        <v>54372</v>
      </c>
      <c r="Y2149" s="104">
        <f>_xll.qlCalendarAdvance(Calendar,X2149,NDays&amp;"D")</f>
        <v>54374</v>
      </c>
      <c r="Z2149" s="105" t="e">
        <v>#N/A</v>
      </c>
      <c r="AA2149" s="102" t="e">
        <v>#N/A</v>
      </c>
    </row>
    <row r="2150" spans="19:27" x14ac:dyDescent="0.2">
      <c r="S2150" s="61"/>
      <c r="T2150" s="82"/>
      <c r="W2150" s="103" t="str">
        <f t="shared" si="42"/>
        <v>1w</v>
      </c>
      <c r="X2150" s="101">
        <f>_xll.qlCalendarAdvance(Calendar,X2149,W2150,"f",FALSE)</f>
        <v>54379</v>
      </c>
      <c r="Y2150" s="104">
        <f>_xll.qlCalendarAdvance(Calendar,X2150,NDays&amp;"D")</f>
        <v>54381</v>
      </c>
      <c r="Z2150" s="105" t="e">
        <v>#N/A</v>
      </c>
      <c r="AA2150" s="102" t="e">
        <v>#N/A</v>
      </c>
    </row>
    <row r="2151" spans="19:27" x14ac:dyDescent="0.2">
      <c r="S2151" s="61"/>
      <c r="T2151" s="82"/>
      <c r="W2151" s="103" t="str">
        <f t="shared" si="42"/>
        <v>1w</v>
      </c>
      <c r="X2151" s="101">
        <f>_xll.qlCalendarAdvance(Calendar,X2150,W2151,"f",FALSE)</f>
        <v>54386</v>
      </c>
      <c r="Y2151" s="104">
        <f>_xll.qlCalendarAdvance(Calendar,X2151,NDays&amp;"D")</f>
        <v>54388</v>
      </c>
      <c r="Z2151" s="105" t="e">
        <v>#N/A</v>
      </c>
      <c r="AA2151" s="102" t="e">
        <v>#N/A</v>
      </c>
    </row>
    <row r="2152" spans="19:27" x14ac:dyDescent="0.2">
      <c r="S2152" s="61"/>
      <c r="T2152" s="82"/>
      <c r="W2152" s="103" t="str">
        <f t="shared" si="42"/>
        <v>1w</v>
      </c>
      <c r="X2152" s="101">
        <f>_xll.qlCalendarAdvance(Calendar,X2151,W2152,"f",FALSE)</f>
        <v>54393</v>
      </c>
      <c r="Y2152" s="104">
        <f>_xll.qlCalendarAdvance(Calendar,X2152,NDays&amp;"D")</f>
        <v>54395</v>
      </c>
      <c r="Z2152" s="105" t="e">
        <v>#N/A</v>
      </c>
      <c r="AA2152" s="102" t="e">
        <v>#N/A</v>
      </c>
    </row>
    <row r="2153" spans="19:27" x14ac:dyDescent="0.2">
      <c r="S2153" s="61"/>
      <c r="T2153" s="82"/>
      <c r="W2153" s="103" t="str">
        <f t="shared" si="42"/>
        <v>1w</v>
      </c>
      <c r="X2153" s="101">
        <f>_xll.qlCalendarAdvance(Calendar,X2152,W2153,"f",FALSE)</f>
        <v>54400</v>
      </c>
      <c r="Y2153" s="104">
        <f>_xll.qlCalendarAdvance(Calendar,X2153,NDays&amp;"D")</f>
        <v>54402</v>
      </c>
      <c r="Z2153" s="105" t="e">
        <v>#N/A</v>
      </c>
      <c r="AA2153" s="102" t="e">
        <v>#N/A</v>
      </c>
    </row>
    <row r="2154" spans="19:27" x14ac:dyDescent="0.2">
      <c r="S2154" s="61"/>
      <c r="T2154" s="82"/>
      <c r="W2154" s="103" t="str">
        <f t="shared" si="42"/>
        <v>1w</v>
      </c>
      <c r="X2154" s="101">
        <f>_xll.qlCalendarAdvance(Calendar,X2153,W2154,"f",FALSE)</f>
        <v>54407</v>
      </c>
      <c r="Y2154" s="104">
        <f>_xll.qlCalendarAdvance(Calendar,X2154,NDays&amp;"D")</f>
        <v>54409</v>
      </c>
      <c r="Z2154" s="105" t="e">
        <v>#N/A</v>
      </c>
      <c r="AA2154" s="102" t="e">
        <v>#N/A</v>
      </c>
    </row>
    <row r="2155" spans="19:27" x14ac:dyDescent="0.2">
      <c r="S2155" s="61"/>
      <c r="T2155" s="82"/>
      <c r="W2155" s="103" t="str">
        <f t="shared" si="42"/>
        <v>1w</v>
      </c>
      <c r="X2155" s="101">
        <f>_xll.qlCalendarAdvance(Calendar,X2154,W2155,"f",FALSE)</f>
        <v>54414</v>
      </c>
      <c r="Y2155" s="104">
        <f>_xll.qlCalendarAdvance(Calendar,X2155,NDays&amp;"D")</f>
        <v>54420</v>
      </c>
      <c r="Z2155" s="105" t="e">
        <v>#N/A</v>
      </c>
      <c r="AA2155" s="102" t="e">
        <v>#N/A</v>
      </c>
    </row>
    <row r="2156" spans="19:27" x14ac:dyDescent="0.2">
      <c r="S2156" s="61"/>
      <c r="T2156" s="82"/>
      <c r="W2156" s="103" t="str">
        <f t="shared" si="42"/>
        <v>1w</v>
      </c>
      <c r="X2156" s="101">
        <f>_xll.qlCalendarAdvance(Calendar,X2155,W2156,"f",FALSE)</f>
        <v>54421</v>
      </c>
      <c r="Y2156" s="104">
        <f>_xll.qlCalendarAdvance(Calendar,X2156,NDays&amp;"D")</f>
        <v>54427</v>
      </c>
      <c r="Z2156" s="105" t="e">
        <v>#N/A</v>
      </c>
      <c r="AA2156" s="102" t="e">
        <v>#N/A</v>
      </c>
    </row>
    <row r="2157" spans="19:27" x14ac:dyDescent="0.2">
      <c r="S2157" s="61"/>
      <c r="T2157" s="82"/>
      <c r="W2157" s="103" t="str">
        <f t="shared" si="42"/>
        <v>1w</v>
      </c>
      <c r="X2157" s="101">
        <f>_xll.qlCalendarAdvance(Calendar,X2156,W2157,"f",FALSE)</f>
        <v>54428</v>
      </c>
      <c r="Y2157" s="104">
        <f>_xll.qlCalendarAdvance(Calendar,X2157,NDays&amp;"D")</f>
        <v>54431</v>
      </c>
      <c r="Z2157" s="105" t="e">
        <v>#N/A</v>
      </c>
      <c r="AA2157" s="102" t="e">
        <v>#N/A</v>
      </c>
    </row>
    <row r="2158" spans="19:27" x14ac:dyDescent="0.2">
      <c r="S2158" s="61"/>
      <c r="T2158" s="82"/>
      <c r="W2158" s="103" t="str">
        <f t="shared" si="42"/>
        <v>1w</v>
      </c>
      <c r="X2158" s="101">
        <f>_xll.qlCalendarAdvance(Calendar,X2157,W2158,"f",FALSE)</f>
        <v>54435</v>
      </c>
      <c r="Y2158" s="104">
        <f>_xll.qlCalendarAdvance(Calendar,X2158,NDays&amp;"D")</f>
        <v>54437</v>
      </c>
      <c r="Z2158" s="105" t="e">
        <v>#N/A</v>
      </c>
      <c r="AA2158" s="102" t="e">
        <v>#N/A</v>
      </c>
    </row>
    <row r="2159" spans="19:27" x14ac:dyDescent="0.2">
      <c r="S2159" s="61"/>
      <c r="T2159" s="82"/>
      <c r="W2159" s="103" t="str">
        <f t="shared" si="42"/>
        <v>1w</v>
      </c>
      <c r="X2159" s="101">
        <f>_xll.qlCalendarAdvance(Calendar,X2158,W2159,"f",FALSE)</f>
        <v>54442</v>
      </c>
      <c r="Y2159" s="104">
        <f>_xll.qlCalendarAdvance(Calendar,X2159,NDays&amp;"D")</f>
        <v>54444</v>
      </c>
      <c r="Z2159" s="105" t="e">
        <v>#N/A</v>
      </c>
      <c r="AA2159" s="102" t="e">
        <v>#N/A</v>
      </c>
    </row>
    <row r="2160" spans="19:27" x14ac:dyDescent="0.2">
      <c r="S2160" s="61"/>
      <c r="T2160" s="82"/>
      <c r="W2160" s="103" t="str">
        <f t="shared" si="42"/>
        <v>1w</v>
      </c>
      <c r="X2160" s="101">
        <f>_xll.qlCalendarAdvance(Calendar,X2159,W2160,"f",FALSE)</f>
        <v>54449</v>
      </c>
      <c r="Y2160" s="104">
        <f>_xll.qlCalendarAdvance(Calendar,X2160,NDays&amp;"D")</f>
        <v>54451</v>
      </c>
      <c r="Z2160" s="105" t="e">
        <v>#N/A</v>
      </c>
      <c r="AA2160" s="102" t="e">
        <v>#N/A</v>
      </c>
    </row>
    <row r="2161" spans="19:27" x14ac:dyDescent="0.2">
      <c r="S2161" s="61"/>
      <c r="T2161" s="82"/>
      <c r="W2161" s="103" t="str">
        <f t="shared" si="42"/>
        <v>1w</v>
      </c>
      <c r="X2161" s="101">
        <f>_xll.qlCalendarAdvance(Calendar,X2160,W2161,"f",FALSE)</f>
        <v>54456</v>
      </c>
      <c r="Y2161" s="104">
        <f>_xll.qlCalendarAdvance(Calendar,X2161,NDays&amp;"D")</f>
        <v>54458</v>
      </c>
      <c r="Z2161" s="105" t="e">
        <v>#N/A</v>
      </c>
      <c r="AA2161" s="102" t="e">
        <v>#N/A</v>
      </c>
    </row>
    <row r="2162" spans="19:27" x14ac:dyDescent="0.2">
      <c r="S2162" s="61"/>
      <c r="T2162" s="82"/>
      <c r="W2162" s="103" t="str">
        <f t="shared" si="42"/>
        <v>1w</v>
      </c>
      <c r="X2162" s="101">
        <f>_xll.qlCalendarAdvance(Calendar,X2161,W2162,"f",FALSE)</f>
        <v>54463</v>
      </c>
      <c r="Y2162" s="104">
        <f>_xll.qlCalendarAdvance(Calendar,X2162,NDays&amp;"D")</f>
        <v>54465</v>
      </c>
      <c r="Z2162" s="105" t="e">
        <v>#N/A</v>
      </c>
      <c r="AA2162" s="102" t="e">
        <v>#N/A</v>
      </c>
    </row>
    <row r="2163" spans="19:27" x14ac:dyDescent="0.2">
      <c r="S2163" s="61"/>
      <c r="T2163" s="82"/>
      <c r="W2163" s="103" t="str">
        <f t="shared" si="42"/>
        <v>1w</v>
      </c>
      <c r="X2163" s="101">
        <f>_xll.qlCalendarAdvance(Calendar,X2162,W2163,"f",FALSE)</f>
        <v>54470</v>
      </c>
      <c r="Y2163" s="104">
        <f>_xll.qlCalendarAdvance(Calendar,X2163,NDays&amp;"D")</f>
        <v>54472</v>
      </c>
      <c r="Z2163" s="105" t="e">
        <v>#N/A</v>
      </c>
      <c r="AA2163" s="102" t="e">
        <v>#N/A</v>
      </c>
    </row>
    <row r="2164" spans="19:27" x14ac:dyDescent="0.2">
      <c r="S2164" s="61"/>
      <c r="T2164" s="82"/>
      <c r="W2164" s="103" t="str">
        <f t="shared" si="42"/>
        <v>1w</v>
      </c>
      <c r="X2164" s="101">
        <f>_xll.qlCalendarAdvance(Calendar,X2163,W2164,"f",FALSE)</f>
        <v>54477</v>
      </c>
      <c r="Y2164" s="104">
        <f>_xll.qlCalendarAdvance(Calendar,X2164,NDays&amp;"D")</f>
        <v>54479</v>
      </c>
      <c r="Z2164" s="105" t="e">
        <v>#N/A</v>
      </c>
      <c r="AA2164" s="102" t="e">
        <v>#N/A</v>
      </c>
    </row>
    <row r="2165" spans="19:27" x14ac:dyDescent="0.2">
      <c r="S2165" s="61"/>
      <c r="T2165" s="82"/>
      <c r="W2165" s="103" t="str">
        <f t="shared" si="42"/>
        <v>1w</v>
      </c>
      <c r="X2165" s="101">
        <f>_xll.qlCalendarAdvance(Calendar,X2164,W2165,"f",FALSE)</f>
        <v>54484</v>
      </c>
      <c r="Y2165" s="104">
        <f>_xll.qlCalendarAdvance(Calendar,X2165,NDays&amp;"D")</f>
        <v>54486</v>
      </c>
      <c r="Z2165" s="105" t="e">
        <v>#N/A</v>
      </c>
      <c r="AA2165" s="102" t="e">
        <v>#N/A</v>
      </c>
    </row>
    <row r="2166" spans="19:27" x14ac:dyDescent="0.2">
      <c r="S2166" s="61"/>
      <c r="T2166" s="82"/>
      <c r="W2166" s="103" t="str">
        <f t="shared" si="42"/>
        <v>1w</v>
      </c>
      <c r="X2166" s="101">
        <f>_xll.qlCalendarAdvance(Calendar,X2165,W2166,"f",FALSE)</f>
        <v>54491</v>
      </c>
      <c r="Y2166" s="104">
        <f>_xll.qlCalendarAdvance(Calendar,X2166,NDays&amp;"D")</f>
        <v>54493</v>
      </c>
      <c r="Z2166" s="105" t="e">
        <v>#N/A</v>
      </c>
      <c r="AA2166" s="102" t="e">
        <v>#N/A</v>
      </c>
    </row>
    <row r="2167" spans="19:27" x14ac:dyDescent="0.2">
      <c r="S2167" s="61"/>
      <c r="T2167" s="82"/>
      <c r="W2167" s="103" t="str">
        <f t="shared" si="42"/>
        <v>1w</v>
      </c>
      <c r="X2167" s="101">
        <f>_xll.qlCalendarAdvance(Calendar,X2166,W2167,"f",FALSE)</f>
        <v>54498</v>
      </c>
      <c r="Y2167" s="104">
        <f>_xll.qlCalendarAdvance(Calendar,X2167,NDays&amp;"D")</f>
        <v>54500</v>
      </c>
      <c r="Z2167" s="105" t="e">
        <v>#N/A</v>
      </c>
      <c r="AA2167" s="102" t="e">
        <v>#N/A</v>
      </c>
    </row>
    <row r="2168" spans="19:27" x14ac:dyDescent="0.2">
      <c r="S2168" s="61"/>
      <c r="T2168" s="82"/>
      <c r="W2168" s="103" t="str">
        <f t="shared" si="42"/>
        <v>1w</v>
      </c>
      <c r="X2168" s="101">
        <f>_xll.qlCalendarAdvance(Calendar,X2167,W2168,"f",FALSE)</f>
        <v>54505</v>
      </c>
      <c r="Y2168" s="104">
        <f>_xll.qlCalendarAdvance(Calendar,X2168,NDays&amp;"D")</f>
        <v>54507</v>
      </c>
      <c r="Z2168" s="105" t="e">
        <v>#N/A</v>
      </c>
      <c r="AA2168" s="102" t="e">
        <v>#N/A</v>
      </c>
    </row>
    <row r="2169" spans="19:27" x14ac:dyDescent="0.2">
      <c r="S2169" s="61"/>
      <c r="T2169" s="82"/>
      <c r="W2169" s="103" t="str">
        <f t="shared" si="42"/>
        <v>1w</v>
      </c>
      <c r="X2169" s="101">
        <f>_xll.qlCalendarAdvance(Calendar,X2168,W2169,"f",FALSE)</f>
        <v>54512</v>
      </c>
      <c r="Y2169" s="104">
        <f>_xll.qlCalendarAdvance(Calendar,X2169,NDays&amp;"D")</f>
        <v>54514</v>
      </c>
      <c r="Z2169" s="105" t="e">
        <v>#N/A</v>
      </c>
      <c r="AA2169" s="102" t="e">
        <v>#N/A</v>
      </c>
    </row>
    <row r="2170" spans="19:27" x14ac:dyDescent="0.2">
      <c r="S2170" s="61"/>
      <c r="T2170" s="82"/>
      <c r="W2170" s="103" t="str">
        <f t="shared" si="42"/>
        <v>1w</v>
      </c>
      <c r="X2170" s="101">
        <f>_xll.qlCalendarAdvance(Calendar,X2169,W2170,"f",FALSE)</f>
        <v>54519</v>
      </c>
      <c r="Y2170" s="104">
        <f>_xll.qlCalendarAdvance(Calendar,X2170,NDays&amp;"D")</f>
        <v>54521</v>
      </c>
      <c r="Z2170" s="105" t="e">
        <v>#N/A</v>
      </c>
      <c r="AA2170" s="102" t="e">
        <v>#N/A</v>
      </c>
    </row>
    <row r="2171" spans="19:27" x14ac:dyDescent="0.2">
      <c r="S2171" s="61"/>
      <c r="T2171" s="82"/>
      <c r="W2171" s="103" t="str">
        <f t="shared" si="42"/>
        <v>1w</v>
      </c>
      <c r="X2171" s="101">
        <f>_xll.qlCalendarAdvance(Calendar,X2170,W2171,"f",FALSE)</f>
        <v>54526</v>
      </c>
      <c r="Y2171" s="104">
        <f>_xll.qlCalendarAdvance(Calendar,X2171,NDays&amp;"D")</f>
        <v>54528</v>
      </c>
      <c r="Z2171" s="105" t="e">
        <v>#N/A</v>
      </c>
      <c r="AA2171" s="102" t="e">
        <v>#N/A</v>
      </c>
    </row>
    <row r="2172" spans="19:27" x14ac:dyDescent="0.2">
      <c r="S2172" s="61"/>
      <c r="T2172" s="82"/>
      <c r="W2172" s="103" t="str">
        <f t="shared" si="42"/>
        <v>1w</v>
      </c>
      <c r="X2172" s="101">
        <f>_xll.qlCalendarAdvance(Calendar,X2171,W2172,"f",FALSE)</f>
        <v>54533</v>
      </c>
      <c r="Y2172" s="104">
        <f>_xll.qlCalendarAdvance(Calendar,X2172,NDays&amp;"D")</f>
        <v>54535</v>
      </c>
      <c r="Z2172" s="105" t="e">
        <v>#N/A</v>
      </c>
      <c r="AA2172" s="102" t="e">
        <v>#N/A</v>
      </c>
    </row>
    <row r="2173" spans="19:27" x14ac:dyDescent="0.2">
      <c r="S2173" s="61"/>
      <c r="T2173" s="82"/>
      <c r="W2173" s="103" t="str">
        <f t="shared" si="42"/>
        <v>1w</v>
      </c>
      <c r="X2173" s="101">
        <f>_xll.qlCalendarAdvance(Calendar,X2172,W2173,"f",FALSE)</f>
        <v>54540</v>
      </c>
      <c r="Y2173" s="104">
        <f>_xll.qlCalendarAdvance(Calendar,X2173,NDays&amp;"D")</f>
        <v>54542</v>
      </c>
      <c r="Z2173" s="105" t="e">
        <v>#N/A</v>
      </c>
      <c r="AA2173" s="102" t="e">
        <v>#N/A</v>
      </c>
    </row>
    <row r="2174" spans="19:27" x14ac:dyDescent="0.2">
      <c r="S2174" s="61"/>
      <c r="T2174" s="82"/>
      <c r="W2174" s="103" t="str">
        <f t="shared" si="42"/>
        <v>1w</v>
      </c>
      <c r="X2174" s="101">
        <f>_xll.qlCalendarAdvance(Calendar,X2173,W2174,"f",FALSE)</f>
        <v>54547</v>
      </c>
      <c r="Y2174" s="104">
        <f>_xll.qlCalendarAdvance(Calendar,X2174,NDays&amp;"D")</f>
        <v>54549</v>
      </c>
      <c r="Z2174" s="105" t="e">
        <v>#N/A</v>
      </c>
      <c r="AA2174" s="102" t="e">
        <v>#N/A</v>
      </c>
    </row>
    <row r="2175" spans="19:27" x14ac:dyDescent="0.2">
      <c r="S2175" s="61"/>
      <c r="T2175" s="82"/>
      <c r="W2175" s="103" t="str">
        <f t="shared" si="42"/>
        <v>1w</v>
      </c>
      <c r="X2175" s="101">
        <f>_xll.qlCalendarAdvance(Calendar,X2174,W2175,"f",FALSE)</f>
        <v>54554</v>
      </c>
      <c r="Y2175" s="104">
        <f>_xll.qlCalendarAdvance(Calendar,X2175,NDays&amp;"D")</f>
        <v>54556</v>
      </c>
      <c r="Z2175" s="105" t="e">
        <v>#N/A</v>
      </c>
      <c r="AA2175" s="102" t="e">
        <v>#N/A</v>
      </c>
    </row>
    <row r="2176" spans="19:27" x14ac:dyDescent="0.2">
      <c r="S2176" s="61"/>
      <c r="T2176" s="82"/>
      <c r="W2176" s="103" t="str">
        <f t="shared" si="42"/>
        <v>1w</v>
      </c>
      <c r="X2176" s="101">
        <f>_xll.qlCalendarAdvance(Calendar,X2175,W2176,"f",FALSE)</f>
        <v>54561</v>
      </c>
      <c r="Y2176" s="104">
        <f>_xll.qlCalendarAdvance(Calendar,X2176,NDays&amp;"D")</f>
        <v>54563</v>
      </c>
      <c r="Z2176" s="105" t="e">
        <v>#N/A</v>
      </c>
      <c r="AA2176" s="102" t="e">
        <v>#N/A</v>
      </c>
    </row>
    <row r="2177" spans="19:27" x14ac:dyDescent="0.2">
      <c r="S2177" s="61"/>
      <c r="T2177" s="82"/>
      <c r="W2177" s="103" t="str">
        <f t="shared" si="42"/>
        <v>1w</v>
      </c>
      <c r="X2177" s="101">
        <f>_xll.qlCalendarAdvance(Calendar,X2176,W2177,"f",FALSE)</f>
        <v>54568</v>
      </c>
      <c r="Y2177" s="104">
        <f>_xll.qlCalendarAdvance(Calendar,X2177,NDays&amp;"D")</f>
        <v>54571</v>
      </c>
      <c r="Z2177" s="105" t="e">
        <v>#N/A</v>
      </c>
      <c r="AA2177" s="102" t="e">
        <v>#N/A</v>
      </c>
    </row>
    <row r="2178" spans="19:27" x14ac:dyDescent="0.2">
      <c r="S2178" s="61"/>
      <c r="T2178" s="82"/>
      <c r="W2178" s="103" t="str">
        <f t="shared" si="42"/>
        <v>1w</v>
      </c>
      <c r="X2178" s="101">
        <f>_xll.qlCalendarAdvance(Calendar,X2177,W2178,"f",FALSE)</f>
        <v>54575</v>
      </c>
      <c r="Y2178" s="104">
        <f>_xll.qlCalendarAdvance(Calendar,X2178,NDays&amp;"D")</f>
        <v>54577</v>
      </c>
      <c r="Z2178" s="105" t="e">
        <v>#N/A</v>
      </c>
      <c r="AA2178" s="102" t="e">
        <v>#N/A</v>
      </c>
    </row>
    <row r="2179" spans="19:27" x14ac:dyDescent="0.2">
      <c r="S2179" s="61"/>
      <c r="T2179" s="82"/>
      <c r="W2179" s="103" t="str">
        <f t="shared" si="42"/>
        <v>1w</v>
      </c>
      <c r="X2179" s="101">
        <f>_xll.qlCalendarAdvance(Calendar,X2178,W2179,"f",FALSE)</f>
        <v>54582</v>
      </c>
      <c r="Y2179" s="104">
        <f>_xll.qlCalendarAdvance(Calendar,X2179,NDays&amp;"D")</f>
        <v>54584</v>
      </c>
      <c r="Z2179" s="105" t="e">
        <v>#N/A</v>
      </c>
      <c r="AA2179" s="102" t="e">
        <v>#N/A</v>
      </c>
    </row>
    <row r="2180" spans="19:27" x14ac:dyDescent="0.2">
      <c r="S2180" s="61"/>
      <c r="T2180" s="82"/>
      <c r="W2180" s="103" t="str">
        <f t="shared" si="42"/>
        <v>1w</v>
      </c>
      <c r="X2180" s="101">
        <f>_xll.qlCalendarAdvance(Calendar,X2179,W2180,"f",FALSE)</f>
        <v>54589</v>
      </c>
      <c r="Y2180" s="104">
        <f>_xll.qlCalendarAdvance(Calendar,X2180,NDays&amp;"D")</f>
        <v>54591</v>
      </c>
      <c r="Z2180" s="105" t="e">
        <v>#N/A</v>
      </c>
      <c r="AA2180" s="102" t="e">
        <v>#N/A</v>
      </c>
    </row>
    <row r="2181" spans="19:27" x14ac:dyDescent="0.2">
      <c r="S2181" s="61"/>
      <c r="T2181" s="82"/>
      <c r="W2181" s="103" t="str">
        <f t="shared" si="42"/>
        <v>1w</v>
      </c>
      <c r="X2181" s="101">
        <f>_xll.qlCalendarAdvance(Calendar,X2180,W2181,"f",FALSE)</f>
        <v>54596</v>
      </c>
      <c r="Y2181" s="104">
        <f>_xll.qlCalendarAdvance(Calendar,X2181,NDays&amp;"D")</f>
        <v>54598</v>
      </c>
      <c r="Z2181" s="105" t="e">
        <v>#N/A</v>
      </c>
      <c r="AA2181" s="102" t="e">
        <v>#N/A</v>
      </c>
    </row>
    <row r="2182" spans="19:27" x14ac:dyDescent="0.2">
      <c r="S2182" s="61"/>
      <c r="T2182" s="82"/>
      <c r="W2182" s="103" t="str">
        <f t="shared" si="42"/>
        <v>1w</v>
      </c>
      <c r="X2182" s="101">
        <f>_xll.qlCalendarAdvance(Calendar,X2181,W2182,"f",FALSE)</f>
        <v>54603</v>
      </c>
      <c r="Y2182" s="104">
        <f>_xll.qlCalendarAdvance(Calendar,X2182,NDays&amp;"D")</f>
        <v>54605</v>
      </c>
      <c r="Z2182" s="105" t="e">
        <v>#N/A</v>
      </c>
      <c r="AA2182" s="102" t="e">
        <v>#N/A</v>
      </c>
    </row>
    <row r="2183" spans="19:27" x14ac:dyDescent="0.2">
      <c r="S2183" s="61"/>
      <c r="T2183" s="82"/>
      <c r="W2183" s="103" t="str">
        <f t="shared" si="42"/>
        <v>1w</v>
      </c>
      <c r="X2183" s="101">
        <f>_xll.qlCalendarAdvance(Calendar,X2182,W2183,"f",FALSE)</f>
        <v>54610</v>
      </c>
      <c r="Y2183" s="104">
        <f>_xll.qlCalendarAdvance(Calendar,X2183,NDays&amp;"D")</f>
        <v>54612</v>
      </c>
      <c r="Z2183" s="105" t="e">
        <v>#N/A</v>
      </c>
      <c r="AA2183" s="102" t="e">
        <v>#N/A</v>
      </c>
    </row>
    <row r="2184" spans="19:27" x14ac:dyDescent="0.2">
      <c r="S2184" s="61"/>
      <c r="T2184" s="82"/>
      <c r="W2184" s="103" t="str">
        <f t="shared" si="42"/>
        <v>1w</v>
      </c>
      <c r="X2184" s="101">
        <f>_xll.qlCalendarAdvance(Calendar,X2183,W2184,"f",FALSE)</f>
        <v>54617</v>
      </c>
      <c r="Y2184" s="104">
        <f>_xll.qlCalendarAdvance(Calendar,X2184,NDays&amp;"D")</f>
        <v>54619</v>
      </c>
      <c r="Z2184" s="105" t="e">
        <v>#N/A</v>
      </c>
      <c r="AA2184" s="102" t="e">
        <v>#N/A</v>
      </c>
    </row>
    <row r="2185" spans="19:27" x14ac:dyDescent="0.2">
      <c r="S2185" s="61"/>
      <c r="T2185" s="82"/>
      <c r="W2185" s="103" t="str">
        <f t="shared" si="42"/>
        <v>1w</v>
      </c>
      <c r="X2185" s="101">
        <f>_xll.qlCalendarAdvance(Calendar,X2184,W2185,"f",FALSE)</f>
        <v>54624</v>
      </c>
      <c r="Y2185" s="104">
        <f>_xll.qlCalendarAdvance(Calendar,X2185,NDays&amp;"D")</f>
        <v>54626</v>
      </c>
      <c r="Z2185" s="105" t="e">
        <v>#N/A</v>
      </c>
      <c r="AA2185" s="102" t="e">
        <v>#N/A</v>
      </c>
    </row>
    <row r="2186" spans="19:27" x14ac:dyDescent="0.2">
      <c r="S2186" s="61"/>
      <c r="T2186" s="82"/>
      <c r="W2186" s="103" t="str">
        <f t="shared" si="42"/>
        <v>1w</v>
      </c>
      <c r="X2186" s="101">
        <f>_xll.qlCalendarAdvance(Calendar,X2185,W2186,"f",FALSE)</f>
        <v>54631</v>
      </c>
      <c r="Y2186" s="104">
        <f>_xll.qlCalendarAdvance(Calendar,X2186,NDays&amp;"D")</f>
        <v>54633</v>
      </c>
      <c r="Z2186" s="105" t="e">
        <v>#N/A</v>
      </c>
      <c r="AA2186" s="102" t="e">
        <v>#N/A</v>
      </c>
    </row>
    <row r="2187" spans="19:27" x14ac:dyDescent="0.2">
      <c r="S2187" s="61"/>
      <c r="T2187" s="82"/>
      <c r="W2187" s="103" t="str">
        <f t="shared" si="42"/>
        <v>1w</v>
      </c>
      <c r="X2187" s="101">
        <f>_xll.qlCalendarAdvance(Calendar,X2186,W2187,"f",FALSE)</f>
        <v>54638</v>
      </c>
      <c r="Y2187" s="104">
        <f>_xll.qlCalendarAdvance(Calendar,X2187,NDays&amp;"D")</f>
        <v>54640</v>
      </c>
      <c r="Z2187" s="105" t="e">
        <v>#N/A</v>
      </c>
      <c r="AA2187" s="102" t="e">
        <v>#N/A</v>
      </c>
    </row>
    <row r="2188" spans="19:27" x14ac:dyDescent="0.2">
      <c r="S2188" s="61"/>
      <c r="T2188" s="82"/>
      <c r="W2188" s="103" t="str">
        <f t="shared" si="42"/>
        <v>1w</v>
      </c>
      <c r="X2188" s="101">
        <f>_xll.qlCalendarAdvance(Calendar,X2187,W2188,"f",FALSE)</f>
        <v>54645</v>
      </c>
      <c r="Y2188" s="104">
        <f>_xll.qlCalendarAdvance(Calendar,X2188,NDays&amp;"D")</f>
        <v>54647</v>
      </c>
      <c r="Z2188" s="105" t="e">
        <v>#N/A</v>
      </c>
      <c r="AA2188" s="102" t="e">
        <v>#N/A</v>
      </c>
    </row>
    <row r="2189" spans="19:27" x14ac:dyDescent="0.2">
      <c r="S2189" s="61"/>
      <c r="T2189" s="82"/>
      <c r="W2189" s="103" t="str">
        <f t="shared" si="42"/>
        <v>1w</v>
      </c>
      <c r="X2189" s="101">
        <f>_xll.qlCalendarAdvance(Calendar,X2188,W2189,"f",FALSE)</f>
        <v>54652</v>
      </c>
      <c r="Y2189" s="104">
        <f>_xll.qlCalendarAdvance(Calendar,X2189,NDays&amp;"D")</f>
        <v>54654</v>
      </c>
      <c r="Z2189" s="105" t="e">
        <v>#N/A</v>
      </c>
      <c r="AA2189" s="102" t="e">
        <v>#N/A</v>
      </c>
    </row>
    <row r="2190" spans="19:27" x14ac:dyDescent="0.2">
      <c r="S2190" s="61"/>
      <c r="T2190" s="82"/>
      <c r="W2190" s="103" t="str">
        <f t="shared" si="42"/>
        <v>1w</v>
      </c>
      <c r="X2190" s="101">
        <f>_xll.qlCalendarAdvance(Calendar,X2189,W2190,"f",FALSE)</f>
        <v>54659</v>
      </c>
      <c r="Y2190" s="104">
        <f>_xll.qlCalendarAdvance(Calendar,X2190,NDays&amp;"D")</f>
        <v>54661</v>
      </c>
      <c r="Z2190" s="105" t="e">
        <v>#N/A</v>
      </c>
      <c r="AA2190" s="102" t="e">
        <v>#N/A</v>
      </c>
    </row>
    <row r="2191" spans="19:27" x14ac:dyDescent="0.2">
      <c r="S2191" s="61"/>
      <c r="T2191" s="82"/>
      <c r="W2191" s="103" t="str">
        <f t="shared" si="42"/>
        <v>1w</v>
      </c>
      <c r="X2191" s="101">
        <f>_xll.qlCalendarAdvance(Calendar,X2190,W2191,"f",FALSE)</f>
        <v>54666</v>
      </c>
      <c r="Y2191" s="104">
        <f>_xll.qlCalendarAdvance(Calendar,X2191,NDays&amp;"D")</f>
        <v>54668</v>
      </c>
      <c r="Z2191" s="105" t="e">
        <v>#N/A</v>
      </c>
      <c r="AA2191" s="102" t="e">
        <v>#N/A</v>
      </c>
    </row>
    <row r="2192" spans="19:27" x14ac:dyDescent="0.2">
      <c r="S2192" s="61"/>
      <c r="T2192" s="82"/>
      <c r="W2192" s="103" t="str">
        <f t="shared" si="42"/>
        <v>1w</v>
      </c>
      <c r="X2192" s="101">
        <f>_xll.qlCalendarAdvance(Calendar,X2191,W2192,"f",FALSE)</f>
        <v>54673</v>
      </c>
      <c r="Y2192" s="104">
        <f>_xll.qlCalendarAdvance(Calendar,X2192,NDays&amp;"D")</f>
        <v>54675</v>
      </c>
      <c r="Z2192" s="105" t="e">
        <v>#N/A</v>
      </c>
      <c r="AA2192" s="102" t="e">
        <v>#N/A</v>
      </c>
    </row>
    <row r="2193" spans="19:27" x14ac:dyDescent="0.2">
      <c r="S2193" s="61"/>
      <c r="T2193" s="82"/>
      <c r="W2193" s="103" t="str">
        <f t="shared" si="42"/>
        <v>1w</v>
      </c>
      <c r="X2193" s="101">
        <f>_xll.qlCalendarAdvance(Calendar,X2192,W2193,"f",FALSE)</f>
        <v>54680</v>
      </c>
      <c r="Y2193" s="104">
        <f>_xll.qlCalendarAdvance(Calendar,X2193,NDays&amp;"D")</f>
        <v>54682</v>
      </c>
      <c r="Z2193" s="105" t="e">
        <v>#N/A</v>
      </c>
      <c r="AA2193" s="102" t="e">
        <v>#N/A</v>
      </c>
    </row>
    <row r="2194" spans="19:27" x14ac:dyDescent="0.2">
      <c r="S2194" s="61"/>
      <c r="T2194" s="82"/>
      <c r="W2194" s="103" t="str">
        <f t="shared" si="42"/>
        <v>1w</v>
      </c>
      <c r="X2194" s="101">
        <f>_xll.qlCalendarAdvance(Calendar,X2193,W2194,"f",FALSE)</f>
        <v>54687</v>
      </c>
      <c r="Y2194" s="104">
        <f>_xll.qlCalendarAdvance(Calendar,X2194,NDays&amp;"D")</f>
        <v>54689</v>
      </c>
      <c r="Z2194" s="105" t="e">
        <v>#N/A</v>
      </c>
      <c r="AA2194" s="102" t="e">
        <v>#N/A</v>
      </c>
    </row>
    <row r="2195" spans="19:27" x14ac:dyDescent="0.2">
      <c r="S2195" s="61"/>
      <c r="T2195" s="82"/>
      <c r="W2195" s="103" t="str">
        <f t="shared" si="42"/>
        <v>1w</v>
      </c>
      <c r="X2195" s="101">
        <f>_xll.qlCalendarAdvance(Calendar,X2194,W2195,"f",FALSE)</f>
        <v>54694</v>
      </c>
      <c r="Y2195" s="104">
        <f>_xll.qlCalendarAdvance(Calendar,X2195,NDays&amp;"D")</f>
        <v>54696</v>
      </c>
      <c r="Z2195" s="105" t="e">
        <v>#N/A</v>
      </c>
      <c r="AA2195" s="102" t="e">
        <v>#N/A</v>
      </c>
    </row>
    <row r="2196" spans="19:27" x14ac:dyDescent="0.2">
      <c r="S2196" s="61"/>
      <c r="T2196" s="82"/>
      <c r="W2196" s="103" t="str">
        <f t="shared" si="42"/>
        <v>1w</v>
      </c>
      <c r="X2196" s="101">
        <f>_xll.qlCalendarAdvance(Calendar,X2195,W2196,"f",FALSE)</f>
        <v>54701</v>
      </c>
      <c r="Y2196" s="104">
        <f>_xll.qlCalendarAdvance(Calendar,X2196,NDays&amp;"D")</f>
        <v>54703</v>
      </c>
      <c r="Z2196" s="105" t="e">
        <v>#N/A</v>
      </c>
      <c r="AA2196" s="102" t="e">
        <v>#N/A</v>
      </c>
    </row>
    <row r="2197" spans="19:27" x14ac:dyDescent="0.2">
      <c r="S2197" s="61"/>
      <c r="T2197" s="82"/>
      <c r="W2197" s="103" t="str">
        <f t="shared" ref="W2197:W2260" si="43">W2196</f>
        <v>1w</v>
      </c>
      <c r="X2197" s="101">
        <f>_xll.qlCalendarAdvance(Calendar,X2196,W2197,"f",FALSE)</f>
        <v>54708</v>
      </c>
      <c r="Y2197" s="104">
        <f>_xll.qlCalendarAdvance(Calendar,X2197,NDays&amp;"D")</f>
        <v>54710</v>
      </c>
      <c r="Z2197" s="105" t="e">
        <v>#N/A</v>
      </c>
      <c r="AA2197" s="102" t="e">
        <v>#N/A</v>
      </c>
    </row>
    <row r="2198" spans="19:27" x14ac:dyDescent="0.2">
      <c r="S2198" s="61"/>
      <c r="T2198" s="82"/>
      <c r="W2198" s="103" t="str">
        <f t="shared" si="43"/>
        <v>1w</v>
      </c>
      <c r="X2198" s="101">
        <f>_xll.qlCalendarAdvance(Calendar,X2197,W2198,"f",FALSE)</f>
        <v>54715</v>
      </c>
      <c r="Y2198" s="104">
        <f>_xll.qlCalendarAdvance(Calendar,X2198,NDays&amp;"D")</f>
        <v>54717</v>
      </c>
      <c r="Z2198" s="105" t="e">
        <v>#N/A</v>
      </c>
      <c r="AA2198" s="102" t="e">
        <v>#N/A</v>
      </c>
    </row>
    <row r="2199" spans="19:27" x14ac:dyDescent="0.2">
      <c r="S2199" s="61"/>
      <c r="T2199" s="82"/>
      <c r="W2199" s="103" t="str">
        <f t="shared" si="43"/>
        <v>1w</v>
      </c>
      <c r="X2199" s="101">
        <f>_xll.qlCalendarAdvance(Calendar,X2198,W2199,"f",FALSE)</f>
        <v>54722</v>
      </c>
      <c r="Y2199" s="104">
        <f>_xll.qlCalendarAdvance(Calendar,X2199,NDays&amp;"D")</f>
        <v>54724</v>
      </c>
      <c r="Z2199" s="105" t="e">
        <v>#N/A</v>
      </c>
      <c r="AA2199" s="102" t="e">
        <v>#N/A</v>
      </c>
    </row>
    <row r="2200" spans="19:27" x14ac:dyDescent="0.2">
      <c r="S2200" s="61"/>
      <c r="T2200" s="82"/>
      <c r="W2200" s="103" t="str">
        <f t="shared" si="43"/>
        <v>1w</v>
      </c>
      <c r="X2200" s="101">
        <f>_xll.qlCalendarAdvance(Calendar,X2199,W2200,"f",FALSE)</f>
        <v>54729</v>
      </c>
      <c r="Y2200" s="104">
        <f>_xll.qlCalendarAdvance(Calendar,X2200,NDays&amp;"D")</f>
        <v>54731</v>
      </c>
      <c r="Z2200" s="105" t="e">
        <v>#N/A</v>
      </c>
      <c r="AA2200" s="102" t="e">
        <v>#N/A</v>
      </c>
    </row>
    <row r="2201" spans="19:27" x14ac:dyDescent="0.2">
      <c r="S2201" s="61"/>
      <c r="T2201" s="82"/>
      <c r="W2201" s="103" t="str">
        <f t="shared" si="43"/>
        <v>1w</v>
      </c>
      <c r="X2201" s="101">
        <f>_xll.qlCalendarAdvance(Calendar,X2200,W2201,"f",FALSE)</f>
        <v>54736</v>
      </c>
      <c r="Y2201" s="104">
        <f>_xll.qlCalendarAdvance(Calendar,X2201,NDays&amp;"D")</f>
        <v>54738</v>
      </c>
      <c r="Z2201" s="105" t="e">
        <v>#N/A</v>
      </c>
      <c r="AA2201" s="102" t="e">
        <v>#N/A</v>
      </c>
    </row>
    <row r="2202" spans="19:27" x14ac:dyDescent="0.2">
      <c r="S2202" s="61"/>
      <c r="T2202" s="82"/>
      <c r="W2202" s="103" t="str">
        <f t="shared" si="43"/>
        <v>1w</v>
      </c>
      <c r="X2202" s="101">
        <f>_xll.qlCalendarAdvance(Calendar,X2201,W2202,"f",FALSE)</f>
        <v>54743</v>
      </c>
      <c r="Y2202" s="104">
        <f>_xll.qlCalendarAdvance(Calendar,X2202,NDays&amp;"D")</f>
        <v>54745</v>
      </c>
      <c r="Z2202" s="105" t="e">
        <v>#N/A</v>
      </c>
      <c r="AA2202" s="102" t="e">
        <v>#N/A</v>
      </c>
    </row>
    <row r="2203" spans="19:27" x14ac:dyDescent="0.2">
      <c r="S2203" s="61"/>
      <c r="T2203" s="82"/>
      <c r="W2203" s="103" t="str">
        <f t="shared" si="43"/>
        <v>1w</v>
      </c>
      <c r="X2203" s="101">
        <f>_xll.qlCalendarAdvance(Calendar,X2202,W2203,"f",FALSE)</f>
        <v>54750</v>
      </c>
      <c r="Y2203" s="104">
        <f>_xll.qlCalendarAdvance(Calendar,X2203,NDays&amp;"D")</f>
        <v>54752</v>
      </c>
      <c r="Z2203" s="105" t="e">
        <v>#N/A</v>
      </c>
      <c r="AA2203" s="102" t="e">
        <v>#N/A</v>
      </c>
    </row>
    <row r="2204" spans="19:27" x14ac:dyDescent="0.2">
      <c r="S2204" s="61"/>
      <c r="T2204" s="82"/>
      <c r="W2204" s="103" t="str">
        <f t="shared" si="43"/>
        <v>1w</v>
      </c>
      <c r="X2204" s="101">
        <f>_xll.qlCalendarAdvance(Calendar,X2203,W2204,"f",FALSE)</f>
        <v>54757</v>
      </c>
      <c r="Y2204" s="104">
        <f>_xll.qlCalendarAdvance(Calendar,X2204,NDays&amp;"D")</f>
        <v>54759</v>
      </c>
      <c r="Z2204" s="105" t="e">
        <v>#N/A</v>
      </c>
      <c r="AA2204" s="102" t="e">
        <v>#N/A</v>
      </c>
    </row>
    <row r="2205" spans="19:27" x14ac:dyDescent="0.2">
      <c r="S2205" s="61"/>
      <c r="T2205" s="82"/>
      <c r="W2205" s="103" t="str">
        <f t="shared" si="43"/>
        <v>1w</v>
      </c>
      <c r="X2205" s="101">
        <f>_xll.qlCalendarAdvance(Calendar,X2204,W2205,"f",FALSE)</f>
        <v>54764</v>
      </c>
      <c r="Y2205" s="104">
        <f>_xll.qlCalendarAdvance(Calendar,X2205,NDays&amp;"D")</f>
        <v>54766</v>
      </c>
      <c r="Z2205" s="105" t="e">
        <v>#N/A</v>
      </c>
      <c r="AA2205" s="102" t="e">
        <v>#N/A</v>
      </c>
    </row>
    <row r="2206" spans="19:27" x14ac:dyDescent="0.2">
      <c r="S2206" s="61"/>
      <c r="T2206" s="82"/>
      <c r="W2206" s="103" t="str">
        <f t="shared" si="43"/>
        <v>1w</v>
      </c>
      <c r="X2206" s="101">
        <f>_xll.qlCalendarAdvance(Calendar,X2205,W2206,"f",FALSE)</f>
        <v>54771</v>
      </c>
      <c r="Y2206" s="104">
        <f>_xll.qlCalendarAdvance(Calendar,X2206,NDays&amp;"D")</f>
        <v>54773</v>
      </c>
      <c r="Z2206" s="105" t="e">
        <v>#N/A</v>
      </c>
      <c r="AA2206" s="102" t="e">
        <v>#N/A</v>
      </c>
    </row>
    <row r="2207" spans="19:27" x14ac:dyDescent="0.2">
      <c r="S2207" s="61"/>
      <c r="T2207" s="82"/>
      <c r="W2207" s="103" t="str">
        <f t="shared" si="43"/>
        <v>1w</v>
      </c>
      <c r="X2207" s="101">
        <f>_xll.qlCalendarAdvance(Calendar,X2206,W2207,"f",FALSE)</f>
        <v>54778</v>
      </c>
      <c r="Y2207" s="104">
        <f>_xll.qlCalendarAdvance(Calendar,X2207,NDays&amp;"D")</f>
        <v>54780</v>
      </c>
      <c r="Z2207" s="105" t="e">
        <v>#N/A</v>
      </c>
      <c r="AA2207" s="102" t="e">
        <v>#N/A</v>
      </c>
    </row>
    <row r="2208" spans="19:27" x14ac:dyDescent="0.2">
      <c r="S2208" s="61"/>
      <c r="T2208" s="82"/>
      <c r="W2208" s="103" t="str">
        <f t="shared" si="43"/>
        <v>1w</v>
      </c>
      <c r="X2208" s="101">
        <f>_xll.qlCalendarAdvance(Calendar,X2207,W2208,"f",FALSE)</f>
        <v>54785</v>
      </c>
      <c r="Y2208" s="104">
        <f>_xll.qlCalendarAdvance(Calendar,X2208,NDays&amp;"D")</f>
        <v>54787</v>
      </c>
      <c r="Z2208" s="105" t="e">
        <v>#N/A</v>
      </c>
      <c r="AA2208" s="102" t="e">
        <v>#N/A</v>
      </c>
    </row>
    <row r="2209" spans="19:27" x14ac:dyDescent="0.2">
      <c r="S2209" s="61"/>
      <c r="T2209" s="82"/>
      <c r="W2209" s="103" t="str">
        <f t="shared" si="43"/>
        <v>1w</v>
      </c>
      <c r="X2209" s="101">
        <f>_xll.qlCalendarAdvance(Calendar,X2208,W2209,"f",FALSE)</f>
        <v>54792</v>
      </c>
      <c r="Y2209" s="104">
        <f>_xll.qlCalendarAdvance(Calendar,X2209,NDays&amp;"D")</f>
        <v>54795</v>
      </c>
      <c r="Z2209" s="105" t="e">
        <v>#N/A</v>
      </c>
      <c r="AA2209" s="102" t="e">
        <v>#N/A</v>
      </c>
    </row>
    <row r="2210" spans="19:27" x14ac:dyDescent="0.2">
      <c r="S2210" s="61"/>
      <c r="T2210" s="82"/>
      <c r="W2210" s="103" t="str">
        <f t="shared" si="43"/>
        <v>1w</v>
      </c>
      <c r="X2210" s="101">
        <f>_xll.qlCalendarAdvance(Calendar,X2209,W2210,"f",FALSE)</f>
        <v>54799</v>
      </c>
      <c r="Y2210" s="104">
        <f>_xll.qlCalendarAdvance(Calendar,X2210,NDays&amp;"D")</f>
        <v>54801</v>
      </c>
      <c r="Z2210" s="105" t="e">
        <v>#N/A</v>
      </c>
      <c r="AA2210" s="102" t="e">
        <v>#N/A</v>
      </c>
    </row>
    <row r="2211" spans="19:27" x14ac:dyDescent="0.2">
      <c r="S2211" s="61"/>
      <c r="T2211" s="82"/>
      <c r="W2211" s="103" t="str">
        <f t="shared" si="43"/>
        <v>1w</v>
      </c>
      <c r="X2211" s="101">
        <f>_xll.qlCalendarAdvance(Calendar,X2210,W2211,"f",FALSE)</f>
        <v>54806</v>
      </c>
      <c r="Y2211" s="104">
        <f>_xll.qlCalendarAdvance(Calendar,X2211,NDays&amp;"D")</f>
        <v>54808</v>
      </c>
      <c r="Z2211" s="105" t="e">
        <v>#N/A</v>
      </c>
      <c r="AA2211" s="102" t="e">
        <v>#N/A</v>
      </c>
    </row>
    <row r="2212" spans="19:27" x14ac:dyDescent="0.2">
      <c r="S2212" s="61"/>
      <c r="T2212" s="82"/>
      <c r="W2212" s="103" t="str">
        <f t="shared" si="43"/>
        <v>1w</v>
      </c>
      <c r="X2212" s="101">
        <f>_xll.qlCalendarAdvance(Calendar,X2211,W2212,"f",FALSE)</f>
        <v>54813</v>
      </c>
      <c r="Y2212" s="104">
        <f>_xll.qlCalendarAdvance(Calendar,X2212,NDays&amp;"D")</f>
        <v>54815</v>
      </c>
      <c r="Z2212" s="105" t="e">
        <v>#N/A</v>
      </c>
      <c r="AA2212" s="102" t="e">
        <v>#N/A</v>
      </c>
    </row>
    <row r="2213" spans="19:27" x14ac:dyDescent="0.2">
      <c r="S2213" s="61"/>
      <c r="T2213" s="82"/>
      <c r="W2213" s="103" t="str">
        <f t="shared" si="43"/>
        <v>1w</v>
      </c>
      <c r="X2213" s="101">
        <f>_xll.qlCalendarAdvance(Calendar,X2212,W2213,"f",FALSE)</f>
        <v>54820</v>
      </c>
      <c r="Y2213" s="104">
        <f>_xll.qlCalendarAdvance(Calendar,X2213,NDays&amp;"D")</f>
        <v>54822</v>
      </c>
      <c r="Z2213" s="105" t="e">
        <v>#N/A</v>
      </c>
      <c r="AA2213" s="102" t="e">
        <v>#N/A</v>
      </c>
    </row>
    <row r="2214" spans="19:27" x14ac:dyDescent="0.2">
      <c r="S2214" s="61"/>
      <c r="T2214" s="82"/>
      <c r="W2214" s="103" t="str">
        <f t="shared" si="43"/>
        <v>1w</v>
      </c>
      <c r="X2214" s="101">
        <f>_xll.qlCalendarAdvance(Calendar,X2213,W2214,"f",FALSE)</f>
        <v>54827</v>
      </c>
      <c r="Y2214" s="104">
        <f>_xll.qlCalendarAdvance(Calendar,X2214,NDays&amp;"D")</f>
        <v>54829</v>
      </c>
      <c r="Z2214" s="105" t="e">
        <v>#N/A</v>
      </c>
      <c r="AA2214" s="102" t="e">
        <v>#N/A</v>
      </c>
    </row>
    <row r="2215" spans="19:27" x14ac:dyDescent="0.2">
      <c r="S2215" s="61"/>
      <c r="T2215" s="82"/>
      <c r="W2215" s="103" t="str">
        <f t="shared" si="43"/>
        <v>1w</v>
      </c>
      <c r="X2215" s="101">
        <f>_xll.qlCalendarAdvance(Calendar,X2214,W2215,"f",FALSE)</f>
        <v>54834</v>
      </c>
      <c r="Y2215" s="104">
        <f>_xll.qlCalendarAdvance(Calendar,X2215,NDays&amp;"D")</f>
        <v>54836</v>
      </c>
      <c r="Z2215" s="105" t="e">
        <v>#N/A</v>
      </c>
      <c r="AA2215" s="102" t="e">
        <v>#N/A</v>
      </c>
    </row>
    <row r="2216" spans="19:27" x14ac:dyDescent="0.2">
      <c r="S2216" s="61"/>
      <c r="T2216" s="82"/>
      <c r="W2216" s="103" t="str">
        <f t="shared" si="43"/>
        <v>1w</v>
      </c>
      <c r="X2216" s="101">
        <f>_xll.qlCalendarAdvance(Calendar,X2215,W2216,"f",FALSE)</f>
        <v>54841</v>
      </c>
      <c r="Y2216" s="104">
        <f>_xll.qlCalendarAdvance(Calendar,X2216,NDays&amp;"D")</f>
        <v>54843</v>
      </c>
      <c r="Z2216" s="105" t="e">
        <v>#N/A</v>
      </c>
      <c r="AA2216" s="102" t="e">
        <v>#N/A</v>
      </c>
    </row>
    <row r="2217" spans="19:27" x14ac:dyDescent="0.2">
      <c r="S2217" s="61"/>
      <c r="T2217" s="82"/>
      <c r="W2217" s="103" t="str">
        <f t="shared" si="43"/>
        <v>1w</v>
      </c>
      <c r="X2217" s="101">
        <f>_xll.qlCalendarAdvance(Calendar,X2216,W2217,"f",FALSE)</f>
        <v>54848</v>
      </c>
      <c r="Y2217" s="104">
        <f>_xll.qlCalendarAdvance(Calendar,X2217,NDays&amp;"D")</f>
        <v>54850</v>
      </c>
      <c r="Z2217" s="105" t="e">
        <v>#N/A</v>
      </c>
      <c r="AA2217" s="102" t="e">
        <v>#N/A</v>
      </c>
    </row>
    <row r="2218" spans="19:27" x14ac:dyDescent="0.2">
      <c r="S2218" s="61"/>
      <c r="T2218" s="82"/>
      <c r="W2218" s="103" t="str">
        <f t="shared" si="43"/>
        <v>1w</v>
      </c>
      <c r="X2218" s="101">
        <f>_xll.qlCalendarAdvance(Calendar,X2217,W2218,"f",FALSE)</f>
        <v>54855</v>
      </c>
      <c r="Y2218" s="104">
        <f>_xll.qlCalendarAdvance(Calendar,X2218,NDays&amp;"D")</f>
        <v>54857</v>
      </c>
      <c r="Z2218" s="105" t="e">
        <v>#N/A</v>
      </c>
      <c r="AA2218" s="102" t="e">
        <v>#N/A</v>
      </c>
    </row>
    <row r="2219" spans="19:27" x14ac:dyDescent="0.2">
      <c r="S2219" s="61"/>
      <c r="T2219" s="82"/>
      <c r="W2219" s="103" t="str">
        <f t="shared" si="43"/>
        <v>1w</v>
      </c>
      <c r="X2219" s="101">
        <f>_xll.qlCalendarAdvance(Calendar,X2218,W2219,"f",FALSE)</f>
        <v>54862</v>
      </c>
      <c r="Y2219" s="104">
        <f>_xll.qlCalendarAdvance(Calendar,X2219,NDays&amp;"D")</f>
        <v>54864</v>
      </c>
      <c r="Z2219" s="105" t="e">
        <v>#N/A</v>
      </c>
      <c r="AA2219" s="102" t="e">
        <v>#N/A</v>
      </c>
    </row>
    <row r="2220" spans="19:27" x14ac:dyDescent="0.2">
      <c r="S2220" s="61"/>
      <c r="T2220" s="82"/>
      <c r="W2220" s="103" t="str">
        <f t="shared" si="43"/>
        <v>1w</v>
      </c>
      <c r="X2220" s="101">
        <f>_xll.qlCalendarAdvance(Calendar,X2219,W2220,"f",FALSE)</f>
        <v>54869</v>
      </c>
      <c r="Y2220" s="104">
        <f>_xll.qlCalendarAdvance(Calendar,X2220,NDays&amp;"D")</f>
        <v>54871</v>
      </c>
      <c r="Z2220" s="105" t="e">
        <v>#N/A</v>
      </c>
      <c r="AA2220" s="102" t="e">
        <v>#N/A</v>
      </c>
    </row>
    <row r="2221" spans="19:27" x14ac:dyDescent="0.2">
      <c r="S2221" s="61"/>
      <c r="T2221" s="82"/>
      <c r="W2221" s="103" t="str">
        <f t="shared" si="43"/>
        <v>1w</v>
      </c>
      <c r="X2221" s="101">
        <f>_xll.qlCalendarAdvance(Calendar,X2220,W2221,"f",FALSE)</f>
        <v>54876</v>
      </c>
      <c r="Y2221" s="104">
        <f>_xll.qlCalendarAdvance(Calendar,X2221,NDays&amp;"D")</f>
        <v>54878</v>
      </c>
      <c r="Z2221" s="105" t="e">
        <v>#N/A</v>
      </c>
      <c r="AA2221" s="102" t="e">
        <v>#N/A</v>
      </c>
    </row>
    <row r="2222" spans="19:27" x14ac:dyDescent="0.2">
      <c r="S2222" s="61"/>
      <c r="T2222" s="82"/>
      <c r="W2222" s="103" t="str">
        <f t="shared" si="43"/>
        <v>1w</v>
      </c>
      <c r="X2222" s="101">
        <f>_xll.qlCalendarAdvance(Calendar,X2221,W2222,"f",FALSE)</f>
        <v>54883</v>
      </c>
      <c r="Y2222" s="104">
        <f>_xll.qlCalendarAdvance(Calendar,X2222,NDays&amp;"D")</f>
        <v>54885</v>
      </c>
      <c r="Z2222" s="105" t="e">
        <v>#N/A</v>
      </c>
      <c r="AA2222" s="102" t="e">
        <v>#N/A</v>
      </c>
    </row>
    <row r="2223" spans="19:27" x14ac:dyDescent="0.2">
      <c r="S2223" s="61"/>
      <c r="T2223" s="82"/>
      <c r="W2223" s="103" t="str">
        <f t="shared" si="43"/>
        <v>1w</v>
      </c>
      <c r="X2223" s="101">
        <f>_xll.qlCalendarAdvance(Calendar,X2222,W2223,"f",FALSE)</f>
        <v>54890</v>
      </c>
      <c r="Y2223" s="104">
        <f>_xll.qlCalendarAdvance(Calendar,X2223,NDays&amp;"D")</f>
        <v>54892</v>
      </c>
      <c r="Z2223" s="105" t="e">
        <v>#N/A</v>
      </c>
      <c r="AA2223" s="102" t="e">
        <v>#N/A</v>
      </c>
    </row>
    <row r="2224" spans="19:27" x14ac:dyDescent="0.2">
      <c r="S2224" s="61"/>
      <c r="T2224" s="82"/>
      <c r="W2224" s="103" t="str">
        <f t="shared" si="43"/>
        <v>1w</v>
      </c>
      <c r="X2224" s="101">
        <f>_xll.qlCalendarAdvance(Calendar,X2223,W2224,"f",FALSE)</f>
        <v>54897</v>
      </c>
      <c r="Y2224" s="104">
        <f>_xll.qlCalendarAdvance(Calendar,X2224,NDays&amp;"D")</f>
        <v>54899</v>
      </c>
      <c r="Z2224" s="105" t="e">
        <v>#N/A</v>
      </c>
      <c r="AA2224" s="102" t="e">
        <v>#N/A</v>
      </c>
    </row>
    <row r="2225" spans="19:27" x14ac:dyDescent="0.2">
      <c r="S2225" s="61"/>
      <c r="T2225" s="82"/>
      <c r="W2225" s="103" t="str">
        <f t="shared" si="43"/>
        <v>1w</v>
      </c>
      <c r="X2225" s="101">
        <f>_xll.qlCalendarAdvance(Calendar,X2224,W2225,"f",FALSE)</f>
        <v>54904</v>
      </c>
      <c r="Y2225" s="104">
        <f>_xll.qlCalendarAdvance(Calendar,X2225,NDays&amp;"D")</f>
        <v>54906</v>
      </c>
      <c r="Z2225" s="105" t="e">
        <v>#N/A</v>
      </c>
      <c r="AA2225" s="102" t="e">
        <v>#N/A</v>
      </c>
    </row>
    <row r="2226" spans="19:27" x14ac:dyDescent="0.2">
      <c r="S2226" s="61"/>
      <c r="T2226" s="82"/>
      <c r="W2226" s="103" t="str">
        <f t="shared" si="43"/>
        <v>1w</v>
      </c>
      <c r="X2226" s="101">
        <f>_xll.qlCalendarAdvance(Calendar,X2225,W2226,"f",FALSE)</f>
        <v>54911</v>
      </c>
      <c r="Y2226" s="104">
        <f>_xll.qlCalendarAdvance(Calendar,X2226,NDays&amp;"D")</f>
        <v>54913</v>
      </c>
      <c r="Z2226" s="105" t="e">
        <v>#N/A</v>
      </c>
      <c r="AA2226" s="102" t="e">
        <v>#N/A</v>
      </c>
    </row>
    <row r="2227" spans="19:27" x14ac:dyDescent="0.2">
      <c r="S2227" s="61"/>
      <c r="T2227" s="82"/>
      <c r="W2227" s="103" t="str">
        <f t="shared" si="43"/>
        <v>1w</v>
      </c>
      <c r="X2227" s="101">
        <f>_xll.qlCalendarAdvance(Calendar,X2226,W2227,"f",FALSE)</f>
        <v>54918</v>
      </c>
      <c r="Y2227" s="104">
        <f>_xll.qlCalendarAdvance(Calendar,X2227,NDays&amp;"D")</f>
        <v>54920</v>
      </c>
      <c r="Z2227" s="105" t="e">
        <v>#N/A</v>
      </c>
      <c r="AA2227" s="102" t="e">
        <v>#N/A</v>
      </c>
    </row>
    <row r="2228" spans="19:27" x14ac:dyDescent="0.2">
      <c r="S2228" s="61"/>
      <c r="T2228" s="82"/>
      <c r="W2228" s="103" t="str">
        <f t="shared" si="43"/>
        <v>1w</v>
      </c>
      <c r="X2228" s="101">
        <f>_xll.qlCalendarAdvance(Calendar,X2227,W2228,"f",FALSE)</f>
        <v>54925</v>
      </c>
      <c r="Y2228" s="104">
        <f>_xll.qlCalendarAdvance(Calendar,X2228,NDays&amp;"D")</f>
        <v>54928</v>
      </c>
      <c r="Z2228" s="105" t="e">
        <v>#N/A</v>
      </c>
      <c r="AA2228" s="102" t="e">
        <v>#N/A</v>
      </c>
    </row>
    <row r="2229" spans="19:27" x14ac:dyDescent="0.2">
      <c r="S2229" s="61"/>
      <c r="T2229" s="82"/>
      <c r="W2229" s="103" t="str">
        <f t="shared" si="43"/>
        <v>1w</v>
      </c>
      <c r="X2229" s="101">
        <f>_xll.qlCalendarAdvance(Calendar,X2228,W2229,"f",FALSE)</f>
        <v>54932</v>
      </c>
      <c r="Y2229" s="104">
        <f>_xll.qlCalendarAdvance(Calendar,X2229,NDays&amp;"D")</f>
        <v>54934</v>
      </c>
      <c r="Z2229" s="105" t="e">
        <v>#N/A</v>
      </c>
      <c r="AA2229" s="102" t="e">
        <v>#N/A</v>
      </c>
    </row>
    <row r="2230" spans="19:27" x14ac:dyDescent="0.2">
      <c r="S2230" s="61"/>
      <c r="T2230" s="82"/>
      <c r="W2230" s="103" t="str">
        <f t="shared" si="43"/>
        <v>1w</v>
      </c>
      <c r="X2230" s="101">
        <f>_xll.qlCalendarAdvance(Calendar,X2229,W2230,"f",FALSE)</f>
        <v>54939</v>
      </c>
      <c r="Y2230" s="104">
        <f>_xll.qlCalendarAdvance(Calendar,X2230,NDays&amp;"D")</f>
        <v>54941</v>
      </c>
      <c r="Z2230" s="105" t="e">
        <v>#N/A</v>
      </c>
      <c r="AA2230" s="102" t="e">
        <v>#N/A</v>
      </c>
    </row>
    <row r="2231" spans="19:27" x14ac:dyDescent="0.2">
      <c r="S2231" s="61"/>
      <c r="T2231" s="82"/>
      <c r="W2231" s="103" t="str">
        <f t="shared" si="43"/>
        <v>1w</v>
      </c>
      <c r="X2231" s="101">
        <f>_xll.qlCalendarAdvance(Calendar,X2230,W2231,"f",FALSE)</f>
        <v>54946</v>
      </c>
      <c r="Y2231" s="104">
        <f>_xll.qlCalendarAdvance(Calendar,X2231,NDays&amp;"D")</f>
        <v>54948</v>
      </c>
      <c r="Z2231" s="105" t="e">
        <v>#N/A</v>
      </c>
      <c r="AA2231" s="102" t="e">
        <v>#N/A</v>
      </c>
    </row>
    <row r="2232" spans="19:27" x14ac:dyDescent="0.2">
      <c r="S2232" s="61"/>
      <c r="T2232" s="82"/>
      <c r="W2232" s="103" t="str">
        <f t="shared" si="43"/>
        <v>1w</v>
      </c>
      <c r="X2232" s="101">
        <f>_xll.qlCalendarAdvance(Calendar,X2231,W2232,"f",FALSE)</f>
        <v>54953</v>
      </c>
      <c r="Y2232" s="104">
        <f>_xll.qlCalendarAdvance(Calendar,X2232,NDays&amp;"D")</f>
        <v>54955</v>
      </c>
      <c r="Z2232" s="105" t="e">
        <v>#N/A</v>
      </c>
      <c r="AA2232" s="102" t="e">
        <v>#N/A</v>
      </c>
    </row>
    <row r="2233" spans="19:27" x14ac:dyDescent="0.2">
      <c r="S2233" s="61"/>
      <c r="T2233" s="82"/>
      <c r="W2233" s="103" t="str">
        <f t="shared" si="43"/>
        <v>1w</v>
      </c>
      <c r="X2233" s="101">
        <f>_xll.qlCalendarAdvance(Calendar,X2232,W2233,"f",FALSE)</f>
        <v>54960</v>
      </c>
      <c r="Y2233" s="104">
        <f>_xll.qlCalendarAdvance(Calendar,X2233,NDays&amp;"D")</f>
        <v>54962</v>
      </c>
      <c r="Z2233" s="105" t="e">
        <v>#N/A</v>
      </c>
      <c r="AA2233" s="102" t="e">
        <v>#N/A</v>
      </c>
    </row>
    <row r="2234" spans="19:27" x14ac:dyDescent="0.2">
      <c r="S2234" s="61"/>
      <c r="T2234" s="82"/>
      <c r="W2234" s="103" t="str">
        <f t="shared" si="43"/>
        <v>1w</v>
      </c>
      <c r="X2234" s="101">
        <f>_xll.qlCalendarAdvance(Calendar,X2233,W2234,"f",FALSE)</f>
        <v>54967</v>
      </c>
      <c r="Y2234" s="104">
        <f>_xll.qlCalendarAdvance(Calendar,X2234,NDays&amp;"D")</f>
        <v>54969</v>
      </c>
      <c r="Z2234" s="105" t="e">
        <v>#N/A</v>
      </c>
      <c r="AA2234" s="102" t="e">
        <v>#N/A</v>
      </c>
    </row>
    <row r="2235" spans="19:27" x14ac:dyDescent="0.2">
      <c r="S2235" s="61"/>
      <c r="T2235" s="82"/>
      <c r="W2235" s="103" t="str">
        <f t="shared" si="43"/>
        <v>1w</v>
      </c>
      <c r="X2235" s="101">
        <f>_xll.qlCalendarAdvance(Calendar,X2234,W2235,"f",FALSE)</f>
        <v>54974</v>
      </c>
      <c r="Y2235" s="104">
        <f>_xll.qlCalendarAdvance(Calendar,X2235,NDays&amp;"D")</f>
        <v>54976</v>
      </c>
      <c r="Z2235" s="105" t="e">
        <v>#N/A</v>
      </c>
      <c r="AA2235" s="102" t="e">
        <v>#N/A</v>
      </c>
    </row>
    <row r="2236" spans="19:27" x14ac:dyDescent="0.2">
      <c r="S2236" s="61"/>
      <c r="T2236" s="82"/>
      <c r="W2236" s="103" t="str">
        <f t="shared" si="43"/>
        <v>1w</v>
      </c>
      <c r="X2236" s="101">
        <f>_xll.qlCalendarAdvance(Calendar,X2235,W2236,"f",FALSE)</f>
        <v>54981</v>
      </c>
      <c r="Y2236" s="104">
        <f>_xll.qlCalendarAdvance(Calendar,X2236,NDays&amp;"D")</f>
        <v>54983</v>
      </c>
      <c r="Z2236" s="105" t="e">
        <v>#N/A</v>
      </c>
      <c r="AA2236" s="102" t="e">
        <v>#N/A</v>
      </c>
    </row>
    <row r="2237" spans="19:27" x14ac:dyDescent="0.2">
      <c r="S2237" s="61"/>
      <c r="T2237" s="82"/>
      <c r="W2237" s="103" t="str">
        <f t="shared" si="43"/>
        <v>1w</v>
      </c>
      <c r="X2237" s="101">
        <f>_xll.qlCalendarAdvance(Calendar,X2236,W2237,"f",FALSE)</f>
        <v>54988</v>
      </c>
      <c r="Y2237" s="104">
        <f>_xll.qlCalendarAdvance(Calendar,X2237,NDays&amp;"D")</f>
        <v>54990</v>
      </c>
      <c r="Z2237" s="105" t="e">
        <v>#N/A</v>
      </c>
      <c r="AA2237" s="102" t="e">
        <v>#N/A</v>
      </c>
    </row>
    <row r="2238" spans="19:27" x14ac:dyDescent="0.2">
      <c r="S2238" s="61"/>
      <c r="T2238" s="82"/>
      <c r="W2238" s="103" t="str">
        <f t="shared" si="43"/>
        <v>1w</v>
      </c>
      <c r="X2238" s="101">
        <f>_xll.qlCalendarAdvance(Calendar,X2237,W2238,"f",FALSE)</f>
        <v>54995</v>
      </c>
      <c r="Y2238" s="104">
        <f>_xll.qlCalendarAdvance(Calendar,X2238,NDays&amp;"D")</f>
        <v>54997</v>
      </c>
      <c r="Z2238" s="105" t="e">
        <v>#N/A</v>
      </c>
      <c r="AA2238" s="102" t="e">
        <v>#N/A</v>
      </c>
    </row>
    <row r="2239" spans="19:27" x14ac:dyDescent="0.2">
      <c r="S2239" s="61"/>
      <c r="T2239" s="82"/>
      <c r="W2239" s="103" t="str">
        <f t="shared" si="43"/>
        <v>1w</v>
      </c>
      <c r="X2239" s="101">
        <f>_xll.qlCalendarAdvance(Calendar,X2238,W2239,"f",FALSE)</f>
        <v>55002</v>
      </c>
      <c r="Y2239" s="104">
        <f>_xll.qlCalendarAdvance(Calendar,X2239,NDays&amp;"D")</f>
        <v>55004</v>
      </c>
      <c r="Z2239" s="105" t="e">
        <v>#N/A</v>
      </c>
      <c r="AA2239" s="102" t="e">
        <v>#N/A</v>
      </c>
    </row>
    <row r="2240" spans="19:27" x14ac:dyDescent="0.2">
      <c r="S2240" s="61"/>
      <c r="T2240" s="82"/>
      <c r="W2240" s="103" t="str">
        <f t="shared" si="43"/>
        <v>1w</v>
      </c>
      <c r="X2240" s="101">
        <f>_xll.qlCalendarAdvance(Calendar,X2239,W2240,"f",FALSE)</f>
        <v>55009</v>
      </c>
      <c r="Y2240" s="104">
        <f>_xll.qlCalendarAdvance(Calendar,X2240,NDays&amp;"D")</f>
        <v>55011</v>
      </c>
      <c r="Z2240" s="105" t="e">
        <v>#N/A</v>
      </c>
      <c r="AA2240" s="102" t="e">
        <v>#N/A</v>
      </c>
    </row>
    <row r="2241" spans="19:27" x14ac:dyDescent="0.2">
      <c r="S2241" s="61"/>
      <c r="T2241" s="82"/>
      <c r="W2241" s="103" t="str">
        <f t="shared" si="43"/>
        <v>1w</v>
      </c>
      <c r="X2241" s="101">
        <f>_xll.qlCalendarAdvance(Calendar,X2240,W2241,"f",FALSE)</f>
        <v>55016</v>
      </c>
      <c r="Y2241" s="104">
        <f>_xll.qlCalendarAdvance(Calendar,X2241,NDays&amp;"D")</f>
        <v>55018</v>
      </c>
      <c r="Z2241" s="105" t="e">
        <v>#N/A</v>
      </c>
      <c r="AA2241" s="102" t="e">
        <v>#N/A</v>
      </c>
    </row>
    <row r="2242" spans="19:27" x14ac:dyDescent="0.2">
      <c r="S2242" s="61"/>
      <c r="T2242" s="82"/>
      <c r="W2242" s="103" t="str">
        <f t="shared" si="43"/>
        <v>1w</v>
      </c>
      <c r="X2242" s="101">
        <f>_xll.qlCalendarAdvance(Calendar,X2241,W2242,"f",FALSE)</f>
        <v>55023</v>
      </c>
      <c r="Y2242" s="104">
        <f>_xll.qlCalendarAdvance(Calendar,X2242,NDays&amp;"D")</f>
        <v>55025</v>
      </c>
      <c r="Z2242" s="105" t="e">
        <v>#N/A</v>
      </c>
      <c r="AA2242" s="102" t="e">
        <v>#N/A</v>
      </c>
    </row>
    <row r="2243" spans="19:27" x14ac:dyDescent="0.2">
      <c r="S2243" s="61"/>
      <c r="T2243" s="82"/>
      <c r="W2243" s="103" t="str">
        <f t="shared" si="43"/>
        <v>1w</v>
      </c>
      <c r="X2243" s="101">
        <f>_xll.qlCalendarAdvance(Calendar,X2242,W2243,"f",FALSE)</f>
        <v>55030</v>
      </c>
      <c r="Y2243" s="104">
        <f>_xll.qlCalendarAdvance(Calendar,X2243,NDays&amp;"D")</f>
        <v>55032</v>
      </c>
      <c r="Z2243" s="105" t="e">
        <v>#N/A</v>
      </c>
      <c r="AA2243" s="102" t="e">
        <v>#N/A</v>
      </c>
    </row>
    <row r="2244" spans="19:27" x14ac:dyDescent="0.2">
      <c r="S2244" s="61"/>
      <c r="T2244" s="82"/>
      <c r="W2244" s="103" t="str">
        <f t="shared" si="43"/>
        <v>1w</v>
      </c>
      <c r="X2244" s="101">
        <f>_xll.qlCalendarAdvance(Calendar,X2243,W2244,"f",FALSE)</f>
        <v>55037</v>
      </c>
      <c r="Y2244" s="104">
        <f>_xll.qlCalendarAdvance(Calendar,X2244,NDays&amp;"D")</f>
        <v>55039</v>
      </c>
      <c r="Z2244" s="105" t="e">
        <v>#N/A</v>
      </c>
      <c r="AA2244" s="102" t="e">
        <v>#N/A</v>
      </c>
    </row>
    <row r="2245" spans="19:27" x14ac:dyDescent="0.2">
      <c r="S2245" s="61"/>
      <c r="T2245" s="82"/>
      <c r="W2245" s="103" t="str">
        <f t="shared" si="43"/>
        <v>1w</v>
      </c>
      <c r="X2245" s="101">
        <f>_xll.qlCalendarAdvance(Calendar,X2244,W2245,"f",FALSE)</f>
        <v>55044</v>
      </c>
      <c r="Y2245" s="104">
        <f>_xll.qlCalendarAdvance(Calendar,X2245,NDays&amp;"D")</f>
        <v>55046</v>
      </c>
      <c r="Z2245" s="105" t="e">
        <v>#N/A</v>
      </c>
      <c r="AA2245" s="102" t="e">
        <v>#N/A</v>
      </c>
    </row>
    <row r="2246" spans="19:27" x14ac:dyDescent="0.2">
      <c r="S2246" s="61"/>
      <c r="T2246" s="82"/>
      <c r="W2246" s="103" t="str">
        <f t="shared" si="43"/>
        <v>1w</v>
      </c>
      <c r="X2246" s="101">
        <f>_xll.qlCalendarAdvance(Calendar,X2245,W2246,"f",FALSE)</f>
        <v>55051</v>
      </c>
      <c r="Y2246" s="104">
        <f>_xll.qlCalendarAdvance(Calendar,X2246,NDays&amp;"D")</f>
        <v>55053</v>
      </c>
      <c r="Z2246" s="105" t="e">
        <v>#N/A</v>
      </c>
      <c r="AA2246" s="102" t="e">
        <v>#N/A</v>
      </c>
    </row>
    <row r="2247" spans="19:27" x14ac:dyDescent="0.2">
      <c r="S2247" s="61"/>
      <c r="T2247" s="82"/>
      <c r="W2247" s="103" t="str">
        <f t="shared" si="43"/>
        <v>1w</v>
      </c>
      <c r="X2247" s="101">
        <f>_xll.qlCalendarAdvance(Calendar,X2246,W2247,"f",FALSE)</f>
        <v>55058</v>
      </c>
      <c r="Y2247" s="104">
        <f>_xll.qlCalendarAdvance(Calendar,X2247,NDays&amp;"D")</f>
        <v>55060</v>
      </c>
      <c r="Z2247" s="105" t="e">
        <v>#N/A</v>
      </c>
      <c r="AA2247" s="102" t="e">
        <v>#N/A</v>
      </c>
    </row>
    <row r="2248" spans="19:27" x14ac:dyDescent="0.2">
      <c r="S2248" s="61"/>
      <c r="T2248" s="82"/>
      <c r="W2248" s="103" t="str">
        <f t="shared" si="43"/>
        <v>1w</v>
      </c>
      <c r="X2248" s="101">
        <f>_xll.qlCalendarAdvance(Calendar,X2247,W2248,"f",FALSE)</f>
        <v>55065</v>
      </c>
      <c r="Y2248" s="104">
        <f>_xll.qlCalendarAdvance(Calendar,X2248,NDays&amp;"D")</f>
        <v>55067</v>
      </c>
      <c r="Z2248" s="105" t="e">
        <v>#N/A</v>
      </c>
      <c r="AA2248" s="102" t="e">
        <v>#N/A</v>
      </c>
    </row>
    <row r="2249" spans="19:27" x14ac:dyDescent="0.2">
      <c r="S2249" s="61"/>
      <c r="T2249" s="82"/>
      <c r="W2249" s="103" t="str">
        <f t="shared" si="43"/>
        <v>1w</v>
      </c>
      <c r="X2249" s="101">
        <f>_xll.qlCalendarAdvance(Calendar,X2248,W2249,"f",FALSE)</f>
        <v>55072</v>
      </c>
      <c r="Y2249" s="104">
        <f>_xll.qlCalendarAdvance(Calendar,X2249,NDays&amp;"D")</f>
        <v>55074</v>
      </c>
      <c r="Z2249" s="105" t="e">
        <v>#N/A</v>
      </c>
      <c r="AA2249" s="102" t="e">
        <v>#N/A</v>
      </c>
    </row>
    <row r="2250" spans="19:27" x14ac:dyDescent="0.2">
      <c r="S2250" s="61"/>
      <c r="T2250" s="82"/>
      <c r="W2250" s="103" t="str">
        <f t="shared" si="43"/>
        <v>1w</v>
      </c>
      <c r="X2250" s="101">
        <f>_xll.qlCalendarAdvance(Calendar,X2249,W2250,"f",FALSE)</f>
        <v>55079</v>
      </c>
      <c r="Y2250" s="104">
        <f>_xll.qlCalendarAdvance(Calendar,X2250,NDays&amp;"D")</f>
        <v>55081</v>
      </c>
      <c r="Z2250" s="105" t="e">
        <v>#N/A</v>
      </c>
      <c r="AA2250" s="102" t="e">
        <v>#N/A</v>
      </c>
    </row>
    <row r="2251" spans="19:27" x14ac:dyDescent="0.2">
      <c r="S2251" s="61"/>
      <c r="T2251" s="82"/>
      <c r="W2251" s="103" t="str">
        <f t="shared" si="43"/>
        <v>1w</v>
      </c>
      <c r="X2251" s="101">
        <f>_xll.qlCalendarAdvance(Calendar,X2250,W2251,"f",FALSE)</f>
        <v>55086</v>
      </c>
      <c r="Y2251" s="104">
        <f>_xll.qlCalendarAdvance(Calendar,X2251,NDays&amp;"D")</f>
        <v>55088</v>
      </c>
      <c r="Z2251" s="105" t="e">
        <v>#N/A</v>
      </c>
      <c r="AA2251" s="102" t="e">
        <v>#N/A</v>
      </c>
    </row>
    <row r="2252" spans="19:27" x14ac:dyDescent="0.2">
      <c r="S2252" s="61"/>
      <c r="T2252" s="82"/>
      <c r="W2252" s="103" t="str">
        <f t="shared" si="43"/>
        <v>1w</v>
      </c>
      <c r="X2252" s="101">
        <f>_xll.qlCalendarAdvance(Calendar,X2251,W2252,"f",FALSE)</f>
        <v>55093</v>
      </c>
      <c r="Y2252" s="104">
        <f>_xll.qlCalendarAdvance(Calendar,X2252,NDays&amp;"D")</f>
        <v>55095</v>
      </c>
      <c r="Z2252" s="105" t="e">
        <v>#N/A</v>
      </c>
      <c r="AA2252" s="102" t="e">
        <v>#N/A</v>
      </c>
    </row>
    <row r="2253" spans="19:27" x14ac:dyDescent="0.2">
      <c r="S2253" s="61"/>
      <c r="T2253" s="82"/>
      <c r="W2253" s="103" t="str">
        <f t="shared" si="43"/>
        <v>1w</v>
      </c>
      <c r="X2253" s="101">
        <f>_xll.qlCalendarAdvance(Calendar,X2252,W2253,"f",FALSE)</f>
        <v>55100</v>
      </c>
      <c r="Y2253" s="104">
        <f>_xll.qlCalendarAdvance(Calendar,X2253,NDays&amp;"D")</f>
        <v>55102</v>
      </c>
      <c r="Z2253" s="105" t="e">
        <v>#N/A</v>
      </c>
      <c r="AA2253" s="102" t="e">
        <v>#N/A</v>
      </c>
    </row>
    <row r="2254" spans="19:27" x14ac:dyDescent="0.2">
      <c r="S2254" s="61"/>
      <c r="T2254" s="82"/>
      <c r="W2254" s="103" t="str">
        <f t="shared" si="43"/>
        <v>1w</v>
      </c>
      <c r="X2254" s="101">
        <f>_xll.qlCalendarAdvance(Calendar,X2253,W2254,"f",FALSE)</f>
        <v>55107</v>
      </c>
      <c r="Y2254" s="104">
        <f>_xll.qlCalendarAdvance(Calendar,X2254,NDays&amp;"D")</f>
        <v>55109</v>
      </c>
      <c r="Z2254" s="105" t="e">
        <v>#N/A</v>
      </c>
      <c r="AA2254" s="102" t="e">
        <v>#N/A</v>
      </c>
    </row>
    <row r="2255" spans="19:27" x14ac:dyDescent="0.2">
      <c r="S2255" s="61"/>
      <c r="T2255" s="82"/>
      <c r="W2255" s="103" t="str">
        <f t="shared" si="43"/>
        <v>1w</v>
      </c>
      <c r="X2255" s="101">
        <f>_xll.qlCalendarAdvance(Calendar,X2254,W2255,"f",FALSE)</f>
        <v>55114</v>
      </c>
      <c r="Y2255" s="104">
        <f>_xll.qlCalendarAdvance(Calendar,X2255,NDays&amp;"D")</f>
        <v>55116</v>
      </c>
      <c r="Z2255" s="105" t="e">
        <v>#N/A</v>
      </c>
      <c r="AA2255" s="102" t="e">
        <v>#N/A</v>
      </c>
    </row>
    <row r="2256" spans="19:27" x14ac:dyDescent="0.2">
      <c r="S2256" s="61"/>
      <c r="T2256" s="82"/>
      <c r="W2256" s="103" t="str">
        <f t="shared" si="43"/>
        <v>1w</v>
      </c>
      <c r="X2256" s="101">
        <f>_xll.qlCalendarAdvance(Calendar,X2255,W2256,"f",FALSE)</f>
        <v>55121</v>
      </c>
      <c r="Y2256" s="104">
        <f>_xll.qlCalendarAdvance(Calendar,X2256,NDays&amp;"D")</f>
        <v>55123</v>
      </c>
      <c r="Z2256" s="105" t="e">
        <v>#N/A</v>
      </c>
      <c r="AA2256" s="102" t="e">
        <v>#N/A</v>
      </c>
    </row>
    <row r="2257" spans="19:27" x14ac:dyDescent="0.2">
      <c r="S2257" s="61"/>
      <c r="T2257" s="82"/>
      <c r="W2257" s="103" t="str">
        <f t="shared" si="43"/>
        <v>1w</v>
      </c>
      <c r="X2257" s="101">
        <f>_xll.qlCalendarAdvance(Calendar,X2256,W2257,"f",FALSE)</f>
        <v>55128</v>
      </c>
      <c r="Y2257" s="104">
        <f>_xll.qlCalendarAdvance(Calendar,X2257,NDays&amp;"D")</f>
        <v>55130</v>
      </c>
      <c r="Z2257" s="105" t="e">
        <v>#N/A</v>
      </c>
      <c r="AA2257" s="102" t="e">
        <v>#N/A</v>
      </c>
    </row>
    <row r="2258" spans="19:27" x14ac:dyDescent="0.2">
      <c r="S2258" s="61"/>
      <c r="T2258" s="82"/>
      <c r="W2258" s="103" t="str">
        <f t="shared" si="43"/>
        <v>1w</v>
      </c>
      <c r="X2258" s="101">
        <f>_xll.qlCalendarAdvance(Calendar,X2257,W2258,"f",FALSE)</f>
        <v>55135</v>
      </c>
      <c r="Y2258" s="104">
        <f>_xll.qlCalendarAdvance(Calendar,X2258,NDays&amp;"D")</f>
        <v>55137</v>
      </c>
      <c r="Z2258" s="105" t="e">
        <v>#N/A</v>
      </c>
      <c r="AA2258" s="102" t="e">
        <v>#N/A</v>
      </c>
    </row>
    <row r="2259" spans="19:27" x14ac:dyDescent="0.2">
      <c r="S2259" s="61"/>
      <c r="T2259" s="82"/>
      <c r="W2259" s="103" t="str">
        <f t="shared" si="43"/>
        <v>1w</v>
      </c>
      <c r="X2259" s="101">
        <f>_xll.qlCalendarAdvance(Calendar,X2258,W2259,"f",FALSE)</f>
        <v>55142</v>
      </c>
      <c r="Y2259" s="104">
        <f>_xll.qlCalendarAdvance(Calendar,X2259,NDays&amp;"D")</f>
        <v>55144</v>
      </c>
      <c r="Z2259" s="105" t="e">
        <v>#N/A</v>
      </c>
      <c r="AA2259" s="102" t="e">
        <v>#N/A</v>
      </c>
    </row>
    <row r="2260" spans="19:27" x14ac:dyDescent="0.2">
      <c r="S2260" s="61"/>
      <c r="T2260" s="82"/>
      <c r="W2260" s="103" t="str">
        <f t="shared" si="43"/>
        <v>1w</v>
      </c>
      <c r="X2260" s="101">
        <f>_xll.qlCalendarAdvance(Calendar,X2259,W2260,"f",FALSE)</f>
        <v>55149</v>
      </c>
      <c r="Y2260" s="104">
        <f>_xll.qlCalendarAdvance(Calendar,X2260,NDays&amp;"D")</f>
        <v>55151</v>
      </c>
      <c r="Z2260" s="105" t="e">
        <v>#N/A</v>
      </c>
      <c r="AA2260" s="102" t="e">
        <v>#N/A</v>
      </c>
    </row>
    <row r="2261" spans="19:27" x14ac:dyDescent="0.2">
      <c r="S2261" s="61"/>
      <c r="T2261" s="82"/>
      <c r="W2261" s="103" t="str">
        <f t="shared" ref="W2261:W2324" si="44">W2260</f>
        <v>1w</v>
      </c>
      <c r="X2261" s="101">
        <f>_xll.qlCalendarAdvance(Calendar,X2260,W2261,"f",FALSE)</f>
        <v>55156</v>
      </c>
      <c r="Y2261" s="104">
        <f>_xll.qlCalendarAdvance(Calendar,X2261,NDays&amp;"D")</f>
        <v>55158</v>
      </c>
      <c r="Z2261" s="105" t="e">
        <v>#N/A</v>
      </c>
      <c r="AA2261" s="102" t="e">
        <v>#N/A</v>
      </c>
    </row>
    <row r="2262" spans="19:27" x14ac:dyDescent="0.2">
      <c r="S2262" s="61"/>
      <c r="T2262" s="82"/>
      <c r="W2262" s="103" t="str">
        <f t="shared" si="44"/>
        <v>1w</v>
      </c>
      <c r="X2262" s="101">
        <f>_xll.qlCalendarAdvance(Calendar,X2261,W2262,"f",FALSE)</f>
        <v>55163</v>
      </c>
      <c r="Y2262" s="104">
        <f>_xll.qlCalendarAdvance(Calendar,X2262,NDays&amp;"D")</f>
        <v>55165</v>
      </c>
      <c r="Z2262" s="105" t="e">
        <v>#N/A</v>
      </c>
      <c r="AA2262" s="102" t="e">
        <v>#N/A</v>
      </c>
    </row>
    <row r="2263" spans="19:27" x14ac:dyDescent="0.2">
      <c r="S2263" s="61"/>
      <c r="T2263" s="82"/>
      <c r="W2263" s="103" t="str">
        <f t="shared" si="44"/>
        <v>1w</v>
      </c>
      <c r="X2263" s="101">
        <f>_xll.qlCalendarAdvance(Calendar,X2262,W2263,"f",FALSE)</f>
        <v>55170</v>
      </c>
      <c r="Y2263" s="104">
        <f>_xll.qlCalendarAdvance(Calendar,X2263,NDays&amp;"D")</f>
        <v>55172</v>
      </c>
      <c r="Z2263" s="105" t="e">
        <v>#N/A</v>
      </c>
      <c r="AA2263" s="102" t="e">
        <v>#N/A</v>
      </c>
    </row>
    <row r="2264" spans="19:27" x14ac:dyDescent="0.2">
      <c r="S2264" s="61"/>
      <c r="T2264" s="82"/>
      <c r="W2264" s="103" t="str">
        <f t="shared" si="44"/>
        <v>1w</v>
      </c>
      <c r="X2264" s="101">
        <f>_xll.qlCalendarAdvance(Calendar,X2263,W2264,"f",FALSE)</f>
        <v>55177</v>
      </c>
      <c r="Y2264" s="104">
        <f>_xll.qlCalendarAdvance(Calendar,X2264,NDays&amp;"D")</f>
        <v>55179</v>
      </c>
      <c r="Z2264" s="105" t="e">
        <v>#N/A</v>
      </c>
      <c r="AA2264" s="102" t="e">
        <v>#N/A</v>
      </c>
    </row>
    <row r="2265" spans="19:27" x14ac:dyDescent="0.2">
      <c r="S2265" s="61"/>
      <c r="T2265" s="82"/>
      <c r="W2265" s="103" t="str">
        <f t="shared" si="44"/>
        <v>1w</v>
      </c>
      <c r="X2265" s="101">
        <f>_xll.qlCalendarAdvance(Calendar,X2264,W2265,"f",FALSE)</f>
        <v>55184</v>
      </c>
      <c r="Y2265" s="104">
        <f>_xll.qlCalendarAdvance(Calendar,X2265,NDays&amp;"D")</f>
        <v>55186</v>
      </c>
      <c r="Z2265" s="105" t="e">
        <v>#N/A</v>
      </c>
      <c r="AA2265" s="102" t="e">
        <v>#N/A</v>
      </c>
    </row>
    <row r="2266" spans="19:27" x14ac:dyDescent="0.2">
      <c r="S2266" s="61"/>
      <c r="T2266" s="82"/>
      <c r="W2266" s="103" t="str">
        <f t="shared" si="44"/>
        <v>1w</v>
      </c>
      <c r="X2266" s="101">
        <f>_xll.qlCalendarAdvance(Calendar,X2265,W2266,"f",FALSE)</f>
        <v>55191</v>
      </c>
      <c r="Y2266" s="104">
        <f>_xll.qlCalendarAdvance(Calendar,X2266,NDays&amp;"D")</f>
        <v>55193</v>
      </c>
      <c r="Z2266" s="105" t="e">
        <v>#N/A</v>
      </c>
      <c r="AA2266" s="102" t="e">
        <v>#N/A</v>
      </c>
    </row>
    <row r="2267" spans="19:27" x14ac:dyDescent="0.2">
      <c r="S2267" s="61"/>
      <c r="T2267" s="82"/>
      <c r="W2267" s="103" t="str">
        <f t="shared" si="44"/>
        <v>1w</v>
      </c>
      <c r="X2267" s="101">
        <f>_xll.qlCalendarAdvance(Calendar,X2266,W2267,"f",FALSE)</f>
        <v>55198</v>
      </c>
      <c r="Y2267" s="104">
        <f>_xll.qlCalendarAdvance(Calendar,X2267,NDays&amp;"D")</f>
        <v>55200</v>
      </c>
      <c r="Z2267" s="105" t="e">
        <v>#N/A</v>
      </c>
      <c r="AA2267" s="102" t="e">
        <v>#N/A</v>
      </c>
    </row>
    <row r="2268" spans="19:27" x14ac:dyDescent="0.2">
      <c r="S2268" s="61"/>
      <c r="T2268" s="82"/>
      <c r="W2268" s="103" t="str">
        <f t="shared" si="44"/>
        <v>1w</v>
      </c>
      <c r="X2268" s="101">
        <f>_xll.qlCalendarAdvance(Calendar,X2267,W2268,"f",FALSE)</f>
        <v>55205</v>
      </c>
      <c r="Y2268" s="104">
        <f>_xll.qlCalendarAdvance(Calendar,X2268,NDays&amp;"D")</f>
        <v>55207</v>
      </c>
      <c r="Z2268" s="105" t="e">
        <v>#N/A</v>
      </c>
      <c r="AA2268" s="102" t="e">
        <v>#N/A</v>
      </c>
    </row>
    <row r="2269" spans="19:27" x14ac:dyDescent="0.2">
      <c r="S2269" s="61"/>
      <c r="T2269" s="82"/>
      <c r="W2269" s="103" t="str">
        <f t="shared" si="44"/>
        <v>1w</v>
      </c>
      <c r="X2269" s="101">
        <f>_xll.qlCalendarAdvance(Calendar,X2268,W2269,"f",FALSE)</f>
        <v>55212</v>
      </c>
      <c r="Y2269" s="104">
        <f>_xll.qlCalendarAdvance(Calendar,X2269,NDays&amp;"D")</f>
        <v>55214</v>
      </c>
      <c r="Z2269" s="105" t="e">
        <v>#N/A</v>
      </c>
      <c r="AA2269" s="102" t="e">
        <v>#N/A</v>
      </c>
    </row>
    <row r="2270" spans="19:27" x14ac:dyDescent="0.2">
      <c r="S2270" s="61"/>
      <c r="T2270" s="82"/>
      <c r="W2270" s="103" t="str">
        <f t="shared" si="44"/>
        <v>1w</v>
      </c>
      <c r="X2270" s="101">
        <f>_xll.qlCalendarAdvance(Calendar,X2269,W2270,"f",FALSE)</f>
        <v>55219</v>
      </c>
      <c r="Y2270" s="104">
        <f>_xll.qlCalendarAdvance(Calendar,X2270,NDays&amp;"D")</f>
        <v>55221</v>
      </c>
      <c r="Z2270" s="105" t="e">
        <v>#N/A</v>
      </c>
      <c r="AA2270" s="102" t="e">
        <v>#N/A</v>
      </c>
    </row>
    <row r="2271" spans="19:27" x14ac:dyDescent="0.2">
      <c r="S2271" s="61"/>
      <c r="T2271" s="82"/>
      <c r="W2271" s="103" t="str">
        <f t="shared" si="44"/>
        <v>1w</v>
      </c>
      <c r="X2271" s="101">
        <f>_xll.qlCalendarAdvance(Calendar,X2270,W2271,"f",FALSE)</f>
        <v>55226</v>
      </c>
      <c r="Y2271" s="104">
        <f>_xll.qlCalendarAdvance(Calendar,X2271,NDays&amp;"D")</f>
        <v>55228</v>
      </c>
      <c r="Z2271" s="105" t="e">
        <v>#N/A</v>
      </c>
      <c r="AA2271" s="102" t="e">
        <v>#N/A</v>
      </c>
    </row>
    <row r="2272" spans="19:27" x14ac:dyDescent="0.2">
      <c r="S2272" s="61"/>
      <c r="T2272" s="82"/>
      <c r="W2272" s="103" t="str">
        <f t="shared" si="44"/>
        <v>1w</v>
      </c>
      <c r="X2272" s="101">
        <f>_xll.qlCalendarAdvance(Calendar,X2271,W2272,"f",FALSE)</f>
        <v>55233</v>
      </c>
      <c r="Y2272" s="104">
        <f>_xll.qlCalendarAdvance(Calendar,X2272,NDays&amp;"D")</f>
        <v>55235</v>
      </c>
      <c r="Z2272" s="105" t="e">
        <v>#N/A</v>
      </c>
      <c r="AA2272" s="102" t="e">
        <v>#N/A</v>
      </c>
    </row>
    <row r="2273" spans="19:27" x14ac:dyDescent="0.2">
      <c r="S2273" s="61"/>
      <c r="T2273" s="82"/>
      <c r="W2273" s="103" t="str">
        <f t="shared" si="44"/>
        <v>1w</v>
      </c>
      <c r="X2273" s="101">
        <f>_xll.qlCalendarAdvance(Calendar,X2272,W2273,"f",FALSE)</f>
        <v>55240</v>
      </c>
      <c r="Y2273" s="104">
        <f>_xll.qlCalendarAdvance(Calendar,X2273,NDays&amp;"D")</f>
        <v>55242</v>
      </c>
      <c r="Z2273" s="105" t="e">
        <v>#N/A</v>
      </c>
      <c r="AA2273" s="102" t="e">
        <v>#N/A</v>
      </c>
    </row>
    <row r="2274" spans="19:27" x14ac:dyDescent="0.2">
      <c r="S2274" s="61"/>
      <c r="T2274" s="82"/>
      <c r="W2274" s="103" t="str">
        <f t="shared" si="44"/>
        <v>1w</v>
      </c>
      <c r="X2274" s="101">
        <f>_xll.qlCalendarAdvance(Calendar,X2273,W2274,"f",FALSE)</f>
        <v>55247</v>
      </c>
      <c r="Y2274" s="104">
        <f>_xll.qlCalendarAdvance(Calendar,X2274,NDays&amp;"D")</f>
        <v>55249</v>
      </c>
      <c r="Z2274" s="105" t="e">
        <v>#N/A</v>
      </c>
      <c r="AA2274" s="102" t="e">
        <v>#N/A</v>
      </c>
    </row>
    <row r="2275" spans="19:27" x14ac:dyDescent="0.2">
      <c r="S2275" s="61"/>
      <c r="T2275" s="82"/>
      <c r="W2275" s="103" t="str">
        <f t="shared" si="44"/>
        <v>1w</v>
      </c>
      <c r="X2275" s="101">
        <f>_xll.qlCalendarAdvance(Calendar,X2274,W2275,"f",FALSE)</f>
        <v>55254</v>
      </c>
      <c r="Y2275" s="104">
        <f>_xll.qlCalendarAdvance(Calendar,X2275,NDays&amp;"D")</f>
        <v>55256</v>
      </c>
      <c r="Z2275" s="105" t="e">
        <v>#N/A</v>
      </c>
      <c r="AA2275" s="102" t="e">
        <v>#N/A</v>
      </c>
    </row>
    <row r="2276" spans="19:27" x14ac:dyDescent="0.2">
      <c r="S2276" s="61"/>
      <c r="T2276" s="82"/>
      <c r="W2276" s="103" t="str">
        <f t="shared" si="44"/>
        <v>1w</v>
      </c>
      <c r="X2276" s="101">
        <f>_xll.qlCalendarAdvance(Calendar,X2275,W2276,"f",FALSE)</f>
        <v>55261</v>
      </c>
      <c r="Y2276" s="104">
        <f>_xll.qlCalendarAdvance(Calendar,X2276,NDays&amp;"D")</f>
        <v>55263</v>
      </c>
      <c r="Z2276" s="105" t="e">
        <v>#N/A</v>
      </c>
      <c r="AA2276" s="102" t="e">
        <v>#N/A</v>
      </c>
    </row>
    <row r="2277" spans="19:27" x14ac:dyDescent="0.2">
      <c r="S2277" s="61"/>
      <c r="T2277" s="82"/>
      <c r="W2277" s="103" t="str">
        <f t="shared" si="44"/>
        <v>1w</v>
      </c>
      <c r="X2277" s="101">
        <f>_xll.qlCalendarAdvance(Calendar,X2276,W2277,"f",FALSE)</f>
        <v>55268</v>
      </c>
      <c r="Y2277" s="104">
        <f>_xll.qlCalendarAdvance(Calendar,X2277,NDays&amp;"D")</f>
        <v>55270</v>
      </c>
      <c r="Z2277" s="105" t="e">
        <v>#N/A</v>
      </c>
      <c r="AA2277" s="102" t="e">
        <v>#N/A</v>
      </c>
    </row>
    <row r="2278" spans="19:27" x14ac:dyDescent="0.2">
      <c r="S2278" s="61"/>
      <c r="T2278" s="82"/>
      <c r="W2278" s="103" t="str">
        <f t="shared" si="44"/>
        <v>1w</v>
      </c>
      <c r="X2278" s="101">
        <f>_xll.qlCalendarAdvance(Calendar,X2277,W2278,"f",FALSE)</f>
        <v>55275</v>
      </c>
      <c r="Y2278" s="104">
        <f>_xll.qlCalendarAdvance(Calendar,X2278,NDays&amp;"D")</f>
        <v>55277</v>
      </c>
      <c r="Z2278" s="105" t="e">
        <v>#N/A</v>
      </c>
      <c r="AA2278" s="102" t="e">
        <v>#N/A</v>
      </c>
    </row>
    <row r="2279" spans="19:27" x14ac:dyDescent="0.2">
      <c r="S2279" s="61"/>
      <c r="T2279" s="82"/>
      <c r="W2279" s="103" t="str">
        <f t="shared" si="44"/>
        <v>1w</v>
      </c>
      <c r="X2279" s="101">
        <f>_xll.qlCalendarAdvance(Calendar,X2278,W2279,"f",FALSE)</f>
        <v>55282</v>
      </c>
      <c r="Y2279" s="104">
        <f>_xll.qlCalendarAdvance(Calendar,X2279,NDays&amp;"D")</f>
        <v>55285</v>
      </c>
      <c r="Z2279" s="105" t="e">
        <v>#N/A</v>
      </c>
      <c r="AA2279" s="102" t="e">
        <v>#N/A</v>
      </c>
    </row>
    <row r="2280" spans="19:27" x14ac:dyDescent="0.2">
      <c r="S2280" s="61"/>
      <c r="T2280" s="82"/>
      <c r="W2280" s="103" t="str">
        <f t="shared" si="44"/>
        <v>1w</v>
      </c>
      <c r="X2280" s="101">
        <f>_xll.qlCalendarAdvance(Calendar,X2279,W2280,"f",FALSE)</f>
        <v>55289</v>
      </c>
      <c r="Y2280" s="104">
        <f>_xll.qlCalendarAdvance(Calendar,X2280,NDays&amp;"D")</f>
        <v>55291</v>
      </c>
      <c r="Z2280" s="105" t="e">
        <v>#N/A</v>
      </c>
      <c r="AA2280" s="102" t="e">
        <v>#N/A</v>
      </c>
    </row>
    <row r="2281" spans="19:27" x14ac:dyDescent="0.2">
      <c r="S2281" s="61"/>
      <c r="T2281" s="82"/>
      <c r="W2281" s="103" t="str">
        <f t="shared" si="44"/>
        <v>1w</v>
      </c>
      <c r="X2281" s="101">
        <f>_xll.qlCalendarAdvance(Calendar,X2280,W2281,"f",FALSE)</f>
        <v>55296</v>
      </c>
      <c r="Y2281" s="104">
        <f>_xll.qlCalendarAdvance(Calendar,X2281,NDays&amp;"D")</f>
        <v>55298</v>
      </c>
      <c r="Z2281" s="105" t="e">
        <v>#N/A</v>
      </c>
      <c r="AA2281" s="102" t="e">
        <v>#N/A</v>
      </c>
    </row>
    <row r="2282" spans="19:27" x14ac:dyDescent="0.2">
      <c r="S2282" s="61"/>
      <c r="T2282" s="82"/>
      <c r="W2282" s="103" t="str">
        <f t="shared" si="44"/>
        <v>1w</v>
      </c>
      <c r="X2282" s="101">
        <f>_xll.qlCalendarAdvance(Calendar,X2281,W2282,"f",FALSE)</f>
        <v>55303</v>
      </c>
      <c r="Y2282" s="104">
        <f>_xll.qlCalendarAdvance(Calendar,X2282,NDays&amp;"D")</f>
        <v>55305</v>
      </c>
      <c r="Z2282" s="105" t="e">
        <v>#N/A</v>
      </c>
      <c r="AA2282" s="102" t="e">
        <v>#N/A</v>
      </c>
    </row>
    <row r="2283" spans="19:27" x14ac:dyDescent="0.2">
      <c r="S2283" s="61"/>
      <c r="T2283" s="82"/>
      <c r="W2283" s="103" t="str">
        <f t="shared" si="44"/>
        <v>1w</v>
      </c>
      <c r="X2283" s="101">
        <f>_xll.qlCalendarAdvance(Calendar,X2282,W2283,"f",FALSE)</f>
        <v>55310</v>
      </c>
      <c r="Y2283" s="104">
        <f>_xll.qlCalendarAdvance(Calendar,X2283,NDays&amp;"D")</f>
        <v>55312</v>
      </c>
      <c r="Z2283" s="105" t="e">
        <v>#N/A</v>
      </c>
      <c r="AA2283" s="102" t="e">
        <v>#N/A</v>
      </c>
    </row>
    <row r="2284" spans="19:27" x14ac:dyDescent="0.2">
      <c r="S2284" s="61"/>
      <c r="T2284" s="82"/>
      <c r="W2284" s="103" t="str">
        <f t="shared" si="44"/>
        <v>1w</v>
      </c>
      <c r="X2284" s="101">
        <f>_xll.qlCalendarAdvance(Calendar,X2283,W2284,"f",FALSE)</f>
        <v>55317</v>
      </c>
      <c r="Y2284" s="104">
        <f>_xll.qlCalendarAdvance(Calendar,X2284,NDays&amp;"D")</f>
        <v>55319</v>
      </c>
      <c r="Z2284" s="105" t="e">
        <v>#N/A</v>
      </c>
      <c r="AA2284" s="102" t="e">
        <v>#N/A</v>
      </c>
    </row>
    <row r="2285" spans="19:27" x14ac:dyDescent="0.2">
      <c r="S2285" s="61"/>
      <c r="T2285" s="82"/>
      <c r="W2285" s="103" t="str">
        <f t="shared" si="44"/>
        <v>1w</v>
      </c>
      <c r="X2285" s="101">
        <f>_xll.qlCalendarAdvance(Calendar,X2284,W2285,"f",FALSE)</f>
        <v>55324</v>
      </c>
      <c r="Y2285" s="104">
        <f>_xll.qlCalendarAdvance(Calendar,X2285,NDays&amp;"D")</f>
        <v>55326</v>
      </c>
      <c r="Z2285" s="105" t="e">
        <v>#N/A</v>
      </c>
      <c r="AA2285" s="102" t="e">
        <v>#N/A</v>
      </c>
    </row>
    <row r="2286" spans="19:27" x14ac:dyDescent="0.2">
      <c r="S2286" s="61"/>
      <c r="T2286" s="82"/>
      <c r="W2286" s="103" t="str">
        <f t="shared" si="44"/>
        <v>1w</v>
      </c>
      <c r="X2286" s="101">
        <f>_xll.qlCalendarAdvance(Calendar,X2285,W2286,"f",FALSE)</f>
        <v>55331</v>
      </c>
      <c r="Y2286" s="104">
        <f>_xll.qlCalendarAdvance(Calendar,X2286,NDays&amp;"D")</f>
        <v>55333</v>
      </c>
      <c r="Z2286" s="105" t="e">
        <v>#N/A</v>
      </c>
      <c r="AA2286" s="102" t="e">
        <v>#N/A</v>
      </c>
    </row>
    <row r="2287" spans="19:27" x14ac:dyDescent="0.2">
      <c r="S2287" s="61"/>
      <c r="T2287" s="82"/>
      <c r="W2287" s="103" t="str">
        <f t="shared" si="44"/>
        <v>1w</v>
      </c>
      <c r="X2287" s="101">
        <f>_xll.qlCalendarAdvance(Calendar,X2286,W2287,"f",FALSE)</f>
        <v>55338</v>
      </c>
      <c r="Y2287" s="104">
        <f>_xll.qlCalendarAdvance(Calendar,X2287,NDays&amp;"D")</f>
        <v>55340</v>
      </c>
      <c r="Z2287" s="105" t="e">
        <v>#N/A</v>
      </c>
      <c r="AA2287" s="102" t="e">
        <v>#N/A</v>
      </c>
    </row>
    <row r="2288" spans="19:27" x14ac:dyDescent="0.2">
      <c r="S2288" s="61"/>
      <c r="T2288" s="82"/>
      <c r="W2288" s="103" t="str">
        <f t="shared" si="44"/>
        <v>1w</v>
      </c>
      <c r="X2288" s="101">
        <f>_xll.qlCalendarAdvance(Calendar,X2287,W2288,"f",FALSE)</f>
        <v>55345</v>
      </c>
      <c r="Y2288" s="104">
        <f>_xll.qlCalendarAdvance(Calendar,X2288,NDays&amp;"D")</f>
        <v>55347</v>
      </c>
      <c r="Z2288" s="105" t="e">
        <v>#N/A</v>
      </c>
      <c r="AA2288" s="102" t="e">
        <v>#N/A</v>
      </c>
    </row>
    <row r="2289" spans="19:27" x14ac:dyDescent="0.2">
      <c r="S2289" s="61"/>
      <c r="T2289" s="82"/>
      <c r="W2289" s="103" t="str">
        <f t="shared" si="44"/>
        <v>1w</v>
      </c>
      <c r="X2289" s="101">
        <f>_xll.qlCalendarAdvance(Calendar,X2288,W2289,"f",FALSE)</f>
        <v>55352</v>
      </c>
      <c r="Y2289" s="104">
        <f>_xll.qlCalendarAdvance(Calendar,X2289,NDays&amp;"D")</f>
        <v>55354</v>
      </c>
      <c r="Z2289" s="105" t="e">
        <v>#N/A</v>
      </c>
      <c r="AA2289" s="102" t="e">
        <v>#N/A</v>
      </c>
    </row>
    <row r="2290" spans="19:27" x14ac:dyDescent="0.2">
      <c r="S2290" s="61"/>
      <c r="T2290" s="82"/>
      <c r="W2290" s="103" t="str">
        <f t="shared" si="44"/>
        <v>1w</v>
      </c>
      <c r="X2290" s="101">
        <f>_xll.qlCalendarAdvance(Calendar,X2289,W2290,"f",FALSE)</f>
        <v>55359</v>
      </c>
      <c r="Y2290" s="104">
        <f>_xll.qlCalendarAdvance(Calendar,X2290,NDays&amp;"D")</f>
        <v>55361</v>
      </c>
      <c r="Z2290" s="105" t="e">
        <v>#N/A</v>
      </c>
      <c r="AA2290" s="102" t="e">
        <v>#N/A</v>
      </c>
    </row>
    <row r="2291" spans="19:27" x14ac:dyDescent="0.2">
      <c r="S2291" s="61"/>
      <c r="T2291" s="82"/>
      <c r="W2291" s="103" t="str">
        <f t="shared" si="44"/>
        <v>1w</v>
      </c>
      <c r="X2291" s="101">
        <f>_xll.qlCalendarAdvance(Calendar,X2290,W2291,"f",FALSE)</f>
        <v>55366</v>
      </c>
      <c r="Y2291" s="104">
        <f>_xll.qlCalendarAdvance(Calendar,X2291,NDays&amp;"D")</f>
        <v>55368</v>
      </c>
      <c r="Z2291" s="105" t="e">
        <v>#N/A</v>
      </c>
      <c r="AA2291" s="102" t="e">
        <v>#N/A</v>
      </c>
    </row>
    <row r="2292" spans="19:27" x14ac:dyDescent="0.2">
      <c r="S2292" s="61"/>
      <c r="T2292" s="82"/>
      <c r="W2292" s="103" t="str">
        <f t="shared" si="44"/>
        <v>1w</v>
      </c>
      <c r="X2292" s="101">
        <f>_xll.qlCalendarAdvance(Calendar,X2291,W2292,"f",FALSE)</f>
        <v>55373</v>
      </c>
      <c r="Y2292" s="104">
        <f>_xll.qlCalendarAdvance(Calendar,X2292,NDays&amp;"D")</f>
        <v>55375</v>
      </c>
      <c r="Z2292" s="105" t="e">
        <v>#N/A</v>
      </c>
      <c r="AA2292" s="102" t="e">
        <v>#N/A</v>
      </c>
    </row>
    <row r="2293" spans="19:27" x14ac:dyDescent="0.2">
      <c r="S2293" s="61"/>
      <c r="T2293" s="82"/>
      <c r="W2293" s="103" t="str">
        <f t="shared" si="44"/>
        <v>1w</v>
      </c>
      <c r="X2293" s="101">
        <f>_xll.qlCalendarAdvance(Calendar,X2292,W2293,"f",FALSE)</f>
        <v>55380</v>
      </c>
      <c r="Y2293" s="104">
        <f>_xll.qlCalendarAdvance(Calendar,X2293,NDays&amp;"D")</f>
        <v>55382</v>
      </c>
      <c r="Z2293" s="105" t="e">
        <v>#N/A</v>
      </c>
      <c r="AA2293" s="102" t="e">
        <v>#N/A</v>
      </c>
    </row>
    <row r="2294" spans="19:27" x14ac:dyDescent="0.2">
      <c r="S2294" s="61"/>
      <c r="T2294" s="82"/>
      <c r="W2294" s="103" t="str">
        <f t="shared" si="44"/>
        <v>1w</v>
      </c>
      <c r="X2294" s="101">
        <f>_xll.qlCalendarAdvance(Calendar,X2293,W2294,"f",FALSE)</f>
        <v>55387</v>
      </c>
      <c r="Y2294" s="104">
        <f>_xll.qlCalendarAdvance(Calendar,X2294,NDays&amp;"D")</f>
        <v>55389</v>
      </c>
      <c r="Z2294" s="105" t="e">
        <v>#N/A</v>
      </c>
      <c r="AA2294" s="102" t="e">
        <v>#N/A</v>
      </c>
    </row>
    <row r="2295" spans="19:27" x14ac:dyDescent="0.2">
      <c r="S2295" s="61"/>
      <c r="T2295" s="82"/>
      <c r="W2295" s="103" t="str">
        <f t="shared" si="44"/>
        <v>1w</v>
      </c>
      <c r="X2295" s="101">
        <f>_xll.qlCalendarAdvance(Calendar,X2294,W2295,"f",FALSE)</f>
        <v>55394</v>
      </c>
      <c r="Y2295" s="104">
        <f>_xll.qlCalendarAdvance(Calendar,X2295,NDays&amp;"D")</f>
        <v>55396</v>
      </c>
      <c r="Z2295" s="105" t="e">
        <v>#N/A</v>
      </c>
      <c r="AA2295" s="102" t="e">
        <v>#N/A</v>
      </c>
    </row>
    <row r="2296" spans="19:27" x14ac:dyDescent="0.2">
      <c r="S2296" s="61"/>
      <c r="T2296" s="82"/>
      <c r="W2296" s="103" t="str">
        <f t="shared" si="44"/>
        <v>1w</v>
      </c>
      <c r="X2296" s="101">
        <f>_xll.qlCalendarAdvance(Calendar,X2295,W2296,"f",FALSE)</f>
        <v>55401</v>
      </c>
      <c r="Y2296" s="104">
        <f>_xll.qlCalendarAdvance(Calendar,X2296,NDays&amp;"D")</f>
        <v>55403</v>
      </c>
      <c r="Z2296" s="105" t="e">
        <v>#N/A</v>
      </c>
      <c r="AA2296" s="102" t="e">
        <v>#N/A</v>
      </c>
    </row>
    <row r="2297" spans="19:27" x14ac:dyDescent="0.2">
      <c r="S2297" s="61"/>
      <c r="T2297" s="82"/>
      <c r="W2297" s="103" t="str">
        <f t="shared" si="44"/>
        <v>1w</v>
      </c>
      <c r="X2297" s="101">
        <f>_xll.qlCalendarAdvance(Calendar,X2296,W2297,"f",FALSE)</f>
        <v>55408</v>
      </c>
      <c r="Y2297" s="104">
        <f>_xll.qlCalendarAdvance(Calendar,X2297,NDays&amp;"D")</f>
        <v>55410</v>
      </c>
      <c r="Z2297" s="105" t="e">
        <v>#N/A</v>
      </c>
      <c r="AA2297" s="102" t="e">
        <v>#N/A</v>
      </c>
    </row>
    <row r="2298" spans="19:27" x14ac:dyDescent="0.2">
      <c r="S2298" s="61"/>
      <c r="T2298" s="82"/>
      <c r="W2298" s="103" t="str">
        <f t="shared" si="44"/>
        <v>1w</v>
      </c>
      <c r="X2298" s="101">
        <f>_xll.qlCalendarAdvance(Calendar,X2297,W2298,"f",FALSE)</f>
        <v>55415</v>
      </c>
      <c r="Y2298" s="104">
        <f>_xll.qlCalendarAdvance(Calendar,X2298,NDays&amp;"D")</f>
        <v>55417</v>
      </c>
      <c r="Z2298" s="105" t="e">
        <v>#N/A</v>
      </c>
      <c r="AA2298" s="102" t="e">
        <v>#N/A</v>
      </c>
    </row>
    <row r="2299" spans="19:27" x14ac:dyDescent="0.2">
      <c r="S2299" s="61"/>
      <c r="T2299" s="82"/>
      <c r="W2299" s="103" t="str">
        <f t="shared" si="44"/>
        <v>1w</v>
      </c>
      <c r="X2299" s="101">
        <f>_xll.qlCalendarAdvance(Calendar,X2298,W2299,"f",FALSE)</f>
        <v>55422</v>
      </c>
      <c r="Y2299" s="104">
        <f>_xll.qlCalendarAdvance(Calendar,X2299,NDays&amp;"D")</f>
        <v>55424</v>
      </c>
      <c r="Z2299" s="105" t="e">
        <v>#N/A</v>
      </c>
      <c r="AA2299" s="102" t="e">
        <v>#N/A</v>
      </c>
    </row>
    <row r="2300" spans="19:27" x14ac:dyDescent="0.2">
      <c r="S2300" s="61"/>
      <c r="T2300" s="82"/>
      <c r="W2300" s="103" t="str">
        <f t="shared" si="44"/>
        <v>1w</v>
      </c>
      <c r="X2300" s="101">
        <f>_xll.qlCalendarAdvance(Calendar,X2299,W2300,"f",FALSE)</f>
        <v>55429</v>
      </c>
      <c r="Y2300" s="104">
        <f>_xll.qlCalendarAdvance(Calendar,X2300,NDays&amp;"D")</f>
        <v>55431</v>
      </c>
      <c r="Z2300" s="105" t="e">
        <v>#N/A</v>
      </c>
      <c r="AA2300" s="102" t="e">
        <v>#N/A</v>
      </c>
    </row>
    <row r="2301" spans="19:27" x14ac:dyDescent="0.2">
      <c r="S2301" s="61"/>
      <c r="T2301" s="82"/>
      <c r="W2301" s="103" t="str">
        <f t="shared" si="44"/>
        <v>1w</v>
      </c>
      <c r="X2301" s="101">
        <f>_xll.qlCalendarAdvance(Calendar,X2300,W2301,"f",FALSE)</f>
        <v>55436</v>
      </c>
      <c r="Y2301" s="104">
        <f>_xll.qlCalendarAdvance(Calendar,X2301,NDays&amp;"D")</f>
        <v>55438</v>
      </c>
      <c r="Z2301" s="105" t="e">
        <v>#N/A</v>
      </c>
      <c r="AA2301" s="102" t="e">
        <v>#N/A</v>
      </c>
    </row>
    <row r="2302" spans="19:27" x14ac:dyDescent="0.2">
      <c r="S2302" s="61"/>
      <c r="T2302" s="82"/>
      <c r="W2302" s="103" t="str">
        <f t="shared" si="44"/>
        <v>1w</v>
      </c>
      <c r="X2302" s="101">
        <f>_xll.qlCalendarAdvance(Calendar,X2301,W2302,"f",FALSE)</f>
        <v>55443</v>
      </c>
      <c r="Y2302" s="104">
        <f>_xll.qlCalendarAdvance(Calendar,X2302,NDays&amp;"D")</f>
        <v>55445</v>
      </c>
      <c r="Z2302" s="105" t="e">
        <v>#N/A</v>
      </c>
      <c r="AA2302" s="102" t="e">
        <v>#N/A</v>
      </c>
    </row>
    <row r="2303" spans="19:27" x14ac:dyDescent="0.2">
      <c r="S2303" s="61"/>
      <c r="T2303" s="82"/>
      <c r="W2303" s="103" t="str">
        <f t="shared" si="44"/>
        <v>1w</v>
      </c>
      <c r="X2303" s="101">
        <f>_xll.qlCalendarAdvance(Calendar,X2302,W2303,"f",FALSE)</f>
        <v>55450</v>
      </c>
      <c r="Y2303" s="104">
        <f>_xll.qlCalendarAdvance(Calendar,X2303,NDays&amp;"D")</f>
        <v>55452</v>
      </c>
      <c r="Z2303" s="105" t="e">
        <v>#N/A</v>
      </c>
      <c r="AA2303" s="102" t="e">
        <v>#N/A</v>
      </c>
    </row>
    <row r="2304" spans="19:27" x14ac:dyDescent="0.2">
      <c r="S2304" s="61"/>
      <c r="T2304" s="82"/>
      <c r="W2304" s="103" t="str">
        <f t="shared" si="44"/>
        <v>1w</v>
      </c>
      <c r="X2304" s="101">
        <f>_xll.qlCalendarAdvance(Calendar,X2303,W2304,"f",FALSE)</f>
        <v>55457</v>
      </c>
      <c r="Y2304" s="104">
        <f>_xll.qlCalendarAdvance(Calendar,X2304,NDays&amp;"D")</f>
        <v>55459</v>
      </c>
      <c r="Z2304" s="105" t="e">
        <v>#N/A</v>
      </c>
      <c r="AA2304" s="102" t="e">
        <v>#N/A</v>
      </c>
    </row>
    <row r="2305" spans="19:27" x14ac:dyDescent="0.2">
      <c r="S2305" s="61"/>
      <c r="T2305" s="82"/>
      <c r="W2305" s="103" t="str">
        <f t="shared" si="44"/>
        <v>1w</v>
      </c>
      <c r="X2305" s="101">
        <f>_xll.qlCalendarAdvance(Calendar,X2304,W2305,"f",FALSE)</f>
        <v>55464</v>
      </c>
      <c r="Y2305" s="104">
        <f>_xll.qlCalendarAdvance(Calendar,X2305,NDays&amp;"D")</f>
        <v>55466</v>
      </c>
      <c r="Z2305" s="105" t="e">
        <v>#N/A</v>
      </c>
      <c r="AA2305" s="102" t="e">
        <v>#N/A</v>
      </c>
    </row>
    <row r="2306" spans="19:27" x14ac:dyDescent="0.2">
      <c r="S2306" s="61"/>
      <c r="T2306" s="82"/>
      <c r="W2306" s="103" t="str">
        <f t="shared" si="44"/>
        <v>1w</v>
      </c>
      <c r="X2306" s="101">
        <f>_xll.qlCalendarAdvance(Calendar,X2305,W2306,"f",FALSE)</f>
        <v>55471</v>
      </c>
      <c r="Y2306" s="104">
        <f>_xll.qlCalendarAdvance(Calendar,X2306,NDays&amp;"D")</f>
        <v>55473</v>
      </c>
      <c r="Z2306" s="105" t="e">
        <v>#N/A</v>
      </c>
      <c r="AA2306" s="102" t="e">
        <v>#N/A</v>
      </c>
    </row>
    <row r="2307" spans="19:27" x14ac:dyDescent="0.2">
      <c r="S2307" s="61"/>
      <c r="T2307" s="82"/>
      <c r="W2307" s="103" t="str">
        <f t="shared" si="44"/>
        <v>1w</v>
      </c>
      <c r="X2307" s="101">
        <f>_xll.qlCalendarAdvance(Calendar,X2306,W2307,"f",FALSE)</f>
        <v>55478</v>
      </c>
      <c r="Y2307" s="104">
        <f>_xll.qlCalendarAdvance(Calendar,X2307,NDays&amp;"D")</f>
        <v>55480</v>
      </c>
      <c r="Z2307" s="105" t="e">
        <v>#N/A</v>
      </c>
      <c r="AA2307" s="102" t="e">
        <v>#N/A</v>
      </c>
    </row>
    <row r="2308" spans="19:27" x14ac:dyDescent="0.2">
      <c r="S2308" s="61"/>
      <c r="T2308" s="82"/>
      <c r="W2308" s="103" t="str">
        <f t="shared" si="44"/>
        <v>1w</v>
      </c>
      <c r="X2308" s="101">
        <f>_xll.qlCalendarAdvance(Calendar,X2307,W2308,"f",FALSE)</f>
        <v>55485</v>
      </c>
      <c r="Y2308" s="104">
        <f>_xll.qlCalendarAdvance(Calendar,X2308,NDays&amp;"D")</f>
        <v>55487</v>
      </c>
      <c r="Z2308" s="105" t="e">
        <v>#N/A</v>
      </c>
      <c r="AA2308" s="102" t="e">
        <v>#N/A</v>
      </c>
    </row>
    <row r="2309" spans="19:27" x14ac:dyDescent="0.2">
      <c r="S2309" s="61"/>
      <c r="T2309" s="82"/>
      <c r="W2309" s="103" t="str">
        <f t="shared" si="44"/>
        <v>1w</v>
      </c>
      <c r="X2309" s="101">
        <f>_xll.qlCalendarAdvance(Calendar,X2308,W2309,"f",FALSE)</f>
        <v>55492</v>
      </c>
      <c r="Y2309" s="104">
        <f>_xll.qlCalendarAdvance(Calendar,X2309,NDays&amp;"D")</f>
        <v>55494</v>
      </c>
      <c r="Z2309" s="105" t="e">
        <v>#N/A</v>
      </c>
      <c r="AA2309" s="102" t="e">
        <v>#N/A</v>
      </c>
    </row>
    <row r="2310" spans="19:27" x14ac:dyDescent="0.2">
      <c r="S2310" s="61"/>
      <c r="T2310" s="82"/>
      <c r="W2310" s="103" t="str">
        <f t="shared" si="44"/>
        <v>1w</v>
      </c>
      <c r="X2310" s="101">
        <f>_xll.qlCalendarAdvance(Calendar,X2309,W2310,"f",FALSE)</f>
        <v>55499</v>
      </c>
      <c r="Y2310" s="104">
        <f>_xll.qlCalendarAdvance(Calendar,X2310,NDays&amp;"D")</f>
        <v>55501</v>
      </c>
      <c r="Z2310" s="105" t="e">
        <v>#N/A</v>
      </c>
      <c r="AA2310" s="102" t="e">
        <v>#N/A</v>
      </c>
    </row>
    <row r="2311" spans="19:27" x14ac:dyDescent="0.2">
      <c r="S2311" s="61"/>
      <c r="T2311" s="82"/>
      <c r="W2311" s="103" t="str">
        <f t="shared" si="44"/>
        <v>1w</v>
      </c>
      <c r="X2311" s="101">
        <f>_xll.qlCalendarAdvance(Calendar,X2310,W2311,"f",FALSE)</f>
        <v>55506</v>
      </c>
      <c r="Y2311" s="104">
        <f>_xll.qlCalendarAdvance(Calendar,X2311,NDays&amp;"D")</f>
        <v>55508</v>
      </c>
      <c r="Z2311" s="105" t="e">
        <v>#N/A</v>
      </c>
      <c r="AA2311" s="102" t="e">
        <v>#N/A</v>
      </c>
    </row>
    <row r="2312" spans="19:27" x14ac:dyDescent="0.2">
      <c r="S2312" s="61"/>
      <c r="T2312" s="82"/>
      <c r="W2312" s="103" t="str">
        <f t="shared" si="44"/>
        <v>1w</v>
      </c>
      <c r="X2312" s="101">
        <f>_xll.qlCalendarAdvance(Calendar,X2311,W2312,"f",FALSE)</f>
        <v>55514</v>
      </c>
      <c r="Y2312" s="104">
        <f>_xll.qlCalendarAdvance(Calendar,X2312,NDays&amp;"D")</f>
        <v>55516</v>
      </c>
      <c r="Z2312" s="105" t="e">
        <v>#N/A</v>
      </c>
      <c r="AA2312" s="102" t="e">
        <v>#N/A</v>
      </c>
    </row>
    <row r="2313" spans="19:27" x14ac:dyDescent="0.2">
      <c r="S2313" s="61"/>
      <c r="T2313" s="82"/>
      <c r="W2313" s="103" t="str">
        <f t="shared" si="44"/>
        <v>1w</v>
      </c>
      <c r="X2313" s="101">
        <f>_xll.qlCalendarAdvance(Calendar,X2312,W2313,"f",FALSE)</f>
        <v>55521</v>
      </c>
      <c r="Y2313" s="104">
        <f>_xll.qlCalendarAdvance(Calendar,X2313,NDays&amp;"D")</f>
        <v>55523</v>
      </c>
      <c r="Z2313" s="105" t="e">
        <v>#N/A</v>
      </c>
      <c r="AA2313" s="102" t="e">
        <v>#N/A</v>
      </c>
    </row>
    <row r="2314" spans="19:27" x14ac:dyDescent="0.2">
      <c r="S2314" s="61"/>
      <c r="T2314" s="82"/>
      <c r="W2314" s="103" t="str">
        <f t="shared" si="44"/>
        <v>1w</v>
      </c>
      <c r="X2314" s="101">
        <f>_xll.qlCalendarAdvance(Calendar,X2313,W2314,"f",FALSE)</f>
        <v>55528</v>
      </c>
      <c r="Y2314" s="104">
        <f>_xll.qlCalendarAdvance(Calendar,X2314,NDays&amp;"D")</f>
        <v>55530</v>
      </c>
      <c r="Z2314" s="105" t="e">
        <v>#N/A</v>
      </c>
      <c r="AA2314" s="102" t="e">
        <v>#N/A</v>
      </c>
    </row>
    <row r="2315" spans="19:27" x14ac:dyDescent="0.2">
      <c r="S2315" s="61"/>
      <c r="T2315" s="82"/>
      <c r="W2315" s="103" t="str">
        <f t="shared" si="44"/>
        <v>1w</v>
      </c>
      <c r="X2315" s="101">
        <f>_xll.qlCalendarAdvance(Calendar,X2314,W2315,"f",FALSE)</f>
        <v>55535</v>
      </c>
      <c r="Y2315" s="104">
        <f>_xll.qlCalendarAdvance(Calendar,X2315,NDays&amp;"D")</f>
        <v>55537</v>
      </c>
      <c r="Z2315" s="105" t="e">
        <v>#N/A</v>
      </c>
      <c r="AA2315" s="102" t="e">
        <v>#N/A</v>
      </c>
    </row>
    <row r="2316" spans="19:27" x14ac:dyDescent="0.2">
      <c r="S2316" s="61"/>
      <c r="T2316" s="82"/>
      <c r="W2316" s="103" t="str">
        <f t="shared" si="44"/>
        <v>1w</v>
      </c>
      <c r="X2316" s="101">
        <f>_xll.qlCalendarAdvance(Calendar,X2315,W2316,"f",FALSE)</f>
        <v>55542</v>
      </c>
      <c r="Y2316" s="104">
        <f>_xll.qlCalendarAdvance(Calendar,X2316,NDays&amp;"D")</f>
        <v>55544</v>
      </c>
      <c r="Z2316" s="105" t="e">
        <v>#N/A</v>
      </c>
      <c r="AA2316" s="102" t="e">
        <v>#N/A</v>
      </c>
    </row>
    <row r="2317" spans="19:27" x14ac:dyDescent="0.2">
      <c r="S2317" s="61"/>
      <c r="T2317" s="82"/>
      <c r="W2317" s="103" t="str">
        <f t="shared" si="44"/>
        <v>1w</v>
      </c>
      <c r="X2317" s="101">
        <f>_xll.qlCalendarAdvance(Calendar,X2316,W2317,"f",FALSE)</f>
        <v>55549</v>
      </c>
      <c r="Y2317" s="104">
        <f>_xll.qlCalendarAdvance(Calendar,X2317,NDays&amp;"D")</f>
        <v>55551</v>
      </c>
      <c r="Z2317" s="105" t="e">
        <v>#N/A</v>
      </c>
      <c r="AA2317" s="102" t="e">
        <v>#N/A</v>
      </c>
    </row>
    <row r="2318" spans="19:27" x14ac:dyDescent="0.2">
      <c r="S2318" s="61"/>
      <c r="T2318" s="82"/>
      <c r="W2318" s="103" t="str">
        <f t="shared" si="44"/>
        <v>1w</v>
      </c>
      <c r="X2318" s="101">
        <f>_xll.qlCalendarAdvance(Calendar,X2317,W2318,"f",FALSE)</f>
        <v>55556</v>
      </c>
      <c r="Y2318" s="104">
        <f>_xll.qlCalendarAdvance(Calendar,X2318,NDays&amp;"D")</f>
        <v>55558</v>
      </c>
      <c r="Z2318" s="105" t="e">
        <v>#N/A</v>
      </c>
      <c r="AA2318" s="102" t="e">
        <v>#N/A</v>
      </c>
    </row>
    <row r="2319" spans="19:27" x14ac:dyDescent="0.2">
      <c r="S2319" s="61"/>
      <c r="T2319" s="82"/>
      <c r="W2319" s="103" t="str">
        <f t="shared" si="44"/>
        <v>1w</v>
      </c>
      <c r="X2319" s="101">
        <f>_xll.qlCalendarAdvance(Calendar,X2318,W2319,"f",FALSE)</f>
        <v>55563</v>
      </c>
      <c r="Y2319" s="104">
        <f>_xll.qlCalendarAdvance(Calendar,X2319,NDays&amp;"D")</f>
        <v>55565</v>
      </c>
      <c r="Z2319" s="105" t="e">
        <v>#N/A</v>
      </c>
      <c r="AA2319" s="102" t="e">
        <v>#N/A</v>
      </c>
    </row>
    <row r="2320" spans="19:27" x14ac:dyDescent="0.2">
      <c r="S2320" s="61"/>
      <c r="T2320" s="82"/>
      <c r="W2320" s="103" t="str">
        <f t="shared" si="44"/>
        <v>1w</v>
      </c>
      <c r="X2320" s="101">
        <f>_xll.qlCalendarAdvance(Calendar,X2319,W2320,"f",FALSE)</f>
        <v>55570</v>
      </c>
      <c r="Y2320" s="104">
        <f>_xll.qlCalendarAdvance(Calendar,X2320,NDays&amp;"D")</f>
        <v>55572</v>
      </c>
      <c r="Z2320" s="105" t="e">
        <v>#N/A</v>
      </c>
      <c r="AA2320" s="102" t="e">
        <v>#N/A</v>
      </c>
    </row>
    <row r="2321" spans="19:27" x14ac:dyDescent="0.2">
      <c r="S2321" s="61"/>
      <c r="T2321" s="82"/>
      <c r="W2321" s="103" t="str">
        <f t="shared" si="44"/>
        <v>1w</v>
      </c>
      <c r="X2321" s="101">
        <f>_xll.qlCalendarAdvance(Calendar,X2320,W2321,"f",FALSE)</f>
        <v>55577</v>
      </c>
      <c r="Y2321" s="104">
        <f>_xll.qlCalendarAdvance(Calendar,X2321,NDays&amp;"D")</f>
        <v>55579</v>
      </c>
      <c r="Z2321" s="105" t="e">
        <v>#N/A</v>
      </c>
      <c r="AA2321" s="102" t="e">
        <v>#N/A</v>
      </c>
    </row>
    <row r="2322" spans="19:27" x14ac:dyDescent="0.2">
      <c r="S2322" s="61"/>
      <c r="T2322" s="82"/>
      <c r="W2322" s="103" t="str">
        <f t="shared" si="44"/>
        <v>1w</v>
      </c>
      <c r="X2322" s="101">
        <f>_xll.qlCalendarAdvance(Calendar,X2321,W2322,"f",FALSE)</f>
        <v>55584</v>
      </c>
      <c r="Y2322" s="104">
        <f>_xll.qlCalendarAdvance(Calendar,X2322,NDays&amp;"D")</f>
        <v>55586</v>
      </c>
      <c r="Z2322" s="105" t="e">
        <v>#N/A</v>
      </c>
      <c r="AA2322" s="102" t="e">
        <v>#N/A</v>
      </c>
    </row>
    <row r="2323" spans="19:27" x14ac:dyDescent="0.2">
      <c r="S2323" s="61"/>
      <c r="T2323" s="82"/>
      <c r="W2323" s="103" t="str">
        <f t="shared" si="44"/>
        <v>1w</v>
      </c>
      <c r="X2323" s="101">
        <f>_xll.qlCalendarAdvance(Calendar,X2322,W2323,"f",FALSE)</f>
        <v>55591</v>
      </c>
      <c r="Y2323" s="104">
        <f>_xll.qlCalendarAdvance(Calendar,X2323,NDays&amp;"D")</f>
        <v>55593</v>
      </c>
      <c r="Z2323" s="105" t="e">
        <v>#N/A</v>
      </c>
      <c r="AA2323" s="102" t="e">
        <v>#N/A</v>
      </c>
    </row>
    <row r="2324" spans="19:27" x14ac:dyDescent="0.2">
      <c r="S2324" s="61"/>
      <c r="T2324" s="82"/>
      <c r="W2324" s="103" t="str">
        <f t="shared" si="44"/>
        <v>1w</v>
      </c>
      <c r="X2324" s="101">
        <f>_xll.qlCalendarAdvance(Calendar,X2323,W2324,"f",FALSE)</f>
        <v>55598</v>
      </c>
      <c r="Y2324" s="104">
        <f>_xll.qlCalendarAdvance(Calendar,X2324,NDays&amp;"D")</f>
        <v>55600</v>
      </c>
      <c r="Z2324" s="105" t="e">
        <v>#N/A</v>
      </c>
      <c r="AA2324" s="102" t="e">
        <v>#N/A</v>
      </c>
    </row>
    <row r="2325" spans="19:27" x14ac:dyDescent="0.2">
      <c r="S2325" s="61"/>
      <c r="T2325" s="82"/>
      <c r="W2325" s="103" t="str">
        <f t="shared" ref="W2325:W2388" si="45">W2324</f>
        <v>1w</v>
      </c>
      <c r="X2325" s="101">
        <f>_xll.qlCalendarAdvance(Calendar,X2324,W2325,"f",FALSE)</f>
        <v>55605</v>
      </c>
      <c r="Y2325" s="104">
        <f>_xll.qlCalendarAdvance(Calendar,X2325,NDays&amp;"D")</f>
        <v>55607</v>
      </c>
      <c r="Z2325" s="105" t="e">
        <v>#N/A</v>
      </c>
      <c r="AA2325" s="102" t="e">
        <v>#N/A</v>
      </c>
    </row>
    <row r="2326" spans="19:27" x14ac:dyDescent="0.2">
      <c r="S2326" s="61"/>
      <c r="T2326" s="82"/>
      <c r="W2326" s="103" t="str">
        <f t="shared" si="45"/>
        <v>1w</v>
      </c>
      <c r="X2326" s="101">
        <f>_xll.qlCalendarAdvance(Calendar,X2325,W2326,"f",FALSE)</f>
        <v>55612</v>
      </c>
      <c r="Y2326" s="104">
        <f>_xll.qlCalendarAdvance(Calendar,X2326,NDays&amp;"D")</f>
        <v>55614</v>
      </c>
      <c r="Z2326" s="105" t="e">
        <v>#N/A</v>
      </c>
      <c r="AA2326" s="102" t="e">
        <v>#N/A</v>
      </c>
    </row>
    <row r="2327" spans="19:27" x14ac:dyDescent="0.2">
      <c r="S2327" s="61"/>
      <c r="T2327" s="82"/>
      <c r="W2327" s="103" t="str">
        <f t="shared" si="45"/>
        <v>1w</v>
      </c>
      <c r="X2327" s="101">
        <f>_xll.qlCalendarAdvance(Calendar,X2326,W2327,"f",FALSE)</f>
        <v>55619</v>
      </c>
      <c r="Y2327" s="104">
        <f>_xll.qlCalendarAdvance(Calendar,X2327,NDays&amp;"D")</f>
        <v>55621</v>
      </c>
      <c r="Z2327" s="105" t="e">
        <v>#N/A</v>
      </c>
      <c r="AA2327" s="102" t="e">
        <v>#N/A</v>
      </c>
    </row>
    <row r="2328" spans="19:27" x14ac:dyDescent="0.2">
      <c r="S2328" s="61"/>
      <c r="T2328" s="82"/>
      <c r="W2328" s="103" t="str">
        <f t="shared" si="45"/>
        <v>1w</v>
      </c>
      <c r="X2328" s="101">
        <f>_xll.qlCalendarAdvance(Calendar,X2327,W2328,"f",FALSE)</f>
        <v>55626</v>
      </c>
      <c r="Y2328" s="104">
        <f>_xll.qlCalendarAdvance(Calendar,X2328,NDays&amp;"D")</f>
        <v>55632</v>
      </c>
      <c r="Z2328" s="105" t="e">
        <v>#N/A</v>
      </c>
      <c r="AA2328" s="102" t="e">
        <v>#N/A</v>
      </c>
    </row>
    <row r="2329" spans="19:27" x14ac:dyDescent="0.2">
      <c r="S2329" s="61"/>
      <c r="T2329" s="82"/>
      <c r="W2329" s="103" t="str">
        <f t="shared" si="45"/>
        <v>1w</v>
      </c>
      <c r="X2329" s="101">
        <f>_xll.qlCalendarAdvance(Calendar,X2328,W2329,"f",FALSE)</f>
        <v>55633</v>
      </c>
      <c r="Y2329" s="104">
        <f>_xll.qlCalendarAdvance(Calendar,X2329,NDays&amp;"D")</f>
        <v>55635</v>
      </c>
      <c r="Z2329" s="105" t="e">
        <v>#N/A</v>
      </c>
      <c r="AA2329" s="102" t="e">
        <v>#N/A</v>
      </c>
    </row>
    <row r="2330" spans="19:27" x14ac:dyDescent="0.2">
      <c r="S2330" s="61"/>
      <c r="T2330" s="82"/>
      <c r="W2330" s="103" t="str">
        <f t="shared" si="45"/>
        <v>1w</v>
      </c>
      <c r="X2330" s="101">
        <f>_xll.qlCalendarAdvance(Calendar,X2329,W2330,"f",FALSE)</f>
        <v>55641</v>
      </c>
      <c r="Y2330" s="104">
        <f>_xll.qlCalendarAdvance(Calendar,X2330,NDays&amp;"D")</f>
        <v>55645</v>
      </c>
      <c r="Z2330" s="105" t="e">
        <v>#N/A</v>
      </c>
      <c r="AA2330" s="102" t="e">
        <v>#N/A</v>
      </c>
    </row>
    <row r="2331" spans="19:27" x14ac:dyDescent="0.2">
      <c r="S2331" s="61"/>
      <c r="T2331" s="82"/>
      <c r="W2331" s="103" t="str">
        <f t="shared" si="45"/>
        <v>1w</v>
      </c>
      <c r="X2331" s="101">
        <f>_xll.qlCalendarAdvance(Calendar,X2330,W2331,"f",FALSE)</f>
        <v>55648</v>
      </c>
      <c r="Y2331" s="104">
        <f>_xll.qlCalendarAdvance(Calendar,X2331,NDays&amp;"D")</f>
        <v>55652</v>
      </c>
      <c r="Z2331" s="105" t="e">
        <v>#N/A</v>
      </c>
      <c r="AA2331" s="102" t="e">
        <v>#N/A</v>
      </c>
    </row>
    <row r="2332" spans="19:27" x14ac:dyDescent="0.2">
      <c r="S2332" s="61"/>
      <c r="T2332" s="82"/>
      <c r="W2332" s="103" t="str">
        <f t="shared" si="45"/>
        <v>1w</v>
      </c>
      <c r="X2332" s="101">
        <f>_xll.qlCalendarAdvance(Calendar,X2331,W2332,"f",FALSE)</f>
        <v>55655</v>
      </c>
      <c r="Y2332" s="104">
        <f>_xll.qlCalendarAdvance(Calendar,X2332,NDays&amp;"D")</f>
        <v>55659</v>
      </c>
      <c r="Z2332" s="105" t="e">
        <v>#N/A</v>
      </c>
      <c r="AA2332" s="102" t="e">
        <v>#N/A</v>
      </c>
    </row>
    <row r="2333" spans="19:27" x14ac:dyDescent="0.2">
      <c r="S2333" s="61"/>
      <c r="T2333" s="82"/>
      <c r="W2333" s="103" t="str">
        <f t="shared" si="45"/>
        <v>1w</v>
      </c>
      <c r="X2333" s="101">
        <f>_xll.qlCalendarAdvance(Calendar,X2332,W2333,"f",FALSE)</f>
        <v>55662</v>
      </c>
      <c r="Y2333" s="104">
        <f>_xll.qlCalendarAdvance(Calendar,X2333,NDays&amp;"D")</f>
        <v>55666</v>
      </c>
      <c r="Z2333" s="105" t="e">
        <v>#N/A</v>
      </c>
      <c r="AA2333" s="102" t="e">
        <v>#N/A</v>
      </c>
    </row>
    <row r="2334" spans="19:27" x14ac:dyDescent="0.2">
      <c r="S2334" s="61"/>
      <c r="T2334" s="82"/>
      <c r="W2334" s="103" t="str">
        <f t="shared" si="45"/>
        <v>1w</v>
      </c>
      <c r="X2334" s="101">
        <f>_xll.qlCalendarAdvance(Calendar,X2333,W2334,"f",FALSE)</f>
        <v>55670</v>
      </c>
      <c r="Y2334" s="104">
        <f>_xll.qlCalendarAdvance(Calendar,X2334,NDays&amp;"D")</f>
        <v>55674</v>
      </c>
      <c r="Z2334" s="105" t="e">
        <v>#N/A</v>
      </c>
      <c r="AA2334" s="102" t="e">
        <v>#N/A</v>
      </c>
    </row>
    <row r="2335" spans="19:27" x14ac:dyDescent="0.2">
      <c r="S2335" s="61"/>
      <c r="T2335" s="82"/>
      <c r="W2335" s="103" t="str">
        <f t="shared" si="45"/>
        <v>1w</v>
      </c>
      <c r="X2335" s="101">
        <f>_xll.qlCalendarAdvance(Calendar,X2334,W2335,"f",FALSE)</f>
        <v>55677</v>
      </c>
      <c r="Y2335" s="104">
        <f>_xll.qlCalendarAdvance(Calendar,X2335,NDays&amp;"D")</f>
        <v>55682</v>
      </c>
      <c r="Z2335" s="105" t="e">
        <v>#N/A</v>
      </c>
      <c r="AA2335" s="102" t="e">
        <v>#N/A</v>
      </c>
    </row>
    <row r="2336" spans="19:27" x14ac:dyDescent="0.2">
      <c r="S2336" s="61"/>
      <c r="T2336" s="82"/>
      <c r="W2336" s="103" t="str">
        <f t="shared" si="45"/>
        <v>1w</v>
      </c>
      <c r="X2336" s="101">
        <f>_xll.qlCalendarAdvance(Calendar,X2335,W2336,"f",FALSE)</f>
        <v>55684</v>
      </c>
      <c r="Y2336" s="104">
        <f>_xll.qlCalendarAdvance(Calendar,X2336,NDays&amp;"D")</f>
        <v>55688</v>
      </c>
      <c r="Z2336" s="105" t="e">
        <v>#N/A</v>
      </c>
      <c r="AA2336" s="102" t="e">
        <v>#N/A</v>
      </c>
    </row>
    <row r="2337" spans="19:27" x14ac:dyDescent="0.2">
      <c r="S2337" s="61"/>
      <c r="T2337" s="82"/>
      <c r="W2337" s="103" t="str">
        <f t="shared" si="45"/>
        <v>1w</v>
      </c>
      <c r="X2337" s="101">
        <f>_xll.qlCalendarAdvance(Calendar,X2336,W2337,"f",FALSE)</f>
        <v>55694</v>
      </c>
      <c r="Y2337" s="104">
        <f>_xll.qlCalendarAdvance(Calendar,X2337,NDays&amp;"D")</f>
        <v>55696</v>
      </c>
      <c r="Z2337" s="105" t="e">
        <v>#N/A</v>
      </c>
      <c r="AA2337" s="102" t="e">
        <v>#N/A</v>
      </c>
    </row>
    <row r="2338" spans="19:27" x14ac:dyDescent="0.2">
      <c r="S2338" s="61"/>
      <c r="T2338" s="82"/>
      <c r="W2338" s="103" t="str">
        <f t="shared" si="45"/>
        <v>1w</v>
      </c>
      <c r="X2338" s="101">
        <f>_xll.qlCalendarAdvance(Calendar,X2337,W2338,"f",FALSE)</f>
        <v>55701</v>
      </c>
      <c r="Y2338" s="104">
        <f>_xll.qlCalendarAdvance(Calendar,X2338,NDays&amp;"D")</f>
        <v>55703</v>
      </c>
      <c r="Z2338" s="105" t="e">
        <v>#N/A</v>
      </c>
      <c r="AA2338" s="102" t="e">
        <v>#N/A</v>
      </c>
    </row>
    <row r="2339" spans="19:27" x14ac:dyDescent="0.2">
      <c r="S2339" s="61"/>
      <c r="T2339" s="82"/>
      <c r="W2339" s="103" t="str">
        <f t="shared" si="45"/>
        <v>1w</v>
      </c>
      <c r="X2339" s="101">
        <f>_xll.qlCalendarAdvance(Calendar,X2338,W2339,"f",FALSE)</f>
        <v>55708</v>
      </c>
      <c r="Y2339" s="104">
        <f>_xll.qlCalendarAdvance(Calendar,X2339,NDays&amp;"D")</f>
        <v>55710</v>
      </c>
      <c r="Z2339" s="105" t="e">
        <v>#N/A</v>
      </c>
      <c r="AA2339" s="102" t="e">
        <v>#N/A</v>
      </c>
    </row>
    <row r="2340" spans="19:27" x14ac:dyDescent="0.2">
      <c r="S2340" s="61"/>
      <c r="T2340" s="82"/>
      <c r="W2340" s="103" t="str">
        <f t="shared" si="45"/>
        <v>1w</v>
      </c>
      <c r="X2340" s="101">
        <f>_xll.qlCalendarAdvance(Calendar,X2339,W2340,"f",FALSE)</f>
        <v>55715</v>
      </c>
      <c r="Y2340" s="104">
        <f>_xll.qlCalendarAdvance(Calendar,X2340,NDays&amp;"D")</f>
        <v>55717</v>
      </c>
      <c r="Z2340" s="105" t="e">
        <v>#N/A</v>
      </c>
      <c r="AA2340" s="102" t="e">
        <v>#N/A</v>
      </c>
    </row>
    <row r="2341" spans="19:27" x14ac:dyDescent="0.2">
      <c r="S2341" s="61"/>
      <c r="T2341" s="82"/>
      <c r="W2341" s="103" t="str">
        <f t="shared" si="45"/>
        <v>1w</v>
      </c>
      <c r="X2341" s="101">
        <f>_xll.qlCalendarAdvance(Calendar,X2340,W2341,"f",FALSE)</f>
        <v>55722</v>
      </c>
      <c r="Y2341" s="104">
        <f>_xll.qlCalendarAdvance(Calendar,X2341,NDays&amp;"D")</f>
        <v>55724</v>
      </c>
      <c r="Z2341" s="105" t="e">
        <v>#N/A</v>
      </c>
      <c r="AA2341" s="102" t="e">
        <v>#N/A</v>
      </c>
    </row>
    <row r="2342" spans="19:27" x14ac:dyDescent="0.2">
      <c r="S2342" s="61"/>
      <c r="T2342" s="82"/>
      <c r="W2342" s="103" t="str">
        <f t="shared" si="45"/>
        <v>1w</v>
      </c>
      <c r="X2342" s="101">
        <f>_xll.qlCalendarAdvance(Calendar,X2341,W2342,"f",FALSE)</f>
        <v>55729</v>
      </c>
      <c r="Y2342" s="104">
        <f>_xll.qlCalendarAdvance(Calendar,X2342,NDays&amp;"D")</f>
        <v>55731</v>
      </c>
      <c r="Z2342" s="105" t="e">
        <v>#N/A</v>
      </c>
      <c r="AA2342" s="102" t="e">
        <v>#N/A</v>
      </c>
    </row>
    <row r="2343" spans="19:27" x14ac:dyDescent="0.2">
      <c r="S2343" s="61"/>
      <c r="T2343" s="82"/>
      <c r="W2343" s="103" t="str">
        <f t="shared" si="45"/>
        <v>1w</v>
      </c>
      <c r="X2343" s="101">
        <f>_xll.qlCalendarAdvance(Calendar,X2342,W2343,"f",FALSE)</f>
        <v>55736</v>
      </c>
      <c r="Y2343" s="104">
        <f>_xll.qlCalendarAdvance(Calendar,X2343,NDays&amp;"D")</f>
        <v>55738</v>
      </c>
      <c r="Z2343" s="105" t="e">
        <v>#N/A</v>
      </c>
      <c r="AA2343" s="102" t="e">
        <v>#N/A</v>
      </c>
    </row>
    <row r="2344" spans="19:27" x14ac:dyDescent="0.2">
      <c r="S2344" s="61"/>
      <c r="T2344" s="82"/>
      <c r="W2344" s="103" t="str">
        <f t="shared" si="45"/>
        <v>1w</v>
      </c>
      <c r="X2344" s="101">
        <f>_xll.qlCalendarAdvance(Calendar,X2343,W2344,"f",FALSE)</f>
        <v>55743</v>
      </c>
      <c r="Y2344" s="104">
        <f>_xll.qlCalendarAdvance(Calendar,X2344,NDays&amp;"D")</f>
        <v>55745</v>
      </c>
      <c r="Z2344" s="105" t="e">
        <v>#N/A</v>
      </c>
      <c r="AA2344" s="102" t="e">
        <v>#N/A</v>
      </c>
    </row>
    <row r="2345" spans="19:27" x14ac:dyDescent="0.2">
      <c r="S2345" s="61"/>
      <c r="T2345" s="82"/>
      <c r="W2345" s="103" t="str">
        <f t="shared" si="45"/>
        <v>1w</v>
      </c>
      <c r="X2345" s="101">
        <f>_xll.qlCalendarAdvance(Calendar,X2344,W2345,"f",FALSE)</f>
        <v>55750</v>
      </c>
      <c r="Y2345" s="104">
        <f>_xll.qlCalendarAdvance(Calendar,X2345,NDays&amp;"D")</f>
        <v>55752</v>
      </c>
      <c r="Z2345" s="105" t="e">
        <v>#N/A</v>
      </c>
      <c r="AA2345" s="102" t="e">
        <v>#N/A</v>
      </c>
    </row>
    <row r="2346" spans="19:27" x14ac:dyDescent="0.2">
      <c r="S2346" s="61"/>
      <c r="T2346" s="82"/>
      <c r="W2346" s="103" t="str">
        <f t="shared" si="45"/>
        <v>1w</v>
      </c>
      <c r="X2346" s="101">
        <f>_xll.qlCalendarAdvance(Calendar,X2345,W2346,"f",FALSE)</f>
        <v>55757</v>
      </c>
      <c r="Y2346" s="104">
        <f>_xll.qlCalendarAdvance(Calendar,X2346,NDays&amp;"D")</f>
        <v>55759</v>
      </c>
      <c r="Z2346" s="105" t="e">
        <v>#N/A</v>
      </c>
      <c r="AA2346" s="102" t="e">
        <v>#N/A</v>
      </c>
    </row>
    <row r="2347" spans="19:27" x14ac:dyDescent="0.2">
      <c r="S2347" s="61"/>
      <c r="T2347" s="82"/>
      <c r="W2347" s="103" t="str">
        <f t="shared" si="45"/>
        <v>1w</v>
      </c>
      <c r="X2347" s="101">
        <f>_xll.qlCalendarAdvance(Calendar,X2346,W2347,"f",FALSE)</f>
        <v>55764</v>
      </c>
      <c r="Y2347" s="104">
        <f>_xll.qlCalendarAdvance(Calendar,X2347,NDays&amp;"D")</f>
        <v>55766</v>
      </c>
      <c r="Z2347" s="105" t="e">
        <v>#N/A</v>
      </c>
      <c r="AA2347" s="102" t="e">
        <v>#N/A</v>
      </c>
    </row>
    <row r="2348" spans="19:27" x14ac:dyDescent="0.2">
      <c r="S2348" s="61"/>
      <c r="T2348" s="82"/>
      <c r="W2348" s="103" t="str">
        <f t="shared" si="45"/>
        <v>1w</v>
      </c>
      <c r="X2348" s="101">
        <f>_xll.qlCalendarAdvance(Calendar,X2347,W2348,"f",FALSE)</f>
        <v>55771</v>
      </c>
      <c r="Y2348" s="104">
        <f>_xll.qlCalendarAdvance(Calendar,X2348,NDays&amp;"D")</f>
        <v>55773</v>
      </c>
      <c r="Z2348" s="105" t="e">
        <v>#N/A</v>
      </c>
      <c r="AA2348" s="102" t="e">
        <v>#N/A</v>
      </c>
    </row>
    <row r="2349" spans="19:27" x14ac:dyDescent="0.2">
      <c r="S2349" s="61"/>
      <c r="T2349" s="82"/>
      <c r="W2349" s="103" t="str">
        <f t="shared" si="45"/>
        <v>1w</v>
      </c>
      <c r="X2349" s="101">
        <f>_xll.qlCalendarAdvance(Calendar,X2348,W2349,"f",FALSE)</f>
        <v>55778</v>
      </c>
      <c r="Y2349" s="104">
        <f>_xll.qlCalendarAdvance(Calendar,X2349,NDays&amp;"D")</f>
        <v>55780</v>
      </c>
      <c r="Z2349" s="105" t="e">
        <v>#N/A</v>
      </c>
      <c r="AA2349" s="102" t="e">
        <v>#N/A</v>
      </c>
    </row>
    <row r="2350" spans="19:27" x14ac:dyDescent="0.2">
      <c r="S2350" s="61"/>
      <c r="T2350" s="82"/>
      <c r="W2350" s="103" t="str">
        <f t="shared" si="45"/>
        <v>1w</v>
      </c>
      <c r="X2350" s="101">
        <f>_xll.qlCalendarAdvance(Calendar,X2349,W2350,"f",FALSE)</f>
        <v>55785</v>
      </c>
      <c r="Y2350" s="104">
        <f>_xll.qlCalendarAdvance(Calendar,X2350,NDays&amp;"D")</f>
        <v>55787</v>
      </c>
      <c r="Z2350" s="105" t="e">
        <v>#N/A</v>
      </c>
      <c r="AA2350" s="102" t="e">
        <v>#N/A</v>
      </c>
    </row>
    <row r="2351" spans="19:27" x14ac:dyDescent="0.2">
      <c r="S2351" s="61"/>
      <c r="T2351" s="82"/>
      <c r="W2351" s="103" t="str">
        <f t="shared" si="45"/>
        <v>1w</v>
      </c>
      <c r="X2351" s="101">
        <f>_xll.qlCalendarAdvance(Calendar,X2350,W2351,"f",FALSE)</f>
        <v>55792</v>
      </c>
      <c r="Y2351" s="104">
        <f>_xll.qlCalendarAdvance(Calendar,X2351,NDays&amp;"D")</f>
        <v>55794</v>
      </c>
      <c r="Z2351" s="105" t="e">
        <v>#N/A</v>
      </c>
      <c r="AA2351" s="102" t="e">
        <v>#N/A</v>
      </c>
    </row>
    <row r="2352" spans="19:27" x14ac:dyDescent="0.2">
      <c r="S2352" s="61"/>
      <c r="T2352" s="82"/>
      <c r="W2352" s="103" t="str">
        <f t="shared" si="45"/>
        <v>1w</v>
      </c>
      <c r="X2352" s="101">
        <f>_xll.qlCalendarAdvance(Calendar,X2351,W2352,"f",FALSE)</f>
        <v>55799</v>
      </c>
      <c r="Y2352" s="104">
        <f>_xll.qlCalendarAdvance(Calendar,X2352,NDays&amp;"D")</f>
        <v>55801</v>
      </c>
      <c r="Z2352" s="105" t="e">
        <v>#N/A</v>
      </c>
      <c r="AA2352" s="102" t="e">
        <v>#N/A</v>
      </c>
    </row>
    <row r="2353" spans="19:27" x14ac:dyDescent="0.2">
      <c r="S2353" s="61"/>
      <c r="T2353" s="82"/>
      <c r="W2353" s="103" t="str">
        <f t="shared" si="45"/>
        <v>1w</v>
      </c>
      <c r="X2353" s="101">
        <f>_xll.qlCalendarAdvance(Calendar,X2352,W2353,"f",FALSE)</f>
        <v>55806</v>
      </c>
      <c r="Y2353" s="104">
        <f>_xll.qlCalendarAdvance(Calendar,X2353,NDays&amp;"D")</f>
        <v>55808</v>
      </c>
      <c r="Z2353" s="105" t="e">
        <v>#N/A</v>
      </c>
      <c r="AA2353" s="102" t="e">
        <v>#N/A</v>
      </c>
    </row>
    <row r="2354" spans="19:27" x14ac:dyDescent="0.2">
      <c r="S2354" s="61"/>
      <c r="T2354" s="82"/>
      <c r="W2354" s="103" t="str">
        <f t="shared" si="45"/>
        <v>1w</v>
      </c>
      <c r="X2354" s="101">
        <f>_xll.qlCalendarAdvance(Calendar,X2353,W2354,"f",FALSE)</f>
        <v>55813</v>
      </c>
      <c r="Y2354" s="104">
        <f>_xll.qlCalendarAdvance(Calendar,X2354,NDays&amp;"D")</f>
        <v>55815</v>
      </c>
      <c r="Z2354" s="105" t="e">
        <v>#N/A</v>
      </c>
      <c r="AA2354" s="102" t="e">
        <v>#N/A</v>
      </c>
    </row>
    <row r="2355" spans="19:27" x14ac:dyDescent="0.2">
      <c r="S2355" s="61"/>
      <c r="T2355" s="82"/>
      <c r="W2355" s="103" t="str">
        <f t="shared" si="45"/>
        <v>1w</v>
      </c>
      <c r="X2355" s="101">
        <f>_xll.qlCalendarAdvance(Calendar,X2354,W2355,"f",FALSE)</f>
        <v>55820</v>
      </c>
      <c r="Y2355" s="104">
        <f>_xll.qlCalendarAdvance(Calendar,X2355,NDays&amp;"D")</f>
        <v>55822</v>
      </c>
      <c r="Z2355" s="105" t="e">
        <v>#N/A</v>
      </c>
      <c r="AA2355" s="102" t="e">
        <v>#N/A</v>
      </c>
    </row>
    <row r="2356" spans="19:27" x14ac:dyDescent="0.2">
      <c r="S2356" s="61"/>
      <c r="T2356" s="82"/>
      <c r="W2356" s="103" t="str">
        <f t="shared" si="45"/>
        <v>1w</v>
      </c>
      <c r="X2356" s="101">
        <f>_xll.qlCalendarAdvance(Calendar,X2355,W2356,"f",FALSE)</f>
        <v>55827</v>
      </c>
      <c r="Y2356" s="104">
        <f>_xll.qlCalendarAdvance(Calendar,X2356,NDays&amp;"D")</f>
        <v>55829</v>
      </c>
      <c r="Z2356" s="105" t="e">
        <v>#N/A</v>
      </c>
      <c r="AA2356" s="102" t="e">
        <v>#N/A</v>
      </c>
    </row>
    <row r="2357" spans="19:27" x14ac:dyDescent="0.2">
      <c r="S2357" s="61"/>
      <c r="T2357" s="82"/>
      <c r="W2357" s="103" t="str">
        <f t="shared" si="45"/>
        <v>1w</v>
      </c>
      <c r="X2357" s="101">
        <f>_xll.qlCalendarAdvance(Calendar,X2356,W2357,"f",FALSE)</f>
        <v>55834</v>
      </c>
      <c r="Y2357" s="104">
        <f>_xll.qlCalendarAdvance(Calendar,X2357,NDays&amp;"D")</f>
        <v>55836</v>
      </c>
      <c r="Z2357" s="105" t="e">
        <v>#N/A</v>
      </c>
      <c r="AA2357" s="102" t="e">
        <v>#N/A</v>
      </c>
    </row>
    <row r="2358" spans="19:27" x14ac:dyDescent="0.2">
      <c r="S2358" s="61"/>
      <c r="T2358" s="82"/>
      <c r="W2358" s="103" t="str">
        <f t="shared" si="45"/>
        <v>1w</v>
      </c>
      <c r="X2358" s="101">
        <f>_xll.qlCalendarAdvance(Calendar,X2357,W2358,"f",FALSE)</f>
        <v>55841</v>
      </c>
      <c r="Y2358" s="104">
        <f>_xll.qlCalendarAdvance(Calendar,X2358,NDays&amp;"D")</f>
        <v>55843</v>
      </c>
      <c r="Z2358" s="105" t="e">
        <v>#N/A</v>
      </c>
      <c r="AA2358" s="102" t="e">
        <v>#N/A</v>
      </c>
    </row>
    <row r="2359" spans="19:27" x14ac:dyDescent="0.2">
      <c r="S2359" s="61"/>
      <c r="T2359" s="82"/>
      <c r="W2359" s="103" t="str">
        <f t="shared" si="45"/>
        <v>1w</v>
      </c>
      <c r="X2359" s="101">
        <f>_xll.qlCalendarAdvance(Calendar,X2358,W2359,"f",FALSE)</f>
        <v>55848</v>
      </c>
      <c r="Y2359" s="104">
        <f>_xll.qlCalendarAdvance(Calendar,X2359,NDays&amp;"D")</f>
        <v>55850</v>
      </c>
      <c r="Z2359" s="105" t="e">
        <v>#N/A</v>
      </c>
      <c r="AA2359" s="102" t="e">
        <v>#N/A</v>
      </c>
    </row>
    <row r="2360" spans="19:27" x14ac:dyDescent="0.2">
      <c r="S2360" s="61"/>
      <c r="T2360" s="82"/>
      <c r="W2360" s="103" t="str">
        <f t="shared" si="45"/>
        <v>1w</v>
      </c>
      <c r="X2360" s="101">
        <f>_xll.qlCalendarAdvance(Calendar,X2359,W2360,"f",FALSE)</f>
        <v>55855</v>
      </c>
      <c r="Y2360" s="104">
        <f>_xll.qlCalendarAdvance(Calendar,X2360,NDays&amp;"D")</f>
        <v>55857</v>
      </c>
      <c r="Z2360" s="105" t="e">
        <v>#N/A</v>
      </c>
      <c r="AA2360" s="102" t="e">
        <v>#N/A</v>
      </c>
    </row>
    <row r="2361" spans="19:27" x14ac:dyDescent="0.2">
      <c r="S2361" s="61"/>
      <c r="T2361" s="82"/>
      <c r="W2361" s="103" t="str">
        <f t="shared" si="45"/>
        <v>1w</v>
      </c>
      <c r="X2361" s="101">
        <f>_xll.qlCalendarAdvance(Calendar,X2360,W2361,"f",FALSE)</f>
        <v>55862</v>
      </c>
      <c r="Y2361" s="104">
        <f>_xll.qlCalendarAdvance(Calendar,X2361,NDays&amp;"D")</f>
        <v>55864</v>
      </c>
      <c r="Z2361" s="105" t="e">
        <v>#N/A</v>
      </c>
      <c r="AA2361" s="102" t="e">
        <v>#N/A</v>
      </c>
    </row>
    <row r="2362" spans="19:27" x14ac:dyDescent="0.2">
      <c r="S2362" s="61"/>
      <c r="T2362" s="82"/>
      <c r="W2362" s="103" t="str">
        <f t="shared" si="45"/>
        <v>1w</v>
      </c>
      <c r="X2362" s="101">
        <f>_xll.qlCalendarAdvance(Calendar,X2361,W2362,"f",FALSE)</f>
        <v>55869</v>
      </c>
      <c r="Y2362" s="104">
        <f>_xll.qlCalendarAdvance(Calendar,X2362,NDays&amp;"D")</f>
        <v>55871</v>
      </c>
      <c r="Z2362" s="105" t="e">
        <v>#N/A</v>
      </c>
      <c r="AA2362" s="102" t="e">
        <v>#N/A</v>
      </c>
    </row>
    <row r="2363" spans="19:27" x14ac:dyDescent="0.2">
      <c r="S2363" s="61"/>
      <c r="T2363" s="82"/>
      <c r="W2363" s="103" t="str">
        <f t="shared" si="45"/>
        <v>1w</v>
      </c>
      <c r="X2363" s="101">
        <f>_xll.qlCalendarAdvance(Calendar,X2362,W2363,"f",FALSE)</f>
        <v>55876</v>
      </c>
      <c r="Y2363" s="104">
        <f>_xll.qlCalendarAdvance(Calendar,X2363,NDays&amp;"D")</f>
        <v>55883</v>
      </c>
      <c r="Z2363" s="105" t="e">
        <v>#N/A</v>
      </c>
      <c r="AA2363" s="102" t="e">
        <v>#N/A</v>
      </c>
    </row>
    <row r="2364" spans="19:27" x14ac:dyDescent="0.2">
      <c r="S2364" s="61"/>
      <c r="T2364" s="82"/>
      <c r="W2364" s="103" t="str">
        <f t="shared" si="45"/>
        <v>1w</v>
      </c>
      <c r="X2364" s="101">
        <f>_xll.qlCalendarAdvance(Calendar,X2363,W2364,"f",FALSE)</f>
        <v>55883</v>
      </c>
      <c r="Y2364" s="104">
        <f>_xll.qlCalendarAdvance(Calendar,X2364,NDays&amp;"D")</f>
        <v>55887</v>
      </c>
      <c r="Z2364" s="105" t="e">
        <v>#N/A</v>
      </c>
      <c r="AA2364" s="102" t="e">
        <v>#N/A</v>
      </c>
    </row>
    <row r="2365" spans="19:27" x14ac:dyDescent="0.2">
      <c r="S2365" s="61"/>
      <c r="T2365" s="82"/>
      <c r="W2365" s="103" t="str">
        <f t="shared" si="45"/>
        <v>1w</v>
      </c>
      <c r="X2365" s="101">
        <f>_xll.qlCalendarAdvance(Calendar,X2364,W2365,"f",FALSE)</f>
        <v>55891</v>
      </c>
      <c r="Y2365" s="104">
        <f>_xll.qlCalendarAdvance(Calendar,X2365,NDays&amp;"D")</f>
        <v>55893</v>
      </c>
      <c r="Z2365" s="105" t="e">
        <v>#N/A</v>
      </c>
      <c r="AA2365" s="102" t="e">
        <v>#N/A</v>
      </c>
    </row>
    <row r="2366" spans="19:27" x14ac:dyDescent="0.2">
      <c r="S2366" s="61"/>
      <c r="T2366" s="82"/>
      <c r="W2366" s="103" t="str">
        <f t="shared" si="45"/>
        <v>1w</v>
      </c>
      <c r="X2366" s="101">
        <f>_xll.qlCalendarAdvance(Calendar,X2365,W2366,"f",FALSE)</f>
        <v>55898</v>
      </c>
      <c r="Y2366" s="104">
        <f>_xll.qlCalendarAdvance(Calendar,X2366,NDays&amp;"D")</f>
        <v>55900</v>
      </c>
      <c r="Z2366" s="105" t="e">
        <v>#N/A</v>
      </c>
      <c r="AA2366" s="102" t="e">
        <v>#N/A</v>
      </c>
    </row>
    <row r="2367" spans="19:27" x14ac:dyDescent="0.2">
      <c r="S2367" s="61"/>
      <c r="T2367" s="82"/>
      <c r="W2367" s="103" t="str">
        <f t="shared" si="45"/>
        <v>1w</v>
      </c>
      <c r="X2367" s="101">
        <f>_xll.qlCalendarAdvance(Calendar,X2366,W2367,"f",FALSE)</f>
        <v>55905</v>
      </c>
      <c r="Y2367" s="104">
        <f>_xll.qlCalendarAdvance(Calendar,X2367,NDays&amp;"D")</f>
        <v>55907</v>
      </c>
      <c r="Z2367" s="105" t="e">
        <v>#N/A</v>
      </c>
      <c r="AA2367" s="102" t="e">
        <v>#N/A</v>
      </c>
    </row>
    <row r="2368" spans="19:27" x14ac:dyDescent="0.2">
      <c r="S2368" s="61"/>
      <c r="T2368" s="82"/>
      <c r="W2368" s="103" t="str">
        <f t="shared" si="45"/>
        <v>1w</v>
      </c>
      <c r="X2368" s="101">
        <f>_xll.qlCalendarAdvance(Calendar,X2367,W2368,"f",FALSE)</f>
        <v>55912</v>
      </c>
      <c r="Y2368" s="104">
        <f>_xll.qlCalendarAdvance(Calendar,X2368,NDays&amp;"D")</f>
        <v>55914</v>
      </c>
      <c r="Z2368" s="105" t="e">
        <v>#N/A</v>
      </c>
      <c r="AA2368" s="102" t="e">
        <v>#N/A</v>
      </c>
    </row>
    <row r="2369" spans="19:27" x14ac:dyDescent="0.2">
      <c r="S2369" s="61"/>
      <c r="T2369" s="82"/>
      <c r="W2369" s="103" t="str">
        <f t="shared" si="45"/>
        <v>1w</v>
      </c>
      <c r="X2369" s="101">
        <f>_xll.qlCalendarAdvance(Calendar,X2368,W2369,"f",FALSE)</f>
        <v>55919</v>
      </c>
      <c r="Y2369" s="104">
        <f>_xll.qlCalendarAdvance(Calendar,X2369,NDays&amp;"D")</f>
        <v>55921</v>
      </c>
      <c r="Z2369" s="105" t="e">
        <v>#N/A</v>
      </c>
      <c r="AA2369" s="102" t="e">
        <v>#N/A</v>
      </c>
    </row>
    <row r="2370" spans="19:27" x14ac:dyDescent="0.2">
      <c r="S2370" s="61"/>
      <c r="T2370" s="82"/>
      <c r="W2370" s="103" t="str">
        <f t="shared" si="45"/>
        <v>1w</v>
      </c>
      <c r="X2370" s="101">
        <f>_xll.qlCalendarAdvance(Calendar,X2369,W2370,"f",FALSE)</f>
        <v>55926</v>
      </c>
      <c r="Y2370" s="104">
        <f>_xll.qlCalendarAdvance(Calendar,X2370,NDays&amp;"D")</f>
        <v>55928</v>
      </c>
      <c r="Z2370" s="105" t="e">
        <v>#N/A</v>
      </c>
      <c r="AA2370" s="102" t="e">
        <v>#N/A</v>
      </c>
    </row>
    <row r="2371" spans="19:27" x14ac:dyDescent="0.2">
      <c r="S2371" s="61"/>
      <c r="T2371" s="82"/>
      <c r="W2371" s="103" t="str">
        <f t="shared" si="45"/>
        <v>1w</v>
      </c>
      <c r="X2371" s="101">
        <f>_xll.qlCalendarAdvance(Calendar,X2370,W2371,"f",FALSE)</f>
        <v>55933</v>
      </c>
      <c r="Y2371" s="104">
        <f>_xll.qlCalendarAdvance(Calendar,X2371,NDays&amp;"D")</f>
        <v>55935</v>
      </c>
      <c r="Z2371" s="105" t="e">
        <v>#N/A</v>
      </c>
      <c r="AA2371" s="102" t="e">
        <v>#N/A</v>
      </c>
    </row>
    <row r="2372" spans="19:27" x14ac:dyDescent="0.2">
      <c r="S2372" s="61"/>
      <c r="T2372" s="82"/>
      <c r="W2372" s="103" t="str">
        <f t="shared" si="45"/>
        <v>1w</v>
      </c>
      <c r="X2372" s="101">
        <f>_xll.qlCalendarAdvance(Calendar,X2371,W2372,"f",FALSE)</f>
        <v>55940</v>
      </c>
      <c r="Y2372" s="104">
        <f>_xll.qlCalendarAdvance(Calendar,X2372,NDays&amp;"D")</f>
        <v>55942</v>
      </c>
      <c r="Z2372" s="105" t="e">
        <v>#N/A</v>
      </c>
      <c r="AA2372" s="102" t="e">
        <v>#N/A</v>
      </c>
    </row>
    <row r="2373" spans="19:27" x14ac:dyDescent="0.2">
      <c r="S2373" s="61"/>
      <c r="T2373" s="82"/>
      <c r="W2373" s="103" t="str">
        <f t="shared" si="45"/>
        <v>1w</v>
      </c>
      <c r="X2373" s="101">
        <f>_xll.qlCalendarAdvance(Calendar,X2372,W2373,"f",FALSE)</f>
        <v>55947</v>
      </c>
      <c r="Y2373" s="104">
        <f>_xll.qlCalendarAdvance(Calendar,X2373,NDays&amp;"D")</f>
        <v>55949</v>
      </c>
      <c r="Z2373" s="105" t="e">
        <v>#N/A</v>
      </c>
      <c r="AA2373" s="102" t="e">
        <v>#N/A</v>
      </c>
    </row>
    <row r="2374" spans="19:27" x14ac:dyDescent="0.2">
      <c r="S2374" s="61"/>
      <c r="T2374" s="82"/>
      <c r="W2374" s="103" t="str">
        <f t="shared" si="45"/>
        <v>1w</v>
      </c>
      <c r="X2374" s="101">
        <f>_xll.qlCalendarAdvance(Calendar,X2373,W2374,"f",FALSE)</f>
        <v>55954</v>
      </c>
      <c r="Y2374" s="104">
        <f>_xll.qlCalendarAdvance(Calendar,X2374,NDays&amp;"D")</f>
        <v>55956</v>
      </c>
      <c r="Z2374" s="105" t="e">
        <v>#N/A</v>
      </c>
      <c r="AA2374" s="102" t="e">
        <v>#N/A</v>
      </c>
    </row>
    <row r="2375" spans="19:27" x14ac:dyDescent="0.2">
      <c r="S2375" s="61"/>
      <c r="T2375" s="82"/>
      <c r="W2375" s="103" t="str">
        <f t="shared" si="45"/>
        <v>1w</v>
      </c>
      <c r="X2375" s="101">
        <f>_xll.qlCalendarAdvance(Calendar,X2374,W2375,"f",FALSE)</f>
        <v>55961</v>
      </c>
      <c r="Y2375" s="104">
        <f>_xll.qlCalendarAdvance(Calendar,X2375,NDays&amp;"D")</f>
        <v>55963</v>
      </c>
      <c r="Z2375" s="105" t="e">
        <v>#N/A</v>
      </c>
      <c r="AA2375" s="102" t="e">
        <v>#N/A</v>
      </c>
    </row>
    <row r="2376" spans="19:27" x14ac:dyDescent="0.2">
      <c r="S2376" s="61"/>
      <c r="T2376" s="82"/>
      <c r="W2376" s="103" t="str">
        <f t="shared" si="45"/>
        <v>1w</v>
      </c>
      <c r="X2376" s="101">
        <f>_xll.qlCalendarAdvance(Calendar,X2375,W2376,"f",FALSE)</f>
        <v>55968</v>
      </c>
      <c r="Y2376" s="104">
        <f>_xll.qlCalendarAdvance(Calendar,X2376,NDays&amp;"D")</f>
        <v>55970</v>
      </c>
      <c r="Z2376" s="105" t="e">
        <v>#N/A</v>
      </c>
      <c r="AA2376" s="102" t="e">
        <v>#N/A</v>
      </c>
    </row>
    <row r="2377" spans="19:27" x14ac:dyDescent="0.2">
      <c r="S2377" s="61"/>
      <c r="T2377" s="82"/>
      <c r="W2377" s="103" t="str">
        <f t="shared" si="45"/>
        <v>1w</v>
      </c>
      <c r="X2377" s="101">
        <f>_xll.qlCalendarAdvance(Calendar,X2376,W2377,"f",FALSE)</f>
        <v>55975</v>
      </c>
      <c r="Y2377" s="104">
        <f>_xll.qlCalendarAdvance(Calendar,X2377,NDays&amp;"D")</f>
        <v>55977</v>
      </c>
      <c r="Z2377" s="105" t="e">
        <v>#N/A</v>
      </c>
      <c r="AA2377" s="102" t="e">
        <v>#N/A</v>
      </c>
    </row>
    <row r="2378" spans="19:27" x14ac:dyDescent="0.2">
      <c r="S2378" s="61"/>
      <c r="T2378" s="82"/>
      <c r="W2378" s="103" t="str">
        <f t="shared" si="45"/>
        <v>1w</v>
      </c>
      <c r="X2378" s="101">
        <f>_xll.qlCalendarAdvance(Calendar,X2377,W2378,"f",FALSE)</f>
        <v>55982</v>
      </c>
      <c r="Y2378" s="104">
        <f>_xll.qlCalendarAdvance(Calendar,X2378,NDays&amp;"D")</f>
        <v>55984</v>
      </c>
      <c r="Z2378" s="105" t="e">
        <v>#N/A</v>
      </c>
      <c r="AA2378" s="102" t="e">
        <v>#N/A</v>
      </c>
    </row>
    <row r="2379" spans="19:27" x14ac:dyDescent="0.2">
      <c r="S2379" s="61"/>
      <c r="T2379" s="82"/>
      <c r="W2379" s="103" t="str">
        <f t="shared" si="45"/>
        <v>1w</v>
      </c>
      <c r="X2379" s="101">
        <f>_xll.qlCalendarAdvance(Calendar,X2378,W2379,"f",FALSE)</f>
        <v>55989</v>
      </c>
      <c r="Y2379" s="104">
        <f>_xll.qlCalendarAdvance(Calendar,X2379,NDays&amp;"D")</f>
        <v>55991</v>
      </c>
      <c r="Z2379" s="105" t="e">
        <v>#N/A</v>
      </c>
      <c r="AA2379" s="102" t="e">
        <v>#N/A</v>
      </c>
    </row>
    <row r="2380" spans="19:27" x14ac:dyDescent="0.2">
      <c r="S2380" s="61"/>
      <c r="T2380" s="82"/>
      <c r="W2380" s="103" t="str">
        <f t="shared" si="45"/>
        <v>1w</v>
      </c>
      <c r="X2380" s="101">
        <f>_xll.qlCalendarAdvance(Calendar,X2379,W2380,"f",FALSE)</f>
        <v>55996</v>
      </c>
      <c r="Y2380" s="104">
        <f>_xll.qlCalendarAdvance(Calendar,X2380,NDays&amp;"D")</f>
        <v>55998</v>
      </c>
      <c r="Z2380" s="105" t="e">
        <v>#N/A</v>
      </c>
      <c r="AA2380" s="102" t="e">
        <v>#N/A</v>
      </c>
    </row>
    <row r="2381" spans="19:27" x14ac:dyDescent="0.2">
      <c r="S2381" s="61"/>
      <c r="T2381" s="82"/>
      <c r="W2381" s="103" t="str">
        <f t="shared" si="45"/>
        <v>1w</v>
      </c>
      <c r="X2381" s="101">
        <f>_xll.qlCalendarAdvance(Calendar,X2380,W2381,"f",FALSE)</f>
        <v>56003</v>
      </c>
      <c r="Y2381" s="104">
        <f>_xll.qlCalendarAdvance(Calendar,X2381,NDays&amp;"D")</f>
        <v>56006</v>
      </c>
      <c r="Z2381" s="105" t="e">
        <v>#N/A</v>
      </c>
      <c r="AA2381" s="102" t="e">
        <v>#N/A</v>
      </c>
    </row>
    <row r="2382" spans="19:27" x14ac:dyDescent="0.2">
      <c r="S2382" s="61"/>
      <c r="T2382" s="82"/>
      <c r="W2382" s="103" t="str">
        <f t="shared" si="45"/>
        <v>1w</v>
      </c>
      <c r="X2382" s="101">
        <f>_xll.qlCalendarAdvance(Calendar,X2381,W2382,"f",FALSE)</f>
        <v>56010</v>
      </c>
      <c r="Y2382" s="104">
        <f>_xll.qlCalendarAdvance(Calendar,X2382,NDays&amp;"D")</f>
        <v>56012</v>
      </c>
      <c r="Z2382" s="105" t="e">
        <v>#N/A</v>
      </c>
      <c r="AA2382" s="102" t="e">
        <v>#N/A</v>
      </c>
    </row>
    <row r="2383" spans="19:27" x14ac:dyDescent="0.2">
      <c r="S2383" s="61"/>
      <c r="T2383" s="82"/>
      <c r="W2383" s="103" t="str">
        <f t="shared" si="45"/>
        <v>1w</v>
      </c>
      <c r="X2383" s="101">
        <f>_xll.qlCalendarAdvance(Calendar,X2382,W2383,"f",FALSE)</f>
        <v>56017</v>
      </c>
      <c r="Y2383" s="104">
        <f>_xll.qlCalendarAdvance(Calendar,X2383,NDays&amp;"D")</f>
        <v>56020</v>
      </c>
      <c r="Z2383" s="105" t="e">
        <v>#N/A</v>
      </c>
      <c r="AA2383" s="102" t="e">
        <v>#N/A</v>
      </c>
    </row>
    <row r="2384" spans="19:27" x14ac:dyDescent="0.2">
      <c r="S2384" s="61"/>
      <c r="T2384" s="82"/>
      <c r="W2384" s="103" t="str">
        <f t="shared" si="45"/>
        <v>1w</v>
      </c>
      <c r="X2384" s="101">
        <f>_xll.qlCalendarAdvance(Calendar,X2383,W2384,"f",FALSE)</f>
        <v>56024</v>
      </c>
      <c r="Y2384" s="104">
        <f>_xll.qlCalendarAdvance(Calendar,X2384,NDays&amp;"D")</f>
        <v>56026</v>
      </c>
      <c r="Z2384" s="105" t="e">
        <v>#N/A</v>
      </c>
      <c r="AA2384" s="102" t="e">
        <v>#N/A</v>
      </c>
    </row>
    <row r="2385" spans="19:27" x14ac:dyDescent="0.2">
      <c r="S2385" s="61"/>
      <c r="T2385" s="82"/>
      <c r="W2385" s="103" t="str">
        <f t="shared" si="45"/>
        <v>1w</v>
      </c>
      <c r="X2385" s="101">
        <f>_xll.qlCalendarAdvance(Calendar,X2384,W2385,"f",FALSE)</f>
        <v>56031</v>
      </c>
      <c r="Y2385" s="104">
        <f>_xll.qlCalendarAdvance(Calendar,X2385,NDays&amp;"D")</f>
        <v>56033</v>
      </c>
      <c r="Z2385" s="105" t="e">
        <v>#N/A</v>
      </c>
      <c r="AA2385" s="102" t="e">
        <v>#N/A</v>
      </c>
    </row>
    <row r="2386" spans="19:27" x14ac:dyDescent="0.2">
      <c r="S2386" s="61"/>
      <c r="T2386" s="82"/>
      <c r="W2386" s="103" t="str">
        <f t="shared" si="45"/>
        <v>1w</v>
      </c>
      <c r="X2386" s="101">
        <f>_xll.qlCalendarAdvance(Calendar,X2385,W2386,"f",FALSE)</f>
        <v>56038</v>
      </c>
      <c r="Y2386" s="104">
        <f>_xll.qlCalendarAdvance(Calendar,X2386,NDays&amp;"D")</f>
        <v>56040</v>
      </c>
      <c r="Z2386" s="105" t="e">
        <v>#N/A</v>
      </c>
      <c r="AA2386" s="102" t="e">
        <v>#N/A</v>
      </c>
    </row>
    <row r="2387" spans="19:27" x14ac:dyDescent="0.2">
      <c r="S2387" s="61"/>
      <c r="T2387" s="82"/>
      <c r="W2387" s="103" t="str">
        <f t="shared" si="45"/>
        <v>1w</v>
      </c>
      <c r="X2387" s="101">
        <f>_xll.qlCalendarAdvance(Calendar,X2386,W2387,"f",FALSE)</f>
        <v>56045</v>
      </c>
      <c r="Y2387" s="104">
        <f>_xll.qlCalendarAdvance(Calendar,X2387,NDays&amp;"D")</f>
        <v>56047</v>
      </c>
      <c r="Z2387" s="105" t="e">
        <v>#N/A</v>
      </c>
      <c r="AA2387" s="102" t="e">
        <v>#N/A</v>
      </c>
    </row>
    <row r="2388" spans="19:27" x14ac:dyDescent="0.2">
      <c r="S2388" s="61"/>
      <c r="T2388" s="82"/>
      <c r="W2388" s="103" t="str">
        <f t="shared" si="45"/>
        <v>1w</v>
      </c>
      <c r="X2388" s="101">
        <f>_xll.qlCalendarAdvance(Calendar,X2387,W2388,"f",FALSE)</f>
        <v>56052</v>
      </c>
      <c r="Y2388" s="104">
        <f>_xll.qlCalendarAdvance(Calendar,X2388,NDays&amp;"D")</f>
        <v>56054</v>
      </c>
      <c r="Z2388" s="105" t="e">
        <v>#N/A</v>
      </c>
      <c r="AA2388" s="102" t="e">
        <v>#N/A</v>
      </c>
    </row>
    <row r="2389" spans="19:27" x14ac:dyDescent="0.2">
      <c r="S2389" s="61"/>
      <c r="T2389" s="82"/>
      <c r="W2389" s="103" t="str">
        <f t="shared" ref="W2389:W2452" si="46">W2388</f>
        <v>1w</v>
      </c>
      <c r="X2389" s="101">
        <f>_xll.qlCalendarAdvance(Calendar,X2388,W2389,"f",FALSE)</f>
        <v>56059</v>
      </c>
      <c r="Y2389" s="104">
        <f>_xll.qlCalendarAdvance(Calendar,X2389,NDays&amp;"D")</f>
        <v>56061</v>
      </c>
      <c r="Z2389" s="105" t="e">
        <v>#N/A</v>
      </c>
      <c r="AA2389" s="102" t="e">
        <v>#N/A</v>
      </c>
    </row>
    <row r="2390" spans="19:27" x14ac:dyDescent="0.2">
      <c r="S2390" s="61"/>
      <c r="T2390" s="82"/>
      <c r="W2390" s="103" t="str">
        <f t="shared" si="46"/>
        <v>1w</v>
      </c>
      <c r="X2390" s="101">
        <f>_xll.qlCalendarAdvance(Calendar,X2389,W2390,"f",FALSE)</f>
        <v>56066</v>
      </c>
      <c r="Y2390" s="104">
        <f>_xll.qlCalendarAdvance(Calendar,X2390,NDays&amp;"D")</f>
        <v>56068</v>
      </c>
      <c r="Z2390" s="105" t="e">
        <v>#N/A</v>
      </c>
      <c r="AA2390" s="102" t="e">
        <v>#N/A</v>
      </c>
    </row>
    <row r="2391" spans="19:27" x14ac:dyDescent="0.2">
      <c r="S2391" s="61"/>
      <c r="T2391" s="82"/>
      <c r="W2391" s="103" t="str">
        <f t="shared" si="46"/>
        <v>1w</v>
      </c>
      <c r="X2391" s="101">
        <f>_xll.qlCalendarAdvance(Calendar,X2390,W2391,"f",FALSE)</f>
        <v>56073</v>
      </c>
      <c r="Y2391" s="104">
        <f>_xll.qlCalendarAdvance(Calendar,X2391,NDays&amp;"D")</f>
        <v>56075</v>
      </c>
      <c r="Z2391" s="105" t="e">
        <v>#N/A</v>
      </c>
      <c r="AA2391" s="102" t="e">
        <v>#N/A</v>
      </c>
    </row>
    <row r="2392" spans="19:27" x14ac:dyDescent="0.2">
      <c r="S2392" s="61"/>
      <c r="T2392" s="82"/>
      <c r="W2392" s="103" t="str">
        <f t="shared" si="46"/>
        <v>1w</v>
      </c>
      <c r="X2392" s="101">
        <f>_xll.qlCalendarAdvance(Calendar,X2391,W2392,"f",FALSE)</f>
        <v>56080</v>
      </c>
      <c r="Y2392" s="104">
        <f>_xll.qlCalendarAdvance(Calendar,X2392,NDays&amp;"D")</f>
        <v>56082</v>
      </c>
      <c r="Z2392" s="105" t="e">
        <v>#N/A</v>
      </c>
      <c r="AA2392" s="102" t="e">
        <v>#N/A</v>
      </c>
    </row>
    <row r="2393" spans="19:27" x14ac:dyDescent="0.2">
      <c r="S2393" s="61"/>
      <c r="T2393" s="82"/>
      <c r="W2393" s="103" t="str">
        <f t="shared" si="46"/>
        <v>1w</v>
      </c>
      <c r="X2393" s="101">
        <f>_xll.qlCalendarAdvance(Calendar,X2392,W2393,"f",FALSE)</f>
        <v>56087</v>
      </c>
      <c r="Y2393" s="104">
        <f>_xll.qlCalendarAdvance(Calendar,X2393,NDays&amp;"D")</f>
        <v>56089</v>
      </c>
      <c r="Z2393" s="105" t="e">
        <v>#N/A</v>
      </c>
      <c r="AA2393" s="102" t="e">
        <v>#N/A</v>
      </c>
    </row>
    <row r="2394" spans="19:27" x14ac:dyDescent="0.2">
      <c r="S2394" s="61"/>
      <c r="T2394" s="82"/>
      <c r="W2394" s="103" t="str">
        <f t="shared" si="46"/>
        <v>1w</v>
      </c>
      <c r="X2394" s="101">
        <f>_xll.qlCalendarAdvance(Calendar,X2393,W2394,"f",FALSE)</f>
        <v>56094</v>
      </c>
      <c r="Y2394" s="104">
        <f>_xll.qlCalendarAdvance(Calendar,X2394,NDays&amp;"D")</f>
        <v>56096</v>
      </c>
      <c r="Z2394" s="105" t="e">
        <v>#N/A</v>
      </c>
      <c r="AA2394" s="102" t="e">
        <v>#N/A</v>
      </c>
    </row>
    <row r="2395" spans="19:27" x14ac:dyDescent="0.2">
      <c r="S2395" s="61"/>
      <c r="T2395" s="82"/>
      <c r="W2395" s="103" t="str">
        <f t="shared" si="46"/>
        <v>1w</v>
      </c>
      <c r="X2395" s="101">
        <f>_xll.qlCalendarAdvance(Calendar,X2394,W2395,"f",FALSE)</f>
        <v>56101</v>
      </c>
      <c r="Y2395" s="104">
        <f>_xll.qlCalendarAdvance(Calendar,X2395,NDays&amp;"D")</f>
        <v>56103</v>
      </c>
      <c r="Z2395" s="105" t="e">
        <v>#N/A</v>
      </c>
      <c r="AA2395" s="102" t="e">
        <v>#N/A</v>
      </c>
    </row>
    <row r="2396" spans="19:27" x14ac:dyDescent="0.2">
      <c r="S2396" s="61"/>
      <c r="T2396" s="82"/>
      <c r="W2396" s="103" t="str">
        <f t="shared" si="46"/>
        <v>1w</v>
      </c>
      <c r="X2396" s="101">
        <f>_xll.qlCalendarAdvance(Calendar,X2395,W2396,"f",FALSE)</f>
        <v>56108</v>
      </c>
      <c r="Y2396" s="104">
        <f>_xll.qlCalendarAdvance(Calendar,X2396,NDays&amp;"D")</f>
        <v>56110</v>
      </c>
      <c r="Z2396" s="105" t="e">
        <v>#N/A</v>
      </c>
      <c r="AA2396" s="102" t="e">
        <v>#N/A</v>
      </c>
    </row>
    <row r="2397" spans="19:27" x14ac:dyDescent="0.2">
      <c r="S2397" s="61"/>
      <c r="T2397" s="82"/>
      <c r="W2397" s="103" t="str">
        <f t="shared" si="46"/>
        <v>1w</v>
      </c>
      <c r="X2397" s="101">
        <f>_xll.qlCalendarAdvance(Calendar,X2396,W2397,"f",FALSE)</f>
        <v>56115</v>
      </c>
      <c r="Y2397" s="104">
        <f>_xll.qlCalendarAdvance(Calendar,X2397,NDays&amp;"D")</f>
        <v>56117</v>
      </c>
      <c r="Z2397" s="105" t="e">
        <v>#N/A</v>
      </c>
      <c r="AA2397" s="102" t="e">
        <v>#N/A</v>
      </c>
    </row>
    <row r="2398" spans="19:27" x14ac:dyDescent="0.2">
      <c r="S2398" s="61"/>
      <c r="T2398" s="82"/>
      <c r="W2398" s="103" t="str">
        <f t="shared" si="46"/>
        <v>1w</v>
      </c>
      <c r="X2398" s="101">
        <f>_xll.qlCalendarAdvance(Calendar,X2397,W2398,"f",FALSE)</f>
        <v>56122</v>
      </c>
      <c r="Y2398" s="104">
        <f>_xll.qlCalendarAdvance(Calendar,X2398,NDays&amp;"D")</f>
        <v>56124</v>
      </c>
      <c r="Z2398" s="105" t="e">
        <v>#N/A</v>
      </c>
      <c r="AA2398" s="102" t="e">
        <v>#N/A</v>
      </c>
    </row>
    <row r="2399" spans="19:27" x14ac:dyDescent="0.2">
      <c r="S2399" s="61"/>
      <c r="T2399" s="82"/>
      <c r="W2399" s="103" t="str">
        <f t="shared" si="46"/>
        <v>1w</v>
      </c>
      <c r="X2399" s="101">
        <f>_xll.qlCalendarAdvance(Calendar,X2398,W2399,"f",FALSE)</f>
        <v>56129</v>
      </c>
      <c r="Y2399" s="104">
        <f>_xll.qlCalendarAdvance(Calendar,X2399,NDays&amp;"D")</f>
        <v>56131</v>
      </c>
      <c r="Z2399" s="105" t="e">
        <v>#N/A</v>
      </c>
      <c r="AA2399" s="102" t="e">
        <v>#N/A</v>
      </c>
    </row>
    <row r="2400" spans="19:27" x14ac:dyDescent="0.2">
      <c r="S2400" s="61"/>
      <c r="T2400" s="82"/>
      <c r="W2400" s="103" t="str">
        <f t="shared" si="46"/>
        <v>1w</v>
      </c>
      <c r="X2400" s="101">
        <f>_xll.qlCalendarAdvance(Calendar,X2399,W2400,"f",FALSE)</f>
        <v>56136</v>
      </c>
      <c r="Y2400" s="104">
        <f>_xll.qlCalendarAdvance(Calendar,X2400,NDays&amp;"D")</f>
        <v>56138</v>
      </c>
      <c r="Z2400" s="105" t="e">
        <v>#N/A</v>
      </c>
      <c r="AA2400" s="102" t="e">
        <v>#N/A</v>
      </c>
    </row>
    <row r="2401" spans="19:27" x14ac:dyDescent="0.2">
      <c r="S2401" s="61"/>
      <c r="T2401" s="82"/>
      <c r="W2401" s="103" t="str">
        <f t="shared" si="46"/>
        <v>1w</v>
      </c>
      <c r="X2401" s="101">
        <f>_xll.qlCalendarAdvance(Calendar,X2400,W2401,"f",FALSE)</f>
        <v>56143</v>
      </c>
      <c r="Y2401" s="104">
        <f>_xll.qlCalendarAdvance(Calendar,X2401,NDays&amp;"D")</f>
        <v>56145</v>
      </c>
      <c r="Z2401" s="105" t="e">
        <v>#N/A</v>
      </c>
      <c r="AA2401" s="102" t="e">
        <v>#N/A</v>
      </c>
    </row>
    <row r="2402" spans="19:27" x14ac:dyDescent="0.2">
      <c r="S2402" s="61"/>
      <c r="T2402" s="82"/>
      <c r="W2402" s="103" t="str">
        <f t="shared" si="46"/>
        <v>1w</v>
      </c>
      <c r="X2402" s="101">
        <f>_xll.qlCalendarAdvance(Calendar,X2401,W2402,"f",FALSE)</f>
        <v>56150</v>
      </c>
      <c r="Y2402" s="104">
        <f>_xll.qlCalendarAdvance(Calendar,X2402,NDays&amp;"D")</f>
        <v>56152</v>
      </c>
      <c r="Z2402" s="105" t="e">
        <v>#N/A</v>
      </c>
      <c r="AA2402" s="102" t="e">
        <v>#N/A</v>
      </c>
    </row>
    <row r="2403" spans="19:27" x14ac:dyDescent="0.2">
      <c r="S2403" s="61"/>
      <c r="T2403" s="82"/>
      <c r="W2403" s="103" t="str">
        <f t="shared" si="46"/>
        <v>1w</v>
      </c>
      <c r="X2403" s="101">
        <f>_xll.qlCalendarAdvance(Calendar,X2402,W2403,"f",FALSE)</f>
        <v>56157</v>
      </c>
      <c r="Y2403" s="104">
        <f>_xll.qlCalendarAdvance(Calendar,X2403,NDays&amp;"D")</f>
        <v>56159</v>
      </c>
      <c r="Z2403" s="105" t="e">
        <v>#N/A</v>
      </c>
      <c r="AA2403" s="102" t="e">
        <v>#N/A</v>
      </c>
    </row>
    <row r="2404" spans="19:27" x14ac:dyDescent="0.2">
      <c r="S2404" s="61"/>
      <c r="T2404" s="82"/>
      <c r="W2404" s="103" t="str">
        <f t="shared" si="46"/>
        <v>1w</v>
      </c>
      <c r="X2404" s="101">
        <f>_xll.qlCalendarAdvance(Calendar,X2403,W2404,"f",FALSE)</f>
        <v>56164</v>
      </c>
      <c r="Y2404" s="104">
        <f>_xll.qlCalendarAdvance(Calendar,X2404,NDays&amp;"D")</f>
        <v>56166</v>
      </c>
      <c r="Z2404" s="105" t="e">
        <v>#N/A</v>
      </c>
      <c r="AA2404" s="102" t="e">
        <v>#N/A</v>
      </c>
    </row>
    <row r="2405" spans="19:27" x14ac:dyDescent="0.2">
      <c r="S2405" s="61"/>
      <c r="T2405" s="82"/>
      <c r="W2405" s="103" t="str">
        <f t="shared" si="46"/>
        <v>1w</v>
      </c>
      <c r="X2405" s="101">
        <f>_xll.qlCalendarAdvance(Calendar,X2404,W2405,"f",FALSE)</f>
        <v>56171</v>
      </c>
      <c r="Y2405" s="104">
        <f>_xll.qlCalendarAdvance(Calendar,X2405,NDays&amp;"D")</f>
        <v>56173</v>
      </c>
      <c r="Z2405" s="105" t="e">
        <v>#N/A</v>
      </c>
      <c r="AA2405" s="102" t="e">
        <v>#N/A</v>
      </c>
    </row>
    <row r="2406" spans="19:27" x14ac:dyDescent="0.2">
      <c r="S2406" s="61"/>
      <c r="T2406" s="82"/>
      <c r="W2406" s="103" t="str">
        <f t="shared" si="46"/>
        <v>1w</v>
      </c>
      <c r="X2406" s="101">
        <f>_xll.qlCalendarAdvance(Calendar,X2405,W2406,"f",FALSE)</f>
        <v>56178</v>
      </c>
      <c r="Y2406" s="104">
        <f>_xll.qlCalendarAdvance(Calendar,X2406,NDays&amp;"D")</f>
        <v>56180</v>
      </c>
      <c r="Z2406" s="105" t="e">
        <v>#N/A</v>
      </c>
      <c r="AA2406" s="102" t="e">
        <v>#N/A</v>
      </c>
    </row>
    <row r="2407" spans="19:27" x14ac:dyDescent="0.2">
      <c r="S2407" s="61"/>
      <c r="T2407" s="82"/>
      <c r="W2407" s="103" t="str">
        <f t="shared" si="46"/>
        <v>1w</v>
      </c>
      <c r="X2407" s="101">
        <f>_xll.qlCalendarAdvance(Calendar,X2406,W2407,"f",FALSE)</f>
        <v>56185</v>
      </c>
      <c r="Y2407" s="104">
        <f>_xll.qlCalendarAdvance(Calendar,X2407,NDays&amp;"D")</f>
        <v>56187</v>
      </c>
      <c r="Z2407" s="105" t="e">
        <v>#N/A</v>
      </c>
      <c r="AA2407" s="102" t="e">
        <v>#N/A</v>
      </c>
    </row>
    <row r="2408" spans="19:27" x14ac:dyDescent="0.2">
      <c r="S2408" s="61"/>
      <c r="T2408" s="82"/>
      <c r="W2408" s="103" t="str">
        <f t="shared" si="46"/>
        <v>1w</v>
      </c>
      <c r="X2408" s="101">
        <f>_xll.qlCalendarAdvance(Calendar,X2407,W2408,"f",FALSE)</f>
        <v>56192</v>
      </c>
      <c r="Y2408" s="104">
        <f>_xll.qlCalendarAdvance(Calendar,X2408,NDays&amp;"D")</f>
        <v>56194</v>
      </c>
      <c r="Z2408" s="105" t="e">
        <v>#N/A</v>
      </c>
      <c r="AA2408" s="102" t="e">
        <v>#N/A</v>
      </c>
    </row>
    <row r="2409" spans="19:27" x14ac:dyDescent="0.2">
      <c r="S2409" s="61"/>
      <c r="T2409" s="82"/>
      <c r="W2409" s="103" t="str">
        <f t="shared" si="46"/>
        <v>1w</v>
      </c>
      <c r="X2409" s="101">
        <f>_xll.qlCalendarAdvance(Calendar,X2408,W2409,"f",FALSE)</f>
        <v>56199</v>
      </c>
      <c r="Y2409" s="104">
        <f>_xll.qlCalendarAdvance(Calendar,X2409,NDays&amp;"D")</f>
        <v>56201</v>
      </c>
      <c r="Z2409" s="105" t="e">
        <v>#N/A</v>
      </c>
      <c r="AA2409" s="102" t="e">
        <v>#N/A</v>
      </c>
    </row>
    <row r="2410" spans="19:27" x14ac:dyDescent="0.2">
      <c r="S2410" s="61"/>
      <c r="T2410" s="82"/>
      <c r="W2410" s="103" t="str">
        <f t="shared" si="46"/>
        <v>1w</v>
      </c>
      <c r="X2410" s="101">
        <f>_xll.qlCalendarAdvance(Calendar,X2409,W2410,"f",FALSE)</f>
        <v>56206</v>
      </c>
      <c r="Y2410" s="104">
        <f>_xll.qlCalendarAdvance(Calendar,X2410,NDays&amp;"D")</f>
        <v>56208</v>
      </c>
      <c r="Z2410" s="105" t="e">
        <v>#N/A</v>
      </c>
      <c r="AA2410" s="102" t="e">
        <v>#N/A</v>
      </c>
    </row>
    <row r="2411" spans="19:27" x14ac:dyDescent="0.2">
      <c r="S2411" s="61"/>
      <c r="T2411" s="82"/>
      <c r="W2411" s="103" t="str">
        <f t="shared" si="46"/>
        <v>1w</v>
      </c>
      <c r="X2411" s="101">
        <f>_xll.qlCalendarAdvance(Calendar,X2410,W2411,"f",FALSE)</f>
        <v>56213</v>
      </c>
      <c r="Y2411" s="104">
        <f>_xll.qlCalendarAdvance(Calendar,X2411,NDays&amp;"D")</f>
        <v>56215</v>
      </c>
      <c r="Z2411" s="105" t="e">
        <v>#N/A</v>
      </c>
      <c r="AA2411" s="102" t="e">
        <v>#N/A</v>
      </c>
    </row>
    <row r="2412" spans="19:27" x14ac:dyDescent="0.2">
      <c r="S2412" s="61"/>
      <c r="T2412" s="82"/>
      <c r="W2412" s="103" t="str">
        <f t="shared" si="46"/>
        <v>1w</v>
      </c>
      <c r="X2412" s="101">
        <f>_xll.qlCalendarAdvance(Calendar,X2411,W2412,"f",FALSE)</f>
        <v>56220</v>
      </c>
      <c r="Y2412" s="104">
        <f>_xll.qlCalendarAdvance(Calendar,X2412,NDays&amp;"D")</f>
        <v>56222</v>
      </c>
      <c r="Z2412" s="105" t="e">
        <v>#N/A</v>
      </c>
      <c r="AA2412" s="102" t="e">
        <v>#N/A</v>
      </c>
    </row>
    <row r="2413" spans="19:27" x14ac:dyDescent="0.2">
      <c r="S2413" s="61"/>
      <c r="T2413" s="82"/>
      <c r="W2413" s="103" t="str">
        <f t="shared" si="46"/>
        <v>1w</v>
      </c>
      <c r="X2413" s="101">
        <f>_xll.qlCalendarAdvance(Calendar,X2412,W2413,"f",FALSE)</f>
        <v>56227</v>
      </c>
      <c r="Y2413" s="104">
        <f>_xll.qlCalendarAdvance(Calendar,X2413,NDays&amp;"D")</f>
        <v>56229</v>
      </c>
      <c r="Z2413" s="105" t="e">
        <v>#N/A</v>
      </c>
      <c r="AA2413" s="102" t="e">
        <v>#N/A</v>
      </c>
    </row>
    <row r="2414" spans="19:27" x14ac:dyDescent="0.2">
      <c r="S2414" s="61"/>
      <c r="T2414" s="82"/>
      <c r="W2414" s="103" t="str">
        <f t="shared" si="46"/>
        <v>1w</v>
      </c>
      <c r="X2414" s="101">
        <f>_xll.qlCalendarAdvance(Calendar,X2413,W2414,"f",FALSE)</f>
        <v>56234</v>
      </c>
      <c r="Y2414" s="104">
        <f>_xll.qlCalendarAdvance(Calendar,X2414,NDays&amp;"D")</f>
        <v>56236</v>
      </c>
      <c r="Z2414" s="105" t="e">
        <v>#N/A</v>
      </c>
      <c r="AA2414" s="102" t="e">
        <v>#N/A</v>
      </c>
    </row>
    <row r="2415" spans="19:27" x14ac:dyDescent="0.2">
      <c r="S2415" s="61"/>
      <c r="T2415" s="82"/>
      <c r="W2415" s="103" t="str">
        <f t="shared" si="46"/>
        <v>1w</v>
      </c>
      <c r="X2415" s="101">
        <f>_xll.qlCalendarAdvance(Calendar,X2414,W2415,"f",FALSE)</f>
        <v>56241</v>
      </c>
      <c r="Y2415" s="104">
        <f>_xll.qlCalendarAdvance(Calendar,X2415,NDays&amp;"D")</f>
        <v>56248</v>
      </c>
      <c r="Z2415" s="105" t="e">
        <v>#N/A</v>
      </c>
      <c r="AA2415" s="102" t="e">
        <v>#N/A</v>
      </c>
    </row>
    <row r="2416" spans="19:27" x14ac:dyDescent="0.2">
      <c r="S2416" s="61"/>
      <c r="T2416" s="82"/>
      <c r="W2416" s="103" t="str">
        <f t="shared" si="46"/>
        <v>1w</v>
      </c>
      <c r="X2416" s="101">
        <f>_xll.qlCalendarAdvance(Calendar,X2415,W2416,"f",FALSE)</f>
        <v>56248</v>
      </c>
      <c r="Y2416" s="104">
        <f>_xll.qlCalendarAdvance(Calendar,X2416,NDays&amp;"D")</f>
        <v>56254</v>
      </c>
      <c r="Z2416" s="105" t="e">
        <v>#N/A</v>
      </c>
      <c r="AA2416" s="102" t="e">
        <v>#N/A</v>
      </c>
    </row>
    <row r="2417" spans="19:27" x14ac:dyDescent="0.2">
      <c r="S2417" s="61"/>
      <c r="T2417" s="82"/>
      <c r="W2417" s="103" t="str">
        <f t="shared" si="46"/>
        <v>1w</v>
      </c>
      <c r="X2417" s="101">
        <f>_xll.qlCalendarAdvance(Calendar,X2416,W2417,"f",FALSE)</f>
        <v>56256</v>
      </c>
      <c r="Y2417" s="104">
        <f>_xll.qlCalendarAdvance(Calendar,X2417,NDays&amp;"D")</f>
        <v>56258</v>
      </c>
      <c r="Z2417" s="105" t="e">
        <v>#N/A</v>
      </c>
      <c r="AA2417" s="102" t="e">
        <v>#N/A</v>
      </c>
    </row>
    <row r="2418" spans="19:27" x14ac:dyDescent="0.2">
      <c r="S2418" s="61"/>
      <c r="T2418" s="82"/>
      <c r="W2418" s="103" t="str">
        <f t="shared" si="46"/>
        <v>1w</v>
      </c>
      <c r="X2418" s="101">
        <f>_xll.qlCalendarAdvance(Calendar,X2417,W2418,"f",FALSE)</f>
        <v>56263</v>
      </c>
      <c r="Y2418" s="104">
        <f>_xll.qlCalendarAdvance(Calendar,X2418,NDays&amp;"D")</f>
        <v>56265</v>
      </c>
      <c r="Z2418" s="105" t="e">
        <v>#N/A</v>
      </c>
      <c r="AA2418" s="102" t="e">
        <v>#N/A</v>
      </c>
    </row>
    <row r="2419" spans="19:27" x14ac:dyDescent="0.2">
      <c r="S2419" s="61"/>
      <c r="T2419" s="82"/>
      <c r="W2419" s="103" t="str">
        <f t="shared" si="46"/>
        <v>1w</v>
      </c>
      <c r="X2419" s="101">
        <f>_xll.qlCalendarAdvance(Calendar,X2418,W2419,"f",FALSE)</f>
        <v>56270</v>
      </c>
      <c r="Y2419" s="104">
        <f>_xll.qlCalendarAdvance(Calendar,X2419,NDays&amp;"D")</f>
        <v>56272</v>
      </c>
      <c r="Z2419" s="105" t="e">
        <v>#N/A</v>
      </c>
      <c r="AA2419" s="102" t="e">
        <v>#N/A</v>
      </c>
    </row>
    <row r="2420" spans="19:27" x14ac:dyDescent="0.2">
      <c r="S2420" s="61"/>
      <c r="T2420" s="82"/>
      <c r="W2420" s="103" t="str">
        <f t="shared" si="46"/>
        <v>1w</v>
      </c>
      <c r="X2420" s="101">
        <f>_xll.qlCalendarAdvance(Calendar,X2419,W2420,"f",FALSE)</f>
        <v>56277</v>
      </c>
      <c r="Y2420" s="104">
        <f>_xll.qlCalendarAdvance(Calendar,X2420,NDays&amp;"D")</f>
        <v>56279</v>
      </c>
      <c r="Z2420" s="105" t="e">
        <v>#N/A</v>
      </c>
      <c r="AA2420" s="102" t="e">
        <v>#N/A</v>
      </c>
    </row>
    <row r="2421" spans="19:27" x14ac:dyDescent="0.2">
      <c r="S2421" s="61"/>
      <c r="T2421" s="82"/>
      <c r="W2421" s="103" t="str">
        <f t="shared" si="46"/>
        <v>1w</v>
      </c>
      <c r="X2421" s="101">
        <f>_xll.qlCalendarAdvance(Calendar,X2420,W2421,"f",FALSE)</f>
        <v>56284</v>
      </c>
      <c r="Y2421" s="104">
        <f>_xll.qlCalendarAdvance(Calendar,X2421,NDays&amp;"D")</f>
        <v>56286</v>
      </c>
      <c r="Z2421" s="105" t="e">
        <v>#N/A</v>
      </c>
      <c r="AA2421" s="102" t="e">
        <v>#N/A</v>
      </c>
    </row>
    <row r="2422" spans="19:27" x14ac:dyDescent="0.2">
      <c r="S2422" s="61"/>
      <c r="T2422" s="82"/>
      <c r="W2422" s="103" t="str">
        <f t="shared" si="46"/>
        <v>1w</v>
      </c>
      <c r="X2422" s="101">
        <f>_xll.qlCalendarAdvance(Calendar,X2421,W2422,"f",FALSE)</f>
        <v>56291</v>
      </c>
      <c r="Y2422" s="104">
        <f>_xll.qlCalendarAdvance(Calendar,X2422,NDays&amp;"D")</f>
        <v>56293</v>
      </c>
      <c r="Z2422" s="105" t="e">
        <v>#N/A</v>
      </c>
      <c r="AA2422" s="102" t="e">
        <v>#N/A</v>
      </c>
    </row>
    <row r="2423" spans="19:27" x14ac:dyDescent="0.2">
      <c r="S2423" s="61"/>
      <c r="T2423" s="82"/>
      <c r="W2423" s="103" t="str">
        <f t="shared" si="46"/>
        <v>1w</v>
      </c>
      <c r="X2423" s="101">
        <f>_xll.qlCalendarAdvance(Calendar,X2422,W2423,"f",FALSE)</f>
        <v>56298</v>
      </c>
      <c r="Y2423" s="104">
        <f>_xll.qlCalendarAdvance(Calendar,X2423,NDays&amp;"D")</f>
        <v>56300</v>
      </c>
      <c r="Z2423" s="105" t="e">
        <v>#N/A</v>
      </c>
      <c r="AA2423" s="102" t="e">
        <v>#N/A</v>
      </c>
    </row>
    <row r="2424" spans="19:27" x14ac:dyDescent="0.2">
      <c r="S2424" s="61"/>
      <c r="T2424" s="82"/>
      <c r="W2424" s="103" t="str">
        <f t="shared" si="46"/>
        <v>1w</v>
      </c>
      <c r="X2424" s="101">
        <f>_xll.qlCalendarAdvance(Calendar,X2423,W2424,"f",FALSE)</f>
        <v>56305</v>
      </c>
      <c r="Y2424" s="104">
        <f>_xll.qlCalendarAdvance(Calendar,X2424,NDays&amp;"D")</f>
        <v>56307</v>
      </c>
      <c r="Z2424" s="105" t="e">
        <v>#N/A</v>
      </c>
      <c r="AA2424" s="102" t="e">
        <v>#N/A</v>
      </c>
    </row>
    <row r="2425" spans="19:27" x14ac:dyDescent="0.2">
      <c r="S2425" s="61"/>
      <c r="T2425" s="82"/>
      <c r="W2425" s="103" t="str">
        <f t="shared" si="46"/>
        <v>1w</v>
      </c>
      <c r="X2425" s="101">
        <f>_xll.qlCalendarAdvance(Calendar,X2424,W2425,"f",FALSE)</f>
        <v>56312</v>
      </c>
      <c r="Y2425" s="104">
        <f>_xll.qlCalendarAdvance(Calendar,X2425,NDays&amp;"D")</f>
        <v>56314</v>
      </c>
      <c r="Z2425" s="105" t="e">
        <v>#N/A</v>
      </c>
      <c r="AA2425" s="102" t="e">
        <v>#N/A</v>
      </c>
    </row>
    <row r="2426" spans="19:27" x14ac:dyDescent="0.2">
      <c r="S2426" s="61"/>
      <c r="T2426" s="82"/>
      <c r="W2426" s="103" t="str">
        <f t="shared" si="46"/>
        <v>1w</v>
      </c>
      <c r="X2426" s="101">
        <f>_xll.qlCalendarAdvance(Calendar,X2425,W2426,"f",FALSE)</f>
        <v>56319</v>
      </c>
      <c r="Y2426" s="104">
        <f>_xll.qlCalendarAdvance(Calendar,X2426,NDays&amp;"D")</f>
        <v>56321</v>
      </c>
      <c r="Z2426" s="105" t="e">
        <v>#N/A</v>
      </c>
      <c r="AA2426" s="102" t="e">
        <v>#N/A</v>
      </c>
    </row>
    <row r="2427" spans="19:27" x14ac:dyDescent="0.2">
      <c r="S2427" s="61"/>
      <c r="T2427" s="82"/>
      <c r="W2427" s="103" t="str">
        <f t="shared" si="46"/>
        <v>1w</v>
      </c>
      <c r="X2427" s="101">
        <f>_xll.qlCalendarAdvance(Calendar,X2426,W2427,"f",FALSE)</f>
        <v>56326</v>
      </c>
      <c r="Y2427" s="104">
        <f>_xll.qlCalendarAdvance(Calendar,X2427,NDays&amp;"D")</f>
        <v>56328</v>
      </c>
      <c r="Z2427" s="105" t="e">
        <v>#N/A</v>
      </c>
      <c r="AA2427" s="102" t="e">
        <v>#N/A</v>
      </c>
    </row>
    <row r="2428" spans="19:27" x14ac:dyDescent="0.2">
      <c r="S2428" s="61"/>
      <c r="T2428" s="82"/>
      <c r="W2428" s="103" t="str">
        <f t="shared" si="46"/>
        <v>1w</v>
      </c>
      <c r="X2428" s="101">
        <f>_xll.qlCalendarAdvance(Calendar,X2427,W2428,"f",FALSE)</f>
        <v>56333</v>
      </c>
      <c r="Y2428" s="104">
        <f>_xll.qlCalendarAdvance(Calendar,X2428,NDays&amp;"D")</f>
        <v>56339</v>
      </c>
      <c r="Z2428" s="105" t="e">
        <v>#N/A</v>
      </c>
      <c r="AA2428" s="102" t="e">
        <v>#N/A</v>
      </c>
    </row>
    <row r="2429" spans="19:27" x14ac:dyDescent="0.2">
      <c r="S2429" s="61"/>
      <c r="T2429" s="82"/>
      <c r="W2429" s="103" t="str">
        <f t="shared" si="46"/>
        <v>1w</v>
      </c>
      <c r="X2429" s="101">
        <f>_xll.qlCalendarAdvance(Calendar,X2428,W2429,"f",FALSE)</f>
        <v>56340</v>
      </c>
      <c r="Y2429" s="104">
        <f>_xll.qlCalendarAdvance(Calendar,X2429,NDays&amp;"D")</f>
        <v>56342</v>
      </c>
      <c r="Z2429" s="105" t="e">
        <v>#N/A</v>
      </c>
      <c r="AA2429" s="102" t="e">
        <v>#N/A</v>
      </c>
    </row>
    <row r="2430" spans="19:27" x14ac:dyDescent="0.2">
      <c r="S2430" s="61"/>
      <c r="T2430" s="82"/>
      <c r="W2430" s="103" t="str">
        <f t="shared" si="46"/>
        <v>1w</v>
      </c>
      <c r="X2430" s="101">
        <f>_xll.qlCalendarAdvance(Calendar,X2429,W2430,"f",FALSE)</f>
        <v>56347</v>
      </c>
      <c r="Y2430" s="104">
        <f>_xll.qlCalendarAdvance(Calendar,X2430,NDays&amp;"D")</f>
        <v>56349</v>
      </c>
      <c r="Z2430" s="105" t="e">
        <v>#N/A</v>
      </c>
      <c r="AA2430" s="102" t="e">
        <v>#N/A</v>
      </c>
    </row>
    <row r="2431" spans="19:27" x14ac:dyDescent="0.2">
      <c r="S2431" s="61"/>
      <c r="T2431" s="82"/>
      <c r="W2431" s="103" t="str">
        <f t="shared" si="46"/>
        <v>1w</v>
      </c>
      <c r="X2431" s="101">
        <f>_xll.qlCalendarAdvance(Calendar,X2430,W2431,"f",FALSE)</f>
        <v>56354</v>
      </c>
      <c r="Y2431" s="104">
        <f>_xll.qlCalendarAdvance(Calendar,X2431,NDays&amp;"D")</f>
        <v>56356</v>
      </c>
      <c r="Z2431" s="105" t="e">
        <v>#N/A</v>
      </c>
      <c r="AA2431" s="102" t="e">
        <v>#N/A</v>
      </c>
    </row>
    <row r="2432" spans="19:27" x14ac:dyDescent="0.2">
      <c r="S2432" s="61"/>
      <c r="T2432" s="82"/>
      <c r="W2432" s="103" t="str">
        <f t="shared" si="46"/>
        <v>1w</v>
      </c>
      <c r="X2432" s="101">
        <f>_xll.qlCalendarAdvance(Calendar,X2431,W2432,"f",FALSE)</f>
        <v>56361</v>
      </c>
      <c r="Y2432" s="104">
        <f>_xll.qlCalendarAdvance(Calendar,X2432,NDays&amp;"D")</f>
        <v>56363</v>
      </c>
      <c r="Z2432" s="105" t="e">
        <v>#N/A</v>
      </c>
      <c r="AA2432" s="102" t="e">
        <v>#N/A</v>
      </c>
    </row>
    <row r="2433" spans="19:27" x14ac:dyDescent="0.2">
      <c r="S2433" s="61"/>
      <c r="T2433" s="82"/>
      <c r="W2433" s="103" t="str">
        <f t="shared" si="46"/>
        <v>1w</v>
      </c>
      <c r="X2433" s="101">
        <f>_xll.qlCalendarAdvance(Calendar,X2432,W2433,"f",FALSE)</f>
        <v>56368</v>
      </c>
      <c r="Y2433" s="104">
        <f>_xll.qlCalendarAdvance(Calendar,X2433,NDays&amp;"D")</f>
        <v>56373</v>
      </c>
      <c r="Z2433" s="105" t="e">
        <v>#N/A</v>
      </c>
      <c r="AA2433" s="102" t="e">
        <v>#N/A</v>
      </c>
    </row>
    <row r="2434" spans="19:27" x14ac:dyDescent="0.2">
      <c r="S2434" s="61"/>
      <c r="T2434" s="82"/>
      <c r="W2434" s="103" t="str">
        <f t="shared" si="46"/>
        <v>1w</v>
      </c>
      <c r="X2434" s="101">
        <f>_xll.qlCalendarAdvance(Calendar,X2433,W2434,"f",FALSE)</f>
        <v>56375</v>
      </c>
      <c r="Y2434" s="104">
        <f>_xll.qlCalendarAdvance(Calendar,X2434,NDays&amp;"D")</f>
        <v>56380</v>
      </c>
      <c r="Z2434" s="105" t="e">
        <v>#N/A</v>
      </c>
      <c r="AA2434" s="102" t="e">
        <v>#N/A</v>
      </c>
    </row>
    <row r="2435" spans="19:27" x14ac:dyDescent="0.2">
      <c r="S2435" s="61"/>
      <c r="T2435" s="82"/>
      <c r="W2435" s="103" t="str">
        <f t="shared" si="46"/>
        <v>1w</v>
      </c>
      <c r="X2435" s="101">
        <f>_xll.qlCalendarAdvance(Calendar,X2434,W2435,"f",FALSE)</f>
        <v>56382</v>
      </c>
      <c r="Y2435" s="104">
        <f>_xll.qlCalendarAdvance(Calendar,X2435,NDays&amp;"D")</f>
        <v>56384</v>
      </c>
      <c r="Z2435" s="105" t="e">
        <v>#N/A</v>
      </c>
      <c r="AA2435" s="102" t="e">
        <v>#N/A</v>
      </c>
    </row>
    <row r="2436" spans="19:27" x14ac:dyDescent="0.2">
      <c r="S2436" s="61"/>
      <c r="T2436" s="82"/>
      <c r="W2436" s="103" t="str">
        <f t="shared" si="46"/>
        <v>1w</v>
      </c>
      <c r="X2436" s="101">
        <f>_xll.qlCalendarAdvance(Calendar,X2435,W2436,"f",FALSE)</f>
        <v>56389</v>
      </c>
      <c r="Y2436" s="104">
        <f>_xll.qlCalendarAdvance(Calendar,X2436,NDays&amp;"D")</f>
        <v>56391</v>
      </c>
      <c r="Z2436" s="105" t="e">
        <v>#N/A</v>
      </c>
      <c r="AA2436" s="102" t="e">
        <v>#N/A</v>
      </c>
    </row>
    <row r="2437" spans="19:27" x14ac:dyDescent="0.2">
      <c r="S2437" s="61"/>
      <c r="T2437" s="82"/>
      <c r="W2437" s="103" t="str">
        <f t="shared" si="46"/>
        <v>1w</v>
      </c>
      <c r="X2437" s="101">
        <f>_xll.qlCalendarAdvance(Calendar,X2436,W2437,"f",FALSE)</f>
        <v>56396</v>
      </c>
      <c r="Y2437" s="104">
        <f>_xll.qlCalendarAdvance(Calendar,X2437,NDays&amp;"D")</f>
        <v>56398</v>
      </c>
      <c r="Z2437" s="105" t="e">
        <v>#N/A</v>
      </c>
      <c r="AA2437" s="102" t="e">
        <v>#N/A</v>
      </c>
    </row>
    <row r="2438" spans="19:27" x14ac:dyDescent="0.2">
      <c r="S2438" s="61"/>
      <c r="T2438" s="82"/>
      <c r="W2438" s="103" t="str">
        <f t="shared" si="46"/>
        <v>1w</v>
      </c>
      <c r="X2438" s="101">
        <f>_xll.qlCalendarAdvance(Calendar,X2437,W2438,"f",FALSE)</f>
        <v>56403</v>
      </c>
      <c r="Y2438" s="104">
        <f>_xll.qlCalendarAdvance(Calendar,X2438,NDays&amp;"D")</f>
        <v>56405</v>
      </c>
      <c r="Z2438" s="105" t="e">
        <v>#N/A</v>
      </c>
      <c r="AA2438" s="102" t="e">
        <v>#N/A</v>
      </c>
    </row>
    <row r="2439" spans="19:27" x14ac:dyDescent="0.2">
      <c r="S2439" s="61"/>
      <c r="T2439" s="82"/>
      <c r="W2439" s="103" t="str">
        <f t="shared" si="46"/>
        <v>1w</v>
      </c>
      <c r="X2439" s="101">
        <f>_xll.qlCalendarAdvance(Calendar,X2438,W2439,"f",FALSE)</f>
        <v>56410</v>
      </c>
      <c r="Y2439" s="104">
        <f>_xll.qlCalendarAdvance(Calendar,X2439,NDays&amp;"D")</f>
        <v>56412</v>
      </c>
      <c r="Z2439" s="105" t="e">
        <v>#N/A</v>
      </c>
      <c r="AA2439" s="102" t="e">
        <v>#N/A</v>
      </c>
    </row>
    <row r="2440" spans="19:27" x14ac:dyDescent="0.2">
      <c r="S2440" s="61"/>
      <c r="T2440" s="82"/>
      <c r="W2440" s="103" t="str">
        <f t="shared" si="46"/>
        <v>1w</v>
      </c>
      <c r="X2440" s="101">
        <f>_xll.qlCalendarAdvance(Calendar,X2439,W2440,"f",FALSE)</f>
        <v>56417</v>
      </c>
      <c r="Y2440" s="104">
        <f>_xll.qlCalendarAdvance(Calendar,X2440,NDays&amp;"D")</f>
        <v>56422</v>
      </c>
      <c r="Z2440" s="105" t="e">
        <v>#N/A</v>
      </c>
      <c r="AA2440" s="102" t="e">
        <v>#N/A</v>
      </c>
    </row>
    <row r="2441" spans="19:27" x14ac:dyDescent="0.2">
      <c r="S2441" s="61"/>
      <c r="T2441" s="82"/>
      <c r="W2441" s="103" t="str">
        <f t="shared" si="46"/>
        <v>1w</v>
      </c>
      <c r="X2441" s="101">
        <f>_xll.qlCalendarAdvance(Calendar,X2440,W2441,"f",FALSE)</f>
        <v>56424</v>
      </c>
      <c r="Y2441" s="104">
        <f>_xll.qlCalendarAdvance(Calendar,X2441,NDays&amp;"D")</f>
        <v>56426</v>
      </c>
      <c r="Z2441" s="105" t="e">
        <v>#N/A</v>
      </c>
      <c r="AA2441" s="102" t="e">
        <v>#N/A</v>
      </c>
    </row>
    <row r="2442" spans="19:27" x14ac:dyDescent="0.2">
      <c r="S2442" s="61"/>
      <c r="T2442" s="82"/>
      <c r="W2442" s="103" t="str">
        <f t="shared" si="46"/>
        <v>1w</v>
      </c>
      <c r="X2442" s="101">
        <f>_xll.qlCalendarAdvance(Calendar,X2441,W2442,"f",FALSE)</f>
        <v>56431</v>
      </c>
      <c r="Y2442" s="104">
        <f>_xll.qlCalendarAdvance(Calendar,X2442,NDays&amp;"D")</f>
        <v>56433</v>
      </c>
      <c r="Z2442" s="105" t="e">
        <v>#N/A</v>
      </c>
      <c r="AA2442" s="102" t="e">
        <v>#N/A</v>
      </c>
    </row>
    <row r="2443" spans="19:27" x14ac:dyDescent="0.2">
      <c r="S2443" s="61"/>
      <c r="T2443" s="82"/>
      <c r="W2443" s="103" t="str">
        <f t="shared" si="46"/>
        <v>1w</v>
      </c>
      <c r="X2443" s="101">
        <f>_xll.qlCalendarAdvance(Calendar,X2442,W2443,"f",FALSE)</f>
        <v>56438</v>
      </c>
      <c r="Y2443" s="104">
        <f>_xll.qlCalendarAdvance(Calendar,X2443,NDays&amp;"D")</f>
        <v>56440</v>
      </c>
      <c r="Z2443" s="105" t="e">
        <v>#N/A</v>
      </c>
      <c r="AA2443" s="102" t="e">
        <v>#N/A</v>
      </c>
    </row>
    <row r="2444" spans="19:27" x14ac:dyDescent="0.2">
      <c r="S2444" s="61"/>
      <c r="T2444" s="82"/>
      <c r="W2444" s="103" t="str">
        <f t="shared" si="46"/>
        <v>1w</v>
      </c>
      <c r="X2444" s="101">
        <f>_xll.qlCalendarAdvance(Calendar,X2443,W2444,"f",FALSE)</f>
        <v>56445</v>
      </c>
      <c r="Y2444" s="104">
        <f>_xll.qlCalendarAdvance(Calendar,X2444,NDays&amp;"D")</f>
        <v>56447</v>
      </c>
      <c r="Z2444" s="105" t="e">
        <v>#N/A</v>
      </c>
      <c r="AA2444" s="102" t="e">
        <v>#N/A</v>
      </c>
    </row>
    <row r="2445" spans="19:27" x14ac:dyDescent="0.2">
      <c r="S2445" s="61"/>
      <c r="T2445" s="82"/>
      <c r="W2445" s="103" t="str">
        <f t="shared" si="46"/>
        <v>1w</v>
      </c>
      <c r="X2445" s="101">
        <f>_xll.qlCalendarAdvance(Calendar,X2444,W2445,"f",FALSE)</f>
        <v>56452</v>
      </c>
      <c r="Y2445" s="104">
        <f>_xll.qlCalendarAdvance(Calendar,X2445,NDays&amp;"D")</f>
        <v>56454</v>
      </c>
      <c r="Z2445" s="105" t="e">
        <v>#N/A</v>
      </c>
      <c r="AA2445" s="102" t="e">
        <v>#N/A</v>
      </c>
    </row>
    <row r="2446" spans="19:27" x14ac:dyDescent="0.2">
      <c r="S2446" s="61"/>
      <c r="T2446" s="82"/>
      <c r="W2446" s="103" t="str">
        <f t="shared" si="46"/>
        <v>1w</v>
      </c>
      <c r="X2446" s="101">
        <f>_xll.qlCalendarAdvance(Calendar,X2445,W2446,"f",FALSE)</f>
        <v>56459</v>
      </c>
      <c r="Y2446" s="104">
        <f>_xll.qlCalendarAdvance(Calendar,X2446,NDays&amp;"D")</f>
        <v>56461</v>
      </c>
      <c r="Z2446" s="105" t="e">
        <v>#N/A</v>
      </c>
      <c r="AA2446" s="102" t="e">
        <v>#N/A</v>
      </c>
    </row>
    <row r="2447" spans="19:27" x14ac:dyDescent="0.2">
      <c r="S2447" s="61"/>
      <c r="T2447" s="82"/>
      <c r="W2447" s="103" t="str">
        <f t="shared" si="46"/>
        <v>1w</v>
      </c>
      <c r="X2447" s="101">
        <f>_xll.qlCalendarAdvance(Calendar,X2446,W2447,"f",FALSE)</f>
        <v>56466</v>
      </c>
      <c r="Y2447" s="104">
        <f>_xll.qlCalendarAdvance(Calendar,X2447,NDays&amp;"D")</f>
        <v>56468</v>
      </c>
      <c r="Z2447" s="105" t="e">
        <v>#N/A</v>
      </c>
      <c r="AA2447" s="102" t="e">
        <v>#N/A</v>
      </c>
    </row>
    <row r="2448" spans="19:27" x14ac:dyDescent="0.2">
      <c r="S2448" s="61"/>
      <c r="T2448" s="82"/>
      <c r="W2448" s="103" t="str">
        <f t="shared" si="46"/>
        <v>1w</v>
      </c>
      <c r="X2448" s="101">
        <f>_xll.qlCalendarAdvance(Calendar,X2447,W2448,"f",FALSE)</f>
        <v>56473</v>
      </c>
      <c r="Y2448" s="104">
        <f>_xll.qlCalendarAdvance(Calendar,X2448,NDays&amp;"D")</f>
        <v>56475</v>
      </c>
      <c r="Z2448" s="105" t="e">
        <v>#N/A</v>
      </c>
      <c r="AA2448" s="102" t="e">
        <v>#N/A</v>
      </c>
    </row>
    <row r="2449" spans="19:27" x14ac:dyDescent="0.2">
      <c r="S2449" s="61"/>
      <c r="T2449" s="82"/>
      <c r="W2449" s="103" t="str">
        <f t="shared" si="46"/>
        <v>1w</v>
      </c>
      <c r="X2449" s="101">
        <f>_xll.qlCalendarAdvance(Calendar,X2448,W2449,"f",FALSE)</f>
        <v>56480</v>
      </c>
      <c r="Y2449" s="104">
        <f>_xll.qlCalendarAdvance(Calendar,X2449,NDays&amp;"D")</f>
        <v>56482</v>
      </c>
      <c r="Z2449" s="105" t="e">
        <v>#N/A</v>
      </c>
      <c r="AA2449" s="102" t="e">
        <v>#N/A</v>
      </c>
    </row>
    <row r="2450" spans="19:27" x14ac:dyDescent="0.2">
      <c r="S2450" s="61"/>
      <c r="T2450" s="82"/>
      <c r="W2450" s="103" t="str">
        <f t="shared" si="46"/>
        <v>1w</v>
      </c>
      <c r="X2450" s="101">
        <f>_xll.qlCalendarAdvance(Calendar,X2449,W2450,"f",FALSE)</f>
        <v>56487</v>
      </c>
      <c r="Y2450" s="104">
        <f>_xll.qlCalendarAdvance(Calendar,X2450,NDays&amp;"D")</f>
        <v>56489</v>
      </c>
      <c r="Z2450" s="105" t="e">
        <v>#N/A</v>
      </c>
      <c r="AA2450" s="102" t="e">
        <v>#N/A</v>
      </c>
    </row>
    <row r="2451" spans="19:27" x14ac:dyDescent="0.2">
      <c r="S2451" s="61"/>
      <c r="T2451" s="82"/>
      <c r="W2451" s="103" t="str">
        <f t="shared" si="46"/>
        <v>1w</v>
      </c>
      <c r="X2451" s="101">
        <f>_xll.qlCalendarAdvance(Calendar,X2450,W2451,"f",FALSE)</f>
        <v>56494</v>
      </c>
      <c r="Y2451" s="104">
        <f>_xll.qlCalendarAdvance(Calendar,X2451,NDays&amp;"D")</f>
        <v>56496</v>
      </c>
      <c r="Z2451" s="105" t="e">
        <v>#N/A</v>
      </c>
      <c r="AA2451" s="102" t="e">
        <v>#N/A</v>
      </c>
    </row>
    <row r="2452" spans="19:27" x14ac:dyDescent="0.2">
      <c r="S2452" s="61"/>
      <c r="T2452" s="82"/>
      <c r="W2452" s="103" t="str">
        <f t="shared" si="46"/>
        <v>1w</v>
      </c>
      <c r="X2452" s="101">
        <f>_xll.qlCalendarAdvance(Calendar,X2451,W2452,"f",FALSE)</f>
        <v>56501</v>
      </c>
      <c r="Y2452" s="104">
        <f>_xll.qlCalendarAdvance(Calendar,X2452,NDays&amp;"D")</f>
        <v>56503</v>
      </c>
      <c r="Z2452" s="105" t="e">
        <v>#N/A</v>
      </c>
      <c r="AA2452" s="102" t="e">
        <v>#N/A</v>
      </c>
    </row>
    <row r="2453" spans="19:27" x14ac:dyDescent="0.2">
      <c r="S2453" s="61"/>
      <c r="T2453" s="82"/>
      <c r="W2453" s="103" t="str">
        <f t="shared" ref="W2453:W2516" si="47">W2452</f>
        <v>1w</v>
      </c>
      <c r="X2453" s="101">
        <f>_xll.qlCalendarAdvance(Calendar,X2452,W2453,"f",FALSE)</f>
        <v>56508</v>
      </c>
      <c r="Y2453" s="104">
        <f>_xll.qlCalendarAdvance(Calendar,X2453,NDays&amp;"D")</f>
        <v>56510</v>
      </c>
      <c r="Z2453" s="105" t="e">
        <v>#N/A</v>
      </c>
      <c r="AA2453" s="102" t="e">
        <v>#N/A</v>
      </c>
    </row>
    <row r="2454" spans="19:27" x14ac:dyDescent="0.2">
      <c r="S2454" s="61"/>
      <c r="T2454" s="82"/>
      <c r="W2454" s="103" t="str">
        <f t="shared" si="47"/>
        <v>1w</v>
      </c>
      <c r="X2454" s="101">
        <f>_xll.qlCalendarAdvance(Calendar,X2453,W2454,"f",FALSE)</f>
        <v>56515</v>
      </c>
      <c r="Y2454" s="104">
        <f>_xll.qlCalendarAdvance(Calendar,X2454,NDays&amp;"D")</f>
        <v>56517</v>
      </c>
      <c r="Z2454" s="105" t="e">
        <v>#N/A</v>
      </c>
      <c r="AA2454" s="102" t="e">
        <v>#N/A</v>
      </c>
    </row>
    <row r="2455" spans="19:27" x14ac:dyDescent="0.2">
      <c r="S2455" s="61"/>
      <c r="T2455" s="82"/>
      <c r="W2455" s="103" t="str">
        <f t="shared" si="47"/>
        <v>1w</v>
      </c>
      <c r="X2455" s="101">
        <f>_xll.qlCalendarAdvance(Calendar,X2454,W2455,"f",FALSE)</f>
        <v>56522</v>
      </c>
      <c r="Y2455" s="104">
        <f>_xll.qlCalendarAdvance(Calendar,X2455,NDays&amp;"D")</f>
        <v>56524</v>
      </c>
      <c r="Z2455" s="105" t="e">
        <v>#N/A</v>
      </c>
      <c r="AA2455" s="102" t="e">
        <v>#N/A</v>
      </c>
    </row>
    <row r="2456" spans="19:27" x14ac:dyDescent="0.2">
      <c r="S2456" s="61"/>
      <c r="T2456" s="82"/>
      <c r="W2456" s="103" t="str">
        <f t="shared" si="47"/>
        <v>1w</v>
      </c>
      <c r="X2456" s="101">
        <f>_xll.qlCalendarAdvance(Calendar,X2455,W2456,"f",FALSE)</f>
        <v>56529</v>
      </c>
      <c r="Y2456" s="104">
        <f>_xll.qlCalendarAdvance(Calendar,X2456,NDays&amp;"D")</f>
        <v>56531</v>
      </c>
      <c r="Z2456" s="105" t="e">
        <v>#N/A</v>
      </c>
      <c r="AA2456" s="102" t="e">
        <v>#N/A</v>
      </c>
    </row>
    <row r="2457" spans="19:27" x14ac:dyDescent="0.2">
      <c r="S2457" s="61"/>
      <c r="T2457" s="82"/>
      <c r="W2457" s="103" t="str">
        <f t="shared" si="47"/>
        <v>1w</v>
      </c>
      <c r="X2457" s="101">
        <f>_xll.qlCalendarAdvance(Calendar,X2456,W2457,"f",FALSE)</f>
        <v>56536</v>
      </c>
      <c r="Y2457" s="104">
        <f>_xll.qlCalendarAdvance(Calendar,X2457,NDays&amp;"D")</f>
        <v>56538</v>
      </c>
      <c r="Z2457" s="105" t="e">
        <v>#N/A</v>
      </c>
      <c r="AA2457" s="102" t="e">
        <v>#N/A</v>
      </c>
    </row>
    <row r="2458" spans="19:27" x14ac:dyDescent="0.2">
      <c r="S2458" s="61"/>
      <c r="T2458" s="82"/>
      <c r="W2458" s="103" t="str">
        <f t="shared" si="47"/>
        <v>1w</v>
      </c>
      <c r="X2458" s="101">
        <f>_xll.qlCalendarAdvance(Calendar,X2457,W2458,"f",FALSE)</f>
        <v>56543</v>
      </c>
      <c r="Y2458" s="104">
        <f>_xll.qlCalendarAdvance(Calendar,X2458,NDays&amp;"D")</f>
        <v>56545</v>
      </c>
      <c r="Z2458" s="105" t="e">
        <v>#N/A</v>
      </c>
      <c r="AA2458" s="102" t="e">
        <v>#N/A</v>
      </c>
    </row>
    <row r="2459" spans="19:27" x14ac:dyDescent="0.2">
      <c r="S2459" s="61"/>
      <c r="T2459" s="82"/>
      <c r="W2459" s="103" t="str">
        <f t="shared" si="47"/>
        <v>1w</v>
      </c>
      <c r="X2459" s="101">
        <f>_xll.qlCalendarAdvance(Calendar,X2458,W2459,"f",FALSE)</f>
        <v>56550</v>
      </c>
      <c r="Y2459" s="104">
        <f>_xll.qlCalendarAdvance(Calendar,X2459,NDays&amp;"D")</f>
        <v>56552</v>
      </c>
      <c r="Z2459" s="105" t="e">
        <v>#N/A</v>
      </c>
      <c r="AA2459" s="102" t="e">
        <v>#N/A</v>
      </c>
    </row>
    <row r="2460" spans="19:27" x14ac:dyDescent="0.2">
      <c r="S2460" s="61"/>
      <c r="T2460" s="82"/>
      <c r="W2460" s="103" t="str">
        <f t="shared" si="47"/>
        <v>1w</v>
      </c>
      <c r="X2460" s="101">
        <f>_xll.qlCalendarAdvance(Calendar,X2459,W2460,"f",FALSE)</f>
        <v>56557</v>
      </c>
      <c r="Y2460" s="104">
        <f>_xll.qlCalendarAdvance(Calendar,X2460,NDays&amp;"D")</f>
        <v>56559</v>
      </c>
      <c r="Z2460" s="105" t="e">
        <v>#N/A</v>
      </c>
      <c r="AA2460" s="102" t="e">
        <v>#N/A</v>
      </c>
    </row>
    <row r="2461" spans="19:27" x14ac:dyDescent="0.2">
      <c r="S2461" s="61"/>
      <c r="T2461" s="82"/>
      <c r="W2461" s="103" t="str">
        <f t="shared" si="47"/>
        <v>1w</v>
      </c>
      <c r="X2461" s="101">
        <f>_xll.qlCalendarAdvance(Calendar,X2460,W2461,"f",FALSE)</f>
        <v>56564</v>
      </c>
      <c r="Y2461" s="104">
        <f>_xll.qlCalendarAdvance(Calendar,X2461,NDays&amp;"D")</f>
        <v>56566</v>
      </c>
      <c r="Z2461" s="105" t="e">
        <v>#N/A</v>
      </c>
      <c r="AA2461" s="102" t="e">
        <v>#N/A</v>
      </c>
    </row>
    <row r="2462" spans="19:27" x14ac:dyDescent="0.2">
      <c r="S2462" s="61"/>
      <c r="T2462" s="82"/>
      <c r="W2462" s="103" t="str">
        <f t="shared" si="47"/>
        <v>1w</v>
      </c>
      <c r="X2462" s="101">
        <f>_xll.qlCalendarAdvance(Calendar,X2461,W2462,"f",FALSE)</f>
        <v>56571</v>
      </c>
      <c r="Y2462" s="104">
        <f>_xll.qlCalendarAdvance(Calendar,X2462,NDays&amp;"D")</f>
        <v>56573</v>
      </c>
      <c r="Z2462" s="105" t="e">
        <v>#N/A</v>
      </c>
      <c r="AA2462" s="102" t="e">
        <v>#N/A</v>
      </c>
    </row>
    <row r="2463" spans="19:27" x14ac:dyDescent="0.2">
      <c r="S2463" s="61"/>
      <c r="T2463" s="82"/>
      <c r="W2463" s="103" t="str">
        <f t="shared" si="47"/>
        <v>1w</v>
      </c>
      <c r="X2463" s="101">
        <f>_xll.qlCalendarAdvance(Calendar,X2462,W2463,"f",FALSE)</f>
        <v>56578</v>
      </c>
      <c r="Y2463" s="104">
        <f>_xll.qlCalendarAdvance(Calendar,X2463,NDays&amp;"D")</f>
        <v>56580</v>
      </c>
      <c r="Z2463" s="105" t="e">
        <v>#N/A</v>
      </c>
      <c r="AA2463" s="102" t="e">
        <v>#N/A</v>
      </c>
    </row>
    <row r="2464" spans="19:27" x14ac:dyDescent="0.2">
      <c r="S2464" s="61"/>
      <c r="T2464" s="82"/>
      <c r="W2464" s="103" t="str">
        <f t="shared" si="47"/>
        <v>1w</v>
      </c>
      <c r="X2464" s="101">
        <f>_xll.qlCalendarAdvance(Calendar,X2463,W2464,"f",FALSE)</f>
        <v>56585</v>
      </c>
      <c r="Y2464" s="104">
        <f>_xll.qlCalendarAdvance(Calendar,X2464,NDays&amp;"D")</f>
        <v>56587</v>
      </c>
      <c r="Z2464" s="105" t="e">
        <v>#N/A</v>
      </c>
      <c r="AA2464" s="102" t="e">
        <v>#N/A</v>
      </c>
    </row>
    <row r="2465" spans="19:27" x14ac:dyDescent="0.2">
      <c r="S2465" s="61"/>
      <c r="T2465" s="82"/>
      <c r="W2465" s="103" t="str">
        <f t="shared" si="47"/>
        <v>1w</v>
      </c>
      <c r="X2465" s="101">
        <f>_xll.qlCalendarAdvance(Calendar,X2464,W2465,"f",FALSE)</f>
        <v>56592</v>
      </c>
      <c r="Y2465" s="104">
        <f>_xll.qlCalendarAdvance(Calendar,X2465,NDays&amp;"D")</f>
        <v>56594</v>
      </c>
      <c r="Z2465" s="105" t="e">
        <v>#N/A</v>
      </c>
      <c r="AA2465" s="102" t="e">
        <v>#N/A</v>
      </c>
    </row>
    <row r="2466" spans="19:27" x14ac:dyDescent="0.2">
      <c r="S2466" s="61"/>
      <c r="T2466" s="82"/>
      <c r="W2466" s="103" t="str">
        <f t="shared" si="47"/>
        <v>1w</v>
      </c>
      <c r="X2466" s="101">
        <f>_xll.qlCalendarAdvance(Calendar,X2465,W2466,"f",FALSE)</f>
        <v>56599</v>
      </c>
      <c r="Y2466" s="104">
        <f>_xll.qlCalendarAdvance(Calendar,X2466,NDays&amp;"D")</f>
        <v>56601</v>
      </c>
      <c r="Z2466" s="105" t="e">
        <v>#N/A</v>
      </c>
      <c r="AA2466" s="102" t="e">
        <v>#N/A</v>
      </c>
    </row>
    <row r="2467" spans="19:27" x14ac:dyDescent="0.2">
      <c r="S2467" s="61"/>
      <c r="T2467" s="82"/>
      <c r="W2467" s="103" t="str">
        <f t="shared" si="47"/>
        <v>1w</v>
      </c>
      <c r="X2467" s="101">
        <f>_xll.qlCalendarAdvance(Calendar,X2466,W2467,"f",FALSE)</f>
        <v>56606</v>
      </c>
      <c r="Y2467" s="104">
        <f>_xll.qlCalendarAdvance(Calendar,X2467,NDays&amp;"D")</f>
        <v>56612</v>
      </c>
      <c r="Z2467" s="105" t="e">
        <v>#N/A</v>
      </c>
      <c r="AA2467" s="102" t="e">
        <v>#N/A</v>
      </c>
    </row>
    <row r="2468" spans="19:27" x14ac:dyDescent="0.2">
      <c r="S2468" s="61"/>
      <c r="T2468" s="82"/>
      <c r="W2468" s="103" t="str">
        <f t="shared" si="47"/>
        <v>1w</v>
      </c>
      <c r="X2468" s="101">
        <f>_xll.qlCalendarAdvance(Calendar,X2467,W2468,"f",FALSE)</f>
        <v>56613</v>
      </c>
      <c r="Y2468" s="104">
        <f>_xll.qlCalendarAdvance(Calendar,X2468,NDays&amp;"D")</f>
        <v>56619</v>
      </c>
      <c r="Z2468" s="105" t="e">
        <v>#N/A</v>
      </c>
      <c r="AA2468" s="102" t="e">
        <v>#N/A</v>
      </c>
    </row>
    <row r="2469" spans="19:27" x14ac:dyDescent="0.2">
      <c r="S2469" s="61"/>
      <c r="T2469" s="82"/>
      <c r="W2469" s="103" t="str">
        <f t="shared" si="47"/>
        <v>1w</v>
      </c>
      <c r="X2469" s="101">
        <f>_xll.qlCalendarAdvance(Calendar,X2468,W2469,"f",FALSE)</f>
        <v>56621</v>
      </c>
      <c r="Y2469" s="104">
        <f>_xll.qlCalendarAdvance(Calendar,X2469,NDays&amp;"D")</f>
        <v>56625</v>
      </c>
      <c r="Z2469" s="105" t="e">
        <v>#N/A</v>
      </c>
      <c r="AA2469" s="102" t="e">
        <v>#N/A</v>
      </c>
    </row>
    <row r="2470" spans="19:27" x14ac:dyDescent="0.2">
      <c r="S2470" s="61"/>
      <c r="T2470" s="82"/>
      <c r="W2470" s="103" t="str">
        <f t="shared" si="47"/>
        <v>1w</v>
      </c>
      <c r="X2470" s="101">
        <f>_xll.qlCalendarAdvance(Calendar,X2469,W2470,"f",FALSE)</f>
        <v>56628</v>
      </c>
      <c r="Y2470" s="104">
        <f>_xll.qlCalendarAdvance(Calendar,X2470,NDays&amp;"D")</f>
        <v>56632</v>
      </c>
      <c r="Z2470" s="105" t="e">
        <v>#N/A</v>
      </c>
      <c r="AA2470" s="102" t="e">
        <v>#N/A</v>
      </c>
    </row>
    <row r="2471" spans="19:27" x14ac:dyDescent="0.2">
      <c r="S2471" s="61"/>
      <c r="T2471" s="82"/>
      <c r="W2471" s="103" t="str">
        <f t="shared" si="47"/>
        <v>1w</v>
      </c>
      <c r="X2471" s="101">
        <f>_xll.qlCalendarAdvance(Calendar,X2470,W2471,"f",FALSE)</f>
        <v>56635</v>
      </c>
      <c r="Y2471" s="104">
        <f>_xll.qlCalendarAdvance(Calendar,X2471,NDays&amp;"D")</f>
        <v>56639</v>
      </c>
      <c r="Z2471" s="105" t="e">
        <v>#N/A</v>
      </c>
      <c r="AA2471" s="102" t="e">
        <v>#N/A</v>
      </c>
    </row>
    <row r="2472" spans="19:27" x14ac:dyDescent="0.2">
      <c r="S2472" s="61"/>
      <c r="T2472" s="82"/>
      <c r="W2472" s="103" t="str">
        <f t="shared" si="47"/>
        <v>1w</v>
      </c>
      <c r="X2472" s="101">
        <f>_xll.qlCalendarAdvance(Calendar,X2471,W2472,"f",FALSE)</f>
        <v>56642</v>
      </c>
      <c r="Y2472" s="104">
        <f>_xll.qlCalendarAdvance(Calendar,X2472,NDays&amp;"D")</f>
        <v>56646</v>
      </c>
      <c r="Z2472" s="105" t="e">
        <v>#N/A</v>
      </c>
      <c r="AA2472" s="102" t="e">
        <v>#N/A</v>
      </c>
    </row>
    <row r="2473" spans="19:27" x14ac:dyDescent="0.2">
      <c r="S2473" s="61"/>
      <c r="T2473" s="82"/>
      <c r="W2473" s="103" t="str">
        <f t="shared" si="47"/>
        <v>1w</v>
      </c>
      <c r="X2473" s="101">
        <f>_xll.qlCalendarAdvance(Calendar,X2472,W2473,"f",FALSE)</f>
        <v>56649</v>
      </c>
      <c r="Y2473" s="104">
        <f>_xll.qlCalendarAdvance(Calendar,X2473,NDays&amp;"D")</f>
        <v>56653</v>
      </c>
      <c r="Z2473" s="105" t="e">
        <v>#N/A</v>
      </c>
      <c r="AA2473" s="102" t="e">
        <v>#N/A</v>
      </c>
    </row>
    <row r="2474" spans="19:27" x14ac:dyDescent="0.2">
      <c r="S2474" s="61"/>
      <c r="T2474" s="82"/>
      <c r="W2474" s="103" t="str">
        <f t="shared" si="47"/>
        <v>1w</v>
      </c>
      <c r="X2474" s="101">
        <f>_xll.qlCalendarAdvance(Calendar,X2473,W2474,"f",FALSE)</f>
        <v>56656</v>
      </c>
      <c r="Y2474" s="104">
        <f>_xll.qlCalendarAdvance(Calendar,X2474,NDays&amp;"D")</f>
        <v>56660</v>
      </c>
      <c r="Z2474" s="105" t="e">
        <v>#N/A</v>
      </c>
      <c r="AA2474" s="102" t="e">
        <v>#N/A</v>
      </c>
    </row>
    <row r="2475" spans="19:27" x14ac:dyDescent="0.2">
      <c r="S2475" s="61"/>
      <c r="T2475" s="82"/>
      <c r="W2475" s="103" t="str">
        <f t="shared" si="47"/>
        <v>1w</v>
      </c>
      <c r="X2475" s="101">
        <f>_xll.qlCalendarAdvance(Calendar,X2474,W2475,"f",FALSE)</f>
        <v>56663</v>
      </c>
      <c r="Y2475" s="104">
        <f>_xll.qlCalendarAdvance(Calendar,X2475,NDays&amp;"D")</f>
        <v>56667</v>
      </c>
      <c r="Z2475" s="105" t="e">
        <v>#N/A</v>
      </c>
      <c r="AA2475" s="102" t="e">
        <v>#N/A</v>
      </c>
    </row>
    <row r="2476" spans="19:27" x14ac:dyDescent="0.2">
      <c r="S2476" s="61"/>
      <c r="T2476" s="82"/>
      <c r="W2476" s="103" t="str">
        <f t="shared" si="47"/>
        <v>1w</v>
      </c>
      <c r="X2476" s="101">
        <f>_xll.qlCalendarAdvance(Calendar,X2475,W2476,"f",FALSE)</f>
        <v>56670</v>
      </c>
      <c r="Y2476" s="104">
        <f>_xll.qlCalendarAdvance(Calendar,X2476,NDays&amp;"D")</f>
        <v>56674</v>
      </c>
      <c r="Z2476" s="105" t="e">
        <v>#N/A</v>
      </c>
      <c r="AA2476" s="102" t="e">
        <v>#N/A</v>
      </c>
    </row>
    <row r="2477" spans="19:27" x14ac:dyDescent="0.2">
      <c r="S2477" s="61"/>
      <c r="T2477" s="82"/>
      <c r="W2477" s="103" t="str">
        <f t="shared" si="47"/>
        <v>1w</v>
      </c>
      <c r="X2477" s="101">
        <f>_xll.qlCalendarAdvance(Calendar,X2476,W2477,"f",FALSE)</f>
        <v>56677</v>
      </c>
      <c r="Y2477" s="104">
        <f>_xll.qlCalendarAdvance(Calendar,X2477,NDays&amp;"D")</f>
        <v>56681</v>
      </c>
      <c r="Z2477" s="105" t="e">
        <v>#N/A</v>
      </c>
      <c r="AA2477" s="102" t="e">
        <v>#N/A</v>
      </c>
    </row>
    <row r="2478" spans="19:27" x14ac:dyDescent="0.2">
      <c r="S2478" s="61"/>
      <c r="T2478" s="82"/>
      <c r="W2478" s="103" t="str">
        <f t="shared" si="47"/>
        <v>1w</v>
      </c>
      <c r="X2478" s="101">
        <f>_xll.qlCalendarAdvance(Calendar,X2477,W2478,"f",FALSE)</f>
        <v>56684</v>
      </c>
      <c r="Y2478" s="104">
        <f>_xll.qlCalendarAdvance(Calendar,X2478,NDays&amp;"D")</f>
        <v>56688</v>
      </c>
      <c r="Z2478" s="105" t="e">
        <v>#N/A</v>
      </c>
      <c r="AA2478" s="102" t="e">
        <v>#N/A</v>
      </c>
    </row>
    <row r="2479" spans="19:27" x14ac:dyDescent="0.2">
      <c r="S2479" s="61"/>
      <c r="T2479" s="82"/>
      <c r="W2479" s="103" t="str">
        <f t="shared" si="47"/>
        <v>1w</v>
      </c>
      <c r="X2479" s="101">
        <f>_xll.qlCalendarAdvance(Calendar,X2478,W2479,"f",FALSE)</f>
        <v>56691</v>
      </c>
      <c r="Y2479" s="104">
        <f>_xll.qlCalendarAdvance(Calendar,X2479,NDays&amp;"D")</f>
        <v>56695</v>
      </c>
      <c r="Z2479" s="105" t="e">
        <v>#N/A</v>
      </c>
      <c r="AA2479" s="102" t="e">
        <v>#N/A</v>
      </c>
    </row>
    <row r="2480" spans="19:27" x14ac:dyDescent="0.2">
      <c r="S2480" s="61"/>
      <c r="T2480" s="82"/>
      <c r="W2480" s="103" t="str">
        <f t="shared" si="47"/>
        <v>1w</v>
      </c>
      <c r="X2480" s="101">
        <f>_xll.qlCalendarAdvance(Calendar,X2479,W2480,"f",FALSE)</f>
        <v>56698</v>
      </c>
      <c r="Y2480" s="104">
        <f>_xll.qlCalendarAdvance(Calendar,X2480,NDays&amp;"D")</f>
        <v>56702</v>
      </c>
      <c r="Z2480" s="105" t="e">
        <v>#N/A</v>
      </c>
      <c r="AA2480" s="102" t="e">
        <v>#N/A</v>
      </c>
    </row>
    <row r="2481" spans="19:27" x14ac:dyDescent="0.2">
      <c r="S2481" s="61"/>
      <c r="T2481" s="82"/>
      <c r="W2481" s="103" t="str">
        <f t="shared" si="47"/>
        <v>1w</v>
      </c>
      <c r="X2481" s="101">
        <f>_xll.qlCalendarAdvance(Calendar,X2480,W2481,"f",FALSE)</f>
        <v>56705</v>
      </c>
      <c r="Y2481" s="104">
        <f>_xll.qlCalendarAdvance(Calendar,X2481,NDays&amp;"D")</f>
        <v>56709</v>
      </c>
      <c r="Z2481" s="105" t="e">
        <v>#N/A</v>
      </c>
      <c r="AA2481" s="102" t="e">
        <v>#N/A</v>
      </c>
    </row>
    <row r="2482" spans="19:27" x14ac:dyDescent="0.2">
      <c r="S2482" s="61"/>
      <c r="T2482" s="82"/>
      <c r="W2482" s="103" t="str">
        <f t="shared" si="47"/>
        <v>1w</v>
      </c>
      <c r="X2482" s="101">
        <f>_xll.qlCalendarAdvance(Calendar,X2481,W2482,"f",FALSE)</f>
        <v>56712</v>
      </c>
      <c r="Y2482" s="104">
        <f>_xll.qlCalendarAdvance(Calendar,X2482,NDays&amp;"D")</f>
        <v>56716</v>
      </c>
      <c r="Z2482" s="105" t="e">
        <v>#N/A</v>
      </c>
      <c r="AA2482" s="102" t="e">
        <v>#N/A</v>
      </c>
    </row>
    <row r="2483" spans="19:27" x14ac:dyDescent="0.2">
      <c r="S2483" s="61"/>
      <c r="T2483" s="82"/>
      <c r="W2483" s="103" t="str">
        <f t="shared" si="47"/>
        <v>1w</v>
      </c>
      <c r="X2483" s="101">
        <f>_xll.qlCalendarAdvance(Calendar,X2482,W2483,"f",FALSE)</f>
        <v>56719</v>
      </c>
      <c r="Y2483" s="104">
        <f>_xll.qlCalendarAdvance(Calendar,X2483,NDays&amp;"D")</f>
        <v>56725</v>
      </c>
      <c r="Z2483" s="105" t="e">
        <v>#N/A</v>
      </c>
      <c r="AA2483" s="102" t="e">
        <v>#N/A</v>
      </c>
    </row>
    <row r="2484" spans="19:27" x14ac:dyDescent="0.2">
      <c r="S2484" s="61"/>
      <c r="T2484" s="82"/>
      <c r="W2484" s="103" t="str">
        <f t="shared" si="47"/>
        <v>1w</v>
      </c>
      <c r="X2484" s="101">
        <f>_xll.qlCalendarAdvance(Calendar,X2483,W2484,"f",FALSE)</f>
        <v>56726</v>
      </c>
      <c r="Y2484" s="104">
        <f>_xll.qlCalendarAdvance(Calendar,X2484,NDays&amp;"D")</f>
        <v>56730</v>
      </c>
      <c r="Z2484" s="105" t="e">
        <v>#N/A</v>
      </c>
      <c r="AA2484" s="102" t="e">
        <v>#N/A</v>
      </c>
    </row>
    <row r="2485" spans="19:27" x14ac:dyDescent="0.2">
      <c r="S2485" s="61"/>
      <c r="T2485" s="82"/>
      <c r="W2485" s="103" t="str">
        <f t="shared" si="47"/>
        <v>1w</v>
      </c>
      <c r="X2485" s="101">
        <f>_xll.qlCalendarAdvance(Calendar,X2484,W2485,"f",FALSE)</f>
        <v>56733</v>
      </c>
      <c r="Y2485" s="104">
        <f>_xll.qlCalendarAdvance(Calendar,X2485,NDays&amp;"D")</f>
        <v>56737</v>
      </c>
      <c r="Z2485" s="105" t="e">
        <v>#N/A</v>
      </c>
      <c r="AA2485" s="102" t="e">
        <v>#N/A</v>
      </c>
    </row>
    <row r="2486" spans="19:27" x14ac:dyDescent="0.2">
      <c r="S2486" s="61"/>
      <c r="T2486" s="82"/>
      <c r="W2486" s="103" t="str">
        <f t="shared" si="47"/>
        <v>1w</v>
      </c>
      <c r="X2486" s="101">
        <f>_xll.qlCalendarAdvance(Calendar,X2485,W2486,"f",FALSE)</f>
        <v>56740</v>
      </c>
      <c r="Y2486" s="104">
        <f>_xll.qlCalendarAdvance(Calendar,X2486,NDays&amp;"D")</f>
        <v>56744</v>
      </c>
      <c r="Z2486" s="105" t="e">
        <v>#N/A</v>
      </c>
      <c r="AA2486" s="102" t="e">
        <v>#N/A</v>
      </c>
    </row>
    <row r="2487" spans="19:27" x14ac:dyDescent="0.2">
      <c r="S2487" s="61"/>
      <c r="T2487" s="82"/>
      <c r="W2487" s="103" t="str">
        <f t="shared" si="47"/>
        <v>1w</v>
      </c>
      <c r="X2487" s="101">
        <f>_xll.qlCalendarAdvance(Calendar,X2486,W2487,"f",FALSE)</f>
        <v>56747</v>
      </c>
      <c r="Y2487" s="104">
        <f>_xll.qlCalendarAdvance(Calendar,X2487,NDays&amp;"D")</f>
        <v>56751</v>
      </c>
      <c r="Z2487" s="105" t="e">
        <v>#N/A</v>
      </c>
      <c r="AA2487" s="102" t="e">
        <v>#N/A</v>
      </c>
    </row>
    <row r="2488" spans="19:27" x14ac:dyDescent="0.2">
      <c r="S2488" s="61"/>
      <c r="T2488" s="82"/>
      <c r="W2488" s="103" t="str">
        <f t="shared" si="47"/>
        <v>1w</v>
      </c>
      <c r="X2488" s="101">
        <f>_xll.qlCalendarAdvance(Calendar,X2487,W2488,"f",FALSE)</f>
        <v>56754</v>
      </c>
      <c r="Y2488" s="104">
        <f>_xll.qlCalendarAdvance(Calendar,X2488,NDays&amp;"D")</f>
        <v>56758</v>
      </c>
      <c r="Z2488" s="105" t="e">
        <v>#N/A</v>
      </c>
      <c r="AA2488" s="102" t="e">
        <v>#N/A</v>
      </c>
    </row>
    <row r="2489" spans="19:27" x14ac:dyDescent="0.2">
      <c r="S2489" s="61"/>
      <c r="T2489" s="82"/>
      <c r="W2489" s="103" t="str">
        <f t="shared" si="47"/>
        <v>1w</v>
      </c>
      <c r="X2489" s="101">
        <f>_xll.qlCalendarAdvance(Calendar,X2488,W2489,"f",FALSE)</f>
        <v>56762</v>
      </c>
      <c r="Y2489" s="104">
        <f>_xll.qlCalendarAdvance(Calendar,X2489,NDays&amp;"D")</f>
        <v>56766</v>
      </c>
      <c r="Z2489" s="105" t="e">
        <v>#N/A</v>
      </c>
      <c r="AA2489" s="102" t="e">
        <v>#N/A</v>
      </c>
    </row>
    <row r="2490" spans="19:27" x14ac:dyDescent="0.2">
      <c r="S2490" s="61"/>
      <c r="T2490" s="82"/>
      <c r="W2490" s="103" t="str">
        <f t="shared" si="47"/>
        <v>1w</v>
      </c>
      <c r="X2490" s="101">
        <f>_xll.qlCalendarAdvance(Calendar,X2489,W2490,"f",FALSE)</f>
        <v>56769</v>
      </c>
      <c r="Y2490" s="104">
        <f>_xll.qlCalendarAdvance(Calendar,X2490,NDays&amp;"D")</f>
        <v>56774</v>
      </c>
      <c r="Z2490" s="105" t="e">
        <v>#N/A</v>
      </c>
      <c r="AA2490" s="102" t="e">
        <v>#N/A</v>
      </c>
    </row>
    <row r="2491" spans="19:27" x14ac:dyDescent="0.2">
      <c r="S2491" s="61"/>
      <c r="T2491" s="82"/>
      <c r="W2491" s="103" t="str">
        <f t="shared" si="47"/>
        <v>1w</v>
      </c>
      <c r="X2491" s="101">
        <f>_xll.qlCalendarAdvance(Calendar,X2490,W2491,"f",FALSE)</f>
        <v>56776</v>
      </c>
      <c r="Y2491" s="104">
        <f>_xll.qlCalendarAdvance(Calendar,X2491,NDays&amp;"D")</f>
        <v>56780</v>
      </c>
      <c r="Z2491" s="105" t="e">
        <v>#N/A</v>
      </c>
      <c r="AA2491" s="102" t="e">
        <v>#N/A</v>
      </c>
    </row>
    <row r="2492" spans="19:27" x14ac:dyDescent="0.2">
      <c r="S2492" s="61"/>
      <c r="T2492" s="82"/>
      <c r="W2492" s="103" t="str">
        <f t="shared" si="47"/>
        <v>1w</v>
      </c>
      <c r="X2492" s="101">
        <f>_xll.qlCalendarAdvance(Calendar,X2491,W2492,"f",FALSE)</f>
        <v>56783</v>
      </c>
      <c r="Y2492" s="104">
        <f>_xll.qlCalendarAdvance(Calendar,X2492,NDays&amp;"D")</f>
        <v>56787</v>
      </c>
      <c r="Z2492" s="105" t="e">
        <v>#N/A</v>
      </c>
      <c r="AA2492" s="102" t="e">
        <v>#N/A</v>
      </c>
    </row>
    <row r="2493" spans="19:27" x14ac:dyDescent="0.2">
      <c r="S2493" s="61"/>
      <c r="T2493" s="82"/>
      <c r="W2493" s="103" t="str">
        <f t="shared" si="47"/>
        <v>1w</v>
      </c>
      <c r="X2493" s="101">
        <f>_xll.qlCalendarAdvance(Calendar,X2492,W2493,"f",FALSE)</f>
        <v>56793</v>
      </c>
      <c r="Y2493" s="104">
        <f>_xll.qlCalendarAdvance(Calendar,X2493,NDays&amp;"D")</f>
        <v>56795</v>
      </c>
      <c r="Z2493" s="105" t="e">
        <v>#N/A</v>
      </c>
      <c r="AA2493" s="102" t="e">
        <v>#N/A</v>
      </c>
    </row>
    <row r="2494" spans="19:27" x14ac:dyDescent="0.2">
      <c r="S2494" s="61"/>
      <c r="T2494" s="82"/>
      <c r="W2494" s="103" t="str">
        <f t="shared" si="47"/>
        <v>1w</v>
      </c>
      <c r="X2494" s="101">
        <f>_xll.qlCalendarAdvance(Calendar,X2493,W2494,"f",FALSE)</f>
        <v>56800</v>
      </c>
      <c r="Y2494" s="104">
        <f>_xll.qlCalendarAdvance(Calendar,X2494,NDays&amp;"D")</f>
        <v>56802</v>
      </c>
      <c r="Z2494" s="105" t="e">
        <v>#N/A</v>
      </c>
      <c r="AA2494" s="102" t="e">
        <v>#N/A</v>
      </c>
    </row>
    <row r="2495" spans="19:27" x14ac:dyDescent="0.2">
      <c r="S2495" s="61"/>
      <c r="T2495" s="82"/>
      <c r="W2495" s="103" t="str">
        <f t="shared" si="47"/>
        <v>1w</v>
      </c>
      <c r="X2495" s="101">
        <f>_xll.qlCalendarAdvance(Calendar,X2494,W2495,"f",FALSE)</f>
        <v>56807</v>
      </c>
      <c r="Y2495" s="104">
        <f>_xll.qlCalendarAdvance(Calendar,X2495,NDays&amp;"D")</f>
        <v>56809</v>
      </c>
      <c r="Z2495" s="105" t="e">
        <v>#N/A</v>
      </c>
      <c r="AA2495" s="102" t="e">
        <v>#N/A</v>
      </c>
    </row>
    <row r="2496" spans="19:27" x14ac:dyDescent="0.2">
      <c r="S2496" s="61"/>
      <c r="T2496" s="82"/>
      <c r="W2496" s="103" t="str">
        <f t="shared" si="47"/>
        <v>1w</v>
      </c>
      <c r="X2496" s="101">
        <f>_xll.qlCalendarAdvance(Calendar,X2495,W2496,"f",FALSE)</f>
        <v>56814</v>
      </c>
      <c r="Y2496" s="104">
        <f>_xll.qlCalendarAdvance(Calendar,X2496,NDays&amp;"D")</f>
        <v>56816</v>
      </c>
      <c r="Z2496" s="105" t="e">
        <v>#N/A</v>
      </c>
      <c r="AA2496" s="102" t="e">
        <v>#N/A</v>
      </c>
    </row>
    <row r="2497" spans="19:27" x14ac:dyDescent="0.2">
      <c r="S2497" s="61"/>
      <c r="T2497" s="82"/>
      <c r="W2497" s="103" t="str">
        <f t="shared" si="47"/>
        <v>1w</v>
      </c>
      <c r="X2497" s="101">
        <f>_xll.qlCalendarAdvance(Calendar,X2496,W2497,"f",FALSE)</f>
        <v>56821</v>
      </c>
      <c r="Y2497" s="104">
        <f>_xll.qlCalendarAdvance(Calendar,X2497,NDays&amp;"D")</f>
        <v>56823</v>
      </c>
      <c r="Z2497" s="105" t="e">
        <v>#N/A</v>
      </c>
      <c r="AA2497" s="102" t="e">
        <v>#N/A</v>
      </c>
    </row>
    <row r="2498" spans="19:27" x14ac:dyDescent="0.2">
      <c r="S2498" s="61"/>
      <c r="T2498" s="82"/>
      <c r="W2498" s="103" t="str">
        <f t="shared" si="47"/>
        <v>1w</v>
      </c>
      <c r="X2498" s="101">
        <f>_xll.qlCalendarAdvance(Calendar,X2497,W2498,"f",FALSE)</f>
        <v>56828</v>
      </c>
      <c r="Y2498" s="104">
        <f>_xll.qlCalendarAdvance(Calendar,X2498,NDays&amp;"D")</f>
        <v>56830</v>
      </c>
      <c r="Z2498" s="105" t="e">
        <v>#N/A</v>
      </c>
      <c r="AA2498" s="102" t="e">
        <v>#N/A</v>
      </c>
    </row>
    <row r="2499" spans="19:27" x14ac:dyDescent="0.2">
      <c r="S2499" s="61"/>
      <c r="T2499" s="82"/>
      <c r="W2499" s="103" t="str">
        <f t="shared" si="47"/>
        <v>1w</v>
      </c>
      <c r="X2499" s="101">
        <f>_xll.qlCalendarAdvance(Calendar,X2498,W2499,"f",FALSE)</f>
        <v>56835</v>
      </c>
      <c r="Y2499" s="104">
        <f>_xll.qlCalendarAdvance(Calendar,X2499,NDays&amp;"D")</f>
        <v>56837</v>
      </c>
      <c r="Z2499" s="105" t="e">
        <v>#N/A</v>
      </c>
      <c r="AA2499" s="102" t="e">
        <v>#N/A</v>
      </c>
    </row>
    <row r="2500" spans="19:27" x14ac:dyDescent="0.2">
      <c r="S2500" s="61"/>
      <c r="T2500" s="82"/>
      <c r="W2500" s="103" t="str">
        <f t="shared" si="47"/>
        <v>1w</v>
      </c>
      <c r="X2500" s="101">
        <f>_xll.qlCalendarAdvance(Calendar,X2499,W2500,"f",FALSE)</f>
        <v>56842</v>
      </c>
      <c r="Y2500" s="104">
        <f>_xll.qlCalendarAdvance(Calendar,X2500,NDays&amp;"D")</f>
        <v>56844</v>
      </c>
      <c r="Z2500" s="105" t="e">
        <v>#N/A</v>
      </c>
      <c r="AA2500" s="102" t="e">
        <v>#N/A</v>
      </c>
    </row>
    <row r="2501" spans="19:27" x14ac:dyDescent="0.2">
      <c r="S2501" s="61"/>
      <c r="T2501" s="82"/>
      <c r="W2501" s="103" t="str">
        <f t="shared" si="47"/>
        <v>1w</v>
      </c>
      <c r="X2501" s="101">
        <f>_xll.qlCalendarAdvance(Calendar,X2500,W2501,"f",FALSE)</f>
        <v>56849</v>
      </c>
      <c r="Y2501" s="104">
        <f>_xll.qlCalendarAdvance(Calendar,X2501,NDays&amp;"D")</f>
        <v>56851</v>
      </c>
      <c r="Z2501" s="105" t="e">
        <v>#N/A</v>
      </c>
      <c r="AA2501" s="102" t="e">
        <v>#N/A</v>
      </c>
    </row>
    <row r="2502" spans="19:27" x14ac:dyDescent="0.2">
      <c r="S2502" s="61"/>
      <c r="T2502" s="82"/>
      <c r="W2502" s="103" t="str">
        <f t="shared" si="47"/>
        <v>1w</v>
      </c>
      <c r="X2502" s="101">
        <f>_xll.qlCalendarAdvance(Calendar,X2501,W2502,"f",FALSE)</f>
        <v>56856</v>
      </c>
      <c r="Y2502" s="104">
        <f>_xll.qlCalendarAdvance(Calendar,X2502,NDays&amp;"D")</f>
        <v>56858</v>
      </c>
      <c r="Z2502" s="105" t="e">
        <v>#N/A</v>
      </c>
      <c r="AA2502" s="102" t="e">
        <v>#N/A</v>
      </c>
    </row>
    <row r="2503" spans="19:27" x14ac:dyDescent="0.2">
      <c r="S2503" s="61"/>
      <c r="T2503" s="82"/>
      <c r="W2503" s="103" t="str">
        <f t="shared" si="47"/>
        <v>1w</v>
      </c>
      <c r="X2503" s="101">
        <f>_xll.qlCalendarAdvance(Calendar,X2502,W2503,"f",FALSE)</f>
        <v>56863</v>
      </c>
      <c r="Y2503" s="104">
        <f>_xll.qlCalendarAdvance(Calendar,X2503,NDays&amp;"D")</f>
        <v>56865</v>
      </c>
      <c r="Z2503" s="105" t="e">
        <v>#N/A</v>
      </c>
      <c r="AA2503" s="102" t="e">
        <v>#N/A</v>
      </c>
    </row>
    <row r="2504" spans="19:27" x14ac:dyDescent="0.2">
      <c r="S2504" s="61"/>
      <c r="T2504" s="82"/>
      <c r="W2504" s="103" t="str">
        <f t="shared" si="47"/>
        <v>1w</v>
      </c>
      <c r="X2504" s="101">
        <f>_xll.qlCalendarAdvance(Calendar,X2503,W2504,"f",FALSE)</f>
        <v>56870</v>
      </c>
      <c r="Y2504" s="104">
        <f>_xll.qlCalendarAdvance(Calendar,X2504,NDays&amp;"D")</f>
        <v>56872</v>
      </c>
      <c r="Z2504" s="105" t="e">
        <v>#N/A</v>
      </c>
      <c r="AA2504" s="102" t="e">
        <v>#N/A</v>
      </c>
    </row>
    <row r="2505" spans="19:27" x14ac:dyDescent="0.2">
      <c r="S2505" s="61"/>
      <c r="T2505" s="82"/>
      <c r="W2505" s="103" t="str">
        <f t="shared" si="47"/>
        <v>1w</v>
      </c>
      <c r="X2505" s="101">
        <f>_xll.qlCalendarAdvance(Calendar,X2504,W2505,"f",FALSE)</f>
        <v>56877</v>
      </c>
      <c r="Y2505" s="104">
        <f>_xll.qlCalendarAdvance(Calendar,X2505,NDays&amp;"D")</f>
        <v>56879</v>
      </c>
      <c r="Z2505" s="105" t="e">
        <v>#N/A</v>
      </c>
      <c r="AA2505" s="102" t="e">
        <v>#N/A</v>
      </c>
    </row>
    <row r="2506" spans="19:27" x14ac:dyDescent="0.2">
      <c r="S2506" s="61"/>
      <c r="T2506" s="82"/>
      <c r="W2506" s="103" t="str">
        <f t="shared" si="47"/>
        <v>1w</v>
      </c>
      <c r="X2506" s="101">
        <f>_xll.qlCalendarAdvance(Calendar,X2505,W2506,"f",FALSE)</f>
        <v>56884</v>
      </c>
      <c r="Y2506" s="104">
        <f>_xll.qlCalendarAdvance(Calendar,X2506,NDays&amp;"D")</f>
        <v>56886</v>
      </c>
      <c r="Z2506" s="105" t="e">
        <v>#N/A</v>
      </c>
      <c r="AA2506" s="102" t="e">
        <v>#N/A</v>
      </c>
    </row>
    <row r="2507" spans="19:27" x14ac:dyDescent="0.2">
      <c r="S2507" s="61"/>
      <c r="T2507" s="82"/>
      <c r="W2507" s="103" t="str">
        <f t="shared" si="47"/>
        <v>1w</v>
      </c>
      <c r="X2507" s="101">
        <f>_xll.qlCalendarAdvance(Calendar,X2506,W2507,"f",FALSE)</f>
        <v>56891</v>
      </c>
      <c r="Y2507" s="104">
        <f>_xll.qlCalendarAdvance(Calendar,X2507,NDays&amp;"D")</f>
        <v>56893</v>
      </c>
      <c r="Z2507" s="105" t="e">
        <v>#N/A</v>
      </c>
      <c r="AA2507" s="102" t="e">
        <v>#N/A</v>
      </c>
    </row>
    <row r="2508" spans="19:27" x14ac:dyDescent="0.2">
      <c r="S2508" s="61"/>
      <c r="T2508" s="82"/>
      <c r="W2508" s="103" t="str">
        <f t="shared" si="47"/>
        <v>1w</v>
      </c>
      <c r="X2508" s="101">
        <f>_xll.qlCalendarAdvance(Calendar,X2507,W2508,"f",FALSE)</f>
        <v>56898</v>
      </c>
      <c r="Y2508" s="104">
        <f>_xll.qlCalendarAdvance(Calendar,X2508,NDays&amp;"D")</f>
        <v>56900</v>
      </c>
      <c r="Z2508" s="105" t="e">
        <v>#N/A</v>
      </c>
      <c r="AA2508" s="102" t="e">
        <v>#N/A</v>
      </c>
    </row>
    <row r="2509" spans="19:27" x14ac:dyDescent="0.2">
      <c r="S2509" s="61"/>
      <c r="T2509" s="82"/>
      <c r="W2509" s="103" t="str">
        <f t="shared" si="47"/>
        <v>1w</v>
      </c>
      <c r="X2509" s="101">
        <f>_xll.qlCalendarAdvance(Calendar,X2508,W2509,"f",FALSE)</f>
        <v>56905</v>
      </c>
      <c r="Y2509" s="104">
        <f>_xll.qlCalendarAdvance(Calendar,X2509,NDays&amp;"D")</f>
        <v>56907</v>
      </c>
      <c r="Z2509" s="105" t="e">
        <v>#N/A</v>
      </c>
      <c r="AA2509" s="102" t="e">
        <v>#N/A</v>
      </c>
    </row>
    <row r="2510" spans="19:27" x14ac:dyDescent="0.2">
      <c r="S2510" s="61"/>
      <c r="T2510" s="82"/>
      <c r="W2510" s="103" t="str">
        <f t="shared" si="47"/>
        <v>1w</v>
      </c>
      <c r="X2510" s="101">
        <f>_xll.qlCalendarAdvance(Calendar,X2509,W2510,"f",FALSE)</f>
        <v>56912</v>
      </c>
      <c r="Y2510" s="104">
        <f>_xll.qlCalendarAdvance(Calendar,X2510,NDays&amp;"D")</f>
        <v>56914</v>
      </c>
      <c r="Z2510" s="105" t="e">
        <v>#N/A</v>
      </c>
      <c r="AA2510" s="102" t="e">
        <v>#N/A</v>
      </c>
    </row>
    <row r="2511" spans="19:27" x14ac:dyDescent="0.2">
      <c r="S2511" s="61"/>
      <c r="T2511" s="82"/>
      <c r="W2511" s="103" t="str">
        <f t="shared" si="47"/>
        <v>1w</v>
      </c>
      <c r="X2511" s="101">
        <f>_xll.qlCalendarAdvance(Calendar,X2510,W2511,"f",FALSE)</f>
        <v>56919</v>
      </c>
      <c r="Y2511" s="104">
        <f>_xll.qlCalendarAdvance(Calendar,X2511,NDays&amp;"D")</f>
        <v>56921</v>
      </c>
      <c r="Z2511" s="105" t="e">
        <v>#N/A</v>
      </c>
      <c r="AA2511" s="102" t="e">
        <v>#N/A</v>
      </c>
    </row>
    <row r="2512" spans="19:27" x14ac:dyDescent="0.2">
      <c r="S2512" s="61"/>
      <c r="T2512" s="82"/>
      <c r="W2512" s="103" t="str">
        <f t="shared" si="47"/>
        <v>1w</v>
      </c>
      <c r="X2512" s="101">
        <f>_xll.qlCalendarAdvance(Calendar,X2511,W2512,"f",FALSE)</f>
        <v>56926</v>
      </c>
      <c r="Y2512" s="104">
        <f>_xll.qlCalendarAdvance(Calendar,X2512,NDays&amp;"D")</f>
        <v>56928</v>
      </c>
      <c r="Z2512" s="105" t="e">
        <v>#N/A</v>
      </c>
      <c r="AA2512" s="102" t="e">
        <v>#N/A</v>
      </c>
    </row>
    <row r="2513" spans="19:27" x14ac:dyDescent="0.2">
      <c r="S2513" s="61"/>
      <c r="T2513" s="82"/>
      <c r="W2513" s="103" t="str">
        <f t="shared" si="47"/>
        <v>1w</v>
      </c>
      <c r="X2513" s="101">
        <f>_xll.qlCalendarAdvance(Calendar,X2512,W2513,"f",FALSE)</f>
        <v>56933</v>
      </c>
      <c r="Y2513" s="104">
        <f>_xll.qlCalendarAdvance(Calendar,X2513,NDays&amp;"D")</f>
        <v>56935</v>
      </c>
      <c r="Z2513" s="105" t="e">
        <v>#N/A</v>
      </c>
      <c r="AA2513" s="102" t="e">
        <v>#N/A</v>
      </c>
    </row>
    <row r="2514" spans="19:27" x14ac:dyDescent="0.2">
      <c r="S2514" s="61"/>
      <c r="T2514" s="82"/>
      <c r="W2514" s="103" t="str">
        <f t="shared" si="47"/>
        <v>1w</v>
      </c>
      <c r="X2514" s="101">
        <f>_xll.qlCalendarAdvance(Calendar,X2513,W2514,"f",FALSE)</f>
        <v>56940</v>
      </c>
      <c r="Y2514" s="104">
        <f>_xll.qlCalendarAdvance(Calendar,X2514,NDays&amp;"D")</f>
        <v>56942</v>
      </c>
      <c r="Z2514" s="105" t="e">
        <v>#N/A</v>
      </c>
      <c r="AA2514" s="102" t="e">
        <v>#N/A</v>
      </c>
    </row>
    <row r="2515" spans="19:27" x14ac:dyDescent="0.2">
      <c r="S2515" s="61"/>
      <c r="T2515" s="82"/>
      <c r="W2515" s="103" t="str">
        <f t="shared" si="47"/>
        <v>1w</v>
      </c>
      <c r="X2515" s="101">
        <f>_xll.qlCalendarAdvance(Calendar,X2514,W2515,"f",FALSE)</f>
        <v>56947</v>
      </c>
      <c r="Y2515" s="104">
        <f>_xll.qlCalendarAdvance(Calendar,X2515,NDays&amp;"D")</f>
        <v>56949</v>
      </c>
      <c r="Z2515" s="105" t="e">
        <v>#N/A</v>
      </c>
      <c r="AA2515" s="102" t="e">
        <v>#N/A</v>
      </c>
    </row>
    <row r="2516" spans="19:27" x14ac:dyDescent="0.2">
      <c r="S2516" s="61"/>
      <c r="T2516" s="82"/>
      <c r="W2516" s="103" t="str">
        <f t="shared" si="47"/>
        <v>1w</v>
      </c>
      <c r="X2516" s="101">
        <f>_xll.qlCalendarAdvance(Calendar,X2515,W2516,"f",FALSE)</f>
        <v>56954</v>
      </c>
      <c r="Y2516" s="104">
        <f>_xll.qlCalendarAdvance(Calendar,X2516,NDays&amp;"D")</f>
        <v>56956</v>
      </c>
      <c r="Z2516" s="105" t="e">
        <v>#N/A</v>
      </c>
      <c r="AA2516" s="102" t="e">
        <v>#N/A</v>
      </c>
    </row>
    <row r="2517" spans="19:27" x14ac:dyDescent="0.2">
      <c r="S2517" s="61"/>
      <c r="T2517" s="82"/>
      <c r="W2517" s="103" t="str">
        <f t="shared" ref="W2517:W2580" si="48">W2516</f>
        <v>1w</v>
      </c>
      <c r="X2517" s="101">
        <f>_xll.qlCalendarAdvance(Calendar,X2516,W2517,"f",FALSE)</f>
        <v>56961</v>
      </c>
      <c r="Y2517" s="104">
        <f>_xll.qlCalendarAdvance(Calendar,X2517,NDays&amp;"D")</f>
        <v>56963</v>
      </c>
      <c r="Z2517" s="105" t="e">
        <v>#N/A</v>
      </c>
      <c r="AA2517" s="102" t="e">
        <v>#N/A</v>
      </c>
    </row>
    <row r="2518" spans="19:27" x14ac:dyDescent="0.2">
      <c r="S2518" s="61"/>
      <c r="T2518" s="82"/>
      <c r="W2518" s="103" t="str">
        <f t="shared" si="48"/>
        <v>1w</v>
      </c>
      <c r="X2518" s="101">
        <f>_xll.qlCalendarAdvance(Calendar,X2517,W2518,"f",FALSE)</f>
        <v>56968</v>
      </c>
      <c r="Y2518" s="104">
        <f>_xll.qlCalendarAdvance(Calendar,X2518,NDays&amp;"D")</f>
        <v>56970</v>
      </c>
      <c r="Z2518" s="105" t="e">
        <v>#N/A</v>
      </c>
      <c r="AA2518" s="102" t="e">
        <v>#N/A</v>
      </c>
    </row>
    <row r="2519" spans="19:27" x14ac:dyDescent="0.2">
      <c r="S2519" s="61"/>
      <c r="T2519" s="82"/>
      <c r="W2519" s="103" t="str">
        <f t="shared" si="48"/>
        <v>1w</v>
      </c>
      <c r="X2519" s="101">
        <f>_xll.qlCalendarAdvance(Calendar,X2518,W2519,"f",FALSE)</f>
        <v>56975</v>
      </c>
      <c r="Y2519" s="104">
        <f>_xll.qlCalendarAdvance(Calendar,X2519,NDays&amp;"D")</f>
        <v>56977</v>
      </c>
      <c r="Z2519" s="105" t="e">
        <v>#N/A</v>
      </c>
      <c r="AA2519" s="102" t="e">
        <v>#N/A</v>
      </c>
    </row>
    <row r="2520" spans="19:27" x14ac:dyDescent="0.2">
      <c r="S2520" s="61"/>
      <c r="T2520" s="82"/>
      <c r="W2520" s="103" t="str">
        <f t="shared" si="48"/>
        <v>1w</v>
      </c>
      <c r="X2520" s="101">
        <f>_xll.qlCalendarAdvance(Calendar,X2519,W2520,"f",FALSE)</f>
        <v>56982</v>
      </c>
      <c r="Y2520" s="104">
        <f>_xll.qlCalendarAdvance(Calendar,X2520,NDays&amp;"D")</f>
        <v>56984</v>
      </c>
      <c r="Z2520" s="105" t="e">
        <v>#N/A</v>
      </c>
      <c r="AA2520" s="102" t="e">
        <v>#N/A</v>
      </c>
    </row>
    <row r="2521" spans="19:27" x14ac:dyDescent="0.2">
      <c r="S2521" s="61"/>
      <c r="T2521" s="82"/>
      <c r="W2521" s="103" t="str">
        <f t="shared" si="48"/>
        <v>1w</v>
      </c>
      <c r="X2521" s="101">
        <f>_xll.qlCalendarAdvance(Calendar,X2520,W2521,"f",FALSE)</f>
        <v>56989</v>
      </c>
      <c r="Y2521" s="104">
        <f>_xll.qlCalendarAdvance(Calendar,X2521,NDays&amp;"D")</f>
        <v>56991</v>
      </c>
      <c r="Z2521" s="105" t="e">
        <v>#N/A</v>
      </c>
      <c r="AA2521" s="102" t="e">
        <v>#N/A</v>
      </c>
    </row>
    <row r="2522" spans="19:27" x14ac:dyDescent="0.2">
      <c r="S2522" s="61"/>
      <c r="T2522" s="82"/>
      <c r="W2522" s="103" t="str">
        <f t="shared" si="48"/>
        <v>1w</v>
      </c>
      <c r="X2522" s="101">
        <f>_xll.qlCalendarAdvance(Calendar,X2521,W2522,"f",FALSE)</f>
        <v>56996</v>
      </c>
      <c r="Y2522" s="104">
        <f>_xll.qlCalendarAdvance(Calendar,X2522,NDays&amp;"D")</f>
        <v>56998</v>
      </c>
      <c r="Z2522" s="105" t="e">
        <v>#N/A</v>
      </c>
      <c r="AA2522" s="102" t="e">
        <v>#N/A</v>
      </c>
    </row>
    <row r="2523" spans="19:27" x14ac:dyDescent="0.2">
      <c r="S2523" s="61"/>
      <c r="T2523" s="82"/>
      <c r="W2523" s="103" t="str">
        <f t="shared" si="48"/>
        <v>1w</v>
      </c>
      <c r="X2523" s="101">
        <f>_xll.qlCalendarAdvance(Calendar,X2522,W2523,"f",FALSE)</f>
        <v>57003</v>
      </c>
      <c r="Y2523" s="104">
        <f>_xll.qlCalendarAdvance(Calendar,X2523,NDays&amp;"D")</f>
        <v>57005</v>
      </c>
      <c r="Z2523" s="105" t="e">
        <v>#N/A</v>
      </c>
      <c r="AA2523" s="102" t="e">
        <v>#N/A</v>
      </c>
    </row>
    <row r="2524" spans="19:27" x14ac:dyDescent="0.2">
      <c r="S2524" s="61"/>
      <c r="T2524" s="82"/>
      <c r="W2524" s="103" t="str">
        <f t="shared" si="48"/>
        <v>1w</v>
      </c>
      <c r="X2524" s="101">
        <f>_xll.qlCalendarAdvance(Calendar,X2523,W2524,"f",FALSE)</f>
        <v>57010</v>
      </c>
      <c r="Y2524" s="104">
        <f>_xll.qlCalendarAdvance(Calendar,X2524,NDays&amp;"D")</f>
        <v>57012</v>
      </c>
      <c r="Z2524" s="105" t="e">
        <v>#N/A</v>
      </c>
      <c r="AA2524" s="102" t="e">
        <v>#N/A</v>
      </c>
    </row>
    <row r="2525" spans="19:27" x14ac:dyDescent="0.2">
      <c r="S2525" s="61"/>
      <c r="T2525" s="82"/>
      <c r="W2525" s="103" t="str">
        <f t="shared" si="48"/>
        <v>1w</v>
      </c>
      <c r="X2525" s="101">
        <f>_xll.qlCalendarAdvance(Calendar,X2524,W2525,"f",FALSE)</f>
        <v>57017</v>
      </c>
      <c r="Y2525" s="104">
        <f>_xll.qlCalendarAdvance(Calendar,X2525,NDays&amp;"D")</f>
        <v>57019</v>
      </c>
      <c r="Z2525" s="105" t="e">
        <v>#N/A</v>
      </c>
      <c r="AA2525" s="102" t="e">
        <v>#N/A</v>
      </c>
    </row>
    <row r="2526" spans="19:27" x14ac:dyDescent="0.2">
      <c r="S2526" s="61"/>
      <c r="T2526" s="82"/>
      <c r="W2526" s="103" t="str">
        <f t="shared" si="48"/>
        <v>1w</v>
      </c>
      <c r="X2526" s="101">
        <f>_xll.qlCalendarAdvance(Calendar,X2525,W2526,"f",FALSE)</f>
        <v>57024</v>
      </c>
      <c r="Y2526" s="104">
        <f>_xll.qlCalendarAdvance(Calendar,X2526,NDays&amp;"D")</f>
        <v>57026</v>
      </c>
      <c r="Z2526" s="105" t="e">
        <v>#N/A</v>
      </c>
      <c r="AA2526" s="102" t="e">
        <v>#N/A</v>
      </c>
    </row>
    <row r="2527" spans="19:27" x14ac:dyDescent="0.2">
      <c r="S2527" s="61"/>
      <c r="T2527" s="82"/>
      <c r="W2527" s="103" t="str">
        <f t="shared" si="48"/>
        <v>1w</v>
      </c>
      <c r="X2527" s="101">
        <f>_xll.qlCalendarAdvance(Calendar,X2526,W2527,"f",FALSE)</f>
        <v>57031</v>
      </c>
      <c r="Y2527" s="104">
        <f>_xll.qlCalendarAdvance(Calendar,X2527,NDays&amp;"D")</f>
        <v>57033</v>
      </c>
      <c r="Z2527" s="105" t="e">
        <v>#N/A</v>
      </c>
      <c r="AA2527" s="102" t="e">
        <v>#N/A</v>
      </c>
    </row>
    <row r="2528" spans="19:27" x14ac:dyDescent="0.2">
      <c r="S2528" s="61"/>
      <c r="T2528" s="82"/>
      <c r="W2528" s="103" t="str">
        <f t="shared" si="48"/>
        <v>1w</v>
      </c>
      <c r="X2528" s="101">
        <f>_xll.qlCalendarAdvance(Calendar,X2527,W2528,"f",FALSE)</f>
        <v>57038</v>
      </c>
      <c r="Y2528" s="104">
        <f>_xll.qlCalendarAdvance(Calendar,X2528,NDays&amp;"D")</f>
        <v>57040</v>
      </c>
      <c r="Z2528" s="105" t="e">
        <v>#N/A</v>
      </c>
      <c r="AA2528" s="102" t="e">
        <v>#N/A</v>
      </c>
    </row>
    <row r="2529" spans="19:27" x14ac:dyDescent="0.2">
      <c r="S2529" s="61"/>
      <c r="T2529" s="82"/>
      <c r="W2529" s="103" t="str">
        <f t="shared" si="48"/>
        <v>1w</v>
      </c>
      <c r="X2529" s="101">
        <f>_xll.qlCalendarAdvance(Calendar,X2528,W2529,"f",FALSE)</f>
        <v>57045</v>
      </c>
      <c r="Y2529" s="104">
        <f>_xll.qlCalendarAdvance(Calendar,X2529,NDays&amp;"D")</f>
        <v>57047</v>
      </c>
      <c r="Z2529" s="105" t="e">
        <v>#N/A</v>
      </c>
      <c r="AA2529" s="102" t="e">
        <v>#N/A</v>
      </c>
    </row>
    <row r="2530" spans="19:27" x14ac:dyDescent="0.2">
      <c r="S2530" s="61"/>
      <c r="T2530" s="82"/>
      <c r="W2530" s="103" t="str">
        <f t="shared" si="48"/>
        <v>1w</v>
      </c>
      <c r="X2530" s="101">
        <f>_xll.qlCalendarAdvance(Calendar,X2529,W2530,"f",FALSE)</f>
        <v>57052</v>
      </c>
      <c r="Y2530" s="104">
        <f>_xll.qlCalendarAdvance(Calendar,X2530,NDays&amp;"D")</f>
        <v>57054</v>
      </c>
      <c r="Z2530" s="105" t="e">
        <v>#N/A</v>
      </c>
      <c r="AA2530" s="102" t="e">
        <v>#N/A</v>
      </c>
    </row>
    <row r="2531" spans="19:27" x14ac:dyDescent="0.2">
      <c r="S2531" s="61"/>
      <c r="T2531" s="82"/>
      <c r="W2531" s="103" t="str">
        <f t="shared" si="48"/>
        <v>1w</v>
      </c>
      <c r="X2531" s="101">
        <f>_xll.qlCalendarAdvance(Calendar,X2530,W2531,"f",FALSE)</f>
        <v>57059</v>
      </c>
      <c r="Y2531" s="104">
        <f>_xll.qlCalendarAdvance(Calendar,X2531,NDays&amp;"D")</f>
        <v>57061</v>
      </c>
      <c r="Z2531" s="105" t="e">
        <v>#N/A</v>
      </c>
      <c r="AA2531" s="102" t="e">
        <v>#N/A</v>
      </c>
    </row>
    <row r="2532" spans="19:27" x14ac:dyDescent="0.2">
      <c r="S2532" s="61"/>
      <c r="T2532" s="82"/>
      <c r="W2532" s="103" t="str">
        <f t="shared" si="48"/>
        <v>1w</v>
      </c>
      <c r="X2532" s="101">
        <f>_xll.qlCalendarAdvance(Calendar,X2531,W2532,"f",FALSE)</f>
        <v>57066</v>
      </c>
      <c r="Y2532" s="104">
        <f>_xll.qlCalendarAdvance(Calendar,X2532,NDays&amp;"D")</f>
        <v>57068</v>
      </c>
      <c r="Z2532" s="105" t="e">
        <v>#N/A</v>
      </c>
      <c r="AA2532" s="102" t="e">
        <v>#N/A</v>
      </c>
    </row>
    <row r="2533" spans="19:27" x14ac:dyDescent="0.2">
      <c r="S2533" s="61"/>
      <c r="T2533" s="82"/>
      <c r="W2533" s="103" t="str">
        <f t="shared" si="48"/>
        <v>1w</v>
      </c>
      <c r="X2533" s="101">
        <f>_xll.qlCalendarAdvance(Calendar,X2532,W2533,"f",FALSE)</f>
        <v>57074</v>
      </c>
      <c r="Y2533" s="104">
        <f>_xll.qlCalendarAdvance(Calendar,X2533,NDays&amp;"D")</f>
        <v>57076</v>
      </c>
      <c r="Z2533" s="105" t="e">
        <v>#N/A</v>
      </c>
      <c r="AA2533" s="102" t="e">
        <v>#N/A</v>
      </c>
    </row>
    <row r="2534" spans="19:27" x14ac:dyDescent="0.2">
      <c r="S2534" s="61"/>
      <c r="T2534" s="82"/>
      <c r="W2534" s="103" t="str">
        <f t="shared" si="48"/>
        <v>1w</v>
      </c>
      <c r="X2534" s="101">
        <f>_xll.qlCalendarAdvance(Calendar,X2533,W2534,"f",FALSE)</f>
        <v>57081</v>
      </c>
      <c r="Y2534" s="104">
        <f>_xll.qlCalendarAdvance(Calendar,X2534,NDays&amp;"D")</f>
        <v>57083</v>
      </c>
      <c r="Z2534" s="105" t="e">
        <v>#N/A</v>
      </c>
      <c r="AA2534" s="102" t="e">
        <v>#N/A</v>
      </c>
    </row>
    <row r="2535" spans="19:27" x14ac:dyDescent="0.2">
      <c r="S2535" s="61"/>
      <c r="T2535" s="82"/>
      <c r="W2535" s="103" t="str">
        <f t="shared" si="48"/>
        <v>1w</v>
      </c>
      <c r="X2535" s="101">
        <f>_xll.qlCalendarAdvance(Calendar,X2534,W2535,"f",FALSE)</f>
        <v>57088</v>
      </c>
      <c r="Y2535" s="104">
        <f>_xll.qlCalendarAdvance(Calendar,X2535,NDays&amp;"D")</f>
        <v>57090</v>
      </c>
      <c r="Z2535" s="105" t="e">
        <v>#N/A</v>
      </c>
      <c r="AA2535" s="102" t="e">
        <v>#N/A</v>
      </c>
    </row>
    <row r="2536" spans="19:27" x14ac:dyDescent="0.2">
      <c r="S2536" s="61"/>
      <c r="T2536" s="82"/>
      <c r="W2536" s="103" t="str">
        <f t="shared" si="48"/>
        <v>1w</v>
      </c>
      <c r="X2536" s="101">
        <f>_xll.qlCalendarAdvance(Calendar,X2535,W2536,"f",FALSE)</f>
        <v>57095</v>
      </c>
      <c r="Y2536" s="104">
        <f>_xll.qlCalendarAdvance(Calendar,X2536,NDays&amp;"D")</f>
        <v>57097</v>
      </c>
      <c r="Z2536" s="105" t="e">
        <v>#N/A</v>
      </c>
      <c r="AA2536" s="102" t="e">
        <v>#N/A</v>
      </c>
    </row>
    <row r="2537" spans="19:27" x14ac:dyDescent="0.2">
      <c r="S2537" s="61"/>
      <c r="T2537" s="82"/>
      <c r="W2537" s="103" t="str">
        <f t="shared" si="48"/>
        <v>1w</v>
      </c>
      <c r="X2537" s="101">
        <f>_xll.qlCalendarAdvance(Calendar,X2536,W2537,"f",FALSE)</f>
        <v>57102</v>
      </c>
      <c r="Y2537" s="104">
        <f>_xll.qlCalendarAdvance(Calendar,X2537,NDays&amp;"D")</f>
        <v>57104</v>
      </c>
      <c r="Z2537" s="105" t="e">
        <v>#N/A</v>
      </c>
      <c r="AA2537" s="102" t="e">
        <v>#N/A</v>
      </c>
    </row>
    <row r="2538" spans="19:27" x14ac:dyDescent="0.2">
      <c r="S2538" s="61"/>
      <c r="T2538" s="82"/>
      <c r="W2538" s="103" t="str">
        <f t="shared" si="48"/>
        <v>1w</v>
      </c>
      <c r="X2538" s="101">
        <f>_xll.qlCalendarAdvance(Calendar,X2537,W2538,"f",FALSE)</f>
        <v>57109</v>
      </c>
      <c r="Y2538" s="104">
        <f>_xll.qlCalendarAdvance(Calendar,X2538,NDays&amp;"D")</f>
        <v>57112</v>
      </c>
      <c r="Z2538" s="105" t="e">
        <v>#N/A</v>
      </c>
      <c r="AA2538" s="102" t="e">
        <v>#N/A</v>
      </c>
    </row>
    <row r="2539" spans="19:27" x14ac:dyDescent="0.2">
      <c r="S2539" s="61"/>
      <c r="T2539" s="82"/>
      <c r="W2539" s="103" t="str">
        <f t="shared" si="48"/>
        <v>1w</v>
      </c>
      <c r="X2539" s="101">
        <f>_xll.qlCalendarAdvance(Calendar,X2538,W2539,"f",FALSE)</f>
        <v>57116</v>
      </c>
      <c r="Y2539" s="104">
        <f>_xll.qlCalendarAdvance(Calendar,X2539,NDays&amp;"D")</f>
        <v>57118</v>
      </c>
      <c r="Z2539" s="105" t="e">
        <v>#N/A</v>
      </c>
      <c r="AA2539" s="102" t="e">
        <v>#N/A</v>
      </c>
    </row>
    <row r="2540" spans="19:27" x14ac:dyDescent="0.2">
      <c r="S2540" s="61"/>
      <c r="T2540" s="82"/>
      <c r="W2540" s="103" t="str">
        <f t="shared" si="48"/>
        <v>1w</v>
      </c>
      <c r="X2540" s="101">
        <f>_xll.qlCalendarAdvance(Calendar,X2539,W2540,"f",FALSE)</f>
        <v>57123</v>
      </c>
      <c r="Y2540" s="104">
        <f>_xll.qlCalendarAdvance(Calendar,X2540,NDays&amp;"D")</f>
        <v>57125</v>
      </c>
      <c r="Z2540" s="105" t="e">
        <v>#N/A</v>
      </c>
      <c r="AA2540" s="102" t="e">
        <v>#N/A</v>
      </c>
    </row>
    <row r="2541" spans="19:27" x14ac:dyDescent="0.2">
      <c r="S2541" s="61"/>
      <c r="T2541" s="82"/>
      <c r="W2541" s="103" t="str">
        <f t="shared" si="48"/>
        <v>1w</v>
      </c>
      <c r="X2541" s="101">
        <f>_xll.qlCalendarAdvance(Calendar,X2540,W2541,"f",FALSE)</f>
        <v>57130</v>
      </c>
      <c r="Y2541" s="104">
        <f>_xll.qlCalendarAdvance(Calendar,X2541,NDays&amp;"D")</f>
        <v>57132</v>
      </c>
      <c r="Z2541" s="105" t="e">
        <v>#N/A</v>
      </c>
      <c r="AA2541" s="102" t="e">
        <v>#N/A</v>
      </c>
    </row>
    <row r="2542" spans="19:27" x14ac:dyDescent="0.2">
      <c r="S2542" s="61"/>
      <c r="T2542" s="82"/>
      <c r="W2542" s="103" t="str">
        <f t="shared" si="48"/>
        <v>1w</v>
      </c>
      <c r="X2542" s="101">
        <f>_xll.qlCalendarAdvance(Calendar,X2541,W2542,"f",FALSE)</f>
        <v>57137</v>
      </c>
      <c r="Y2542" s="104">
        <f>_xll.qlCalendarAdvance(Calendar,X2542,NDays&amp;"D")</f>
        <v>57139</v>
      </c>
      <c r="Z2542" s="105" t="e">
        <v>#N/A</v>
      </c>
      <c r="AA2542" s="102" t="e">
        <v>#N/A</v>
      </c>
    </row>
    <row r="2543" spans="19:27" x14ac:dyDescent="0.2">
      <c r="S2543" s="61"/>
      <c r="T2543" s="82"/>
      <c r="W2543" s="103" t="str">
        <f t="shared" si="48"/>
        <v>1w</v>
      </c>
      <c r="X2543" s="101">
        <f>_xll.qlCalendarAdvance(Calendar,X2542,W2543,"f",FALSE)</f>
        <v>57144</v>
      </c>
      <c r="Y2543" s="104">
        <f>_xll.qlCalendarAdvance(Calendar,X2543,NDays&amp;"D")</f>
        <v>57146</v>
      </c>
      <c r="Z2543" s="105" t="e">
        <v>#N/A</v>
      </c>
      <c r="AA2543" s="102" t="e">
        <v>#N/A</v>
      </c>
    </row>
    <row r="2544" spans="19:27" x14ac:dyDescent="0.2">
      <c r="S2544" s="61"/>
      <c r="T2544" s="82"/>
      <c r="W2544" s="103" t="str">
        <f t="shared" si="48"/>
        <v>1w</v>
      </c>
      <c r="X2544" s="101">
        <f>_xll.qlCalendarAdvance(Calendar,X2543,W2544,"f",FALSE)</f>
        <v>57151</v>
      </c>
      <c r="Y2544" s="104">
        <f>_xll.qlCalendarAdvance(Calendar,X2544,NDays&amp;"D")</f>
        <v>57153</v>
      </c>
      <c r="Z2544" s="105" t="e">
        <v>#N/A</v>
      </c>
      <c r="AA2544" s="102" t="e">
        <v>#N/A</v>
      </c>
    </row>
    <row r="2545" spans="19:27" x14ac:dyDescent="0.2">
      <c r="S2545" s="61"/>
      <c r="T2545" s="82"/>
      <c r="W2545" s="103" t="str">
        <f t="shared" si="48"/>
        <v>1w</v>
      </c>
      <c r="X2545" s="101">
        <f>_xll.qlCalendarAdvance(Calendar,X2544,W2545,"f",FALSE)</f>
        <v>57158</v>
      </c>
      <c r="Y2545" s="104">
        <f>_xll.qlCalendarAdvance(Calendar,X2545,NDays&amp;"D")</f>
        <v>57160</v>
      </c>
      <c r="Z2545" s="105" t="e">
        <v>#N/A</v>
      </c>
      <c r="AA2545" s="102" t="e">
        <v>#N/A</v>
      </c>
    </row>
    <row r="2546" spans="19:27" x14ac:dyDescent="0.2">
      <c r="S2546" s="61"/>
      <c r="T2546" s="82"/>
      <c r="W2546" s="103" t="str">
        <f t="shared" si="48"/>
        <v>1w</v>
      </c>
      <c r="X2546" s="101">
        <f>_xll.qlCalendarAdvance(Calendar,X2545,W2546,"f",FALSE)</f>
        <v>57165</v>
      </c>
      <c r="Y2546" s="104">
        <f>_xll.qlCalendarAdvance(Calendar,X2546,NDays&amp;"D")</f>
        <v>57167</v>
      </c>
      <c r="Z2546" s="105" t="e">
        <v>#N/A</v>
      </c>
      <c r="AA2546" s="102" t="e">
        <v>#N/A</v>
      </c>
    </row>
    <row r="2547" spans="19:27" x14ac:dyDescent="0.2">
      <c r="S2547" s="61"/>
      <c r="T2547" s="82"/>
      <c r="W2547" s="103" t="str">
        <f t="shared" si="48"/>
        <v>1w</v>
      </c>
      <c r="X2547" s="101">
        <f>_xll.qlCalendarAdvance(Calendar,X2546,W2547,"f",FALSE)</f>
        <v>57172</v>
      </c>
      <c r="Y2547" s="104">
        <f>_xll.qlCalendarAdvance(Calendar,X2547,NDays&amp;"D")</f>
        <v>57174</v>
      </c>
      <c r="Z2547" s="105" t="e">
        <v>#N/A</v>
      </c>
      <c r="AA2547" s="102" t="e">
        <v>#N/A</v>
      </c>
    </row>
    <row r="2548" spans="19:27" x14ac:dyDescent="0.2">
      <c r="S2548" s="61"/>
      <c r="T2548" s="82"/>
      <c r="W2548" s="103" t="str">
        <f t="shared" si="48"/>
        <v>1w</v>
      </c>
      <c r="X2548" s="101">
        <f>_xll.qlCalendarAdvance(Calendar,X2547,W2548,"f",FALSE)</f>
        <v>57179</v>
      </c>
      <c r="Y2548" s="104">
        <f>_xll.qlCalendarAdvance(Calendar,X2548,NDays&amp;"D")</f>
        <v>57181</v>
      </c>
      <c r="Z2548" s="105" t="e">
        <v>#N/A</v>
      </c>
      <c r="AA2548" s="102" t="e">
        <v>#N/A</v>
      </c>
    </row>
    <row r="2549" spans="19:27" x14ac:dyDescent="0.2">
      <c r="S2549" s="61"/>
      <c r="T2549" s="82"/>
      <c r="W2549" s="103" t="str">
        <f t="shared" si="48"/>
        <v>1w</v>
      </c>
      <c r="X2549" s="101">
        <f>_xll.qlCalendarAdvance(Calendar,X2548,W2549,"f",FALSE)</f>
        <v>57186</v>
      </c>
      <c r="Y2549" s="104">
        <f>_xll.qlCalendarAdvance(Calendar,X2549,NDays&amp;"D")</f>
        <v>57188</v>
      </c>
      <c r="Z2549" s="105" t="e">
        <v>#N/A</v>
      </c>
      <c r="AA2549" s="102" t="e">
        <v>#N/A</v>
      </c>
    </row>
    <row r="2550" spans="19:27" x14ac:dyDescent="0.2">
      <c r="S2550" s="61"/>
      <c r="T2550" s="82"/>
      <c r="W2550" s="103" t="str">
        <f t="shared" si="48"/>
        <v>1w</v>
      </c>
      <c r="X2550" s="101">
        <f>_xll.qlCalendarAdvance(Calendar,X2549,W2550,"f",FALSE)</f>
        <v>57193</v>
      </c>
      <c r="Y2550" s="104">
        <f>_xll.qlCalendarAdvance(Calendar,X2550,NDays&amp;"D")</f>
        <v>57195</v>
      </c>
      <c r="Z2550" s="105" t="e">
        <v>#N/A</v>
      </c>
      <c r="AA2550" s="102" t="e">
        <v>#N/A</v>
      </c>
    </row>
    <row r="2551" spans="19:27" x14ac:dyDescent="0.2">
      <c r="S2551" s="61"/>
      <c r="T2551" s="82"/>
      <c r="W2551" s="103" t="str">
        <f t="shared" si="48"/>
        <v>1w</v>
      </c>
      <c r="X2551" s="101">
        <f>_xll.qlCalendarAdvance(Calendar,X2550,W2551,"f",FALSE)</f>
        <v>57200</v>
      </c>
      <c r="Y2551" s="104">
        <f>_xll.qlCalendarAdvance(Calendar,X2551,NDays&amp;"D")</f>
        <v>57202</v>
      </c>
      <c r="Z2551" s="105" t="e">
        <v>#N/A</v>
      </c>
      <c r="AA2551" s="102" t="e">
        <v>#N/A</v>
      </c>
    </row>
    <row r="2552" spans="19:27" x14ac:dyDescent="0.2">
      <c r="S2552" s="61"/>
      <c r="T2552" s="82"/>
      <c r="W2552" s="103" t="str">
        <f t="shared" si="48"/>
        <v>1w</v>
      </c>
      <c r="X2552" s="101">
        <f>_xll.qlCalendarAdvance(Calendar,X2551,W2552,"f",FALSE)</f>
        <v>57207</v>
      </c>
      <c r="Y2552" s="104">
        <f>_xll.qlCalendarAdvance(Calendar,X2552,NDays&amp;"D")</f>
        <v>57209</v>
      </c>
      <c r="Z2552" s="105" t="e">
        <v>#N/A</v>
      </c>
      <c r="AA2552" s="102" t="e">
        <v>#N/A</v>
      </c>
    </row>
    <row r="2553" spans="19:27" x14ac:dyDescent="0.2">
      <c r="S2553" s="61"/>
      <c r="T2553" s="82"/>
      <c r="W2553" s="103" t="str">
        <f t="shared" si="48"/>
        <v>1w</v>
      </c>
      <c r="X2553" s="101">
        <f>_xll.qlCalendarAdvance(Calendar,X2552,W2553,"f",FALSE)</f>
        <v>57214</v>
      </c>
      <c r="Y2553" s="104">
        <f>_xll.qlCalendarAdvance(Calendar,X2553,NDays&amp;"D")</f>
        <v>57216</v>
      </c>
      <c r="Z2553" s="105" t="e">
        <v>#N/A</v>
      </c>
      <c r="AA2553" s="102" t="e">
        <v>#N/A</v>
      </c>
    </row>
    <row r="2554" spans="19:27" x14ac:dyDescent="0.2">
      <c r="S2554" s="61"/>
      <c r="T2554" s="82"/>
      <c r="W2554" s="103" t="str">
        <f t="shared" si="48"/>
        <v>1w</v>
      </c>
      <c r="X2554" s="101">
        <f>_xll.qlCalendarAdvance(Calendar,X2553,W2554,"f",FALSE)</f>
        <v>57221</v>
      </c>
      <c r="Y2554" s="104">
        <f>_xll.qlCalendarAdvance(Calendar,X2554,NDays&amp;"D")</f>
        <v>57223</v>
      </c>
      <c r="Z2554" s="105" t="e">
        <v>#N/A</v>
      </c>
      <c r="AA2554" s="102" t="e">
        <v>#N/A</v>
      </c>
    </row>
    <row r="2555" spans="19:27" x14ac:dyDescent="0.2">
      <c r="S2555" s="61"/>
      <c r="T2555" s="82"/>
      <c r="W2555" s="103" t="str">
        <f t="shared" si="48"/>
        <v>1w</v>
      </c>
      <c r="X2555" s="101">
        <f>_xll.qlCalendarAdvance(Calendar,X2554,W2555,"f",FALSE)</f>
        <v>57228</v>
      </c>
      <c r="Y2555" s="104">
        <f>_xll.qlCalendarAdvance(Calendar,X2555,NDays&amp;"D")</f>
        <v>57230</v>
      </c>
      <c r="Z2555" s="105" t="e">
        <v>#N/A</v>
      </c>
      <c r="AA2555" s="102" t="e">
        <v>#N/A</v>
      </c>
    </row>
    <row r="2556" spans="19:27" x14ac:dyDescent="0.2">
      <c r="S2556" s="61"/>
      <c r="T2556" s="82"/>
      <c r="W2556" s="103" t="str">
        <f t="shared" si="48"/>
        <v>1w</v>
      </c>
      <c r="X2556" s="101">
        <f>_xll.qlCalendarAdvance(Calendar,X2555,W2556,"f",FALSE)</f>
        <v>57235</v>
      </c>
      <c r="Y2556" s="104">
        <f>_xll.qlCalendarAdvance(Calendar,X2556,NDays&amp;"D")</f>
        <v>57237</v>
      </c>
      <c r="Z2556" s="105" t="e">
        <v>#N/A</v>
      </c>
      <c r="AA2556" s="102" t="e">
        <v>#N/A</v>
      </c>
    </row>
    <row r="2557" spans="19:27" x14ac:dyDescent="0.2">
      <c r="S2557" s="61"/>
      <c r="T2557" s="82"/>
      <c r="W2557" s="103" t="str">
        <f t="shared" si="48"/>
        <v>1w</v>
      </c>
      <c r="X2557" s="101">
        <f>_xll.qlCalendarAdvance(Calendar,X2556,W2557,"f",FALSE)</f>
        <v>57242</v>
      </c>
      <c r="Y2557" s="104">
        <f>_xll.qlCalendarAdvance(Calendar,X2557,NDays&amp;"D")</f>
        <v>57244</v>
      </c>
      <c r="Z2557" s="105" t="e">
        <v>#N/A</v>
      </c>
      <c r="AA2557" s="102" t="e">
        <v>#N/A</v>
      </c>
    </row>
    <row r="2558" spans="19:27" x14ac:dyDescent="0.2">
      <c r="S2558" s="61"/>
      <c r="T2558" s="82"/>
      <c r="W2558" s="103" t="str">
        <f t="shared" si="48"/>
        <v>1w</v>
      </c>
      <c r="X2558" s="101">
        <f>_xll.qlCalendarAdvance(Calendar,X2557,W2558,"f",FALSE)</f>
        <v>57249</v>
      </c>
      <c r="Y2558" s="104">
        <f>_xll.qlCalendarAdvance(Calendar,X2558,NDays&amp;"D")</f>
        <v>57251</v>
      </c>
      <c r="Z2558" s="105" t="e">
        <v>#N/A</v>
      </c>
      <c r="AA2558" s="102" t="e">
        <v>#N/A</v>
      </c>
    </row>
    <row r="2559" spans="19:27" x14ac:dyDescent="0.2">
      <c r="S2559" s="61"/>
      <c r="T2559" s="82"/>
      <c r="W2559" s="103" t="str">
        <f t="shared" si="48"/>
        <v>1w</v>
      </c>
      <c r="X2559" s="101">
        <f>_xll.qlCalendarAdvance(Calendar,X2558,W2559,"f",FALSE)</f>
        <v>57256</v>
      </c>
      <c r="Y2559" s="104">
        <f>_xll.qlCalendarAdvance(Calendar,X2559,NDays&amp;"D")</f>
        <v>57258</v>
      </c>
      <c r="Z2559" s="105" t="e">
        <v>#N/A</v>
      </c>
      <c r="AA2559" s="102" t="e">
        <v>#N/A</v>
      </c>
    </row>
    <row r="2560" spans="19:27" x14ac:dyDescent="0.2">
      <c r="S2560" s="61"/>
      <c r="T2560" s="82"/>
      <c r="W2560" s="103" t="str">
        <f t="shared" si="48"/>
        <v>1w</v>
      </c>
      <c r="X2560" s="101">
        <f>_xll.qlCalendarAdvance(Calendar,X2559,W2560,"f",FALSE)</f>
        <v>57263</v>
      </c>
      <c r="Y2560" s="104">
        <f>_xll.qlCalendarAdvance(Calendar,X2560,NDays&amp;"D")</f>
        <v>57265</v>
      </c>
      <c r="Z2560" s="105" t="e">
        <v>#N/A</v>
      </c>
      <c r="AA2560" s="102" t="e">
        <v>#N/A</v>
      </c>
    </row>
    <row r="2561" spans="19:27" x14ac:dyDescent="0.2">
      <c r="S2561" s="61"/>
      <c r="T2561" s="82"/>
      <c r="W2561" s="103" t="str">
        <f t="shared" si="48"/>
        <v>1w</v>
      </c>
      <c r="X2561" s="101">
        <f>_xll.qlCalendarAdvance(Calendar,X2560,W2561,"f",FALSE)</f>
        <v>57270</v>
      </c>
      <c r="Y2561" s="104">
        <f>_xll.qlCalendarAdvance(Calendar,X2561,NDays&amp;"D")</f>
        <v>57272</v>
      </c>
      <c r="Z2561" s="105" t="e">
        <v>#N/A</v>
      </c>
      <c r="AA2561" s="102" t="e">
        <v>#N/A</v>
      </c>
    </row>
    <row r="2562" spans="19:27" x14ac:dyDescent="0.2">
      <c r="S2562" s="61"/>
      <c r="T2562" s="82"/>
      <c r="W2562" s="103" t="str">
        <f t="shared" si="48"/>
        <v>1w</v>
      </c>
      <c r="X2562" s="101">
        <f>_xll.qlCalendarAdvance(Calendar,X2561,W2562,"f",FALSE)</f>
        <v>57277</v>
      </c>
      <c r="Y2562" s="104">
        <f>_xll.qlCalendarAdvance(Calendar,X2562,NDays&amp;"D")</f>
        <v>57279</v>
      </c>
      <c r="Z2562" s="105" t="e">
        <v>#N/A</v>
      </c>
      <c r="AA2562" s="102" t="e">
        <v>#N/A</v>
      </c>
    </row>
    <row r="2563" spans="19:27" x14ac:dyDescent="0.2">
      <c r="S2563" s="61"/>
      <c r="T2563" s="82"/>
      <c r="W2563" s="103" t="str">
        <f t="shared" si="48"/>
        <v>1w</v>
      </c>
      <c r="X2563" s="101">
        <f>_xll.qlCalendarAdvance(Calendar,X2562,W2563,"f",FALSE)</f>
        <v>57284</v>
      </c>
      <c r="Y2563" s="104">
        <f>_xll.qlCalendarAdvance(Calendar,X2563,NDays&amp;"D")</f>
        <v>57286</v>
      </c>
      <c r="Z2563" s="105" t="e">
        <v>#N/A</v>
      </c>
      <c r="AA2563" s="102" t="e">
        <v>#N/A</v>
      </c>
    </row>
    <row r="2564" spans="19:27" x14ac:dyDescent="0.2">
      <c r="S2564" s="61"/>
      <c r="T2564" s="82"/>
      <c r="W2564" s="103" t="str">
        <f t="shared" si="48"/>
        <v>1w</v>
      </c>
      <c r="X2564" s="101">
        <f>_xll.qlCalendarAdvance(Calendar,X2563,W2564,"f",FALSE)</f>
        <v>57291</v>
      </c>
      <c r="Y2564" s="104">
        <f>_xll.qlCalendarAdvance(Calendar,X2564,NDays&amp;"D")</f>
        <v>57293</v>
      </c>
      <c r="Z2564" s="105" t="e">
        <v>#N/A</v>
      </c>
      <c r="AA2564" s="102" t="e">
        <v>#N/A</v>
      </c>
    </row>
    <row r="2565" spans="19:27" x14ac:dyDescent="0.2">
      <c r="S2565" s="61"/>
      <c r="T2565" s="82"/>
      <c r="W2565" s="103" t="str">
        <f t="shared" si="48"/>
        <v>1w</v>
      </c>
      <c r="X2565" s="101">
        <f>_xll.qlCalendarAdvance(Calendar,X2564,W2565,"f",FALSE)</f>
        <v>57298</v>
      </c>
      <c r="Y2565" s="104">
        <f>_xll.qlCalendarAdvance(Calendar,X2565,NDays&amp;"D")</f>
        <v>57300</v>
      </c>
      <c r="Z2565" s="105" t="e">
        <v>#N/A</v>
      </c>
      <c r="AA2565" s="102" t="e">
        <v>#N/A</v>
      </c>
    </row>
    <row r="2566" spans="19:27" x14ac:dyDescent="0.2">
      <c r="S2566" s="61"/>
      <c r="T2566" s="82"/>
      <c r="W2566" s="103" t="str">
        <f t="shared" si="48"/>
        <v>1w</v>
      </c>
      <c r="X2566" s="101">
        <f>_xll.qlCalendarAdvance(Calendar,X2565,W2566,"f",FALSE)</f>
        <v>57305</v>
      </c>
      <c r="Y2566" s="104">
        <f>_xll.qlCalendarAdvance(Calendar,X2566,NDays&amp;"D")</f>
        <v>57307</v>
      </c>
      <c r="Z2566" s="105" t="e">
        <v>#N/A</v>
      </c>
      <c r="AA2566" s="102" t="e">
        <v>#N/A</v>
      </c>
    </row>
    <row r="2567" spans="19:27" x14ac:dyDescent="0.2">
      <c r="S2567" s="61"/>
      <c r="T2567" s="82"/>
      <c r="W2567" s="103" t="str">
        <f t="shared" si="48"/>
        <v>1w</v>
      </c>
      <c r="X2567" s="101">
        <f>_xll.qlCalendarAdvance(Calendar,X2566,W2567,"f",FALSE)</f>
        <v>57312</v>
      </c>
      <c r="Y2567" s="104">
        <f>_xll.qlCalendarAdvance(Calendar,X2567,NDays&amp;"D")</f>
        <v>57314</v>
      </c>
      <c r="Z2567" s="105" t="e">
        <v>#N/A</v>
      </c>
      <c r="AA2567" s="102" t="e">
        <v>#N/A</v>
      </c>
    </row>
    <row r="2568" spans="19:27" x14ac:dyDescent="0.2">
      <c r="S2568" s="61"/>
      <c r="T2568" s="82"/>
      <c r="W2568" s="103" t="str">
        <f t="shared" si="48"/>
        <v>1w</v>
      </c>
      <c r="X2568" s="101">
        <f>_xll.qlCalendarAdvance(Calendar,X2567,W2568,"f",FALSE)</f>
        <v>57319</v>
      </c>
      <c r="Y2568" s="104">
        <f>_xll.qlCalendarAdvance(Calendar,X2568,NDays&amp;"D")</f>
        <v>57321</v>
      </c>
      <c r="Z2568" s="105" t="e">
        <v>#N/A</v>
      </c>
      <c r="AA2568" s="102" t="e">
        <v>#N/A</v>
      </c>
    </row>
    <row r="2569" spans="19:27" x14ac:dyDescent="0.2">
      <c r="S2569" s="61"/>
      <c r="T2569" s="82"/>
      <c r="W2569" s="103" t="str">
        <f t="shared" si="48"/>
        <v>1w</v>
      </c>
      <c r="X2569" s="101">
        <f>_xll.qlCalendarAdvance(Calendar,X2568,W2569,"f",FALSE)</f>
        <v>57326</v>
      </c>
      <c r="Y2569" s="104">
        <f>_xll.qlCalendarAdvance(Calendar,X2569,NDays&amp;"D")</f>
        <v>57328</v>
      </c>
      <c r="Z2569" s="105" t="e">
        <v>#N/A</v>
      </c>
      <c r="AA2569" s="102" t="e">
        <v>#N/A</v>
      </c>
    </row>
    <row r="2570" spans="19:27" x14ac:dyDescent="0.2">
      <c r="S2570" s="61"/>
      <c r="T2570" s="82"/>
      <c r="W2570" s="103" t="str">
        <f t="shared" si="48"/>
        <v>1w</v>
      </c>
      <c r="X2570" s="101">
        <f>_xll.qlCalendarAdvance(Calendar,X2569,W2570,"f",FALSE)</f>
        <v>57333</v>
      </c>
      <c r="Y2570" s="104">
        <f>_xll.qlCalendarAdvance(Calendar,X2570,NDays&amp;"D")</f>
        <v>57335</v>
      </c>
      <c r="Z2570" s="105" t="e">
        <v>#N/A</v>
      </c>
      <c r="AA2570" s="102" t="e">
        <v>#N/A</v>
      </c>
    </row>
    <row r="2571" spans="19:27" x14ac:dyDescent="0.2">
      <c r="S2571" s="61"/>
      <c r="T2571" s="82"/>
      <c r="W2571" s="103" t="str">
        <f t="shared" si="48"/>
        <v>1w</v>
      </c>
      <c r="X2571" s="101">
        <f>_xll.qlCalendarAdvance(Calendar,X2570,W2571,"f",FALSE)</f>
        <v>57341</v>
      </c>
      <c r="Y2571" s="104">
        <f>_xll.qlCalendarAdvance(Calendar,X2571,NDays&amp;"D")</f>
        <v>57343</v>
      </c>
      <c r="Z2571" s="105" t="e">
        <v>#N/A</v>
      </c>
      <c r="AA2571" s="102" t="e">
        <v>#N/A</v>
      </c>
    </row>
    <row r="2572" spans="19:27" x14ac:dyDescent="0.2">
      <c r="S2572" s="61"/>
      <c r="T2572" s="82"/>
      <c r="W2572" s="103" t="str">
        <f t="shared" si="48"/>
        <v>1w</v>
      </c>
      <c r="X2572" s="101">
        <f>_xll.qlCalendarAdvance(Calendar,X2571,W2572,"f",FALSE)</f>
        <v>57348</v>
      </c>
      <c r="Y2572" s="104">
        <f>_xll.qlCalendarAdvance(Calendar,X2572,NDays&amp;"D")</f>
        <v>57350</v>
      </c>
      <c r="Z2572" s="105" t="e">
        <v>#N/A</v>
      </c>
      <c r="AA2572" s="102" t="e">
        <v>#N/A</v>
      </c>
    </row>
    <row r="2573" spans="19:27" x14ac:dyDescent="0.2">
      <c r="S2573" s="61"/>
      <c r="T2573" s="82"/>
      <c r="W2573" s="103" t="str">
        <f t="shared" si="48"/>
        <v>1w</v>
      </c>
      <c r="X2573" s="101">
        <f>_xll.qlCalendarAdvance(Calendar,X2572,W2573,"f",FALSE)</f>
        <v>57355</v>
      </c>
      <c r="Y2573" s="104">
        <f>_xll.qlCalendarAdvance(Calendar,X2573,NDays&amp;"D")</f>
        <v>57357</v>
      </c>
      <c r="Z2573" s="105" t="e">
        <v>#N/A</v>
      </c>
      <c r="AA2573" s="102" t="e">
        <v>#N/A</v>
      </c>
    </row>
    <row r="2574" spans="19:27" x14ac:dyDescent="0.2">
      <c r="S2574" s="61"/>
      <c r="T2574" s="82"/>
      <c r="W2574" s="103" t="str">
        <f t="shared" si="48"/>
        <v>1w</v>
      </c>
      <c r="X2574" s="101">
        <f>_xll.qlCalendarAdvance(Calendar,X2573,W2574,"f",FALSE)</f>
        <v>57362</v>
      </c>
      <c r="Y2574" s="104">
        <f>_xll.qlCalendarAdvance(Calendar,X2574,NDays&amp;"D")</f>
        <v>57364</v>
      </c>
      <c r="Z2574" s="105" t="e">
        <v>#N/A</v>
      </c>
      <c r="AA2574" s="102" t="e">
        <v>#N/A</v>
      </c>
    </row>
    <row r="2575" spans="19:27" x14ac:dyDescent="0.2">
      <c r="S2575" s="61"/>
      <c r="T2575" s="82"/>
      <c r="W2575" s="103" t="str">
        <f t="shared" si="48"/>
        <v>1w</v>
      </c>
      <c r="X2575" s="101">
        <f>_xll.qlCalendarAdvance(Calendar,X2574,W2575,"f",FALSE)</f>
        <v>57369</v>
      </c>
      <c r="Y2575" s="104">
        <f>_xll.qlCalendarAdvance(Calendar,X2575,NDays&amp;"D")</f>
        <v>57371</v>
      </c>
      <c r="Z2575" s="105" t="e">
        <v>#N/A</v>
      </c>
      <c r="AA2575" s="102" t="e">
        <v>#N/A</v>
      </c>
    </row>
    <row r="2576" spans="19:27" x14ac:dyDescent="0.2">
      <c r="S2576" s="61"/>
      <c r="T2576" s="82"/>
      <c r="W2576" s="103" t="str">
        <f t="shared" si="48"/>
        <v>1w</v>
      </c>
      <c r="X2576" s="101">
        <f>_xll.qlCalendarAdvance(Calendar,X2575,W2576,"f",FALSE)</f>
        <v>57376</v>
      </c>
      <c r="Y2576" s="104">
        <f>_xll.qlCalendarAdvance(Calendar,X2576,NDays&amp;"D")</f>
        <v>57378</v>
      </c>
      <c r="Z2576" s="105" t="e">
        <v>#N/A</v>
      </c>
      <c r="AA2576" s="102" t="e">
        <v>#N/A</v>
      </c>
    </row>
    <row r="2577" spans="19:27" x14ac:dyDescent="0.2">
      <c r="S2577" s="61"/>
      <c r="T2577" s="82"/>
      <c r="W2577" s="103" t="str">
        <f t="shared" si="48"/>
        <v>1w</v>
      </c>
      <c r="X2577" s="101">
        <f>_xll.qlCalendarAdvance(Calendar,X2576,W2577,"f",FALSE)</f>
        <v>57383</v>
      </c>
      <c r="Y2577" s="104">
        <f>_xll.qlCalendarAdvance(Calendar,X2577,NDays&amp;"D")</f>
        <v>57385</v>
      </c>
      <c r="Z2577" s="105" t="e">
        <v>#N/A</v>
      </c>
      <c r="AA2577" s="102" t="e">
        <v>#N/A</v>
      </c>
    </row>
    <row r="2578" spans="19:27" x14ac:dyDescent="0.2">
      <c r="S2578" s="61"/>
      <c r="T2578" s="82"/>
      <c r="W2578" s="103" t="str">
        <f t="shared" si="48"/>
        <v>1w</v>
      </c>
      <c r="X2578" s="101">
        <f>_xll.qlCalendarAdvance(Calendar,X2577,W2578,"f",FALSE)</f>
        <v>57390</v>
      </c>
      <c r="Y2578" s="104">
        <f>_xll.qlCalendarAdvance(Calendar,X2578,NDays&amp;"D")</f>
        <v>57392</v>
      </c>
      <c r="Z2578" s="105" t="e">
        <v>#N/A</v>
      </c>
      <c r="AA2578" s="102" t="e">
        <v>#N/A</v>
      </c>
    </row>
    <row r="2579" spans="19:27" x14ac:dyDescent="0.2">
      <c r="S2579" s="61"/>
      <c r="T2579" s="82"/>
      <c r="W2579" s="103" t="str">
        <f t="shared" si="48"/>
        <v>1w</v>
      </c>
      <c r="X2579" s="101">
        <f>_xll.qlCalendarAdvance(Calendar,X2578,W2579,"f",FALSE)</f>
        <v>57397</v>
      </c>
      <c r="Y2579" s="104">
        <f>_xll.qlCalendarAdvance(Calendar,X2579,NDays&amp;"D")</f>
        <v>57399</v>
      </c>
      <c r="Z2579" s="105" t="e">
        <v>#N/A</v>
      </c>
      <c r="AA2579" s="102" t="e">
        <v>#N/A</v>
      </c>
    </row>
    <row r="2580" spans="19:27" x14ac:dyDescent="0.2">
      <c r="S2580" s="61"/>
      <c r="T2580" s="82"/>
      <c r="W2580" s="103" t="str">
        <f t="shared" si="48"/>
        <v>1w</v>
      </c>
      <c r="X2580" s="101">
        <f>_xll.qlCalendarAdvance(Calendar,X2579,W2580,"f",FALSE)</f>
        <v>57404</v>
      </c>
      <c r="Y2580" s="104">
        <f>_xll.qlCalendarAdvance(Calendar,X2580,NDays&amp;"D")</f>
        <v>57406</v>
      </c>
      <c r="Z2580" s="105" t="e">
        <v>#N/A</v>
      </c>
      <c r="AA2580" s="102" t="e">
        <v>#N/A</v>
      </c>
    </row>
    <row r="2581" spans="19:27" x14ac:dyDescent="0.2">
      <c r="S2581" s="61"/>
      <c r="T2581" s="82"/>
      <c r="W2581" s="103" t="str">
        <f t="shared" ref="W2581:W2644" si="49">W2580</f>
        <v>1w</v>
      </c>
      <c r="X2581" s="101">
        <f>_xll.qlCalendarAdvance(Calendar,X2580,W2581,"f",FALSE)</f>
        <v>57411</v>
      </c>
      <c r="Y2581" s="104">
        <f>_xll.qlCalendarAdvance(Calendar,X2581,NDays&amp;"D")</f>
        <v>57413</v>
      </c>
      <c r="Z2581" s="105" t="e">
        <v>#N/A</v>
      </c>
      <c r="AA2581" s="102" t="e">
        <v>#N/A</v>
      </c>
    </row>
    <row r="2582" spans="19:27" x14ac:dyDescent="0.2">
      <c r="S2582" s="61"/>
      <c r="T2582" s="82"/>
      <c r="W2582" s="103" t="str">
        <f t="shared" si="49"/>
        <v>1w</v>
      </c>
      <c r="X2582" s="101">
        <f>_xll.qlCalendarAdvance(Calendar,X2581,W2582,"f",FALSE)</f>
        <v>57418</v>
      </c>
      <c r="Y2582" s="104">
        <f>_xll.qlCalendarAdvance(Calendar,X2582,NDays&amp;"D")</f>
        <v>57420</v>
      </c>
      <c r="Z2582" s="105" t="e">
        <v>#N/A</v>
      </c>
      <c r="AA2582" s="102" t="e">
        <v>#N/A</v>
      </c>
    </row>
    <row r="2583" spans="19:27" x14ac:dyDescent="0.2">
      <c r="S2583" s="61"/>
      <c r="T2583" s="82"/>
      <c r="W2583" s="103" t="str">
        <f t="shared" si="49"/>
        <v>1w</v>
      </c>
      <c r="X2583" s="101">
        <f>_xll.qlCalendarAdvance(Calendar,X2582,W2583,"f",FALSE)</f>
        <v>57425</v>
      </c>
      <c r="Y2583" s="104">
        <f>_xll.qlCalendarAdvance(Calendar,X2583,NDays&amp;"D")</f>
        <v>57427</v>
      </c>
      <c r="Z2583" s="105" t="e">
        <v>#N/A</v>
      </c>
      <c r="AA2583" s="102" t="e">
        <v>#N/A</v>
      </c>
    </row>
    <row r="2584" spans="19:27" x14ac:dyDescent="0.2">
      <c r="S2584" s="61"/>
      <c r="T2584" s="82"/>
      <c r="W2584" s="103" t="str">
        <f t="shared" si="49"/>
        <v>1w</v>
      </c>
      <c r="X2584" s="101">
        <f>_xll.qlCalendarAdvance(Calendar,X2583,W2584,"f",FALSE)</f>
        <v>57432</v>
      </c>
      <c r="Y2584" s="104">
        <f>_xll.qlCalendarAdvance(Calendar,X2584,NDays&amp;"D")</f>
        <v>57434</v>
      </c>
      <c r="Z2584" s="105" t="e">
        <v>#N/A</v>
      </c>
      <c r="AA2584" s="102" t="e">
        <v>#N/A</v>
      </c>
    </row>
    <row r="2585" spans="19:27" x14ac:dyDescent="0.2">
      <c r="S2585" s="61"/>
      <c r="T2585" s="82"/>
      <c r="W2585" s="103" t="str">
        <f t="shared" si="49"/>
        <v>1w</v>
      </c>
      <c r="X2585" s="101">
        <f>_xll.qlCalendarAdvance(Calendar,X2584,W2585,"f",FALSE)</f>
        <v>57439</v>
      </c>
      <c r="Y2585" s="104">
        <f>_xll.qlCalendarAdvance(Calendar,X2585,NDays&amp;"D")</f>
        <v>57441</v>
      </c>
      <c r="Z2585" s="105" t="e">
        <v>#N/A</v>
      </c>
      <c r="AA2585" s="102" t="e">
        <v>#N/A</v>
      </c>
    </row>
    <row r="2586" spans="19:27" x14ac:dyDescent="0.2">
      <c r="S2586" s="61"/>
      <c r="T2586" s="82"/>
      <c r="W2586" s="103" t="str">
        <f t="shared" si="49"/>
        <v>1w</v>
      </c>
      <c r="X2586" s="101">
        <f>_xll.qlCalendarAdvance(Calendar,X2585,W2586,"f",FALSE)</f>
        <v>57446</v>
      </c>
      <c r="Y2586" s="104">
        <f>_xll.qlCalendarAdvance(Calendar,X2586,NDays&amp;"D")</f>
        <v>57448</v>
      </c>
      <c r="Z2586" s="105" t="e">
        <v>#N/A</v>
      </c>
      <c r="AA2586" s="102" t="e">
        <v>#N/A</v>
      </c>
    </row>
    <row r="2587" spans="19:27" x14ac:dyDescent="0.2">
      <c r="S2587" s="61"/>
      <c r="T2587" s="82"/>
      <c r="W2587" s="103" t="str">
        <f t="shared" si="49"/>
        <v>1w</v>
      </c>
      <c r="X2587" s="101">
        <f>_xll.qlCalendarAdvance(Calendar,X2586,W2587,"f",FALSE)</f>
        <v>57453</v>
      </c>
      <c r="Y2587" s="104">
        <f>_xll.qlCalendarAdvance(Calendar,X2587,NDays&amp;"D")</f>
        <v>57459</v>
      </c>
      <c r="Z2587" s="105" t="e">
        <v>#N/A</v>
      </c>
      <c r="AA2587" s="102" t="e">
        <v>#N/A</v>
      </c>
    </row>
    <row r="2588" spans="19:27" x14ac:dyDescent="0.2">
      <c r="S2588" s="61"/>
      <c r="T2588" s="82"/>
      <c r="W2588" s="103" t="str">
        <f t="shared" si="49"/>
        <v>1w</v>
      </c>
      <c r="X2588" s="101">
        <f>_xll.qlCalendarAdvance(Calendar,X2587,W2588,"f",FALSE)</f>
        <v>57460</v>
      </c>
      <c r="Y2588" s="104">
        <f>_xll.qlCalendarAdvance(Calendar,X2588,NDays&amp;"D")</f>
        <v>57462</v>
      </c>
      <c r="Z2588" s="105" t="e">
        <v>#N/A</v>
      </c>
      <c r="AA2588" s="102" t="e">
        <v>#N/A</v>
      </c>
    </row>
    <row r="2589" spans="19:27" x14ac:dyDescent="0.2">
      <c r="S2589" s="61"/>
      <c r="T2589" s="82"/>
      <c r="W2589" s="103" t="str">
        <f t="shared" si="49"/>
        <v>1w</v>
      </c>
      <c r="X2589" s="101">
        <f>_xll.qlCalendarAdvance(Calendar,X2588,W2589,"f",FALSE)</f>
        <v>57467</v>
      </c>
      <c r="Y2589" s="104">
        <f>_xll.qlCalendarAdvance(Calendar,X2589,NDays&amp;"D")</f>
        <v>57469</v>
      </c>
      <c r="Z2589" s="105" t="e">
        <v>#N/A</v>
      </c>
      <c r="AA2589" s="102" t="e">
        <v>#N/A</v>
      </c>
    </row>
    <row r="2590" spans="19:27" x14ac:dyDescent="0.2">
      <c r="S2590" s="61"/>
      <c r="T2590" s="82"/>
      <c r="W2590" s="103" t="str">
        <f t="shared" si="49"/>
        <v>1w</v>
      </c>
      <c r="X2590" s="101">
        <f>_xll.qlCalendarAdvance(Calendar,X2589,W2590,"f",FALSE)</f>
        <v>57474</v>
      </c>
      <c r="Y2590" s="104">
        <f>_xll.qlCalendarAdvance(Calendar,X2590,NDays&amp;"D")</f>
        <v>57476</v>
      </c>
      <c r="Z2590" s="105" t="e">
        <v>#N/A</v>
      </c>
      <c r="AA2590" s="102" t="e">
        <v>#N/A</v>
      </c>
    </row>
    <row r="2591" spans="19:27" x14ac:dyDescent="0.2">
      <c r="S2591" s="61"/>
      <c r="T2591" s="82"/>
      <c r="W2591" s="103" t="str">
        <f t="shared" si="49"/>
        <v>1w</v>
      </c>
      <c r="X2591" s="101">
        <f>_xll.qlCalendarAdvance(Calendar,X2590,W2591,"f",FALSE)</f>
        <v>57481</v>
      </c>
      <c r="Y2591" s="104">
        <f>_xll.qlCalendarAdvance(Calendar,X2591,NDays&amp;"D")</f>
        <v>57483</v>
      </c>
      <c r="Z2591" s="105" t="e">
        <v>#N/A</v>
      </c>
      <c r="AA2591" s="102" t="e">
        <v>#N/A</v>
      </c>
    </row>
    <row r="2592" spans="19:27" x14ac:dyDescent="0.2">
      <c r="S2592" s="61"/>
      <c r="T2592" s="82"/>
      <c r="W2592" s="103" t="str">
        <f t="shared" si="49"/>
        <v>1w</v>
      </c>
      <c r="X2592" s="101">
        <f>_xll.qlCalendarAdvance(Calendar,X2591,W2592,"f",FALSE)</f>
        <v>57488</v>
      </c>
      <c r="Y2592" s="104">
        <f>_xll.qlCalendarAdvance(Calendar,X2592,NDays&amp;"D")</f>
        <v>57490</v>
      </c>
      <c r="Z2592" s="105" t="e">
        <v>#N/A</v>
      </c>
      <c r="AA2592" s="102" t="e">
        <v>#N/A</v>
      </c>
    </row>
    <row r="2593" spans="19:27" x14ac:dyDescent="0.2">
      <c r="S2593" s="61"/>
      <c r="T2593" s="82"/>
      <c r="W2593" s="103" t="str">
        <f t="shared" si="49"/>
        <v>1w</v>
      </c>
      <c r="X2593" s="101">
        <f>_xll.qlCalendarAdvance(Calendar,X2592,W2593,"f",FALSE)</f>
        <v>57495</v>
      </c>
      <c r="Y2593" s="104">
        <f>_xll.qlCalendarAdvance(Calendar,X2593,NDays&amp;"D")</f>
        <v>57500</v>
      </c>
      <c r="Z2593" s="105" t="e">
        <v>#N/A</v>
      </c>
      <c r="AA2593" s="102" t="e">
        <v>#N/A</v>
      </c>
    </row>
    <row r="2594" spans="19:27" x14ac:dyDescent="0.2">
      <c r="S2594" s="61"/>
      <c r="T2594" s="82"/>
      <c r="W2594" s="103" t="str">
        <f t="shared" si="49"/>
        <v>1w</v>
      </c>
      <c r="X2594" s="101">
        <f>_xll.qlCalendarAdvance(Calendar,X2593,W2594,"f",FALSE)</f>
        <v>57502</v>
      </c>
      <c r="Y2594" s="104">
        <f>_xll.qlCalendarAdvance(Calendar,X2594,NDays&amp;"D")</f>
        <v>57504</v>
      </c>
      <c r="Z2594" s="105" t="e">
        <v>#N/A</v>
      </c>
      <c r="AA2594" s="102" t="e">
        <v>#N/A</v>
      </c>
    </row>
    <row r="2595" spans="19:27" x14ac:dyDescent="0.2">
      <c r="S2595" s="61"/>
      <c r="T2595" s="82"/>
      <c r="W2595" s="103" t="str">
        <f t="shared" si="49"/>
        <v>1w</v>
      </c>
      <c r="X2595" s="101">
        <f>_xll.qlCalendarAdvance(Calendar,X2594,W2595,"f",FALSE)</f>
        <v>57509</v>
      </c>
      <c r="Y2595" s="104">
        <f>_xll.qlCalendarAdvance(Calendar,X2595,NDays&amp;"D")</f>
        <v>57511</v>
      </c>
      <c r="Z2595" s="105" t="e">
        <v>#N/A</v>
      </c>
      <c r="AA2595" s="102" t="e">
        <v>#N/A</v>
      </c>
    </row>
    <row r="2596" spans="19:27" x14ac:dyDescent="0.2">
      <c r="S2596" s="61"/>
      <c r="T2596" s="82"/>
      <c r="W2596" s="103" t="str">
        <f t="shared" si="49"/>
        <v>1w</v>
      </c>
      <c r="X2596" s="101">
        <f>_xll.qlCalendarAdvance(Calendar,X2595,W2596,"f",FALSE)</f>
        <v>57516</v>
      </c>
      <c r="Y2596" s="104">
        <f>_xll.qlCalendarAdvance(Calendar,X2596,NDays&amp;"D")</f>
        <v>57521</v>
      </c>
      <c r="Z2596" s="105" t="e">
        <v>#N/A</v>
      </c>
      <c r="AA2596" s="102" t="e">
        <v>#N/A</v>
      </c>
    </row>
    <row r="2597" spans="19:27" x14ac:dyDescent="0.2">
      <c r="S2597" s="61"/>
      <c r="T2597" s="82"/>
      <c r="W2597" s="103" t="str">
        <f t="shared" si="49"/>
        <v>1w</v>
      </c>
      <c r="X2597" s="101">
        <f>_xll.qlCalendarAdvance(Calendar,X2596,W2597,"f",FALSE)</f>
        <v>57523</v>
      </c>
      <c r="Y2597" s="104">
        <f>_xll.qlCalendarAdvance(Calendar,X2597,NDays&amp;"D")</f>
        <v>57525</v>
      </c>
      <c r="Z2597" s="105" t="e">
        <v>#N/A</v>
      </c>
      <c r="AA2597" s="102" t="e">
        <v>#N/A</v>
      </c>
    </row>
    <row r="2598" spans="19:27" x14ac:dyDescent="0.2">
      <c r="S2598" s="61"/>
      <c r="T2598" s="82"/>
      <c r="W2598" s="103" t="str">
        <f t="shared" si="49"/>
        <v>1w</v>
      </c>
      <c r="X2598" s="101">
        <f>_xll.qlCalendarAdvance(Calendar,X2597,W2598,"f",FALSE)</f>
        <v>57530</v>
      </c>
      <c r="Y2598" s="104">
        <f>_xll.qlCalendarAdvance(Calendar,X2598,NDays&amp;"D")</f>
        <v>57532</v>
      </c>
      <c r="Z2598" s="105" t="e">
        <v>#N/A</v>
      </c>
      <c r="AA2598" s="102" t="e">
        <v>#N/A</v>
      </c>
    </row>
    <row r="2599" spans="19:27" x14ac:dyDescent="0.2">
      <c r="S2599" s="61"/>
      <c r="T2599" s="82"/>
      <c r="W2599" s="103" t="str">
        <f t="shared" si="49"/>
        <v>1w</v>
      </c>
      <c r="X2599" s="101">
        <f>_xll.qlCalendarAdvance(Calendar,X2598,W2599,"f",FALSE)</f>
        <v>57537</v>
      </c>
      <c r="Y2599" s="104">
        <f>_xll.qlCalendarAdvance(Calendar,X2599,NDays&amp;"D")</f>
        <v>57539</v>
      </c>
      <c r="Z2599" s="105" t="e">
        <v>#N/A</v>
      </c>
      <c r="AA2599" s="102" t="e">
        <v>#N/A</v>
      </c>
    </row>
    <row r="2600" spans="19:27" x14ac:dyDescent="0.2">
      <c r="S2600" s="61"/>
      <c r="T2600" s="82"/>
      <c r="W2600" s="103" t="str">
        <f t="shared" si="49"/>
        <v>1w</v>
      </c>
      <c r="X2600" s="101">
        <f>_xll.qlCalendarAdvance(Calendar,X2599,W2600,"f",FALSE)</f>
        <v>57544</v>
      </c>
      <c r="Y2600" s="104">
        <f>_xll.qlCalendarAdvance(Calendar,X2600,NDays&amp;"D")</f>
        <v>57546</v>
      </c>
      <c r="Z2600" s="105" t="e">
        <v>#N/A</v>
      </c>
      <c r="AA2600" s="102" t="e">
        <v>#N/A</v>
      </c>
    </row>
    <row r="2601" spans="19:27" x14ac:dyDescent="0.2">
      <c r="S2601" s="61"/>
      <c r="T2601" s="82"/>
      <c r="W2601" s="103" t="str">
        <f t="shared" si="49"/>
        <v>1w</v>
      </c>
      <c r="X2601" s="101">
        <f>_xll.qlCalendarAdvance(Calendar,X2600,W2601,"f",FALSE)</f>
        <v>57551</v>
      </c>
      <c r="Y2601" s="104">
        <f>_xll.qlCalendarAdvance(Calendar,X2601,NDays&amp;"D")</f>
        <v>57553</v>
      </c>
      <c r="Z2601" s="105" t="e">
        <v>#N/A</v>
      </c>
      <c r="AA2601" s="102" t="e">
        <v>#N/A</v>
      </c>
    </row>
    <row r="2602" spans="19:27" x14ac:dyDescent="0.2">
      <c r="S2602" s="61"/>
      <c r="T2602" s="82"/>
      <c r="W2602" s="103" t="str">
        <f t="shared" si="49"/>
        <v>1w</v>
      </c>
      <c r="X2602" s="101">
        <f>_xll.qlCalendarAdvance(Calendar,X2601,W2602,"f",FALSE)</f>
        <v>57558</v>
      </c>
      <c r="Y2602" s="104">
        <f>_xll.qlCalendarAdvance(Calendar,X2602,NDays&amp;"D")</f>
        <v>57560</v>
      </c>
      <c r="Z2602" s="105" t="e">
        <v>#N/A</v>
      </c>
      <c r="AA2602" s="102" t="e">
        <v>#N/A</v>
      </c>
    </row>
    <row r="2603" spans="19:27" x14ac:dyDescent="0.2">
      <c r="S2603" s="61"/>
      <c r="T2603" s="82"/>
      <c r="W2603" s="103" t="str">
        <f t="shared" si="49"/>
        <v>1w</v>
      </c>
      <c r="X2603" s="101">
        <f>_xll.qlCalendarAdvance(Calendar,X2602,W2603,"f",FALSE)</f>
        <v>57565</v>
      </c>
      <c r="Y2603" s="104">
        <f>_xll.qlCalendarAdvance(Calendar,X2603,NDays&amp;"D")</f>
        <v>57567</v>
      </c>
      <c r="Z2603" s="105" t="e">
        <v>#N/A</v>
      </c>
      <c r="AA2603" s="102" t="e">
        <v>#N/A</v>
      </c>
    </row>
    <row r="2604" spans="19:27" x14ac:dyDescent="0.2">
      <c r="S2604" s="61"/>
      <c r="T2604" s="82"/>
      <c r="W2604" s="103" t="str">
        <f t="shared" si="49"/>
        <v>1w</v>
      </c>
      <c r="X2604" s="101">
        <f>_xll.qlCalendarAdvance(Calendar,X2603,W2604,"f",FALSE)</f>
        <v>57572</v>
      </c>
      <c r="Y2604" s="104">
        <f>_xll.qlCalendarAdvance(Calendar,X2604,NDays&amp;"D")</f>
        <v>57574</v>
      </c>
      <c r="Z2604" s="105" t="e">
        <v>#N/A</v>
      </c>
      <c r="AA2604" s="102" t="e">
        <v>#N/A</v>
      </c>
    </row>
    <row r="2605" spans="19:27" x14ac:dyDescent="0.2">
      <c r="S2605" s="61"/>
      <c r="T2605" s="82"/>
      <c r="W2605" s="103" t="str">
        <f t="shared" si="49"/>
        <v>1w</v>
      </c>
      <c r="X2605" s="101">
        <f>_xll.qlCalendarAdvance(Calendar,X2604,W2605,"f",FALSE)</f>
        <v>57579</v>
      </c>
      <c r="Y2605" s="104">
        <f>_xll.qlCalendarAdvance(Calendar,X2605,NDays&amp;"D")</f>
        <v>57581</v>
      </c>
      <c r="Z2605" s="105" t="e">
        <v>#N/A</v>
      </c>
      <c r="AA2605" s="102" t="e">
        <v>#N/A</v>
      </c>
    </row>
    <row r="2606" spans="19:27" x14ac:dyDescent="0.2">
      <c r="S2606" s="61"/>
      <c r="T2606" s="82"/>
      <c r="W2606" s="103" t="str">
        <f t="shared" si="49"/>
        <v>1w</v>
      </c>
      <c r="X2606" s="101">
        <f>_xll.qlCalendarAdvance(Calendar,X2605,W2606,"f",FALSE)</f>
        <v>57586</v>
      </c>
      <c r="Y2606" s="104">
        <f>_xll.qlCalendarAdvance(Calendar,X2606,NDays&amp;"D")</f>
        <v>57588</v>
      </c>
      <c r="Z2606" s="105" t="e">
        <v>#N/A</v>
      </c>
      <c r="AA2606" s="102" t="e">
        <v>#N/A</v>
      </c>
    </row>
    <row r="2607" spans="19:27" x14ac:dyDescent="0.2">
      <c r="S2607" s="61"/>
      <c r="T2607" s="82"/>
      <c r="W2607" s="103" t="str">
        <f t="shared" si="49"/>
        <v>1w</v>
      </c>
      <c r="X2607" s="101">
        <f>_xll.qlCalendarAdvance(Calendar,X2606,W2607,"f",FALSE)</f>
        <v>57593</v>
      </c>
      <c r="Y2607" s="104">
        <f>_xll.qlCalendarAdvance(Calendar,X2607,NDays&amp;"D")</f>
        <v>57595</v>
      </c>
      <c r="Z2607" s="105" t="e">
        <v>#N/A</v>
      </c>
      <c r="AA2607" s="102" t="e">
        <v>#N/A</v>
      </c>
    </row>
    <row r="2608" spans="19:27" x14ac:dyDescent="0.2">
      <c r="S2608" s="61"/>
      <c r="T2608" s="82"/>
      <c r="W2608" s="103" t="str">
        <f t="shared" si="49"/>
        <v>1w</v>
      </c>
      <c r="X2608" s="101">
        <f>_xll.qlCalendarAdvance(Calendar,X2607,W2608,"f",FALSE)</f>
        <v>57600</v>
      </c>
      <c r="Y2608" s="104">
        <f>_xll.qlCalendarAdvance(Calendar,X2608,NDays&amp;"D")</f>
        <v>57602</v>
      </c>
      <c r="Z2608" s="105" t="e">
        <v>#N/A</v>
      </c>
      <c r="AA2608" s="102" t="e">
        <v>#N/A</v>
      </c>
    </row>
    <row r="2609" spans="19:27" x14ac:dyDescent="0.2">
      <c r="S2609" s="61"/>
      <c r="T2609" s="82"/>
      <c r="W2609" s="103" t="str">
        <f t="shared" si="49"/>
        <v>1w</v>
      </c>
      <c r="X2609" s="101">
        <f>_xll.qlCalendarAdvance(Calendar,X2608,W2609,"f",FALSE)</f>
        <v>57607</v>
      </c>
      <c r="Y2609" s="104">
        <f>_xll.qlCalendarAdvance(Calendar,X2609,NDays&amp;"D")</f>
        <v>57609</v>
      </c>
      <c r="Z2609" s="105" t="e">
        <v>#N/A</v>
      </c>
      <c r="AA2609" s="102" t="e">
        <v>#N/A</v>
      </c>
    </row>
    <row r="2610" spans="19:27" x14ac:dyDescent="0.2">
      <c r="S2610" s="61"/>
      <c r="T2610" s="82"/>
      <c r="W2610" s="103" t="str">
        <f t="shared" si="49"/>
        <v>1w</v>
      </c>
      <c r="X2610" s="101">
        <f>_xll.qlCalendarAdvance(Calendar,X2609,W2610,"f",FALSE)</f>
        <v>57614</v>
      </c>
      <c r="Y2610" s="104">
        <f>_xll.qlCalendarAdvance(Calendar,X2610,NDays&amp;"D")</f>
        <v>57616</v>
      </c>
      <c r="Z2610" s="105" t="e">
        <v>#N/A</v>
      </c>
      <c r="AA2610" s="102" t="e">
        <v>#N/A</v>
      </c>
    </row>
    <row r="2611" spans="19:27" x14ac:dyDescent="0.2">
      <c r="S2611" s="61"/>
      <c r="T2611" s="82"/>
      <c r="W2611" s="103" t="str">
        <f t="shared" si="49"/>
        <v>1w</v>
      </c>
      <c r="X2611" s="101">
        <f>_xll.qlCalendarAdvance(Calendar,X2610,W2611,"f",FALSE)</f>
        <v>57621</v>
      </c>
      <c r="Y2611" s="104">
        <f>_xll.qlCalendarAdvance(Calendar,X2611,NDays&amp;"D")</f>
        <v>57623</v>
      </c>
      <c r="Z2611" s="105" t="e">
        <v>#N/A</v>
      </c>
      <c r="AA2611" s="102" t="e">
        <v>#N/A</v>
      </c>
    </row>
    <row r="2612" spans="19:27" x14ac:dyDescent="0.2">
      <c r="S2612" s="61"/>
      <c r="T2612" s="82"/>
      <c r="W2612" s="103" t="str">
        <f t="shared" si="49"/>
        <v>1w</v>
      </c>
      <c r="X2612" s="101">
        <f>_xll.qlCalendarAdvance(Calendar,X2611,W2612,"f",FALSE)</f>
        <v>57628</v>
      </c>
      <c r="Y2612" s="104">
        <f>_xll.qlCalendarAdvance(Calendar,X2612,NDays&amp;"D")</f>
        <v>57630</v>
      </c>
      <c r="Z2612" s="105" t="e">
        <v>#N/A</v>
      </c>
      <c r="AA2612" s="102" t="e">
        <v>#N/A</v>
      </c>
    </row>
    <row r="2613" spans="19:27" x14ac:dyDescent="0.2">
      <c r="S2613" s="61"/>
      <c r="T2613" s="82"/>
      <c r="W2613" s="103" t="str">
        <f t="shared" si="49"/>
        <v>1w</v>
      </c>
      <c r="X2613" s="101">
        <f>_xll.qlCalendarAdvance(Calendar,X2612,W2613,"f",FALSE)</f>
        <v>57635</v>
      </c>
      <c r="Y2613" s="104">
        <f>_xll.qlCalendarAdvance(Calendar,X2613,NDays&amp;"D")</f>
        <v>57637</v>
      </c>
      <c r="Z2613" s="105" t="e">
        <v>#N/A</v>
      </c>
      <c r="AA2613" s="102" t="e">
        <v>#N/A</v>
      </c>
    </row>
    <row r="2614" spans="19:27" x14ac:dyDescent="0.2">
      <c r="S2614" s="61"/>
      <c r="T2614" s="82"/>
      <c r="W2614" s="103" t="str">
        <f t="shared" si="49"/>
        <v>1w</v>
      </c>
      <c r="X2614" s="101">
        <f>_xll.qlCalendarAdvance(Calendar,X2613,W2614,"f",FALSE)</f>
        <v>57642</v>
      </c>
      <c r="Y2614" s="104">
        <f>_xll.qlCalendarAdvance(Calendar,X2614,NDays&amp;"D")</f>
        <v>57644</v>
      </c>
      <c r="Z2614" s="105" t="e">
        <v>#N/A</v>
      </c>
      <c r="AA2614" s="102" t="e">
        <v>#N/A</v>
      </c>
    </row>
    <row r="2615" spans="19:27" x14ac:dyDescent="0.2">
      <c r="S2615" s="61"/>
      <c r="T2615" s="82"/>
      <c r="W2615" s="103" t="str">
        <f t="shared" si="49"/>
        <v>1w</v>
      </c>
      <c r="X2615" s="101">
        <f>_xll.qlCalendarAdvance(Calendar,X2614,W2615,"f",FALSE)</f>
        <v>57649</v>
      </c>
      <c r="Y2615" s="104">
        <f>_xll.qlCalendarAdvance(Calendar,X2615,NDays&amp;"D")</f>
        <v>57651</v>
      </c>
      <c r="Z2615" s="105" t="e">
        <v>#N/A</v>
      </c>
      <c r="AA2615" s="102" t="e">
        <v>#N/A</v>
      </c>
    </row>
    <row r="2616" spans="19:27" x14ac:dyDescent="0.2">
      <c r="S2616" s="61"/>
      <c r="T2616" s="82"/>
      <c r="W2616" s="103" t="str">
        <f t="shared" si="49"/>
        <v>1w</v>
      </c>
      <c r="X2616" s="101">
        <f>_xll.qlCalendarAdvance(Calendar,X2615,W2616,"f",FALSE)</f>
        <v>57656</v>
      </c>
      <c r="Y2616" s="104">
        <f>_xll.qlCalendarAdvance(Calendar,X2616,NDays&amp;"D")</f>
        <v>57658</v>
      </c>
      <c r="Z2616" s="105" t="e">
        <v>#N/A</v>
      </c>
      <c r="AA2616" s="102" t="e">
        <v>#N/A</v>
      </c>
    </row>
    <row r="2617" spans="19:27" x14ac:dyDescent="0.2">
      <c r="S2617" s="61"/>
      <c r="T2617" s="82"/>
      <c r="W2617" s="103" t="str">
        <f t="shared" si="49"/>
        <v>1w</v>
      </c>
      <c r="X2617" s="101">
        <f>_xll.qlCalendarAdvance(Calendar,X2616,W2617,"f",FALSE)</f>
        <v>57663</v>
      </c>
      <c r="Y2617" s="104">
        <f>_xll.qlCalendarAdvance(Calendar,X2617,NDays&amp;"D")</f>
        <v>57665</v>
      </c>
      <c r="Z2617" s="105" t="e">
        <v>#N/A</v>
      </c>
      <c r="AA2617" s="102" t="e">
        <v>#N/A</v>
      </c>
    </row>
    <row r="2618" spans="19:27" x14ac:dyDescent="0.2">
      <c r="S2618" s="61"/>
      <c r="T2618" s="82"/>
      <c r="W2618" s="103" t="str">
        <f t="shared" si="49"/>
        <v>1w</v>
      </c>
      <c r="X2618" s="101">
        <f>_xll.qlCalendarAdvance(Calendar,X2617,W2618,"f",FALSE)</f>
        <v>57670</v>
      </c>
      <c r="Y2618" s="104">
        <f>_xll.qlCalendarAdvance(Calendar,X2618,NDays&amp;"D")</f>
        <v>57672</v>
      </c>
      <c r="Z2618" s="105" t="e">
        <v>#N/A</v>
      </c>
      <c r="AA2618" s="102" t="e">
        <v>#N/A</v>
      </c>
    </row>
    <row r="2619" spans="19:27" x14ac:dyDescent="0.2">
      <c r="S2619" s="61"/>
      <c r="T2619" s="82"/>
      <c r="W2619" s="103" t="str">
        <f t="shared" si="49"/>
        <v>1w</v>
      </c>
      <c r="X2619" s="101">
        <f>_xll.qlCalendarAdvance(Calendar,X2618,W2619,"f",FALSE)</f>
        <v>57677</v>
      </c>
      <c r="Y2619" s="104">
        <f>_xll.qlCalendarAdvance(Calendar,X2619,NDays&amp;"D")</f>
        <v>57679</v>
      </c>
      <c r="Z2619" s="105" t="e">
        <v>#N/A</v>
      </c>
      <c r="AA2619" s="102" t="e">
        <v>#N/A</v>
      </c>
    </row>
    <row r="2620" spans="19:27" x14ac:dyDescent="0.2">
      <c r="S2620" s="61"/>
      <c r="T2620" s="82"/>
      <c r="W2620" s="103" t="str">
        <f t="shared" si="49"/>
        <v>1w</v>
      </c>
      <c r="X2620" s="101">
        <f>_xll.qlCalendarAdvance(Calendar,X2619,W2620,"f",FALSE)</f>
        <v>57684</v>
      </c>
      <c r="Y2620" s="104">
        <f>_xll.qlCalendarAdvance(Calendar,X2620,NDays&amp;"D")</f>
        <v>57686</v>
      </c>
      <c r="Z2620" s="105" t="e">
        <v>#N/A</v>
      </c>
      <c r="AA2620" s="102" t="e">
        <v>#N/A</v>
      </c>
    </row>
    <row r="2621" spans="19:27" x14ac:dyDescent="0.2">
      <c r="S2621" s="61"/>
      <c r="T2621" s="82"/>
      <c r="W2621" s="103" t="str">
        <f t="shared" si="49"/>
        <v>1w</v>
      </c>
      <c r="X2621" s="101">
        <f>_xll.qlCalendarAdvance(Calendar,X2620,W2621,"f",FALSE)</f>
        <v>57691</v>
      </c>
      <c r="Y2621" s="104">
        <f>_xll.qlCalendarAdvance(Calendar,X2621,NDays&amp;"D")</f>
        <v>57693</v>
      </c>
      <c r="Z2621" s="105" t="e">
        <v>#N/A</v>
      </c>
      <c r="AA2621" s="102" t="e">
        <v>#N/A</v>
      </c>
    </row>
    <row r="2622" spans="19:27" x14ac:dyDescent="0.2">
      <c r="S2622" s="61"/>
      <c r="T2622" s="82"/>
      <c r="W2622" s="103" t="str">
        <f t="shared" si="49"/>
        <v>1w</v>
      </c>
      <c r="X2622" s="101">
        <f>_xll.qlCalendarAdvance(Calendar,X2621,W2622,"f",FALSE)</f>
        <v>57698</v>
      </c>
      <c r="Y2622" s="104">
        <f>_xll.qlCalendarAdvance(Calendar,X2622,NDays&amp;"D")</f>
        <v>57700</v>
      </c>
      <c r="Z2622" s="105" t="e">
        <v>#N/A</v>
      </c>
      <c r="AA2622" s="102" t="e">
        <v>#N/A</v>
      </c>
    </row>
    <row r="2623" spans="19:27" x14ac:dyDescent="0.2">
      <c r="S2623" s="61"/>
      <c r="T2623" s="82"/>
      <c r="W2623" s="103" t="str">
        <f t="shared" si="49"/>
        <v>1w</v>
      </c>
      <c r="X2623" s="101">
        <f>_xll.qlCalendarAdvance(Calendar,X2622,W2623,"f",FALSE)</f>
        <v>57706</v>
      </c>
      <c r="Y2623" s="104">
        <f>_xll.qlCalendarAdvance(Calendar,X2623,NDays&amp;"D")</f>
        <v>57712</v>
      </c>
      <c r="Z2623" s="105" t="e">
        <v>#N/A</v>
      </c>
      <c r="AA2623" s="102" t="e">
        <v>#N/A</v>
      </c>
    </row>
    <row r="2624" spans="19:27" x14ac:dyDescent="0.2">
      <c r="S2624" s="61"/>
      <c r="T2624" s="82"/>
      <c r="W2624" s="103" t="str">
        <f t="shared" si="49"/>
        <v>1w</v>
      </c>
      <c r="X2624" s="101">
        <f>_xll.qlCalendarAdvance(Calendar,X2623,W2624,"f",FALSE)</f>
        <v>57713</v>
      </c>
      <c r="Y2624" s="104">
        <f>_xll.qlCalendarAdvance(Calendar,X2624,NDays&amp;"D")</f>
        <v>57717</v>
      </c>
      <c r="Z2624" s="105" t="e">
        <v>#N/A</v>
      </c>
      <c r="AA2624" s="102" t="e">
        <v>#N/A</v>
      </c>
    </row>
    <row r="2625" spans="19:27" x14ac:dyDescent="0.2">
      <c r="S2625" s="61"/>
      <c r="T2625" s="82"/>
      <c r="W2625" s="103" t="str">
        <f t="shared" si="49"/>
        <v>1w</v>
      </c>
      <c r="X2625" s="101">
        <f>_xll.qlCalendarAdvance(Calendar,X2624,W2625,"f",FALSE)</f>
        <v>57720</v>
      </c>
      <c r="Y2625" s="104">
        <f>_xll.qlCalendarAdvance(Calendar,X2625,NDays&amp;"D")</f>
        <v>57724</v>
      </c>
      <c r="Z2625" s="105" t="e">
        <v>#N/A</v>
      </c>
      <c r="AA2625" s="102" t="e">
        <v>#N/A</v>
      </c>
    </row>
    <row r="2626" spans="19:27" x14ac:dyDescent="0.2">
      <c r="S2626" s="61"/>
      <c r="T2626" s="82"/>
      <c r="W2626" s="103" t="str">
        <f t="shared" si="49"/>
        <v>1w</v>
      </c>
      <c r="X2626" s="101">
        <f>_xll.qlCalendarAdvance(Calendar,X2625,W2626,"f",FALSE)</f>
        <v>57727</v>
      </c>
      <c r="Y2626" s="104">
        <f>_xll.qlCalendarAdvance(Calendar,X2626,NDays&amp;"D")</f>
        <v>57731</v>
      </c>
      <c r="Z2626" s="105" t="e">
        <v>#N/A</v>
      </c>
      <c r="AA2626" s="102" t="e">
        <v>#N/A</v>
      </c>
    </row>
    <row r="2627" spans="19:27" x14ac:dyDescent="0.2">
      <c r="S2627" s="61"/>
      <c r="T2627" s="82"/>
      <c r="W2627" s="103" t="str">
        <f t="shared" si="49"/>
        <v>1w</v>
      </c>
      <c r="X2627" s="101">
        <f>_xll.qlCalendarAdvance(Calendar,X2626,W2627,"f",FALSE)</f>
        <v>57734</v>
      </c>
      <c r="Y2627" s="104">
        <f>_xll.qlCalendarAdvance(Calendar,X2627,NDays&amp;"D")</f>
        <v>57738</v>
      </c>
      <c r="Z2627" s="105" t="e">
        <v>#N/A</v>
      </c>
      <c r="AA2627" s="102" t="e">
        <v>#N/A</v>
      </c>
    </row>
    <row r="2628" spans="19:27" x14ac:dyDescent="0.2">
      <c r="S2628" s="61"/>
      <c r="T2628" s="82"/>
      <c r="W2628" s="103" t="str">
        <f t="shared" si="49"/>
        <v>1w</v>
      </c>
      <c r="X2628" s="101">
        <f>_xll.qlCalendarAdvance(Calendar,X2627,W2628,"f",FALSE)</f>
        <v>57741</v>
      </c>
      <c r="Y2628" s="104">
        <f>_xll.qlCalendarAdvance(Calendar,X2628,NDays&amp;"D")</f>
        <v>57745</v>
      </c>
      <c r="Z2628" s="105" t="e">
        <v>#N/A</v>
      </c>
      <c r="AA2628" s="102" t="e">
        <v>#N/A</v>
      </c>
    </row>
    <row r="2629" spans="19:27" x14ac:dyDescent="0.2">
      <c r="S2629" s="61"/>
      <c r="T2629" s="82"/>
      <c r="W2629" s="103" t="str">
        <f t="shared" si="49"/>
        <v>1w</v>
      </c>
      <c r="X2629" s="101">
        <f>_xll.qlCalendarAdvance(Calendar,X2628,W2629,"f",FALSE)</f>
        <v>57748</v>
      </c>
      <c r="Y2629" s="104">
        <f>_xll.qlCalendarAdvance(Calendar,X2629,NDays&amp;"D")</f>
        <v>57752</v>
      </c>
      <c r="Z2629" s="105" t="e">
        <v>#N/A</v>
      </c>
      <c r="AA2629" s="102" t="e">
        <v>#N/A</v>
      </c>
    </row>
    <row r="2630" spans="19:27" x14ac:dyDescent="0.2">
      <c r="S2630" s="61"/>
      <c r="T2630" s="82"/>
      <c r="W2630" s="103" t="str">
        <f t="shared" si="49"/>
        <v>1w</v>
      </c>
      <c r="X2630" s="101">
        <f>_xll.qlCalendarAdvance(Calendar,X2629,W2630,"f",FALSE)</f>
        <v>57755</v>
      </c>
      <c r="Y2630" s="104">
        <f>_xll.qlCalendarAdvance(Calendar,X2630,NDays&amp;"D")</f>
        <v>57759</v>
      </c>
      <c r="Z2630" s="105" t="e">
        <v>#N/A</v>
      </c>
      <c r="AA2630" s="102" t="e">
        <v>#N/A</v>
      </c>
    </row>
    <row r="2631" spans="19:27" x14ac:dyDescent="0.2">
      <c r="S2631" s="61"/>
      <c r="T2631" s="82"/>
      <c r="W2631" s="103" t="str">
        <f t="shared" si="49"/>
        <v>1w</v>
      </c>
      <c r="X2631" s="101">
        <f>_xll.qlCalendarAdvance(Calendar,X2630,W2631,"f",FALSE)</f>
        <v>57762</v>
      </c>
      <c r="Y2631" s="104">
        <f>_xll.qlCalendarAdvance(Calendar,X2631,NDays&amp;"D")</f>
        <v>57766</v>
      </c>
      <c r="Z2631" s="105" t="e">
        <v>#N/A</v>
      </c>
      <c r="AA2631" s="102" t="e">
        <v>#N/A</v>
      </c>
    </row>
    <row r="2632" spans="19:27" x14ac:dyDescent="0.2">
      <c r="S2632" s="61"/>
      <c r="T2632" s="82"/>
      <c r="W2632" s="103" t="str">
        <f t="shared" si="49"/>
        <v>1w</v>
      </c>
      <c r="X2632" s="101">
        <f>_xll.qlCalendarAdvance(Calendar,X2631,W2632,"f",FALSE)</f>
        <v>57769</v>
      </c>
      <c r="Y2632" s="104">
        <f>_xll.qlCalendarAdvance(Calendar,X2632,NDays&amp;"D")</f>
        <v>57773</v>
      </c>
      <c r="Z2632" s="105" t="e">
        <v>#N/A</v>
      </c>
      <c r="AA2632" s="102" t="e">
        <v>#N/A</v>
      </c>
    </row>
    <row r="2633" spans="19:27" x14ac:dyDescent="0.2">
      <c r="S2633" s="61"/>
      <c r="T2633" s="82"/>
      <c r="W2633" s="103" t="str">
        <f t="shared" si="49"/>
        <v>1w</v>
      </c>
      <c r="X2633" s="101">
        <f>_xll.qlCalendarAdvance(Calendar,X2632,W2633,"f",FALSE)</f>
        <v>57776</v>
      </c>
      <c r="Y2633" s="104">
        <f>_xll.qlCalendarAdvance(Calendar,X2633,NDays&amp;"D")</f>
        <v>57780</v>
      </c>
      <c r="Z2633" s="105" t="e">
        <v>#N/A</v>
      </c>
      <c r="AA2633" s="102" t="e">
        <v>#N/A</v>
      </c>
    </row>
    <row r="2634" spans="19:27" x14ac:dyDescent="0.2">
      <c r="S2634" s="61"/>
      <c r="T2634" s="82"/>
      <c r="W2634" s="103" t="str">
        <f t="shared" si="49"/>
        <v>1w</v>
      </c>
      <c r="X2634" s="101">
        <f>_xll.qlCalendarAdvance(Calendar,X2633,W2634,"f",FALSE)</f>
        <v>57783</v>
      </c>
      <c r="Y2634" s="104">
        <f>_xll.qlCalendarAdvance(Calendar,X2634,NDays&amp;"D")</f>
        <v>57787</v>
      </c>
      <c r="Z2634" s="105" t="e">
        <v>#N/A</v>
      </c>
      <c r="AA2634" s="102" t="e">
        <v>#N/A</v>
      </c>
    </row>
    <row r="2635" spans="19:27" x14ac:dyDescent="0.2">
      <c r="S2635" s="61"/>
      <c r="T2635" s="82"/>
      <c r="W2635" s="103" t="str">
        <f t="shared" si="49"/>
        <v>1w</v>
      </c>
      <c r="X2635" s="101">
        <f>_xll.qlCalendarAdvance(Calendar,X2634,W2635,"f",FALSE)</f>
        <v>57790</v>
      </c>
      <c r="Y2635" s="104">
        <f>_xll.qlCalendarAdvance(Calendar,X2635,NDays&amp;"D")</f>
        <v>57794</v>
      </c>
      <c r="Z2635" s="105" t="e">
        <v>#N/A</v>
      </c>
      <c r="AA2635" s="102" t="e">
        <v>#N/A</v>
      </c>
    </row>
    <row r="2636" spans="19:27" x14ac:dyDescent="0.2">
      <c r="S2636" s="61"/>
      <c r="T2636" s="82"/>
      <c r="W2636" s="103" t="str">
        <f t="shared" si="49"/>
        <v>1w</v>
      </c>
      <c r="X2636" s="101">
        <f>_xll.qlCalendarAdvance(Calendar,X2635,W2636,"f",FALSE)</f>
        <v>57797</v>
      </c>
      <c r="Y2636" s="104">
        <f>_xll.qlCalendarAdvance(Calendar,X2636,NDays&amp;"D")</f>
        <v>57801</v>
      </c>
      <c r="Z2636" s="105" t="e">
        <v>#N/A</v>
      </c>
      <c r="AA2636" s="102" t="e">
        <v>#N/A</v>
      </c>
    </row>
    <row r="2637" spans="19:27" x14ac:dyDescent="0.2">
      <c r="S2637" s="61"/>
      <c r="T2637" s="82"/>
      <c r="W2637" s="103" t="str">
        <f t="shared" si="49"/>
        <v>1w</v>
      </c>
      <c r="X2637" s="101">
        <f>_xll.qlCalendarAdvance(Calendar,X2636,W2637,"f",FALSE)</f>
        <v>57804</v>
      </c>
      <c r="Y2637" s="104">
        <f>_xll.qlCalendarAdvance(Calendar,X2637,NDays&amp;"D")</f>
        <v>57808</v>
      </c>
      <c r="Z2637" s="105" t="e">
        <v>#N/A</v>
      </c>
      <c r="AA2637" s="102" t="e">
        <v>#N/A</v>
      </c>
    </row>
    <row r="2638" spans="19:27" x14ac:dyDescent="0.2">
      <c r="S2638" s="61"/>
      <c r="T2638" s="82"/>
      <c r="W2638" s="103" t="str">
        <f t="shared" si="49"/>
        <v>1w</v>
      </c>
      <c r="X2638" s="101">
        <f>_xll.qlCalendarAdvance(Calendar,X2637,W2638,"f",FALSE)</f>
        <v>57811</v>
      </c>
      <c r="Y2638" s="104">
        <f>_xll.qlCalendarAdvance(Calendar,X2638,NDays&amp;"D")</f>
        <v>57817</v>
      </c>
      <c r="Z2638" s="105" t="e">
        <v>#N/A</v>
      </c>
      <c r="AA2638" s="102" t="e">
        <v>#N/A</v>
      </c>
    </row>
    <row r="2639" spans="19:27" x14ac:dyDescent="0.2">
      <c r="S2639" s="61"/>
      <c r="T2639" s="82"/>
      <c r="W2639" s="103" t="str">
        <f t="shared" si="49"/>
        <v>1w</v>
      </c>
      <c r="X2639" s="101">
        <f>_xll.qlCalendarAdvance(Calendar,X2638,W2639,"f",FALSE)</f>
        <v>57818</v>
      </c>
      <c r="Y2639" s="104">
        <f>_xll.qlCalendarAdvance(Calendar,X2639,NDays&amp;"D")</f>
        <v>57822</v>
      </c>
      <c r="Z2639" s="105" t="e">
        <v>#N/A</v>
      </c>
      <c r="AA2639" s="102" t="e">
        <v>#N/A</v>
      </c>
    </row>
    <row r="2640" spans="19:27" x14ac:dyDescent="0.2">
      <c r="S2640" s="61"/>
      <c r="T2640" s="82"/>
      <c r="W2640" s="103" t="str">
        <f t="shared" si="49"/>
        <v>1w</v>
      </c>
      <c r="X2640" s="101">
        <f>_xll.qlCalendarAdvance(Calendar,X2639,W2640,"f",FALSE)</f>
        <v>57825</v>
      </c>
      <c r="Y2640" s="104">
        <f>_xll.qlCalendarAdvance(Calendar,X2640,NDays&amp;"D")</f>
        <v>57829</v>
      </c>
      <c r="Z2640" s="105" t="e">
        <v>#N/A</v>
      </c>
      <c r="AA2640" s="102" t="e">
        <v>#N/A</v>
      </c>
    </row>
    <row r="2641" spans="19:27" x14ac:dyDescent="0.2">
      <c r="S2641" s="61"/>
      <c r="T2641" s="82"/>
      <c r="W2641" s="103" t="str">
        <f t="shared" si="49"/>
        <v>1w</v>
      </c>
      <c r="X2641" s="101">
        <f>_xll.qlCalendarAdvance(Calendar,X2640,W2641,"f",FALSE)</f>
        <v>57832</v>
      </c>
      <c r="Y2641" s="104">
        <f>_xll.qlCalendarAdvance(Calendar,X2641,NDays&amp;"D")</f>
        <v>57836</v>
      </c>
      <c r="Z2641" s="105" t="e">
        <v>#N/A</v>
      </c>
      <c r="AA2641" s="102" t="e">
        <v>#N/A</v>
      </c>
    </row>
    <row r="2642" spans="19:27" x14ac:dyDescent="0.2">
      <c r="S2642" s="61"/>
      <c r="T2642" s="82"/>
      <c r="W2642" s="103" t="str">
        <f t="shared" si="49"/>
        <v>1w</v>
      </c>
      <c r="X2642" s="101">
        <f>_xll.qlCalendarAdvance(Calendar,X2641,W2642,"f",FALSE)</f>
        <v>57839</v>
      </c>
      <c r="Y2642" s="104">
        <f>_xll.qlCalendarAdvance(Calendar,X2642,NDays&amp;"D")</f>
        <v>57843</v>
      </c>
      <c r="Z2642" s="105" t="e">
        <v>#N/A</v>
      </c>
      <c r="AA2642" s="102" t="e">
        <v>#N/A</v>
      </c>
    </row>
    <row r="2643" spans="19:27" x14ac:dyDescent="0.2">
      <c r="S2643" s="61"/>
      <c r="T2643" s="82"/>
      <c r="W2643" s="103" t="str">
        <f t="shared" si="49"/>
        <v>1w</v>
      </c>
      <c r="X2643" s="101">
        <f>_xll.qlCalendarAdvance(Calendar,X2642,W2643,"f",FALSE)</f>
        <v>57846</v>
      </c>
      <c r="Y2643" s="104">
        <f>_xll.qlCalendarAdvance(Calendar,X2643,NDays&amp;"D")</f>
        <v>57850</v>
      </c>
      <c r="Z2643" s="105" t="e">
        <v>#N/A</v>
      </c>
      <c r="AA2643" s="102" t="e">
        <v>#N/A</v>
      </c>
    </row>
    <row r="2644" spans="19:27" x14ac:dyDescent="0.2">
      <c r="S2644" s="61"/>
      <c r="T2644" s="82"/>
      <c r="W2644" s="103" t="str">
        <f t="shared" si="49"/>
        <v>1w</v>
      </c>
      <c r="X2644" s="101">
        <f>_xll.qlCalendarAdvance(Calendar,X2643,W2644,"f",FALSE)</f>
        <v>57854</v>
      </c>
      <c r="Y2644" s="104">
        <f>_xll.qlCalendarAdvance(Calendar,X2644,NDays&amp;"D")</f>
        <v>57858</v>
      </c>
      <c r="Z2644" s="105" t="e">
        <v>#N/A</v>
      </c>
      <c r="AA2644" s="102" t="e">
        <v>#N/A</v>
      </c>
    </row>
    <row r="2645" spans="19:27" x14ac:dyDescent="0.2">
      <c r="S2645" s="61"/>
      <c r="T2645" s="82"/>
      <c r="W2645" s="103" t="str">
        <f t="shared" ref="W2645:W2708" si="50">W2644</f>
        <v>1w</v>
      </c>
      <c r="X2645" s="101">
        <f>_xll.qlCalendarAdvance(Calendar,X2644,W2645,"f",FALSE)</f>
        <v>57861</v>
      </c>
      <c r="Y2645" s="104">
        <f>_xll.qlCalendarAdvance(Calendar,X2645,NDays&amp;"D")</f>
        <v>57866</v>
      </c>
      <c r="Z2645" s="105" t="e">
        <v>#N/A</v>
      </c>
      <c r="AA2645" s="102" t="e">
        <v>#N/A</v>
      </c>
    </row>
    <row r="2646" spans="19:27" x14ac:dyDescent="0.2">
      <c r="S2646" s="61"/>
      <c r="T2646" s="82"/>
      <c r="W2646" s="103" t="str">
        <f t="shared" si="50"/>
        <v>1w</v>
      </c>
      <c r="X2646" s="101">
        <f>_xll.qlCalendarAdvance(Calendar,X2645,W2646,"f",FALSE)</f>
        <v>57868</v>
      </c>
      <c r="Y2646" s="104">
        <f>_xll.qlCalendarAdvance(Calendar,X2646,NDays&amp;"D")</f>
        <v>57872</v>
      </c>
      <c r="Z2646" s="105" t="e">
        <v>#N/A</v>
      </c>
      <c r="AA2646" s="102" t="e">
        <v>#N/A</v>
      </c>
    </row>
    <row r="2647" spans="19:27" x14ac:dyDescent="0.2">
      <c r="S2647" s="61"/>
      <c r="T2647" s="82"/>
      <c r="W2647" s="103" t="str">
        <f t="shared" si="50"/>
        <v>1w</v>
      </c>
      <c r="X2647" s="101">
        <f>_xll.qlCalendarAdvance(Calendar,X2646,W2647,"f",FALSE)</f>
        <v>57875</v>
      </c>
      <c r="Y2647" s="104">
        <f>_xll.qlCalendarAdvance(Calendar,X2647,NDays&amp;"D")</f>
        <v>57879</v>
      </c>
      <c r="Z2647" s="105" t="e">
        <v>#N/A</v>
      </c>
      <c r="AA2647" s="102" t="e">
        <v>#N/A</v>
      </c>
    </row>
    <row r="2648" spans="19:27" x14ac:dyDescent="0.2">
      <c r="S2648" s="61"/>
      <c r="T2648" s="82"/>
      <c r="W2648" s="103" t="str">
        <f t="shared" si="50"/>
        <v>1w</v>
      </c>
      <c r="X2648" s="101">
        <f>_xll.qlCalendarAdvance(Calendar,X2647,W2648,"f",FALSE)</f>
        <v>57885</v>
      </c>
      <c r="Y2648" s="104">
        <f>_xll.qlCalendarAdvance(Calendar,X2648,NDays&amp;"D")</f>
        <v>57887</v>
      </c>
      <c r="Z2648" s="105" t="e">
        <v>#N/A</v>
      </c>
      <c r="AA2648" s="102" t="e">
        <v>#N/A</v>
      </c>
    </row>
    <row r="2649" spans="19:27" x14ac:dyDescent="0.2">
      <c r="S2649" s="61"/>
      <c r="T2649" s="82"/>
      <c r="W2649" s="103" t="str">
        <f t="shared" si="50"/>
        <v>1w</v>
      </c>
      <c r="X2649" s="101">
        <f>_xll.qlCalendarAdvance(Calendar,X2648,W2649,"f",FALSE)</f>
        <v>57892</v>
      </c>
      <c r="Y2649" s="104">
        <f>_xll.qlCalendarAdvance(Calendar,X2649,NDays&amp;"D")</f>
        <v>57894</v>
      </c>
      <c r="Z2649" s="105" t="e">
        <v>#N/A</v>
      </c>
      <c r="AA2649" s="102" t="e">
        <v>#N/A</v>
      </c>
    </row>
    <row r="2650" spans="19:27" x14ac:dyDescent="0.2">
      <c r="S2650" s="61"/>
      <c r="T2650" s="82"/>
      <c r="W2650" s="103" t="str">
        <f t="shared" si="50"/>
        <v>1w</v>
      </c>
      <c r="X2650" s="101">
        <f>_xll.qlCalendarAdvance(Calendar,X2649,W2650,"f",FALSE)</f>
        <v>57899</v>
      </c>
      <c r="Y2650" s="104">
        <f>_xll.qlCalendarAdvance(Calendar,X2650,NDays&amp;"D")</f>
        <v>57901</v>
      </c>
      <c r="Z2650" s="105" t="e">
        <v>#N/A</v>
      </c>
      <c r="AA2650" s="102" t="e">
        <v>#N/A</v>
      </c>
    </row>
    <row r="2651" spans="19:27" x14ac:dyDescent="0.2">
      <c r="S2651" s="61"/>
      <c r="T2651" s="82"/>
      <c r="W2651" s="103" t="str">
        <f t="shared" si="50"/>
        <v>1w</v>
      </c>
      <c r="X2651" s="101">
        <f>_xll.qlCalendarAdvance(Calendar,X2650,W2651,"f",FALSE)</f>
        <v>57906</v>
      </c>
      <c r="Y2651" s="104">
        <f>_xll.qlCalendarAdvance(Calendar,X2651,NDays&amp;"D")</f>
        <v>57908</v>
      </c>
      <c r="Z2651" s="105" t="e">
        <v>#N/A</v>
      </c>
      <c r="AA2651" s="102" t="e">
        <v>#N/A</v>
      </c>
    </row>
    <row r="2652" spans="19:27" x14ac:dyDescent="0.2">
      <c r="S2652" s="61"/>
      <c r="T2652" s="82"/>
      <c r="W2652" s="103" t="str">
        <f t="shared" si="50"/>
        <v>1w</v>
      </c>
      <c r="X2652" s="101">
        <f>_xll.qlCalendarAdvance(Calendar,X2651,W2652,"f",FALSE)</f>
        <v>57913</v>
      </c>
      <c r="Y2652" s="104">
        <f>_xll.qlCalendarAdvance(Calendar,X2652,NDays&amp;"D")</f>
        <v>57915</v>
      </c>
      <c r="Z2652" s="105" t="e">
        <v>#N/A</v>
      </c>
      <c r="AA2652" s="102" t="e">
        <v>#N/A</v>
      </c>
    </row>
    <row r="2653" spans="19:27" x14ac:dyDescent="0.2">
      <c r="S2653" s="61"/>
      <c r="T2653" s="82"/>
      <c r="W2653" s="103" t="str">
        <f t="shared" si="50"/>
        <v>1w</v>
      </c>
      <c r="X2653" s="101">
        <f>_xll.qlCalendarAdvance(Calendar,X2652,W2653,"f",FALSE)</f>
        <v>57920</v>
      </c>
      <c r="Y2653" s="104">
        <f>_xll.qlCalendarAdvance(Calendar,X2653,NDays&amp;"D")</f>
        <v>57922</v>
      </c>
      <c r="Z2653" s="105" t="e">
        <v>#N/A</v>
      </c>
      <c r="AA2653" s="102" t="e">
        <v>#N/A</v>
      </c>
    </row>
    <row r="2654" spans="19:27" x14ac:dyDescent="0.2">
      <c r="S2654" s="61"/>
      <c r="T2654" s="82"/>
      <c r="W2654" s="103" t="str">
        <f t="shared" si="50"/>
        <v>1w</v>
      </c>
      <c r="X2654" s="101">
        <f>_xll.qlCalendarAdvance(Calendar,X2653,W2654,"f",FALSE)</f>
        <v>57927</v>
      </c>
      <c r="Y2654" s="104">
        <f>_xll.qlCalendarAdvance(Calendar,X2654,NDays&amp;"D")</f>
        <v>57929</v>
      </c>
      <c r="Z2654" s="105" t="e">
        <v>#N/A</v>
      </c>
      <c r="AA2654" s="102" t="e">
        <v>#N/A</v>
      </c>
    </row>
    <row r="2655" spans="19:27" x14ac:dyDescent="0.2">
      <c r="S2655" s="61"/>
      <c r="T2655" s="82"/>
      <c r="W2655" s="103" t="str">
        <f t="shared" si="50"/>
        <v>1w</v>
      </c>
      <c r="X2655" s="101">
        <f>_xll.qlCalendarAdvance(Calendar,X2654,W2655,"f",FALSE)</f>
        <v>57934</v>
      </c>
      <c r="Y2655" s="104">
        <f>_xll.qlCalendarAdvance(Calendar,X2655,NDays&amp;"D")</f>
        <v>57936</v>
      </c>
      <c r="Z2655" s="105" t="e">
        <v>#N/A</v>
      </c>
      <c r="AA2655" s="102" t="e">
        <v>#N/A</v>
      </c>
    </row>
    <row r="2656" spans="19:27" x14ac:dyDescent="0.2">
      <c r="S2656" s="61"/>
      <c r="T2656" s="82"/>
      <c r="W2656" s="103" t="str">
        <f t="shared" si="50"/>
        <v>1w</v>
      </c>
      <c r="X2656" s="101">
        <f>_xll.qlCalendarAdvance(Calendar,X2655,W2656,"f",FALSE)</f>
        <v>57941</v>
      </c>
      <c r="Y2656" s="104">
        <f>_xll.qlCalendarAdvance(Calendar,X2656,NDays&amp;"D")</f>
        <v>57943</v>
      </c>
      <c r="Z2656" s="105" t="e">
        <v>#N/A</v>
      </c>
      <c r="AA2656" s="102" t="e">
        <v>#N/A</v>
      </c>
    </row>
    <row r="2657" spans="19:27" x14ac:dyDescent="0.2">
      <c r="S2657" s="61"/>
      <c r="T2657" s="82"/>
      <c r="W2657" s="103" t="str">
        <f t="shared" si="50"/>
        <v>1w</v>
      </c>
      <c r="X2657" s="101">
        <f>_xll.qlCalendarAdvance(Calendar,X2656,W2657,"f",FALSE)</f>
        <v>57948</v>
      </c>
      <c r="Y2657" s="104">
        <f>_xll.qlCalendarAdvance(Calendar,X2657,NDays&amp;"D")</f>
        <v>57950</v>
      </c>
      <c r="Z2657" s="105" t="e">
        <v>#N/A</v>
      </c>
      <c r="AA2657" s="102" t="e">
        <v>#N/A</v>
      </c>
    </row>
    <row r="2658" spans="19:27" x14ac:dyDescent="0.2">
      <c r="S2658" s="61"/>
      <c r="T2658" s="82"/>
      <c r="W2658" s="103" t="str">
        <f t="shared" si="50"/>
        <v>1w</v>
      </c>
      <c r="X2658" s="101">
        <f>_xll.qlCalendarAdvance(Calendar,X2657,W2658,"f",FALSE)</f>
        <v>57955</v>
      </c>
      <c r="Y2658" s="104">
        <f>_xll.qlCalendarAdvance(Calendar,X2658,NDays&amp;"D")</f>
        <v>57957</v>
      </c>
      <c r="Z2658" s="105" t="e">
        <v>#N/A</v>
      </c>
      <c r="AA2658" s="102" t="e">
        <v>#N/A</v>
      </c>
    </row>
    <row r="2659" spans="19:27" x14ac:dyDescent="0.2">
      <c r="S2659" s="61"/>
      <c r="T2659" s="82"/>
      <c r="W2659" s="103" t="str">
        <f t="shared" si="50"/>
        <v>1w</v>
      </c>
      <c r="X2659" s="101">
        <f>_xll.qlCalendarAdvance(Calendar,X2658,W2659,"f",FALSE)</f>
        <v>57962</v>
      </c>
      <c r="Y2659" s="104">
        <f>_xll.qlCalendarAdvance(Calendar,X2659,NDays&amp;"D")</f>
        <v>57964</v>
      </c>
      <c r="Z2659" s="105" t="e">
        <v>#N/A</v>
      </c>
      <c r="AA2659" s="102" t="e">
        <v>#N/A</v>
      </c>
    </row>
    <row r="2660" spans="19:27" x14ac:dyDescent="0.2">
      <c r="S2660" s="61"/>
      <c r="T2660" s="82"/>
      <c r="W2660" s="103" t="str">
        <f t="shared" si="50"/>
        <v>1w</v>
      </c>
      <c r="X2660" s="101">
        <f>_xll.qlCalendarAdvance(Calendar,X2659,W2660,"f",FALSE)</f>
        <v>57969</v>
      </c>
      <c r="Y2660" s="104">
        <f>_xll.qlCalendarAdvance(Calendar,X2660,NDays&amp;"D")</f>
        <v>57971</v>
      </c>
      <c r="Z2660" s="105" t="e">
        <v>#N/A</v>
      </c>
      <c r="AA2660" s="102" t="e">
        <v>#N/A</v>
      </c>
    </row>
    <row r="2661" spans="19:27" x14ac:dyDescent="0.2">
      <c r="S2661" s="61"/>
      <c r="T2661" s="82"/>
      <c r="W2661" s="103" t="str">
        <f t="shared" si="50"/>
        <v>1w</v>
      </c>
      <c r="X2661" s="101">
        <f>_xll.qlCalendarAdvance(Calendar,X2660,W2661,"f",FALSE)</f>
        <v>57976</v>
      </c>
      <c r="Y2661" s="104">
        <f>_xll.qlCalendarAdvance(Calendar,X2661,NDays&amp;"D")</f>
        <v>57978</v>
      </c>
      <c r="Z2661" s="105" t="e">
        <v>#N/A</v>
      </c>
      <c r="AA2661" s="102" t="e">
        <v>#N/A</v>
      </c>
    </row>
    <row r="2662" spans="19:27" x14ac:dyDescent="0.2">
      <c r="S2662" s="61"/>
      <c r="T2662" s="82"/>
      <c r="W2662" s="103" t="str">
        <f t="shared" si="50"/>
        <v>1w</v>
      </c>
      <c r="X2662" s="101">
        <f>_xll.qlCalendarAdvance(Calendar,X2661,W2662,"f",FALSE)</f>
        <v>57983</v>
      </c>
      <c r="Y2662" s="104">
        <f>_xll.qlCalendarAdvance(Calendar,X2662,NDays&amp;"D")</f>
        <v>57985</v>
      </c>
      <c r="Z2662" s="105" t="e">
        <v>#N/A</v>
      </c>
      <c r="AA2662" s="102" t="e">
        <v>#N/A</v>
      </c>
    </row>
    <row r="2663" spans="19:27" x14ac:dyDescent="0.2">
      <c r="S2663" s="61"/>
      <c r="T2663" s="82"/>
      <c r="W2663" s="103" t="str">
        <f t="shared" si="50"/>
        <v>1w</v>
      </c>
      <c r="X2663" s="101">
        <f>_xll.qlCalendarAdvance(Calendar,X2662,W2663,"f",FALSE)</f>
        <v>57990</v>
      </c>
      <c r="Y2663" s="104">
        <f>_xll.qlCalendarAdvance(Calendar,X2663,NDays&amp;"D")</f>
        <v>57992</v>
      </c>
      <c r="Z2663" s="105" t="e">
        <v>#N/A</v>
      </c>
      <c r="AA2663" s="102" t="e">
        <v>#N/A</v>
      </c>
    </row>
    <row r="2664" spans="19:27" x14ac:dyDescent="0.2">
      <c r="S2664" s="61"/>
      <c r="T2664" s="82"/>
      <c r="W2664" s="103" t="str">
        <f t="shared" si="50"/>
        <v>1w</v>
      </c>
      <c r="X2664" s="101">
        <f>_xll.qlCalendarAdvance(Calendar,X2663,W2664,"f",FALSE)</f>
        <v>57997</v>
      </c>
      <c r="Y2664" s="104">
        <f>_xll.qlCalendarAdvance(Calendar,X2664,NDays&amp;"D")</f>
        <v>57999</v>
      </c>
      <c r="Z2664" s="105" t="e">
        <v>#N/A</v>
      </c>
      <c r="AA2664" s="102" t="e">
        <v>#N/A</v>
      </c>
    </row>
    <row r="2665" spans="19:27" x14ac:dyDescent="0.2">
      <c r="S2665" s="61"/>
      <c r="T2665" s="82"/>
      <c r="W2665" s="103" t="str">
        <f t="shared" si="50"/>
        <v>1w</v>
      </c>
      <c r="X2665" s="101">
        <f>_xll.qlCalendarAdvance(Calendar,X2664,W2665,"f",FALSE)</f>
        <v>58004</v>
      </c>
      <c r="Y2665" s="104">
        <f>_xll.qlCalendarAdvance(Calendar,X2665,NDays&amp;"D")</f>
        <v>58006</v>
      </c>
      <c r="Z2665" s="105" t="e">
        <v>#N/A</v>
      </c>
      <c r="AA2665" s="102" t="e">
        <v>#N/A</v>
      </c>
    </row>
    <row r="2666" spans="19:27" x14ac:dyDescent="0.2">
      <c r="S2666" s="61"/>
      <c r="T2666" s="82"/>
      <c r="W2666" s="103" t="str">
        <f t="shared" si="50"/>
        <v>1w</v>
      </c>
      <c r="X2666" s="101">
        <f>_xll.qlCalendarAdvance(Calendar,X2665,W2666,"f",FALSE)</f>
        <v>58011</v>
      </c>
      <c r="Y2666" s="104">
        <f>_xll.qlCalendarAdvance(Calendar,X2666,NDays&amp;"D")</f>
        <v>58013</v>
      </c>
      <c r="Z2666" s="105" t="e">
        <v>#N/A</v>
      </c>
      <c r="AA2666" s="102" t="e">
        <v>#N/A</v>
      </c>
    </row>
    <row r="2667" spans="19:27" x14ac:dyDescent="0.2">
      <c r="S2667" s="61"/>
      <c r="T2667" s="82"/>
      <c r="W2667" s="103" t="str">
        <f t="shared" si="50"/>
        <v>1w</v>
      </c>
      <c r="X2667" s="101">
        <f>_xll.qlCalendarAdvance(Calendar,X2666,W2667,"f",FALSE)</f>
        <v>58018</v>
      </c>
      <c r="Y2667" s="104">
        <f>_xll.qlCalendarAdvance(Calendar,X2667,NDays&amp;"D")</f>
        <v>58020</v>
      </c>
      <c r="Z2667" s="105" t="e">
        <v>#N/A</v>
      </c>
      <c r="AA2667" s="102" t="e">
        <v>#N/A</v>
      </c>
    </row>
    <row r="2668" spans="19:27" x14ac:dyDescent="0.2">
      <c r="S2668" s="61"/>
      <c r="T2668" s="82"/>
      <c r="W2668" s="103" t="str">
        <f t="shared" si="50"/>
        <v>1w</v>
      </c>
      <c r="X2668" s="101">
        <f>_xll.qlCalendarAdvance(Calendar,X2667,W2668,"f",FALSE)</f>
        <v>58025</v>
      </c>
      <c r="Y2668" s="104">
        <f>_xll.qlCalendarAdvance(Calendar,X2668,NDays&amp;"D")</f>
        <v>58027</v>
      </c>
      <c r="Z2668" s="105" t="e">
        <v>#N/A</v>
      </c>
      <c r="AA2668" s="102" t="e">
        <v>#N/A</v>
      </c>
    </row>
    <row r="2669" spans="19:27" x14ac:dyDescent="0.2">
      <c r="S2669" s="61"/>
      <c r="T2669" s="82"/>
      <c r="W2669" s="103" t="str">
        <f t="shared" si="50"/>
        <v>1w</v>
      </c>
      <c r="X2669" s="101">
        <f>_xll.qlCalendarAdvance(Calendar,X2668,W2669,"f",FALSE)</f>
        <v>58032</v>
      </c>
      <c r="Y2669" s="104">
        <f>_xll.qlCalendarAdvance(Calendar,X2669,NDays&amp;"D")</f>
        <v>58034</v>
      </c>
      <c r="Z2669" s="105" t="e">
        <v>#N/A</v>
      </c>
      <c r="AA2669" s="102" t="e">
        <v>#N/A</v>
      </c>
    </row>
    <row r="2670" spans="19:27" x14ac:dyDescent="0.2">
      <c r="S2670" s="61"/>
      <c r="T2670" s="82"/>
      <c r="W2670" s="103" t="str">
        <f t="shared" si="50"/>
        <v>1w</v>
      </c>
      <c r="X2670" s="101">
        <f>_xll.qlCalendarAdvance(Calendar,X2669,W2670,"f",FALSE)</f>
        <v>58039</v>
      </c>
      <c r="Y2670" s="104">
        <f>_xll.qlCalendarAdvance(Calendar,X2670,NDays&amp;"D")</f>
        <v>58041</v>
      </c>
      <c r="Z2670" s="105" t="e">
        <v>#N/A</v>
      </c>
      <c r="AA2670" s="102" t="e">
        <v>#N/A</v>
      </c>
    </row>
    <row r="2671" spans="19:27" x14ac:dyDescent="0.2">
      <c r="S2671" s="61"/>
      <c r="T2671" s="82"/>
      <c r="W2671" s="103" t="str">
        <f t="shared" si="50"/>
        <v>1w</v>
      </c>
      <c r="X2671" s="101">
        <f>_xll.qlCalendarAdvance(Calendar,X2670,W2671,"f",FALSE)</f>
        <v>58046</v>
      </c>
      <c r="Y2671" s="104">
        <f>_xll.qlCalendarAdvance(Calendar,X2671,NDays&amp;"D")</f>
        <v>58048</v>
      </c>
      <c r="Z2671" s="105" t="e">
        <v>#N/A</v>
      </c>
      <c r="AA2671" s="102" t="e">
        <v>#N/A</v>
      </c>
    </row>
    <row r="2672" spans="19:27" x14ac:dyDescent="0.2">
      <c r="S2672" s="61"/>
      <c r="T2672" s="82"/>
      <c r="W2672" s="103" t="str">
        <f t="shared" si="50"/>
        <v>1w</v>
      </c>
      <c r="X2672" s="101">
        <f>_xll.qlCalendarAdvance(Calendar,X2671,W2672,"f",FALSE)</f>
        <v>58053</v>
      </c>
      <c r="Y2672" s="104">
        <f>_xll.qlCalendarAdvance(Calendar,X2672,NDays&amp;"D")</f>
        <v>58055</v>
      </c>
      <c r="Z2672" s="105" t="e">
        <v>#N/A</v>
      </c>
      <c r="AA2672" s="102" t="e">
        <v>#N/A</v>
      </c>
    </row>
    <row r="2673" spans="19:27" x14ac:dyDescent="0.2">
      <c r="S2673" s="61"/>
      <c r="T2673" s="82"/>
      <c r="W2673" s="103" t="str">
        <f t="shared" si="50"/>
        <v>1w</v>
      </c>
      <c r="X2673" s="101">
        <f>_xll.qlCalendarAdvance(Calendar,X2672,W2673,"f",FALSE)</f>
        <v>58060</v>
      </c>
      <c r="Y2673" s="104">
        <f>_xll.qlCalendarAdvance(Calendar,X2673,NDays&amp;"D")</f>
        <v>58062</v>
      </c>
      <c r="Z2673" s="105" t="e">
        <v>#N/A</v>
      </c>
      <c r="AA2673" s="102" t="e">
        <v>#N/A</v>
      </c>
    </row>
    <row r="2674" spans="19:27" x14ac:dyDescent="0.2">
      <c r="S2674" s="61"/>
      <c r="T2674" s="82"/>
      <c r="W2674" s="103" t="str">
        <f t="shared" si="50"/>
        <v>1w</v>
      </c>
      <c r="X2674" s="101">
        <f>_xll.qlCalendarAdvance(Calendar,X2673,W2674,"f",FALSE)</f>
        <v>58067</v>
      </c>
      <c r="Y2674" s="104">
        <f>_xll.qlCalendarAdvance(Calendar,X2674,NDays&amp;"D")</f>
        <v>58074</v>
      </c>
      <c r="Z2674" s="105" t="e">
        <v>#N/A</v>
      </c>
      <c r="AA2674" s="102" t="e">
        <v>#N/A</v>
      </c>
    </row>
    <row r="2675" spans="19:27" x14ac:dyDescent="0.2">
      <c r="S2675" s="61"/>
      <c r="T2675" s="82"/>
      <c r="W2675" s="103" t="str">
        <f t="shared" si="50"/>
        <v>1w</v>
      </c>
      <c r="X2675" s="101">
        <f>_xll.qlCalendarAdvance(Calendar,X2674,W2675,"f",FALSE)</f>
        <v>58074</v>
      </c>
      <c r="Y2675" s="104">
        <f>_xll.qlCalendarAdvance(Calendar,X2675,NDays&amp;"D")</f>
        <v>58078</v>
      </c>
      <c r="Z2675" s="105" t="e">
        <v>#N/A</v>
      </c>
      <c r="AA2675" s="102" t="e">
        <v>#N/A</v>
      </c>
    </row>
    <row r="2676" spans="19:27" x14ac:dyDescent="0.2">
      <c r="S2676" s="61"/>
      <c r="T2676" s="82"/>
      <c r="W2676" s="103" t="str">
        <f t="shared" si="50"/>
        <v>1w</v>
      </c>
      <c r="X2676" s="101">
        <f>_xll.qlCalendarAdvance(Calendar,X2675,W2676,"f",FALSE)</f>
        <v>58082</v>
      </c>
      <c r="Y2676" s="104">
        <f>_xll.qlCalendarAdvance(Calendar,X2676,NDays&amp;"D")</f>
        <v>58084</v>
      </c>
      <c r="Z2676" s="105" t="e">
        <v>#N/A</v>
      </c>
      <c r="AA2676" s="102" t="e">
        <v>#N/A</v>
      </c>
    </row>
    <row r="2677" spans="19:27" x14ac:dyDescent="0.2">
      <c r="S2677" s="61"/>
      <c r="T2677" s="82"/>
      <c r="W2677" s="103" t="str">
        <f t="shared" si="50"/>
        <v>1w</v>
      </c>
      <c r="X2677" s="101">
        <f>_xll.qlCalendarAdvance(Calendar,X2676,W2677,"f",FALSE)</f>
        <v>58089</v>
      </c>
      <c r="Y2677" s="104">
        <f>_xll.qlCalendarAdvance(Calendar,X2677,NDays&amp;"D")</f>
        <v>58091</v>
      </c>
      <c r="Z2677" s="105" t="e">
        <v>#N/A</v>
      </c>
      <c r="AA2677" s="102" t="e">
        <v>#N/A</v>
      </c>
    </row>
    <row r="2678" spans="19:27" x14ac:dyDescent="0.2">
      <c r="S2678" s="61"/>
      <c r="T2678" s="82"/>
      <c r="W2678" s="103" t="str">
        <f t="shared" si="50"/>
        <v>1w</v>
      </c>
      <c r="X2678" s="101">
        <f>_xll.qlCalendarAdvance(Calendar,X2677,W2678,"f",FALSE)</f>
        <v>58096</v>
      </c>
      <c r="Y2678" s="104">
        <f>_xll.qlCalendarAdvance(Calendar,X2678,NDays&amp;"D")</f>
        <v>58098</v>
      </c>
      <c r="Z2678" s="105" t="e">
        <v>#N/A</v>
      </c>
      <c r="AA2678" s="102" t="e">
        <v>#N/A</v>
      </c>
    </row>
    <row r="2679" spans="19:27" x14ac:dyDescent="0.2">
      <c r="S2679" s="61"/>
      <c r="T2679" s="82"/>
      <c r="W2679" s="103" t="str">
        <f t="shared" si="50"/>
        <v>1w</v>
      </c>
      <c r="X2679" s="101">
        <f>_xll.qlCalendarAdvance(Calendar,X2678,W2679,"f",FALSE)</f>
        <v>58103</v>
      </c>
      <c r="Y2679" s="104">
        <f>_xll.qlCalendarAdvance(Calendar,X2679,NDays&amp;"D")</f>
        <v>58105</v>
      </c>
      <c r="Z2679" s="105" t="e">
        <v>#N/A</v>
      </c>
      <c r="AA2679" s="102" t="e">
        <v>#N/A</v>
      </c>
    </row>
    <row r="2680" spans="19:27" x14ac:dyDescent="0.2">
      <c r="S2680" s="61"/>
      <c r="T2680" s="82"/>
      <c r="W2680" s="103" t="str">
        <f t="shared" si="50"/>
        <v>1w</v>
      </c>
      <c r="X2680" s="101">
        <f>_xll.qlCalendarAdvance(Calendar,X2679,W2680,"f",FALSE)</f>
        <v>58110</v>
      </c>
      <c r="Y2680" s="104">
        <f>_xll.qlCalendarAdvance(Calendar,X2680,NDays&amp;"D")</f>
        <v>58112</v>
      </c>
      <c r="Z2680" s="105" t="e">
        <v>#N/A</v>
      </c>
      <c r="AA2680" s="102" t="e">
        <v>#N/A</v>
      </c>
    </row>
    <row r="2681" spans="19:27" x14ac:dyDescent="0.2">
      <c r="S2681" s="61"/>
      <c r="T2681" s="82"/>
      <c r="W2681" s="103" t="str">
        <f t="shared" si="50"/>
        <v>1w</v>
      </c>
      <c r="X2681" s="101">
        <f>_xll.qlCalendarAdvance(Calendar,X2680,W2681,"f",FALSE)</f>
        <v>58117</v>
      </c>
      <c r="Y2681" s="104">
        <f>_xll.qlCalendarAdvance(Calendar,X2681,NDays&amp;"D")</f>
        <v>58119</v>
      </c>
      <c r="Z2681" s="105" t="e">
        <v>#N/A</v>
      </c>
      <c r="AA2681" s="102" t="e">
        <v>#N/A</v>
      </c>
    </row>
    <row r="2682" spans="19:27" x14ac:dyDescent="0.2">
      <c r="S2682" s="61"/>
      <c r="T2682" s="82"/>
      <c r="W2682" s="103" t="str">
        <f t="shared" si="50"/>
        <v>1w</v>
      </c>
      <c r="X2682" s="101">
        <f>_xll.qlCalendarAdvance(Calendar,X2681,W2682,"f",FALSE)</f>
        <v>58124</v>
      </c>
      <c r="Y2682" s="104">
        <f>_xll.qlCalendarAdvance(Calendar,X2682,NDays&amp;"D")</f>
        <v>58126</v>
      </c>
      <c r="Z2682" s="105" t="e">
        <v>#N/A</v>
      </c>
      <c r="AA2682" s="102" t="e">
        <v>#N/A</v>
      </c>
    </row>
    <row r="2683" spans="19:27" x14ac:dyDescent="0.2">
      <c r="S2683" s="61"/>
      <c r="T2683" s="82"/>
      <c r="W2683" s="103" t="str">
        <f t="shared" si="50"/>
        <v>1w</v>
      </c>
      <c r="X2683" s="101">
        <f>_xll.qlCalendarAdvance(Calendar,X2682,W2683,"f",FALSE)</f>
        <v>58131</v>
      </c>
      <c r="Y2683" s="104">
        <f>_xll.qlCalendarAdvance(Calendar,X2683,NDays&amp;"D")</f>
        <v>58133</v>
      </c>
      <c r="Z2683" s="105" t="e">
        <v>#N/A</v>
      </c>
      <c r="AA2683" s="102" t="e">
        <v>#N/A</v>
      </c>
    </row>
    <row r="2684" spans="19:27" x14ac:dyDescent="0.2">
      <c r="S2684" s="61"/>
      <c r="T2684" s="82"/>
      <c r="W2684" s="103" t="str">
        <f t="shared" si="50"/>
        <v>1w</v>
      </c>
      <c r="X2684" s="101">
        <f>_xll.qlCalendarAdvance(Calendar,X2683,W2684,"f",FALSE)</f>
        <v>58138</v>
      </c>
      <c r="Y2684" s="104">
        <f>_xll.qlCalendarAdvance(Calendar,X2684,NDays&amp;"D")</f>
        <v>58140</v>
      </c>
      <c r="Z2684" s="105" t="e">
        <v>#N/A</v>
      </c>
      <c r="AA2684" s="102" t="e">
        <v>#N/A</v>
      </c>
    </row>
    <row r="2685" spans="19:27" x14ac:dyDescent="0.2">
      <c r="S2685" s="61"/>
      <c r="T2685" s="82"/>
      <c r="W2685" s="103" t="str">
        <f t="shared" si="50"/>
        <v>1w</v>
      </c>
      <c r="X2685" s="101">
        <f>_xll.qlCalendarAdvance(Calendar,X2684,W2685,"f",FALSE)</f>
        <v>58145</v>
      </c>
      <c r="Y2685" s="104">
        <f>_xll.qlCalendarAdvance(Calendar,X2685,NDays&amp;"D")</f>
        <v>58147</v>
      </c>
      <c r="Z2685" s="105" t="e">
        <v>#N/A</v>
      </c>
      <c r="AA2685" s="102" t="e">
        <v>#N/A</v>
      </c>
    </row>
    <row r="2686" spans="19:27" x14ac:dyDescent="0.2">
      <c r="S2686" s="61"/>
      <c r="T2686" s="82"/>
      <c r="W2686" s="103" t="str">
        <f t="shared" si="50"/>
        <v>1w</v>
      </c>
      <c r="X2686" s="101">
        <f>_xll.qlCalendarAdvance(Calendar,X2685,W2686,"f",FALSE)</f>
        <v>58152</v>
      </c>
      <c r="Y2686" s="104">
        <f>_xll.qlCalendarAdvance(Calendar,X2686,NDays&amp;"D")</f>
        <v>58154</v>
      </c>
      <c r="Z2686" s="105" t="e">
        <v>#N/A</v>
      </c>
      <c r="AA2686" s="102" t="e">
        <v>#N/A</v>
      </c>
    </row>
    <row r="2687" spans="19:27" x14ac:dyDescent="0.2">
      <c r="S2687" s="61"/>
      <c r="T2687" s="82"/>
      <c r="W2687" s="103" t="str">
        <f t="shared" si="50"/>
        <v>1w</v>
      </c>
      <c r="X2687" s="101">
        <f>_xll.qlCalendarAdvance(Calendar,X2686,W2687,"f",FALSE)</f>
        <v>58159</v>
      </c>
      <c r="Y2687" s="104">
        <f>_xll.qlCalendarAdvance(Calendar,X2687,NDays&amp;"D")</f>
        <v>58161</v>
      </c>
      <c r="Z2687" s="105" t="e">
        <v>#N/A</v>
      </c>
      <c r="AA2687" s="102" t="e">
        <v>#N/A</v>
      </c>
    </row>
    <row r="2688" spans="19:27" x14ac:dyDescent="0.2">
      <c r="S2688" s="61"/>
      <c r="T2688" s="82"/>
      <c r="W2688" s="103" t="str">
        <f t="shared" si="50"/>
        <v>1w</v>
      </c>
      <c r="X2688" s="101">
        <f>_xll.qlCalendarAdvance(Calendar,X2687,W2688,"f",FALSE)</f>
        <v>58166</v>
      </c>
      <c r="Y2688" s="104">
        <f>_xll.qlCalendarAdvance(Calendar,X2688,NDays&amp;"D")</f>
        <v>58168</v>
      </c>
      <c r="Z2688" s="105" t="e">
        <v>#N/A</v>
      </c>
      <c r="AA2688" s="102" t="e">
        <v>#N/A</v>
      </c>
    </row>
    <row r="2689" spans="19:27" x14ac:dyDescent="0.2">
      <c r="S2689" s="61"/>
      <c r="T2689" s="82"/>
      <c r="W2689" s="103" t="str">
        <f t="shared" si="50"/>
        <v>1w</v>
      </c>
      <c r="X2689" s="101">
        <f>_xll.qlCalendarAdvance(Calendar,X2688,W2689,"f",FALSE)</f>
        <v>58173</v>
      </c>
      <c r="Y2689" s="104">
        <f>_xll.qlCalendarAdvance(Calendar,X2689,NDays&amp;"D")</f>
        <v>58175</v>
      </c>
      <c r="Z2689" s="105" t="e">
        <v>#N/A</v>
      </c>
      <c r="AA2689" s="102" t="e">
        <v>#N/A</v>
      </c>
    </row>
    <row r="2690" spans="19:27" x14ac:dyDescent="0.2">
      <c r="S2690" s="61"/>
      <c r="T2690" s="82"/>
      <c r="W2690" s="103" t="str">
        <f t="shared" si="50"/>
        <v>1w</v>
      </c>
      <c r="X2690" s="101">
        <f>_xll.qlCalendarAdvance(Calendar,X2689,W2690,"f",FALSE)</f>
        <v>58180</v>
      </c>
      <c r="Y2690" s="104">
        <f>_xll.qlCalendarAdvance(Calendar,X2690,NDays&amp;"D")</f>
        <v>58182</v>
      </c>
      <c r="Z2690" s="105" t="e">
        <v>#N/A</v>
      </c>
      <c r="AA2690" s="102" t="e">
        <v>#N/A</v>
      </c>
    </row>
    <row r="2691" spans="19:27" x14ac:dyDescent="0.2">
      <c r="S2691" s="61"/>
      <c r="T2691" s="82"/>
      <c r="W2691" s="103" t="str">
        <f t="shared" si="50"/>
        <v>1w</v>
      </c>
      <c r="X2691" s="101">
        <f>_xll.qlCalendarAdvance(Calendar,X2690,W2691,"f",FALSE)</f>
        <v>58187</v>
      </c>
      <c r="Y2691" s="104">
        <f>_xll.qlCalendarAdvance(Calendar,X2691,NDays&amp;"D")</f>
        <v>58189</v>
      </c>
      <c r="Z2691" s="105" t="e">
        <v>#N/A</v>
      </c>
      <c r="AA2691" s="102" t="e">
        <v>#N/A</v>
      </c>
    </row>
    <row r="2692" spans="19:27" x14ac:dyDescent="0.2">
      <c r="S2692" s="61"/>
      <c r="T2692" s="82"/>
      <c r="W2692" s="103" t="str">
        <f t="shared" si="50"/>
        <v>1w</v>
      </c>
      <c r="X2692" s="101">
        <f>_xll.qlCalendarAdvance(Calendar,X2691,W2692,"f",FALSE)</f>
        <v>58194</v>
      </c>
      <c r="Y2692" s="104">
        <f>_xll.qlCalendarAdvance(Calendar,X2692,NDays&amp;"D")</f>
        <v>58197</v>
      </c>
      <c r="Z2692" s="105" t="e">
        <v>#N/A</v>
      </c>
      <c r="AA2692" s="102" t="e">
        <v>#N/A</v>
      </c>
    </row>
    <row r="2693" spans="19:27" x14ac:dyDescent="0.2">
      <c r="S2693" s="61"/>
      <c r="T2693" s="82"/>
      <c r="W2693" s="103" t="str">
        <f t="shared" si="50"/>
        <v>1w</v>
      </c>
      <c r="X2693" s="101">
        <f>_xll.qlCalendarAdvance(Calendar,X2692,W2693,"f",FALSE)</f>
        <v>58201</v>
      </c>
      <c r="Y2693" s="104">
        <f>_xll.qlCalendarAdvance(Calendar,X2693,NDays&amp;"D")</f>
        <v>58204</v>
      </c>
      <c r="Z2693" s="105" t="e">
        <v>#N/A</v>
      </c>
      <c r="AA2693" s="102" t="e">
        <v>#N/A</v>
      </c>
    </row>
    <row r="2694" spans="19:27" x14ac:dyDescent="0.2">
      <c r="S2694" s="61"/>
      <c r="T2694" s="82"/>
      <c r="W2694" s="103" t="str">
        <f t="shared" si="50"/>
        <v>1w</v>
      </c>
      <c r="X2694" s="101">
        <f>_xll.qlCalendarAdvance(Calendar,X2693,W2694,"f",FALSE)</f>
        <v>58208</v>
      </c>
      <c r="Y2694" s="104">
        <f>_xll.qlCalendarAdvance(Calendar,X2694,NDays&amp;"D")</f>
        <v>58210</v>
      </c>
      <c r="Z2694" s="105" t="e">
        <v>#N/A</v>
      </c>
      <c r="AA2694" s="102" t="e">
        <v>#N/A</v>
      </c>
    </row>
    <row r="2695" spans="19:27" x14ac:dyDescent="0.2">
      <c r="S2695" s="61"/>
      <c r="T2695" s="82"/>
      <c r="W2695" s="103" t="str">
        <f t="shared" si="50"/>
        <v>1w</v>
      </c>
      <c r="X2695" s="101">
        <f>_xll.qlCalendarAdvance(Calendar,X2694,W2695,"f",FALSE)</f>
        <v>58215</v>
      </c>
      <c r="Y2695" s="104">
        <f>_xll.qlCalendarAdvance(Calendar,X2695,NDays&amp;"D")</f>
        <v>58217</v>
      </c>
      <c r="Z2695" s="105" t="e">
        <v>#N/A</v>
      </c>
      <c r="AA2695" s="102" t="e">
        <v>#N/A</v>
      </c>
    </row>
    <row r="2696" spans="19:27" x14ac:dyDescent="0.2">
      <c r="S2696" s="61"/>
      <c r="T2696" s="82"/>
      <c r="W2696" s="103" t="str">
        <f t="shared" si="50"/>
        <v>1w</v>
      </c>
      <c r="X2696" s="101">
        <f>_xll.qlCalendarAdvance(Calendar,X2695,W2696,"f",FALSE)</f>
        <v>58222</v>
      </c>
      <c r="Y2696" s="104">
        <f>_xll.qlCalendarAdvance(Calendar,X2696,NDays&amp;"D")</f>
        <v>58224</v>
      </c>
      <c r="Z2696" s="105" t="e">
        <v>#N/A</v>
      </c>
      <c r="AA2696" s="102" t="e">
        <v>#N/A</v>
      </c>
    </row>
    <row r="2697" spans="19:27" x14ac:dyDescent="0.2">
      <c r="S2697" s="61"/>
      <c r="T2697" s="82"/>
      <c r="W2697" s="103" t="str">
        <f t="shared" si="50"/>
        <v>1w</v>
      </c>
      <c r="X2697" s="101">
        <f>_xll.qlCalendarAdvance(Calendar,X2696,W2697,"f",FALSE)</f>
        <v>58229</v>
      </c>
      <c r="Y2697" s="104">
        <f>_xll.qlCalendarAdvance(Calendar,X2697,NDays&amp;"D")</f>
        <v>58231</v>
      </c>
      <c r="Z2697" s="105" t="e">
        <v>#N/A</v>
      </c>
      <c r="AA2697" s="102" t="e">
        <v>#N/A</v>
      </c>
    </row>
    <row r="2698" spans="19:27" x14ac:dyDescent="0.2">
      <c r="S2698" s="61"/>
      <c r="T2698" s="82"/>
      <c r="W2698" s="103" t="str">
        <f t="shared" si="50"/>
        <v>1w</v>
      </c>
      <c r="X2698" s="101">
        <f>_xll.qlCalendarAdvance(Calendar,X2697,W2698,"f",FALSE)</f>
        <v>58236</v>
      </c>
      <c r="Y2698" s="104">
        <f>_xll.qlCalendarAdvance(Calendar,X2698,NDays&amp;"D")</f>
        <v>58238</v>
      </c>
      <c r="Z2698" s="105" t="e">
        <v>#N/A</v>
      </c>
      <c r="AA2698" s="102" t="e">
        <v>#N/A</v>
      </c>
    </row>
    <row r="2699" spans="19:27" x14ac:dyDescent="0.2">
      <c r="S2699" s="61"/>
      <c r="T2699" s="82"/>
      <c r="W2699" s="103" t="str">
        <f t="shared" si="50"/>
        <v>1w</v>
      </c>
      <c r="X2699" s="101">
        <f>_xll.qlCalendarAdvance(Calendar,X2698,W2699,"f",FALSE)</f>
        <v>58243</v>
      </c>
      <c r="Y2699" s="104">
        <f>_xll.qlCalendarAdvance(Calendar,X2699,NDays&amp;"D")</f>
        <v>58245</v>
      </c>
      <c r="Z2699" s="105" t="e">
        <v>#N/A</v>
      </c>
      <c r="AA2699" s="102" t="e">
        <v>#N/A</v>
      </c>
    </row>
    <row r="2700" spans="19:27" x14ac:dyDescent="0.2">
      <c r="S2700" s="61"/>
      <c r="T2700" s="82"/>
      <c r="W2700" s="103" t="str">
        <f t="shared" si="50"/>
        <v>1w</v>
      </c>
      <c r="X2700" s="101">
        <f>_xll.qlCalendarAdvance(Calendar,X2699,W2700,"f",FALSE)</f>
        <v>58250</v>
      </c>
      <c r="Y2700" s="104">
        <f>_xll.qlCalendarAdvance(Calendar,X2700,NDays&amp;"D")</f>
        <v>58252</v>
      </c>
      <c r="Z2700" s="105" t="e">
        <v>#N/A</v>
      </c>
      <c r="AA2700" s="102" t="e">
        <v>#N/A</v>
      </c>
    </row>
    <row r="2701" spans="19:27" x14ac:dyDescent="0.2">
      <c r="S2701" s="61"/>
      <c r="T2701" s="82"/>
      <c r="W2701" s="103" t="str">
        <f t="shared" si="50"/>
        <v>1w</v>
      </c>
      <c r="X2701" s="101">
        <f>_xll.qlCalendarAdvance(Calendar,X2700,W2701,"f",FALSE)</f>
        <v>58257</v>
      </c>
      <c r="Y2701" s="104">
        <f>_xll.qlCalendarAdvance(Calendar,X2701,NDays&amp;"D")</f>
        <v>58259</v>
      </c>
      <c r="Z2701" s="105" t="e">
        <v>#N/A</v>
      </c>
      <c r="AA2701" s="102" t="e">
        <v>#N/A</v>
      </c>
    </row>
    <row r="2702" spans="19:27" x14ac:dyDescent="0.2">
      <c r="S2702" s="61"/>
      <c r="T2702" s="82"/>
      <c r="W2702" s="103" t="str">
        <f t="shared" si="50"/>
        <v>1w</v>
      </c>
      <c r="X2702" s="101">
        <f>_xll.qlCalendarAdvance(Calendar,X2701,W2702,"f",FALSE)</f>
        <v>58264</v>
      </c>
      <c r="Y2702" s="104">
        <f>_xll.qlCalendarAdvance(Calendar,X2702,NDays&amp;"D")</f>
        <v>58266</v>
      </c>
      <c r="Z2702" s="105" t="e">
        <v>#N/A</v>
      </c>
      <c r="AA2702" s="102" t="e">
        <v>#N/A</v>
      </c>
    </row>
    <row r="2703" spans="19:27" x14ac:dyDescent="0.2">
      <c r="S2703" s="61"/>
      <c r="T2703" s="82"/>
      <c r="W2703" s="103" t="str">
        <f t="shared" si="50"/>
        <v>1w</v>
      </c>
      <c r="X2703" s="101">
        <f>_xll.qlCalendarAdvance(Calendar,X2702,W2703,"f",FALSE)</f>
        <v>58271</v>
      </c>
      <c r="Y2703" s="104">
        <f>_xll.qlCalendarAdvance(Calendar,X2703,NDays&amp;"D")</f>
        <v>58273</v>
      </c>
      <c r="Z2703" s="105" t="e">
        <v>#N/A</v>
      </c>
      <c r="AA2703" s="102" t="e">
        <v>#N/A</v>
      </c>
    </row>
    <row r="2704" spans="19:27" x14ac:dyDescent="0.2">
      <c r="S2704" s="61"/>
      <c r="T2704" s="82"/>
      <c r="W2704" s="103" t="str">
        <f t="shared" si="50"/>
        <v>1w</v>
      </c>
      <c r="X2704" s="101">
        <f>_xll.qlCalendarAdvance(Calendar,X2703,W2704,"f",FALSE)</f>
        <v>58278</v>
      </c>
      <c r="Y2704" s="104">
        <f>_xll.qlCalendarAdvance(Calendar,X2704,NDays&amp;"D")</f>
        <v>58280</v>
      </c>
      <c r="Z2704" s="105" t="e">
        <v>#N/A</v>
      </c>
      <c r="AA2704" s="102" t="e">
        <v>#N/A</v>
      </c>
    </row>
    <row r="2705" spans="19:27" x14ac:dyDescent="0.2">
      <c r="S2705" s="61"/>
      <c r="T2705" s="82"/>
      <c r="W2705" s="103" t="str">
        <f t="shared" si="50"/>
        <v>1w</v>
      </c>
      <c r="X2705" s="101">
        <f>_xll.qlCalendarAdvance(Calendar,X2704,W2705,"f",FALSE)</f>
        <v>58285</v>
      </c>
      <c r="Y2705" s="104">
        <f>_xll.qlCalendarAdvance(Calendar,X2705,NDays&amp;"D")</f>
        <v>58287</v>
      </c>
      <c r="Z2705" s="105" t="e">
        <v>#N/A</v>
      </c>
      <c r="AA2705" s="102" t="e">
        <v>#N/A</v>
      </c>
    </row>
    <row r="2706" spans="19:27" x14ac:dyDescent="0.2">
      <c r="S2706" s="61"/>
      <c r="T2706" s="82"/>
      <c r="W2706" s="103" t="str">
        <f t="shared" si="50"/>
        <v>1w</v>
      </c>
      <c r="X2706" s="101">
        <f>_xll.qlCalendarAdvance(Calendar,X2705,W2706,"f",FALSE)</f>
        <v>58292</v>
      </c>
      <c r="Y2706" s="104">
        <f>_xll.qlCalendarAdvance(Calendar,X2706,NDays&amp;"D")</f>
        <v>58294</v>
      </c>
      <c r="Z2706" s="105" t="e">
        <v>#N/A</v>
      </c>
      <c r="AA2706" s="102" t="e">
        <v>#N/A</v>
      </c>
    </row>
    <row r="2707" spans="19:27" x14ac:dyDescent="0.2">
      <c r="S2707" s="61"/>
      <c r="T2707" s="82"/>
      <c r="W2707" s="103" t="str">
        <f t="shared" si="50"/>
        <v>1w</v>
      </c>
      <c r="X2707" s="101">
        <f>_xll.qlCalendarAdvance(Calendar,X2706,W2707,"f",FALSE)</f>
        <v>58299</v>
      </c>
      <c r="Y2707" s="104">
        <f>_xll.qlCalendarAdvance(Calendar,X2707,NDays&amp;"D")</f>
        <v>58301</v>
      </c>
      <c r="Z2707" s="105" t="e">
        <v>#N/A</v>
      </c>
      <c r="AA2707" s="102" t="e">
        <v>#N/A</v>
      </c>
    </row>
    <row r="2708" spans="19:27" x14ac:dyDescent="0.2">
      <c r="S2708" s="61"/>
      <c r="T2708" s="82"/>
      <c r="W2708" s="103" t="str">
        <f t="shared" si="50"/>
        <v>1w</v>
      </c>
      <c r="X2708" s="101">
        <f>_xll.qlCalendarAdvance(Calendar,X2707,W2708,"f",FALSE)</f>
        <v>58306</v>
      </c>
      <c r="Y2708" s="104">
        <f>_xll.qlCalendarAdvance(Calendar,X2708,NDays&amp;"D")</f>
        <v>58308</v>
      </c>
      <c r="Z2708" s="105" t="e">
        <v>#N/A</v>
      </c>
      <c r="AA2708" s="102" t="e">
        <v>#N/A</v>
      </c>
    </row>
    <row r="2709" spans="19:27" x14ac:dyDescent="0.2">
      <c r="S2709" s="61"/>
      <c r="T2709" s="82"/>
      <c r="W2709" s="103" t="str">
        <f t="shared" ref="W2709:W2772" si="51">W2708</f>
        <v>1w</v>
      </c>
      <c r="X2709" s="101">
        <f>_xll.qlCalendarAdvance(Calendar,X2708,W2709,"f",FALSE)</f>
        <v>58313</v>
      </c>
      <c r="Y2709" s="104">
        <f>_xll.qlCalendarAdvance(Calendar,X2709,NDays&amp;"D")</f>
        <v>58315</v>
      </c>
      <c r="Z2709" s="105" t="e">
        <v>#N/A</v>
      </c>
      <c r="AA2709" s="102" t="e">
        <v>#N/A</v>
      </c>
    </row>
    <row r="2710" spans="19:27" x14ac:dyDescent="0.2">
      <c r="S2710" s="61"/>
      <c r="T2710" s="82"/>
      <c r="W2710" s="103" t="str">
        <f t="shared" si="51"/>
        <v>1w</v>
      </c>
      <c r="X2710" s="101">
        <f>_xll.qlCalendarAdvance(Calendar,X2709,W2710,"f",FALSE)</f>
        <v>58320</v>
      </c>
      <c r="Y2710" s="104">
        <f>_xll.qlCalendarAdvance(Calendar,X2710,NDays&amp;"D")</f>
        <v>58322</v>
      </c>
      <c r="Z2710" s="105" t="e">
        <v>#N/A</v>
      </c>
      <c r="AA2710" s="102" t="e">
        <v>#N/A</v>
      </c>
    </row>
    <row r="2711" spans="19:27" x14ac:dyDescent="0.2">
      <c r="S2711" s="61"/>
      <c r="T2711" s="82"/>
      <c r="W2711" s="103" t="str">
        <f t="shared" si="51"/>
        <v>1w</v>
      </c>
      <c r="X2711" s="101">
        <f>_xll.qlCalendarAdvance(Calendar,X2710,W2711,"f",FALSE)</f>
        <v>58327</v>
      </c>
      <c r="Y2711" s="104">
        <f>_xll.qlCalendarAdvance(Calendar,X2711,NDays&amp;"D")</f>
        <v>58329</v>
      </c>
      <c r="Z2711" s="105" t="e">
        <v>#N/A</v>
      </c>
      <c r="AA2711" s="102" t="e">
        <v>#N/A</v>
      </c>
    </row>
    <row r="2712" spans="19:27" x14ac:dyDescent="0.2">
      <c r="S2712" s="61"/>
      <c r="T2712" s="82"/>
      <c r="W2712" s="103" t="str">
        <f t="shared" si="51"/>
        <v>1w</v>
      </c>
      <c r="X2712" s="101">
        <f>_xll.qlCalendarAdvance(Calendar,X2711,W2712,"f",FALSE)</f>
        <v>58334</v>
      </c>
      <c r="Y2712" s="104">
        <f>_xll.qlCalendarAdvance(Calendar,X2712,NDays&amp;"D")</f>
        <v>58336</v>
      </c>
      <c r="Z2712" s="105" t="e">
        <v>#N/A</v>
      </c>
      <c r="AA2712" s="102" t="e">
        <v>#N/A</v>
      </c>
    </row>
    <row r="2713" spans="19:27" x14ac:dyDescent="0.2">
      <c r="S2713" s="61"/>
      <c r="T2713" s="82"/>
      <c r="W2713" s="103" t="str">
        <f t="shared" si="51"/>
        <v>1w</v>
      </c>
      <c r="X2713" s="101">
        <f>_xll.qlCalendarAdvance(Calendar,X2712,W2713,"f",FALSE)</f>
        <v>58341</v>
      </c>
      <c r="Y2713" s="104">
        <f>_xll.qlCalendarAdvance(Calendar,X2713,NDays&amp;"D")</f>
        <v>58343</v>
      </c>
      <c r="Z2713" s="105" t="e">
        <v>#N/A</v>
      </c>
      <c r="AA2713" s="102" t="e">
        <v>#N/A</v>
      </c>
    </row>
    <row r="2714" spans="19:27" x14ac:dyDescent="0.2">
      <c r="S2714" s="61"/>
      <c r="T2714" s="82"/>
      <c r="W2714" s="103" t="str">
        <f t="shared" si="51"/>
        <v>1w</v>
      </c>
      <c r="X2714" s="101">
        <f>_xll.qlCalendarAdvance(Calendar,X2713,W2714,"f",FALSE)</f>
        <v>58348</v>
      </c>
      <c r="Y2714" s="104">
        <f>_xll.qlCalendarAdvance(Calendar,X2714,NDays&amp;"D")</f>
        <v>58350</v>
      </c>
      <c r="Z2714" s="105" t="e">
        <v>#N/A</v>
      </c>
      <c r="AA2714" s="102" t="e">
        <v>#N/A</v>
      </c>
    </row>
    <row r="2715" spans="19:27" x14ac:dyDescent="0.2">
      <c r="S2715" s="61"/>
      <c r="T2715" s="82"/>
      <c r="W2715" s="103" t="str">
        <f t="shared" si="51"/>
        <v>1w</v>
      </c>
      <c r="X2715" s="101">
        <f>_xll.qlCalendarAdvance(Calendar,X2714,W2715,"f",FALSE)</f>
        <v>58355</v>
      </c>
      <c r="Y2715" s="104">
        <f>_xll.qlCalendarAdvance(Calendar,X2715,NDays&amp;"D")</f>
        <v>58357</v>
      </c>
      <c r="Z2715" s="105" t="e">
        <v>#N/A</v>
      </c>
      <c r="AA2715" s="102" t="e">
        <v>#N/A</v>
      </c>
    </row>
    <row r="2716" spans="19:27" x14ac:dyDescent="0.2">
      <c r="S2716" s="61"/>
      <c r="T2716" s="82"/>
      <c r="W2716" s="103" t="str">
        <f t="shared" si="51"/>
        <v>1w</v>
      </c>
      <c r="X2716" s="101">
        <f>_xll.qlCalendarAdvance(Calendar,X2715,W2716,"f",FALSE)</f>
        <v>58362</v>
      </c>
      <c r="Y2716" s="104">
        <f>_xll.qlCalendarAdvance(Calendar,X2716,NDays&amp;"D")</f>
        <v>58364</v>
      </c>
      <c r="Z2716" s="105" t="e">
        <v>#N/A</v>
      </c>
      <c r="AA2716" s="102" t="e">
        <v>#N/A</v>
      </c>
    </row>
    <row r="2717" spans="19:27" x14ac:dyDescent="0.2">
      <c r="S2717" s="61"/>
      <c r="T2717" s="82"/>
      <c r="W2717" s="103" t="str">
        <f t="shared" si="51"/>
        <v>1w</v>
      </c>
      <c r="X2717" s="101">
        <f>_xll.qlCalendarAdvance(Calendar,X2716,W2717,"f",FALSE)</f>
        <v>58369</v>
      </c>
      <c r="Y2717" s="104">
        <f>_xll.qlCalendarAdvance(Calendar,X2717,NDays&amp;"D")</f>
        <v>58371</v>
      </c>
      <c r="Z2717" s="105" t="e">
        <v>#N/A</v>
      </c>
      <c r="AA2717" s="102" t="e">
        <v>#N/A</v>
      </c>
    </row>
    <row r="2718" spans="19:27" x14ac:dyDescent="0.2">
      <c r="S2718" s="61"/>
      <c r="T2718" s="82"/>
      <c r="W2718" s="103" t="str">
        <f t="shared" si="51"/>
        <v>1w</v>
      </c>
      <c r="X2718" s="101">
        <f>_xll.qlCalendarAdvance(Calendar,X2717,W2718,"f",FALSE)</f>
        <v>58376</v>
      </c>
      <c r="Y2718" s="104">
        <f>_xll.qlCalendarAdvance(Calendar,X2718,NDays&amp;"D")</f>
        <v>58378</v>
      </c>
      <c r="Z2718" s="105" t="e">
        <v>#N/A</v>
      </c>
      <c r="AA2718" s="102" t="e">
        <v>#N/A</v>
      </c>
    </row>
    <row r="2719" spans="19:27" x14ac:dyDescent="0.2">
      <c r="S2719" s="61"/>
      <c r="T2719" s="82"/>
      <c r="W2719" s="103" t="str">
        <f t="shared" si="51"/>
        <v>1w</v>
      </c>
      <c r="X2719" s="101">
        <f>_xll.qlCalendarAdvance(Calendar,X2718,W2719,"f",FALSE)</f>
        <v>58383</v>
      </c>
      <c r="Y2719" s="104">
        <f>_xll.qlCalendarAdvance(Calendar,X2719,NDays&amp;"D")</f>
        <v>58385</v>
      </c>
      <c r="Z2719" s="105" t="e">
        <v>#N/A</v>
      </c>
      <c r="AA2719" s="102" t="e">
        <v>#N/A</v>
      </c>
    </row>
    <row r="2720" spans="19:27" x14ac:dyDescent="0.2">
      <c r="S2720" s="61"/>
      <c r="T2720" s="82"/>
      <c r="W2720" s="103" t="str">
        <f t="shared" si="51"/>
        <v>1w</v>
      </c>
      <c r="X2720" s="101">
        <f>_xll.qlCalendarAdvance(Calendar,X2719,W2720,"f",FALSE)</f>
        <v>58390</v>
      </c>
      <c r="Y2720" s="104">
        <f>_xll.qlCalendarAdvance(Calendar,X2720,NDays&amp;"D")</f>
        <v>58392</v>
      </c>
      <c r="Z2720" s="105" t="e">
        <v>#N/A</v>
      </c>
      <c r="AA2720" s="102" t="e">
        <v>#N/A</v>
      </c>
    </row>
    <row r="2721" spans="19:27" x14ac:dyDescent="0.2">
      <c r="S2721" s="61"/>
      <c r="T2721" s="82"/>
      <c r="W2721" s="103" t="str">
        <f t="shared" si="51"/>
        <v>1w</v>
      </c>
      <c r="X2721" s="101">
        <f>_xll.qlCalendarAdvance(Calendar,X2720,W2721,"f",FALSE)</f>
        <v>58397</v>
      </c>
      <c r="Y2721" s="104">
        <f>_xll.qlCalendarAdvance(Calendar,X2721,NDays&amp;"D")</f>
        <v>58399</v>
      </c>
      <c r="Z2721" s="105" t="e">
        <v>#N/A</v>
      </c>
      <c r="AA2721" s="102" t="e">
        <v>#N/A</v>
      </c>
    </row>
    <row r="2722" spans="19:27" x14ac:dyDescent="0.2">
      <c r="S2722" s="61"/>
      <c r="T2722" s="82"/>
      <c r="W2722" s="103" t="str">
        <f t="shared" si="51"/>
        <v>1w</v>
      </c>
      <c r="X2722" s="101">
        <f>_xll.qlCalendarAdvance(Calendar,X2721,W2722,"f",FALSE)</f>
        <v>58404</v>
      </c>
      <c r="Y2722" s="104">
        <f>_xll.qlCalendarAdvance(Calendar,X2722,NDays&amp;"D")</f>
        <v>58406</v>
      </c>
      <c r="Z2722" s="105" t="e">
        <v>#N/A</v>
      </c>
      <c r="AA2722" s="102" t="e">
        <v>#N/A</v>
      </c>
    </row>
    <row r="2723" spans="19:27" x14ac:dyDescent="0.2">
      <c r="S2723" s="61"/>
      <c r="T2723" s="82"/>
      <c r="W2723" s="103" t="str">
        <f t="shared" si="51"/>
        <v>1w</v>
      </c>
      <c r="X2723" s="101">
        <f>_xll.qlCalendarAdvance(Calendar,X2722,W2723,"f",FALSE)</f>
        <v>58411</v>
      </c>
      <c r="Y2723" s="104">
        <f>_xll.qlCalendarAdvance(Calendar,X2723,NDays&amp;"D")</f>
        <v>58413</v>
      </c>
      <c r="Z2723" s="105" t="e">
        <v>#N/A</v>
      </c>
      <c r="AA2723" s="102" t="e">
        <v>#N/A</v>
      </c>
    </row>
    <row r="2724" spans="19:27" x14ac:dyDescent="0.2">
      <c r="S2724" s="61"/>
      <c r="T2724" s="82"/>
      <c r="W2724" s="103" t="str">
        <f t="shared" si="51"/>
        <v>1w</v>
      </c>
      <c r="X2724" s="101">
        <f>_xll.qlCalendarAdvance(Calendar,X2723,W2724,"f",FALSE)</f>
        <v>58418</v>
      </c>
      <c r="Y2724" s="104">
        <f>_xll.qlCalendarAdvance(Calendar,X2724,NDays&amp;"D")</f>
        <v>58420</v>
      </c>
      <c r="Z2724" s="105" t="e">
        <v>#N/A</v>
      </c>
      <c r="AA2724" s="102" t="e">
        <v>#N/A</v>
      </c>
    </row>
    <row r="2725" spans="19:27" x14ac:dyDescent="0.2">
      <c r="S2725" s="61"/>
      <c r="T2725" s="82"/>
      <c r="W2725" s="103" t="str">
        <f t="shared" si="51"/>
        <v>1w</v>
      </c>
      <c r="X2725" s="101">
        <f>_xll.qlCalendarAdvance(Calendar,X2724,W2725,"f",FALSE)</f>
        <v>58425</v>
      </c>
      <c r="Y2725" s="104">
        <f>_xll.qlCalendarAdvance(Calendar,X2725,NDays&amp;"D")</f>
        <v>58427</v>
      </c>
      <c r="Z2725" s="105" t="e">
        <v>#N/A</v>
      </c>
      <c r="AA2725" s="102" t="e">
        <v>#N/A</v>
      </c>
    </row>
    <row r="2726" spans="19:27" x14ac:dyDescent="0.2">
      <c r="S2726" s="61"/>
      <c r="T2726" s="82"/>
      <c r="W2726" s="103" t="str">
        <f t="shared" si="51"/>
        <v>1w</v>
      </c>
      <c r="X2726" s="101">
        <f>_xll.qlCalendarAdvance(Calendar,X2725,W2726,"f",FALSE)</f>
        <v>58432</v>
      </c>
      <c r="Y2726" s="104">
        <f>_xll.qlCalendarAdvance(Calendar,X2726,NDays&amp;"D")</f>
        <v>58439</v>
      </c>
      <c r="Z2726" s="105" t="e">
        <v>#N/A</v>
      </c>
      <c r="AA2726" s="102" t="e">
        <v>#N/A</v>
      </c>
    </row>
    <row r="2727" spans="19:27" x14ac:dyDescent="0.2">
      <c r="S2727" s="61"/>
      <c r="T2727" s="82"/>
      <c r="W2727" s="103" t="str">
        <f t="shared" si="51"/>
        <v>1w</v>
      </c>
      <c r="X2727" s="101">
        <f>_xll.qlCalendarAdvance(Calendar,X2726,W2727,"f",FALSE)</f>
        <v>58439</v>
      </c>
      <c r="Y2727" s="104">
        <f>_xll.qlCalendarAdvance(Calendar,X2727,NDays&amp;"D")</f>
        <v>58445</v>
      </c>
      <c r="Z2727" s="105" t="e">
        <v>#N/A</v>
      </c>
      <c r="AA2727" s="102" t="e">
        <v>#N/A</v>
      </c>
    </row>
    <row r="2728" spans="19:27" x14ac:dyDescent="0.2">
      <c r="S2728" s="61"/>
      <c r="T2728" s="82"/>
      <c r="W2728" s="103" t="str">
        <f t="shared" si="51"/>
        <v>1w</v>
      </c>
      <c r="X2728" s="101">
        <f>_xll.qlCalendarAdvance(Calendar,X2727,W2728,"f",FALSE)</f>
        <v>58447</v>
      </c>
      <c r="Y2728" s="104">
        <f>_xll.qlCalendarAdvance(Calendar,X2728,NDays&amp;"D")</f>
        <v>58449</v>
      </c>
      <c r="Z2728" s="105" t="e">
        <v>#N/A</v>
      </c>
      <c r="AA2728" s="102" t="e">
        <v>#N/A</v>
      </c>
    </row>
    <row r="2729" spans="19:27" x14ac:dyDescent="0.2">
      <c r="S2729" s="61"/>
      <c r="T2729" s="82"/>
      <c r="W2729" s="103" t="str">
        <f t="shared" si="51"/>
        <v>1w</v>
      </c>
      <c r="X2729" s="101">
        <f>_xll.qlCalendarAdvance(Calendar,X2728,W2729,"f",FALSE)</f>
        <v>58454</v>
      </c>
      <c r="Y2729" s="104">
        <f>_xll.qlCalendarAdvance(Calendar,X2729,NDays&amp;"D")</f>
        <v>58456</v>
      </c>
      <c r="Z2729" s="105" t="e">
        <v>#N/A</v>
      </c>
      <c r="AA2729" s="102" t="e">
        <v>#N/A</v>
      </c>
    </row>
    <row r="2730" spans="19:27" x14ac:dyDescent="0.2">
      <c r="S2730" s="61"/>
      <c r="T2730" s="82"/>
      <c r="W2730" s="103" t="str">
        <f t="shared" si="51"/>
        <v>1w</v>
      </c>
      <c r="X2730" s="101">
        <f>_xll.qlCalendarAdvance(Calendar,X2729,W2730,"f",FALSE)</f>
        <v>58461</v>
      </c>
      <c r="Y2730" s="104">
        <f>_xll.qlCalendarAdvance(Calendar,X2730,NDays&amp;"D")</f>
        <v>58463</v>
      </c>
      <c r="Z2730" s="105" t="e">
        <v>#N/A</v>
      </c>
      <c r="AA2730" s="102" t="e">
        <v>#N/A</v>
      </c>
    </row>
    <row r="2731" spans="19:27" x14ac:dyDescent="0.2">
      <c r="S2731" s="61"/>
      <c r="T2731" s="82"/>
      <c r="W2731" s="103" t="str">
        <f t="shared" si="51"/>
        <v>1w</v>
      </c>
      <c r="X2731" s="101">
        <f>_xll.qlCalendarAdvance(Calendar,X2730,W2731,"f",FALSE)</f>
        <v>58468</v>
      </c>
      <c r="Y2731" s="104">
        <f>_xll.qlCalendarAdvance(Calendar,X2731,NDays&amp;"D")</f>
        <v>58470</v>
      </c>
      <c r="Z2731" s="105" t="e">
        <v>#N/A</v>
      </c>
      <c r="AA2731" s="102" t="e">
        <v>#N/A</v>
      </c>
    </row>
    <row r="2732" spans="19:27" x14ac:dyDescent="0.2">
      <c r="S2732" s="61"/>
      <c r="T2732" s="82"/>
      <c r="W2732" s="103" t="str">
        <f t="shared" si="51"/>
        <v>1w</v>
      </c>
      <c r="X2732" s="101">
        <f>_xll.qlCalendarAdvance(Calendar,X2731,W2732,"f",FALSE)</f>
        <v>58475</v>
      </c>
      <c r="Y2732" s="104">
        <f>_xll.qlCalendarAdvance(Calendar,X2732,NDays&amp;"D")</f>
        <v>58477</v>
      </c>
      <c r="Z2732" s="105" t="e">
        <v>#N/A</v>
      </c>
      <c r="AA2732" s="102" t="e">
        <v>#N/A</v>
      </c>
    </row>
    <row r="2733" spans="19:27" x14ac:dyDescent="0.2">
      <c r="S2733" s="61"/>
      <c r="T2733" s="82"/>
      <c r="W2733" s="103" t="str">
        <f t="shared" si="51"/>
        <v>1w</v>
      </c>
      <c r="X2733" s="101">
        <f>_xll.qlCalendarAdvance(Calendar,X2732,W2733,"f",FALSE)</f>
        <v>58482</v>
      </c>
      <c r="Y2733" s="104">
        <f>_xll.qlCalendarAdvance(Calendar,X2733,NDays&amp;"D")</f>
        <v>58484</v>
      </c>
      <c r="Z2733" s="105" t="e">
        <v>#N/A</v>
      </c>
      <c r="AA2733" s="102" t="e">
        <v>#N/A</v>
      </c>
    </row>
    <row r="2734" spans="19:27" x14ac:dyDescent="0.2">
      <c r="S2734" s="61"/>
      <c r="T2734" s="82"/>
      <c r="W2734" s="103" t="str">
        <f t="shared" si="51"/>
        <v>1w</v>
      </c>
      <c r="X2734" s="101">
        <f>_xll.qlCalendarAdvance(Calendar,X2733,W2734,"f",FALSE)</f>
        <v>58489</v>
      </c>
      <c r="Y2734" s="104">
        <f>_xll.qlCalendarAdvance(Calendar,X2734,NDays&amp;"D")</f>
        <v>58491</v>
      </c>
      <c r="Z2734" s="105" t="e">
        <v>#N/A</v>
      </c>
      <c r="AA2734" s="102" t="e">
        <v>#N/A</v>
      </c>
    </row>
    <row r="2735" spans="19:27" x14ac:dyDescent="0.2">
      <c r="S2735" s="61"/>
      <c r="T2735" s="82"/>
      <c r="W2735" s="103" t="str">
        <f t="shared" si="51"/>
        <v>1w</v>
      </c>
      <c r="X2735" s="101">
        <f>_xll.qlCalendarAdvance(Calendar,X2734,W2735,"f",FALSE)</f>
        <v>58496</v>
      </c>
      <c r="Y2735" s="104">
        <f>_xll.qlCalendarAdvance(Calendar,X2735,NDays&amp;"D")</f>
        <v>58498</v>
      </c>
      <c r="Z2735" s="105" t="e">
        <v>#N/A</v>
      </c>
      <c r="AA2735" s="102" t="e">
        <v>#N/A</v>
      </c>
    </row>
    <row r="2736" spans="19:27" x14ac:dyDescent="0.2">
      <c r="S2736" s="61"/>
      <c r="T2736" s="82"/>
      <c r="W2736" s="103" t="str">
        <f t="shared" si="51"/>
        <v>1w</v>
      </c>
      <c r="X2736" s="101">
        <f>_xll.qlCalendarAdvance(Calendar,X2735,W2736,"f",FALSE)</f>
        <v>58503</v>
      </c>
      <c r="Y2736" s="104">
        <f>_xll.qlCalendarAdvance(Calendar,X2736,NDays&amp;"D")</f>
        <v>58505</v>
      </c>
      <c r="Z2736" s="105" t="e">
        <v>#N/A</v>
      </c>
      <c r="AA2736" s="102" t="e">
        <v>#N/A</v>
      </c>
    </row>
    <row r="2737" spans="19:27" x14ac:dyDescent="0.2">
      <c r="S2737" s="61"/>
      <c r="T2737" s="82"/>
      <c r="W2737" s="103" t="str">
        <f t="shared" si="51"/>
        <v>1w</v>
      </c>
      <c r="X2737" s="101">
        <f>_xll.qlCalendarAdvance(Calendar,X2736,W2737,"f",FALSE)</f>
        <v>58510</v>
      </c>
      <c r="Y2737" s="104">
        <f>_xll.qlCalendarAdvance(Calendar,X2737,NDays&amp;"D")</f>
        <v>58512</v>
      </c>
      <c r="Z2737" s="105" t="e">
        <v>#N/A</v>
      </c>
      <c r="AA2737" s="102" t="e">
        <v>#N/A</v>
      </c>
    </row>
    <row r="2738" spans="19:27" x14ac:dyDescent="0.2">
      <c r="S2738" s="61"/>
      <c r="T2738" s="82"/>
      <c r="W2738" s="103" t="str">
        <f t="shared" si="51"/>
        <v>1w</v>
      </c>
      <c r="X2738" s="101">
        <f>_xll.qlCalendarAdvance(Calendar,X2737,W2738,"f",FALSE)</f>
        <v>58517</v>
      </c>
      <c r="Y2738" s="104">
        <f>_xll.qlCalendarAdvance(Calendar,X2738,NDays&amp;"D")</f>
        <v>58519</v>
      </c>
      <c r="Z2738" s="105" t="e">
        <v>#N/A</v>
      </c>
      <c r="AA2738" s="102" t="e">
        <v>#N/A</v>
      </c>
    </row>
    <row r="2739" spans="19:27" x14ac:dyDescent="0.2">
      <c r="S2739" s="61"/>
      <c r="T2739" s="82"/>
      <c r="W2739" s="103" t="str">
        <f t="shared" si="51"/>
        <v>1w</v>
      </c>
      <c r="X2739" s="101">
        <f>_xll.qlCalendarAdvance(Calendar,X2738,W2739,"f",FALSE)</f>
        <v>58524</v>
      </c>
      <c r="Y2739" s="104">
        <f>_xll.qlCalendarAdvance(Calendar,X2739,NDays&amp;"D")</f>
        <v>58526</v>
      </c>
      <c r="Z2739" s="105" t="e">
        <v>#N/A</v>
      </c>
      <c r="AA2739" s="102" t="e">
        <v>#N/A</v>
      </c>
    </row>
    <row r="2740" spans="19:27" x14ac:dyDescent="0.2">
      <c r="S2740" s="61"/>
      <c r="T2740" s="82"/>
      <c r="W2740" s="103" t="str">
        <f t="shared" si="51"/>
        <v>1w</v>
      </c>
      <c r="X2740" s="101">
        <f>_xll.qlCalendarAdvance(Calendar,X2739,W2740,"f",FALSE)</f>
        <v>58531</v>
      </c>
      <c r="Y2740" s="104">
        <f>_xll.qlCalendarAdvance(Calendar,X2740,NDays&amp;"D")</f>
        <v>58533</v>
      </c>
      <c r="Z2740" s="105" t="e">
        <v>#N/A</v>
      </c>
      <c r="AA2740" s="102" t="e">
        <v>#N/A</v>
      </c>
    </row>
    <row r="2741" spans="19:27" x14ac:dyDescent="0.2">
      <c r="S2741" s="61"/>
      <c r="T2741" s="82"/>
      <c r="W2741" s="103" t="str">
        <f t="shared" si="51"/>
        <v>1w</v>
      </c>
      <c r="X2741" s="101">
        <f>_xll.qlCalendarAdvance(Calendar,X2740,W2741,"f",FALSE)</f>
        <v>58538</v>
      </c>
      <c r="Y2741" s="104">
        <f>_xll.qlCalendarAdvance(Calendar,X2741,NDays&amp;"D")</f>
        <v>58540</v>
      </c>
      <c r="Z2741" s="105" t="e">
        <v>#N/A</v>
      </c>
      <c r="AA2741" s="102" t="e">
        <v>#N/A</v>
      </c>
    </row>
    <row r="2742" spans="19:27" x14ac:dyDescent="0.2">
      <c r="S2742" s="61"/>
      <c r="T2742" s="82"/>
      <c r="W2742" s="103" t="str">
        <f t="shared" si="51"/>
        <v>1w</v>
      </c>
      <c r="X2742" s="101">
        <f>_xll.qlCalendarAdvance(Calendar,X2741,W2742,"f",FALSE)</f>
        <v>58545</v>
      </c>
      <c r="Y2742" s="104">
        <f>_xll.qlCalendarAdvance(Calendar,X2742,NDays&amp;"D")</f>
        <v>58551</v>
      </c>
      <c r="Z2742" s="105" t="e">
        <v>#N/A</v>
      </c>
      <c r="AA2742" s="102" t="e">
        <v>#N/A</v>
      </c>
    </row>
    <row r="2743" spans="19:27" x14ac:dyDescent="0.2">
      <c r="S2743" s="61"/>
      <c r="T2743" s="82"/>
      <c r="W2743" s="103" t="str">
        <f t="shared" si="51"/>
        <v>1w</v>
      </c>
      <c r="X2743" s="101">
        <f>_xll.qlCalendarAdvance(Calendar,X2742,W2743,"f",FALSE)</f>
        <v>58552</v>
      </c>
      <c r="Y2743" s="104">
        <f>_xll.qlCalendarAdvance(Calendar,X2743,NDays&amp;"D")</f>
        <v>58554</v>
      </c>
      <c r="Z2743" s="105" t="e">
        <v>#N/A</v>
      </c>
      <c r="AA2743" s="102" t="e">
        <v>#N/A</v>
      </c>
    </row>
    <row r="2744" spans="19:27" x14ac:dyDescent="0.2">
      <c r="S2744" s="61"/>
      <c r="T2744" s="82"/>
      <c r="W2744" s="103" t="str">
        <f t="shared" si="51"/>
        <v>1w</v>
      </c>
      <c r="X2744" s="101">
        <f>_xll.qlCalendarAdvance(Calendar,X2743,W2744,"f",FALSE)</f>
        <v>58559</v>
      </c>
      <c r="Y2744" s="104">
        <f>_xll.qlCalendarAdvance(Calendar,X2744,NDays&amp;"D")</f>
        <v>58561</v>
      </c>
      <c r="Z2744" s="105" t="e">
        <v>#N/A</v>
      </c>
      <c r="AA2744" s="102" t="e">
        <v>#N/A</v>
      </c>
    </row>
    <row r="2745" spans="19:27" x14ac:dyDescent="0.2">
      <c r="S2745" s="61"/>
      <c r="T2745" s="82"/>
      <c r="W2745" s="103" t="str">
        <f t="shared" si="51"/>
        <v>1w</v>
      </c>
      <c r="X2745" s="101">
        <f>_xll.qlCalendarAdvance(Calendar,X2744,W2745,"f",FALSE)</f>
        <v>58566</v>
      </c>
      <c r="Y2745" s="104">
        <f>_xll.qlCalendarAdvance(Calendar,X2745,NDays&amp;"D")</f>
        <v>58568</v>
      </c>
      <c r="Z2745" s="105" t="e">
        <v>#N/A</v>
      </c>
      <c r="AA2745" s="102" t="e">
        <v>#N/A</v>
      </c>
    </row>
    <row r="2746" spans="19:27" x14ac:dyDescent="0.2">
      <c r="S2746" s="61"/>
      <c r="T2746" s="82"/>
      <c r="W2746" s="103" t="str">
        <f t="shared" si="51"/>
        <v>1w</v>
      </c>
      <c r="X2746" s="101">
        <f>_xll.qlCalendarAdvance(Calendar,X2745,W2746,"f",FALSE)</f>
        <v>58573</v>
      </c>
      <c r="Y2746" s="104">
        <f>_xll.qlCalendarAdvance(Calendar,X2746,NDays&amp;"D")</f>
        <v>58575</v>
      </c>
      <c r="Z2746" s="105" t="e">
        <v>#N/A</v>
      </c>
      <c r="AA2746" s="102" t="e">
        <v>#N/A</v>
      </c>
    </row>
    <row r="2747" spans="19:27" x14ac:dyDescent="0.2">
      <c r="S2747" s="61"/>
      <c r="T2747" s="82"/>
      <c r="W2747" s="103" t="str">
        <f t="shared" si="51"/>
        <v>1w</v>
      </c>
      <c r="X2747" s="101">
        <f>_xll.qlCalendarAdvance(Calendar,X2746,W2747,"f",FALSE)</f>
        <v>58580</v>
      </c>
      <c r="Y2747" s="104">
        <f>_xll.qlCalendarAdvance(Calendar,X2747,NDays&amp;"D")</f>
        <v>58582</v>
      </c>
      <c r="Z2747" s="105" t="e">
        <v>#N/A</v>
      </c>
      <c r="AA2747" s="102" t="e">
        <v>#N/A</v>
      </c>
    </row>
    <row r="2748" spans="19:27" x14ac:dyDescent="0.2">
      <c r="S2748" s="61"/>
      <c r="T2748" s="82"/>
      <c r="W2748" s="103" t="str">
        <f t="shared" si="51"/>
        <v>1w</v>
      </c>
      <c r="X2748" s="101">
        <f>_xll.qlCalendarAdvance(Calendar,X2747,W2748,"f",FALSE)</f>
        <v>58587</v>
      </c>
      <c r="Y2748" s="104">
        <f>_xll.qlCalendarAdvance(Calendar,X2748,NDays&amp;"D")</f>
        <v>58592</v>
      </c>
      <c r="Z2748" s="105" t="e">
        <v>#N/A</v>
      </c>
      <c r="AA2748" s="102" t="e">
        <v>#N/A</v>
      </c>
    </row>
    <row r="2749" spans="19:27" x14ac:dyDescent="0.2">
      <c r="S2749" s="61"/>
      <c r="T2749" s="82"/>
      <c r="W2749" s="103" t="str">
        <f t="shared" si="51"/>
        <v>1w</v>
      </c>
      <c r="X2749" s="101">
        <f>_xll.qlCalendarAdvance(Calendar,X2748,W2749,"f",FALSE)</f>
        <v>58594</v>
      </c>
      <c r="Y2749" s="104">
        <f>_xll.qlCalendarAdvance(Calendar,X2749,NDays&amp;"D")</f>
        <v>58596</v>
      </c>
      <c r="Z2749" s="105" t="e">
        <v>#N/A</v>
      </c>
      <c r="AA2749" s="102" t="e">
        <v>#N/A</v>
      </c>
    </row>
    <row r="2750" spans="19:27" x14ac:dyDescent="0.2">
      <c r="S2750" s="61"/>
      <c r="T2750" s="82"/>
      <c r="W2750" s="103" t="str">
        <f t="shared" si="51"/>
        <v>1w</v>
      </c>
      <c r="X2750" s="101">
        <f>_xll.qlCalendarAdvance(Calendar,X2749,W2750,"f",FALSE)</f>
        <v>58601</v>
      </c>
      <c r="Y2750" s="104">
        <f>_xll.qlCalendarAdvance(Calendar,X2750,NDays&amp;"D")</f>
        <v>58603</v>
      </c>
      <c r="Z2750" s="105" t="e">
        <v>#N/A</v>
      </c>
      <c r="AA2750" s="102" t="e">
        <v>#N/A</v>
      </c>
    </row>
    <row r="2751" spans="19:27" x14ac:dyDescent="0.2">
      <c r="S2751" s="61"/>
      <c r="T2751" s="82"/>
      <c r="W2751" s="103" t="str">
        <f t="shared" si="51"/>
        <v>1w</v>
      </c>
      <c r="X2751" s="101">
        <f>_xll.qlCalendarAdvance(Calendar,X2750,W2751,"f",FALSE)</f>
        <v>58608</v>
      </c>
      <c r="Y2751" s="104">
        <f>_xll.qlCalendarAdvance(Calendar,X2751,NDays&amp;"D")</f>
        <v>58610</v>
      </c>
      <c r="Z2751" s="105" t="e">
        <v>#N/A</v>
      </c>
      <c r="AA2751" s="102" t="e">
        <v>#N/A</v>
      </c>
    </row>
    <row r="2752" spans="19:27" x14ac:dyDescent="0.2">
      <c r="S2752" s="61"/>
      <c r="T2752" s="82"/>
      <c r="W2752" s="103" t="str">
        <f t="shared" si="51"/>
        <v>1w</v>
      </c>
      <c r="X2752" s="101">
        <f>_xll.qlCalendarAdvance(Calendar,X2751,W2752,"f",FALSE)</f>
        <v>58615</v>
      </c>
      <c r="Y2752" s="104">
        <f>_xll.qlCalendarAdvance(Calendar,X2752,NDays&amp;"D")</f>
        <v>58620</v>
      </c>
      <c r="Z2752" s="105" t="e">
        <v>#N/A</v>
      </c>
      <c r="AA2752" s="102" t="e">
        <v>#N/A</v>
      </c>
    </row>
    <row r="2753" spans="19:27" x14ac:dyDescent="0.2">
      <c r="S2753" s="61"/>
      <c r="T2753" s="82"/>
      <c r="W2753" s="103" t="str">
        <f t="shared" si="51"/>
        <v>1w</v>
      </c>
      <c r="X2753" s="101">
        <f>_xll.qlCalendarAdvance(Calendar,X2752,W2753,"f",FALSE)</f>
        <v>58622</v>
      </c>
      <c r="Y2753" s="104">
        <f>_xll.qlCalendarAdvance(Calendar,X2753,NDays&amp;"D")</f>
        <v>58624</v>
      </c>
      <c r="Z2753" s="105" t="e">
        <v>#N/A</v>
      </c>
      <c r="AA2753" s="102" t="e">
        <v>#N/A</v>
      </c>
    </row>
    <row r="2754" spans="19:27" x14ac:dyDescent="0.2">
      <c r="S2754" s="61"/>
      <c r="T2754" s="82"/>
      <c r="W2754" s="103" t="str">
        <f t="shared" si="51"/>
        <v>1w</v>
      </c>
      <c r="X2754" s="101">
        <f>_xll.qlCalendarAdvance(Calendar,X2753,W2754,"f",FALSE)</f>
        <v>58629</v>
      </c>
      <c r="Y2754" s="104">
        <f>_xll.qlCalendarAdvance(Calendar,X2754,NDays&amp;"D")</f>
        <v>58631</v>
      </c>
      <c r="Z2754" s="105" t="e">
        <v>#N/A</v>
      </c>
      <c r="AA2754" s="102" t="e">
        <v>#N/A</v>
      </c>
    </row>
    <row r="2755" spans="19:27" x14ac:dyDescent="0.2">
      <c r="S2755" s="61"/>
      <c r="T2755" s="82"/>
      <c r="W2755" s="103" t="str">
        <f t="shared" si="51"/>
        <v>1w</v>
      </c>
      <c r="X2755" s="101">
        <f>_xll.qlCalendarAdvance(Calendar,X2754,W2755,"f",FALSE)</f>
        <v>58636</v>
      </c>
      <c r="Y2755" s="104">
        <f>_xll.qlCalendarAdvance(Calendar,X2755,NDays&amp;"D")</f>
        <v>58638</v>
      </c>
      <c r="Z2755" s="105" t="e">
        <v>#N/A</v>
      </c>
      <c r="AA2755" s="102" t="e">
        <v>#N/A</v>
      </c>
    </row>
    <row r="2756" spans="19:27" x14ac:dyDescent="0.2">
      <c r="S2756" s="61"/>
      <c r="T2756" s="82"/>
      <c r="W2756" s="103" t="str">
        <f t="shared" si="51"/>
        <v>1w</v>
      </c>
      <c r="X2756" s="101">
        <f>_xll.qlCalendarAdvance(Calendar,X2755,W2756,"f",FALSE)</f>
        <v>58643</v>
      </c>
      <c r="Y2756" s="104">
        <f>_xll.qlCalendarAdvance(Calendar,X2756,NDays&amp;"D")</f>
        <v>58645</v>
      </c>
      <c r="Z2756" s="105" t="e">
        <v>#N/A</v>
      </c>
      <c r="AA2756" s="102" t="e">
        <v>#N/A</v>
      </c>
    </row>
    <row r="2757" spans="19:27" x14ac:dyDescent="0.2">
      <c r="S2757" s="61"/>
      <c r="T2757" s="82"/>
      <c r="W2757" s="103" t="str">
        <f t="shared" si="51"/>
        <v>1w</v>
      </c>
      <c r="X2757" s="101">
        <f>_xll.qlCalendarAdvance(Calendar,X2756,W2757,"f",FALSE)</f>
        <v>58650</v>
      </c>
      <c r="Y2757" s="104">
        <f>_xll.qlCalendarAdvance(Calendar,X2757,NDays&amp;"D")</f>
        <v>58652</v>
      </c>
      <c r="Z2757" s="105" t="e">
        <v>#N/A</v>
      </c>
      <c r="AA2757" s="102" t="e">
        <v>#N/A</v>
      </c>
    </row>
    <row r="2758" spans="19:27" x14ac:dyDescent="0.2">
      <c r="S2758" s="61"/>
      <c r="T2758" s="82"/>
      <c r="W2758" s="103" t="str">
        <f t="shared" si="51"/>
        <v>1w</v>
      </c>
      <c r="X2758" s="101">
        <f>_xll.qlCalendarAdvance(Calendar,X2757,W2758,"f",FALSE)</f>
        <v>58657</v>
      </c>
      <c r="Y2758" s="104">
        <f>_xll.qlCalendarAdvance(Calendar,X2758,NDays&amp;"D")</f>
        <v>58659</v>
      </c>
      <c r="Z2758" s="105" t="e">
        <v>#N/A</v>
      </c>
      <c r="AA2758" s="102" t="e">
        <v>#N/A</v>
      </c>
    </row>
    <row r="2759" spans="19:27" x14ac:dyDescent="0.2">
      <c r="S2759" s="61"/>
      <c r="T2759" s="82"/>
      <c r="W2759" s="103" t="str">
        <f t="shared" si="51"/>
        <v>1w</v>
      </c>
      <c r="X2759" s="101">
        <f>_xll.qlCalendarAdvance(Calendar,X2758,W2759,"f",FALSE)</f>
        <v>58664</v>
      </c>
      <c r="Y2759" s="104">
        <f>_xll.qlCalendarAdvance(Calendar,X2759,NDays&amp;"D")</f>
        <v>58666</v>
      </c>
      <c r="Z2759" s="105" t="e">
        <v>#N/A</v>
      </c>
      <c r="AA2759" s="102" t="e">
        <v>#N/A</v>
      </c>
    </row>
    <row r="2760" spans="19:27" x14ac:dyDescent="0.2">
      <c r="S2760" s="61"/>
      <c r="T2760" s="82"/>
      <c r="W2760" s="103" t="str">
        <f t="shared" si="51"/>
        <v>1w</v>
      </c>
      <c r="X2760" s="101">
        <f>_xll.qlCalendarAdvance(Calendar,X2759,W2760,"f",FALSE)</f>
        <v>58671</v>
      </c>
      <c r="Y2760" s="104">
        <f>_xll.qlCalendarAdvance(Calendar,X2760,NDays&amp;"D")</f>
        <v>58673</v>
      </c>
      <c r="Z2760" s="105" t="e">
        <v>#N/A</v>
      </c>
      <c r="AA2760" s="102" t="e">
        <v>#N/A</v>
      </c>
    </row>
    <row r="2761" spans="19:27" x14ac:dyDescent="0.2">
      <c r="S2761" s="61"/>
      <c r="T2761" s="82"/>
      <c r="W2761" s="103" t="str">
        <f t="shared" si="51"/>
        <v>1w</v>
      </c>
      <c r="X2761" s="101">
        <f>_xll.qlCalendarAdvance(Calendar,X2760,W2761,"f",FALSE)</f>
        <v>58678</v>
      </c>
      <c r="Y2761" s="104">
        <f>_xll.qlCalendarAdvance(Calendar,X2761,NDays&amp;"D")</f>
        <v>58680</v>
      </c>
      <c r="Z2761" s="105" t="e">
        <v>#N/A</v>
      </c>
      <c r="AA2761" s="102" t="e">
        <v>#N/A</v>
      </c>
    </row>
    <row r="2762" spans="19:27" x14ac:dyDescent="0.2">
      <c r="S2762" s="61"/>
      <c r="T2762" s="82"/>
      <c r="W2762" s="103" t="str">
        <f t="shared" si="51"/>
        <v>1w</v>
      </c>
      <c r="X2762" s="101">
        <f>_xll.qlCalendarAdvance(Calendar,X2761,W2762,"f",FALSE)</f>
        <v>58685</v>
      </c>
      <c r="Y2762" s="104">
        <f>_xll.qlCalendarAdvance(Calendar,X2762,NDays&amp;"D")</f>
        <v>58687</v>
      </c>
      <c r="Z2762" s="105" t="e">
        <v>#N/A</v>
      </c>
      <c r="AA2762" s="102" t="e">
        <v>#N/A</v>
      </c>
    </row>
    <row r="2763" spans="19:27" x14ac:dyDescent="0.2">
      <c r="S2763" s="61"/>
      <c r="T2763" s="82"/>
      <c r="W2763" s="103" t="str">
        <f t="shared" si="51"/>
        <v>1w</v>
      </c>
      <c r="X2763" s="101">
        <f>_xll.qlCalendarAdvance(Calendar,X2762,W2763,"f",FALSE)</f>
        <v>58692</v>
      </c>
      <c r="Y2763" s="104">
        <f>_xll.qlCalendarAdvance(Calendar,X2763,NDays&amp;"D")</f>
        <v>58694</v>
      </c>
      <c r="Z2763" s="105" t="e">
        <v>#N/A</v>
      </c>
      <c r="AA2763" s="102" t="e">
        <v>#N/A</v>
      </c>
    </row>
    <row r="2764" spans="19:27" x14ac:dyDescent="0.2">
      <c r="S2764" s="61"/>
      <c r="T2764" s="82"/>
      <c r="W2764" s="103" t="str">
        <f t="shared" si="51"/>
        <v>1w</v>
      </c>
      <c r="X2764" s="101">
        <f>_xll.qlCalendarAdvance(Calendar,X2763,W2764,"f",FALSE)</f>
        <v>58699</v>
      </c>
      <c r="Y2764" s="104">
        <f>_xll.qlCalendarAdvance(Calendar,X2764,NDays&amp;"D")</f>
        <v>58701</v>
      </c>
      <c r="Z2764" s="105" t="e">
        <v>#N/A</v>
      </c>
      <c r="AA2764" s="102" t="e">
        <v>#N/A</v>
      </c>
    </row>
    <row r="2765" spans="19:27" x14ac:dyDescent="0.2">
      <c r="S2765" s="61"/>
      <c r="T2765" s="82"/>
      <c r="W2765" s="103" t="str">
        <f t="shared" si="51"/>
        <v>1w</v>
      </c>
      <c r="X2765" s="101">
        <f>_xll.qlCalendarAdvance(Calendar,X2764,W2765,"f",FALSE)</f>
        <v>58706</v>
      </c>
      <c r="Y2765" s="104">
        <f>_xll.qlCalendarAdvance(Calendar,X2765,NDays&amp;"D")</f>
        <v>58708</v>
      </c>
      <c r="Z2765" s="105" t="e">
        <v>#N/A</v>
      </c>
      <c r="AA2765" s="102" t="e">
        <v>#N/A</v>
      </c>
    </row>
    <row r="2766" spans="19:27" x14ac:dyDescent="0.2">
      <c r="S2766" s="61"/>
      <c r="T2766" s="82"/>
      <c r="W2766" s="103" t="str">
        <f t="shared" si="51"/>
        <v>1w</v>
      </c>
      <c r="X2766" s="101">
        <f>_xll.qlCalendarAdvance(Calendar,X2765,W2766,"f",FALSE)</f>
        <v>58713</v>
      </c>
      <c r="Y2766" s="104">
        <f>_xll.qlCalendarAdvance(Calendar,X2766,NDays&amp;"D")</f>
        <v>58715</v>
      </c>
      <c r="Z2766" s="105" t="e">
        <v>#N/A</v>
      </c>
      <c r="AA2766" s="102" t="e">
        <v>#N/A</v>
      </c>
    </row>
    <row r="2767" spans="19:27" x14ac:dyDescent="0.2">
      <c r="S2767" s="61"/>
      <c r="T2767" s="82"/>
      <c r="W2767" s="103" t="str">
        <f t="shared" si="51"/>
        <v>1w</v>
      </c>
      <c r="X2767" s="101">
        <f>_xll.qlCalendarAdvance(Calendar,X2766,W2767,"f",FALSE)</f>
        <v>58720</v>
      </c>
      <c r="Y2767" s="104">
        <f>_xll.qlCalendarAdvance(Calendar,X2767,NDays&amp;"D")</f>
        <v>58722</v>
      </c>
      <c r="Z2767" s="105" t="e">
        <v>#N/A</v>
      </c>
      <c r="AA2767" s="102" t="e">
        <v>#N/A</v>
      </c>
    </row>
    <row r="2768" spans="19:27" x14ac:dyDescent="0.2">
      <c r="S2768" s="61"/>
      <c r="T2768" s="82"/>
      <c r="W2768" s="103" t="str">
        <f t="shared" si="51"/>
        <v>1w</v>
      </c>
      <c r="X2768" s="101">
        <f>_xll.qlCalendarAdvance(Calendar,X2767,W2768,"f",FALSE)</f>
        <v>58727</v>
      </c>
      <c r="Y2768" s="104">
        <f>_xll.qlCalendarAdvance(Calendar,X2768,NDays&amp;"D")</f>
        <v>58729</v>
      </c>
      <c r="Z2768" s="105" t="e">
        <v>#N/A</v>
      </c>
      <c r="AA2768" s="102" t="e">
        <v>#N/A</v>
      </c>
    </row>
    <row r="2769" spans="19:27" x14ac:dyDescent="0.2">
      <c r="S2769" s="61"/>
      <c r="T2769" s="82"/>
      <c r="W2769" s="103" t="str">
        <f t="shared" si="51"/>
        <v>1w</v>
      </c>
      <c r="X2769" s="101">
        <f>_xll.qlCalendarAdvance(Calendar,X2768,W2769,"f",FALSE)</f>
        <v>58734</v>
      </c>
      <c r="Y2769" s="104">
        <f>_xll.qlCalendarAdvance(Calendar,X2769,NDays&amp;"D")</f>
        <v>58736</v>
      </c>
      <c r="Z2769" s="105" t="e">
        <v>#N/A</v>
      </c>
      <c r="AA2769" s="102" t="e">
        <v>#N/A</v>
      </c>
    </row>
    <row r="2770" spans="19:27" x14ac:dyDescent="0.2">
      <c r="S2770" s="61"/>
      <c r="T2770" s="82"/>
      <c r="W2770" s="103" t="str">
        <f t="shared" si="51"/>
        <v>1w</v>
      </c>
      <c r="X2770" s="101">
        <f>_xll.qlCalendarAdvance(Calendar,X2769,W2770,"f",FALSE)</f>
        <v>58741</v>
      </c>
      <c r="Y2770" s="104">
        <f>_xll.qlCalendarAdvance(Calendar,X2770,NDays&amp;"D")</f>
        <v>58743</v>
      </c>
      <c r="Z2770" s="105" t="e">
        <v>#N/A</v>
      </c>
      <c r="AA2770" s="102" t="e">
        <v>#N/A</v>
      </c>
    </row>
    <row r="2771" spans="19:27" x14ac:dyDescent="0.2">
      <c r="S2771" s="61"/>
      <c r="T2771" s="82"/>
      <c r="W2771" s="103" t="str">
        <f t="shared" si="51"/>
        <v>1w</v>
      </c>
      <c r="X2771" s="101">
        <f>_xll.qlCalendarAdvance(Calendar,X2770,W2771,"f",FALSE)</f>
        <v>58748</v>
      </c>
      <c r="Y2771" s="104">
        <f>_xll.qlCalendarAdvance(Calendar,X2771,NDays&amp;"D")</f>
        <v>58750</v>
      </c>
      <c r="Z2771" s="105" t="e">
        <v>#N/A</v>
      </c>
      <c r="AA2771" s="102" t="e">
        <v>#N/A</v>
      </c>
    </row>
    <row r="2772" spans="19:27" x14ac:dyDescent="0.2">
      <c r="S2772" s="61"/>
      <c r="T2772" s="82"/>
      <c r="W2772" s="103" t="str">
        <f t="shared" si="51"/>
        <v>1w</v>
      </c>
      <c r="X2772" s="101">
        <f>_xll.qlCalendarAdvance(Calendar,X2771,W2772,"f",FALSE)</f>
        <v>58755</v>
      </c>
      <c r="Y2772" s="104">
        <f>_xll.qlCalendarAdvance(Calendar,X2772,NDays&amp;"D")</f>
        <v>58757</v>
      </c>
      <c r="Z2772" s="105" t="e">
        <v>#N/A</v>
      </c>
      <c r="AA2772" s="102" t="e">
        <v>#N/A</v>
      </c>
    </row>
    <row r="2773" spans="19:27" x14ac:dyDescent="0.2">
      <c r="S2773" s="61"/>
      <c r="T2773" s="82"/>
      <c r="W2773" s="103" t="str">
        <f t="shared" ref="W2773:W2836" si="52">W2772</f>
        <v>1w</v>
      </c>
      <c r="X2773" s="101">
        <f>_xll.qlCalendarAdvance(Calendar,X2772,W2773,"f",FALSE)</f>
        <v>58762</v>
      </c>
      <c r="Y2773" s="104">
        <f>_xll.qlCalendarAdvance(Calendar,X2773,NDays&amp;"D")</f>
        <v>58764</v>
      </c>
      <c r="Z2773" s="105" t="e">
        <v>#N/A</v>
      </c>
      <c r="AA2773" s="102" t="e">
        <v>#N/A</v>
      </c>
    </row>
    <row r="2774" spans="19:27" x14ac:dyDescent="0.2">
      <c r="S2774" s="61"/>
      <c r="T2774" s="82"/>
      <c r="W2774" s="103" t="str">
        <f t="shared" si="52"/>
        <v>1w</v>
      </c>
      <c r="X2774" s="101">
        <f>_xll.qlCalendarAdvance(Calendar,X2773,W2774,"f",FALSE)</f>
        <v>58769</v>
      </c>
      <c r="Y2774" s="104">
        <f>_xll.qlCalendarAdvance(Calendar,X2774,NDays&amp;"D")</f>
        <v>58771</v>
      </c>
      <c r="Z2774" s="105" t="e">
        <v>#N/A</v>
      </c>
      <c r="AA2774" s="102" t="e">
        <v>#N/A</v>
      </c>
    </row>
    <row r="2775" spans="19:27" x14ac:dyDescent="0.2">
      <c r="S2775" s="61"/>
      <c r="T2775" s="82"/>
      <c r="W2775" s="103" t="str">
        <f t="shared" si="52"/>
        <v>1w</v>
      </c>
      <c r="X2775" s="101">
        <f>_xll.qlCalendarAdvance(Calendar,X2774,W2775,"f",FALSE)</f>
        <v>58776</v>
      </c>
      <c r="Y2775" s="104">
        <f>_xll.qlCalendarAdvance(Calendar,X2775,NDays&amp;"D")</f>
        <v>58778</v>
      </c>
      <c r="Z2775" s="105" t="e">
        <v>#N/A</v>
      </c>
      <c r="AA2775" s="102" t="e">
        <v>#N/A</v>
      </c>
    </row>
    <row r="2776" spans="19:27" x14ac:dyDescent="0.2">
      <c r="S2776" s="61"/>
      <c r="T2776" s="82"/>
      <c r="W2776" s="103" t="str">
        <f t="shared" si="52"/>
        <v>1w</v>
      </c>
      <c r="X2776" s="101">
        <f>_xll.qlCalendarAdvance(Calendar,X2775,W2776,"f",FALSE)</f>
        <v>58783</v>
      </c>
      <c r="Y2776" s="104">
        <f>_xll.qlCalendarAdvance(Calendar,X2776,NDays&amp;"D")</f>
        <v>58785</v>
      </c>
      <c r="Z2776" s="105" t="e">
        <v>#N/A</v>
      </c>
      <c r="AA2776" s="102" t="e">
        <v>#N/A</v>
      </c>
    </row>
    <row r="2777" spans="19:27" x14ac:dyDescent="0.2">
      <c r="S2777" s="61"/>
      <c r="T2777" s="82"/>
      <c r="W2777" s="103" t="str">
        <f t="shared" si="52"/>
        <v>1w</v>
      </c>
      <c r="X2777" s="101">
        <f>_xll.qlCalendarAdvance(Calendar,X2776,W2777,"f",FALSE)</f>
        <v>58790</v>
      </c>
      <c r="Y2777" s="104">
        <f>_xll.qlCalendarAdvance(Calendar,X2777,NDays&amp;"D")</f>
        <v>58792</v>
      </c>
      <c r="Z2777" s="105" t="e">
        <v>#N/A</v>
      </c>
      <c r="AA2777" s="102" t="e">
        <v>#N/A</v>
      </c>
    </row>
    <row r="2778" spans="19:27" x14ac:dyDescent="0.2">
      <c r="S2778" s="61"/>
      <c r="T2778" s="82"/>
      <c r="W2778" s="103" t="str">
        <f t="shared" si="52"/>
        <v>1w</v>
      </c>
      <c r="X2778" s="101">
        <f>_xll.qlCalendarAdvance(Calendar,X2777,W2778,"f",FALSE)</f>
        <v>58797</v>
      </c>
      <c r="Y2778" s="104">
        <f>_xll.qlCalendarAdvance(Calendar,X2778,NDays&amp;"D")</f>
        <v>58802</v>
      </c>
      <c r="Z2778" s="105" t="e">
        <v>#N/A</v>
      </c>
      <c r="AA2778" s="102" t="e">
        <v>#N/A</v>
      </c>
    </row>
    <row r="2779" spans="19:27" x14ac:dyDescent="0.2">
      <c r="S2779" s="61"/>
      <c r="T2779" s="82"/>
      <c r="W2779" s="103" t="str">
        <f t="shared" si="52"/>
        <v>1w</v>
      </c>
      <c r="X2779" s="101">
        <f>_xll.qlCalendarAdvance(Calendar,X2778,W2779,"f",FALSE)</f>
        <v>58804</v>
      </c>
      <c r="Y2779" s="104">
        <f>_xll.qlCalendarAdvance(Calendar,X2779,NDays&amp;"D")</f>
        <v>58809</v>
      </c>
      <c r="Z2779" s="105" t="e">
        <v>#N/A</v>
      </c>
      <c r="AA2779" s="102" t="e">
        <v>#N/A</v>
      </c>
    </row>
    <row r="2780" spans="19:27" x14ac:dyDescent="0.2">
      <c r="S2780" s="61"/>
      <c r="T2780" s="82"/>
      <c r="W2780" s="103" t="str">
        <f t="shared" si="52"/>
        <v>1w</v>
      </c>
      <c r="X2780" s="101">
        <f>_xll.qlCalendarAdvance(Calendar,X2779,W2780,"f",FALSE)</f>
        <v>58811</v>
      </c>
      <c r="Y2780" s="104">
        <f>_xll.qlCalendarAdvance(Calendar,X2780,NDays&amp;"D")</f>
        <v>58816</v>
      </c>
      <c r="Z2780" s="105" t="e">
        <v>#N/A</v>
      </c>
      <c r="AA2780" s="102" t="e">
        <v>#N/A</v>
      </c>
    </row>
    <row r="2781" spans="19:27" x14ac:dyDescent="0.2">
      <c r="S2781" s="61"/>
      <c r="T2781" s="82"/>
      <c r="W2781" s="103" t="str">
        <f t="shared" si="52"/>
        <v>1w</v>
      </c>
      <c r="X2781" s="101">
        <f>_xll.qlCalendarAdvance(Calendar,X2780,W2781,"f",FALSE)</f>
        <v>58818</v>
      </c>
      <c r="Y2781" s="104">
        <f>_xll.qlCalendarAdvance(Calendar,X2781,NDays&amp;"D")</f>
        <v>58820</v>
      </c>
      <c r="Z2781" s="105" t="e">
        <v>#N/A</v>
      </c>
      <c r="AA2781" s="102" t="e">
        <v>#N/A</v>
      </c>
    </row>
    <row r="2782" spans="19:27" x14ac:dyDescent="0.2">
      <c r="S2782" s="61"/>
      <c r="T2782" s="82"/>
      <c r="W2782" s="103" t="str">
        <f t="shared" si="52"/>
        <v>1w</v>
      </c>
      <c r="X2782" s="101">
        <f>_xll.qlCalendarAdvance(Calendar,X2781,W2782,"f",FALSE)</f>
        <v>58825</v>
      </c>
      <c r="Y2782" s="104">
        <f>_xll.qlCalendarAdvance(Calendar,X2782,NDays&amp;"D")</f>
        <v>58827</v>
      </c>
      <c r="Z2782" s="105" t="e">
        <v>#N/A</v>
      </c>
      <c r="AA2782" s="102" t="e">
        <v>#N/A</v>
      </c>
    </row>
    <row r="2783" spans="19:27" x14ac:dyDescent="0.2">
      <c r="S2783" s="61"/>
      <c r="T2783" s="82"/>
      <c r="W2783" s="103" t="str">
        <f t="shared" si="52"/>
        <v>1w</v>
      </c>
      <c r="X2783" s="101">
        <f>_xll.qlCalendarAdvance(Calendar,X2782,W2783,"f",FALSE)</f>
        <v>58832</v>
      </c>
      <c r="Y2783" s="104">
        <f>_xll.qlCalendarAdvance(Calendar,X2783,NDays&amp;"D")</f>
        <v>58834</v>
      </c>
      <c r="Z2783" s="105" t="e">
        <v>#N/A</v>
      </c>
      <c r="AA2783" s="102" t="e">
        <v>#N/A</v>
      </c>
    </row>
    <row r="2784" spans="19:27" x14ac:dyDescent="0.2">
      <c r="S2784" s="61"/>
      <c r="T2784" s="82"/>
      <c r="W2784" s="103" t="str">
        <f t="shared" si="52"/>
        <v>1w</v>
      </c>
      <c r="X2784" s="101">
        <f>_xll.qlCalendarAdvance(Calendar,X2783,W2784,"f",FALSE)</f>
        <v>58839</v>
      </c>
      <c r="Y2784" s="104">
        <f>_xll.qlCalendarAdvance(Calendar,X2784,NDays&amp;"D")</f>
        <v>58841</v>
      </c>
      <c r="Z2784" s="105" t="e">
        <v>#N/A</v>
      </c>
      <c r="AA2784" s="102" t="e">
        <v>#N/A</v>
      </c>
    </row>
    <row r="2785" spans="19:27" x14ac:dyDescent="0.2">
      <c r="S2785" s="61"/>
      <c r="T2785" s="82"/>
      <c r="W2785" s="103" t="str">
        <f t="shared" si="52"/>
        <v>1w</v>
      </c>
      <c r="X2785" s="101">
        <f>_xll.qlCalendarAdvance(Calendar,X2784,W2785,"f",FALSE)</f>
        <v>58846</v>
      </c>
      <c r="Y2785" s="104">
        <f>_xll.qlCalendarAdvance(Calendar,X2785,NDays&amp;"D")</f>
        <v>58848</v>
      </c>
      <c r="Z2785" s="105" t="e">
        <v>#N/A</v>
      </c>
      <c r="AA2785" s="102" t="e">
        <v>#N/A</v>
      </c>
    </row>
    <row r="2786" spans="19:27" x14ac:dyDescent="0.2">
      <c r="S2786" s="61"/>
      <c r="T2786" s="82"/>
      <c r="W2786" s="103" t="str">
        <f t="shared" si="52"/>
        <v>1w</v>
      </c>
      <c r="X2786" s="101">
        <f>_xll.qlCalendarAdvance(Calendar,X2785,W2786,"f",FALSE)</f>
        <v>58853</v>
      </c>
      <c r="Y2786" s="104">
        <f>_xll.qlCalendarAdvance(Calendar,X2786,NDays&amp;"D")</f>
        <v>58855</v>
      </c>
      <c r="Z2786" s="105" t="e">
        <v>#N/A</v>
      </c>
      <c r="AA2786" s="102" t="e">
        <v>#N/A</v>
      </c>
    </row>
    <row r="2787" spans="19:27" x14ac:dyDescent="0.2">
      <c r="S2787" s="61"/>
      <c r="T2787" s="82"/>
      <c r="W2787" s="103" t="str">
        <f t="shared" si="52"/>
        <v>1w</v>
      </c>
      <c r="X2787" s="101">
        <f>_xll.qlCalendarAdvance(Calendar,X2786,W2787,"f",FALSE)</f>
        <v>58860</v>
      </c>
      <c r="Y2787" s="104">
        <f>_xll.qlCalendarAdvance(Calendar,X2787,NDays&amp;"D")</f>
        <v>58862</v>
      </c>
      <c r="Z2787" s="105" t="e">
        <v>#N/A</v>
      </c>
      <c r="AA2787" s="102" t="e">
        <v>#N/A</v>
      </c>
    </row>
    <row r="2788" spans="19:27" x14ac:dyDescent="0.2">
      <c r="S2788" s="61"/>
      <c r="T2788" s="82"/>
      <c r="W2788" s="103" t="str">
        <f t="shared" si="52"/>
        <v>1w</v>
      </c>
      <c r="X2788" s="101">
        <f>_xll.qlCalendarAdvance(Calendar,X2787,W2788,"f",FALSE)</f>
        <v>58867</v>
      </c>
      <c r="Y2788" s="104">
        <f>_xll.qlCalendarAdvance(Calendar,X2788,NDays&amp;"D")</f>
        <v>58869</v>
      </c>
      <c r="Z2788" s="105" t="e">
        <v>#N/A</v>
      </c>
      <c r="AA2788" s="102" t="e">
        <v>#N/A</v>
      </c>
    </row>
    <row r="2789" spans="19:27" x14ac:dyDescent="0.2">
      <c r="S2789" s="61"/>
      <c r="T2789" s="82"/>
      <c r="W2789" s="103" t="str">
        <f t="shared" si="52"/>
        <v>1w</v>
      </c>
      <c r="X2789" s="101">
        <f>_xll.qlCalendarAdvance(Calendar,X2788,W2789,"f",FALSE)</f>
        <v>58874</v>
      </c>
      <c r="Y2789" s="104">
        <f>_xll.qlCalendarAdvance(Calendar,X2789,NDays&amp;"D")</f>
        <v>58876</v>
      </c>
      <c r="Z2789" s="105" t="e">
        <v>#N/A</v>
      </c>
      <c r="AA2789" s="102" t="e">
        <v>#N/A</v>
      </c>
    </row>
    <row r="2790" spans="19:27" x14ac:dyDescent="0.2">
      <c r="S2790" s="61"/>
      <c r="T2790" s="82"/>
      <c r="W2790" s="103" t="str">
        <f t="shared" si="52"/>
        <v>1w</v>
      </c>
      <c r="X2790" s="101">
        <f>_xll.qlCalendarAdvance(Calendar,X2789,W2790,"f",FALSE)</f>
        <v>58881</v>
      </c>
      <c r="Y2790" s="104">
        <f>_xll.qlCalendarAdvance(Calendar,X2790,NDays&amp;"D")</f>
        <v>58883</v>
      </c>
      <c r="Z2790" s="105" t="e">
        <v>#N/A</v>
      </c>
      <c r="AA2790" s="102" t="e">
        <v>#N/A</v>
      </c>
    </row>
    <row r="2791" spans="19:27" x14ac:dyDescent="0.2">
      <c r="S2791" s="61"/>
      <c r="T2791" s="82"/>
      <c r="W2791" s="103" t="str">
        <f t="shared" si="52"/>
        <v>1w</v>
      </c>
      <c r="X2791" s="101">
        <f>_xll.qlCalendarAdvance(Calendar,X2790,W2791,"f",FALSE)</f>
        <v>58888</v>
      </c>
      <c r="Y2791" s="104">
        <f>_xll.qlCalendarAdvance(Calendar,X2791,NDays&amp;"D")</f>
        <v>58890</v>
      </c>
      <c r="Z2791" s="105" t="e">
        <v>#N/A</v>
      </c>
      <c r="AA2791" s="102" t="e">
        <v>#N/A</v>
      </c>
    </row>
    <row r="2792" spans="19:27" x14ac:dyDescent="0.2">
      <c r="S2792" s="61"/>
      <c r="T2792" s="82"/>
      <c r="W2792" s="103" t="str">
        <f t="shared" si="52"/>
        <v>1w</v>
      </c>
      <c r="X2792" s="101">
        <f>_xll.qlCalendarAdvance(Calendar,X2791,W2792,"f",FALSE)</f>
        <v>58895</v>
      </c>
      <c r="Y2792" s="104">
        <f>_xll.qlCalendarAdvance(Calendar,X2792,NDays&amp;"D")</f>
        <v>58897</v>
      </c>
      <c r="Z2792" s="105" t="e">
        <v>#N/A</v>
      </c>
      <c r="AA2792" s="102" t="e">
        <v>#N/A</v>
      </c>
    </row>
    <row r="2793" spans="19:27" x14ac:dyDescent="0.2">
      <c r="S2793" s="61"/>
      <c r="T2793" s="82"/>
      <c r="W2793" s="103" t="str">
        <f t="shared" si="52"/>
        <v>1w</v>
      </c>
      <c r="X2793" s="101">
        <f>_xll.qlCalendarAdvance(Calendar,X2792,W2793,"f",FALSE)</f>
        <v>58902</v>
      </c>
      <c r="Y2793" s="104">
        <f>_xll.qlCalendarAdvance(Calendar,X2793,NDays&amp;"D")</f>
        <v>58908</v>
      </c>
      <c r="Z2793" s="105" t="e">
        <v>#N/A</v>
      </c>
      <c r="AA2793" s="102" t="e">
        <v>#N/A</v>
      </c>
    </row>
    <row r="2794" spans="19:27" x14ac:dyDescent="0.2">
      <c r="S2794" s="61"/>
      <c r="T2794" s="82"/>
      <c r="W2794" s="103" t="str">
        <f t="shared" si="52"/>
        <v>1w</v>
      </c>
      <c r="X2794" s="101">
        <f>_xll.qlCalendarAdvance(Calendar,X2793,W2794,"f",FALSE)</f>
        <v>58909</v>
      </c>
      <c r="Y2794" s="104">
        <f>_xll.qlCalendarAdvance(Calendar,X2794,NDays&amp;"D")</f>
        <v>58911</v>
      </c>
      <c r="Z2794" s="105" t="e">
        <v>#N/A</v>
      </c>
      <c r="AA2794" s="102" t="e">
        <v>#N/A</v>
      </c>
    </row>
    <row r="2795" spans="19:27" x14ac:dyDescent="0.2">
      <c r="S2795" s="61"/>
      <c r="T2795" s="82"/>
      <c r="W2795" s="103" t="str">
        <f t="shared" si="52"/>
        <v>1w</v>
      </c>
      <c r="X2795" s="101">
        <f>_xll.qlCalendarAdvance(Calendar,X2794,W2795,"f",FALSE)</f>
        <v>58916</v>
      </c>
      <c r="Y2795" s="104">
        <f>_xll.qlCalendarAdvance(Calendar,X2795,NDays&amp;"D")</f>
        <v>58918</v>
      </c>
      <c r="Z2795" s="105" t="e">
        <v>#N/A</v>
      </c>
      <c r="AA2795" s="102" t="e">
        <v>#N/A</v>
      </c>
    </row>
    <row r="2796" spans="19:27" x14ac:dyDescent="0.2">
      <c r="S2796" s="61"/>
      <c r="T2796" s="82"/>
      <c r="W2796" s="103" t="str">
        <f t="shared" si="52"/>
        <v>1w</v>
      </c>
      <c r="X2796" s="101">
        <f>_xll.qlCalendarAdvance(Calendar,X2795,W2796,"f",FALSE)</f>
        <v>58923</v>
      </c>
      <c r="Y2796" s="104">
        <f>_xll.qlCalendarAdvance(Calendar,X2796,NDays&amp;"D")</f>
        <v>58925</v>
      </c>
      <c r="Z2796" s="105" t="e">
        <v>#N/A</v>
      </c>
      <c r="AA2796" s="102" t="e">
        <v>#N/A</v>
      </c>
    </row>
    <row r="2797" spans="19:27" x14ac:dyDescent="0.2">
      <c r="S2797" s="61"/>
      <c r="T2797" s="82"/>
      <c r="W2797" s="103" t="str">
        <f t="shared" si="52"/>
        <v>1w</v>
      </c>
      <c r="X2797" s="101">
        <f>_xll.qlCalendarAdvance(Calendar,X2796,W2797,"f",FALSE)</f>
        <v>58930</v>
      </c>
      <c r="Y2797" s="104">
        <f>_xll.qlCalendarAdvance(Calendar,X2797,NDays&amp;"D")</f>
        <v>58932</v>
      </c>
      <c r="Z2797" s="105" t="e">
        <v>#N/A</v>
      </c>
      <c r="AA2797" s="102" t="e">
        <v>#N/A</v>
      </c>
    </row>
    <row r="2798" spans="19:27" x14ac:dyDescent="0.2">
      <c r="S2798" s="61"/>
      <c r="T2798" s="82"/>
      <c r="W2798" s="103" t="str">
        <f t="shared" si="52"/>
        <v>1w</v>
      </c>
      <c r="X2798" s="101">
        <f>_xll.qlCalendarAdvance(Calendar,X2797,W2798,"f",FALSE)</f>
        <v>58937</v>
      </c>
      <c r="Y2798" s="104">
        <f>_xll.qlCalendarAdvance(Calendar,X2798,NDays&amp;"D")</f>
        <v>58939</v>
      </c>
      <c r="Z2798" s="105" t="e">
        <v>#N/A</v>
      </c>
      <c r="AA2798" s="102" t="e">
        <v>#N/A</v>
      </c>
    </row>
    <row r="2799" spans="19:27" x14ac:dyDescent="0.2">
      <c r="S2799" s="61"/>
      <c r="T2799" s="82"/>
      <c r="W2799" s="103" t="str">
        <f t="shared" si="52"/>
        <v>1w</v>
      </c>
      <c r="X2799" s="101">
        <f>_xll.qlCalendarAdvance(Calendar,X2798,W2799,"f",FALSE)</f>
        <v>58944</v>
      </c>
      <c r="Y2799" s="104">
        <f>_xll.qlCalendarAdvance(Calendar,X2799,NDays&amp;"D")</f>
        <v>58949</v>
      </c>
      <c r="Z2799" s="105" t="e">
        <v>#N/A</v>
      </c>
      <c r="AA2799" s="102" t="e">
        <v>#N/A</v>
      </c>
    </row>
    <row r="2800" spans="19:27" x14ac:dyDescent="0.2">
      <c r="S2800" s="61"/>
      <c r="T2800" s="82"/>
      <c r="W2800" s="103" t="str">
        <f t="shared" si="52"/>
        <v>1w</v>
      </c>
      <c r="X2800" s="101">
        <f>_xll.qlCalendarAdvance(Calendar,X2799,W2800,"f",FALSE)</f>
        <v>58951</v>
      </c>
      <c r="Y2800" s="104">
        <f>_xll.qlCalendarAdvance(Calendar,X2800,NDays&amp;"D")</f>
        <v>58953</v>
      </c>
      <c r="Z2800" s="105" t="e">
        <v>#N/A</v>
      </c>
      <c r="AA2800" s="102" t="e">
        <v>#N/A</v>
      </c>
    </row>
    <row r="2801" spans="19:27" x14ac:dyDescent="0.2">
      <c r="S2801" s="61"/>
      <c r="T2801" s="82"/>
      <c r="W2801" s="103" t="str">
        <f t="shared" si="52"/>
        <v>1w</v>
      </c>
      <c r="X2801" s="101">
        <f>_xll.qlCalendarAdvance(Calendar,X2800,W2801,"f",FALSE)</f>
        <v>58958</v>
      </c>
      <c r="Y2801" s="104">
        <f>_xll.qlCalendarAdvance(Calendar,X2801,NDays&amp;"D")</f>
        <v>58960</v>
      </c>
      <c r="Z2801" s="105" t="e">
        <v>#N/A</v>
      </c>
      <c r="AA2801" s="102" t="e">
        <v>#N/A</v>
      </c>
    </row>
    <row r="2802" spans="19:27" x14ac:dyDescent="0.2">
      <c r="S2802" s="61"/>
      <c r="T2802" s="82"/>
      <c r="W2802" s="103" t="str">
        <f t="shared" si="52"/>
        <v>1w</v>
      </c>
      <c r="X2802" s="101">
        <f>_xll.qlCalendarAdvance(Calendar,X2801,W2802,"f",FALSE)</f>
        <v>58965</v>
      </c>
      <c r="Y2802" s="104">
        <f>_xll.qlCalendarAdvance(Calendar,X2802,NDays&amp;"D")</f>
        <v>58967</v>
      </c>
      <c r="Z2802" s="105" t="e">
        <v>#N/A</v>
      </c>
      <c r="AA2802" s="102" t="e">
        <v>#N/A</v>
      </c>
    </row>
    <row r="2803" spans="19:27" x14ac:dyDescent="0.2">
      <c r="S2803" s="61"/>
      <c r="T2803" s="82"/>
      <c r="W2803" s="103" t="str">
        <f t="shared" si="52"/>
        <v>1w</v>
      </c>
      <c r="X2803" s="101">
        <f>_xll.qlCalendarAdvance(Calendar,X2802,W2803,"f",FALSE)</f>
        <v>58972</v>
      </c>
      <c r="Y2803" s="104">
        <f>_xll.qlCalendarAdvance(Calendar,X2803,NDays&amp;"D")</f>
        <v>58974</v>
      </c>
      <c r="Z2803" s="105" t="e">
        <v>#N/A</v>
      </c>
      <c r="AA2803" s="102" t="e">
        <v>#N/A</v>
      </c>
    </row>
    <row r="2804" spans="19:27" x14ac:dyDescent="0.2">
      <c r="S2804" s="61"/>
      <c r="T2804" s="82"/>
      <c r="W2804" s="103" t="str">
        <f t="shared" si="52"/>
        <v>1w</v>
      </c>
      <c r="X2804" s="101">
        <f>_xll.qlCalendarAdvance(Calendar,X2803,W2804,"f",FALSE)</f>
        <v>58979</v>
      </c>
      <c r="Y2804" s="104">
        <f>_xll.qlCalendarAdvance(Calendar,X2804,NDays&amp;"D")</f>
        <v>58984</v>
      </c>
      <c r="Z2804" s="105" t="e">
        <v>#N/A</v>
      </c>
      <c r="AA2804" s="102" t="e">
        <v>#N/A</v>
      </c>
    </row>
    <row r="2805" spans="19:27" x14ac:dyDescent="0.2">
      <c r="S2805" s="61"/>
      <c r="T2805" s="82"/>
      <c r="W2805" s="103" t="str">
        <f t="shared" si="52"/>
        <v>1w</v>
      </c>
      <c r="X2805" s="101">
        <f>_xll.qlCalendarAdvance(Calendar,X2804,W2805,"f",FALSE)</f>
        <v>58986</v>
      </c>
      <c r="Y2805" s="104">
        <f>_xll.qlCalendarAdvance(Calendar,X2805,NDays&amp;"D")</f>
        <v>58988</v>
      </c>
      <c r="Z2805" s="105" t="e">
        <v>#N/A</v>
      </c>
      <c r="AA2805" s="102" t="e">
        <v>#N/A</v>
      </c>
    </row>
    <row r="2806" spans="19:27" x14ac:dyDescent="0.2">
      <c r="S2806" s="61"/>
      <c r="T2806" s="82"/>
      <c r="W2806" s="103" t="str">
        <f t="shared" si="52"/>
        <v>1w</v>
      </c>
      <c r="X2806" s="101">
        <f>_xll.qlCalendarAdvance(Calendar,X2805,W2806,"f",FALSE)</f>
        <v>58993</v>
      </c>
      <c r="Y2806" s="104">
        <f>_xll.qlCalendarAdvance(Calendar,X2806,NDays&amp;"D")</f>
        <v>58995</v>
      </c>
      <c r="Z2806" s="105" t="e">
        <v>#N/A</v>
      </c>
      <c r="AA2806" s="102" t="e">
        <v>#N/A</v>
      </c>
    </row>
    <row r="2807" spans="19:27" x14ac:dyDescent="0.2">
      <c r="S2807" s="61"/>
      <c r="T2807" s="82"/>
      <c r="W2807" s="103" t="str">
        <f t="shared" si="52"/>
        <v>1w</v>
      </c>
      <c r="X2807" s="101">
        <f>_xll.qlCalendarAdvance(Calendar,X2806,W2807,"f",FALSE)</f>
        <v>59000</v>
      </c>
      <c r="Y2807" s="104">
        <f>_xll.qlCalendarAdvance(Calendar,X2807,NDays&amp;"D")</f>
        <v>59002</v>
      </c>
      <c r="Z2807" s="105" t="e">
        <v>#N/A</v>
      </c>
      <c r="AA2807" s="102" t="e">
        <v>#N/A</v>
      </c>
    </row>
    <row r="2808" spans="19:27" x14ac:dyDescent="0.2">
      <c r="S2808" s="61"/>
      <c r="T2808" s="82"/>
      <c r="W2808" s="103" t="str">
        <f t="shared" si="52"/>
        <v>1w</v>
      </c>
      <c r="X2808" s="101">
        <f>_xll.qlCalendarAdvance(Calendar,X2807,W2808,"f",FALSE)</f>
        <v>59007</v>
      </c>
      <c r="Y2808" s="104">
        <f>_xll.qlCalendarAdvance(Calendar,X2808,NDays&amp;"D")</f>
        <v>59009</v>
      </c>
      <c r="Z2808" s="105" t="e">
        <v>#N/A</v>
      </c>
      <c r="AA2808" s="102" t="e">
        <v>#N/A</v>
      </c>
    </row>
    <row r="2809" spans="19:27" x14ac:dyDescent="0.2">
      <c r="S2809" s="61"/>
      <c r="T2809" s="82"/>
      <c r="W2809" s="103" t="str">
        <f t="shared" si="52"/>
        <v>1w</v>
      </c>
      <c r="X2809" s="101">
        <f>_xll.qlCalendarAdvance(Calendar,X2808,W2809,"f",FALSE)</f>
        <v>59014</v>
      </c>
      <c r="Y2809" s="104">
        <f>_xll.qlCalendarAdvance(Calendar,X2809,NDays&amp;"D")</f>
        <v>59016</v>
      </c>
      <c r="Z2809" s="105" t="e">
        <v>#N/A</v>
      </c>
      <c r="AA2809" s="102" t="e">
        <v>#N/A</v>
      </c>
    </row>
    <row r="2810" spans="19:27" x14ac:dyDescent="0.2">
      <c r="S2810" s="61"/>
      <c r="T2810" s="82"/>
      <c r="W2810" s="103" t="str">
        <f t="shared" si="52"/>
        <v>1w</v>
      </c>
      <c r="X2810" s="101">
        <f>_xll.qlCalendarAdvance(Calendar,X2809,W2810,"f",FALSE)</f>
        <v>59021</v>
      </c>
      <c r="Y2810" s="104">
        <f>_xll.qlCalendarAdvance(Calendar,X2810,NDays&amp;"D")</f>
        <v>59023</v>
      </c>
      <c r="Z2810" s="105" t="e">
        <v>#N/A</v>
      </c>
      <c r="AA2810" s="102" t="e">
        <v>#N/A</v>
      </c>
    </row>
    <row r="2811" spans="19:27" x14ac:dyDescent="0.2">
      <c r="S2811" s="61"/>
      <c r="T2811" s="82"/>
      <c r="W2811" s="103" t="str">
        <f t="shared" si="52"/>
        <v>1w</v>
      </c>
      <c r="X2811" s="101">
        <f>_xll.qlCalendarAdvance(Calendar,X2810,W2811,"f",FALSE)</f>
        <v>59028</v>
      </c>
      <c r="Y2811" s="104">
        <f>_xll.qlCalendarAdvance(Calendar,X2811,NDays&amp;"D")</f>
        <v>59030</v>
      </c>
      <c r="Z2811" s="105" t="e">
        <v>#N/A</v>
      </c>
      <c r="AA2811" s="102" t="e">
        <v>#N/A</v>
      </c>
    </row>
    <row r="2812" spans="19:27" x14ac:dyDescent="0.2">
      <c r="S2812" s="61"/>
      <c r="T2812" s="82"/>
      <c r="W2812" s="103" t="str">
        <f t="shared" si="52"/>
        <v>1w</v>
      </c>
      <c r="X2812" s="101">
        <f>_xll.qlCalendarAdvance(Calendar,X2811,W2812,"f",FALSE)</f>
        <v>59035</v>
      </c>
      <c r="Y2812" s="104">
        <f>_xll.qlCalendarAdvance(Calendar,X2812,NDays&amp;"D")</f>
        <v>59037</v>
      </c>
      <c r="Z2812" s="105" t="e">
        <v>#N/A</v>
      </c>
      <c r="AA2812" s="102" t="e">
        <v>#N/A</v>
      </c>
    </row>
    <row r="2813" spans="19:27" x14ac:dyDescent="0.2">
      <c r="S2813" s="61"/>
      <c r="T2813" s="82"/>
      <c r="W2813" s="103" t="str">
        <f t="shared" si="52"/>
        <v>1w</v>
      </c>
      <c r="X2813" s="101">
        <f>_xll.qlCalendarAdvance(Calendar,X2812,W2813,"f",FALSE)</f>
        <v>59042</v>
      </c>
      <c r="Y2813" s="104">
        <f>_xll.qlCalendarAdvance(Calendar,X2813,NDays&amp;"D")</f>
        <v>59044</v>
      </c>
      <c r="Z2813" s="105" t="e">
        <v>#N/A</v>
      </c>
      <c r="AA2813" s="102" t="e">
        <v>#N/A</v>
      </c>
    </row>
    <row r="2814" spans="19:27" x14ac:dyDescent="0.2">
      <c r="S2814" s="61"/>
      <c r="T2814" s="82"/>
      <c r="W2814" s="103" t="str">
        <f t="shared" si="52"/>
        <v>1w</v>
      </c>
      <c r="X2814" s="101">
        <f>_xll.qlCalendarAdvance(Calendar,X2813,W2814,"f",FALSE)</f>
        <v>59049</v>
      </c>
      <c r="Y2814" s="104">
        <f>_xll.qlCalendarAdvance(Calendar,X2814,NDays&amp;"D")</f>
        <v>59051</v>
      </c>
      <c r="Z2814" s="105" t="e">
        <v>#N/A</v>
      </c>
      <c r="AA2814" s="102" t="e">
        <v>#N/A</v>
      </c>
    </row>
    <row r="2815" spans="19:27" x14ac:dyDescent="0.2">
      <c r="S2815" s="61"/>
      <c r="T2815" s="82"/>
      <c r="W2815" s="103" t="str">
        <f t="shared" si="52"/>
        <v>1w</v>
      </c>
      <c r="X2815" s="101">
        <f>_xll.qlCalendarAdvance(Calendar,X2814,W2815,"f",FALSE)</f>
        <v>59056</v>
      </c>
      <c r="Y2815" s="104">
        <f>_xll.qlCalendarAdvance(Calendar,X2815,NDays&amp;"D")</f>
        <v>59058</v>
      </c>
      <c r="Z2815" s="105" t="e">
        <v>#N/A</v>
      </c>
      <c r="AA2815" s="102" t="e">
        <v>#N/A</v>
      </c>
    </row>
    <row r="2816" spans="19:27" x14ac:dyDescent="0.2">
      <c r="S2816" s="61"/>
      <c r="T2816" s="82"/>
      <c r="W2816" s="103" t="str">
        <f t="shared" si="52"/>
        <v>1w</v>
      </c>
      <c r="X2816" s="101">
        <f>_xll.qlCalendarAdvance(Calendar,X2815,W2816,"f",FALSE)</f>
        <v>59063</v>
      </c>
      <c r="Y2816" s="104">
        <f>_xll.qlCalendarAdvance(Calendar,X2816,NDays&amp;"D")</f>
        <v>59065</v>
      </c>
      <c r="Z2816" s="105" t="e">
        <v>#N/A</v>
      </c>
      <c r="AA2816" s="102" t="e">
        <v>#N/A</v>
      </c>
    </row>
    <row r="2817" spans="19:27" x14ac:dyDescent="0.2">
      <c r="S2817" s="61"/>
      <c r="T2817" s="82"/>
      <c r="W2817" s="103" t="str">
        <f t="shared" si="52"/>
        <v>1w</v>
      </c>
      <c r="X2817" s="101">
        <f>_xll.qlCalendarAdvance(Calendar,X2816,W2817,"f",FALSE)</f>
        <v>59070</v>
      </c>
      <c r="Y2817" s="104">
        <f>_xll.qlCalendarAdvance(Calendar,X2817,NDays&amp;"D")</f>
        <v>59072</v>
      </c>
      <c r="Z2817" s="105" t="e">
        <v>#N/A</v>
      </c>
      <c r="AA2817" s="102" t="e">
        <v>#N/A</v>
      </c>
    </row>
    <row r="2818" spans="19:27" x14ac:dyDescent="0.2">
      <c r="S2818" s="61"/>
      <c r="T2818" s="82"/>
      <c r="W2818" s="103" t="str">
        <f t="shared" si="52"/>
        <v>1w</v>
      </c>
      <c r="X2818" s="101">
        <f>_xll.qlCalendarAdvance(Calendar,X2817,W2818,"f",FALSE)</f>
        <v>59077</v>
      </c>
      <c r="Y2818" s="104">
        <f>_xll.qlCalendarAdvance(Calendar,X2818,NDays&amp;"D")</f>
        <v>59079</v>
      </c>
      <c r="Z2818" s="105" t="e">
        <v>#N/A</v>
      </c>
      <c r="AA2818" s="102" t="e">
        <v>#N/A</v>
      </c>
    </row>
    <row r="2819" spans="19:27" x14ac:dyDescent="0.2">
      <c r="S2819" s="61"/>
      <c r="T2819" s="82"/>
      <c r="W2819" s="103" t="str">
        <f t="shared" si="52"/>
        <v>1w</v>
      </c>
      <c r="X2819" s="101">
        <f>_xll.qlCalendarAdvance(Calendar,X2818,W2819,"f",FALSE)</f>
        <v>59084</v>
      </c>
      <c r="Y2819" s="104">
        <f>_xll.qlCalendarAdvance(Calendar,X2819,NDays&amp;"D")</f>
        <v>59086</v>
      </c>
      <c r="Z2819" s="105" t="e">
        <v>#N/A</v>
      </c>
      <c r="AA2819" s="102" t="e">
        <v>#N/A</v>
      </c>
    </row>
    <row r="2820" spans="19:27" x14ac:dyDescent="0.2">
      <c r="S2820" s="61"/>
      <c r="T2820" s="82"/>
      <c r="W2820" s="103" t="str">
        <f t="shared" si="52"/>
        <v>1w</v>
      </c>
      <c r="X2820" s="101">
        <f>_xll.qlCalendarAdvance(Calendar,X2819,W2820,"f",FALSE)</f>
        <v>59091</v>
      </c>
      <c r="Y2820" s="104">
        <f>_xll.qlCalendarAdvance(Calendar,X2820,NDays&amp;"D")</f>
        <v>59093</v>
      </c>
      <c r="Z2820" s="105" t="e">
        <v>#N/A</v>
      </c>
      <c r="AA2820" s="102" t="e">
        <v>#N/A</v>
      </c>
    </row>
    <row r="2821" spans="19:27" x14ac:dyDescent="0.2">
      <c r="S2821" s="61"/>
      <c r="T2821" s="82"/>
      <c r="W2821" s="103" t="str">
        <f t="shared" si="52"/>
        <v>1w</v>
      </c>
      <c r="X2821" s="101">
        <f>_xll.qlCalendarAdvance(Calendar,X2820,W2821,"f",FALSE)</f>
        <v>59098</v>
      </c>
      <c r="Y2821" s="104">
        <f>_xll.qlCalendarAdvance(Calendar,X2821,NDays&amp;"D")</f>
        <v>59100</v>
      </c>
      <c r="Z2821" s="105" t="e">
        <v>#N/A</v>
      </c>
      <c r="AA2821" s="102" t="e">
        <v>#N/A</v>
      </c>
    </row>
    <row r="2822" spans="19:27" x14ac:dyDescent="0.2">
      <c r="S2822" s="61"/>
      <c r="T2822" s="82"/>
      <c r="W2822" s="103" t="str">
        <f t="shared" si="52"/>
        <v>1w</v>
      </c>
      <c r="X2822" s="101">
        <f>_xll.qlCalendarAdvance(Calendar,X2821,W2822,"f",FALSE)</f>
        <v>59105</v>
      </c>
      <c r="Y2822" s="104">
        <f>_xll.qlCalendarAdvance(Calendar,X2822,NDays&amp;"D")</f>
        <v>59107</v>
      </c>
      <c r="Z2822" s="105" t="e">
        <v>#N/A</v>
      </c>
      <c r="AA2822" s="102" t="e">
        <v>#N/A</v>
      </c>
    </row>
    <row r="2823" spans="19:27" x14ac:dyDescent="0.2">
      <c r="S2823" s="61"/>
      <c r="T2823" s="82"/>
      <c r="W2823" s="103" t="str">
        <f t="shared" si="52"/>
        <v>1w</v>
      </c>
      <c r="X2823" s="101">
        <f>_xll.qlCalendarAdvance(Calendar,X2822,W2823,"f",FALSE)</f>
        <v>59112</v>
      </c>
      <c r="Y2823" s="104">
        <f>_xll.qlCalendarAdvance(Calendar,X2823,NDays&amp;"D")</f>
        <v>59114</v>
      </c>
      <c r="Z2823" s="105" t="e">
        <v>#N/A</v>
      </c>
      <c r="AA2823" s="102" t="e">
        <v>#N/A</v>
      </c>
    </row>
    <row r="2824" spans="19:27" x14ac:dyDescent="0.2">
      <c r="S2824" s="61"/>
      <c r="T2824" s="82"/>
      <c r="W2824" s="103" t="str">
        <f t="shared" si="52"/>
        <v>1w</v>
      </c>
      <c r="X2824" s="101">
        <f>_xll.qlCalendarAdvance(Calendar,X2823,W2824,"f",FALSE)</f>
        <v>59119</v>
      </c>
      <c r="Y2824" s="104">
        <f>_xll.qlCalendarAdvance(Calendar,X2824,NDays&amp;"D")</f>
        <v>59121</v>
      </c>
      <c r="Z2824" s="105" t="e">
        <v>#N/A</v>
      </c>
      <c r="AA2824" s="102" t="e">
        <v>#N/A</v>
      </c>
    </row>
    <row r="2825" spans="19:27" x14ac:dyDescent="0.2">
      <c r="S2825" s="61"/>
      <c r="T2825" s="82"/>
      <c r="W2825" s="103" t="str">
        <f t="shared" si="52"/>
        <v>1w</v>
      </c>
      <c r="X2825" s="101">
        <f>_xll.qlCalendarAdvance(Calendar,X2824,W2825,"f",FALSE)</f>
        <v>59126</v>
      </c>
      <c r="Y2825" s="104">
        <f>_xll.qlCalendarAdvance(Calendar,X2825,NDays&amp;"D")</f>
        <v>59128</v>
      </c>
      <c r="Z2825" s="105" t="e">
        <v>#N/A</v>
      </c>
      <c r="AA2825" s="102" t="e">
        <v>#N/A</v>
      </c>
    </row>
    <row r="2826" spans="19:27" x14ac:dyDescent="0.2">
      <c r="S2826" s="61"/>
      <c r="T2826" s="82"/>
      <c r="W2826" s="103" t="str">
        <f t="shared" si="52"/>
        <v>1w</v>
      </c>
      <c r="X2826" s="101">
        <f>_xll.qlCalendarAdvance(Calendar,X2825,W2826,"f",FALSE)</f>
        <v>59133</v>
      </c>
      <c r="Y2826" s="104">
        <f>_xll.qlCalendarAdvance(Calendar,X2826,NDays&amp;"D")</f>
        <v>59135</v>
      </c>
      <c r="Z2826" s="105" t="e">
        <v>#N/A</v>
      </c>
      <c r="AA2826" s="102" t="e">
        <v>#N/A</v>
      </c>
    </row>
    <row r="2827" spans="19:27" x14ac:dyDescent="0.2">
      <c r="S2827" s="61"/>
      <c r="T2827" s="82"/>
      <c r="W2827" s="103" t="str">
        <f t="shared" si="52"/>
        <v>1w</v>
      </c>
      <c r="X2827" s="101">
        <f>_xll.qlCalendarAdvance(Calendar,X2826,W2827,"f",FALSE)</f>
        <v>59140</v>
      </c>
      <c r="Y2827" s="104">
        <f>_xll.qlCalendarAdvance(Calendar,X2827,NDays&amp;"D")</f>
        <v>59142</v>
      </c>
      <c r="Z2827" s="105" t="e">
        <v>#N/A</v>
      </c>
      <c r="AA2827" s="102" t="e">
        <v>#N/A</v>
      </c>
    </row>
    <row r="2828" spans="19:27" x14ac:dyDescent="0.2">
      <c r="S2828" s="61"/>
      <c r="T2828" s="82"/>
      <c r="W2828" s="103" t="str">
        <f t="shared" si="52"/>
        <v>1w</v>
      </c>
      <c r="X2828" s="101">
        <f>_xll.qlCalendarAdvance(Calendar,X2827,W2828,"f",FALSE)</f>
        <v>59147</v>
      </c>
      <c r="Y2828" s="104">
        <f>_xll.qlCalendarAdvance(Calendar,X2828,NDays&amp;"D")</f>
        <v>59149</v>
      </c>
      <c r="Z2828" s="105" t="e">
        <v>#N/A</v>
      </c>
      <c r="AA2828" s="102" t="e">
        <v>#N/A</v>
      </c>
    </row>
    <row r="2829" spans="19:27" x14ac:dyDescent="0.2">
      <c r="S2829" s="61"/>
      <c r="T2829" s="82"/>
      <c r="W2829" s="103" t="str">
        <f t="shared" si="52"/>
        <v>1w</v>
      </c>
      <c r="X2829" s="101">
        <f>_xll.qlCalendarAdvance(Calendar,X2828,W2829,"f",FALSE)</f>
        <v>59154</v>
      </c>
      <c r="Y2829" s="104">
        <f>_xll.qlCalendarAdvance(Calendar,X2829,NDays&amp;"D")</f>
        <v>59156</v>
      </c>
      <c r="Z2829" s="105" t="e">
        <v>#N/A</v>
      </c>
      <c r="AA2829" s="102" t="e">
        <v>#N/A</v>
      </c>
    </row>
    <row r="2830" spans="19:27" x14ac:dyDescent="0.2">
      <c r="S2830" s="61"/>
      <c r="T2830" s="82"/>
      <c r="W2830" s="103" t="str">
        <f t="shared" si="52"/>
        <v>1w</v>
      </c>
      <c r="X2830" s="101">
        <f>_xll.qlCalendarAdvance(Calendar,X2829,W2830,"f",FALSE)</f>
        <v>59161</v>
      </c>
      <c r="Y2830" s="104">
        <f>_xll.qlCalendarAdvance(Calendar,X2830,NDays&amp;"D")</f>
        <v>59163</v>
      </c>
      <c r="Z2830" s="105" t="e">
        <v>#N/A</v>
      </c>
      <c r="AA2830" s="102" t="e">
        <v>#N/A</v>
      </c>
    </row>
    <row r="2831" spans="19:27" x14ac:dyDescent="0.2">
      <c r="S2831" s="61"/>
      <c r="T2831" s="82"/>
      <c r="W2831" s="103" t="str">
        <f t="shared" si="52"/>
        <v>1w</v>
      </c>
      <c r="X2831" s="101">
        <f>_xll.qlCalendarAdvance(Calendar,X2830,W2831,"f",FALSE)</f>
        <v>59168</v>
      </c>
      <c r="Y2831" s="104">
        <f>_xll.qlCalendarAdvance(Calendar,X2831,NDays&amp;"D")</f>
        <v>59170</v>
      </c>
      <c r="Z2831" s="105" t="e">
        <v>#N/A</v>
      </c>
      <c r="AA2831" s="102" t="e">
        <v>#N/A</v>
      </c>
    </row>
    <row r="2832" spans="19:27" x14ac:dyDescent="0.2">
      <c r="S2832" s="61"/>
      <c r="T2832" s="82"/>
      <c r="W2832" s="103" t="str">
        <f t="shared" si="52"/>
        <v>1w</v>
      </c>
      <c r="X2832" s="101">
        <f>_xll.qlCalendarAdvance(Calendar,X2831,W2832,"f",FALSE)</f>
        <v>59175</v>
      </c>
      <c r="Y2832" s="104">
        <f>_xll.qlCalendarAdvance(Calendar,X2832,NDays&amp;"D")</f>
        <v>59180</v>
      </c>
      <c r="Z2832" s="105" t="e">
        <v>#N/A</v>
      </c>
      <c r="AA2832" s="102" t="e">
        <v>#N/A</v>
      </c>
    </row>
    <row r="2833" spans="19:27" x14ac:dyDescent="0.2">
      <c r="S2833" s="61"/>
      <c r="T2833" s="82"/>
      <c r="W2833" s="103" t="str">
        <f t="shared" si="52"/>
        <v>1w</v>
      </c>
      <c r="X2833" s="101">
        <f>_xll.qlCalendarAdvance(Calendar,X2832,W2833,"f",FALSE)</f>
        <v>59182</v>
      </c>
      <c r="Y2833" s="104">
        <f>_xll.qlCalendarAdvance(Calendar,X2833,NDays&amp;"D")</f>
        <v>59184</v>
      </c>
      <c r="Z2833" s="105" t="e">
        <v>#N/A</v>
      </c>
      <c r="AA2833" s="102" t="e">
        <v>#N/A</v>
      </c>
    </row>
    <row r="2834" spans="19:27" x14ac:dyDescent="0.2">
      <c r="S2834" s="61"/>
      <c r="T2834" s="82"/>
      <c r="W2834" s="103" t="str">
        <f t="shared" si="52"/>
        <v>1w</v>
      </c>
      <c r="X2834" s="101">
        <f>_xll.qlCalendarAdvance(Calendar,X2833,W2834,"f",FALSE)</f>
        <v>59189</v>
      </c>
      <c r="Y2834" s="104">
        <f>_xll.qlCalendarAdvance(Calendar,X2834,NDays&amp;"D")</f>
        <v>59191</v>
      </c>
      <c r="Z2834" s="105" t="e">
        <v>#N/A</v>
      </c>
      <c r="AA2834" s="102" t="e">
        <v>#N/A</v>
      </c>
    </row>
    <row r="2835" spans="19:27" x14ac:dyDescent="0.2">
      <c r="S2835" s="61"/>
      <c r="T2835" s="82"/>
      <c r="W2835" s="103" t="str">
        <f t="shared" si="52"/>
        <v>1w</v>
      </c>
      <c r="X2835" s="101">
        <f>_xll.qlCalendarAdvance(Calendar,X2834,W2835,"f",FALSE)</f>
        <v>59196</v>
      </c>
      <c r="Y2835" s="104">
        <f>_xll.qlCalendarAdvance(Calendar,X2835,NDays&amp;"D")</f>
        <v>59198</v>
      </c>
      <c r="Z2835" s="105" t="e">
        <v>#N/A</v>
      </c>
      <c r="AA2835" s="102" t="e">
        <v>#N/A</v>
      </c>
    </row>
    <row r="2836" spans="19:27" x14ac:dyDescent="0.2">
      <c r="S2836" s="61"/>
      <c r="T2836" s="82"/>
      <c r="W2836" s="103" t="str">
        <f t="shared" si="52"/>
        <v>1w</v>
      </c>
      <c r="X2836" s="101">
        <f>_xll.qlCalendarAdvance(Calendar,X2835,W2836,"f",FALSE)</f>
        <v>59203</v>
      </c>
      <c r="Y2836" s="104">
        <f>_xll.qlCalendarAdvance(Calendar,X2836,NDays&amp;"D")</f>
        <v>59205</v>
      </c>
      <c r="Z2836" s="105" t="e">
        <v>#N/A</v>
      </c>
      <c r="AA2836" s="102" t="e">
        <v>#N/A</v>
      </c>
    </row>
    <row r="2837" spans="19:27" x14ac:dyDescent="0.2">
      <c r="S2837" s="61"/>
      <c r="T2837" s="82"/>
      <c r="W2837" s="103" t="str">
        <f t="shared" ref="W2837:W2900" si="53">W2836</f>
        <v>1w</v>
      </c>
      <c r="X2837" s="101">
        <f>_xll.qlCalendarAdvance(Calendar,X2836,W2837,"f",FALSE)</f>
        <v>59210</v>
      </c>
      <c r="Y2837" s="104">
        <f>_xll.qlCalendarAdvance(Calendar,X2837,NDays&amp;"D")</f>
        <v>59212</v>
      </c>
      <c r="Z2837" s="105" t="e">
        <v>#N/A</v>
      </c>
      <c r="AA2837" s="102" t="e">
        <v>#N/A</v>
      </c>
    </row>
    <row r="2838" spans="19:27" x14ac:dyDescent="0.2">
      <c r="S2838" s="61"/>
      <c r="T2838" s="82"/>
      <c r="W2838" s="103" t="str">
        <f t="shared" si="53"/>
        <v>1w</v>
      </c>
      <c r="X2838" s="101">
        <f>_xll.qlCalendarAdvance(Calendar,X2837,W2838,"f",FALSE)</f>
        <v>59217</v>
      </c>
      <c r="Y2838" s="104">
        <f>_xll.qlCalendarAdvance(Calendar,X2838,NDays&amp;"D")</f>
        <v>59219</v>
      </c>
      <c r="Z2838" s="105" t="e">
        <v>#N/A</v>
      </c>
      <c r="AA2838" s="102" t="e">
        <v>#N/A</v>
      </c>
    </row>
    <row r="2839" spans="19:27" x14ac:dyDescent="0.2">
      <c r="S2839" s="61"/>
      <c r="T2839" s="82"/>
      <c r="W2839" s="103" t="str">
        <f t="shared" si="53"/>
        <v>1w</v>
      </c>
      <c r="X2839" s="101">
        <f>_xll.qlCalendarAdvance(Calendar,X2838,W2839,"f",FALSE)</f>
        <v>59224</v>
      </c>
      <c r="Y2839" s="104">
        <f>_xll.qlCalendarAdvance(Calendar,X2839,NDays&amp;"D")</f>
        <v>59226</v>
      </c>
      <c r="Z2839" s="105" t="e">
        <v>#N/A</v>
      </c>
      <c r="AA2839" s="102" t="e">
        <v>#N/A</v>
      </c>
    </row>
    <row r="2840" spans="19:27" x14ac:dyDescent="0.2">
      <c r="S2840" s="61"/>
      <c r="T2840" s="82"/>
      <c r="W2840" s="103" t="str">
        <f t="shared" si="53"/>
        <v>1w</v>
      </c>
      <c r="X2840" s="101">
        <f>_xll.qlCalendarAdvance(Calendar,X2839,W2840,"f",FALSE)</f>
        <v>59231</v>
      </c>
      <c r="Y2840" s="104">
        <f>_xll.qlCalendarAdvance(Calendar,X2840,NDays&amp;"D")</f>
        <v>59233</v>
      </c>
      <c r="Z2840" s="105" t="e">
        <v>#N/A</v>
      </c>
      <c r="AA2840" s="102" t="e">
        <v>#N/A</v>
      </c>
    </row>
    <row r="2841" spans="19:27" x14ac:dyDescent="0.2">
      <c r="S2841" s="61"/>
      <c r="T2841" s="82"/>
      <c r="W2841" s="103" t="str">
        <f t="shared" si="53"/>
        <v>1w</v>
      </c>
      <c r="X2841" s="101">
        <f>_xll.qlCalendarAdvance(Calendar,X2840,W2841,"f",FALSE)</f>
        <v>59238</v>
      </c>
      <c r="Y2841" s="104">
        <f>_xll.qlCalendarAdvance(Calendar,X2841,NDays&amp;"D")</f>
        <v>59240</v>
      </c>
      <c r="Z2841" s="105" t="e">
        <v>#N/A</v>
      </c>
      <c r="AA2841" s="102" t="e">
        <v>#N/A</v>
      </c>
    </row>
    <row r="2842" spans="19:27" x14ac:dyDescent="0.2">
      <c r="S2842" s="61"/>
      <c r="T2842" s="82"/>
      <c r="W2842" s="103" t="str">
        <f t="shared" si="53"/>
        <v>1w</v>
      </c>
      <c r="X2842" s="101">
        <f>_xll.qlCalendarAdvance(Calendar,X2841,W2842,"f",FALSE)</f>
        <v>59245</v>
      </c>
      <c r="Y2842" s="104">
        <f>_xll.qlCalendarAdvance(Calendar,X2842,NDays&amp;"D")</f>
        <v>59247</v>
      </c>
      <c r="Z2842" s="105" t="e">
        <v>#N/A</v>
      </c>
      <c r="AA2842" s="102" t="e">
        <v>#N/A</v>
      </c>
    </row>
    <row r="2843" spans="19:27" x14ac:dyDescent="0.2">
      <c r="S2843" s="61"/>
      <c r="T2843" s="82"/>
      <c r="W2843" s="103" t="str">
        <f t="shared" si="53"/>
        <v>1w</v>
      </c>
      <c r="X2843" s="101">
        <f>_xll.qlCalendarAdvance(Calendar,X2842,W2843,"f",FALSE)</f>
        <v>59252</v>
      </c>
      <c r="Y2843" s="104">
        <f>_xll.qlCalendarAdvance(Calendar,X2843,NDays&amp;"D")</f>
        <v>59258</v>
      </c>
      <c r="Z2843" s="105" t="e">
        <v>#N/A</v>
      </c>
      <c r="AA2843" s="102" t="e">
        <v>#N/A</v>
      </c>
    </row>
    <row r="2844" spans="19:27" x14ac:dyDescent="0.2">
      <c r="S2844" s="61"/>
      <c r="T2844" s="82"/>
      <c r="W2844" s="103" t="str">
        <f t="shared" si="53"/>
        <v>1w</v>
      </c>
      <c r="X2844" s="101">
        <f>_xll.qlCalendarAdvance(Calendar,X2843,W2844,"f",FALSE)</f>
        <v>59259</v>
      </c>
      <c r="Y2844" s="104">
        <f>_xll.qlCalendarAdvance(Calendar,X2844,NDays&amp;"D")</f>
        <v>59261</v>
      </c>
      <c r="Z2844" s="105" t="e">
        <v>#N/A</v>
      </c>
      <c r="AA2844" s="102" t="e">
        <v>#N/A</v>
      </c>
    </row>
    <row r="2845" spans="19:27" x14ac:dyDescent="0.2">
      <c r="S2845" s="61"/>
      <c r="T2845" s="82"/>
      <c r="W2845" s="103" t="str">
        <f t="shared" si="53"/>
        <v>1w</v>
      </c>
      <c r="X2845" s="101">
        <f>_xll.qlCalendarAdvance(Calendar,X2844,W2845,"f",FALSE)</f>
        <v>59266</v>
      </c>
      <c r="Y2845" s="104">
        <f>_xll.qlCalendarAdvance(Calendar,X2845,NDays&amp;"D")</f>
        <v>59268</v>
      </c>
      <c r="Z2845" s="105" t="e">
        <v>#N/A</v>
      </c>
      <c r="AA2845" s="102" t="e">
        <v>#N/A</v>
      </c>
    </row>
    <row r="2846" spans="19:27" x14ac:dyDescent="0.2">
      <c r="S2846" s="61"/>
      <c r="T2846" s="82"/>
      <c r="W2846" s="103" t="str">
        <f t="shared" si="53"/>
        <v>1w</v>
      </c>
      <c r="X2846" s="101">
        <f>_xll.qlCalendarAdvance(Calendar,X2845,W2846,"f",FALSE)</f>
        <v>59273</v>
      </c>
      <c r="Y2846" s="104">
        <f>_xll.qlCalendarAdvance(Calendar,X2846,NDays&amp;"D")</f>
        <v>59275</v>
      </c>
      <c r="Z2846" s="105" t="e">
        <v>#N/A</v>
      </c>
      <c r="AA2846" s="102" t="e">
        <v>#N/A</v>
      </c>
    </row>
    <row r="2847" spans="19:27" x14ac:dyDescent="0.2">
      <c r="S2847" s="61"/>
      <c r="T2847" s="82"/>
      <c r="W2847" s="103" t="str">
        <f t="shared" si="53"/>
        <v>1w</v>
      </c>
      <c r="X2847" s="101">
        <f>_xll.qlCalendarAdvance(Calendar,X2846,W2847,"f",FALSE)</f>
        <v>59280</v>
      </c>
      <c r="Y2847" s="104">
        <f>_xll.qlCalendarAdvance(Calendar,X2847,NDays&amp;"D")</f>
        <v>59282</v>
      </c>
      <c r="Z2847" s="105" t="e">
        <v>#N/A</v>
      </c>
      <c r="AA2847" s="102" t="e">
        <v>#N/A</v>
      </c>
    </row>
    <row r="2848" spans="19:27" x14ac:dyDescent="0.2">
      <c r="S2848" s="61"/>
      <c r="T2848" s="82"/>
      <c r="W2848" s="103" t="str">
        <f t="shared" si="53"/>
        <v>1w</v>
      </c>
      <c r="X2848" s="101">
        <f>_xll.qlCalendarAdvance(Calendar,X2847,W2848,"f",FALSE)</f>
        <v>59287</v>
      </c>
      <c r="Y2848" s="104">
        <f>_xll.qlCalendarAdvance(Calendar,X2848,NDays&amp;"D")</f>
        <v>59289</v>
      </c>
      <c r="Z2848" s="105" t="e">
        <v>#N/A</v>
      </c>
      <c r="AA2848" s="102" t="e">
        <v>#N/A</v>
      </c>
    </row>
    <row r="2849" spans="19:27" x14ac:dyDescent="0.2">
      <c r="S2849" s="61"/>
      <c r="T2849" s="82"/>
      <c r="W2849" s="103" t="str">
        <f t="shared" si="53"/>
        <v>1w</v>
      </c>
      <c r="X2849" s="101">
        <f>_xll.qlCalendarAdvance(Calendar,X2848,W2849,"f",FALSE)</f>
        <v>59294</v>
      </c>
      <c r="Y2849" s="104">
        <f>_xll.qlCalendarAdvance(Calendar,X2849,NDays&amp;"D")</f>
        <v>59299</v>
      </c>
      <c r="Z2849" s="105" t="e">
        <v>#N/A</v>
      </c>
      <c r="AA2849" s="102" t="e">
        <v>#N/A</v>
      </c>
    </row>
    <row r="2850" spans="19:27" x14ac:dyDescent="0.2">
      <c r="S2850" s="61"/>
      <c r="T2850" s="82"/>
      <c r="W2850" s="103" t="str">
        <f t="shared" si="53"/>
        <v>1w</v>
      </c>
      <c r="X2850" s="101">
        <f>_xll.qlCalendarAdvance(Calendar,X2849,W2850,"f",FALSE)</f>
        <v>59301</v>
      </c>
      <c r="Y2850" s="104">
        <f>_xll.qlCalendarAdvance(Calendar,X2850,NDays&amp;"D")</f>
        <v>59303</v>
      </c>
      <c r="Z2850" s="105" t="e">
        <v>#N/A</v>
      </c>
      <c r="AA2850" s="102" t="e">
        <v>#N/A</v>
      </c>
    </row>
    <row r="2851" spans="19:27" x14ac:dyDescent="0.2">
      <c r="S2851" s="61"/>
      <c r="T2851" s="82"/>
      <c r="W2851" s="103" t="str">
        <f t="shared" si="53"/>
        <v>1w</v>
      </c>
      <c r="X2851" s="101">
        <f>_xll.qlCalendarAdvance(Calendar,X2850,W2851,"f",FALSE)</f>
        <v>59308</v>
      </c>
      <c r="Y2851" s="104">
        <f>_xll.qlCalendarAdvance(Calendar,X2851,NDays&amp;"D")</f>
        <v>59310</v>
      </c>
      <c r="Z2851" s="105" t="e">
        <v>#N/A</v>
      </c>
      <c r="AA2851" s="102" t="e">
        <v>#N/A</v>
      </c>
    </row>
    <row r="2852" spans="19:27" x14ac:dyDescent="0.2">
      <c r="S2852" s="61"/>
      <c r="T2852" s="82"/>
      <c r="W2852" s="103" t="str">
        <f t="shared" si="53"/>
        <v>1w</v>
      </c>
      <c r="X2852" s="101">
        <f>_xll.qlCalendarAdvance(Calendar,X2851,W2852,"f",FALSE)</f>
        <v>59315</v>
      </c>
      <c r="Y2852" s="104">
        <f>_xll.qlCalendarAdvance(Calendar,X2852,NDays&amp;"D")</f>
        <v>59317</v>
      </c>
      <c r="Z2852" s="105" t="e">
        <v>#N/A</v>
      </c>
      <c r="AA2852" s="102" t="e">
        <v>#N/A</v>
      </c>
    </row>
    <row r="2853" spans="19:27" x14ac:dyDescent="0.2">
      <c r="S2853" s="61"/>
      <c r="T2853" s="82"/>
      <c r="W2853" s="103" t="str">
        <f t="shared" si="53"/>
        <v>1w</v>
      </c>
      <c r="X2853" s="101">
        <f>_xll.qlCalendarAdvance(Calendar,X2852,W2853,"f",FALSE)</f>
        <v>59322</v>
      </c>
      <c r="Y2853" s="104">
        <f>_xll.qlCalendarAdvance(Calendar,X2853,NDays&amp;"D")</f>
        <v>59324</v>
      </c>
      <c r="Z2853" s="105" t="e">
        <v>#N/A</v>
      </c>
      <c r="AA2853" s="102" t="e">
        <v>#N/A</v>
      </c>
    </row>
    <row r="2854" spans="19:27" x14ac:dyDescent="0.2">
      <c r="S2854" s="61"/>
      <c r="T2854" s="82"/>
      <c r="W2854" s="103" t="str">
        <f t="shared" si="53"/>
        <v>1w</v>
      </c>
      <c r="X2854" s="101">
        <f>_xll.qlCalendarAdvance(Calendar,X2853,W2854,"f",FALSE)</f>
        <v>59329</v>
      </c>
      <c r="Y2854" s="104">
        <f>_xll.qlCalendarAdvance(Calendar,X2854,NDays&amp;"D")</f>
        <v>59331</v>
      </c>
      <c r="Z2854" s="105" t="e">
        <v>#N/A</v>
      </c>
      <c r="AA2854" s="102" t="e">
        <v>#N/A</v>
      </c>
    </row>
    <row r="2855" spans="19:27" x14ac:dyDescent="0.2">
      <c r="S2855" s="61"/>
      <c r="T2855" s="82"/>
      <c r="W2855" s="103" t="str">
        <f t="shared" si="53"/>
        <v>1w</v>
      </c>
      <c r="X2855" s="101">
        <f>_xll.qlCalendarAdvance(Calendar,X2854,W2855,"f",FALSE)</f>
        <v>59336</v>
      </c>
      <c r="Y2855" s="104">
        <f>_xll.qlCalendarAdvance(Calendar,X2855,NDays&amp;"D")</f>
        <v>59338</v>
      </c>
      <c r="Z2855" s="105" t="e">
        <v>#N/A</v>
      </c>
      <c r="AA2855" s="102" t="e">
        <v>#N/A</v>
      </c>
    </row>
    <row r="2856" spans="19:27" x14ac:dyDescent="0.2">
      <c r="S2856" s="61"/>
      <c r="T2856" s="82"/>
      <c r="W2856" s="103" t="str">
        <f t="shared" si="53"/>
        <v>1w</v>
      </c>
      <c r="X2856" s="101">
        <f>_xll.qlCalendarAdvance(Calendar,X2855,W2856,"f",FALSE)</f>
        <v>59343</v>
      </c>
      <c r="Y2856" s="104">
        <f>_xll.qlCalendarAdvance(Calendar,X2856,NDays&amp;"D")</f>
        <v>59348</v>
      </c>
      <c r="Z2856" s="105" t="e">
        <v>#N/A</v>
      </c>
      <c r="AA2856" s="102" t="e">
        <v>#N/A</v>
      </c>
    </row>
    <row r="2857" spans="19:27" x14ac:dyDescent="0.2">
      <c r="S2857" s="61"/>
      <c r="T2857" s="82"/>
      <c r="W2857" s="103" t="str">
        <f t="shared" si="53"/>
        <v>1w</v>
      </c>
      <c r="X2857" s="101">
        <f>_xll.qlCalendarAdvance(Calendar,X2856,W2857,"f",FALSE)</f>
        <v>59350</v>
      </c>
      <c r="Y2857" s="104">
        <f>_xll.qlCalendarAdvance(Calendar,X2857,NDays&amp;"D")</f>
        <v>59352</v>
      </c>
      <c r="Z2857" s="105" t="e">
        <v>#N/A</v>
      </c>
      <c r="AA2857" s="102" t="e">
        <v>#N/A</v>
      </c>
    </row>
    <row r="2858" spans="19:27" x14ac:dyDescent="0.2">
      <c r="S2858" s="61"/>
      <c r="T2858" s="82"/>
      <c r="W2858" s="103" t="str">
        <f t="shared" si="53"/>
        <v>1w</v>
      </c>
      <c r="X2858" s="101">
        <f>_xll.qlCalendarAdvance(Calendar,X2857,W2858,"f",FALSE)</f>
        <v>59357</v>
      </c>
      <c r="Y2858" s="104">
        <f>_xll.qlCalendarAdvance(Calendar,X2858,NDays&amp;"D")</f>
        <v>59359</v>
      </c>
      <c r="Z2858" s="105" t="e">
        <v>#N/A</v>
      </c>
      <c r="AA2858" s="102" t="e">
        <v>#N/A</v>
      </c>
    </row>
    <row r="2859" spans="19:27" x14ac:dyDescent="0.2">
      <c r="S2859" s="61"/>
      <c r="T2859" s="82"/>
      <c r="W2859" s="103" t="str">
        <f t="shared" si="53"/>
        <v>1w</v>
      </c>
      <c r="X2859" s="101">
        <f>_xll.qlCalendarAdvance(Calendar,X2858,W2859,"f",FALSE)</f>
        <v>59364</v>
      </c>
      <c r="Y2859" s="104">
        <f>_xll.qlCalendarAdvance(Calendar,X2859,NDays&amp;"D")</f>
        <v>59366</v>
      </c>
      <c r="Z2859" s="105" t="e">
        <v>#N/A</v>
      </c>
      <c r="AA2859" s="102" t="e">
        <v>#N/A</v>
      </c>
    </row>
    <row r="2860" spans="19:27" x14ac:dyDescent="0.2">
      <c r="S2860" s="61"/>
      <c r="T2860" s="82"/>
      <c r="W2860" s="103" t="str">
        <f t="shared" si="53"/>
        <v>1w</v>
      </c>
      <c r="X2860" s="101">
        <f>_xll.qlCalendarAdvance(Calendar,X2859,W2860,"f",FALSE)</f>
        <v>59371</v>
      </c>
      <c r="Y2860" s="104">
        <f>_xll.qlCalendarAdvance(Calendar,X2860,NDays&amp;"D")</f>
        <v>59373</v>
      </c>
      <c r="Z2860" s="105" t="e">
        <v>#N/A</v>
      </c>
      <c r="AA2860" s="102" t="e">
        <v>#N/A</v>
      </c>
    </row>
    <row r="2861" spans="19:27" x14ac:dyDescent="0.2">
      <c r="S2861" s="61"/>
      <c r="T2861" s="82"/>
      <c r="W2861" s="103" t="str">
        <f t="shared" si="53"/>
        <v>1w</v>
      </c>
      <c r="X2861" s="101">
        <f>_xll.qlCalendarAdvance(Calendar,X2860,W2861,"f",FALSE)</f>
        <v>59378</v>
      </c>
      <c r="Y2861" s="104">
        <f>_xll.qlCalendarAdvance(Calendar,X2861,NDays&amp;"D")</f>
        <v>59380</v>
      </c>
      <c r="Z2861" s="105" t="e">
        <v>#N/A</v>
      </c>
      <c r="AA2861" s="102" t="e">
        <v>#N/A</v>
      </c>
    </row>
    <row r="2862" spans="19:27" x14ac:dyDescent="0.2">
      <c r="S2862" s="61"/>
      <c r="T2862" s="82"/>
      <c r="W2862" s="103" t="str">
        <f t="shared" si="53"/>
        <v>1w</v>
      </c>
      <c r="X2862" s="101">
        <f>_xll.qlCalendarAdvance(Calendar,X2861,W2862,"f",FALSE)</f>
        <v>59385</v>
      </c>
      <c r="Y2862" s="104">
        <f>_xll.qlCalendarAdvance(Calendar,X2862,NDays&amp;"D")</f>
        <v>59387</v>
      </c>
      <c r="Z2862" s="105" t="e">
        <v>#N/A</v>
      </c>
      <c r="AA2862" s="102" t="e">
        <v>#N/A</v>
      </c>
    </row>
    <row r="2863" spans="19:27" x14ac:dyDescent="0.2">
      <c r="S2863" s="61"/>
      <c r="T2863" s="82"/>
      <c r="W2863" s="103" t="str">
        <f t="shared" si="53"/>
        <v>1w</v>
      </c>
      <c r="X2863" s="101">
        <f>_xll.qlCalendarAdvance(Calendar,X2862,W2863,"f",FALSE)</f>
        <v>59392</v>
      </c>
      <c r="Y2863" s="104">
        <f>_xll.qlCalendarAdvance(Calendar,X2863,NDays&amp;"D")</f>
        <v>59394</v>
      </c>
      <c r="Z2863" s="105" t="e">
        <v>#N/A</v>
      </c>
      <c r="AA2863" s="102" t="e">
        <v>#N/A</v>
      </c>
    </row>
    <row r="2864" spans="19:27" x14ac:dyDescent="0.2">
      <c r="S2864" s="61"/>
      <c r="T2864" s="82"/>
      <c r="W2864" s="103" t="str">
        <f t="shared" si="53"/>
        <v>1w</v>
      </c>
      <c r="X2864" s="101">
        <f>_xll.qlCalendarAdvance(Calendar,X2863,W2864,"f",FALSE)</f>
        <v>59399</v>
      </c>
      <c r="Y2864" s="104">
        <f>_xll.qlCalendarAdvance(Calendar,X2864,NDays&amp;"D")</f>
        <v>59401</v>
      </c>
      <c r="Z2864" s="105" t="e">
        <v>#N/A</v>
      </c>
      <c r="AA2864" s="102" t="e">
        <v>#N/A</v>
      </c>
    </row>
    <row r="2865" spans="19:27" x14ac:dyDescent="0.2">
      <c r="S2865" s="61"/>
      <c r="T2865" s="82"/>
      <c r="W2865" s="103" t="str">
        <f t="shared" si="53"/>
        <v>1w</v>
      </c>
      <c r="X2865" s="101">
        <f>_xll.qlCalendarAdvance(Calendar,X2864,W2865,"f",FALSE)</f>
        <v>59406</v>
      </c>
      <c r="Y2865" s="104">
        <f>_xll.qlCalendarAdvance(Calendar,X2865,NDays&amp;"D")</f>
        <v>59408</v>
      </c>
      <c r="Z2865" s="105" t="e">
        <v>#N/A</v>
      </c>
      <c r="AA2865" s="102" t="e">
        <v>#N/A</v>
      </c>
    </row>
    <row r="2866" spans="19:27" x14ac:dyDescent="0.2">
      <c r="S2866" s="61"/>
      <c r="T2866" s="82"/>
      <c r="W2866" s="103" t="str">
        <f t="shared" si="53"/>
        <v>1w</v>
      </c>
      <c r="X2866" s="101">
        <f>_xll.qlCalendarAdvance(Calendar,X2865,W2866,"f",FALSE)</f>
        <v>59413</v>
      </c>
      <c r="Y2866" s="104">
        <f>_xll.qlCalendarAdvance(Calendar,X2866,NDays&amp;"D")</f>
        <v>59415</v>
      </c>
      <c r="Z2866" s="105" t="e">
        <v>#N/A</v>
      </c>
      <c r="AA2866" s="102" t="e">
        <v>#N/A</v>
      </c>
    </row>
    <row r="2867" spans="19:27" x14ac:dyDescent="0.2">
      <c r="S2867" s="61"/>
      <c r="T2867" s="82"/>
      <c r="W2867" s="103" t="str">
        <f t="shared" si="53"/>
        <v>1w</v>
      </c>
      <c r="X2867" s="101">
        <f>_xll.qlCalendarAdvance(Calendar,X2866,W2867,"f",FALSE)</f>
        <v>59420</v>
      </c>
      <c r="Y2867" s="104">
        <f>_xll.qlCalendarAdvance(Calendar,X2867,NDays&amp;"D")</f>
        <v>59422</v>
      </c>
      <c r="Z2867" s="105" t="e">
        <v>#N/A</v>
      </c>
      <c r="AA2867" s="102" t="e">
        <v>#N/A</v>
      </c>
    </row>
    <row r="2868" spans="19:27" x14ac:dyDescent="0.2">
      <c r="S2868" s="61"/>
      <c r="T2868" s="82"/>
      <c r="W2868" s="103" t="str">
        <f t="shared" si="53"/>
        <v>1w</v>
      </c>
      <c r="X2868" s="101">
        <f>_xll.qlCalendarAdvance(Calendar,X2867,W2868,"f",FALSE)</f>
        <v>59427</v>
      </c>
      <c r="Y2868" s="104">
        <f>_xll.qlCalendarAdvance(Calendar,X2868,NDays&amp;"D")</f>
        <v>59429</v>
      </c>
      <c r="Z2868" s="105" t="e">
        <v>#N/A</v>
      </c>
      <c r="AA2868" s="102" t="e">
        <v>#N/A</v>
      </c>
    </row>
    <row r="2869" spans="19:27" x14ac:dyDescent="0.2">
      <c r="S2869" s="61"/>
      <c r="T2869" s="82"/>
      <c r="W2869" s="103" t="str">
        <f t="shared" si="53"/>
        <v>1w</v>
      </c>
      <c r="X2869" s="101">
        <f>_xll.qlCalendarAdvance(Calendar,X2868,W2869,"f",FALSE)</f>
        <v>59434</v>
      </c>
      <c r="Y2869" s="104">
        <f>_xll.qlCalendarAdvance(Calendar,X2869,NDays&amp;"D")</f>
        <v>59436</v>
      </c>
      <c r="Z2869" s="105" t="e">
        <v>#N/A</v>
      </c>
      <c r="AA2869" s="102" t="e">
        <v>#N/A</v>
      </c>
    </row>
    <row r="2870" spans="19:27" x14ac:dyDescent="0.2">
      <c r="S2870" s="61"/>
      <c r="T2870" s="82"/>
      <c r="W2870" s="103" t="str">
        <f t="shared" si="53"/>
        <v>1w</v>
      </c>
      <c r="X2870" s="101">
        <f>_xll.qlCalendarAdvance(Calendar,X2869,W2870,"f",FALSE)</f>
        <v>59441</v>
      </c>
      <c r="Y2870" s="104">
        <f>_xll.qlCalendarAdvance(Calendar,X2870,NDays&amp;"D")</f>
        <v>59443</v>
      </c>
      <c r="Z2870" s="105" t="e">
        <v>#N/A</v>
      </c>
      <c r="AA2870" s="102" t="e">
        <v>#N/A</v>
      </c>
    </row>
    <row r="2871" spans="19:27" x14ac:dyDescent="0.2">
      <c r="S2871" s="61"/>
      <c r="T2871" s="82"/>
      <c r="W2871" s="103" t="str">
        <f t="shared" si="53"/>
        <v>1w</v>
      </c>
      <c r="X2871" s="101">
        <f>_xll.qlCalendarAdvance(Calendar,X2870,W2871,"f",FALSE)</f>
        <v>59448</v>
      </c>
      <c r="Y2871" s="104">
        <f>_xll.qlCalendarAdvance(Calendar,X2871,NDays&amp;"D")</f>
        <v>59450</v>
      </c>
      <c r="Z2871" s="105" t="e">
        <v>#N/A</v>
      </c>
      <c r="AA2871" s="102" t="e">
        <v>#N/A</v>
      </c>
    </row>
    <row r="2872" spans="19:27" x14ac:dyDescent="0.2">
      <c r="S2872" s="61"/>
      <c r="T2872" s="82"/>
      <c r="W2872" s="103" t="str">
        <f t="shared" si="53"/>
        <v>1w</v>
      </c>
      <c r="X2872" s="101">
        <f>_xll.qlCalendarAdvance(Calendar,X2871,W2872,"f",FALSE)</f>
        <v>59455</v>
      </c>
      <c r="Y2872" s="104">
        <f>_xll.qlCalendarAdvance(Calendar,X2872,NDays&amp;"D")</f>
        <v>59457</v>
      </c>
      <c r="Z2872" s="105" t="e">
        <v>#N/A</v>
      </c>
      <c r="AA2872" s="102" t="e">
        <v>#N/A</v>
      </c>
    </row>
    <row r="2873" spans="19:27" x14ac:dyDescent="0.2">
      <c r="S2873" s="61"/>
      <c r="T2873" s="82"/>
      <c r="W2873" s="103" t="str">
        <f t="shared" si="53"/>
        <v>1w</v>
      </c>
      <c r="X2873" s="101">
        <f>_xll.qlCalendarAdvance(Calendar,X2872,W2873,"f",FALSE)</f>
        <v>59462</v>
      </c>
      <c r="Y2873" s="104">
        <f>_xll.qlCalendarAdvance(Calendar,X2873,NDays&amp;"D")</f>
        <v>59464</v>
      </c>
      <c r="Z2873" s="105" t="e">
        <v>#N/A</v>
      </c>
      <c r="AA2873" s="102" t="e">
        <v>#N/A</v>
      </c>
    </row>
    <row r="2874" spans="19:27" x14ac:dyDescent="0.2">
      <c r="S2874" s="61"/>
      <c r="T2874" s="82"/>
      <c r="W2874" s="103" t="str">
        <f t="shared" si="53"/>
        <v>1w</v>
      </c>
      <c r="X2874" s="101">
        <f>_xll.qlCalendarAdvance(Calendar,X2873,W2874,"f",FALSE)</f>
        <v>59469</v>
      </c>
      <c r="Y2874" s="104">
        <f>_xll.qlCalendarAdvance(Calendar,X2874,NDays&amp;"D")</f>
        <v>59471</v>
      </c>
      <c r="Z2874" s="105" t="e">
        <v>#N/A</v>
      </c>
      <c r="AA2874" s="102" t="e">
        <v>#N/A</v>
      </c>
    </row>
    <row r="2875" spans="19:27" x14ac:dyDescent="0.2">
      <c r="S2875" s="61"/>
      <c r="T2875" s="82"/>
      <c r="W2875" s="103" t="str">
        <f t="shared" si="53"/>
        <v>1w</v>
      </c>
      <c r="X2875" s="101">
        <f>_xll.qlCalendarAdvance(Calendar,X2874,W2875,"f",FALSE)</f>
        <v>59476</v>
      </c>
      <c r="Y2875" s="104">
        <f>_xll.qlCalendarAdvance(Calendar,X2875,NDays&amp;"D")</f>
        <v>59478</v>
      </c>
      <c r="Z2875" s="105" t="e">
        <v>#N/A</v>
      </c>
      <c r="AA2875" s="102" t="e">
        <v>#N/A</v>
      </c>
    </row>
    <row r="2876" spans="19:27" x14ac:dyDescent="0.2">
      <c r="S2876" s="61"/>
      <c r="T2876" s="82"/>
      <c r="W2876" s="103" t="str">
        <f t="shared" si="53"/>
        <v>1w</v>
      </c>
      <c r="X2876" s="101">
        <f>_xll.qlCalendarAdvance(Calendar,X2875,W2876,"f",FALSE)</f>
        <v>59483</v>
      </c>
      <c r="Y2876" s="104">
        <f>_xll.qlCalendarAdvance(Calendar,X2876,NDays&amp;"D")</f>
        <v>59485</v>
      </c>
      <c r="Z2876" s="105" t="e">
        <v>#N/A</v>
      </c>
      <c r="AA2876" s="102" t="e">
        <v>#N/A</v>
      </c>
    </row>
    <row r="2877" spans="19:27" x14ac:dyDescent="0.2">
      <c r="S2877" s="61"/>
      <c r="T2877" s="82"/>
      <c r="W2877" s="103" t="str">
        <f t="shared" si="53"/>
        <v>1w</v>
      </c>
      <c r="X2877" s="101">
        <f>_xll.qlCalendarAdvance(Calendar,X2876,W2877,"f",FALSE)</f>
        <v>59490</v>
      </c>
      <c r="Y2877" s="104">
        <f>_xll.qlCalendarAdvance(Calendar,X2877,NDays&amp;"D")</f>
        <v>59492</v>
      </c>
      <c r="Z2877" s="105" t="e">
        <v>#N/A</v>
      </c>
      <c r="AA2877" s="102" t="e">
        <v>#N/A</v>
      </c>
    </row>
    <row r="2878" spans="19:27" x14ac:dyDescent="0.2">
      <c r="S2878" s="61"/>
      <c r="T2878" s="82"/>
      <c r="W2878" s="103" t="str">
        <f t="shared" si="53"/>
        <v>1w</v>
      </c>
      <c r="X2878" s="101">
        <f>_xll.qlCalendarAdvance(Calendar,X2877,W2878,"f",FALSE)</f>
        <v>59497</v>
      </c>
      <c r="Y2878" s="104">
        <f>_xll.qlCalendarAdvance(Calendar,X2878,NDays&amp;"D")</f>
        <v>59499</v>
      </c>
      <c r="Z2878" s="105" t="e">
        <v>#N/A</v>
      </c>
      <c r="AA2878" s="102" t="e">
        <v>#N/A</v>
      </c>
    </row>
    <row r="2879" spans="19:27" x14ac:dyDescent="0.2">
      <c r="S2879" s="61"/>
      <c r="T2879" s="82"/>
      <c r="W2879" s="103" t="str">
        <f t="shared" si="53"/>
        <v>1w</v>
      </c>
      <c r="X2879" s="101">
        <f>_xll.qlCalendarAdvance(Calendar,X2878,W2879,"f",FALSE)</f>
        <v>59504</v>
      </c>
      <c r="Y2879" s="104">
        <f>_xll.qlCalendarAdvance(Calendar,X2879,NDays&amp;"D")</f>
        <v>59506</v>
      </c>
      <c r="Z2879" s="105" t="e">
        <v>#N/A</v>
      </c>
      <c r="AA2879" s="102" t="e">
        <v>#N/A</v>
      </c>
    </row>
    <row r="2880" spans="19:27" x14ac:dyDescent="0.2">
      <c r="S2880" s="61"/>
      <c r="T2880" s="82"/>
      <c r="W2880" s="103" t="str">
        <f t="shared" si="53"/>
        <v>1w</v>
      </c>
      <c r="X2880" s="101">
        <f>_xll.qlCalendarAdvance(Calendar,X2879,W2880,"f",FALSE)</f>
        <v>59511</v>
      </c>
      <c r="Y2880" s="104">
        <f>_xll.qlCalendarAdvance(Calendar,X2880,NDays&amp;"D")</f>
        <v>59513</v>
      </c>
      <c r="Z2880" s="105" t="e">
        <v>#N/A</v>
      </c>
      <c r="AA2880" s="102" t="e">
        <v>#N/A</v>
      </c>
    </row>
    <row r="2881" spans="19:27" x14ac:dyDescent="0.2">
      <c r="S2881" s="61"/>
      <c r="T2881" s="82"/>
      <c r="W2881" s="103" t="str">
        <f t="shared" si="53"/>
        <v>1w</v>
      </c>
      <c r="X2881" s="101">
        <f>_xll.qlCalendarAdvance(Calendar,X2880,W2881,"f",FALSE)</f>
        <v>59518</v>
      </c>
      <c r="Y2881" s="104">
        <f>_xll.qlCalendarAdvance(Calendar,X2881,NDays&amp;"D")</f>
        <v>59520</v>
      </c>
      <c r="Z2881" s="105" t="e">
        <v>#N/A</v>
      </c>
      <c r="AA2881" s="102" t="e">
        <v>#N/A</v>
      </c>
    </row>
    <row r="2882" spans="19:27" x14ac:dyDescent="0.2">
      <c r="S2882" s="61"/>
      <c r="T2882" s="82"/>
      <c r="W2882" s="103" t="str">
        <f t="shared" si="53"/>
        <v>1w</v>
      </c>
      <c r="X2882" s="101">
        <f>_xll.qlCalendarAdvance(Calendar,X2881,W2882,"f",FALSE)</f>
        <v>59525</v>
      </c>
      <c r="Y2882" s="104">
        <f>_xll.qlCalendarAdvance(Calendar,X2882,NDays&amp;"D")</f>
        <v>59527</v>
      </c>
      <c r="Z2882" s="105" t="e">
        <v>#N/A</v>
      </c>
      <c r="AA2882" s="102" t="e">
        <v>#N/A</v>
      </c>
    </row>
    <row r="2883" spans="19:27" x14ac:dyDescent="0.2">
      <c r="S2883" s="61"/>
      <c r="T2883" s="82"/>
      <c r="W2883" s="103" t="str">
        <f t="shared" si="53"/>
        <v>1w</v>
      </c>
      <c r="X2883" s="101">
        <f>_xll.qlCalendarAdvance(Calendar,X2882,W2883,"f",FALSE)</f>
        <v>59532</v>
      </c>
      <c r="Y2883" s="104">
        <f>_xll.qlCalendarAdvance(Calendar,X2883,NDays&amp;"D")</f>
        <v>59534</v>
      </c>
      <c r="Z2883" s="105" t="e">
        <v>#N/A</v>
      </c>
      <c r="AA2883" s="102" t="e">
        <v>#N/A</v>
      </c>
    </row>
    <row r="2884" spans="19:27" x14ac:dyDescent="0.2">
      <c r="S2884" s="61"/>
      <c r="T2884" s="82"/>
      <c r="W2884" s="103" t="str">
        <f t="shared" si="53"/>
        <v>1w</v>
      </c>
      <c r="X2884" s="101">
        <f>_xll.qlCalendarAdvance(Calendar,X2883,W2884,"f",FALSE)</f>
        <v>59539</v>
      </c>
      <c r="Y2884" s="104">
        <f>_xll.qlCalendarAdvance(Calendar,X2884,NDays&amp;"D")</f>
        <v>59541</v>
      </c>
      <c r="Z2884" s="105" t="e">
        <v>#N/A</v>
      </c>
      <c r="AA2884" s="102" t="e">
        <v>#N/A</v>
      </c>
    </row>
    <row r="2885" spans="19:27" x14ac:dyDescent="0.2">
      <c r="S2885" s="61"/>
      <c r="T2885" s="82"/>
      <c r="W2885" s="103" t="str">
        <f t="shared" si="53"/>
        <v>1w</v>
      </c>
      <c r="X2885" s="101">
        <f>_xll.qlCalendarAdvance(Calendar,X2884,W2885,"f",FALSE)</f>
        <v>59546</v>
      </c>
      <c r="Y2885" s="104">
        <f>_xll.qlCalendarAdvance(Calendar,X2885,NDays&amp;"D")</f>
        <v>59548</v>
      </c>
      <c r="Z2885" s="105" t="e">
        <v>#N/A</v>
      </c>
      <c r="AA2885" s="102" t="e">
        <v>#N/A</v>
      </c>
    </row>
    <row r="2886" spans="19:27" x14ac:dyDescent="0.2">
      <c r="S2886" s="61"/>
      <c r="T2886" s="82"/>
      <c r="W2886" s="103" t="str">
        <f t="shared" si="53"/>
        <v>1w</v>
      </c>
      <c r="X2886" s="101">
        <f>_xll.qlCalendarAdvance(Calendar,X2885,W2886,"f",FALSE)</f>
        <v>59553</v>
      </c>
      <c r="Y2886" s="104">
        <f>_xll.qlCalendarAdvance(Calendar,X2886,NDays&amp;"D")</f>
        <v>59555</v>
      </c>
      <c r="Z2886" s="105" t="e">
        <v>#N/A</v>
      </c>
      <c r="AA2886" s="102" t="e">
        <v>#N/A</v>
      </c>
    </row>
    <row r="2887" spans="19:27" x14ac:dyDescent="0.2">
      <c r="S2887" s="61"/>
      <c r="T2887" s="82"/>
      <c r="W2887" s="103" t="str">
        <f t="shared" si="53"/>
        <v>1w</v>
      </c>
      <c r="X2887" s="101">
        <f>_xll.qlCalendarAdvance(Calendar,X2886,W2887,"f",FALSE)</f>
        <v>59560</v>
      </c>
      <c r="Y2887" s="104">
        <f>_xll.qlCalendarAdvance(Calendar,X2887,NDays&amp;"D")</f>
        <v>59562</v>
      </c>
      <c r="Z2887" s="105" t="e">
        <v>#N/A</v>
      </c>
      <c r="AA2887" s="102" t="e">
        <v>#N/A</v>
      </c>
    </row>
    <row r="2888" spans="19:27" x14ac:dyDescent="0.2">
      <c r="S2888" s="61"/>
      <c r="T2888" s="82"/>
      <c r="W2888" s="103" t="str">
        <f t="shared" si="53"/>
        <v>1w</v>
      </c>
      <c r="X2888" s="101">
        <f>_xll.qlCalendarAdvance(Calendar,X2887,W2888,"f",FALSE)</f>
        <v>59567</v>
      </c>
      <c r="Y2888" s="104">
        <f>_xll.qlCalendarAdvance(Calendar,X2888,NDays&amp;"D")</f>
        <v>59569</v>
      </c>
      <c r="Z2888" s="105" t="e">
        <v>#N/A</v>
      </c>
      <c r="AA2888" s="102" t="e">
        <v>#N/A</v>
      </c>
    </row>
    <row r="2889" spans="19:27" x14ac:dyDescent="0.2">
      <c r="S2889" s="61"/>
      <c r="T2889" s="82"/>
      <c r="W2889" s="103" t="str">
        <f t="shared" si="53"/>
        <v>1w</v>
      </c>
      <c r="X2889" s="101">
        <f>_xll.qlCalendarAdvance(Calendar,X2888,W2889,"f",FALSE)</f>
        <v>59574</v>
      </c>
      <c r="Y2889" s="104">
        <f>_xll.qlCalendarAdvance(Calendar,X2889,NDays&amp;"D")</f>
        <v>59576</v>
      </c>
      <c r="Z2889" s="105" t="e">
        <v>#N/A</v>
      </c>
      <c r="AA2889" s="102" t="e">
        <v>#N/A</v>
      </c>
    </row>
    <row r="2890" spans="19:27" x14ac:dyDescent="0.2">
      <c r="S2890" s="61"/>
      <c r="T2890" s="82"/>
      <c r="W2890" s="103" t="str">
        <f t="shared" si="53"/>
        <v>1w</v>
      </c>
      <c r="X2890" s="101">
        <f>_xll.qlCalendarAdvance(Calendar,X2889,W2890,"f",FALSE)</f>
        <v>59581</v>
      </c>
      <c r="Y2890" s="104">
        <f>_xll.qlCalendarAdvance(Calendar,X2890,NDays&amp;"D")</f>
        <v>59583</v>
      </c>
      <c r="Z2890" s="105" t="e">
        <v>#N/A</v>
      </c>
      <c r="AA2890" s="102" t="e">
        <v>#N/A</v>
      </c>
    </row>
    <row r="2891" spans="19:27" x14ac:dyDescent="0.2">
      <c r="S2891" s="61"/>
      <c r="T2891" s="82"/>
      <c r="W2891" s="103" t="str">
        <f t="shared" si="53"/>
        <v>1w</v>
      </c>
      <c r="X2891" s="101">
        <f>_xll.qlCalendarAdvance(Calendar,X2890,W2891,"f",FALSE)</f>
        <v>59588</v>
      </c>
      <c r="Y2891" s="104">
        <f>_xll.qlCalendarAdvance(Calendar,X2891,NDays&amp;"D")</f>
        <v>59590</v>
      </c>
      <c r="Z2891" s="105" t="e">
        <v>#N/A</v>
      </c>
      <c r="AA2891" s="102" t="e">
        <v>#N/A</v>
      </c>
    </row>
    <row r="2892" spans="19:27" x14ac:dyDescent="0.2">
      <c r="S2892" s="61"/>
      <c r="T2892" s="82"/>
      <c r="W2892" s="103" t="str">
        <f t="shared" si="53"/>
        <v>1w</v>
      </c>
      <c r="X2892" s="101">
        <f>_xll.qlCalendarAdvance(Calendar,X2891,W2892,"f",FALSE)</f>
        <v>59595</v>
      </c>
      <c r="Y2892" s="104">
        <f>_xll.qlCalendarAdvance(Calendar,X2892,NDays&amp;"D")</f>
        <v>59597</v>
      </c>
      <c r="Z2892" s="105" t="e">
        <v>#N/A</v>
      </c>
      <c r="AA2892" s="102" t="e">
        <v>#N/A</v>
      </c>
    </row>
    <row r="2893" spans="19:27" x14ac:dyDescent="0.2">
      <c r="S2893" s="61"/>
      <c r="T2893" s="82"/>
      <c r="W2893" s="103" t="str">
        <f t="shared" si="53"/>
        <v>1w</v>
      </c>
      <c r="X2893" s="101">
        <f>_xll.qlCalendarAdvance(Calendar,X2892,W2893,"f",FALSE)</f>
        <v>59602</v>
      </c>
      <c r="Y2893" s="104">
        <f>_xll.qlCalendarAdvance(Calendar,X2893,NDays&amp;"D")</f>
        <v>59604</v>
      </c>
      <c r="Z2893" s="105" t="e">
        <v>#N/A</v>
      </c>
      <c r="AA2893" s="102" t="e">
        <v>#N/A</v>
      </c>
    </row>
    <row r="2894" spans="19:27" x14ac:dyDescent="0.2">
      <c r="S2894" s="61"/>
      <c r="T2894" s="82"/>
      <c r="W2894" s="103" t="str">
        <f t="shared" si="53"/>
        <v>1w</v>
      </c>
      <c r="X2894" s="101">
        <f>_xll.qlCalendarAdvance(Calendar,X2893,W2894,"f",FALSE)</f>
        <v>59609</v>
      </c>
      <c r="Y2894" s="104">
        <f>_xll.qlCalendarAdvance(Calendar,X2894,NDays&amp;"D")</f>
        <v>59611</v>
      </c>
      <c r="Z2894" s="105" t="e">
        <v>#N/A</v>
      </c>
      <c r="AA2894" s="102" t="e">
        <v>#N/A</v>
      </c>
    </row>
    <row r="2895" spans="19:27" x14ac:dyDescent="0.2">
      <c r="S2895" s="61"/>
      <c r="T2895" s="82"/>
      <c r="W2895" s="103" t="str">
        <f t="shared" si="53"/>
        <v>1w</v>
      </c>
      <c r="X2895" s="101">
        <f>_xll.qlCalendarAdvance(Calendar,X2894,W2895,"f",FALSE)</f>
        <v>59616</v>
      </c>
      <c r="Y2895" s="104">
        <f>_xll.qlCalendarAdvance(Calendar,X2895,NDays&amp;"D")</f>
        <v>59618</v>
      </c>
      <c r="Z2895" s="105" t="e">
        <v>#N/A</v>
      </c>
      <c r="AA2895" s="102" t="e">
        <v>#N/A</v>
      </c>
    </row>
    <row r="2896" spans="19:27" x14ac:dyDescent="0.2">
      <c r="S2896" s="61"/>
      <c r="T2896" s="82"/>
      <c r="W2896" s="103" t="str">
        <f t="shared" si="53"/>
        <v>1w</v>
      </c>
      <c r="X2896" s="101">
        <f>_xll.qlCalendarAdvance(Calendar,X2895,W2896,"f",FALSE)</f>
        <v>59623</v>
      </c>
      <c r="Y2896" s="104">
        <f>_xll.qlCalendarAdvance(Calendar,X2896,NDays&amp;"D")</f>
        <v>59625</v>
      </c>
      <c r="Z2896" s="105" t="e">
        <v>#N/A</v>
      </c>
      <c r="AA2896" s="102" t="e">
        <v>#N/A</v>
      </c>
    </row>
    <row r="2897" spans="19:27" x14ac:dyDescent="0.2">
      <c r="S2897" s="61"/>
      <c r="T2897" s="82"/>
      <c r="W2897" s="103" t="str">
        <f t="shared" si="53"/>
        <v>1w</v>
      </c>
      <c r="X2897" s="101">
        <f>_xll.qlCalendarAdvance(Calendar,X2896,W2897,"f",FALSE)</f>
        <v>59630</v>
      </c>
      <c r="Y2897" s="104">
        <f>_xll.qlCalendarAdvance(Calendar,X2897,NDays&amp;"D")</f>
        <v>59632</v>
      </c>
      <c r="Z2897" s="105" t="e">
        <v>#N/A</v>
      </c>
      <c r="AA2897" s="102" t="e">
        <v>#N/A</v>
      </c>
    </row>
    <row r="2898" spans="19:27" x14ac:dyDescent="0.2">
      <c r="S2898" s="61"/>
      <c r="T2898" s="82"/>
      <c r="W2898" s="103" t="str">
        <f t="shared" si="53"/>
        <v>1w</v>
      </c>
      <c r="X2898" s="101">
        <f>_xll.qlCalendarAdvance(Calendar,X2897,W2898,"f",FALSE)</f>
        <v>59637</v>
      </c>
      <c r="Y2898" s="104">
        <f>_xll.qlCalendarAdvance(Calendar,X2898,NDays&amp;"D")</f>
        <v>59643</v>
      </c>
      <c r="Z2898" s="105" t="e">
        <v>#N/A</v>
      </c>
      <c r="AA2898" s="102" t="e">
        <v>#N/A</v>
      </c>
    </row>
    <row r="2899" spans="19:27" x14ac:dyDescent="0.2">
      <c r="S2899" s="61"/>
      <c r="T2899" s="82"/>
      <c r="W2899" s="103" t="str">
        <f t="shared" si="53"/>
        <v>1w</v>
      </c>
      <c r="X2899" s="101">
        <f>_xll.qlCalendarAdvance(Calendar,X2898,W2899,"f",FALSE)</f>
        <v>59644</v>
      </c>
      <c r="Y2899" s="104">
        <f>_xll.qlCalendarAdvance(Calendar,X2899,NDays&amp;"D")</f>
        <v>59646</v>
      </c>
      <c r="Z2899" s="105" t="e">
        <v>#N/A</v>
      </c>
      <c r="AA2899" s="102" t="e">
        <v>#N/A</v>
      </c>
    </row>
    <row r="2900" spans="19:27" x14ac:dyDescent="0.2">
      <c r="S2900" s="61"/>
      <c r="T2900" s="82"/>
      <c r="W2900" s="103" t="str">
        <f t="shared" si="53"/>
        <v>1w</v>
      </c>
      <c r="X2900" s="101">
        <f>_xll.qlCalendarAdvance(Calendar,X2899,W2900,"f",FALSE)</f>
        <v>59651</v>
      </c>
      <c r="Y2900" s="104">
        <f>_xll.qlCalendarAdvance(Calendar,X2900,NDays&amp;"D")</f>
        <v>59653</v>
      </c>
      <c r="Z2900" s="105" t="e">
        <v>#N/A</v>
      </c>
      <c r="AA2900" s="102" t="e">
        <v>#N/A</v>
      </c>
    </row>
    <row r="2901" spans="19:27" x14ac:dyDescent="0.2">
      <c r="S2901" s="61"/>
      <c r="T2901" s="82"/>
      <c r="W2901" s="103" t="str">
        <f t="shared" ref="W2901:W2964" si="54">W2900</f>
        <v>1w</v>
      </c>
      <c r="X2901" s="101">
        <f>_xll.qlCalendarAdvance(Calendar,X2900,W2901,"f",FALSE)</f>
        <v>59658</v>
      </c>
      <c r="Y2901" s="104">
        <f>_xll.qlCalendarAdvance(Calendar,X2901,NDays&amp;"D")</f>
        <v>59660</v>
      </c>
      <c r="Z2901" s="105" t="e">
        <v>#N/A</v>
      </c>
      <c r="AA2901" s="102" t="e">
        <v>#N/A</v>
      </c>
    </row>
    <row r="2902" spans="19:27" x14ac:dyDescent="0.2">
      <c r="S2902" s="61"/>
      <c r="T2902" s="82"/>
      <c r="W2902" s="103" t="str">
        <f t="shared" si="54"/>
        <v>1w</v>
      </c>
      <c r="X2902" s="101">
        <f>_xll.qlCalendarAdvance(Calendar,X2901,W2902,"f",FALSE)</f>
        <v>59665</v>
      </c>
      <c r="Y2902" s="104">
        <f>_xll.qlCalendarAdvance(Calendar,X2902,NDays&amp;"D")</f>
        <v>59667</v>
      </c>
      <c r="Z2902" s="105" t="e">
        <v>#N/A</v>
      </c>
      <c r="AA2902" s="102" t="e">
        <v>#N/A</v>
      </c>
    </row>
    <row r="2903" spans="19:27" x14ac:dyDescent="0.2">
      <c r="S2903" s="61"/>
      <c r="T2903" s="82"/>
      <c r="W2903" s="103" t="str">
        <f t="shared" si="54"/>
        <v>1w</v>
      </c>
      <c r="X2903" s="101">
        <f>_xll.qlCalendarAdvance(Calendar,X2902,W2903,"f",FALSE)</f>
        <v>59672</v>
      </c>
      <c r="Y2903" s="104">
        <f>_xll.qlCalendarAdvance(Calendar,X2903,NDays&amp;"D")</f>
        <v>59674</v>
      </c>
      <c r="Z2903" s="105" t="e">
        <v>#N/A</v>
      </c>
      <c r="AA2903" s="102" t="e">
        <v>#N/A</v>
      </c>
    </row>
    <row r="2904" spans="19:27" x14ac:dyDescent="0.2">
      <c r="S2904" s="61"/>
      <c r="T2904" s="82"/>
      <c r="W2904" s="103" t="str">
        <f t="shared" si="54"/>
        <v>1w</v>
      </c>
      <c r="X2904" s="101">
        <f>_xll.qlCalendarAdvance(Calendar,X2903,W2904,"f",FALSE)</f>
        <v>59679</v>
      </c>
      <c r="Y2904" s="104">
        <f>_xll.qlCalendarAdvance(Calendar,X2904,NDays&amp;"D")</f>
        <v>59684</v>
      </c>
      <c r="Z2904" s="105" t="e">
        <v>#N/A</v>
      </c>
      <c r="AA2904" s="102" t="e">
        <v>#N/A</v>
      </c>
    </row>
    <row r="2905" spans="19:27" x14ac:dyDescent="0.2">
      <c r="S2905" s="61"/>
      <c r="T2905" s="82"/>
      <c r="W2905" s="103" t="str">
        <f t="shared" si="54"/>
        <v>1w</v>
      </c>
      <c r="X2905" s="101">
        <f>_xll.qlCalendarAdvance(Calendar,X2904,W2905,"f",FALSE)</f>
        <v>59686</v>
      </c>
      <c r="Y2905" s="104">
        <f>_xll.qlCalendarAdvance(Calendar,X2905,NDays&amp;"D")</f>
        <v>59688</v>
      </c>
      <c r="Z2905" s="105" t="e">
        <v>#N/A</v>
      </c>
      <c r="AA2905" s="102" t="e">
        <v>#N/A</v>
      </c>
    </row>
    <row r="2906" spans="19:27" x14ac:dyDescent="0.2">
      <c r="S2906" s="61"/>
      <c r="T2906" s="82"/>
      <c r="W2906" s="103" t="str">
        <f t="shared" si="54"/>
        <v>1w</v>
      </c>
      <c r="X2906" s="101">
        <f>_xll.qlCalendarAdvance(Calendar,X2905,W2906,"f",FALSE)</f>
        <v>59693</v>
      </c>
      <c r="Y2906" s="104">
        <f>_xll.qlCalendarAdvance(Calendar,X2906,NDays&amp;"D")</f>
        <v>59695</v>
      </c>
      <c r="Z2906" s="105" t="e">
        <v>#N/A</v>
      </c>
      <c r="AA2906" s="102" t="e">
        <v>#N/A</v>
      </c>
    </row>
    <row r="2907" spans="19:27" x14ac:dyDescent="0.2">
      <c r="S2907" s="61"/>
      <c r="T2907" s="82"/>
      <c r="W2907" s="103" t="str">
        <f t="shared" si="54"/>
        <v>1w</v>
      </c>
      <c r="X2907" s="101">
        <f>_xll.qlCalendarAdvance(Calendar,X2906,W2907,"f",FALSE)</f>
        <v>59700</v>
      </c>
      <c r="Y2907" s="104">
        <f>_xll.qlCalendarAdvance(Calendar,X2907,NDays&amp;"D")</f>
        <v>59702</v>
      </c>
      <c r="Z2907" s="105" t="e">
        <v>#N/A</v>
      </c>
      <c r="AA2907" s="102" t="e">
        <v>#N/A</v>
      </c>
    </row>
    <row r="2908" spans="19:27" x14ac:dyDescent="0.2">
      <c r="S2908" s="61"/>
      <c r="T2908" s="82"/>
      <c r="W2908" s="103" t="str">
        <f t="shared" si="54"/>
        <v>1w</v>
      </c>
      <c r="X2908" s="101">
        <f>_xll.qlCalendarAdvance(Calendar,X2907,W2908,"f",FALSE)</f>
        <v>59707</v>
      </c>
      <c r="Y2908" s="104">
        <f>_xll.qlCalendarAdvance(Calendar,X2908,NDays&amp;"D")</f>
        <v>59712</v>
      </c>
      <c r="Z2908" s="105" t="e">
        <v>#N/A</v>
      </c>
      <c r="AA2908" s="102" t="e">
        <v>#N/A</v>
      </c>
    </row>
    <row r="2909" spans="19:27" x14ac:dyDescent="0.2">
      <c r="S2909" s="61"/>
      <c r="T2909" s="82"/>
      <c r="W2909" s="103" t="str">
        <f t="shared" si="54"/>
        <v>1w</v>
      </c>
      <c r="X2909" s="101">
        <f>_xll.qlCalendarAdvance(Calendar,X2908,W2909,"f",FALSE)</f>
        <v>59714</v>
      </c>
      <c r="Y2909" s="104">
        <f>_xll.qlCalendarAdvance(Calendar,X2909,NDays&amp;"D")</f>
        <v>59716</v>
      </c>
      <c r="Z2909" s="105" t="e">
        <v>#N/A</v>
      </c>
      <c r="AA2909" s="102" t="e">
        <v>#N/A</v>
      </c>
    </row>
    <row r="2910" spans="19:27" x14ac:dyDescent="0.2">
      <c r="S2910" s="61"/>
      <c r="T2910" s="82"/>
      <c r="W2910" s="103" t="str">
        <f t="shared" si="54"/>
        <v>1w</v>
      </c>
      <c r="X2910" s="101">
        <f>_xll.qlCalendarAdvance(Calendar,X2909,W2910,"f",FALSE)</f>
        <v>59721</v>
      </c>
      <c r="Y2910" s="104">
        <f>_xll.qlCalendarAdvance(Calendar,X2910,NDays&amp;"D")</f>
        <v>59723</v>
      </c>
      <c r="Z2910" s="105" t="e">
        <v>#N/A</v>
      </c>
      <c r="AA2910" s="102" t="e">
        <v>#N/A</v>
      </c>
    </row>
    <row r="2911" spans="19:27" x14ac:dyDescent="0.2">
      <c r="S2911" s="61"/>
      <c r="T2911" s="82"/>
      <c r="W2911" s="103" t="str">
        <f t="shared" si="54"/>
        <v>1w</v>
      </c>
      <c r="X2911" s="101">
        <f>_xll.qlCalendarAdvance(Calendar,X2910,W2911,"f",FALSE)</f>
        <v>59728</v>
      </c>
      <c r="Y2911" s="104">
        <f>_xll.qlCalendarAdvance(Calendar,X2911,NDays&amp;"D")</f>
        <v>59730</v>
      </c>
      <c r="Z2911" s="105" t="e">
        <v>#N/A</v>
      </c>
      <c r="AA2911" s="102" t="e">
        <v>#N/A</v>
      </c>
    </row>
    <row r="2912" spans="19:27" x14ac:dyDescent="0.2">
      <c r="S2912" s="61"/>
      <c r="T2912" s="82"/>
      <c r="W2912" s="103" t="str">
        <f t="shared" si="54"/>
        <v>1w</v>
      </c>
      <c r="X2912" s="101">
        <f>_xll.qlCalendarAdvance(Calendar,X2911,W2912,"f",FALSE)</f>
        <v>59735</v>
      </c>
      <c r="Y2912" s="104">
        <f>_xll.qlCalendarAdvance(Calendar,X2912,NDays&amp;"D")</f>
        <v>59737</v>
      </c>
      <c r="Z2912" s="105" t="e">
        <v>#N/A</v>
      </c>
      <c r="AA2912" s="102" t="e">
        <v>#N/A</v>
      </c>
    </row>
    <row r="2913" spans="19:27" x14ac:dyDescent="0.2">
      <c r="S2913" s="61"/>
      <c r="T2913" s="82"/>
      <c r="W2913" s="103" t="str">
        <f t="shared" si="54"/>
        <v>1w</v>
      </c>
      <c r="X2913" s="101">
        <f>_xll.qlCalendarAdvance(Calendar,X2912,W2913,"f",FALSE)</f>
        <v>59742</v>
      </c>
      <c r="Y2913" s="104">
        <f>_xll.qlCalendarAdvance(Calendar,X2913,NDays&amp;"D")</f>
        <v>59744</v>
      </c>
      <c r="Z2913" s="105" t="e">
        <v>#N/A</v>
      </c>
      <c r="AA2913" s="102" t="e">
        <v>#N/A</v>
      </c>
    </row>
    <row r="2914" spans="19:27" x14ac:dyDescent="0.2">
      <c r="S2914" s="61"/>
      <c r="T2914" s="82"/>
      <c r="W2914" s="103" t="str">
        <f t="shared" si="54"/>
        <v>1w</v>
      </c>
      <c r="X2914" s="101">
        <f>_xll.qlCalendarAdvance(Calendar,X2913,W2914,"f",FALSE)</f>
        <v>59749</v>
      </c>
      <c r="Y2914" s="104">
        <f>_xll.qlCalendarAdvance(Calendar,X2914,NDays&amp;"D")</f>
        <v>59751</v>
      </c>
      <c r="Z2914" s="105" t="e">
        <v>#N/A</v>
      </c>
      <c r="AA2914" s="102" t="e">
        <v>#N/A</v>
      </c>
    </row>
    <row r="2915" spans="19:27" x14ac:dyDescent="0.2">
      <c r="S2915" s="61"/>
      <c r="T2915" s="82"/>
      <c r="W2915" s="103" t="str">
        <f t="shared" si="54"/>
        <v>1w</v>
      </c>
      <c r="X2915" s="101">
        <f>_xll.qlCalendarAdvance(Calendar,X2914,W2915,"f",FALSE)</f>
        <v>59756</v>
      </c>
      <c r="Y2915" s="104">
        <f>_xll.qlCalendarAdvance(Calendar,X2915,NDays&amp;"D")</f>
        <v>59758</v>
      </c>
      <c r="Z2915" s="105" t="e">
        <v>#N/A</v>
      </c>
      <c r="AA2915" s="102" t="e">
        <v>#N/A</v>
      </c>
    </row>
    <row r="2916" spans="19:27" x14ac:dyDescent="0.2">
      <c r="S2916" s="61"/>
      <c r="T2916" s="82"/>
      <c r="W2916" s="103" t="str">
        <f t="shared" si="54"/>
        <v>1w</v>
      </c>
      <c r="X2916" s="101">
        <f>_xll.qlCalendarAdvance(Calendar,X2915,W2916,"f",FALSE)</f>
        <v>59763</v>
      </c>
      <c r="Y2916" s="104">
        <f>_xll.qlCalendarAdvance(Calendar,X2916,NDays&amp;"D")</f>
        <v>59765</v>
      </c>
      <c r="Z2916" s="105" t="e">
        <v>#N/A</v>
      </c>
      <c r="AA2916" s="102" t="e">
        <v>#N/A</v>
      </c>
    </row>
    <row r="2917" spans="19:27" x14ac:dyDescent="0.2">
      <c r="S2917" s="61"/>
      <c r="T2917" s="82"/>
      <c r="W2917" s="103" t="str">
        <f t="shared" si="54"/>
        <v>1w</v>
      </c>
      <c r="X2917" s="101">
        <f>_xll.qlCalendarAdvance(Calendar,X2916,W2917,"f",FALSE)</f>
        <v>59770</v>
      </c>
      <c r="Y2917" s="104">
        <f>_xll.qlCalendarAdvance(Calendar,X2917,NDays&amp;"D")</f>
        <v>59772</v>
      </c>
      <c r="Z2917" s="105" t="e">
        <v>#N/A</v>
      </c>
      <c r="AA2917" s="102" t="e">
        <v>#N/A</v>
      </c>
    </row>
    <row r="2918" spans="19:27" x14ac:dyDescent="0.2">
      <c r="S2918" s="61"/>
      <c r="T2918" s="82"/>
      <c r="W2918" s="103" t="str">
        <f t="shared" si="54"/>
        <v>1w</v>
      </c>
      <c r="X2918" s="101">
        <f>_xll.qlCalendarAdvance(Calendar,X2917,W2918,"f",FALSE)</f>
        <v>59777</v>
      </c>
      <c r="Y2918" s="104">
        <f>_xll.qlCalendarAdvance(Calendar,X2918,NDays&amp;"D")</f>
        <v>59779</v>
      </c>
      <c r="Z2918" s="105" t="e">
        <v>#N/A</v>
      </c>
      <c r="AA2918" s="102" t="e">
        <v>#N/A</v>
      </c>
    </row>
    <row r="2919" spans="19:27" x14ac:dyDescent="0.2">
      <c r="S2919" s="61"/>
      <c r="T2919" s="82"/>
      <c r="W2919" s="103" t="str">
        <f t="shared" si="54"/>
        <v>1w</v>
      </c>
      <c r="X2919" s="101">
        <f>_xll.qlCalendarAdvance(Calendar,X2918,W2919,"f",FALSE)</f>
        <v>59784</v>
      </c>
      <c r="Y2919" s="104">
        <f>_xll.qlCalendarAdvance(Calendar,X2919,NDays&amp;"D")</f>
        <v>59786</v>
      </c>
      <c r="Z2919" s="105" t="e">
        <v>#N/A</v>
      </c>
      <c r="AA2919" s="102" t="e">
        <v>#N/A</v>
      </c>
    </row>
    <row r="2920" spans="19:27" x14ac:dyDescent="0.2">
      <c r="S2920" s="61"/>
      <c r="T2920" s="82"/>
      <c r="W2920" s="103" t="str">
        <f t="shared" si="54"/>
        <v>1w</v>
      </c>
      <c r="X2920" s="101">
        <f>_xll.qlCalendarAdvance(Calendar,X2919,W2920,"f",FALSE)</f>
        <v>59791</v>
      </c>
      <c r="Y2920" s="104">
        <f>_xll.qlCalendarAdvance(Calendar,X2920,NDays&amp;"D")</f>
        <v>59793</v>
      </c>
      <c r="Z2920" s="105" t="e">
        <v>#N/A</v>
      </c>
      <c r="AA2920" s="102" t="e">
        <v>#N/A</v>
      </c>
    </row>
    <row r="2921" spans="19:27" x14ac:dyDescent="0.2">
      <c r="S2921" s="61"/>
      <c r="T2921" s="82"/>
      <c r="W2921" s="103" t="str">
        <f t="shared" si="54"/>
        <v>1w</v>
      </c>
      <c r="X2921" s="101">
        <f>_xll.qlCalendarAdvance(Calendar,X2920,W2921,"f",FALSE)</f>
        <v>59798</v>
      </c>
      <c r="Y2921" s="104">
        <f>_xll.qlCalendarAdvance(Calendar,X2921,NDays&amp;"D")</f>
        <v>59800</v>
      </c>
      <c r="Z2921" s="105" t="e">
        <v>#N/A</v>
      </c>
      <c r="AA2921" s="102" t="e">
        <v>#N/A</v>
      </c>
    </row>
    <row r="2922" spans="19:27" x14ac:dyDescent="0.2">
      <c r="S2922" s="61"/>
      <c r="T2922" s="82"/>
      <c r="W2922" s="103" t="str">
        <f t="shared" si="54"/>
        <v>1w</v>
      </c>
      <c r="X2922" s="101">
        <f>_xll.qlCalendarAdvance(Calendar,X2921,W2922,"f",FALSE)</f>
        <v>59805</v>
      </c>
      <c r="Y2922" s="104">
        <f>_xll.qlCalendarAdvance(Calendar,X2922,NDays&amp;"D")</f>
        <v>59807</v>
      </c>
      <c r="Z2922" s="105" t="e">
        <v>#N/A</v>
      </c>
      <c r="AA2922" s="102" t="e">
        <v>#N/A</v>
      </c>
    </row>
    <row r="2923" spans="19:27" x14ac:dyDescent="0.2">
      <c r="S2923" s="61"/>
      <c r="T2923" s="82"/>
      <c r="W2923" s="103" t="str">
        <f t="shared" si="54"/>
        <v>1w</v>
      </c>
      <c r="X2923" s="101">
        <f>_xll.qlCalendarAdvance(Calendar,X2922,W2923,"f",FALSE)</f>
        <v>59812</v>
      </c>
      <c r="Y2923" s="104">
        <f>_xll.qlCalendarAdvance(Calendar,X2923,NDays&amp;"D")</f>
        <v>59814</v>
      </c>
      <c r="Z2923" s="105" t="e">
        <v>#N/A</v>
      </c>
      <c r="AA2923" s="102" t="e">
        <v>#N/A</v>
      </c>
    </row>
    <row r="2924" spans="19:27" x14ac:dyDescent="0.2">
      <c r="S2924" s="61"/>
      <c r="T2924" s="82"/>
      <c r="W2924" s="103" t="str">
        <f t="shared" si="54"/>
        <v>1w</v>
      </c>
      <c r="X2924" s="101">
        <f>_xll.qlCalendarAdvance(Calendar,X2923,W2924,"f",FALSE)</f>
        <v>59819</v>
      </c>
      <c r="Y2924" s="104">
        <f>_xll.qlCalendarAdvance(Calendar,X2924,NDays&amp;"D")</f>
        <v>59821</v>
      </c>
      <c r="Z2924" s="105" t="e">
        <v>#N/A</v>
      </c>
      <c r="AA2924" s="102" t="e">
        <v>#N/A</v>
      </c>
    </row>
    <row r="2925" spans="19:27" x14ac:dyDescent="0.2">
      <c r="S2925" s="61"/>
      <c r="T2925" s="82"/>
      <c r="W2925" s="103" t="str">
        <f t="shared" si="54"/>
        <v>1w</v>
      </c>
      <c r="X2925" s="101">
        <f>_xll.qlCalendarAdvance(Calendar,X2924,W2925,"f",FALSE)</f>
        <v>59826</v>
      </c>
      <c r="Y2925" s="104">
        <f>_xll.qlCalendarAdvance(Calendar,X2925,NDays&amp;"D")</f>
        <v>59828</v>
      </c>
      <c r="Z2925" s="105" t="e">
        <v>#N/A</v>
      </c>
      <c r="AA2925" s="102" t="e">
        <v>#N/A</v>
      </c>
    </row>
    <row r="2926" spans="19:27" x14ac:dyDescent="0.2">
      <c r="S2926" s="61"/>
      <c r="T2926" s="82"/>
      <c r="W2926" s="103" t="str">
        <f t="shared" si="54"/>
        <v>1w</v>
      </c>
      <c r="X2926" s="101">
        <f>_xll.qlCalendarAdvance(Calendar,X2925,W2926,"f",FALSE)</f>
        <v>59833</v>
      </c>
      <c r="Y2926" s="104">
        <f>_xll.qlCalendarAdvance(Calendar,X2926,NDays&amp;"D")</f>
        <v>59835</v>
      </c>
      <c r="Z2926" s="105" t="e">
        <v>#N/A</v>
      </c>
      <c r="AA2926" s="102" t="e">
        <v>#N/A</v>
      </c>
    </row>
    <row r="2927" spans="19:27" x14ac:dyDescent="0.2">
      <c r="S2927" s="61"/>
      <c r="T2927" s="82"/>
      <c r="W2927" s="103" t="str">
        <f t="shared" si="54"/>
        <v>1w</v>
      </c>
      <c r="X2927" s="101">
        <f>_xll.qlCalendarAdvance(Calendar,X2926,W2927,"f",FALSE)</f>
        <v>59840</v>
      </c>
      <c r="Y2927" s="104">
        <f>_xll.qlCalendarAdvance(Calendar,X2927,NDays&amp;"D")</f>
        <v>59842</v>
      </c>
      <c r="Z2927" s="105" t="e">
        <v>#N/A</v>
      </c>
      <c r="AA2927" s="102" t="e">
        <v>#N/A</v>
      </c>
    </row>
    <row r="2928" spans="19:27" x14ac:dyDescent="0.2">
      <c r="S2928" s="61"/>
      <c r="T2928" s="82"/>
      <c r="W2928" s="103" t="str">
        <f t="shared" si="54"/>
        <v>1w</v>
      </c>
      <c r="X2928" s="101">
        <f>_xll.qlCalendarAdvance(Calendar,X2927,W2928,"f",FALSE)</f>
        <v>59847</v>
      </c>
      <c r="Y2928" s="104">
        <f>_xll.qlCalendarAdvance(Calendar,X2928,NDays&amp;"D")</f>
        <v>59849</v>
      </c>
      <c r="Z2928" s="105" t="e">
        <v>#N/A</v>
      </c>
      <c r="AA2928" s="102" t="e">
        <v>#N/A</v>
      </c>
    </row>
    <row r="2929" spans="19:27" x14ac:dyDescent="0.2">
      <c r="S2929" s="61"/>
      <c r="T2929" s="82"/>
      <c r="W2929" s="103" t="str">
        <f t="shared" si="54"/>
        <v>1w</v>
      </c>
      <c r="X2929" s="101">
        <f>_xll.qlCalendarAdvance(Calendar,X2928,W2929,"f",FALSE)</f>
        <v>59854</v>
      </c>
      <c r="Y2929" s="104">
        <f>_xll.qlCalendarAdvance(Calendar,X2929,NDays&amp;"D")</f>
        <v>59856</v>
      </c>
      <c r="Z2929" s="105" t="e">
        <v>#N/A</v>
      </c>
      <c r="AA2929" s="102" t="e">
        <v>#N/A</v>
      </c>
    </row>
    <row r="2930" spans="19:27" x14ac:dyDescent="0.2">
      <c r="S2930" s="61"/>
      <c r="T2930" s="82"/>
      <c r="W2930" s="103" t="str">
        <f t="shared" si="54"/>
        <v>1w</v>
      </c>
      <c r="X2930" s="101">
        <f>_xll.qlCalendarAdvance(Calendar,X2929,W2930,"f",FALSE)</f>
        <v>59861</v>
      </c>
      <c r="Y2930" s="104">
        <f>_xll.qlCalendarAdvance(Calendar,X2930,NDays&amp;"D")</f>
        <v>59863</v>
      </c>
      <c r="Z2930" s="105" t="e">
        <v>#N/A</v>
      </c>
      <c r="AA2930" s="102" t="e">
        <v>#N/A</v>
      </c>
    </row>
    <row r="2931" spans="19:27" x14ac:dyDescent="0.2">
      <c r="S2931" s="61"/>
      <c r="T2931" s="82"/>
      <c r="W2931" s="103" t="str">
        <f t="shared" si="54"/>
        <v>1w</v>
      </c>
      <c r="X2931" s="101">
        <f>_xll.qlCalendarAdvance(Calendar,X2930,W2931,"f",FALSE)</f>
        <v>59868</v>
      </c>
      <c r="Y2931" s="104">
        <f>_xll.qlCalendarAdvance(Calendar,X2931,NDays&amp;"D")</f>
        <v>59870</v>
      </c>
      <c r="Z2931" s="105" t="e">
        <v>#N/A</v>
      </c>
      <c r="AA2931" s="102" t="e">
        <v>#N/A</v>
      </c>
    </row>
    <row r="2932" spans="19:27" x14ac:dyDescent="0.2">
      <c r="S2932" s="61"/>
      <c r="T2932" s="82"/>
      <c r="W2932" s="103" t="str">
        <f t="shared" si="54"/>
        <v>1w</v>
      </c>
      <c r="X2932" s="101">
        <f>_xll.qlCalendarAdvance(Calendar,X2931,W2932,"f",FALSE)</f>
        <v>59875</v>
      </c>
      <c r="Y2932" s="104">
        <f>_xll.qlCalendarAdvance(Calendar,X2932,NDays&amp;"D")</f>
        <v>59877</v>
      </c>
      <c r="Z2932" s="105" t="e">
        <v>#N/A</v>
      </c>
      <c r="AA2932" s="102" t="e">
        <v>#N/A</v>
      </c>
    </row>
    <row r="2933" spans="19:27" x14ac:dyDescent="0.2">
      <c r="S2933" s="61"/>
      <c r="T2933" s="82"/>
      <c r="W2933" s="103" t="str">
        <f t="shared" si="54"/>
        <v>1w</v>
      </c>
      <c r="X2933" s="101">
        <f>_xll.qlCalendarAdvance(Calendar,X2932,W2933,"f",FALSE)</f>
        <v>59882</v>
      </c>
      <c r="Y2933" s="104">
        <f>_xll.qlCalendarAdvance(Calendar,X2933,NDays&amp;"D")</f>
        <v>59884</v>
      </c>
      <c r="Z2933" s="105" t="e">
        <v>#N/A</v>
      </c>
      <c r="AA2933" s="102" t="e">
        <v>#N/A</v>
      </c>
    </row>
    <row r="2934" spans="19:27" x14ac:dyDescent="0.2">
      <c r="S2934" s="61"/>
      <c r="T2934" s="82"/>
      <c r="W2934" s="103" t="str">
        <f t="shared" si="54"/>
        <v>1w</v>
      </c>
      <c r="X2934" s="101">
        <f>_xll.qlCalendarAdvance(Calendar,X2933,W2934,"f",FALSE)</f>
        <v>59889</v>
      </c>
      <c r="Y2934" s="104">
        <f>_xll.qlCalendarAdvance(Calendar,X2934,NDays&amp;"D")</f>
        <v>59891</v>
      </c>
      <c r="Z2934" s="105" t="e">
        <v>#N/A</v>
      </c>
      <c r="AA2934" s="102" t="e">
        <v>#N/A</v>
      </c>
    </row>
    <row r="2935" spans="19:27" x14ac:dyDescent="0.2">
      <c r="S2935" s="61"/>
      <c r="T2935" s="82"/>
      <c r="W2935" s="103" t="str">
        <f t="shared" si="54"/>
        <v>1w</v>
      </c>
      <c r="X2935" s="101">
        <f>_xll.qlCalendarAdvance(Calendar,X2934,W2935,"f",FALSE)</f>
        <v>59897</v>
      </c>
      <c r="Y2935" s="104">
        <f>_xll.qlCalendarAdvance(Calendar,X2935,NDays&amp;"D")</f>
        <v>59903</v>
      </c>
      <c r="Z2935" s="105" t="e">
        <v>#N/A</v>
      </c>
      <c r="AA2935" s="102" t="e">
        <v>#N/A</v>
      </c>
    </row>
    <row r="2936" spans="19:27" x14ac:dyDescent="0.2">
      <c r="S2936" s="61"/>
      <c r="T2936" s="82"/>
      <c r="W2936" s="103" t="str">
        <f t="shared" si="54"/>
        <v>1w</v>
      </c>
      <c r="X2936" s="101">
        <f>_xll.qlCalendarAdvance(Calendar,X2935,W2936,"f",FALSE)</f>
        <v>59904</v>
      </c>
      <c r="Y2936" s="104">
        <f>_xll.qlCalendarAdvance(Calendar,X2936,NDays&amp;"D")</f>
        <v>59908</v>
      </c>
      <c r="Z2936" s="105" t="e">
        <v>#N/A</v>
      </c>
      <c r="AA2936" s="102" t="e">
        <v>#N/A</v>
      </c>
    </row>
    <row r="2937" spans="19:27" x14ac:dyDescent="0.2">
      <c r="S2937" s="61"/>
      <c r="T2937" s="82"/>
      <c r="W2937" s="103" t="str">
        <f t="shared" si="54"/>
        <v>1w</v>
      </c>
      <c r="X2937" s="101">
        <f>_xll.qlCalendarAdvance(Calendar,X2936,W2937,"f",FALSE)</f>
        <v>59911</v>
      </c>
      <c r="Y2937" s="104">
        <f>_xll.qlCalendarAdvance(Calendar,X2937,NDays&amp;"D")</f>
        <v>59915</v>
      </c>
      <c r="Z2937" s="105" t="e">
        <v>#N/A</v>
      </c>
      <c r="AA2937" s="102" t="e">
        <v>#N/A</v>
      </c>
    </row>
    <row r="2938" spans="19:27" x14ac:dyDescent="0.2">
      <c r="S2938" s="61"/>
      <c r="T2938" s="82"/>
      <c r="W2938" s="103" t="str">
        <f t="shared" si="54"/>
        <v>1w</v>
      </c>
      <c r="X2938" s="101">
        <f>_xll.qlCalendarAdvance(Calendar,X2937,W2938,"f",FALSE)</f>
        <v>59918</v>
      </c>
      <c r="Y2938" s="104">
        <f>_xll.qlCalendarAdvance(Calendar,X2938,NDays&amp;"D")</f>
        <v>59922</v>
      </c>
      <c r="Z2938" s="105" t="e">
        <v>#N/A</v>
      </c>
      <c r="AA2938" s="102" t="e">
        <v>#N/A</v>
      </c>
    </row>
    <row r="2939" spans="19:27" x14ac:dyDescent="0.2">
      <c r="S2939" s="61"/>
      <c r="T2939" s="82"/>
      <c r="W2939" s="103" t="str">
        <f t="shared" si="54"/>
        <v>1w</v>
      </c>
      <c r="X2939" s="101">
        <f>_xll.qlCalendarAdvance(Calendar,X2938,W2939,"f",FALSE)</f>
        <v>59925</v>
      </c>
      <c r="Y2939" s="104">
        <f>_xll.qlCalendarAdvance(Calendar,X2939,NDays&amp;"D")</f>
        <v>59929</v>
      </c>
      <c r="Z2939" s="105" t="e">
        <v>#N/A</v>
      </c>
      <c r="AA2939" s="102" t="e">
        <v>#N/A</v>
      </c>
    </row>
    <row r="2940" spans="19:27" x14ac:dyDescent="0.2">
      <c r="S2940" s="61"/>
      <c r="T2940" s="82"/>
      <c r="W2940" s="103" t="str">
        <f t="shared" si="54"/>
        <v>1w</v>
      </c>
      <c r="X2940" s="101">
        <f>_xll.qlCalendarAdvance(Calendar,X2939,W2940,"f",FALSE)</f>
        <v>59932</v>
      </c>
      <c r="Y2940" s="104">
        <f>_xll.qlCalendarAdvance(Calendar,X2940,NDays&amp;"D")</f>
        <v>59936</v>
      </c>
      <c r="Z2940" s="105" t="e">
        <v>#N/A</v>
      </c>
      <c r="AA2940" s="102" t="e">
        <v>#N/A</v>
      </c>
    </row>
    <row r="2941" spans="19:27" x14ac:dyDescent="0.2">
      <c r="S2941" s="61"/>
      <c r="T2941" s="82"/>
      <c r="W2941" s="103" t="str">
        <f t="shared" si="54"/>
        <v>1w</v>
      </c>
      <c r="X2941" s="101">
        <f>_xll.qlCalendarAdvance(Calendar,X2940,W2941,"f",FALSE)</f>
        <v>59939</v>
      </c>
      <c r="Y2941" s="104">
        <f>_xll.qlCalendarAdvance(Calendar,X2941,NDays&amp;"D")</f>
        <v>59943</v>
      </c>
      <c r="Z2941" s="105" t="e">
        <v>#N/A</v>
      </c>
      <c r="AA2941" s="102" t="e">
        <v>#N/A</v>
      </c>
    </row>
    <row r="2942" spans="19:27" x14ac:dyDescent="0.2">
      <c r="S2942" s="61"/>
      <c r="T2942" s="82"/>
      <c r="W2942" s="103" t="str">
        <f t="shared" si="54"/>
        <v>1w</v>
      </c>
      <c r="X2942" s="101">
        <f>_xll.qlCalendarAdvance(Calendar,X2941,W2942,"f",FALSE)</f>
        <v>59946</v>
      </c>
      <c r="Y2942" s="104">
        <f>_xll.qlCalendarAdvance(Calendar,X2942,NDays&amp;"D")</f>
        <v>59950</v>
      </c>
      <c r="Z2942" s="105" t="e">
        <v>#N/A</v>
      </c>
      <c r="AA2942" s="102" t="e">
        <v>#N/A</v>
      </c>
    </row>
    <row r="2943" spans="19:27" x14ac:dyDescent="0.2">
      <c r="S2943" s="61"/>
      <c r="T2943" s="82"/>
      <c r="W2943" s="103" t="str">
        <f t="shared" si="54"/>
        <v>1w</v>
      </c>
      <c r="X2943" s="101">
        <f>_xll.qlCalendarAdvance(Calendar,X2942,W2943,"f",FALSE)</f>
        <v>59953</v>
      </c>
      <c r="Y2943" s="104">
        <f>_xll.qlCalendarAdvance(Calendar,X2943,NDays&amp;"D")</f>
        <v>59957</v>
      </c>
      <c r="Z2943" s="105" t="e">
        <v>#N/A</v>
      </c>
      <c r="AA2943" s="102" t="e">
        <v>#N/A</v>
      </c>
    </row>
    <row r="2944" spans="19:27" x14ac:dyDescent="0.2">
      <c r="S2944" s="61"/>
      <c r="T2944" s="82"/>
      <c r="W2944" s="103" t="str">
        <f t="shared" si="54"/>
        <v>1w</v>
      </c>
      <c r="X2944" s="101">
        <f>_xll.qlCalendarAdvance(Calendar,X2943,W2944,"f",FALSE)</f>
        <v>59960</v>
      </c>
      <c r="Y2944" s="104">
        <f>_xll.qlCalendarAdvance(Calendar,X2944,NDays&amp;"D")</f>
        <v>59964</v>
      </c>
      <c r="Z2944" s="105" t="e">
        <v>#N/A</v>
      </c>
      <c r="AA2944" s="102" t="e">
        <v>#N/A</v>
      </c>
    </row>
    <row r="2945" spans="19:27" x14ac:dyDescent="0.2">
      <c r="S2945" s="61"/>
      <c r="T2945" s="82"/>
      <c r="W2945" s="103" t="str">
        <f t="shared" si="54"/>
        <v>1w</v>
      </c>
      <c r="X2945" s="101">
        <f>_xll.qlCalendarAdvance(Calendar,X2944,W2945,"f",FALSE)</f>
        <v>59967</v>
      </c>
      <c r="Y2945" s="104">
        <f>_xll.qlCalendarAdvance(Calendar,X2945,NDays&amp;"D")</f>
        <v>59971</v>
      </c>
      <c r="Z2945" s="105" t="e">
        <v>#N/A</v>
      </c>
      <c r="AA2945" s="102" t="e">
        <v>#N/A</v>
      </c>
    </row>
    <row r="2946" spans="19:27" x14ac:dyDescent="0.2">
      <c r="S2946" s="61"/>
      <c r="T2946" s="82"/>
      <c r="W2946" s="103" t="str">
        <f t="shared" si="54"/>
        <v>1w</v>
      </c>
      <c r="X2946" s="101">
        <f>_xll.qlCalendarAdvance(Calendar,X2945,W2946,"f",FALSE)</f>
        <v>59974</v>
      </c>
      <c r="Y2946" s="104">
        <f>_xll.qlCalendarAdvance(Calendar,X2946,NDays&amp;"D")</f>
        <v>59978</v>
      </c>
      <c r="Z2946" s="105" t="e">
        <v>#N/A</v>
      </c>
      <c r="AA2946" s="102" t="e">
        <v>#N/A</v>
      </c>
    </row>
    <row r="2947" spans="19:27" x14ac:dyDescent="0.2">
      <c r="S2947" s="61"/>
      <c r="T2947" s="82"/>
      <c r="W2947" s="103" t="str">
        <f t="shared" si="54"/>
        <v>1w</v>
      </c>
      <c r="X2947" s="101">
        <f>_xll.qlCalendarAdvance(Calendar,X2946,W2947,"f",FALSE)</f>
        <v>59981</v>
      </c>
      <c r="Y2947" s="104">
        <f>_xll.qlCalendarAdvance(Calendar,X2947,NDays&amp;"D")</f>
        <v>59985</v>
      </c>
      <c r="Z2947" s="105" t="e">
        <v>#N/A</v>
      </c>
      <c r="AA2947" s="102" t="e">
        <v>#N/A</v>
      </c>
    </row>
    <row r="2948" spans="19:27" x14ac:dyDescent="0.2">
      <c r="S2948" s="61"/>
      <c r="T2948" s="82"/>
      <c r="W2948" s="103" t="str">
        <f t="shared" si="54"/>
        <v>1w</v>
      </c>
      <c r="X2948" s="101">
        <f>_xll.qlCalendarAdvance(Calendar,X2947,W2948,"f",FALSE)</f>
        <v>59988</v>
      </c>
      <c r="Y2948" s="104">
        <f>_xll.qlCalendarAdvance(Calendar,X2948,NDays&amp;"D")</f>
        <v>59992</v>
      </c>
      <c r="Z2948" s="105" t="e">
        <v>#N/A</v>
      </c>
      <c r="AA2948" s="102" t="e">
        <v>#N/A</v>
      </c>
    </row>
    <row r="2949" spans="19:27" x14ac:dyDescent="0.2">
      <c r="S2949" s="61"/>
      <c r="T2949" s="82"/>
      <c r="W2949" s="103" t="str">
        <f t="shared" si="54"/>
        <v>1w</v>
      </c>
      <c r="X2949" s="101">
        <f>_xll.qlCalendarAdvance(Calendar,X2948,W2949,"f",FALSE)</f>
        <v>59995</v>
      </c>
      <c r="Y2949" s="104">
        <f>_xll.qlCalendarAdvance(Calendar,X2949,NDays&amp;"D")</f>
        <v>60001</v>
      </c>
      <c r="Z2949" s="105" t="e">
        <v>#N/A</v>
      </c>
      <c r="AA2949" s="102" t="e">
        <v>#N/A</v>
      </c>
    </row>
    <row r="2950" spans="19:27" x14ac:dyDescent="0.2">
      <c r="S2950" s="61"/>
      <c r="T2950" s="82"/>
      <c r="W2950" s="103" t="str">
        <f t="shared" si="54"/>
        <v>1w</v>
      </c>
      <c r="X2950" s="101">
        <f>_xll.qlCalendarAdvance(Calendar,X2949,W2950,"f",FALSE)</f>
        <v>60002</v>
      </c>
      <c r="Y2950" s="104">
        <f>_xll.qlCalendarAdvance(Calendar,X2950,NDays&amp;"D")</f>
        <v>60006</v>
      </c>
      <c r="Z2950" s="105" t="e">
        <v>#N/A</v>
      </c>
      <c r="AA2950" s="102" t="e">
        <v>#N/A</v>
      </c>
    </row>
    <row r="2951" spans="19:27" x14ac:dyDescent="0.2">
      <c r="S2951" s="61"/>
      <c r="T2951" s="82"/>
      <c r="W2951" s="103" t="str">
        <f t="shared" si="54"/>
        <v>1w</v>
      </c>
      <c r="X2951" s="101">
        <f>_xll.qlCalendarAdvance(Calendar,X2950,W2951,"f",FALSE)</f>
        <v>60009</v>
      </c>
      <c r="Y2951" s="104">
        <f>_xll.qlCalendarAdvance(Calendar,X2951,NDays&amp;"D")</f>
        <v>60013</v>
      </c>
      <c r="Z2951" s="105" t="e">
        <v>#N/A</v>
      </c>
      <c r="AA2951" s="102" t="e">
        <v>#N/A</v>
      </c>
    </row>
    <row r="2952" spans="19:27" x14ac:dyDescent="0.2">
      <c r="S2952" s="61"/>
      <c r="T2952" s="82"/>
      <c r="W2952" s="103" t="str">
        <f t="shared" si="54"/>
        <v>1w</v>
      </c>
      <c r="X2952" s="101">
        <f>_xll.qlCalendarAdvance(Calendar,X2951,W2952,"f",FALSE)</f>
        <v>60016</v>
      </c>
      <c r="Y2952" s="104">
        <f>_xll.qlCalendarAdvance(Calendar,X2952,NDays&amp;"D")</f>
        <v>60020</v>
      </c>
      <c r="Z2952" s="105" t="e">
        <v>#N/A</v>
      </c>
      <c r="AA2952" s="102" t="e">
        <v>#N/A</v>
      </c>
    </row>
    <row r="2953" spans="19:27" x14ac:dyDescent="0.2">
      <c r="S2953" s="61"/>
      <c r="T2953" s="82"/>
      <c r="W2953" s="103" t="str">
        <f t="shared" si="54"/>
        <v>1w</v>
      </c>
      <c r="X2953" s="101">
        <f>_xll.qlCalendarAdvance(Calendar,X2952,W2953,"f",FALSE)</f>
        <v>60024</v>
      </c>
      <c r="Y2953" s="104">
        <f>_xll.qlCalendarAdvance(Calendar,X2953,NDays&amp;"D")</f>
        <v>60028</v>
      </c>
      <c r="Z2953" s="105" t="e">
        <v>#N/A</v>
      </c>
      <c r="AA2953" s="102" t="e">
        <v>#N/A</v>
      </c>
    </row>
    <row r="2954" spans="19:27" x14ac:dyDescent="0.2">
      <c r="S2954" s="61"/>
      <c r="T2954" s="82"/>
      <c r="W2954" s="103" t="str">
        <f t="shared" si="54"/>
        <v>1w</v>
      </c>
      <c r="X2954" s="101">
        <f>_xll.qlCalendarAdvance(Calendar,X2953,W2954,"f",FALSE)</f>
        <v>60031</v>
      </c>
      <c r="Y2954" s="104">
        <f>_xll.qlCalendarAdvance(Calendar,X2954,NDays&amp;"D")</f>
        <v>60035</v>
      </c>
      <c r="Z2954" s="105" t="e">
        <v>#N/A</v>
      </c>
      <c r="AA2954" s="102" t="e">
        <v>#N/A</v>
      </c>
    </row>
    <row r="2955" spans="19:27" x14ac:dyDescent="0.2">
      <c r="S2955" s="61"/>
      <c r="T2955" s="82"/>
      <c r="W2955" s="103" t="str">
        <f t="shared" si="54"/>
        <v>1w</v>
      </c>
      <c r="X2955" s="101">
        <f>_xll.qlCalendarAdvance(Calendar,X2954,W2955,"f",FALSE)</f>
        <v>60038</v>
      </c>
      <c r="Y2955" s="104">
        <f>_xll.qlCalendarAdvance(Calendar,X2955,NDays&amp;"D")</f>
        <v>60042</v>
      </c>
      <c r="Z2955" s="105" t="e">
        <v>#N/A</v>
      </c>
      <c r="AA2955" s="102" t="e">
        <v>#N/A</v>
      </c>
    </row>
    <row r="2956" spans="19:27" x14ac:dyDescent="0.2">
      <c r="S2956" s="61"/>
      <c r="T2956" s="82"/>
      <c r="W2956" s="103" t="str">
        <f t="shared" si="54"/>
        <v>1w</v>
      </c>
      <c r="X2956" s="101">
        <f>_xll.qlCalendarAdvance(Calendar,X2955,W2956,"f",FALSE)</f>
        <v>60045</v>
      </c>
      <c r="Y2956" s="104">
        <f>_xll.qlCalendarAdvance(Calendar,X2956,NDays&amp;"D")</f>
        <v>60050</v>
      </c>
      <c r="Z2956" s="105" t="e">
        <v>#N/A</v>
      </c>
      <c r="AA2956" s="102" t="e">
        <v>#N/A</v>
      </c>
    </row>
    <row r="2957" spans="19:27" x14ac:dyDescent="0.2">
      <c r="S2957" s="61"/>
      <c r="T2957" s="82"/>
      <c r="W2957" s="103" t="str">
        <f t="shared" si="54"/>
        <v>1w</v>
      </c>
      <c r="X2957" s="101">
        <f>_xll.qlCalendarAdvance(Calendar,X2956,W2957,"f",FALSE)</f>
        <v>60052</v>
      </c>
      <c r="Y2957" s="104">
        <f>_xll.qlCalendarAdvance(Calendar,X2957,NDays&amp;"D")</f>
        <v>60056</v>
      </c>
      <c r="Z2957" s="105" t="e">
        <v>#N/A</v>
      </c>
      <c r="AA2957" s="102" t="e">
        <v>#N/A</v>
      </c>
    </row>
    <row r="2958" spans="19:27" x14ac:dyDescent="0.2">
      <c r="S2958" s="61"/>
      <c r="T2958" s="82"/>
      <c r="W2958" s="103" t="str">
        <f t="shared" si="54"/>
        <v>1w</v>
      </c>
      <c r="X2958" s="101">
        <f>_xll.qlCalendarAdvance(Calendar,X2957,W2958,"f",FALSE)</f>
        <v>60059</v>
      </c>
      <c r="Y2958" s="104">
        <f>_xll.qlCalendarAdvance(Calendar,X2958,NDays&amp;"D")</f>
        <v>60063</v>
      </c>
      <c r="Z2958" s="105" t="e">
        <v>#N/A</v>
      </c>
      <c r="AA2958" s="102" t="e">
        <v>#N/A</v>
      </c>
    </row>
    <row r="2959" spans="19:27" x14ac:dyDescent="0.2">
      <c r="S2959" s="61"/>
      <c r="T2959" s="82"/>
      <c r="W2959" s="103" t="str">
        <f t="shared" si="54"/>
        <v>1w</v>
      </c>
      <c r="X2959" s="101">
        <f>_xll.qlCalendarAdvance(Calendar,X2958,W2959,"f",FALSE)</f>
        <v>60066</v>
      </c>
      <c r="Y2959" s="104">
        <f>_xll.qlCalendarAdvance(Calendar,X2959,NDays&amp;"D")</f>
        <v>60070</v>
      </c>
      <c r="Z2959" s="105" t="e">
        <v>#N/A</v>
      </c>
      <c r="AA2959" s="102" t="e">
        <v>#N/A</v>
      </c>
    </row>
    <row r="2960" spans="19:27" x14ac:dyDescent="0.2">
      <c r="S2960" s="61"/>
      <c r="T2960" s="82"/>
      <c r="W2960" s="103" t="str">
        <f t="shared" si="54"/>
        <v>1w</v>
      </c>
      <c r="X2960" s="101">
        <f>_xll.qlCalendarAdvance(Calendar,X2959,W2960,"f",FALSE)</f>
        <v>60076</v>
      </c>
      <c r="Y2960" s="104">
        <f>_xll.qlCalendarAdvance(Calendar,X2960,NDays&amp;"D")</f>
        <v>60078</v>
      </c>
      <c r="Z2960" s="105" t="e">
        <v>#N/A</v>
      </c>
      <c r="AA2960" s="102" t="e">
        <v>#N/A</v>
      </c>
    </row>
    <row r="2961" spans="19:27" x14ac:dyDescent="0.2">
      <c r="S2961" s="61"/>
      <c r="T2961" s="82"/>
      <c r="W2961" s="103" t="str">
        <f t="shared" si="54"/>
        <v>1w</v>
      </c>
      <c r="X2961" s="101">
        <f>_xll.qlCalendarAdvance(Calendar,X2960,W2961,"f",FALSE)</f>
        <v>60083</v>
      </c>
      <c r="Y2961" s="104">
        <f>_xll.qlCalendarAdvance(Calendar,X2961,NDays&amp;"D")</f>
        <v>60085</v>
      </c>
      <c r="Z2961" s="105" t="e">
        <v>#N/A</v>
      </c>
      <c r="AA2961" s="102" t="e">
        <v>#N/A</v>
      </c>
    </row>
    <row r="2962" spans="19:27" x14ac:dyDescent="0.2">
      <c r="S2962" s="61"/>
      <c r="T2962" s="82"/>
      <c r="W2962" s="103" t="str">
        <f t="shared" si="54"/>
        <v>1w</v>
      </c>
      <c r="X2962" s="101">
        <f>_xll.qlCalendarAdvance(Calendar,X2961,W2962,"f",FALSE)</f>
        <v>60090</v>
      </c>
      <c r="Y2962" s="104">
        <f>_xll.qlCalendarAdvance(Calendar,X2962,NDays&amp;"D")</f>
        <v>60092</v>
      </c>
      <c r="Z2962" s="105" t="e">
        <v>#N/A</v>
      </c>
      <c r="AA2962" s="102" t="e">
        <v>#N/A</v>
      </c>
    </row>
    <row r="2963" spans="19:27" x14ac:dyDescent="0.2">
      <c r="S2963" s="61"/>
      <c r="T2963" s="82"/>
      <c r="W2963" s="103" t="str">
        <f t="shared" si="54"/>
        <v>1w</v>
      </c>
      <c r="X2963" s="101">
        <f>_xll.qlCalendarAdvance(Calendar,X2962,W2963,"f",FALSE)</f>
        <v>60097</v>
      </c>
      <c r="Y2963" s="104">
        <f>_xll.qlCalendarAdvance(Calendar,X2963,NDays&amp;"D")</f>
        <v>60099</v>
      </c>
      <c r="Z2963" s="105" t="e">
        <v>#N/A</v>
      </c>
      <c r="AA2963" s="102" t="e">
        <v>#N/A</v>
      </c>
    </row>
    <row r="2964" spans="19:27" x14ac:dyDescent="0.2">
      <c r="S2964" s="61"/>
      <c r="T2964" s="82"/>
      <c r="W2964" s="103" t="str">
        <f t="shared" si="54"/>
        <v>1w</v>
      </c>
      <c r="X2964" s="101">
        <f>_xll.qlCalendarAdvance(Calendar,X2963,W2964,"f",FALSE)</f>
        <v>60104</v>
      </c>
      <c r="Y2964" s="104">
        <f>_xll.qlCalendarAdvance(Calendar,X2964,NDays&amp;"D")</f>
        <v>60106</v>
      </c>
      <c r="Z2964" s="105" t="e">
        <v>#N/A</v>
      </c>
      <c r="AA2964" s="102" t="e">
        <v>#N/A</v>
      </c>
    </row>
    <row r="2965" spans="19:27" x14ac:dyDescent="0.2">
      <c r="S2965" s="61"/>
      <c r="T2965" s="82"/>
      <c r="W2965" s="103" t="str">
        <f t="shared" ref="W2965:W3028" si="55">W2964</f>
        <v>1w</v>
      </c>
      <c r="X2965" s="101">
        <f>_xll.qlCalendarAdvance(Calendar,X2964,W2965,"f",FALSE)</f>
        <v>60111</v>
      </c>
      <c r="Y2965" s="104">
        <f>_xll.qlCalendarAdvance(Calendar,X2965,NDays&amp;"D")</f>
        <v>60113</v>
      </c>
      <c r="Z2965" s="105" t="e">
        <v>#N/A</v>
      </c>
      <c r="AA2965" s="102" t="e">
        <v>#N/A</v>
      </c>
    </row>
    <row r="2966" spans="19:27" x14ac:dyDescent="0.2">
      <c r="S2966" s="61"/>
      <c r="T2966" s="82"/>
      <c r="W2966" s="103" t="str">
        <f t="shared" si="55"/>
        <v>1w</v>
      </c>
      <c r="X2966" s="101">
        <f>_xll.qlCalendarAdvance(Calendar,X2965,W2966,"f",FALSE)</f>
        <v>60118</v>
      </c>
      <c r="Y2966" s="104">
        <f>_xll.qlCalendarAdvance(Calendar,X2966,NDays&amp;"D")</f>
        <v>60120</v>
      </c>
      <c r="Z2966" s="105" t="e">
        <v>#N/A</v>
      </c>
      <c r="AA2966" s="102" t="e">
        <v>#N/A</v>
      </c>
    </row>
    <row r="2967" spans="19:27" x14ac:dyDescent="0.2">
      <c r="S2967" s="61"/>
      <c r="T2967" s="82"/>
      <c r="W2967" s="103" t="str">
        <f t="shared" si="55"/>
        <v>1w</v>
      </c>
      <c r="X2967" s="101">
        <f>_xll.qlCalendarAdvance(Calendar,X2966,W2967,"f",FALSE)</f>
        <v>60125</v>
      </c>
      <c r="Y2967" s="104">
        <f>_xll.qlCalendarAdvance(Calendar,X2967,NDays&amp;"D")</f>
        <v>60127</v>
      </c>
      <c r="Z2967" s="105" t="e">
        <v>#N/A</v>
      </c>
      <c r="AA2967" s="102" t="e">
        <v>#N/A</v>
      </c>
    </row>
    <row r="2968" spans="19:27" x14ac:dyDescent="0.2">
      <c r="S2968" s="61"/>
      <c r="T2968" s="82"/>
      <c r="W2968" s="103" t="str">
        <f t="shared" si="55"/>
        <v>1w</v>
      </c>
      <c r="X2968" s="101">
        <f>_xll.qlCalendarAdvance(Calendar,X2967,W2968,"f",FALSE)</f>
        <v>60132</v>
      </c>
      <c r="Y2968" s="104">
        <f>_xll.qlCalendarAdvance(Calendar,X2968,NDays&amp;"D")</f>
        <v>60134</v>
      </c>
      <c r="Z2968" s="105" t="e">
        <v>#N/A</v>
      </c>
      <c r="AA2968" s="102" t="e">
        <v>#N/A</v>
      </c>
    </row>
    <row r="2969" spans="19:27" x14ac:dyDescent="0.2">
      <c r="S2969" s="61"/>
      <c r="T2969" s="82"/>
      <c r="W2969" s="103" t="str">
        <f t="shared" si="55"/>
        <v>1w</v>
      </c>
      <c r="X2969" s="101">
        <f>_xll.qlCalendarAdvance(Calendar,X2968,W2969,"f",FALSE)</f>
        <v>60139</v>
      </c>
      <c r="Y2969" s="104">
        <f>_xll.qlCalendarAdvance(Calendar,X2969,NDays&amp;"D")</f>
        <v>60141</v>
      </c>
      <c r="Z2969" s="105" t="e">
        <v>#N/A</v>
      </c>
      <c r="AA2969" s="102" t="e">
        <v>#N/A</v>
      </c>
    </row>
    <row r="2970" spans="19:27" x14ac:dyDescent="0.2">
      <c r="S2970" s="61"/>
      <c r="T2970" s="82"/>
      <c r="W2970" s="103" t="str">
        <f t="shared" si="55"/>
        <v>1w</v>
      </c>
      <c r="X2970" s="101">
        <f>_xll.qlCalendarAdvance(Calendar,X2969,W2970,"f",FALSE)</f>
        <v>60146</v>
      </c>
      <c r="Y2970" s="104">
        <f>_xll.qlCalendarAdvance(Calendar,X2970,NDays&amp;"D")</f>
        <v>60148</v>
      </c>
      <c r="Z2970" s="105" t="e">
        <v>#N/A</v>
      </c>
      <c r="AA2970" s="102" t="e">
        <v>#N/A</v>
      </c>
    </row>
    <row r="2971" spans="19:27" x14ac:dyDescent="0.2">
      <c r="S2971" s="61"/>
      <c r="T2971" s="82"/>
      <c r="W2971" s="103" t="str">
        <f t="shared" si="55"/>
        <v>1w</v>
      </c>
      <c r="X2971" s="101">
        <f>_xll.qlCalendarAdvance(Calendar,X2970,W2971,"f",FALSE)</f>
        <v>60153</v>
      </c>
      <c r="Y2971" s="104">
        <f>_xll.qlCalendarAdvance(Calendar,X2971,NDays&amp;"D")</f>
        <v>60155</v>
      </c>
      <c r="Z2971" s="105" t="e">
        <v>#N/A</v>
      </c>
      <c r="AA2971" s="102" t="e">
        <v>#N/A</v>
      </c>
    </row>
    <row r="2972" spans="19:27" x14ac:dyDescent="0.2">
      <c r="S2972" s="61"/>
      <c r="T2972" s="82"/>
      <c r="W2972" s="103" t="str">
        <f t="shared" si="55"/>
        <v>1w</v>
      </c>
      <c r="X2972" s="101">
        <f>_xll.qlCalendarAdvance(Calendar,X2971,W2972,"f",FALSE)</f>
        <v>60160</v>
      </c>
      <c r="Y2972" s="104">
        <f>_xll.qlCalendarAdvance(Calendar,X2972,NDays&amp;"D")</f>
        <v>60162</v>
      </c>
      <c r="Z2972" s="105" t="e">
        <v>#N/A</v>
      </c>
      <c r="AA2972" s="102" t="e">
        <v>#N/A</v>
      </c>
    </row>
    <row r="2973" spans="19:27" x14ac:dyDescent="0.2">
      <c r="S2973" s="61"/>
      <c r="T2973" s="82"/>
      <c r="W2973" s="103" t="str">
        <f t="shared" si="55"/>
        <v>1w</v>
      </c>
      <c r="X2973" s="101">
        <f>_xll.qlCalendarAdvance(Calendar,X2972,W2973,"f",FALSE)</f>
        <v>60167</v>
      </c>
      <c r="Y2973" s="104">
        <f>_xll.qlCalendarAdvance(Calendar,X2973,NDays&amp;"D")</f>
        <v>60169</v>
      </c>
      <c r="Z2973" s="105" t="e">
        <v>#N/A</v>
      </c>
      <c r="AA2973" s="102" t="e">
        <v>#N/A</v>
      </c>
    </row>
    <row r="2974" spans="19:27" x14ac:dyDescent="0.2">
      <c r="S2974" s="61"/>
      <c r="T2974" s="82"/>
      <c r="W2974" s="103" t="str">
        <f t="shared" si="55"/>
        <v>1w</v>
      </c>
      <c r="X2974" s="101">
        <f>_xll.qlCalendarAdvance(Calendar,X2973,W2974,"f",FALSE)</f>
        <v>60174</v>
      </c>
      <c r="Y2974" s="104">
        <f>_xll.qlCalendarAdvance(Calendar,X2974,NDays&amp;"D")</f>
        <v>60176</v>
      </c>
      <c r="Z2974" s="105" t="e">
        <v>#N/A</v>
      </c>
      <c r="AA2974" s="102" t="e">
        <v>#N/A</v>
      </c>
    </row>
    <row r="2975" spans="19:27" x14ac:dyDescent="0.2">
      <c r="S2975" s="61"/>
      <c r="T2975" s="82"/>
      <c r="W2975" s="103" t="str">
        <f t="shared" si="55"/>
        <v>1w</v>
      </c>
      <c r="X2975" s="101">
        <f>_xll.qlCalendarAdvance(Calendar,X2974,W2975,"f",FALSE)</f>
        <v>60181</v>
      </c>
      <c r="Y2975" s="104">
        <f>_xll.qlCalendarAdvance(Calendar,X2975,NDays&amp;"D")</f>
        <v>60183</v>
      </c>
      <c r="Z2975" s="105" t="e">
        <v>#N/A</v>
      </c>
      <c r="AA2975" s="102" t="e">
        <v>#N/A</v>
      </c>
    </row>
    <row r="2976" spans="19:27" x14ac:dyDescent="0.2">
      <c r="S2976" s="61"/>
      <c r="T2976" s="82"/>
      <c r="W2976" s="103" t="str">
        <f t="shared" si="55"/>
        <v>1w</v>
      </c>
      <c r="X2976" s="101">
        <f>_xll.qlCalendarAdvance(Calendar,X2975,W2976,"f",FALSE)</f>
        <v>60188</v>
      </c>
      <c r="Y2976" s="104">
        <f>_xll.qlCalendarAdvance(Calendar,X2976,NDays&amp;"D")</f>
        <v>60190</v>
      </c>
      <c r="Z2976" s="105" t="e">
        <v>#N/A</v>
      </c>
      <c r="AA2976" s="102" t="e">
        <v>#N/A</v>
      </c>
    </row>
    <row r="2977" spans="19:27" x14ac:dyDescent="0.2">
      <c r="S2977" s="61"/>
      <c r="T2977" s="82"/>
      <c r="W2977" s="103" t="str">
        <f t="shared" si="55"/>
        <v>1w</v>
      </c>
      <c r="X2977" s="101">
        <f>_xll.qlCalendarAdvance(Calendar,X2976,W2977,"f",FALSE)</f>
        <v>60195</v>
      </c>
      <c r="Y2977" s="104">
        <f>_xll.qlCalendarAdvance(Calendar,X2977,NDays&amp;"D")</f>
        <v>60197</v>
      </c>
      <c r="Z2977" s="105" t="e">
        <v>#N/A</v>
      </c>
      <c r="AA2977" s="102" t="e">
        <v>#N/A</v>
      </c>
    </row>
    <row r="2978" spans="19:27" x14ac:dyDescent="0.2">
      <c r="S2978" s="61"/>
      <c r="T2978" s="82"/>
      <c r="W2978" s="103" t="str">
        <f t="shared" si="55"/>
        <v>1w</v>
      </c>
      <c r="X2978" s="101">
        <f>_xll.qlCalendarAdvance(Calendar,X2977,W2978,"f",FALSE)</f>
        <v>60202</v>
      </c>
      <c r="Y2978" s="104">
        <f>_xll.qlCalendarAdvance(Calendar,X2978,NDays&amp;"D")</f>
        <v>60204</v>
      </c>
      <c r="Z2978" s="105" t="e">
        <v>#N/A</v>
      </c>
      <c r="AA2978" s="102" t="e">
        <v>#N/A</v>
      </c>
    </row>
    <row r="2979" spans="19:27" x14ac:dyDescent="0.2">
      <c r="S2979" s="61"/>
      <c r="T2979" s="82"/>
      <c r="W2979" s="103" t="str">
        <f t="shared" si="55"/>
        <v>1w</v>
      </c>
      <c r="X2979" s="101">
        <f>_xll.qlCalendarAdvance(Calendar,X2978,W2979,"f",FALSE)</f>
        <v>60209</v>
      </c>
      <c r="Y2979" s="104">
        <f>_xll.qlCalendarAdvance(Calendar,X2979,NDays&amp;"D")</f>
        <v>60211</v>
      </c>
      <c r="Z2979" s="105" t="e">
        <v>#N/A</v>
      </c>
      <c r="AA2979" s="102" t="e">
        <v>#N/A</v>
      </c>
    </row>
    <row r="2980" spans="19:27" x14ac:dyDescent="0.2">
      <c r="S2980" s="61"/>
      <c r="T2980" s="82"/>
      <c r="W2980" s="103" t="str">
        <f t="shared" si="55"/>
        <v>1w</v>
      </c>
      <c r="X2980" s="101">
        <f>_xll.qlCalendarAdvance(Calendar,X2979,W2980,"f",FALSE)</f>
        <v>60216</v>
      </c>
      <c r="Y2980" s="104">
        <f>_xll.qlCalendarAdvance(Calendar,X2980,NDays&amp;"D")</f>
        <v>60218</v>
      </c>
      <c r="Z2980" s="105" t="e">
        <v>#N/A</v>
      </c>
      <c r="AA2980" s="102" t="e">
        <v>#N/A</v>
      </c>
    </row>
    <row r="2981" spans="19:27" x14ac:dyDescent="0.2">
      <c r="S2981" s="61"/>
      <c r="T2981" s="82"/>
      <c r="W2981" s="103" t="str">
        <f t="shared" si="55"/>
        <v>1w</v>
      </c>
      <c r="X2981" s="101">
        <f>_xll.qlCalendarAdvance(Calendar,X2980,W2981,"f",FALSE)</f>
        <v>60223</v>
      </c>
      <c r="Y2981" s="104">
        <f>_xll.qlCalendarAdvance(Calendar,X2981,NDays&amp;"D")</f>
        <v>60225</v>
      </c>
      <c r="Z2981" s="105" t="e">
        <v>#N/A</v>
      </c>
      <c r="AA2981" s="102" t="e">
        <v>#N/A</v>
      </c>
    </row>
    <row r="2982" spans="19:27" x14ac:dyDescent="0.2">
      <c r="S2982" s="61"/>
      <c r="T2982" s="82"/>
      <c r="W2982" s="103" t="str">
        <f t="shared" si="55"/>
        <v>1w</v>
      </c>
      <c r="X2982" s="101">
        <f>_xll.qlCalendarAdvance(Calendar,X2981,W2982,"f",FALSE)</f>
        <v>60230</v>
      </c>
      <c r="Y2982" s="104">
        <f>_xll.qlCalendarAdvance(Calendar,X2982,NDays&amp;"D")</f>
        <v>60232</v>
      </c>
      <c r="Z2982" s="105" t="e">
        <v>#N/A</v>
      </c>
      <c r="AA2982" s="102" t="e">
        <v>#N/A</v>
      </c>
    </row>
    <row r="2983" spans="19:27" x14ac:dyDescent="0.2">
      <c r="S2983" s="61"/>
      <c r="T2983" s="82"/>
      <c r="W2983" s="103" t="str">
        <f t="shared" si="55"/>
        <v>1w</v>
      </c>
      <c r="X2983" s="101">
        <f>_xll.qlCalendarAdvance(Calendar,X2982,W2983,"f",FALSE)</f>
        <v>60237</v>
      </c>
      <c r="Y2983" s="104">
        <f>_xll.qlCalendarAdvance(Calendar,X2983,NDays&amp;"D")</f>
        <v>60239</v>
      </c>
      <c r="Z2983" s="105" t="e">
        <v>#N/A</v>
      </c>
      <c r="AA2983" s="102" t="e">
        <v>#N/A</v>
      </c>
    </row>
    <row r="2984" spans="19:27" x14ac:dyDescent="0.2">
      <c r="S2984" s="61"/>
      <c r="T2984" s="82"/>
      <c r="W2984" s="103" t="str">
        <f t="shared" si="55"/>
        <v>1w</v>
      </c>
      <c r="X2984" s="101">
        <f>_xll.qlCalendarAdvance(Calendar,X2983,W2984,"f",FALSE)</f>
        <v>60244</v>
      </c>
      <c r="Y2984" s="104">
        <f>_xll.qlCalendarAdvance(Calendar,X2984,NDays&amp;"D")</f>
        <v>60246</v>
      </c>
      <c r="Z2984" s="105" t="e">
        <v>#N/A</v>
      </c>
      <c r="AA2984" s="102" t="e">
        <v>#N/A</v>
      </c>
    </row>
    <row r="2985" spans="19:27" x14ac:dyDescent="0.2">
      <c r="S2985" s="61"/>
      <c r="T2985" s="82"/>
      <c r="W2985" s="103" t="str">
        <f t="shared" si="55"/>
        <v>1w</v>
      </c>
      <c r="X2985" s="101">
        <f>_xll.qlCalendarAdvance(Calendar,X2984,W2985,"f",FALSE)</f>
        <v>60251</v>
      </c>
      <c r="Y2985" s="104">
        <f>_xll.qlCalendarAdvance(Calendar,X2985,NDays&amp;"D")</f>
        <v>60253</v>
      </c>
      <c r="Z2985" s="105" t="e">
        <v>#N/A</v>
      </c>
      <c r="AA2985" s="102" t="e">
        <v>#N/A</v>
      </c>
    </row>
    <row r="2986" spans="19:27" x14ac:dyDescent="0.2">
      <c r="S2986" s="61"/>
      <c r="T2986" s="82"/>
      <c r="W2986" s="103" t="str">
        <f t="shared" si="55"/>
        <v>1w</v>
      </c>
      <c r="X2986" s="101">
        <f>_xll.qlCalendarAdvance(Calendar,X2985,W2986,"f",FALSE)</f>
        <v>60258</v>
      </c>
      <c r="Y2986" s="104">
        <f>_xll.qlCalendarAdvance(Calendar,X2986,NDays&amp;"D")</f>
        <v>60265</v>
      </c>
      <c r="Z2986" s="105" t="e">
        <v>#N/A</v>
      </c>
      <c r="AA2986" s="102" t="e">
        <v>#N/A</v>
      </c>
    </row>
    <row r="2987" spans="19:27" x14ac:dyDescent="0.2">
      <c r="S2987" s="61"/>
      <c r="T2987" s="82"/>
      <c r="W2987" s="103" t="str">
        <f t="shared" si="55"/>
        <v>1w</v>
      </c>
      <c r="X2987" s="101">
        <f>_xll.qlCalendarAdvance(Calendar,X2986,W2987,"f",FALSE)</f>
        <v>60265</v>
      </c>
      <c r="Y2987" s="104">
        <f>_xll.qlCalendarAdvance(Calendar,X2987,NDays&amp;"D")</f>
        <v>60269</v>
      </c>
      <c r="Z2987" s="105" t="e">
        <v>#N/A</v>
      </c>
      <c r="AA2987" s="102" t="e">
        <v>#N/A</v>
      </c>
    </row>
    <row r="2988" spans="19:27" x14ac:dyDescent="0.2">
      <c r="S2988" s="61"/>
      <c r="T2988" s="82"/>
      <c r="W2988" s="103" t="str">
        <f t="shared" si="55"/>
        <v>1w</v>
      </c>
      <c r="X2988" s="101">
        <f>_xll.qlCalendarAdvance(Calendar,X2987,W2988,"f",FALSE)</f>
        <v>60272</v>
      </c>
      <c r="Y2988" s="104">
        <f>_xll.qlCalendarAdvance(Calendar,X2988,NDays&amp;"D")</f>
        <v>60275</v>
      </c>
      <c r="Z2988" s="105" t="e">
        <v>#N/A</v>
      </c>
      <c r="AA2988" s="102" t="e">
        <v>#N/A</v>
      </c>
    </row>
    <row r="2989" spans="19:27" x14ac:dyDescent="0.2">
      <c r="S2989" s="61"/>
      <c r="T2989" s="82"/>
      <c r="W2989" s="103" t="str">
        <f t="shared" si="55"/>
        <v>1w</v>
      </c>
      <c r="X2989" s="101">
        <f>_xll.qlCalendarAdvance(Calendar,X2988,W2989,"f",FALSE)</f>
        <v>60279</v>
      </c>
      <c r="Y2989" s="104">
        <f>_xll.qlCalendarAdvance(Calendar,X2989,NDays&amp;"D")</f>
        <v>60281</v>
      </c>
      <c r="Z2989" s="105" t="e">
        <v>#N/A</v>
      </c>
      <c r="AA2989" s="102" t="e">
        <v>#N/A</v>
      </c>
    </row>
    <row r="2990" spans="19:27" x14ac:dyDescent="0.2">
      <c r="S2990" s="61"/>
      <c r="T2990" s="82"/>
      <c r="W2990" s="103" t="str">
        <f t="shared" si="55"/>
        <v>1w</v>
      </c>
      <c r="X2990" s="101">
        <f>_xll.qlCalendarAdvance(Calendar,X2989,W2990,"f",FALSE)</f>
        <v>60286</v>
      </c>
      <c r="Y2990" s="104">
        <f>_xll.qlCalendarAdvance(Calendar,X2990,NDays&amp;"D")</f>
        <v>60288</v>
      </c>
      <c r="Z2990" s="105" t="e">
        <v>#N/A</v>
      </c>
      <c r="AA2990" s="102" t="e">
        <v>#N/A</v>
      </c>
    </row>
    <row r="2991" spans="19:27" x14ac:dyDescent="0.2">
      <c r="S2991" s="61"/>
      <c r="T2991" s="82"/>
      <c r="W2991" s="103" t="str">
        <f t="shared" si="55"/>
        <v>1w</v>
      </c>
      <c r="X2991" s="101">
        <f>_xll.qlCalendarAdvance(Calendar,X2990,W2991,"f",FALSE)</f>
        <v>60293</v>
      </c>
      <c r="Y2991" s="104">
        <f>_xll.qlCalendarAdvance(Calendar,X2991,NDays&amp;"D")</f>
        <v>60295</v>
      </c>
      <c r="Z2991" s="105" t="e">
        <v>#N/A</v>
      </c>
      <c r="AA2991" s="102" t="e">
        <v>#N/A</v>
      </c>
    </row>
    <row r="2992" spans="19:27" x14ac:dyDescent="0.2">
      <c r="S2992" s="61"/>
      <c r="T2992" s="82"/>
      <c r="W2992" s="103" t="str">
        <f t="shared" si="55"/>
        <v>1w</v>
      </c>
      <c r="X2992" s="101">
        <f>_xll.qlCalendarAdvance(Calendar,X2991,W2992,"f",FALSE)</f>
        <v>60300</v>
      </c>
      <c r="Y2992" s="104">
        <f>_xll.qlCalendarAdvance(Calendar,X2992,NDays&amp;"D")</f>
        <v>60302</v>
      </c>
      <c r="Z2992" s="105" t="e">
        <v>#N/A</v>
      </c>
      <c r="AA2992" s="102" t="e">
        <v>#N/A</v>
      </c>
    </row>
    <row r="2993" spans="19:27" x14ac:dyDescent="0.2">
      <c r="S2993" s="61"/>
      <c r="T2993" s="82"/>
      <c r="W2993" s="103" t="str">
        <f t="shared" si="55"/>
        <v>1w</v>
      </c>
      <c r="X2993" s="101">
        <f>_xll.qlCalendarAdvance(Calendar,X2992,W2993,"f",FALSE)</f>
        <v>60307</v>
      </c>
      <c r="Y2993" s="104">
        <f>_xll.qlCalendarAdvance(Calendar,X2993,NDays&amp;"D")</f>
        <v>60309</v>
      </c>
      <c r="Z2993" s="105" t="e">
        <v>#N/A</v>
      </c>
      <c r="AA2993" s="102" t="e">
        <v>#N/A</v>
      </c>
    </row>
    <row r="2994" spans="19:27" x14ac:dyDescent="0.2">
      <c r="S2994" s="61"/>
      <c r="T2994" s="82"/>
      <c r="W2994" s="103" t="str">
        <f t="shared" si="55"/>
        <v>1w</v>
      </c>
      <c r="X2994" s="101">
        <f>_xll.qlCalendarAdvance(Calendar,X2993,W2994,"f",FALSE)</f>
        <v>60314</v>
      </c>
      <c r="Y2994" s="104">
        <f>_xll.qlCalendarAdvance(Calendar,X2994,NDays&amp;"D")</f>
        <v>60316</v>
      </c>
      <c r="Z2994" s="105" t="e">
        <v>#N/A</v>
      </c>
      <c r="AA2994" s="102" t="e">
        <v>#N/A</v>
      </c>
    </row>
    <row r="2995" spans="19:27" x14ac:dyDescent="0.2">
      <c r="S2995" s="61"/>
      <c r="T2995" s="82"/>
      <c r="W2995" s="103" t="str">
        <f t="shared" si="55"/>
        <v>1w</v>
      </c>
      <c r="X2995" s="101">
        <f>_xll.qlCalendarAdvance(Calendar,X2994,W2995,"f",FALSE)</f>
        <v>60321</v>
      </c>
      <c r="Y2995" s="104">
        <f>_xll.qlCalendarAdvance(Calendar,X2995,NDays&amp;"D")</f>
        <v>60323</v>
      </c>
      <c r="Z2995" s="105" t="e">
        <v>#N/A</v>
      </c>
      <c r="AA2995" s="102" t="e">
        <v>#N/A</v>
      </c>
    </row>
    <row r="2996" spans="19:27" x14ac:dyDescent="0.2">
      <c r="S2996" s="61"/>
      <c r="T2996" s="82"/>
      <c r="W2996" s="103" t="str">
        <f t="shared" si="55"/>
        <v>1w</v>
      </c>
      <c r="X2996" s="101">
        <f>_xll.qlCalendarAdvance(Calendar,X2995,W2996,"f",FALSE)</f>
        <v>60328</v>
      </c>
      <c r="Y2996" s="104">
        <f>_xll.qlCalendarAdvance(Calendar,X2996,NDays&amp;"D")</f>
        <v>60330</v>
      </c>
      <c r="Z2996" s="105" t="e">
        <v>#N/A</v>
      </c>
      <c r="AA2996" s="102" t="e">
        <v>#N/A</v>
      </c>
    </row>
    <row r="2997" spans="19:27" x14ac:dyDescent="0.2">
      <c r="S2997" s="61"/>
      <c r="T2997" s="82"/>
      <c r="W2997" s="103" t="str">
        <f t="shared" si="55"/>
        <v>1w</v>
      </c>
      <c r="X2997" s="101">
        <f>_xll.qlCalendarAdvance(Calendar,X2996,W2997,"f",FALSE)</f>
        <v>60335</v>
      </c>
      <c r="Y2997" s="104">
        <f>_xll.qlCalendarAdvance(Calendar,X2997,NDays&amp;"D")</f>
        <v>60337</v>
      </c>
      <c r="Z2997" s="105" t="e">
        <v>#N/A</v>
      </c>
      <c r="AA2997" s="102" t="e">
        <v>#N/A</v>
      </c>
    </row>
    <row r="2998" spans="19:27" x14ac:dyDescent="0.2">
      <c r="S2998" s="61"/>
      <c r="T2998" s="82"/>
      <c r="W2998" s="103" t="str">
        <f t="shared" si="55"/>
        <v>1w</v>
      </c>
      <c r="X2998" s="101">
        <f>_xll.qlCalendarAdvance(Calendar,X2997,W2998,"f",FALSE)</f>
        <v>60342</v>
      </c>
      <c r="Y2998" s="104">
        <f>_xll.qlCalendarAdvance(Calendar,X2998,NDays&amp;"D")</f>
        <v>60344</v>
      </c>
      <c r="Z2998" s="105" t="e">
        <v>#N/A</v>
      </c>
      <c r="AA2998" s="102" t="e">
        <v>#N/A</v>
      </c>
    </row>
    <row r="2999" spans="19:27" x14ac:dyDescent="0.2">
      <c r="S2999" s="61"/>
      <c r="T2999" s="82"/>
      <c r="W2999" s="103" t="str">
        <f t="shared" si="55"/>
        <v>1w</v>
      </c>
      <c r="X2999" s="101">
        <f>_xll.qlCalendarAdvance(Calendar,X2998,W2999,"f",FALSE)</f>
        <v>60349</v>
      </c>
      <c r="Y2999" s="104">
        <f>_xll.qlCalendarAdvance(Calendar,X2999,NDays&amp;"D")</f>
        <v>60351</v>
      </c>
      <c r="Z2999" s="105" t="e">
        <v>#N/A</v>
      </c>
      <c r="AA2999" s="102" t="e">
        <v>#N/A</v>
      </c>
    </row>
    <row r="3000" spans="19:27" x14ac:dyDescent="0.2">
      <c r="S3000" s="61"/>
      <c r="T3000" s="82"/>
      <c r="W3000" s="103" t="str">
        <f t="shared" si="55"/>
        <v>1w</v>
      </c>
      <c r="X3000" s="101">
        <f>_xll.qlCalendarAdvance(Calendar,X2999,W3000,"f",FALSE)</f>
        <v>60357</v>
      </c>
      <c r="Y3000" s="104">
        <f>_xll.qlCalendarAdvance(Calendar,X3000,NDays&amp;"D")</f>
        <v>60359</v>
      </c>
      <c r="Z3000" s="105" t="e">
        <v>#N/A</v>
      </c>
      <c r="AA3000" s="102" t="e">
        <v>#N/A</v>
      </c>
    </row>
    <row r="3001" spans="19:27" x14ac:dyDescent="0.2">
      <c r="S3001" s="61"/>
      <c r="T3001" s="82"/>
      <c r="W3001" s="103" t="str">
        <f t="shared" si="55"/>
        <v>1w</v>
      </c>
      <c r="X3001" s="101">
        <f>_xll.qlCalendarAdvance(Calendar,X3000,W3001,"f",FALSE)</f>
        <v>60364</v>
      </c>
      <c r="Y3001" s="104">
        <f>_xll.qlCalendarAdvance(Calendar,X3001,NDays&amp;"D")</f>
        <v>60366</v>
      </c>
      <c r="Z3001" s="105" t="e">
        <v>#N/A</v>
      </c>
      <c r="AA3001" s="102" t="e">
        <v>#N/A</v>
      </c>
    </row>
    <row r="3002" spans="19:27" x14ac:dyDescent="0.2">
      <c r="S3002" s="61"/>
      <c r="T3002" s="82"/>
      <c r="W3002" s="103" t="str">
        <f t="shared" si="55"/>
        <v>1w</v>
      </c>
      <c r="X3002" s="101">
        <f>_xll.qlCalendarAdvance(Calendar,X3001,W3002,"f",FALSE)</f>
        <v>60371</v>
      </c>
      <c r="Y3002" s="104">
        <f>_xll.qlCalendarAdvance(Calendar,X3002,NDays&amp;"D")</f>
        <v>60373</v>
      </c>
      <c r="Z3002" s="105" t="e">
        <v>#N/A</v>
      </c>
      <c r="AA3002" s="102" t="e">
        <v>#N/A</v>
      </c>
    </row>
    <row r="3003" spans="19:27" x14ac:dyDescent="0.2">
      <c r="S3003" s="61"/>
      <c r="T3003" s="82"/>
      <c r="W3003" s="103" t="str">
        <f t="shared" si="55"/>
        <v>1w</v>
      </c>
      <c r="X3003" s="101">
        <f>_xll.qlCalendarAdvance(Calendar,X3002,W3003,"f",FALSE)</f>
        <v>60378</v>
      </c>
      <c r="Y3003" s="104">
        <f>_xll.qlCalendarAdvance(Calendar,X3003,NDays&amp;"D")</f>
        <v>60380</v>
      </c>
      <c r="Z3003" s="105" t="e">
        <v>#N/A</v>
      </c>
      <c r="AA3003" s="102" t="e">
        <v>#N/A</v>
      </c>
    </row>
    <row r="3004" spans="19:27" x14ac:dyDescent="0.2">
      <c r="S3004" s="61"/>
      <c r="T3004" s="82"/>
      <c r="W3004" s="103" t="str">
        <f t="shared" si="55"/>
        <v>1w</v>
      </c>
      <c r="X3004" s="101">
        <f>_xll.qlCalendarAdvance(Calendar,X3003,W3004,"f",FALSE)</f>
        <v>60385</v>
      </c>
      <c r="Y3004" s="104">
        <f>_xll.qlCalendarAdvance(Calendar,X3004,NDays&amp;"D")</f>
        <v>60387</v>
      </c>
      <c r="Z3004" s="105" t="e">
        <v>#N/A</v>
      </c>
      <c r="AA3004" s="102" t="e">
        <v>#N/A</v>
      </c>
    </row>
    <row r="3005" spans="19:27" x14ac:dyDescent="0.2">
      <c r="S3005" s="61"/>
      <c r="T3005" s="82"/>
      <c r="W3005" s="103" t="str">
        <f t="shared" si="55"/>
        <v>1w</v>
      </c>
      <c r="X3005" s="101">
        <f>_xll.qlCalendarAdvance(Calendar,X3004,W3005,"f",FALSE)</f>
        <v>60392</v>
      </c>
      <c r="Y3005" s="104">
        <f>_xll.qlCalendarAdvance(Calendar,X3005,NDays&amp;"D")</f>
        <v>60395</v>
      </c>
      <c r="Z3005" s="105" t="e">
        <v>#N/A</v>
      </c>
      <c r="AA3005" s="102" t="e">
        <v>#N/A</v>
      </c>
    </row>
    <row r="3006" spans="19:27" x14ac:dyDescent="0.2">
      <c r="S3006" s="61"/>
      <c r="T3006" s="82"/>
      <c r="W3006" s="103" t="str">
        <f t="shared" si="55"/>
        <v>1w</v>
      </c>
      <c r="X3006" s="101">
        <f>_xll.qlCalendarAdvance(Calendar,X3005,W3006,"f",FALSE)</f>
        <v>60399</v>
      </c>
      <c r="Y3006" s="104">
        <f>_xll.qlCalendarAdvance(Calendar,X3006,NDays&amp;"D")</f>
        <v>60401</v>
      </c>
      <c r="Z3006" s="105" t="e">
        <v>#N/A</v>
      </c>
      <c r="AA3006" s="102" t="e">
        <v>#N/A</v>
      </c>
    </row>
    <row r="3007" spans="19:27" x14ac:dyDescent="0.2">
      <c r="S3007" s="61"/>
      <c r="T3007" s="82"/>
      <c r="W3007" s="103" t="str">
        <f t="shared" si="55"/>
        <v>1w</v>
      </c>
      <c r="X3007" s="101">
        <f>_xll.qlCalendarAdvance(Calendar,X3006,W3007,"f",FALSE)</f>
        <v>60406</v>
      </c>
      <c r="Y3007" s="104">
        <f>_xll.qlCalendarAdvance(Calendar,X3007,NDays&amp;"D")</f>
        <v>60408</v>
      </c>
      <c r="Z3007" s="105" t="e">
        <v>#N/A</v>
      </c>
      <c r="AA3007" s="102" t="e">
        <v>#N/A</v>
      </c>
    </row>
    <row r="3008" spans="19:27" x14ac:dyDescent="0.2">
      <c r="S3008" s="61"/>
      <c r="T3008" s="82"/>
      <c r="W3008" s="103" t="str">
        <f t="shared" si="55"/>
        <v>1w</v>
      </c>
      <c r="X3008" s="101">
        <f>_xll.qlCalendarAdvance(Calendar,X3007,W3008,"f",FALSE)</f>
        <v>60413</v>
      </c>
      <c r="Y3008" s="104">
        <f>_xll.qlCalendarAdvance(Calendar,X3008,NDays&amp;"D")</f>
        <v>60415</v>
      </c>
      <c r="Z3008" s="105" t="e">
        <v>#N/A</v>
      </c>
      <c r="AA3008" s="102" t="e">
        <v>#N/A</v>
      </c>
    </row>
    <row r="3009" spans="19:27" x14ac:dyDescent="0.2">
      <c r="S3009" s="61"/>
      <c r="T3009" s="82"/>
      <c r="W3009" s="103" t="str">
        <f t="shared" si="55"/>
        <v>1w</v>
      </c>
      <c r="X3009" s="101">
        <f>_xll.qlCalendarAdvance(Calendar,X3008,W3009,"f",FALSE)</f>
        <v>60420</v>
      </c>
      <c r="Y3009" s="104">
        <f>_xll.qlCalendarAdvance(Calendar,X3009,NDays&amp;"D")</f>
        <v>60422</v>
      </c>
      <c r="Z3009" s="105" t="e">
        <v>#N/A</v>
      </c>
      <c r="AA3009" s="102" t="e">
        <v>#N/A</v>
      </c>
    </row>
    <row r="3010" spans="19:27" x14ac:dyDescent="0.2">
      <c r="S3010" s="61"/>
      <c r="T3010" s="82"/>
      <c r="W3010" s="103" t="str">
        <f t="shared" si="55"/>
        <v>1w</v>
      </c>
      <c r="X3010" s="101">
        <f>_xll.qlCalendarAdvance(Calendar,X3009,W3010,"f",FALSE)</f>
        <v>60427</v>
      </c>
      <c r="Y3010" s="104">
        <f>_xll.qlCalendarAdvance(Calendar,X3010,NDays&amp;"D")</f>
        <v>60429</v>
      </c>
      <c r="Z3010" s="105" t="e">
        <v>#N/A</v>
      </c>
      <c r="AA3010" s="102" t="e">
        <v>#N/A</v>
      </c>
    </row>
    <row r="3011" spans="19:27" x14ac:dyDescent="0.2">
      <c r="S3011" s="61"/>
      <c r="T3011" s="82"/>
      <c r="W3011" s="103" t="str">
        <f t="shared" si="55"/>
        <v>1w</v>
      </c>
      <c r="X3011" s="101">
        <f>_xll.qlCalendarAdvance(Calendar,X3010,W3011,"f",FALSE)</f>
        <v>60434</v>
      </c>
      <c r="Y3011" s="104">
        <f>_xll.qlCalendarAdvance(Calendar,X3011,NDays&amp;"D")</f>
        <v>60436</v>
      </c>
      <c r="Z3011" s="105" t="e">
        <v>#N/A</v>
      </c>
      <c r="AA3011" s="102" t="e">
        <v>#N/A</v>
      </c>
    </row>
    <row r="3012" spans="19:27" x14ac:dyDescent="0.2">
      <c r="S3012" s="61"/>
      <c r="T3012" s="82"/>
      <c r="W3012" s="103" t="str">
        <f t="shared" si="55"/>
        <v>1w</v>
      </c>
      <c r="X3012" s="101">
        <f>_xll.qlCalendarAdvance(Calendar,X3011,W3012,"f",FALSE)</f>
        <v>60441</v>
      </c>
      <c r="Y3012" s="104">
        <f>_xll.qlCalendarAdvance(Calendar,X3012,NDays&amp;"D")</f>
        <v>60443</v>
      </c>
      <c r="Z3012" s="105" t="e">
        <v>#N/A</v>
      </c>
      <c r="AA3012" s="102" t="e">
        <v>#N/A</v>
      </c>
    </row>
    <row r="3013" spans="19:27" x14ac:dyDescent="0.2">
      <c r="S3013" s="61"/>
      <c r="T3013" s="82"/>
      <c r="W3013" s="103" t="str">
        <f t="shared" si="55"/>
        <v>1w</v>
      </c>
      <c r="X3013" s="101">
        <f>_xll.qlCalendarAdvance(Calendar,X3012,W3013,"f",FALSE)</f>
        <v>60448</v>
      </c>
      <c r="Y3013" s="104">
        <f>_xll.qlCalendarAdvance(Calendar,X3013,NDays&amp;"D")</f>
        <v>60450</v>
      </c>
      <c r="Z3013" s="105" t="e">
        <v>#N/A</v>
      </c>
      <c r="AA3013" s="102" t="e">
        <v>#N/A</v>
      </c>
    </row>
    <row r="3014" spans="19:27" x14ac:dyDescent="0.2">
      <c r="S3014" s="61"/>
      <c r="T3014" s="82"/>
      <c r="W3014" s="103" t="str">
        <f t="shared" si="55"/>
        <v>1w</v>
      </c>
      <c r="X3014" s="101">
        <f>_xll.qlCalendarAdvance(Calendar,X3013,W3014,"f",FALSE)</f>
        <v>60455</v>
      </c>
      <c r="Y3014" s="104">
        <f>_xll.qlCalendarAdvance(Calendar,X3014,NDays&amp;"D")</f>
        <v>60457</v>
      </c>
      <c r="Z3014" s="105" t="e">
        <v>#N/A</v>
      </c>
      <c r="AA3014" s="102" t="e">
        <v>#N/A</v>
      </c>
    </row>
    <row r="3015" spans="19:27" x14ac:dyDescent="0.2">
      <c r="S3015" s="61"/>
      <c r="T3015" s="82"/>
      <c r="W3015" s="103" t="str">
        <f t="shared" si="55"/>
        <v>1w</v>
      </c>
      <c r="X3015" s="101">
        <f>_xll.qlCalendarAdvance(Calendar,X3014,W3015,"f",FALSE)</f>
        <v>60462</v>
      </c>
      <c r="Y3015" s="104">
        <f>_xll.qlCalendarAdvance(Calendar,X3015,NDays&amp;"D")</f>
        <v>60464</v>
      </c>
      <c r="Z3015" s="105" t="e">
        <v>#N/A</v>
      </c>
      <c r="AA3015" s="102" t="e">
        <v>#N/A</v>
      </c>
    </row>
    <row r="3016" spans="19:27" x14ac:dyDescent="0.2">
      <c r="S3016" s="61"/>
      <c r="T3016" s="82"/>
      <c r="W3016" s="103" t="str">
        <f t="shared" si="55"/>
        <v>1w</v>
      </c>
      <c r="X3016" s="101">
        <f>_xll.qlCalendarAdvance(Calendar,X3015,W3016,"f",FALSE)</f>
        <v>60469</v>
      </c>
      <c r="Y3016" s="104">
        <f>_xll.qlCalendarAdvance(Calendar,X3016,NDays&amp;"D")</f>
        <v>60471</v>
      </c>
      <c r="Z3016" s="105" t="e">
        <v>#N/A</v>
      </c>
      <c r="AA3016" s="102" t="e">
        <v>#N/A</v>
      </c>
    </row>
    <row r="3017" spans="19:27" x14ac:dyDescent="0.2">
      <c r="S3017" s="61"/>
      <c r="T3017" s="82"/>
      <c r="W3017" s="103" t="str">
        <f t="shared" si="55"/>
        <v>1w</v>
      </c>
      <c r="X3017" s="101">
        <f>_xll.qlCalendarAdvance(Calendar,X3016,W3017,"f",FALSE)</f>
        <v>60476</v>
      </c>
      <c r="Y3017" s="104">
        <f>_xll.qlCalendarAdvance(Calendar,X3017,NDays&amp;"D")</f>
        <v>60478</v>
      </c>
      <c r="Z3017" s="105" t="e">
        <v>#N/A</v>
      </c>
      <c r="AA3017" s="102" t="e">
        <v>#N/A</v>
      </c>
    </row>
    <row r="3018" spans="19:27" x14ac:dyDescent="0.2">
      <c r="S3018" s="61"/>
      <c r="T3018" s="82"/>
      <c r="W3018" s="103" t="str">
        <f t="shared" si="55"/>
        <v>1w</v>
      </c>
      <c r="X3018" s="101">
        <f>_xll.qlCalendarAdvance(Calendar,X3017,W3018,"f",FALSE)</f>
        <v>60483</v>
      </c>
      <c r="Y3018" s="104">
        <f>_xll.qlCalendarAdvance(Calendar,X3018,NDays&amp;"D")</f>
        <v>60485</v>
      </c>
      <c r="Z3018" s="105" t="e">
        <v>#N/A</v>
      </c>
      <c r="AA3018" s="102" t="e">
        <v>#N/A</v>
      </c>
    </row>
    <row r="3019" spans="19:27" x14ac:dyDescent="0.2">
      <c r="S3019" s="61"/>
      <c r="T3019" s="82"/>
      <c r="W3019" s="103" t="str">
        <f t="shared" si="55"/>
        <v>1w</v>
      </c>
      <c r="X3019" s="101">
        <f>_xll.qlCalendarAdvance(Calendar,X3018,W3019,"f",FALSE)</f>
        <v>60490</v>
      </c>
      <c r="Y3019" s="104">
        <f>_xll.qlCalendarAdvance(Calendar,X3019,NDays&amp;"D")</f>
        <v>60492</v>
      </c>
      <c r="Z3019" s="105" t="e">
        <v>#N/A</v>
      </c>
      <c r="AA3019" s="102" t="e">
        <v>#N/A</v>
      </c>
    </row>
    <row r="3020" spans="19:27" x14ac:dyDescent="0.2">
      <c r="S3020" s="61"/>
      <c r="T3020" s="82"/>
      <c r="W3020" s="103" t="str">
        <f t="shared" si="55"/>
        <v>1w</v>
      </c>
      <c r="X3020" s="101">
        <f>_xll.qlCalendarAdvance(Calendar,X3019,W3020,"f",FALSE)</f>
        <v>60497</v>
      </c>
      <c r="Y3020" s="104">
        <f>_xll.qlCalendarAdvance(Calendar,X3020,NDays&amp;"D")</f>
        <v>60499</v>
      </c>
      <c r="Z3020" s="105" t="e">
        <v>#N/A</v>
      </c>
      <c r="AA3020" s="102" t="e">
        <v>#N/A</v>
      </c>
    </row>
    <row r="3021" spans="19:27" x14ac:dyDescent="0.2">
      <c r="S3021" s="61"/>
      <c r="T3021" s="82"/>
      <c r="W3021" s="103" t="str">
        <f t="shared" si="55"/>
        <v>1w</v>
      </c>
      <c r="X3021" s="101">
        <f>_xll.qlCalendarAdvance(Calendar,X3020,W3021,"f",FALSE)</f>
        <v>60504</v>
      </c>
      <c r="Y3021" s="104">
        <f>_xll.qlCalendarAdvance(Calendar,X3021,NDays&amp;"D")</f>
        <v>60506</v>
      </c>
      <c r="Z3021" s="105" t="e">
        <v>#N/A</v>
      </c>
      <c r="AA3021" s="102" t="e">
        <v>#N/A</v>
      </c>
    </row>
    <row r="3022" spans="19:27" x14ac:dyDescent="0.2">
      <c r="S3022" s="61"/>
      <c r="T3022" s="82"/>
      <c r="W3022" s="103" t="str">
        <f t="shared" si="55"/>
        <v>1w</v>
      </c>
      <c r="X3022" s="101">
        <f>_xll.qlCalendarAdvance(Calendar,X3021,W3022,"f",FALSE)</f>
        <v>60511</v>
      </c>
      <c r="Y3022" s="104">
        <f>_xll.qlCalendarAdvance(Calendar,X3022,NDays&amp;"D")</f>
        <v>60513</v>
      </c>
      <c r="Z3022" s="105" t="e">
        <v>#N/A</v>
      </c>
      <c r="AA3022" s="102" t="e">
        <v>#N/A</v>
      </c>
    </row>
    <row r="3023" spans="19:27" x14ac:dyDescent="0.2">
      <c r="S3023" s="61"/>
      <c r="T3023" s="82"/>
      <c r="W3023" s="103" t="str">
        <f t="shared" si="55"/>
        <v>1w</v>
      </c>
      <c r="X3023" s="101">
        <f>_xll.qlCalendarAdvance(Calendar,X3022,W3023,"f",FALSE)</f>
        <v>60518</v>
      </c>
      <c r="Y3023" s="104">
        <f>_xll.qlCalendarAdvance(Calendar,X3023,NDays&amp;"D")</f>
        <v>60520</v>
      </c>
      <c r="Z3023" s="105" t="e">
        <v>#N/A</v>
      </c>
      <c r="AA3023" s="102" t="e">
        <v>#N/A</v>
      </c>
    </row>
    <row r="3024" spans="19:27" x14ac:dyDescent="0.2">
      <c r="S3024" s="61"/>
      <c r="T3024" s="82"/>
      <c r="W3024" s="103" t="str">
        <f t="shared" si="55"/>
        <v>1w</v>
      </c>
      <c r="X3024" s="101">
        <f>_xll.qlCalendarAdvance(Calendar,X3023,W3024,"f",FALSE)</f>
        <v>60525</v>
      </c>
      <c r="Y3024" s="104">
        <f>_xll.qlCalendarAdvance(Calendar,X3024,NDays&amp;"D")</f>
        <v>60527</v>
      </c>
      <c r="Z3024" s="105" t="e">
        <v>#N/A</v>
      </c>
      <c r="AA3024" s="102" t="e">
        <v>#N/A</v>
      </c>
    </row>
    <row r="3025" spans="19:27" x14ac:dyDescent="0.2">
      <c r="S3025" s="61"/>
      <c r="T3025" s="82"/>
      <c r="W3025" s="103" t="str">
        <f t="shared" si="55"/>
        <v>1w</v>
      </c>
      <c r="X3025" s="101">
        <f>_xll.qlCalendarAdvance(Calendar,X3024,W3025,"f",FALSE)</f>
        <v>60532</v>
      </c>
      <c r="Y3025" s="104">
        <f>_xll.qlCalendarAdvance(Calendar,X3025,NDays&amp;"D")</f>
        <v>60534</v>
      </c>
      <c r="Z3025" s="105" t="e">
        <v>#N/A</v>
      </c>
      <c r="AA3025" s="102" t="e">
        <v>#N/A</v>
      </c>
    </row>
    <row r="3026" spans="19:27" x14ac:dyDescent="0.2">
      <c r="S3026" s="61"/>
      <c r="T3026" s="82"/>
      <c r="W3026" s="103" t="str">
        <f t="shared" si="55"/>
        <v>1w</v>
      </c>
      <c r="X3026" s="101">
        <f>_xll.qlCalendarAdvance(Calendar,X3025,W3026,"f",FALSE)</f>
        <v>60539</v>
      </c>
      <c r="Y3026" s="104">
        <f>_xll.qlCalendarAdvance(Calendar,X3026,NDays&amp;"D")</f>
        <v>60541</v>
      </c>
      <c r="Z3026" s="105" t="e">
        <v>#N/A</v>
      </c>
      <c r="AA3026" s="102" t="e">
        <v>#N/A</v>
      </c>
    </row>
    <row r="3027" spans="19:27" x14ac:dyDescent="0.2">
      <c r="S3027" s="61"/>
      <c r="T3027" s="82"/>
      <c r="W3027" s="103" t="str">
        <f t="shared" si="55"/>
        <v>1w</v>
      </c>
      <c r="X3027" s="101">
        <f>_xll.qlCalendarAdvance(Calendar,X3026,W3027,"f",FALSE)</f>
        <v>60546</v>
      </c>
      <c r="Y3027" s="104">
        <f>_xll.qlCalendarAdvance(Calendar,X3027,NDays&amp;"D")</f>
        <v>60548</v>
      </c>
      <c r="Z3027" s="105" t="e">
        <v>#N/A</v>
      </c>
      <c r="AA3027" s="102" t="e">
        <v>#N/A</v>
      </c>
    </row>
    <row r="3028" spans="19:27" x14ac:dyDescent="0.2">
      <c r="S3028" s="61"/>
      <c r="T3028" s="82"/>
      <c r="W3028" s="103" t="str">
        <f t="shared" si="55"/>
        <v>1w</v>
      </c>
      <c r="X3028" s="101">
        <f>_xll.qlCalendarAdvance(Calendar,X3027,W3028,"f",FALSE)</f>
        <v>60553</v>
      </c>
      <c r="Y3028" s="104">
        <f>_xll.qlCalendarAdvance(Calendar,X3028,NDays&amp;"D")</f>
        <v>60555</v>
      </c>
      <c r="Z3028" s="105" t="e">
        <v>#N/A</v>
      </c>
      <c r="AA3028" s="102" t="e">
        <v>#N/A</v>
      </c>
    </row>
    <row r="3029" spans="19:27" x14ac:dyDescent="0.2">
      <c r="S3029" s="61"/>
      <c r="T3029" s="82"/>
      <c r="W3029" s="103" t="str">
        <f t="shared" ref="W3029:W3092" si="56">W3028</f>
        <v>1w</v>
      </c>
      <c r="X3029" s="101">
        <f>_xll.qlCalendarAdvance(Calendar,X3028,W3029,"f",FALSE)</f>
        <v>60560</v>
      </c>
      <c r="Y3029" s="104">
        <f>_xll.qlCalendarAdvance(Calendar,X3029,NDays&amp;"D")</f>
        <v>60562</v>
      </c>
      <c r="Z3029" s="105" t="e">
        <v>#N/A</v>
      </c>
      <c r="AA3029" s="102" t="e">
        <v>#N/A</v>
      </c>
    </row>
    <row r="3030" spans="19:27" x14ac:dyDescent="0.2">
      <c r="S3030" s="61"/>
      <c r="T3030" s="82"/>
      <c r="W3030" s="103" t="str">
        <f t="shared" si="56"/>
        <v>1w</v>
      </c>
      <c r="X3030" s="101">
        <f>_xll.qlCalendarAdvance(Calendar,X3029,W3030,"f",FALSE)</f>
        <v>60567</v>
      </c>
      <c r="Y3030" s="104">
        <f>_xll.qlCalendarAdvance(Calendar,X3030,NDays&amp;"D")</f>
        <v>60569</v>
      </c>
      <c r="Z3030" s="105" t="e">
        <v>#N/A</v>
      </c>
      <c r="AA3030" s="102" t="e">
        <v>#N/A</v>
      </c>
    </row>
    <row r="3031" spans="19:27" x14ac:dyDescent="0.2">
      <c r="S3031" s="61"/>
      <c r="T3031" s="82"/>
      <c r="W3031" s="103" t="str">
        <f t="shared" si="56"/>
        <v>1w</v>
      </c>
      <c r="X3031" s="101">
        <f>_xll.qlCalendarAdvance(Calendar,X3030,W3031,"f",FALSE)</f>
        <v>60574</v>
      </c>
      <c r="Y3031" s="104">
        <f>_xll.qlCalendarAdvance(Calendar,X3031,NDays&amp;"D")</f>
        <v>60576</v>
      </c>
      <c r="Z3031" s="105" t="e">
        <v>#N/A</v>
      </c>
      <c r="AA3031" s="102" t="e">
        <v>#N/A</v>
      </c>
    </row>
    <row r="3032" spans="19:27" x14ac:dyDescent="0.2">
      <c r="S3032" s="61"/>
      <c r="T3032" s="82"/>
      <c r="W3032" s="103" t="str">
        <f t="shared" si="56"/>
        <v>1w</v>
      </c>
      <c r="X3032" s="101">
        <f>_xll.qlCalendarAdvance(Calendar,X3031,W3032,"f",FALSE)</f>
        <v>60581</v>
      </c>
      <c r="Y3032" s="104">
        <f>_xll.qlCalendarAdvance(Calendar,X3032,NDays&amp;"D")</f>
        <v>60583</v>
      </c>
      <c r="Z3032" s="105" t="e">
        <v>#N/A</v>
      </c>
      <c r="AA3032" s="102" t="e">
        <v>#N/A</v>
      </c>
    </row>
    <row r="3033" spans="19:27" x14ac:dyDescent="0.2">
      <c r="S3033" s="61"/>
      <c r="T3033" s="82"/>
      <c r="W3033" s="103" t="str">
        <f t="shared" si="56"/>
        <v>1w</v>
      </c>
      <c r="X3033" s="101">
        <f>_xll.qlCalendarAdvance(Calendar,X3032,W3033,"f",FALSE)</f>
        <v>60588</v>
      </c>
      <c r="Y3033" s="104">
        <f>_xll.qlCalendarAdvance(Calendar,X3033,NDays&amp;"D")</f>
        <v>60590</v>
      </c>
      <c r="Z3033" s="105" t="e">
        <v>#N/A</v>
      </c>
      <c r="AA3033" s="102" t="e">
        <v>#N/A</v>
      </c>
    </row>
    <row r="3034" spans="19:27" x14ac:dyDescent="0.2">
      <c r="S3034" s="61"/>
      <c r="T3034" s="82"/>
      <c r="W3034" s="103" t="str">
        <f t="shared" si="56"/>
        <v>1w</v>
      </c>
      <c r="X3034" s="101">
        <f>_xll.qlCalendarAdvance(Calendar,X3033,W3034,"f",FALSE)</f>
        <v>60595</v>
      </c>
      <c r="Y3034" s="104">
        <f>_xll.qlCalendarAdvance(Calendar,X3034,NDays&amp;"D")</f>
        <v>60597</v>
      </c>
      <c r="Z3034" s="105" t="e">
        <v>#N/A</v>
      </c>
      <c r="AA3034" s="102" t="e">
        <v>#N/A</v>
      </c>
    </row>
    <row r="3035" spans="19:27" x14ac:dyDescent="0.2">
      <c r="S3035" s="61"/>
      <c r="T3035" s="82"/>
      <c r="W3035" s="103" t="str">
        <f t="shared" si="56"/>
        <v>1w</v>
      </c>
      <c r="X3035" s="101">
        <f>_xll.qlCalendarAdvance(Calendar,X3034,W3035,"f",FALSE)</f>
        <v>60602</v>
      </c>
      <c r="Y3035" s="104">
        <f>_xll.qlCalendarAdvance(Calendar,X3035,NDays&amp;"D")</f>
        <v>60604</v>
      </c>
      <c r="Z3035" s="105" t="e">
        <v>#N/A</v>
      </c>
      <c r="AA3035" s="102" t="e">
        <v>#N/A</v>
      </c>
    </row>
    <row r="3036" spans="19:27" x14ac:dyDescent="0.2">
      <c r="S3036" s="61"/>
      <c r="T3036" s="82"/>
      <c r="W3036" s="103" t="str">
        <f t="shared" si="56"/>
        <v>1w</v>
      </c>
      <c r="X3036" s="101">
        <f>_xll.qlCalendarAdvance(Calendar,X3035,W3036,"f",FALSE)</f>
        <v>60609</v>
      </c>
      <c r="Y3036" s="104">
        <f>_xll.qlCalendarAdvance(Calendar,X3036,NDays&amp;"D")</f>
        <v>60611</v>
      </c>
      <c r="Z3036" s="105" t="e">
        <v>#N/A</v>
      </c>
      <c r="AA3036" s="102" t="e">
        <v>#N/A</v>
      </c>
    </row>
    <row r="3037" spans="19:27" x14ac:dyDescent="0.2">
      <c r="S3037" s="61"/>
      <c r="T3037" s="82"/>
      <c r="W3037" s="103" t="str">
        <f t="shared" si="56"/>
        <v>1w</v>
      </c>
      <c r="X3037" s="101">
        <f>_xll.qlCalendarAdvance(Calendar,X3036,W3037,"f",FALSE)</f>
        <v>60616</v>
      </c>
      <c r="Y3037" s="104">
        <f>_xll.qlCalendarAdvance(Calendar,X3037,NDays&amp;"D")</f>
        <v>60618</v>
      </c>
      <c r="Z3037" s="105" t="e">
        <v>#N/A</v>
      </c>
      <c r="AA3037" s="102" t="e">
        <v>#N/A</v>
      </c>
    </row>
    <row r="3038" spans="19:27" x14ac:dyDescent="0.2">
      <c r="S3038" s="61"/>
      <c r="T3038" s="82"/>
      <c r="W3038" s="103" t="str">
        <f t="shared" si="56"/>
        <v>1w</v>
      </c>
      <c r="X3038" s="101">
        <f>_xll.qlCalendarAdvance(Calendar,X3037,W3038,"f",FALSE)</f>
        <v>60623</v>
      </c>
      <c r="Y3038" s="104">
        <f>_xll.qlCalendarAdvance(Calendar,X3038,NDays&amp;"D")</f>
        <v>60629</v>
      </c>
      <c r="Z3038" s="105" t="e">
        <v>#N/A</v>
      </c>
      <c r="AA3038" s="102" t="e">
        <v>#N/A</v>
      </c>
    </row>
    <row r="3039" spans="19:27" x14ac:dyDescent="0.2">
      <c r="S3039" s="61"/>
      <c r="T3039" s="82"/>
      <c r="W3039" s="103" t="str">
        <f t="shared" si="56"/>
        <v>1w</v>
      </c>
      <c r="X3039" s="101">
        <f>_xll.qlCalendarAdvance(Calendar,X3038,W3039,"f",FALSE)</f>
        <v>60630</v>
      </c>
      <c r="Y3039" s="104">
        <f>_xll.qlCalendarAdvance(Calendar,X3039,NDays&amp;"D")</f>
        <v>60636</v>
      </c>
      <c r="Z3039" s="105" t="e">
        <v>#N/A</v>
      </c>
      <c r="AA3039" s="102" t="e">
        <v>#N/A</v>
      </c>
    </row>
    <row r="3040" spans="19:27" x14ac:dyDescent="0.2">
      <c r="S3040" s="61"/>
      <c r="T3040" s="82"/>
      <c r="W3040" s="103" t="str">
        <f t="shared" si="56"/>
        <v>1w</v>
      </c>
      <c r="X3040" s="101">
        <f>_xll.qlCalendarAdvance(Calendar,X3039,W3040,"f",FALSE)</f>
        <v>60637</v>
      </c>
      <c r="Y3040" s="104">
        <f>_xll.qlCalendarAdvance(Calendar,X3040,NDays&amp;"D")</f>
        <v>60640</v>
      </c>
      <c r="Z3040" s="105" t="e">
        <v>#N/A</v>
      </c>
      <c r="AA3040" s="102" t="e">
        <v>#N/A</v>
      </c>
    </row>
    <row r="3041" spans="19:27" x14ac:dyDescent="0.2">
      <c r="S3041" s="61"/>
      <c r="T3041" s="82"/>
      <c r="W3041" s="103" t="str">
        <f t="shared" si="56"/>
        <v>1w</v>
      </c>
      <c r="X3041" s="101">
        <f>_xll.qlCalendarAdvance(Calendar,X3040,W3041,"f",FALSE)</f>
        <v>60644</v>
      </c>
      <c r="Y3041" s="104">
        <f>_xll.qlCalendarAdvance(Calendar,X3041,NDays&amp;"D")</f>
        <v>60646</v>
      </c>
      <c r="Z3041" s="105" t="e">
        <v>#N/A</v>
      </c>
      <c r="AA3041" s="102" t="e">
        <v>#N/A</v>
      </c>
    </row>
    <row r="3042" spans="19:27" x14ac:dyDescent="0.2">
      <c r="S3042" s="61"/>
      <c r="T3042" s="82"/>
      <c r="W3042" s="103" t="str">
        <f t="shared" si="56"/>
        <v>1w</v>
      </c>
      <c r="X3042" s="101">
        <f>_xll.qlCalendarAdvance(Calendar,X3041,W3042,"f",FALSE)</f>
        <v>60651</v>
      </c>
      <c r="Y3042" s="104">
        <f>_xll.qlCalendarAdvance(Calendar,X3042,NDays&amp;"D")</f>
        <v>60653</v>
      </c>
      <c r="Z3042" s="105" t="e">
        <v>#N/A</v>
      </c>
      <c r="AA3042" s="102" t="e">
        <v>#N/A</v>
      </c>
    </row>
    <row r="3043" spans="19:27" x14ac:dyDescent="0.2">
      <c r="S3043" s="61"/>
      <c r="T3043" s="82"/>
      <c r="W3043" s="103" t="str">
        <f t="shared" si="56"/>
        <v>1w</v>
      </c>
      <c r="X3043" s="101">
        <f>_xll.qlCalendarAdvance(Calendar,X3042,W3043,"f",FALSE)</f>
        <v>60658</v>
      </c>
      <c r="Y3043" s="104">
        <f>_xll.qlCalendarAdvance(Calendar,X3043,NDays&amp;"D")</f>
        <v>60660</v>
      </c>
      <c r="Z3043" s="105" t="e">
        <v>#N/A</v>
      </c>
      <c r="AA3043" s="102" t="e">
        <v>#N/A</v>
      </c>
    </row>
    <row r="3044" spans="19:27" x14ac:dyDescent="0.2">
      <c r="S3044" s="61"/>
      <c r="T3044" s="82"/>
      <c r="W3044" s="103" t="str">
        <f t="shared" si="56"/>
        <v>1w</v>
      </c>
      <c r="X3044" s="101">
        <f>_xll.qlCalendarAdvance(Calendar,X3043,W3044,"f",FALSE)</f>
        <v>60665</v>
      </c>
      <c r="Y3044" s="104">
        <f>_xll.qlCalendarAdvance(Calendar,X3044,NDays&amp;"D")</f>
        <v>60667</v>
      </c>
      <c r="Z3044" s="105" t="e">
        <v>#N/A</v>
      </c>
      <c r="AA3044" s="102" t="e">
        <v>#N/A</v>
      </c>
    </row>
    <row r="3045" spans="19:27" x14ac:dyDescent="0.2">
      <c r="S3045" s="61"/>
      <c r="T3045" s="82"/>
      <c r="W3045" s="103" t="str">
        <f t="shared" si="56"/>
        <v>1w</v>
      </c>
      <c r="X3045" s="101">
        <f>_xll.qlCalendarAdvance(Calendar,X3044,W3045,"f",FALSE)</f>
        <v>60672</v>
      </c>
      <c r="Y3045" s="104">
        <f>_xll.qlCalendarAdvance(Calendar,X3045,NDays&amp;"D")</f>
        <v>60674</v>
      </c>
      <c r="Z3045" s="105" t="e">
        <v>#N/A</v>
      </c>
      <c r="AA3045" s="102" t="e">
        <v>#N/A</v>
      </c>
    </row>
    <row r="3046" spans="19:27" x14ac:dyDescent="0.2">
      <c r="S3046" s="61"/>
      <c r="T3046" s="82"/>
      <c r="W3046" s="103" t="str">
        <f t="shared" si="56"/>
        <v>1w</v>
      </c>
      <c r="X3046" s="101">
        <f>_xll.qlCalendarAdvance(Calendar,X3045,W3046,"f",FALSE)</f>
        <v>60679</v>
      </c>
      <c r="Y3046" s="104">
        <f>_xll.qlCalendarAdvance(Calendar,X3046,NDays&amp;"D")</f>
        <v>60681</v>
      </c>
      <c r="Z3046" s="105" t="e">
        <v>#N/A</v>
      </c>
      <c r="AA3046" s="102" t="e">
        <v>#N/A</v>
      </c>
    </row>
    <row r="3047" spans="19:27" x14ac:dyDescent="0.2">
      <c r="S3047" s="61"/>
      <c r="T3047" s="82"/>
      <c r="W3047" s="103" t="str">
        <f t="shared" si="56"/>
        <v>1w</v>
      </c>
      <c r="X3047" s="101">
        <f>_xll.qlCalendarAdvance(Calendar,X3046,W3047,"f",FALSE)</f>
        <v>60686</v>
      </c>
      <c r="Y3047" s="104">
        <f>_xll.qlCalendarAdvance(Calendar,X3047,NDays&amp;"D")</f>
        <v>60688</v>
      </c>
      <c r="Z3047" s="105" t="e">
        <v>#N/A</v>
      </c>
      <c r="AA3047" s="102" t="e">
        <v>#N/A</v>
      </c>
    </row>
    <row r="3048" spans="19:27" x14ac:dyDescent="0.2">
      <c r="S3048" s="61"/>
      <c r="T3048" s="82"/>
      <c r="W3048" s="103" t="str">
        <f t="shared" si="56"/>
        <v>1w</v>
      </c>
      <c r="X3048" s="101">
        <f>_xll.qlCalendarAdvance(Calendar,X3047,W3048,"f",FALSE)</f>
        <v>60693</v>
      </c>
      <c r="Y3048" s="104">
        <f>_xll.qlCalendarAdvance(Calendar,X3048,NDays&amp;"D")</f>
        <v>60695</v>
      </c>
      <c r="Z3048" s="105" t="e">
        <v>#N/A</v>
      </c>
      <c r="AA3048" s="102" t="e">
        <v>#N/A</v>
      </c>
    </row>
    <row r="3049" spans="19:27" x14ac:dyDescent="0.2">
      <c r="S3049" s="61"/>
      <c r="T3049" s="82"/>
      <c r="W3049" s="103" t="str">
        <f t="shared" si="56"/>
        <v>1w</v>
      </c>
      <c r="X3049" s="101">
        <f>_xll.qlCalendarAdvance(Calendar,X3048,W3049,"f",FALSE)</f>
        <v>60700</v>
      </c>
      <c r="Y3049" s="104">
        <f>_xll.qlCalendarAdvance(Calendar,X3049,NDays&amp;"D")</f>
        <v>60702</v>
      </c>
      <c r="Z3049" s="105" t="e">
        <v>#N/A</v>
      </c>
      <c r="AA3049" s="102" t="e">
        <v>#N/A</v>
      </c>
    </row>
    <row r="3050" spans="19:27" x14ac:dyDescent="0.2">
      <c r="S3050" s="61"/>
      <c r="T3050" s="82"/>
      <c r="W3050" s="103" t="str">
        <f t="shared" si="56"/>
        <v>1w</v>
      </c>
      <c r="X3050" s="101">
        <f>_xll.qlCalendarAdvance(Calendar,X3049,W3050,"f",FALSE)</f>
        <v>60707</v>
      </c>
      <c r="Y3050" s="104">
        <f>_xll.qlCalendarAdvance(Calendar,X3050,NDays&amp;"D")</f>
        <v>60709</v>
      </c>
      <c r="Z3050" s="105" t="e">
        <v>#N/A</v>
      </c>
      <c r="AA3050" s="102" t="e">
        <v>#N/A</v>
      </c>
    </row>
    <row r="3051" spans="19:27" x14ac:dyDescent="0.2">
      <c r="S3051" s="61"/>
      <c r="T3051" s="82"/>
      <c r="W3051" s="103" t="str">
        <f t="shared" si="56"/>
        <v>1w</v>
      </c>
      <c r="X3051" s="101">
        <f>_xll.qlCalendarAdvance(Calendar,X3050,W3051,"f",FALSE)</f>
        <v>60714</v>
      </c>
      <c r="Y3051" s="104">
        <f>_xll.qlCalendarAdvance(Calendar,X3051,NDays&amp;"D")</f>
        <v>60716</v>
      </c>
      <c r="Z3051" s="105" t="e">
        <v>#N/A</v>
      </c>
      <c r="AA3051" s="102" t="e">
        <v>#N/A</v>
      </c>
    </row>
    <row r="3052" spans="19:27" x14ac:dyDescent="0.2">
      <c r="S3052" s="61"/>
      <c r="T3052" s="82"/>
      <c r="W3052" s="103" t="str">
        <f t="shared" si="56"/>
        <v>1w</v>
      </c>
      <c r="X3052" s="101">
        <f>_xll.qlCalendarAdvance(Calendar,X3051,W3052,"f",FALSE)</f>
        <v>60721</v>
      </c>
      <c r="Y3052" s="104">
        <f>_xll.qlCalendarAdvance(Calendar,X3052,NDays&amp;"D")</f>
        <v>60723</v>
      </c>
      <c r="Z3052" s="105" t="e">
        <v>#N/A</v>
      </c>
      <c r="AA3052" s="102" t="e">
        <v>#N/A</v>
      </c>
    </row>
    <row r="3053" spans="19:27" x14ac:dyDescent="0.2">
      <c r="S3053" s="61"/>
      <c r="T3053" s="82"/>
      <c r="W3053" s="103" t="str">
        <f t="shared" si="56"/>
        <v>1w</v>
      </c>
      <c r="X3053" s="101">
        <f>_xll.qlCalendarAdvance(Calendar,X3052,W3053,"f",FALSE)</f>
        <v>60728</v>
      </c>
      <c r="Y3053" s="104">
        <f>_xll.qlCalendarAdvance(Calendar,X3053,NDays&amp;"D")</f>
        <v>60730</v>
      </c>
      <c r="Z3053" s="105" t="e">
        <v>#N/A</v>
      </c>
      <c r="AA3053" s="102" t="e">
        <v>#N/A</v>
      </c>
    </row>
    <row r="3054" spans="19:27" x14ac:dyDescent="0.2">
      <c r="S3054" s="61"/>
      <c r="T3054" s="82"/>
      <c r="W3054" s="103" t="str">
        <f t="shared" si="56"/>
        <v>1w</v>
      </c>
      <c r="X3054" s="101">
        <f>_xll.qlCalendarAdvance(Calendar,X3053,W3054,"f",FALSE)</f>
        <v>60735</v>
      </c>
      <c r="Y3054" s="104">
        <f>_xll.qlCalendarAdvance(Calendar,X3054,NDays&amp;"D")</f>
        <v>60737</v>
      </c>
      <c r="Z3054" s="105" t="e">
        <v>#N/A</v>
      </c>
      <c r="AA3054" s="102" t="e">
        <v>#N/A</v>
      </c>
    </row>
    <row r="3055" spans="19:27" x14ac:dyDescent="0.2">
      <c r="S3055" s="61"/>
      <c r="T3055" s="82"/>
      <c r="W3055" s="103" t="str">
        <f t="shared" si="56"/>
        <v>1w</v>
      </c>
      <c r="X3055" s="101">
        <f>_xll.qlCalendarAdvance(Calendar,X3054,W3055,"f",FALSE)</f>
        <v>60742</v>
      </c>
      <c r="Y3055" s="104">
        <f>_xll.qlCalendarAdvance(Calendar,X3055,NDays&amp;"D")</f>
        <v>60744</v>
      </c>
      <c r="Z3055" s="105" t="e">
        <v>#N/A</v>
      </c>
      <c r="AA3055" s="102" t="e">
        <v>#N/A</v>
      </c>
    </row>
    <row r="3056" spans="19:27" x14ac:dyDescent="0.2">
      <c r="S3056" s="61"/>
      <c r="T3056" s="82"/>
      <c r="W3056" s="103" t="str">
        <f t="shared" si="56"/>
        <v>1w</v>
      </c>
      <c r="X3056" s="101">
        <f>_xll.qlCalendarAdvance(Calendar,X3055,W3056,"f",FALSE)</f>
        <v>60749</v>
      </c>
      <c r="Y3056" s="104">
        <f>_xll.qlCalendarAdvance(Calendar,X3056,NDays&amp;"D")</f>
        <v>60751</v>
      </c>
      <c r="Z3056" s="105" t="e">
        <v>#N/A</v>
      </c>
      <c r="AA3056" s="102" t="e">
        <v>#N/A</v>
      </c>
    </row>
    <row r="3057" spans="19:27" x14ac:dyDescent="0.2">
      <c r="S3057" s="61"/>
      <c r="T3057" s="82"/>
      <c r="W3057" s="103" t="str">
        <f t="shared" si="56"/>
        <v>1w</v>
      </c>
      <c r="X3057" s="101">
        <f>_xll.qlCalendarAdvance(Calendar,X3056,W3057,"f",FALSE)</f>
        <v>60756</v>
      </c>
      <c r="Y3057" s="104">
        <f>_xll.qlCalendarAdvance(Calendar,X3057,NDays&amp;"D")</f>
        <v>60758</v>
      </c>
      <c r="Z3057" s="105" t="e">
        <v>#N/A</v>
      </c>
      <c r="AA3057" s="102" t="e">
        <v>#N/A</v>
      </c>
    </row>
    <row r="3058" spans="19:27" x14ac:dyDescent="0.2">
      <c r="S3058" s="61"/>
      <c r="T3058" s="82"/>
      <c r="W3058" s="103" t="str">
        <f t="shared" si="56"/>
        <v>1w</v>
      </c>
      <c r="X3058" s="101">
        <f>_xll.qlCalendarAdvance(Calendar,X3057,W3058,"f",FALSE)</f>
        <v>60763</v>
      </c>
      <c r="Y3058" s="104">
        <f>_xll.qlCalendarAdvance(Calendar,X3058,NDays&amp;"D")</f>
        <v>60765</v>
      </c>
      <c r="Z3058" s="105" t="e">
        <v>#N/A</v>
      </c>
      <c r="AA3058" s="102" t="e">
        <v>#N/A</v>
      </c>
    </row>
    <row r="3059" spans="19:27" x14ac:dyDescent="0.2">
      <c r="S3059" s="61"/>
      <c r="T3059" s="82"/>
      <c r="W3059" s="103" t="str">
        <f t="shared" si="56"/>
        <v>1w</v>
      </c>
      <c r="X3059" s="101">
        <f>_xll.qlCalendarAdvance(Calendar,X3058,W3059,"f",FALSE)</f>
        <v>60770</v>
      </c>
      <c r="Y3059" s="104">
        <f>_xll.qlCalendarAdvance(Calendar,X3059,NDays&amp;"D")</f>
        <v>60773</v>
      </c>
      <c r="Z3059" s="105" t="e">
        <v>#N/A</v>
      </c>
      <c r="AA3059" s="102" t="e">
        <v>#N/A</v>
      </c>
    </row>
    <row r="3060" spans="19:27" x14ac:dyDescent="0.2">
      <c r="S3060" s="61"/>
      <c r="T3060" s="82"/>
      <c r="W3060" s="103" t="str">
        <f t="shared" si="56"/>
        <v>1w</v>
      </c>
      <c r="X3060" s="101">
        <f>_xll.qlCalendarAdvance(Calendar,X3059,W3060,"f",FALSE)</f>
        <v>60777</v>
      </c>
      <c r="Y3060" s="104">
        <f>_xll.qlCalendarAdvance(Calendar,X3060,NDays&amp;"D")</f>
        <v>60779</v>
      </c>
      <c r="Z3060" s="105" t="e">
        <v>#N/A</v>
      </c>
      <c r="AA3060" s="102" t="e">
        <v>#N/A</v>
      </c>
    </row>
    <row r="3061" spans="19:27" x14ac:dyDescent="0.2">
      <c r="S3061" s="61"/>
      <c r="T3061" s="82"/>
      <c r="W3061" s="103" t="str">
        <f t="shared" si="56"/>
        <v>1w</v>
      </c>
      <c r="X3061" s="101">
        <f>_xll.qlCalendarAdvance(Calendar,X3060,W3061,"f",FALSE)</f>
        <v>60784</v>
      </c>
      <c r="Y3061" s="104">
        <f>_xll.qlCalendarAdvance(Calendar,X3061,NDays&amp;"D")</f>
        <v>60786</v>
      </c>
      <c r="Z3061" s="105" t="e">
        <v>#N/A</v>
      </c>
      <c r="AA3061" s="102" t="e">
        <v>#N/A</v>
      </c>
    </row>
    <row r="3062" spans="19:27" x14ac:dyDescent="0.2">
      <c r="S3062" s="61"/>
      <c r="T3062" s="82"/>
      <c r="W3062" s="103" t="str">
        <f t="shared" si="56"/>
        <v>1w</v>
      </c>
      <c r="X3062" s="101">
        <f>_xll.qlCalendarAdvance(Calendar,X3061,W3062,"f",FALSE)</f>
        <v>60791</v>
      </c>
      <c r="Y3062" s="104">
        <f>_xll.qlCalendarAdvance(Calendar,X3062,NDays&amp;"D")</f>
        <v>60793</v>
      </c>
      <c r="Z3062" s="105" t="e">
        <v>#N/A</v>
      </c>
      <c r="AA3062" s="102" t="e">
        <v>#N/A</v>
      </c>
    </row>
    <row r="3063" spans="19:27" x14ac:dyDescent="0.2">
      <c r="S3063" s="61"/>
      <c r="T3063" s="82"/>
      <c r="W3063" s="103" t="str">
        <f t="shared" si="56"/>
        <v>1w</v>
      </c>
      <c r="X3063" s="101">
        <f>_xll.qlCalendarAdvance(Calendar,X3062,W3063,"f",FALSE)</f>
        <v>60798</v>
      </c>
      <c r="Y3063" s="104">
        <f>_xll.qlCalendarAdvance(Calendar,X3063,NDays&amp;"D")</f>
        <v>60800</v>
      </c>
      <c r="Z3063" s="105" t="e">
        <v>#N/A</v>
      </c>
      <c r="AA3063" s="102" t="e">
        <v>#N/A</v>
      </c>
    </row>
    <row r="3064" spans="19:27" x14ac:dyDescent="0.2">
      <c r="S3064" s="61"/>
      <c r="T3064" s="82"/>
      <c r="W3064" s="103" t="str">
        <f t="shared" si="56"/>
        <v>1w</v>
      </c>
      <c r="X3064" s="101">
        <f>_xll.qlCalendarAdvance(Calendar,X3063,W3064,"f",FALSE)</f>
        <v>60805</v>
      </c>
      <c r="Y3064" s="104">
        <f>_xll.qlCalendarAdvance(Calendar,X3064,NDays&amp;"D")</f>
        <v>60807</v>
      </c>
      <c r="Z3064" s="105" t="e">
        <v>#N/A</v>
      </c>
      <c r="AA3064" s="102" t="e">
        <v>#N/A</v>
      </c>
    </row>
    <row r="3065" spans="19:27" x14ac:dyDescent="0.2">
      <c r="S3065" s="61"/>
      <c r="T3065" s="82"/>
      <c r="W3065" s="103" t="str">
        <f t="shared" si="56"/>
        <v>1w</v>
      </c>
      <c r="X3065" s="101">
        <f>_xll.qlCalendarAdvance(Calendar,X3064,W3065,"f",FALSE)</f>
        <v>60812</v>
      </c>
      <c r="Y3065" s="104">
        <f>_xll.qlCalendarAdvance(Calendar,X3065,NDays&amp;"D")</f>
        <v>60814</v>
      </c>
      <c r="Z3065" s="105" t="e">
        <v>#N/A</v>
      </c>
      <c r="AA3065" s="102" t="e">
        <v>#N/A</v>
      </c>
    </row>
    <row r="3066" spans="19:27" x14ac:dyDescent="0.2">
      <c r="S3066" s="61"/>
      <c r="T3066" s="82"/>
      <c r="W3066" s="103" t="str">
        <f t="shared" si="56"/>
        <v>1w</v>
      </c>
      <c r="X3066" s="101">
        <f>_xll.qlCalendarAdvance(Calendar,X3065,W3066,"f",FALSE)</f>
        <v>60819</v>
      </c>
      <c r="Y3066" s="104">
        <f>_xll.qlCalendarAdvance(Calendar,X3066,NDays&amp;"D")</f>
        <v>60821</v>
      </c>
      <c r="Z3066" s="105" t="e">
        <v>#N/A</v>
      </c>
      <c r="AA3066" s="102" t="e">
        <v>#N/A</v>
      </c>
    </row>
    <row r="3067" spans="19:27" x14ac:dyDescent="0.2">
      <c r="S3067" s="61"/>
      <c r="T3067" s="82"/>
      <c r="W3067" s="103" t="str">
        <f t="shared" si="56"/>
        <v>1w</v>
      </c>
      <c r="X3067" s="101">
        <f>_xll.qlCalendarAdvance(Calendar,X3066,W3067,"f",FALSE)</f>
        <v>60826</v>
      </c>
      <c r="Y3067" s="104">
        <f>_xll.qlCalendarAdvance(Calendar,X3067,NDays&amp;"D")</f>
        <v>60828</v>
      </c>
      <c r="Z3067" s="105" t="e">
        <v>#N/A</v>
      </c>
      <c r="AA3067" s="102" t="e">
        <v>#N/A</v>
      </c>
    </row>
    <row r="3068" spans="19:27" x14ac:dyDescent="0.2">
      <c r="S3068" s="61"/>
      <c r="T3068" s="82"/>
      <c r="W3068" s="103" t="str">
        <f t="shared" si="56"/>
        <v>1w</v>
      </c>
      <c r="X3068" s="101">
        <f>_xll.qlCalendarAdvance(Calendar,X3067,W3068,"f",FALSE)</f>
        <v>60833</v>
      </c>
      <c r="Y3068" s="104">
        <f>_xll.qlCalendarAdvance(Calendar,X3068,NDays&amp;"D")</f>
        <v>60835</v>
      </c>
      <c r="Z3068" s="105" t="e">
        <v>#N/A</v>
      </c>
      <c r="AA3068" s="102" t="e">
        <v>#N/A</v>
      </c>
    </row>
    <row r="3069" spans="19:27" x14ac:dyDescent="0.2">
      <c r="S3069" s="61"/>
      <c r="T3069" s="82"/>
      <c r="W3069" s="103" t="str">
        <f t="shared" si="56"/>
        <v>1w</v>
      </c>
      <c r="X3069" s="101">
        <f>_xll.qlCalendarAdvance(Calendar,X3068,W3069,"f",FALSE)</f>
        <v>60840</v>
      </c>
      <c r="Y3069" s="104">
        <f>_xll.qlCalendarAdvance(Calendar,X3069,NDays&amp;"D")</f>
        <v>60842</v>
      </c>
      <c r="Z3069" s="105" t="e">
        <v>#N/A</v>
      </c>
      <c r="AA3069" s="102" t="e">
        <v>#N/A</v>
      </c>
    </row>
    <row r="3070" spans="19:27" x14ac:dyDescent="0.2">
      <c r="S3070" s="61"/>
      <c r="T3070" s="82"/>
      <c r="W3070" s="103" t="str">
        <f t="shared" si="56"/>
        <v>1w</v>
      </c>
      <c r="X3070" s="101">
        <f>_xll.qlCalendarAdvance(Calendar,X3069,W3070,"f",FALSE)</f>
        <v>60847</v>
      </c>
      <c r="Y3070" s="104">
        <f>_xll.qlCalendarAdvance(Calendar,X3070,NDays&amp;"D")</f>
        <v>60849</v>
      </c>
      <c r="Z3070" s="105" t="e">
        <v>#N/A</v>
      </c>
      <c r="AA3070" s="102" t="e">
        <v>#N/A</v>
      </c>
    </row>
    <row r="3071" spans="19:27" x14ac:dyDescent="0.2">
      <c r="S3071" s="61"/>
      <c r="T3071" s="82"/>
      <c r="W3071" s="103" t="str">
        <f t="shared" si="56"/>
        <v>1w</v>
      </c>
      <c r="X3071" s="101">
        <f>_xll.qlCalendarAdvance(Calendar,X3070,W3071,"f",FALSE)</f>
        <v>60854</v>
      </c>
      <c r="Y3071" s="104">
        <f>_xll.qlCalendarAdvance(Calendar,X3071,NDays&amp;"D")</f>
        <v>60856</v>
      </c>
      <c r="Z3071" s="105" t="e">
        <v>#N/A</v>
      </c>
      <c r="AA3071" s="102" t="e">
        <v>#N/A</v>
      </c>
    </row>
    <row r="3072" spans="19:27" x14ac:dyDescent="0.2">
      <c r="S3072" s="61"/>
      <c r="T3072" s="82"/>
      <c r="W3072" s="103" t="str">
        <f t="shared" si="56"/>
        <v>1w</v>
      </c>
      <c r="X3072" s="101">
        <f>_xll.qlCalendarAdvance(Calendar,X3071,W3072,"f",FALSE)</f>
        <v>60861</v>
      </c>
      <c r="Y3072" s="104">
        <f>_xll.qlCalendarAdvance(Calendar,X3072,NDays&amp;"D")</f>
        <v>60863</v>
      </c>
      <c r="Z3072" s="105" t="e">
        <v>#N/A</v>
      </c>
      <c r="AA3072" s="102" t="e">
        <v>#N/A</v>
      </c>
    </row>
    <row r="3073" spans="19:27" x14ac:dyDescent="0.2">
      <c r="S3073" s="61"/>
      <c r="T3073" s="82"/>
      <c r="W3073" s="103" t="str">
        <f t="shared" si="56"/>
        <v>1w</v>
      </c>
      <c r="X3073" s="101">
        <f>_xll.qlCalendarAdvance(Calendar,X3072,W3073,"f",FALSE)</f>
        <v>60868</v>
      </c>
      <c r="Y3073" s="104">
        <f>_xll.qlCalendarAdvance(Calendar,X3073,NDays&amp;"D")</f>
        <v>60870</v>
      </c>
      <c r="Z3073" s="105" t="e">
        <v>#N/A</v>
      </c>
      <c r="AA3073" s="102" t="e">
        <v>#N/A</v>
      </c>
    </row>
    <row r="3074" spans="19:27" x14ac:dyDescent="0.2">
      <c r="S3074" s="61"/>
      <c r="T3074" s="82"/>
      <c r="W3074" s="103" t="str">
        <f t="shared" si="56"/>
        <v>1w</v>
      </c>
      <c r="X3074" s="101">
        <f>_xll.qlCalendarAdvance(Calendar,X3073,W3074,"f",FALSE)</f>
        <v>60875</v>
      </c>
      <c r="Y3074" s="104">
        <f>_xll.qlCalendarAdvance(Calendar,X3074,NDays&amp;"D")</f>
        <v>60877</v>
      </c>
      <c r="Z3074" s="105" t="e">
        <v>#N/A</v>
      </c>
      <c r="AA3074" s="102" t="e">
        <v>#N/A</v>
      </c>
    </row>
    <row r="3075" spans="19:27" x14ac:dyDescent="0.2">
      <c r="S3075" s="61"/>
      <c r="T3075" s="82"/>
      <c r="W3075" s="103" t="str">
        <f t="shared" si="56"/>
        <v>1w</v>
      </c>
      <c r="X3075" s="101">
        <f>_xll.qlCalendarAdvance(Calendar,X3074,W3075,"f",FALSE)</f>
        <v>60882</v>
      </c>
      <c r="Y3075" s="104">
        <f>_xll.qlCalendarAdvance(Calendar,X3075,NDays&amp;"D")</f>
        <v>60884</v>
      </c>
      <c r="Z3075" s="105" t="e">
        <v>#N/A</v>
      </c>
      <c r="AA3075" s="102" t="e">
        <v>#N/A</v>
      </c>
    </row>
    <row r="3076" spans="19:27" x14ac:dyDescent="0.2">
      <c r="S3076" s="61"/>
      <c r="T3076" s="82"/>
      <c r="W3076" s="103" t="str">
        <f t="shared" si="56"/>
        <v>1w</v>
      </c>
      <c r="X3076" s="101">
        <f>_xll.qlCalendarAdvance(Calendar,X3075,W3076,"f",FALSE)</f>
        <v>60889</v>
      </c>
      <c r="Y3076" s="104">
        <f>_xll.qlCalendarAdvance(Calendar,X3076,NDays&amp;"D")</f>
        <v>60891</v>
      </c>
      <c r="Z3076" s="105" t="e">
        <v>#N/A</v>
      </c>
      <c r="AA3076" s="102" t="e">
        <v>#N/A</v>
      </c>
    </row>
    <row r="3077" spans="19:27" x14ac:dyDescent="0.2">
      <c r="S3077" s="61"/>
      <c r="T3077" s="82"/>
      <c r="W3077" s="103" t="str">
        <f t="shared" si="56"/>
        <v>1w</v>
      </c>
      <c r="X3077" s="101">
        <f>_xll.qlCalendarAdvance(Calendar,X3076,W3077,"f",FALSE)</f>
        <v>60896</v>
      </c>
      <c r="Y3077" s="104">
        <f>_xll.qlCalendarAdvance(Calendar,X3077,NDays&amp;"D")</f>
        <v>60898</v>
      </c>
      <c r="Z3077" s="105" t="e">
        <v>#N/A</v>
      </c>
      <c r="AA3077" s="102" t="e">
        <v>#N/A</v>
      </c>
    </row>
    <row r="3078" spans="19:27" x14ac:dyDescent="0.2">
      <c r="S3078" s="61"/>
      <c r="T3078" s="82"/>
      <c r="W3078" s="103" t="str">
        <f t="shared" si="56"/>
        <v>1w</v>
      </c>
      <c r="X3078" s="101">
        <f>_xll.qlCalendarAdvance(Calendar,X3077,W3078,"f",FALSE)</f>
        <v>60903</v>
      </c>
      <c r="Y3078" s="104">
        <f>_xll.qlCalendarAdvance(Calendar,X3078,NDays&amp;"D")</f>
        <v>60905</v>
      </c>
      <c r="Z3078" s="105" t="e">
        <v>#N/A</v>
      </c>
      <c r="AA3078" s="102" t="e">
        <v>#N/A</v>
      </c>
    </row>
    <row r="3079" spans="19:27" x14ac:dyDescent="0.2">
      <c r="S3079" s="61"/>
      <c r="T3079" s="82"/>
      <c r="W3079" s="103" t="str">
        <f t="shared" si="56"/>
        <v>1w</v>
      </c>
      <c r="X3079" s="101">
        <f>_xll.qlCalendarAdvance(Calendar,X3078,W3079,"f",FALSE)</f>
        <v>60910</v>
      </c>
      <c r="Y3079" s="104">
        <f>_xll.qlCalendarAdvance(Calendar,X3079,NDays&amp;"D")</f>
        <v>60912</v>
      </c>
      <c r="Z3079" s="105" t="e">
        <v>#N/A</v>
      </c>
      <c r="AA3079" s="102" t="e">
        <v>#N/A</v>
      </c>
    </row>
    <row r="3080" spans="19:27" x14ac:dyDescent="0.2">
      <c r="S3080" s="61"/>
      <c r="T3080" s="82"/>
      <c r="W3080" s="103" t="str">
        <f t="shared" si="56"/>
        <v>1w</v>
      </c>
      <c r="X3080" s="101">
        <f>_xll.qlCalendarAdvance(Calendar,X3079,W3080,"f",FALSE)</f>
        <v>60917</v>
      </c>
      <c r="Y3080" s="104">
        <f>_xll.qlCalendarAdvance(Calendar,X3080,NDays&amp;"D")</f>
        <v>60919</v>
      </c>
      <c r="Z3080" s="105" t="e">
        <v>#N/A</v>
      </c>
      <c r="AA3080" s="102" t="e">
        <v>#N/A</v>
      </c>
    </row>
    <row r="3081" spans="19:27" x14ac:dyDescent="0.2">
      <c r="S3081" s="61"/>
      <c r="T3081" s="82"/>
      <c r="W3081" s="103" t="str">
        <f t="shared" si="56"/>
        <v>1w</v>
      </c>
      <c r="X3081" s="101">
        <f>_xll.qlCalendarAdvance(Calendar,X3080,W3081,"f",FALSE)</f>
        <v>60924</v>
      </c>
      <c r="Y3081" s="104">
        <f>_xll.qlCalendarAdvance(Calendar,X3081,NDays&amp;"D")</f>
        <v>60926</v>
      </c>
      <c r="Z3081" s="105" t="e">
        <v>#N/A</v>
      </c>
      <c r="AA3081" s="102" t="e">
        <v>#N/A</v>
      </c>
    </row>
    <row r="3082" spans="19:27" x14ac:dyDescent="0.2">
      <c r="S3082" s="61"/>
      <c r="T3082" s="82"/>
      <c r="W3082" s="103" t="str">
        <f t="shared" si="56"/>
        <v>1w</v>
      </c>
      <c r="X3082" s="101">
        <f>_xll.qlCalendarAdvance(Calendar,X3081,W3082,"f",FALSE)</f>
        <v>60931</v>
      </c>
      <c r="Y3082" s="104">
        <f>_xll.qlCalendarAdvance(Calendar,X3082,NDays&amp;"D")</f>
        <v>60933</v>
      </c>
      <c r="Z3082" s="105" t="e">
        <v>#N/A</v>
      </c>
      <c r="AA3082" s="102" t="e">
        <v>#N/A</v>
      </c>
    </row>
    <row r="3083" spans="19:27" x14ac:dyDescent="0.2">
      <c r="S3083" s="61"/>
      <c r="T3083" s="82"/>
      <c r="W3083" s="103" t="str">
        <f t="shared" si="56"/>
        <v>1w</v>
      </c>
      <c r="X3083" s="101">
        <f>_xll.qlCalendarAdvance(Calendar,X3082,W3083,"f",FALSE)</f>
        <v>60938</v>
      </c>
      <c r="Y3083" s="104">
        <f>_xll.qlCalendarAdvance(Calendar,X3083,NDays&amp;"D")</f>
        <v>60940</v>
      </c>
      <c r="Z3083" s="105" t="e">
        <v>#N/A</v>
      </c>
      <c r="AA3083" s="102" t="e">
        <v>#N/A</v>
      </c>
    </row>
    <row r="3084" spans="19:27" x14ac:dyDescent="0.2">
      <c r="S3084" s="61"/>
      <c r="T3084" s="82"/>
      <c r="W3084" s="103" t="str">
        <f t="shared" si="56"/>
        <v>1w</v>
      </c>
      <c r="X3084" s="101">
        <f>_xll.qlCalendarAdvance(Calendar,X3083,W3084,"f",FALSE)</f>
        <v>60945</v>
      </c>
      <c r="Y3084" s="104">
        <f>_xll.qlCalendarAdvance(Calendar,X3084,NDays&amp;"D")</f>
        <v>60947</v>
      </c>
      <c r="Z3084" s="105" t="e">
        <v>#N/A</v>
      </c>
      <c r="AA3084" s="102" t="e">
        <v>#N/A</v>
      </c>
    </row>
    <row r="3085" spans="19:27" x14ac:dyDescent="0.2">
      <c r="S3085" s="61"/>
      <c r="T3085" s="82"/>
      <c r="W3085" s="103" t="str">
        <f t="shared" si="56"/>
        <v>1w</v>
      </c>
      <c r="X3085" s="101">
        <f>_xll.qlCalendarAdvance(Calendar,X3084,W3085,"f",FALSE)</f>
        <v>60952</v>
      </c>
      <c r="Y3085" s="104">
        <f>_xll.qlCalendarAdvance(Calendar,X3085,NDays&amp;"D")</f>
        <v>60954</v>
      </c>
      <c r="Z3085" s="105" t="e">
        <v>#N/A</v>
      </c>
      <c r="AA3085" s="102" t="e">
        <v>#N/A</v>
      </c>
    </row>
    <row r="3086" spans="19:27" x14ac:dyDescent="0.2">
      <c r="S3086" s="61"/>
      <c r="T3086" s="82"/>
      <c r="W3086" s="103" t="str">
        <f t="shared" si="56"/>
        <v>1w</v>
      </c>
      <c r="X3086" s="101">
        <f>_xll.qlCalendarAdvance(Calendar,X3085,W3086,"f",FALSE)</f>
        <v>60959</v>
      </c>
      <c r="Y3086" s="104">
        <f>_xll.qlCalendarAdvance(Calendar,X3086,NDays&amp;"D")</f>
        <v>60961</v>
      </c>
      <c r="Z3086" s="105" t="e">
        <v>#N/A</v>
      </c>
      <c r="AA3086" s="102" t="e">
        <v>#N/A</v>
      </c>
    </row>
    <row r="3087" spans="19:27" x14ac:dyDescent="0.2">
      <c r="S3087" s="61"/>
      <c r="T3087" s="82"/>
      <c r="W3087" s="103" t="str">
        <f t="shared" si="56"/>
        <v>1w</v>
      </c>
      <c r="X3087" s="101">
        <f>_xll.qlCalendarAdvance(Calendar,X3086,W3087,"f",FALSE)</f>
        <v>60966</v>
      </c>
      <c r="Y3087" s="104">
        <f>_xll.qlCalendarAdvance(Calendar,X3087,NDays&amp;"D")</f>
        <v>60968</v>
      </c>
      <c r="Z3087" s="105" t="e">
        <v>#N/A</v>
      </c>
      <c r="AA3087" s="102" t="e">
        <v>#N/A</v>
      </c>
    </row>
    <row r="3088" spans="19:27" x14ac:dyDescent="0.2">
      <c r="S3088" s="61"/>
      <c r="T3088" s="82"/>
      <c r="W3088" s="103" t="str">
        <f t="shared" si="56"/>
        <v>1w</v>
      </c>
      <c r="X3088" s="101">
        <f>_xll.qlCalendarAdvance(Calendar,X3087,W3088,"f",FALSE)</f>
        <v>60973</v>
      </c>
      <c r="Y3088" s="104">
        <f>_xll.qlCalendarAdvance(Calendar,X3088,NDays&amp;"D")</f>
        <v>60975</v>
      </c>
      <c r="Z3088" s="105" t="e">
        <v>#N/A</v>
      </c>
      <c r="AA3088" s="102" t="e">
        <v>#N/A</v>
      </c>
    </row>
    <row r="3089" spans="19:27" x14ac:dyDescent="0.2">
      <c r="S3089" s="61"/>
      <c r="T3089" s="82"/>
      <c r="W3089" s="103" t="str">
        <f t="shared" si="56"/>
        <v>1w</v>
      </c>
      <c r="X3089" s="101">
        <f>_xll.qlCalendarAdvance(Calendar,X3088,W3089,"f",FALSE)</f>
        <v>60980</v>
      </c>
      <c r="Y3089" s="104">
        <f>_xll.qlCalendarAdvance(Calendar,X3089,NDays&amp;"D")</f>
        <v>60982</v>
      </c>
      <c r="Z3089" s="105" t="e">
        <v>#N/A</v>
      </c>
      <c r="AA3089" s="102" t="e">
        <v>#N/A</v>
      </c>
    </row>
    <row r="3090" spans="19:27" x14ac:dyDescent="0.2">
      <c r="S3090" s="61"/>
      <c r="T3090" s="82"/>
      <c r="W3090" s="103" t="str">
        <f t="shared" si="56"/>
        <v>1w</v>
      </c>
      <c r="X3090" s="101">
        <f>_xll.qlCalendarAdvance(Calendar,X3089,W3090,"f",FALSE)</f>
        <v>60987</v>
      </c>
      <c r="Y3090" s="104">
        <f>_xll.qlCalendarAdvance(Calendar,X3090,NDays&amp;"D")</f>
        <v>60989</v>
      </c>
      <c r="Z3090" s="105" t="e">
        <v>#N/A</v>
      </c>
      <c r="AA3090" s="102" t="e">
        <v>#N/A</v>
      </c>
    </row>
    <row r="3091" spans="19:27" x14ac:dyDescent="0.2">
      <c r="S3091" s="61"/>
      <c r="T3091" s="82"/>
      <c r="W3091" s="103" t="str">
        <f t="shared" si="56"/>
        <v>1w</v>
      </c>
      <c r="X3091" s="101">
        <f>_xll.qlCalendarAdvance(Calendar,X3090,W3091,"f",FALSE)</f>
        <v>60994</v>
      </c>
      <c r="Y3091" s="104">
        <f>_xll.qlCalendarAdvance(Calendar,X3091,NDays&amp;"D")</f>
        <v>60996</v>
      </c>
      <c r="Z3091" s="105" t="e">
        <v>#N/A</v>
      </c>
      <c r="AA3091" s="102" t="e">
        <v>#N/A</v>
      </c>
    </row>
    <row r="3092" spans="19:27" x14ac:dyDescent="0.2">
      <c r="S3092" s="61"/>
      <c r="T3092" s="82"/>
      <c r="W3092" s="103" t="str">
        <f t="shared" si="56"/>
        <v>1w</v>
      </c>
      <c r="X3092" s="101">
        <f>_xll.qlCalendarAdvance(Calendar,X3091,W3092,"f",FALSE)</f>
        <v>61001</v>
      </c>
      <c r="Y3092" s="104">
        <f>_xll.qlCalendarAdvance(Calendar,X3092,NDays&amp;"D")</f>
        <v>61004</v>
      </c>
      <c r="Z3092" s="105" t="e">
        <v>#N/A</v>
      </c>
      <c r="AA3092" s="102" t="e">
        <v>#N/A</v>
      </c>
    </row>
    <row r="3093" spans="19:27" x14ac:dyDescent="0.2">
      <c r="S3093" s="61"/>
      <c r="T3093" s="82"/>
      <c r="W3093" s="103" t="str">
        <f t="shared" ref="W3093:W3156" si="57">W3092</f>
        <v>1w</v>
      </c>
      <c r="X3093" s="101">
        <f>_xll.qlCalendarAdvance(Calendar,X3092,W3093,"f",FALSE)</f>
        <v>61008</v>
      </c>
      <c r="Y3093" s="104">
        <f>_xll.qlCalendarAdvance(Calendar,X3093,NDays&amp;"D")</f>
        <v>61010</v>
      </c>
      <c r="Z3093" s="105" t="e">
        <v>#N/A</v>
      </c>
      <c r="AA3093" s="102" t="e">
        <v>#N/A</v>
      </c>
    </row>
    <row r="3094" spans="19:27" x14ac:dyDescent="0.2">
      <c r="S3094" s="61"/>
      <c r="T3094" s="82"/>
      <c r="W3094" s="103" t="str">
        <f t="shared" si="57"/>
        <v>1w</v>
      </c>
      <c r="X3094" s="101">
        <f>_xll.qlCalendarAdvance(Calendar,X3093,W3094,"f",FALSE)</f>
        <v>61015</v>
      </c>
      <c r="Y3094" s="104">
        <f>_xll.qlCalendarAdvance(Calendar,X3094,NDays&amp;"D")</f>
        <v>61017</v>
      </c>
      <c r="Z3094" s="105" t="e">
        <v>#N/A</v>
      </c>
      <c r="AA3094" s="102" t="e">
        <v>#N/A</v>
      </c>
    </row>
    <row r="3095" spans="19:27" x14ac:dyDescent="0.2">
      <c r="S3095" s="61"/>
      <c r="T3095" s="82"/>
      <c r="W3095" s="103" t="str">
        <f t="shared" si="57"/>
        <v>1w</v>
      </c>
      <c r="X3095" s="101">
        <f>_xll.qlCalendarAdvance(Calendar,X3094,W3095,"f",FALSE)</f>
        <v>61022</v>
      </c>
      <c r="Y3095" s="104">
        <f>_xll.qlCalendarAdvance(Calendar,X3095,NDays&amp;"D")</f>
        <v>61024</v>
      </c>
      <c r="Z3095" s="105" t="e">
        <v>#N/A</v>
      </c>
      <c r="AA3095" s="102" t="e">
        <v>#N/A</v>
      </c>
    </row>
    <row r="3096" spans="19:27" x14ac:dyDescent="0.2">
      <c r="S3096" s="61"/>
      <c r="T3096" s="82"/>
      <c r="W3096" s="103" t="str">
        <f t="shared" si="57"/>
        <v>1w</v>
      </c>
      <c r="X3096" s="101">
        <f>_xll.qlCalendarAdvance(Calendar,X3095,W3096,"f",FALSE)</f>
        <v>61029</v>
      </c>
      <c r="Y3096" s="104">
        <f>_xll.qlCalendarAdvance(Calendar,X3096,NDays&amp;"D")</f>
        <v>61031</v>
      </c>
      <c r="Z3096" s="105" t="e">
        <v>#N/A</v>
      </c>
      <c r="AA3096" s="102" t="e">
        <v>#N/A</v>
      </c>
    </row>
    <row r="3097" spans="19:27" x14ac:dyDescent="0.2">
      <c r="S3097" s="61"/>
      <c r="T3097" s="82"/>
      <c r="W3097" s="103" t="str">
        <f t="shared" si="57"/>
        <v>1w</v>
      </c>
      <c r="X3097" s="101">
        <f>_xll.qlCalendarAdvance(Calendar,X3096,W3097,"f",FALSE)</f>
        <v>61036</v>
      </c>
      <c r="Y3097" s="104">
        <f>_xll.qlCalendarAdvance(Calendar,X3097,NDays&amp;"D")</f>
        <v>61038</v>
      </c>
      <c r="Z3097" s="105" t="e">
        <v>#N/A</v>
      </c>
      <c r="AA3097" s="102" t="e">
        <v>#N/A</v>
      </c>
    </row>
    <row r="3098" spans="19:27" x14ac:dyDescent="0.2">
      <c r="S3098" s="61"/>
      <c r="T3098" s="82"/>
      <c r="W3098" s="103" t="str">
        <f t="shared" si="57"/>
        <v>1w</v>
      </c>
      <c r="X3098" s="101">
        <f>_xll.qlCalendarAdvance(Calendar,X3097,W3098,"f",FALSE)</f>
        <v>61043</v>
      </c>
      <c r="Y3098" s="104">
        <f>_xll.qlCalendarAdvance(Calendar,X3098,NDays&amp;"D")</f>
        <v>61045</v>
      </c>
      <c r="Z3098" s="105" t="e">
        <v>#N/A</v>
      </c>
      <c r="AA3098" s="102" t="e">
        <v>#N/A</v>
      </c>
    </row>
    <row r="3099" spans="19:27" x14ac:dyDescent="0.2">
      <c r="S3099" s="61"/>
      <c r="T3099" s="82"/>
      <c r="W3099" s="103" t="str">
        <f t="shared" si="57"/>
        <v>1w</v>
      </c>
      <c r="X3099" s="101">
        <f>_xll.qlCalendarAdvance(Calendar,X3098,W3099,"f",FALSE)</f>
        <v>61050</v>
      </c>
      <c r="Y3099" s="104">
        <f>_xll.qlCalendarAdvance(Calendar,X3099,NDays&amp;"D")</f>
        <v>61052</v>
      </c>
      <c r="Z3099" s="105" t="e">
        <v>#N/A</v>
      </c>
      <c r="AA3099" s="102" t="e">
        <v>#N/A</v>
      </c>
    </row>
    <row r="3100" spans="19:27" x14ac:dyDescent="0.2">
      <c r="S3100" s="61"/>
      <c r="T3100" s="82"/>
      <c r="W3100" s="103" t="str">
        <f t="shared" si="57"/>
        <v>1w</v>
      </c>
      <c r="X3100" s="101">
        <f>_xll.qlCalendarAdvance(Calendar,X3099,W3100,"f",FALSE)</f>
        <v>61057</v>
      </c>
      <c r="Y3100" s="104">
        <f>_xll.qlCalendarAdvance(Calendar,X3100,NDays&amp;"D")</f>
        <v>61059</v>
      </c>
      <c r="Z3100" s="105" t="e">
        <v>#N/A</v>
      </c>
      <c r="AA3100" s="102" t="e">
        <v>#N/A</v>
      </c>
    </row>
    <row r="3101" spans="19:27" x14ac:dyDescent="0.2">
      <c r="S3101" s="61"/>
      <c r="T3101" s="82"/>
      <c r="W3101" s="103" t="str">
        <f t="shared" si="57"/>
        <v>1w</v>
      </c>
      <c r="X3101" s="101">
        <f>_xll.qlCalendarAdvance(Calendar,X3100,W3101,"f",FALSE)</f>
        <v>61064</v>
      </c>
      <c r="Y3101" s="104">
        <f>_xll.qlCalendarAdvance(Calendar,X3101,NDays&amp;"D")</f>
        <v>61066</v>
      </c>
      <c r="Z3101" s="105" t="e">
        <v>#N/A</v>
      </c>
      <c r="AA3101" s="102" t="e">
        <v>#N/A</v>
      </c>
    </row>
    <row r="3102" spans="19:27" x14ac:dyDescent="0.2">
      <c r="S3102" s="61"/>
      <c r="T3102" s="82"/>
      <c r="W3102" s="103" t="str">
        <f t="shared" si="57"/>
        <v>1w</v>
      </c>
      <c r="X3102" s="101">
        <f>_xll.qlCalendarAdvance(Calendar,X3101,W3102,"f",FALSE)</f>
        <v>61071</v>
      </c>
      <c r="Y3102" s="104">
        <f>_xll.qlCalendarAdvance(Calendar,X3102,NDays&amp;"D")</f>
        <v>61073</v>
      </c>
      <c r="Z3102" s="105" t="e">
        <v>#N/A</v>
      </c>
      <c r="AA3102" s="102" t="e">
        <v>#N/A</v>
      </c>
    </row>
    <row r="3103" spans="19:27" x14ac:dyDescent="0.2">
      <c r="S3103" s="61"/>
      <c r="T3103" s="82"/>
      <c r="W3103" s="103" t="str">
        <f t="shared" si="57"/>
        <v>1w</v>
      </c>
      <c r="X3103" s="101">
        <f>_xll.qlCalendarAdvance(Calendar,X3102,W3103,"f",FALSE)</f>
        <v>61078</v>
      </c>
      <c r="Y3103" s="104">
        <f>_xll.qlCalendarAdvance(Calendar,X3103,NDays&amp;"D")</f>
        <v>61080</v>
      </c>
      <c r="Z3103" s="105" t="e">
        <v>#N/A</v>
      </c>
      <c r="AA3103" s="102" t="e">
        <v>#N/A</v>
      </c>
    </row>
    <row r="3104" spans="19:27" x14ac:dyDescent="0.2">
      <c r="S3104" s="61"/>
      <c r="T3104" s="82"/>
      <c r="W3104" s="103" t="str">
        <f t="shared" si="57"/>
        <v>1w</v>
      </c>
      <c r="X3104" s="101">
        <f>_xll.qlCalendarAdvance(Calendar,X3103,W3104,"f",FALSE)</f>
        <v>61085</v>
      </c>
      <c r="Y3104" s="104">
        <f>_xll.qlCalendarAdvance(Calendar,X3104,NDays&amp;"D")</f>
        <v>61087</v>
      </c>
      <c r="Z3104" s="105" t="e">
        <v>#N/A</v>
      </c>
      <c r="AA3104" s="102" t="e">
        <v>#N/A</v>
      </c>
    </row>
    <row r="3105" spans="19:27" x14ac:dyDescent="0.2">
      <c r="S3105" s="61"/>
      <c r="T3105" s="82"/>
      <c r="W3105" s="103" t="str">
        <f t="shared" si="57"/>
        <v>1w</v>
      </c>
      <c r="X3105" s="101">
        <f>_xll.qlCalendarAdvance(Calendar,X3104,W3105,"f",FALSE)</f>
        <v>61092</v>
      </c>
      <c r="Y3105" s="104">
        <f>_xll.qlCalendarAdvance(Calendar,X3105,NDays&amp;"D")</f>
        <v>61094</v>
      </c>
      <c r="Z3105" s="105" t="e">
        <v>#N/A</v>
      </c>
      <c r="AA3105" s="102" t="e">
        <v>#N/A</v>
      </c>
    </row>
    <row r="3106" spans="19:27" x14ac:dyDescent="0.2">
      <c r="S3106" s="61"/>
      <c r="T3106" s="82"/>
      <c r="W3106" s="103" t="str">
        <f t="shared" si="57"/>
        <v>1w</v>
      </c>
      <c r="X3106" s="101">
        <f>_xll.qlCalendarAdvance(Calendar,X3105,W3106,"f",FALSE)</f>
        <v>61099</v>
      </c>
      <c r="Y3106" s="104">
        <f>_xll.qlCalendarAdvance(Calendar,X3106,NDays&amp;"D")</f>
        <v>61101</v>
      </c>
      <c r="Z3106" s="105" t="e">
        <v>#N/A</v>
      </c>
      <c r="AA3106" s="102" t="e">
        <v>#N/A</v>
      </c>
    </row>
    <row r="3107" spans="19:27" x14ac:dyDescent="0.2">
      <c r="S3107" s="61"/>
      <c r="T3107" s="82"/>
      <c r="W3107" s="103" t="str">
        <f t="shared" si="57"/>
        <v>1w</v>
      </c>
      <c r="X3107" s="101">
        <f>_xll.qlCalendarAdvance(Calendar,X3106,W3107,"f",FALSE)</f>
        <v>61106</v>
      </c>
      <c r="Y3107" s="104">
        <f>_xll.qlCalendarAdvance(Calendar,X3107,NDays&amp;"D")</f>
        <v>61108</v>
      </c>
      <c r="Z3107" s="105" t="e">
        <v>#N/A</v>
      </c>
      <c r="AA3107" s="102" t="e">
        <v>#N/A</v>
      </c>
    </row>
    <row r="3108" spans="19:27" x14ac:dyDescent="0.2">
      <c r="S3108" s="61"/>
      <c r="T3108" s="82"/>
      <c r="W3108" s="103" t="str">
        <f t="shared" si="57"/>
        <v>1w</v>
      </c>
      <c r="X3108" s="101">
        <f>_xll.qlCalendarAdvance(Calendar,X3107,W3108,"f",FALSE)</f>
        <v>61113</v>
      </c>
      <c r="Y3108" s="104">
        <f>_xll.qlCalendarAdvance(Calendar,X3108,NDays&amp;"D")</f>
        <v>61115</v>
      </c>
      <c r="Z3108" s="105" t="e">
        <v>#N/A</v>
      </c>
      <c r="AA3108" s="102" t="e">
        <v>#N/A</v>
      </c>
    </row>
    <row r="3109" spans="19:27" x14ac:dyDescent="0.2">
      <c r="S3109" s="61"/>
      <c r="T3109" s="82"/>
      <c r="W3109" s="103" t="str">
        <f t="shared" si="57"/>
        <v>1w</v>
      </c>
      <c r="X3109" s="101">
        <f>_xll.qlCalendarAdvance(Calendar,X3108,W3109,"f",FALSE)</f>
        <v>61120</v>
      </c>
      <c r="Y3109" s="104">
        <f>_xll.qlCalendarAdvance(Calendar,X3109,NDays&amp;"D")</f>
        <v>61122</v>
      </c>
      <c r="Z3109" s="105" t="e">
        <v>#N/A</v>
      </c>
      <c r="AA3109" s="102" t="e">
        <v>#N/A</v>
      </c>
    </row>
    <row r="3110" spans="19:27" x14ac:dyDescent="0.2">
      <c r="S3110" s="61"/>
      <c r="T3110" s="82"/>
      <c r="W3110" s="103" t="str">
        <f t="shared" si="57"/>
        <v>1w</v>
      </c>
      <c r="X3110" s="101">
        <f>_xll.qlCalendarAdvance(Calendar,X3109,W3110,"f",FALSE)</f>
        <v>61127</v>
      </c>
      <c r="Y3110" s="104">
        <f>_xll.qlCalendarAdvance(Calendar,X3110,NDays&amp;"D")</f>
        <v>61130</v>
      </c>
      <c r="Z3110" s="105" t="e">
        <v>#N/A</v>
      </c>
      <c r="AA3110" s="102" t="e">
        <v>#N/A</v>
      </c>
    </row>
    <row r="3111" spans="19:27" x14ac:dyDescent="0.2">
      <c r="S3111" s="61"/>
      <c r="T3111" s="82"/>
      <c r="W3111" s="103" t="str">
        <f t="shared" si="57"/>
        <v>1w</v>
      </c>
      <c r="X3111" s="101">
        <f>_xll.qlCalendarAdvance(Calendar,X3110,W3111,"f",FALSE)</f>
        <v>61134</v>
      </c>
      <c r="Y3111" s="104">
        <f>_xll.qlCalendarAdvance(Calendar,X3111,NDays&amp;"D")</f>
        <v>61136</v>
      </c>
      <c r="Z3111" s="105" t="e">
        <v>#N/A</v>
      </c>
      <c r="AA3111" s="102" t="e">
        <v>#N/A</v>
      </c>
    </row>
    <row r="3112" spans="19:27" x14ac:dyDescent="0.2">
      <c r="S3112" s="61"/>
      <c r="T3112" s="82"/>
      <c r="W3112" s="103" t="str">
        <f t="shared" si="57"/>
        <v>1w</v>
      </c>
      <c r="X3112" s="101">
        <f>_xll.qlCalendarAdvance(Calendar,X3111,W3112,"f",FALSE)</f>
        <v>61141</v>
      </c>
      <c r="Y3112" s="104">
        <f>_xll.qlCalendarAdvance(Calendar,X3112,NDays&amp;"D")</f>
        <v>61143</v>
      </c>
      <c r="Z3112" s="105" t="e">
        <v>#N/A</v>
      </c>
      <c r="AA3112" s="102" t="e">
        <v>#N/A</v>
      </c>
    </row>
    <row r="3113" spans="19:27" x14ac:dyDescent="0.2">
      <c r="S3113" s="61"/>
      <c r="T3113" s="82"/>
      <c r="W3113" s="103" t="str">
        <f t="shared" si="57"/>
        <v>1w</v>
      </c>
      <c r="X3113" s="101">
        <f>_xll.qlCalendarAdvance(Calendar,X3112,W3113,"f",FALSE)</f>
        <v>61148</v>
      </c>
      <c r="Y3113" s="104">
        <f>_xll.qlCalendarAdvance(Calendar,X3113,NDays&amp;"D")</f>
        <v>61150</v>
      </c>
      <c r="Z3113" s="105" t="e">
        <v>#N/A</v>
      </c>
      <c r="AA3113" s="102" t="e">
        <v>#N/A</v>
      </c>
    </row>
    <row r="3114" spans="19:27" x14ac:dyDescent="0.2">
      <c r="S3114" s="61"/>
      <c r="T3114" s="82"/>
      <c r="W3114" s="103" t="str">
        <f t="shared" si="57"/>
        <v>1w</v>
      </c>
      <c r="X3114" s="101">
        <f>_xll.qlCalendarAdvance(Calendar,X3113,W3114,"f",FALSE)</f>
        <v>61155</v>
      </c>
      <c r="Y3114" s="104">
        <f>_xll.qlCalendarAdvance(Calendar,X3114,NDays&amp;"D")</f>
        <v>61157</v>
      </c>
      <c r="Z3114" s="105" t="e">
        <v>#N/A</v>
      </c>
      <c r="AA3114" s="102" t="e">
        <v>#N/A</v>
      </c>
    </row>
    <row r="3115" spans="19:27" x14ac:dyDescent="0.2">
      <c r="S3115" s="61"/>
      <c r="T3115" s="82"/>
      <c r="W3115" s="103" t="str">
        <f t="shared" si="57"/>
        <v>1w</v>
      </c>
      <c r="X3115" s="101">
        <f>_xll.qlCalendarAdvance(Calendar,X3114,W3115,"f",FALSE)</f>
        <v>61162</v>
      </c>
      <c r="Y3115" s="104">
        <f>_xll.qlCalendarAdvance(Calendar,X3115,NDays&amp;"D")</f>
        <v>61164</v>
      </c>
      <c r="Z3115" s="105" t="e">
        <v>#N/A</v>
      </c>
      <c r="AA3115" s="102" t="e">
        <v>#N/A</v>
      </c>
    </row>
    <row r="3116" spans="19:27" x14ac:dyDescent="0.2">
      <c r="S3116" s="61"/>
      <c r="T3116" s="82"/>
      <c r="W3116" s="103" t="str">
        <f t="shared" si="57"/>
        <v>1w</v>
      </c>
      <c r="X3116" s="101">
        <f>_xll.qlCalendarAdvance(Calendar,X3115,W3116,"f",FALSE)</f>
        <v>61169</v>
      </c>
      <c r="Y3116" s="104">
        <f>_xll.qlCalendarAdvance(Calendar,X3116,NDays&amp;"D")</f>
        <v>61171</v>
      </c>
      <c r="Z3116" s="105" t="e">
        <v>#N/A</v>
      </c>
      <c r="AA3116" s="102" t="e">
        <v>#N/A</v>
      </c>
    </row>
    <row r="3117" spans="19:27" x14ac:dyDescent="0.2">
      <c r="S3117" s="61"/>
      <c r="T3117" s="82"/>
      <c r="W3117" s="103" t="str">
        <f t="shared" si="57"/>
        <v>1w</v>
      </c>
      <c r="X3117" s="101">
        <f>_xll.qlCalendarAdvance(Calendar,X3116,W3117,"f",FALSE)</f>
        <v>61176</v>
      </c>
      <c r="Y3117" s="104">
        <f>_xll.qlCalendarAdvance(Calendar,X3117,NDays&amp;"D")</f>
        <v>61178</v>
      </c>
      <c r="Z3117" s="105" t="e">
        <v>#N/A</v>
      </c>
      <c r="AA3117" s="102" t="e">
        <v>#N/A</v>
      </c>
    </row>
    <row r="3118" spans="19:27" x14ac:dyDescent="0.2">
      <c r="S3118" s="61"/>
      <c r="T3118" s="82"/>
      <c r="W3118" s="103" t="str">
        <f t="shared" si="57"/>
        <v>1w</v>
      </c>
      <c r="X3118" s="101">
        <f>_xll.qlCalendarAdvance(Calendar,X3117,W3118,"f",FALSE)</f>
        <v>61183</v>
      </c>
      <c r="Y3118" s="104">
        <f>_xll.qlCalendarAdvance(Calendar,X3118,NDays&amp;"D")</f>
        <v>61185</v>
      </c>
      <c r="Z3118" s="105" t="e">
        <v>#N/A</v>
      </c>
      <c r="AA3118" s="102" t="e">
        <v>#N/A</v>
      </c>
    </row>
    <row r="3119" spans="19:27" x14ac:dyDescent="0.2">
      <c r="S3119" s="61"/>
      <c r="T3119" s="82"/>
      <c r="W3119" s="103" t="str">
        <f t="shared" si="57"/>
        <v>1w</v>
      </c>
      <c r="X3119" s="101">
        <f>_xll.qlCalendarAdvance(Calendar,X3118,W3119,"f",FALSE)</f>
        <v>61190</v>
      </c>
      <c r="Y3119" s="104">
        <f>_xll.qlCalendarAdvance(Calendar,X3119,NDays&amp;"D")</f>
        <v>61192</v>
      </c>
      <c r="Z3119" s="105" t="e">
        <v>#N/A</v>
      </c>
      <c r="AA3119" s="102" t="e">
        <v>#N/A</v>
      </c>
    </row>
    <row r="3120" spans="19:27" x14ac:dyDescent="0.2">
      <c r="S3120" s="61"/>
      <c r="T3120" s="82"/>
      <c r="W3120" s="103" t="str">
        <f t="shared" si="57"/>
        <v>1w</v>
      </c>
      <c r="X3120" s="101">
        <f>_xll.qlCalendarAdvance(Calendar,X3119,W3120,"f",FALSE)</f>
        <v>61197</v>
      </c>
      <c r="Y3120" s="104">
        <f>_xll.qlCalendarAdvance(Calendar,X3120,NDays&amp;"D")</f>
        <v>61199</v>
      </c>
      <c r="Z3120" s="105" t="e">
        <v>#N/A</v>
      </c>
      <c r="AA3120" s="102" t="e">
        <v>#N/A</v>
      </c>
    </row>
    <row r="3121" spans="19:27" x14ac:dyDescent="0.2">
      <c r="S3121" s="61"/>
      <c r="T3121" s="82"/>
      <c r="W3121" s="103" t="str">
        <f t="shared" si="57"/>
        <v>1w</v>
      </c>
      <c r="X3121" s="101">
        <f>_xll.qlCalendarAdvance(Calendar,X3120,W3121,"f",FALSE)</f>
        <v>61204</v>
      </c>
      <c r="Y3121" s="104">
        <f>_xll.qlCalendarAdvance(Calendar,X3121,NDays&amp;"D")</f>
        <v>61206</v>
      </c>
      <c r="Z3121" s="105" t="e">
        <v>#N/A</v>
      </c>
      <c r="AA3121" s="102" t="e">
        <v>#N/A</v>
      </c>
    </row>
    <row r="3122" spans="19:27" x14ac:dyDescent="0.2">
      <c r="S3122" s="61"/>
      <c r="T3122" s="82"/>
      <c r="W3122" s="103" t="str">
        <f t="shared" si="57"/>
        <v>1w</v>
      </c>
      <c r="X3122" s="101">
        <f>_xll.qlCalendarAdvance(Calendar,X3121,W3122,"f",FALSE)</f>
        <v>61211</v>
      </c>
      <c r="Y3122" s="104">
        <f>_xll.qlCalendarAdvance(Calendar,X3122,NDays&amp;"D")</f>
        <v>61213</v>
      </c>
      <c r="Z3122" s="105" t="e">
        <v>#N/A</v>
      </c>
      <c r="AA3122" s="102" t="e">
        <v>#N/A</v>
      </c>
    </row>
    <row r="3123" spans="19:27" x14ac:dyDescent="0.2">
      <c r="S3123" s="61"/>
      <c r="T3123" s="82"/>
      <c r="W3123" s="103" t="str">
        <f t="shared" si="57"/>
        <v>1w</v>
      </c>
      <c r="X3123" s="101">
        <f>_xll.qlCalendarAdvance(Calendar,X3122,W3123,"f",FALSE)</f>
        <v>61218</v>
      </c>
      <c r="Y3123" s="104">
        <f>_xll.qlCalendarAdvance(Calendar,X3123,NDays&amp;"D")</f>
        <v>61220</v>
      </c>
      <c r="Z3123" s="105" t="e">
        <v>#N/A</v>
      </c>
      <c r="AA3123" s="102" t="e">
        <v>#N/A</v>
      </c>
    </row>
    <row r="3124" spans="19:27" x14ac:dyDescent="0.2">
      <c r="S3124" s="61"/>
      <c r="T3124" s="82"/>
      <c r="W3124" s="103" t="str">
        <f t="shared" si="57"/>
        <v>1w</v>
      </c>
      <c r="X3124" s="101">
        <f>_xll.qlCalendarAdvance(Calendar,X3123,W3124,"f",FALSE)</f>
        <v>61225</v>
      </c>
      <c r="Y3124" s="104">
        <f>_xll.qlCalendarAdvance(Calendar,X3124,NDays&amp;"D")</f>
        <v>61227</v>
      </c>
      <c r="Z3124" s="105" t="e">
        <v>#N/A</v>
      </c>
      <c r="AA3124" s="102" t="e">
        <v>#N/A</v>
      </c>
    </row>
    <row r="3125" spans="19:27" x14ac:dyDescent="0.2">
      <c r="S3125" s="61"/>
      <c r="T3125" s="82"/>
      <c r="W3125" s="103" t="str">
        <f t="shared" si="57"/>
        <v>1w</v>
      </c>
      <c r="X3125" s="101">
        <f>_xll.qlCalendarAdvance(Calendar,X3124,W3125,"f",FALSE)</f>
        <v>61232</v>
      </c>
      <c r="Y3125" s="104">
        <f>_xll.qlCalendarAdvance(Calendar,X3125,NDays&amp;"D")</f>
        <v>61234</v>
      </c>
      <c r="Z3125" s="105" t="e">
        <v>#N/A</v>
      </c>
      <c r="AA3125" s="102" t="e">
        <v>#N/A</v>
      </c>
    </row>
    <row r="3126" spans="19:27" x14ac:dyDescent="0.2">
      <c r="S3126" s="61"/>
      <c r="T3126" s="82"/>
      <c r="W3126" s="103" t="str">
        <f t="shared" si="57"/>
        <v>1w</v>
      </c>
      <c r="X3126" s="101">
        <f>_xll.qlCalendarAdvance(Calendar,X3125,W3126,"f",FALSE)</f>
        <v>61239</v>
      </c>
      <c r="Y3126" s="104">
        <f>_xll.qlCalendarAdvance(Calendar,X3126,NDays&amp;"D")</f>
        <v>61241</v>
      </c>
      <c r="Z3126" s="105" t="e">
        <v>#N/A</v>
      </c>
      <c r="AA3126" s="102" t="e">
        <v>#N/A</v>
      </c>
    </row>
    <row r="3127" spans="19:27" x14ac:dyDescent="0.2">
      <c r="S3127" s="61"/>
      <c r="T3127" s="82"/>
      <c r="W3127" s="103" t="str">
        <f t="shared" si="57"/>
        <v>1w</v>
      </c>
      <c r="X3127" s="101">
        <f>_xll.qlCalendarAdvance(Calendar,X3126,W3127,"f",FALSE)</f>
        <v>61246</v>
      </c>
      <c r="Y3127" s="104">
        <f>_xll.qlCalendarAdvance(Calendar,X3127,NDays&amp;"D")</f>
        <v>61248</v>
      </c>
      <c r="Z3127" s="105" t="e">
        <v>#N/A</v>
      </c>
      <c r="AA3127" s="102" t="e">
        <v>#N/A</v>
      </c>
    </row>
    <row r="3128" spans="19:27" x14ac:dyDescent="0.2">
      <c r="S3128" s="61"/>
      <c r="T3128" s="82"/>
      <c r="W3128" s="103" t="str">
        <f t="shared" si="57"/>
        <v>1w</v>
      </c>
      <c r="X3128" s="101">
        <f>_xll.qlCalendarAdvance(Calendar,X3127,W3128,"f",FALSE)</f>
        <v>61253</v>
      </c>
      <c r="Y3128" s="104">
        <f>_xll.qlCalendarAdvance(Calendar,X3128,NDays&amp;"D")</f>
        <v>61255</v>
      </c>
      <c r="Z3128" s="105" t="e">
        <v>#N/A</v>
      </c>
      <c r="AA3128" s="102" t="e">
        <v>#N/A</v>
      </c>
    </row>
    <row r="3129" spans="19:27" x14ac:dyDescent="0.2">
      <c r="S3129" s="61"/>
      <c r="T3129" s="82"/>
      <c r="W3129" s="103" t="str">
        <f t="shared" si="57"/>
        <v>1w</v>
      </c>
      <c r="X3129" s="101">
        <f>_xll.qlCalendarAdvance(Calendar,X3128,W3129,"f",FALSE)</f>
        <v>61260</v>
      </c>
      <c r="Y3129" s="104">
        <f>_xll.qlCalendarAdvance(Calendar,X3129,NDays&amp;"D")</f>
        <v>61262</v>
      </c>
      <c r="Z3129" s="105" t="e">
        <v>#N/A</v>
      </c>
      <c r="AA3129" s="102" t="e">
        <v>#N/A</v>
      </c>
    </row>
    <row r="3130" spans="19:27" x14ac:dyDescent="0.2">
      <c r="S3130" s="61"/>
      <c r="T3130" s="82"/>
      <c r="W3130" s="103" t="str">
        <f t="shared" si="57"/>
        <v>1w</v>
      </c>
      <c r="X3130" s="101">
        <f>_xll.qlCalendarAdvance(Calendar,X3129,W3130,"f",FALSE)</f>
        <v>61267</v>
      </c>
      <c r="Y3130" s="104">
        <f>_xll.qlCalendarAdvance(Calendar,X3130,NDays&amp;"D")</f>
        <v>61269</v>
      </c>
      <c r="Z3130" s="105" t="e">
        <v>#N/A</v>
      </c>
      <c r="AA3130" s="102" t="e">
        <v>#N/A</v>
      </c>
    </row>
    <row r="3131" spans="19:27" x14ac:dyDescent="0.2">
      <c r="S3131" s="61"/>
      <c r="T3131" s="82"/>
      <c r="W3131" s="103" t="str">
        <f t="shared" si="57"/>
        <v>1w</v>
      </c>
      <c r="X3131" s="101">
        <f>_xll.qlCalendarAdvance(Calendar,X3130,W3131,"f",FALSE)</f>
        <v>61274</v>
      </c>
      <c r="Y3131" s="104">
        <f>_xll.qlCalendarAdvance(Calendar,X3131,NDays&amp;"D")</f>
        <v>61276</v>
      </c>
      <c r="Z3131" s="105" t="e">
        <v>#N/A</v>
      </c>
      <c r="AA3131" s="102" t="e">
        <v>#N/A</v>
      </c>
    </row>
    <row r="3132" spans="19:27" x14ac:dyDescent="0.2">
      <c r="S3132" s="61"/>
      <c r="T3132" s="82"/>
      <c r="W3132" s="103" t="str">
        <f t="shared" si="57"/>
        <v>1w</v>
      </c>
      <c r="X3132" s="101">
        <f>_xll.qlCalendarAdvance(Calendar,X3131,W3132,"f",FALSE)</f>
        <v>61281</v>
      </c>
      <c r="Y3132" s="104">
        <f>_xll.qlCalendarAdvance(Calendar,X3132,NDays&amp;"D")</f>
        <v>61283</v>
      </c>
      <c r="Z3132" s="105" t="e">
        <v>#N/A</v>
      </c>
      <c r="AA3132" s="102" t="e">
        <v>#N/A</v>
      </c>
    </row>
    <row r="3133" spans="19:27" x14ac:dyDescent="0.2">
      <c r="S3133" s="61"/>
      <c r="T3133" s="82"/>
      <c r="W3133" s="103" t="str">
        <f t="shared" si="57"/>
        <v>1w</v>
      </c>
      <c r="X3133" s="101">
        <f>_xll.qlCalendarAdvance(Calendar,X3132,W3133,"f",FALSE)</f>
        <v>61288</v>
      </c>
      <c r="Y3133" s="104">
        <f>_xll.qlCalendarAdvance(Calendar,X3133,NDays&amp;"D")</f>
        <v>61290</v>
      </c>
      <c r="Z3133" s="105" t="e">
        <v>#N/A</v>
      </c>
      <c r="AA3133" s="102" t="e">
        <v>#N/A</v>
      </c>
    </row>
    <row r="3134" spans="19:27" x14ac:dyDescent="0.2">
      <c r="S3134" s="61"/>
      <c r="T3134" s="82"/>
      <c r="W3134" s="103" t="str">
        <f t="shared" si="57"/>
        <v>1w</v>
      </c>
      <c r="X3134" s="101">
        <f>_xll.qlCalendarAdvance(Calendar,X3133,W3134,"f",FALSE)</f>
        <v>61295</v>
      </c>
      <c r="Y3134" s="104">
        <f>_xll.qlCalendarAdvance(Calendar,X3134,NDays&amp;"D")</f>
        <v>61297</v>
      </c>
      <c r="Z3134" s="105" t="e">
        <v>#N/A</v>
      </c>
      <c r="AA3134" s="102" t="e">
        <v>#N/A</v>
      </c>
    </row>
    <row r="3135" spans="19:27" x14ac:dyDescent="0.2">
      <c r="S3135" s="61"/>
      <c r="T3135" s="82"/>
      <c r="W3135" s="103" t="str">
        <f t="shared" si="57"/>
        <v>1w</v>
      </c>
      <c r="X3135" s="101">
        <f>_xll.qlCalendarAdvance(Calendar,X3134,W3135,"f",FALSE)</f>
        <v>61302</v>
      </c>
      <c r="Y3135" s="104">
        <f>_xll.qlCalendarAdvance(Calendar,X3135,NDays&amp;"D")</f>
        <v>61304</v>
      </c>
      <c r="Z3135" s="105" t="e">
        <v>#N/A</v>
      </c>
      <c r="AA3135" s="102" t="e">
        <v>#N/A</v>
      </c>
    </row>
    <row r="3136" spans="19:27" x14ac:dyDescent="0.2">
      <c r="S3136" s="61"/>
      <c r="T3136" s="82"/>
      <c r="W3136" s="103" t="str">
        <f t="shared" si="57"/>
        <v>1w</v>
      </c>
      <c r="X3136" s="101">
        <f>_xll.qlCalendarAdvance(Calendar,X3135,W3136,"f",FALSE)</f>
        <v>61309</v>
      </c>
      <c r="Y3136" s="104">
        <f>_xll.qlCalendarAdvance(Calendar,X3136,NDays&amp;"D")</f>
        <v>61311</v>
      </c>
      <c r="Z3136" s="105" t="e">
        <v>#N/A</v>
      </c>
      <c r="AA3136" s="102" t="e">
        <v>#N/A</v>
      </c>
    </row>
    <row r="3137" spans="19:27" x14ac:dyDescent="0.2">
      <c r="S3137" s="61"/>
      <c r="T3137" s="82"/>
      <c r="W3137" s="103" t="str">
        <f t="shared" si="57"/>
        <v>1w</v>
      </c>
      <c r="X3137" s="101">
        <f>_xll.qlCalendarAdvance(Calendar,X3136,W3137,"f",FALSE)</f>
        <v>61316</v>
      </c>
      <c r="Y3137" s="104">
        <f>_xll.qlCalendarAdvance(Calendar,X3137,NDays&amp;"D")</f>
        <v>61318</v>
      </c>
      <c r="Z3137" s="105" t="e">
        <v>#N/A</v>
      </c>
      <c r="AA3137" s="102" t="e">
        <v>#N/A</v>
      </c>
    </row>
    <row r="3138" spans="19:27" x14ac:dyDescent="0.2">
      <c r="S3138" s="61"/>
      <c r="T3138" s="82"/>
      <c r="W3138" s="103" t="str">
        <f t="shared" si="57"/>
        <v>1w</v>
      </c>
      <c r="X3138" s="101">
        <f>_xll.qlCalendarAdvance(Calendar,X3137,W3138,"f",FALSE)</f>
        <v>61323</v>
      </c>
      <c r="Y3138" s="104">
        <f>_xll.qlCalendarAdvance(Calendar,X3138,NDays&amp;"D")</f>
        <v>61325</v>
      </c>
      <c r="Z3138" s="105" t="e">
        <v>#N/A</v>
      </c>
      <c r="AA3138" s="102" t="e">
        <v>#N/A</v>
      </c>
    </row>
    <row r="3139" spans="19:27" x14ac:dyDescent="0.2">
      <c r="S3139" s="61"/>
      <c r="T3139" s="82"/>
      <c r="W3139" s="103" t="str">
        <f t="shared" si="57"/>
        <v>1w</v>
      </c>
      <c r="X3139" s="101">
        <f>_xll.qlCalendarAdvance(Calendar,X3138,W3139,"f",FALSE)</f>
        <v>61330</v>
      </c>
      <c r="Y3139" s="104">
        <f>_xll.qlCalendarAdvance(Calendar,X3139,NDays&amp;"D")</f>
        <v>61332</v>
      </c>
      <c r="Z3139" s="105" t="e">
        <v>#N/A</v>
      </c>
      <c r="AA3139" s="102" t="e">
        <v>#N/A</v>
      </c>
    </row>
    <row r="3140" spans="19:27" x14ac:dyDescent="0.2">
      <c r="S3140" s="61"/>
      <c r="T3140" s="82"/>
      <c r="W3140" s="103" t="str">
        <f t="shared" si="57"/>
        <v>1w</v>
      </c>
      <c r="X3140" s="101">
        <f>_xll.qlCalendarAdvance(Calendar,X3139,W3140,"f",FALSE)</f>
        <v>61337</v>
      </c>
      <c r="Y3140" s="104">
        <f>_xll.qlCalendarAdvance(Calendar,X3140,NDays&amp;"D")</f>
        <v>61339</v>
      </c>
      <c r="Z3140" s="105" t="e">
        <v>#N/A</v>
      </c>
      <c r="AA3140" s="102" t="e">
        <v>#N/A</v>
      </c>
    </row>
    <row r="3141" spans="19:27" x14ac:dyDescent="0.2">
      <c r="S3141" s="61"/>
      <c r="T3141" s="82"/>
      <c r="W3141" s="103" t="str">
        <f t="shared" si="57"/>
        <v>1w</v>
      </c>
      <c r="X3141" s="101">
        <f>_xll.qlCalendarAdvance(Calendar,X3140,W3141,"f",FALSE)</f>
        <v>61344</v>
      </c>
      <c r="Y3141" s="104">
        <f>_xll.qlCalendarAdvance(Calendar,X3141,NDays&amp;"D")</f>
        <v>61346</v>
      </c>
      <c r="Z3141" s="105" t="e">
        <v>#N/A</v>
      </c>
      <c r="AA3141" s="102" t="e">
        <v>#N/A</v>
      </c>
    </row>
    <row r="3142" spans="19:27" x14ac:dyDescent="0.2">
      <c r="S3142" s="61"/>
      <c r="T3142" s="82"/>
      <c r="W3142" s="103" t="str">
        <f t="shared" si="57"/>
        <v>1w</v>
      </c>
      <c r="X3142" s="101">
        <f>_xll.qlCalendarAdvance(Calendar,X3141,W3142,"f",FALSE)</f>
        <v>61351</v>
      </c>
      <c r="Y3142" s="104">
        <f>_xll.qlCalendarAdvance(Calendar,X3142,NDays&amp;"D")</f>
        <v>61353</v>
      </c>
      <c r="Z3142" s="105" t="e">
        <v>#N/A</v>
      </c>
      <c r="AA3142" s="102" t="e">
        <v>#N/A</v>
      </c>
    </row>
    <row r="3143" spans="19:27" x14ac:dyDescent="0.2">
      <c r="S3143" s="61"/>
      <c r="T3143" s="82"/>
      <c r="W3143" s="103" t="str">
        <f t="shared" si="57"/>
        <v>1w</v>
      </c>
      <c r="X3143" s="101">
        <f>_xll.qlCalendarAdvance(Calendar,X3142,W3143,"f",FALSE)</f>
        <v>61358</v>
      </c>
      <c r="Y3143" s="104">
        <f>_xll.qlCalendarAdvance(Calendar,X3143,NDays&amp;"D")</f>
        <v>61360</v>
      </c>
      <c r="Z3143" s="105" t="e">
        <v>#N/A</v>
      </c>
      <c r="AA3143" s="102" t="e">
        <v>#N/A</v>
      </c>
    </row>
    <row r="3144" spans="19:27" x14ac:dyDescent="0.2">
      <c r="S3144" s="61"/>
      <c r="T3144" s="82"/>
      <c r="W3144" s="103" t="str">
        <f t="shared" si="57"/>
        <v>1w</v>
      </c>
      <c r="X3144" s="101">
        <f>_xll.qlCalendarAdvance(Calendar,X3143,W3144,"f",FALSE)</f>
        <v>61365</v>
      </c>
      <c r="Y3144" s="104">
        <f>_xll.qlCalendarAdvance(Calendar,X3144,NDays&amp;"D")</f>
        <v>61367</v>
      </c>
      <c r="Z3144" s="105" t="e">
        <v>#N/A</v>
      </c>
      <c r="AA3144" s="102" t="e">
        <v>#N/A</v>
      </c>
    </row>
    <row r="3145" spans="19:27" x14ac:dyDescent="0.2">
      <c r="S3145" s="61"/>
      <c r="T3145" s="82"/>
      <c r="W3145" s="103" t="str">
        <f t="shared" si="57"/>
        <v>1w</v>
      </c>
      <c r="X3145" s="101">
        <f>_xll.qlCalendarAdvance(Calendar,X3144,W3145,"f",FALSE)</f>
        <v>61372</v>
      </c>
      <c r="Y3145" s="104">
        <f>_xll.qlCalendarAdvance(Calendar,X3145,NDays&amp;"D")</f>
        <v>61374</v>
      </c>
      <c r="Z3145" s="105" t="e">
        <v>#N/A</v>
      </c>
      <c r="AA3145" s="102" t="e">
        <v>#N/A</v>
      </c>
    </row>
    <row r="3146" spans="19:27" x14ac:dyDescent="0.2">
      <c r="S3146" s="61"/>
      <c r="T3146" s="82"/>
      <c r="W3146" s="103" t="str">
        <f t="shared" si="57"/>
        <v>1w</v>
      </c>
      <c r="X3146" s="101">
        <f>_xll.qlCalendarAdvance(Calendar,X3145,W3146,"f",FALSE)</f>
        <v>61379</v>
      </c>
      <c r="Y3146" s="104">
        <f>_xll.qlCalendarAdvance(Calendar,X3146,NDays&amp;"D")</f>
        <v>61381</v>
      </c>
      <c r="Z3146" s="105" t="e">
        <v>#N/A</v>
      </c>
      <c r="AA3146" s="102" t="e">
        <v>#N/A</v>
      </c>
    </row>
    <row r="3147" spans="19:27" x14ac:dyDescent="0.2">
      <c r="S3147" s="61"/>
      <c r="T3147" s="82"/>
      <c r="W3147" s="103" t="str">
        <f t="shared" si="57"/>
        <v>1w</v>
      </c>
      <c r="X3147" s="101">
        <f>_xll.qlCalendarAdvance(Calendar,X3146,W3147,"f",FALSE)</f>
        <v>61386</v>
      </c>
      <c r="Y3147" s="104">
        <f>_xll.qlCalendarAdvance(Calendar,X3147,NDays&amp;"D")</f>
        <v>61388</v>
      </c>
      <c r="Z3147" s="105" t="e">
        <v>#N/A</v>
      </c>
      <c r="AA3147" s="102" t="e">
        <v>#N/A</v>
      </c>
    </row>
    <row r="3148" spans="19:27" x14ac:dyDescent="0.2">
      <c r="S3148" s="61"/>
      <c r="T3148" s="82"/>
      <c r="W3148" s="103" t="str">
        <f t="shared" si="57"/>
        <v>1w</v>
      </c>
      <c r="X3148" s="101">
        <f>_xll.qlCalendarAdvance(Calendar,X3147,W3148,"f",FALSE)</f>
        <v>61393</v>
      </c>
      <c r="Y3148" s="104">
        <f>_xll.qlCalendarAdvance(Calendar,X3148,NDays&amp;"D")</f>
        <v>61395</v>
      </c>
      <c r="Z3148" s="105" t="e">
        <v>#N/A</v>
      </c>
      <c r="AA3148" s="102" t="e">
        <v>#N/A</v>
      </c>
    </row>
    <row r="3149" spans="19:27" x14ac:dyDescent="0.2">
      <c r="S3149" s="61"/>
      <c r="T3149" s="82"/>
      <c r="W3149" s="103" t="str">
        <f t="shared" si="57"/>
        <v>1w</v>
      </c>
      <c r="X3149" s="101">
        <f>_xll.qlCalendarAdvance(Calendar,X3148,W3149,"f",FALSE)</f>
        <v>61400</v>
      </c>
      <c r="Y3149" s="104">
        <f>_xll.qlCalendarAdvance(Calendar,X3149,NDays&amp;"D")</f>
        <v>61402</v>
      </c>
      <c r="Z3149" s="105" t="e">
        <v>#N/A</v>
      </c>
      <c r="AA3149" s="102" t="e">
        <v>#N/A</v>
      </c>
    </row>
    <row r="3150" spans="19:27" x14ac:dyDescent="0.2">
      <c r="S3150" s="61"/>
      <c r="T3150" s="82"/>
      <c r="W3150" s="103" t="str">
        <f t="shared" si="57"/>
        <v>1w</v>
      </c>
      <c r="X3150" s="101">
        <f>_xll.qlCalendarAdvance(Calendar,X3149,W3150,"f",FALSE)</f>
        <v>61407</v>
      </c>
      <c r="Y3150" s="104">
        <f>_xll.qlCalendarAdvance(Calendar,X3150,NDays&amp;"D")</f>
        <v>61409</v>
      </c>
      <c r="Z3150" s="105" t="e">
        <v>#N/A</v>
      </c>
      <c r="AA3150" s="102" t="e">
        <v>#N/A</v>
      </c>
    </row>
    <row r="3151" spans="19:27" x14ac:dyDescent="0.2">
      <c r="S3151" s="61"/>
      <c r="T3151" s="82"/>
      <c r="W3151" s="103" t="str">
        <f t="shared" si="57"/>
        <v>1w</v>
      </c>
      <c r="X3151" s="101">
        <f>_xll.qlCalendarAdvance(Calendar,X3150,W3151,"f",FALSE)</f>
        <v>61414</v>
      </c>
      <c r="Y3151" s="104">
        <f>_xll.qlCalendarAdvance(Calendar,X3151,NDays&amp;"D")</f>
        <v>61416</v>
      </c>
      <c r="Z3151" s="105" t="e">
        <v>#N/A</v>
      </c>
      <c r="AA3151" s="102" t="e">
        <v>#N/A</v>
      </c>
    </row>
    <row r="3152" spans="19:27" x14ac:dyDescent="0.2">
      <c r="S3152" s="61"/>
      <c r="T3152" s="82"/>
      <c r="W3152" s="103" t="str">
        <f t="shared" si="57"/>
        <v>1w</v>
      </c>
      <c r="X3152" s="101">
        <f>_xll.qlCalendarAdvance(Calendar,X3151,W3152,"f",FALSE)</f>
        <v>61421</v>
      </c>
      <c r="Y3152" s="104">
        <f>_xll.qlCalendarAdvance(Calendar,X3152,NDays&amp;"D")</f>
        <v>61423</v>
      </c>
      <c r="Z3152" s="105" t="e">
        <v>#N/A</v>
      </c>
      <c r="AA3152" s="102" t="e">
        <v>#N/A</v>
      </c>
    </row>
    <row r="3153" spans="19:27" x14ac:dyDescent="0.2">
      <c r="S3153" s="61"/>
      <c r="T3153" s="82"/>
      <c r="W3153" s="103" t="str">
        <f t="shared" si="57"/>
        <v>1w</v>
      </c>
      <c r="X3153" s="101">
        <f>_xll.qlCalendarAdvance(Calendar,X3152,W3153,"f",FALSE)</f>
        <v>61428</v>
      </c>
      <c r="Y3153" s="104">
        <f>_xll.qlCalendarAdvance(Calendar,X3153,NDays&amp;"D")</f>
        <v>61430</v>
      </c>
      <c r="Z3153" s="105" t="e">
        <v>#N/A</v>
      </c>
      <c r="AA3153" s="102" t="e">
        <v>#N/A</v>
      </c>
    </row>
    <row r="3154" spans="19:27" x14ac:dyDescent="0.2">
      <c r="S3154" s="61"/>
      <c r="T3154" s="82"/>
      <c r="W3154" s="103" t="str">
        <f t="shared" si="57"/>
        <v>1w</v>
      </c>
      <c r="X3154" s="101">
        <f>_xll.qlCalendarAdvance(Calendar,X3153,W3154,"f",FALSE)</f>
        <v>61435</v>
      </c>
      <c r="Y3154" s="104">
        <f>_xll.qlCalendarAdvance(Calendar,X3154,NDays&amp;"D")</f>
        <v>61437</v>
      </c>
      <c r="Z3154" s="105" t="e">
        <v>#N/A</v>
      </c>
      <c r="AA3154" s="102" t="e">
        <v>#N/A</v>
      </c>
    </row>
    <row r="3155" spans="19:27" x14ac:dyDescent="0.2">
      <c r="S3155" s="61"/>
      <c r="T3155" s="82"/>
      <c r="W3155" s="103" t="str">
        <f t="shared" si="57"/>
        <v>1w</v>
      </c>
      <c r="X3155" s="101">
        <f>_xll.qlCalendarAdvance(Calendar,X3154,W3155,"f",FALSE)</f>
        <v>61442</v>
      </c>
      <c r="Y3155" s="104">
        <f>_xll.qlCalendarAdvance(Calendar,X3155,NDays&amp;"D")</f>
        <v>61444</v>
      </c>
      <c r="Z3155" s="105" t="e">
        <v>#N/A</v>
      </c>
      <c r="AA3155" s="102" t="e">
        <v>#N/A</v>
      </c>
    </row>
    <row r="3156" spans="19:27" x14ac:dyDescent="0.2">
      <c r="S3156" s="61"/>
      <c r="T3156" s="82"/>
      <c r="W3156" s="103" t="str">
        <f t="shared" si="57"/>
        <v>1w</v>
      </c>
      <c r="X3156" s="101">
        <f>_xll.qlCalendarAdvance(Calendar,X3155,W3156,"f",FALSE)</f>
        <v>61449</v>
      </c>
      <c r="Y3156" s="104">
        <f>_xll.qlCalendarAdvance(Calendar,X3156,NDays&amp;"D")</f>
        <v>61451</v>
      </c>
      <c r="Z3156" s="105" t="e">
        <v>#N/A</v>
      </c>
      <c r="AA3156" s="102" t="e">
        <v>#N/A</v>
      </c>
    </row>
    <row r="3157" spans="19:27" x14ac:dyDescent="0.2">
      <c r="S3157" s="61"/>
      <c r="T3157" s="82"/>
      <c r="W3157" s="103" t="str">
        <f t="shared" ref="W3157:W3220" si="58">W3156</f>
        <v>1w</v>
      </c>
      <c r="X3157" s="101">
        <f>_xll.qlCalendarAdvance(Calendar,X3156,W3157,"f",FALSE)</f>
        <v>61456</v>
      </c>
      <c r="Y3157" s="104">
        <f>_xll.qlCalendarAdvance(Calendar,X3157,NDays&amp;"D")</f>
        <v>61458</v>
      </c>
      <c r="Z3157" s="105" t="e">
        <v>#N/A</v>
      </c>
      <c r="AA3157" s="102" t="e">
        <v>#N/A</v>
      </c>
    </row>
    <row r="3158" spans="19:27" x14ac:dyDescent="0.2">
      <c r="S3158" s="61"/>
      <c r="T3158" s="82"/>
      <c r="W3158" s="103" t="str">
        <f t="shared" si="58"/>
        <v>1w</v>
      </c>
      <c r="X3158" s="101">
        <f>_xll.qlCalendarAdvance(Calendar,X3157,W3158,"f",FALSE)</f>
        <v>61463</v>
      </c>
      <c r="Y3158" s="104">
        <f>_xll.qlCalendarAdvance(Calendar,X3158,NDays&amp;"D")</f>
        <v>61465</v>
      </c>
      <c r="Z3158" s="105" t="e">
        <v>#N/A</v>
      </c>
      <c r="AA3158" s="102" t="e">
        <v>#N/A</v>
      </c>
    </row>
    <row r="3159" spans="19:27" x14ac:dyDescent="0.2">
      <c r="S3159" s="61"/>
      <c r="T3159" s="82"/>
      <c r="W3159" s="103" t="str">
        <f t="shared" si="58"/>
        <v>1w</v>
      </c>
      <c r="X3159" s="101">
        <f>_xll.qlCalendarAdvance(Calendar,X3158,W3159,"f",FALSE)</f>
        <v>61470</v>
      </c>
      <c r="Y3159" s="104">
        <f>_xll.qlCalendarAdvance(Calendar,X3159,NDays&amp;"D")</f>
        <v>61472</v>
      </c>
      <c r="Z3159" s="105" t="e">
        <v>#N/A</v>
      </c>
      <c r="AA3159" s="102" t="e">
        <v>#N/A</v>
      </c>
    </row>
    <row r="3160" spans="19:27" x14ac:dyDescent="0.2">
      <c r="S3160" s="61"/>
      <c r="T3160" s="82"/>
      <c r="W3160" s="103" t="str">
        <f t="shared" si="58"/>
        <v>1w</v>
      </c>
      <c r="X3160" s="101">
        <f>_xll.qlCalendarAdvance(Calendar,X3159,W3160,"f",FALSE)</f>
        <v>61477</v>
      </c>
      <c r="Y3160" s="104">
        <f>_xll.qlCalendarAdvance(Calendar,X3160,NDays&amp;"D")</f>
        <v>61479</v>
      </c>
      <c r="Z3160" s="105" t="e">
        <v>#N/A</v>
      </c>
      <c r="AA3160" s="102" t="e">
        <v>#N/A</v>
      </c>
    </row>
    <row r="3161" spans="19:27" x14ac:dyDescent="0.2">
      <c r="S3161" s="61"/>
      <c r="T3161" s="82"/>
      <c r="W3161" s="103" t="str">
        <f t="shared" si="58"/>
        <v>1w</v>
      </c>
      <c r="X3161" s="101">
        <f>_xll.qlCalendarAdvance(Calendar,X3160,W3161,"f",FALSE)</f>
        <v>61485</v>
      </c>
      <c r="Y3161" s="104">
        <f>_xll.qlCalendarAdvance(Calendar,X3161,NDays&amp;"D")</f>
        <v>61487</v>
      </c>
      <c r="Z3161" s="105" t="e">
        <v>#N/A</v>
      </c>
      <c r="AA3161" s="102" t="e">
        <v>#N/A</v>
      </c>
    </row>
    <row r="3162" spans="19:27" x14ac:dyDescent="0.2">
      <c r="S3162" s="61"/>
      <c r="T3162" s="82"/>
      <c r="W3162" s="103" t="str">
        <f t="shared" si="58"/>
        <v>1w</v>
      </c>
      <c r="X3162" s="101">
        <f>_xll.qlCalendarAdvance(Calendar,X3161,W3162,"f",FALSE)</f>
        <v>61492</v>
      </c>
      <c r="Y3162" s="104">
        <f>_xll.qlCalendarAdvance(Calendar,X3162,NDays&amp;"D")</f>
        <v>61494</v>
      </c>
      <c r="Z3162" s="105" t="e">
        <v>#N/A</v>
      </c>
      <c r="AA3162" s="102" t="e">
        <v>#N/A</v>
      </c>
    </row>
    <row r="3163" spans="19:27" x14ac:dyDescent="0.2">
      <c r="S3163" s="61"/>
      <c r="T3163" s="82"/>
      <c r="W3163" s="103" t="str">
        <f t="shared" si="58"/>
        <v>1w</v>
      </c>
      <c r="X3163" s="101">
        <f>_xll.qlCalendarAdvance(Calendar,X3162,W3163,"f",FALSE)</f>
        <v>61499</v>
      </c>
      <c r="Y3163" s="104">
        <f>_xll.qlCalendarAdvance(Calendar,X3163,NDays&amp;"D")</f>
        <v>61501</v>
      </c>
      <c r="Z3163" s="105" t="e">
        <v>#N/A</v>
      </c>
      <c r="AA3163" s="102" t="e">
        <v>#N/A</v>
      </c>
    </row>
    <row r="3164" spans="19:27" x14ac:dyDescent="0.2">
      <c r="S3164" s="61"/>
      <c r="T3164" s="82"/>
      <c r="W3164" s="103" t="str">
        <f t="shared" si="58"/>
        <v>1w</v>
      </c>
      <c r="X3164" s="101">
        <f>_xll.qlCalendarAdvance(Calendar,X3163,W3164,"f",FALSE)</f>
        <v>61506</v>
      </c>
      <c r="Y3164" s="104">
        <f>_xll.qlCalendarAdvance(Calendar,X3164,NDays&amp;"D")</f>
        <v>61508</v>
      </c>
      <c r="Z3164" s="105" t="e">
        <v>#N/A</v>
      </c>
      <c r="AA3164" s="102" t="e">
        <v>#N/A</v>
      </c>
    </row>
    <row r="3165" spans="19:27" x14ac:dyDescent="0.2">
      <c r="S3165" s="61"/>
      <c r="T3165" s="82"/>
      <c r="W3165" s="103" t="str">
        <f t="shared" si="58"/>
        <v>1w</v>
      </c>
      <c r="X3165" s="101">
        <f>_xll.qlCalendarAdvance(Calendar,X3164,W3165,"f",FALSE)</f>
        <v>61513</v>
      </c>
      <c r="Y3165" s="104">
        <f>_xll.qlCalendarAdvance(Calendar,X3165,NDays&amp;"D")</f>
        <v>61518</v>
      </c>
      <c r="Z3165" s="105" t="e">
        <v>#N/A</v>
      </c>
      <c r="AA3165" s="102" t="e">
        <v>#N/A</v>
      </c>
    </row>
    <row r="3166" spans="19:27" x14ac:dyDescent="0.2">
      <c r="S3166" s="61"/>
      <c r="T3166" s="82"/>
      <c r="W3166" s="103" t="str">
        <f t="shared" si="58"/>
        <v>1w</v>
      </c>
      <c r="X3166" s="101">
        <f>_xll.qlCalendarAdvance(Calendar,X3165,W3166,"f",FALSE)</f>
        <v>61520</v>
      </c>
      <c r="Y3166" s="104">
        <f>_xll.qlCalendarAdvance(Calendar,X3166,NDays&amp;"D")</f>
        <v>61522</v>
      </c>
      <c r="Z3166" s="105" t="e">
        <v>#N/A</v>
      </c>
      <c r="AA3166" s="102" t="e">
        <v>#N/A</v>
      </c>
    </row>
    <row r="3167" spans="19:27" x14ac:dyDescent="0.2">
      <c r="S3167" s="61"/>
      <c r="T3167" s="82"/>
      <c r="W3167" s="103" t="str">
        <f t="shared" si="58"/>
        <v>1w</v>
      </c>
      <c r="X3167" s="101">
        <f>_xll.qlCalendarAdvance(Calendar,X3166,W3167,"f",FALSE)</f>
        <v>61527</v>
      </c>
      <c r="Y3167" s="104">
        <f>_xll.qlCalendarAdvance(Calendar,X3167,NDays&amp;"D")</f>
        <v>61529</v>
      </c>
      <c r="Z3167" s="105" t="e">
        <v>#N/A</v>
      </c>
      <c r="AA3167" s="102" t="e">
        <v>#N/A</v>
      </c>
    </row>
    <row r="3168" spans="19:27" x14ac:dyDescent="0.2">
      <c r="S3168" s="61"/>
      <c r="T3168" s="82"/>
      <c r="W3168" s="103" t="str">
        <f t="shared" si="58"/>
        <v>1w</v>
      </c>
      <c r="X3168" s="101">
        <f>_xll.qlCalendarAdvance(Calendar,X3167,W3168,"f",FALSE)</f>
        <v>61534</v>
      </c>
      <c r="Y3168" s="104">
        <f>_xll.qlCalendarAdvance(Calendar,X3168,NDays&amp;"D")</f>
        <v>61539</v>
      </c>
      <c r="Z3168" s="105" t="e">
        <v>#N/A</v>
      </c>
      <c r="AA3168" s="102" t="e">
        <v>#N/A</v>
      </c>
    </row>
    <row r="3169" spans="19:27" x14ac:dyDescent="0.2">
      <c r="S3169" s="61"/>
      <c r="T3169" s="82"/>
      <c r="W3169" s="103" t="str">
        <f t="shared" si="58"/>
        <v>1w</v>
      </c>
      <c r="X3169" s="101">
        <f>_xll.qlCalendarAdvance(Calendar,X3168,W3169,"f",FALSE)</f>
        <v>61541</v>
      </c>
      <c r="Y3169" s="104">
        <f>_xll.qlCalendarAdvance(Calendar,X3169,NDays&amp;"D")</f>
        <v>61543</v>
      </c>
      <c r="Z3169" s="105" t="e">
        <v>#N/A</v>
      </c>
      <c r="AA3169" s="102" t="e">
        <v>#N/A</v>
      </c>
    </row>
    <row r="3170" spans="19:27" x14ac:dyDescent="0.2">
      <c r="S3170" s="61"/>
      <c r="T3170" s="82"/>
      <c r="W3170" s="103" t="str">
        <f t="shared" si="58"/>
        <v>1w</v>
      </c>
      <c r="X3170" s="101">
        <f>_xll.qlCalendarAdvance(Calendar,X3169,W3170,"f",FALSE)</f>
        <v>61548</v>
      </c>
      <c r="Y3170" s="104">
        <f>_xll.qlCalendarAdvance(Calendar,X3170,NDays&amp;"D")</f>
        <v>61550</v>
      </c>
      <c r="Z3170" s="105" t="e">
        <v>#N/A</v>
      </c>
      <c r="AA3170" s="102" t="e">
        <v>#N/A</v>
      </c>
    </row>
    <row r="3171" spans="19:27" x14ac:dyDescent="0.2">
      <c r="S3171" s="61"/>
      <c r="T3171" s="82"/>
      <c r="W3171" s="103" t="str">
        <f t="shared" si="58"/>
        <v>1w</v>
      </c>
      <c r="X3171" s="101">
        <f>_xll.qlCalendarAdvance(Calendar,X3170,W3171,"f",FALSE)</f>
        <v>61555</v>
      </c>
      <c r="Y3171" s="104">
        <f>_xll.qlCalendarAdvance(Calendar,X3171,NDays&amp;"D")</f>
        <v>61557</v>
      </c>
      <c r="Z3171" s="105" t="e">
        <v>#N/A</v>
      </c>
      <c r="AA3171" s="102" t="e">
        <v>#N/A</v>
      </c>
    </row>
    <row r="3172" spans="19:27" x14ac:dyDescent="0.2">
      <c r="S3172" s="61"/>
      <c r="T3172" s="82"/>
      <c r="W3172" s="103" t="str">
        <f t="shared" si="58"/>
        <v>1w</v>
      </c>
      <c r="X3172" s="101">
        <f>_xll.qlCalendarAdvance(Calendar,X3171,W3172,"f",FALSE)</f>
        <v>61562</v>
      </c>
      <c r="Y3172" s="104">
        <f>_xll.qlCalendarAdvance(Calendar,X3172,NDays&amp;"D")</f>
        <v>61564</v>
      </c>
      <c r="Z3172" s="105" t="e">
        <v>#N/A</v>
      </c>
      <c r="AA3172" s="102" t="e">
        <v>#N/A</v>
      </c>
    </row>
    <row r="3173" spans="19:27" x14ac:dyDescent="0.2">
      <c r="S3173" s="61"/>
      <c r="T3173" s="82"/>
      <c r="W3173" s="103" t="str">
        <f t="shared" si="58"/>
        <v>1w</v>
      </c>
      <c r="X3173" s="101">
        <f>_xll.qlCalendarAdvance(Calendar,X3172,W3173,"f",FALSE)</f>
        <v>61569</v>
      </c>
      <c r="Y3173" s="104">
        <f>_xll.qlCalendarAdvance(Calendar,X3173,NDays&amp;"D")</f>
        <v>61571</v>
      </c>
      <c r="Z3173" s="105" t="e">
        <v>#N/A</v>
      </c>
      <c r="AA3173" s="102" t="e">
        <v>#N/A</v>
      </c>
    </row>
    <row r="3174" spans="19:27" x14ac:dyDescent="0.2">
      <c r="S3174" s="61"/>
      <c r="T3174" s="82"/>
      <c r="W3174" s="103" t="str">
        <f t="shared" si="58"/>
        <v>1w</v>
      </c>
      <c r="X3174" s="101">
        <f>_xll.qlCalendarAdvance(Calendar,X3173,W3174,"f",FALSE)</f>
        <v>61576</v>
      </c>
      <c r="Y3174" s="104">
        <f>_xll.qlCalendarAdvance(Calendar,X3174,NDays&amp;"D")</f>
        <v>61578</v>
      </c>
      <c r="Z3174" s="105" t="e">
        <v>#N/A</v>
      </c>
      <c r="AA3174" s="102" t="e">
        <v>#N/A</v>
      </c>
    </row>
    <row r="3175" spans="19:27" x14ac:dyDescent="0.2">
      <c r="S3175" s="61"/>
      <c r="T3175" s="82"/>
      <c r="W3175" s="103" t="str">
        <f t="shared" si="58"/>
        <v>1w</v>
      </c>
      <c r="X3175" s="101">
        <f>_xll.qlCalendarAdvance(Calendar,X3174,W3175,"f",FALSE)</f>
        <v>61583</v>
      </c>
      <c r="Y3175" s="104">
        <f>_xll.qlCalendarAdvance(Calendar,X3175,NDays&amp;"D")</f>
        <v>61585</v>
      </c>
      <c r="Z3175" s="105" t="e">
        <v>#N/A</v>
      </c>
      <c r="AA3175" s="102" t="e">
        <v>#N/A</v>
      </c>
    </row>
    <row r="3176" spans="19:27" x14ac:dyDescent="0.2">
      <c r="S3176" s="61"/>
      <c r="T3176" s="82"/>
      <c r="W3176" s="103" t="str">
        <f t="shared" si="58"/>
        <v>1w</v>
      </c>
      <c r="X3176" s="101">
        <f>_xll.qlCalendarAdvance(Calendar,X3175,W3176,"f",FALSE)</f>
        <v>61590</v>
      </c>
      <c r="Y3176" s="104">
        <f>_xll.qlCalendarAdvance(Calendar,X3176,NDays&amp;"D")</f>
        <v>61592</v>
      </c>
      <c r="Z3176" s="105" t="e">
        <v>#N/A</v>
      </c>
      <c r="AA3176" s="102" t="e">
        <v>#N/A</v>
      </c>
    </row>
    <row r="3177" spans="19:27" x14ac:dyDescent="0.2">
      <c r="S3177" s="61"/>
      <c r="T3177" s="82"/>
      <c r="W3177" s="103" t="str">
        <f t="shared" si="58"/>
        <v>1w</v>
      </c>
      <c r="X3177" s="101">
        <f>_xll.qlCalendarAdvance(Calendar,X3176,W3177,"f",FALSE)</f>
        <v>61597</v>
      </c>
      <c r="Y3177" s="104">
        <f>_xll.qlCalendarAdvance(Calendar,X3177,NDays&amp;"D")</f>
        <v>61599</v>
      </c>
      <c r="Z3177" s="105" t="e">
        <v>#N/A</v>
      </c>
      <c r="AA3177" s="102" t="e">
        <v>#N/A</v>
      </c>
    </row>
    <row r="3178" spans="19:27" x14ac:dyDescent="0.2">
      <c r="S3178" s="61"/>
      <c r="T3178" s="82"/>
      <c r="W3178" s="103" t="str">
        <f t="shared" si="58"/>
        <v>1w</v>
      </c>
      <c r="X3178" s="101">
        <f>_xll.qlCalendarAdvance(Calendar,X3177,W3178,"f",FALSE)</f>
        <v>61604</v>
      </c>
      <c r="Y3178" s="104">
        <f>_xll.qlCalendarAdvance(Calendar,X3178,NDays&amp;"D")</f>
        <v>61606</v>
      </c>
      <c r="Z3178" s="105" t="e">
        <v>#N/A</v>
      </c>
      <c r="AA3178" s="102" t="e">
        <v>#N/A</v>
      </c>
    </row>
    <row r="3179" spans="19:27" x14ac:dyDescent="0.2">
      <c r="S3179" s="61"/>
      <c r="T3179" s="82"/>
      <c r="W3179" s="103" t="str">
        <f t="shared" si="58"/>
        <v>1w</v>
      </c>
      <c r="X3179" s="101">
        <f>_xll.qlCalendarAdvance(Calendar,X3178,W3179,"f",FALSE)</f>
        <v>61611</v>
      </c>
      <c r="Y3179" s="104">
        <f>_xll.qlCalendarAdvance(Calendar,X3179,NDays&amp;"D")</f>
        <v>61613</v>
      </c>
      <c r="Z3179" s="105" t="e">
        <v>#N/A</v>
      </c>
      <c r="AA3179" s="102" t="e">
        <v>#N/A</v>
      </c>
    </row>
    <row r="3180" spans="19:27" x14ac:dyDescent="0.2">
      <c r="S3180" s="61"/>
      <c r="T3180" s="82"/>
      <c r="W3180" s="103" t="str">
        <f t="shared" si="58"/>
        <v>1w</v>
      </c>
      <c r="X3180" s="101">
        <f>_xll.qlCalendarAdvance(Calendar,X3179,W3180,"f",FALSE)</f>
        <v>61618</v>
      </c>
      <c r="Y3180" s="104">
        <f>_xll.qlCalendarAdvance(Calendar,X3180,NDays&amp;"D")</f>
        <v>61620</v>
      </c>
      <c r="Z3180" s="105" t="e">
        <v>#N/A</v>
      </c>
      <c r="AA3180" s="102" t="e">
        <v>#N/A</v>
      </c>
    </row>
    <row r="3181" spans="19:27" x14ac:dyDescent="0.2">
      <c r="S3181" s="61"/>
      <c r="T3181" s="82"/>
      <c r="W3181" s="103" t="str">
        <f t="shared" si="58"/>
        <v>1w</v>
      </c>
      <c r="X3181" s="101">
        <f>_xll.qlCalendarAdvance(Calendar,X3180,W3181,"f",FALSE)</f>
        <v>61625</v>
      </c>
      <c r="Y3181" s="104">
        <f>_xll.qlCalendarAdvance(Calendar,X3181,NDays&amp;"D")</f>
        <v>61627</v>
      </c>
      <c r="Z3181" s="105" t="e">
        <v>#N/A</v>
      </c>
      <c r="AA3181" s="102" t="e">
        <v>#N/A</v>
      </c>
    </row>
    <row r="3182" spans="19:27" x14ac:dyDescent="0.2">
      <c r="S3182" s="61"/>
      <c r="T3182" s="82"/>
      <c r="W3182" s="103" t="str">
        <f t="shared" si="58"/>
        <v>1w</v>
      </c>
      <c r="X3182" s="101">
        <f>_xll.qlCalendarAdvance(Calendar,X3181,W3182,"f",FALSE)</f>
        <v>61632</v>
      </c>
      <c r="Y3182" s="104">
        <f>_xll.qlCalendarAdvance(Calendar,X3182,NDays&amp;"D")</f>
        <v>61634</v>
      </c>
      <c r="Z3182" s="105" t="e">
        <v>#N/A</v>
      </c>
      <c r="AA3182" s="102" t="e">
        <v>#N/A</v>
      </c>
    </row>
    <row r="3183" spans="19:27" x14ac:dyDescent="0.2">
      <c r="S3183" s="61"/>
      <c r="T3183" s="82"/>
      <c r="W3183" s="103" t="str">
        <f t="shared" si="58"/>
        <v>1w</v>
      </c>
      <c r="X3183" s="101">
        <f>_xll.qlCalendarAdvance(Calendar,X3182,W3183,"f",FALSE)</f>
        <v>61639</v>
      </c>
      <c r="Y3183" s="104">
        <f>_xll.qlCalendarAdvance(Calendar,X3183,NDays&amp;"D")</f>
        <v>61641</v>
      </c>
      <c r="Z3183" s="105" t="e">
        <v>#N/A</v>
      </c>
      <c r="AA3183" s="102" t="e">
        <v>#N/A</v>
      </c>
    </row>
    <row r="3184" spans="19:27" x14ac:dyDescent="0.2">
      <c r="S3184" s="61"/>
      <c r="T3184" s="82"/>
      <c r="W3184" s="103" t="str">
        <f t="shared" si="58"/>
        <v>1w</v>
      </c>
      <c r="X3184" s="101">
        <f>_xll.qlCalendarAdvance(Calendar,X3183,W3184,"f",FALSE)</f>
        <v>61646</v>
      </c>
      <c r="Y3184" s="104">
        <f>_xll.qlCalendarAdvance(Calendar,X3184,NDays&amp;"D")</f>
        <v>61648</v>
      </c>
      <c r="Z3184" s="105" t="e">
        <v>#N/A</v>
      </c>
      <c r="AA3184" s="102" t="e">
        <v>#N/A</v>
      </c>
    </row>
    <row r="3185" spans="19:27" x14ac:dyDescent="0.2">
      <c r="S3185" s="61"/>
      <c r="T3185" s="82"/>
      <c r="W3185" s="103" t="str">
        <f t="shared" si="58"/>
        <v>1w</v>
      </c>
      <c r="X3185" s="101">
        <f>_xll.qlCalendarAdvance(Calendar,X3184,W3185,"f",FALSE)</f>
        <v>61653</v>
      </c>
      <c r="Y3185" s="104">
        <f>_xll.qlCalendarAdvance(Calendar,X3185,NDays&amp;"D")</f>
        <v>61655</v>
      </c>
      <c r="Z3185" s="105" t="e">
        <v>#N/A</v>
      </c>
      <c r="AA3185" s="102" t="e">
        <v>#N/A</v>
      </c>
    </row>
    <row r="3186" spans="19:27" x14ac:dyDescent="0.2">
      <c r="S3186" s="61"/>
      <c r="T3186" s="82"/>
      <c r="W3186" s="103" t="str">
        <f t="shared" si="58"/>
        <v>1w</v>
      </c>
      <c r="X3186" s="101">
        <f>_xll.qlCalendarAdvance(Calendar,X3185,W3186,"f",FALSE)</f>
        <v>61660</v>
      </c>
      <c r="Y3186" s="104">
        <f>_xll.qlCalendarAdvance(Calendar,X3186,NDays&amp;"D")</f>
        <v>61662</v>
      </c>
      <c r="Z3186" s="105" t="e">
        <v>#N/A</v>
      </c>
      <c r="AA3186" s="102" t="e">
        <v>#N/A</v>
      </c>
    </row>
    <row r="3187" spans="19:27" x14ac:dyDescent="0.2">
      <c r="S3187" s="61"/>
      <c r="T3187" s="82"/>
      <c r="W3187" s="103" t="str">
        <f t="shared" si="58"/>
        <v>1w</v>
      </c>
      <c r="X3187" s="101">
        <f>_xll.qlCalendarAdvance(Calendar,X3186,W3187,"f",FALSE)</f>
        <v>61667</v>
      </c>
      <c r="Y3187" s="104">
        <f>_xll.qlCalendarAdvance(Calendar,X3187,NDays&amp;"D")</f>
        <v>61669</v>
      </c>
      <c r="Z3187" s="105" t="e">
        <v>#N/A</v>
      </c>
      <c r="AA3187" s="102" t="e">
        <v>#N/A</v>
      </c>
    </row>
    <row r="3188" spans="19:27" x14ac:dyDescent="0.2">
      <c r="S3188" s="61"/>
      <c r="T3188" s="82"/>
      <c r="W3188" s="103" t="str">
        <f t="shared" si="58"/>
        <v>1w</v>
      </c>
      <c r="X3188" s="101">
        <f>_xll.qlCalendarAdvance(Calendar,X3187,W3188,"f",FALSE)</f>
        <v>61674</v>
      </c>
      <c r="Y3188" s="104">
        <f>_xll.qlCalendarAdvance(Calendar,X3188,NDays&amp;"D")</f>
        <v>61676</v>
      </c>
      <c r="Z3188" s="105" t="e">
        <v>#N/A</v>
      </c>
      <c r="AA3188" s="102" t="e">
        <v>#N/A</v>
      </c>
    </row>
    <row r="3189" spans="19:27" x14ac:dyDescent="0.2">
      <c r="S3189" s="61"/>
      <c r="T3189" s="82"/>
      <c r="W3189" s="103" t="str">
        <f t="shared" si="58"/>
        <v>1w</v>
      </c>
      <c r="X3189" s="101">
        <f>_xll.qlCalendarAdvance(Calendar,X3188,W3189,"f",FALSE)</f>
        <v>61681</v>
      </c>
      <c r="Y3189" s="104">
        <f>_xll.qlCalendarAdvance(Calendar,X3189,NDays&amp;"D")</f>
        <v>61683</v>
      </c>
      <c r="Z3189" s="105" t="e">
        <v>#N/A</v>
      </c>
      <c r="AA3189" s="102" t="e">
        <v>#N/A</v>
      </c>
    </row>
    <row r="3190" spans="19:27" x14ac:dyDescent="0.2">
      <c r="S3190" s="61"/>
      <c r="T3190" s="82"/>
      <c r="W3190" s="103" t="str">
        <f t="shared" si="58"/>
        <v>1w</v>
      </c>
      <c r="X3190" s="101">
        <f>_xll.qlCalendarAdvance(Calendar,X3189,W3190,"f",FALSE)</f>
        <v>61688</v>
      </c>
      <c r="Y3190" s="104">
        <f>_xll.qlCalendarAdvance(Calendar,X3190,NDays&amp;"D")</f>
        <v>61690</v>
      </c>
      <c r="Z3190" s="105" t="e">
        <v>#N/A</v>
      </c>
      <c r="AA3190" s="102" t="e">
        <v>#N/A</v>
      </c>
    </row>
    <row r="3191" spans="19:27" x14ac:dyDescent="0.2">
      <c r="S3191" s="61"/>
      <c r="T3191" s="82"/>
      <c r="W3191" s="103" t="str">
        <f t="shared" si="58"/>
        <v>1w</v>
      </c>
      <c r="X3191" s="101">
        <f>_xll.qlCalendarAdvance(Calendar,X3190,W3191,"f",FALSE)</f>
        <v>61695</v>
      </c>
      <c r="Y3191" s="104">
        <f>_xll.qlCalendarAdvance(Calendar,X3191,NDays&amp;"D")</f>
        <v>61697</v>
      </c>
      <c r="Z3191" s="105" t="e">
        <v>#N/A</v>
      </c>
      <c r="AA3191" s="102" t="e">
        <v>#N/A</v>
      </c>
    </row>
    <row r="3192" spans="19:27" x14ac:dyDescent="0.2">
      <c r="S3192" s="61"/>
      <c r="T3192" s="82"/>
      <c r="W3192" s="103" t="str">
        <f t="shared" si="58"/>
        <v>1w</v>
      </c>
      <c r="X3192" s="101">
        <f>_xll.qlCalendarAdvance(Calendar,X3191,W3192,"f",FALSE)</f>
        <v>61702</v>
      </c>
      <c r="Y3192" s="104">
        <f>_xll.qlCalendarAdvance(Calendar,X3192,NDays&amp;"D")</f>
        <v>61704</v>
      </c>
      <c r="Z3192" s="105" t="e">
        <v>#N/A</v>
      </c>
      <c r="AA3192" s="102" t="e">
        <v>#N/A</v>
      </c>
    </row>
    <row r="3193" spans="19:27" x14ac:dyDescent="0.2">
      <c r="S3193" s="61"/>
      <c r="T3193" s="82"/>
      <c r="W3193" s="103" t="str">
        <f t="shared" si="58"/>
        <v>1w</v>
      </c>
      <c r="X3193" s="101">
        <f>_xll.qlCalendarAdvance(Calendar,X3192,W3193,"f",FALSE)</f>
        <v>61709</v>
      </c>
      <c r="Y3193" s="104">
        <f>_xll.qlCalendarAdvance(Calendar,X3193,NDays&amp;"D")</f>
        <v>61711</v>
      </c>
      <c r="Z3193" s="105" t="e">
        <v>#N/A</v>
      </c>
      <c r="AA3193" s="102" t="e">
        <v>#N/A</v>
      </c>
    </row>
    <row r="3194" spans="19:27" x14ac:dyDescent="0.2">
      <c r="S3194" s="61"/>
      <c r="T3194" s="82"/>
      <c r="W3194" s="103" t="str">
        <f t="shared" si="58"/>
        <v>1w</v>
      </c>
      <c r="X3194" s="101">
        <f>_xll.qlCalendarAdvance(Calendar,X3193,W3194,"f",FALSE)</f>
        <v>61716</v>
      </c>
      <c r="Y3194" s="104">
        <f>_xll.qlCalendarAdvance(Calendar,X3194,NDays&amp;"D")</f>
        <v>61718</v>
      </c>
      <c r="Z3194" s="105" t="e">
        <v>#N/A</v>
      </c>
      <c r="AA3194" s="102" t="e">
        <v>#N/A</v>
      </c>
    </row>
    <row r="3195" spans="19:27" x14ac:dyDescent="0.2">
      <c r="S3195" s="61"/>
      <c r="T3195" s="82"/>
      <c r="W3195" s="103" t="str">
        <f t="shared" si="58"/>
        <v>1w</v>
      </c>
      <c r="X3195" s="101">
        <f>_xll.qlCalendarAdvance(Calendar,X3194,W3195,"f",FALSE)</f>
        <v>61724</v>
      </c>
      <c r="Y3195" s="104">
        <f>_xll.qlCalendarAdvance(Calendar,X3195,NDays&amp;"D")</f>
        <v>61730</v>
      </c>
      <c r="Z3195" s="105" t="e">
        <v>#N/A</v>
      </c>
      <c r="AA3195" s="102" t="e">
        <v>#N/A</v>
      </c>
    </row>
    <row r="3196" spans="19:27" x14ac:dyDescent="0.2">
      <c r="S3196" s="61"/>
      <c r="T3196" s="82"/>
      <c r="W3196" s="103" t="str">
        <f t="shared" si="58"/>
        <v>1w</v>
      </c>
      <c r="X3196" s="101">
        <f>_xll.qlCalendarAdvance(Calendar,X3195,W3196,"f",FALSE)</f>
        <v>61731</v>
      </c>
      <c r="Y3196" s="104">
        <f>_xll.qlCalendarAdvance(Calendar,X3196,NDays&amp;"D")</f>
        <v>61735</v>
      </c>
      <c r="Z3196" s="105" t="e">
        <v>#N/A</v>
      </c>
      <c r="AA3196" s="102" t="e">
        <v>#N/A</v>
      </c>
    </row>
    <row r="3197" spans="19:27" x14ac:dyDescent="0.2">
      <c r="S3197" s="61"/>
      <c r="T3197" s="82"/>
      <c r="W3197" s="103" t="str">
        <f t="shared" si="58"/>
        <v>1w</v>
      </c>
      <c r="X3197" s="101">
        <f>_xll.qlCalendarAdvance(Calendar,X3196,W3197,"f",FALSE)</f>
        <v>61738</v>
      </c>
      <c r="Y3197" s="104">
        <f>_xll.qlCalendarAdvance(Calendar,X3197,NDays&amp;"D")</f>
        <v>61742</v>
      </c>
      <c r="Z3197" s="105" t="e">
        <v>#N/A</v>
      </c>
      <c r="AA3197" s="102" t="e">
        <v>#N/A</v>
      </c>
    </row>
    <row r="3198" spans="19:27" x14ac:dyDescent="0.2">
      <c r="S3198" s="61"/>
      <c r="T3198" s="82"/>
      <c r="W3198" s="103" t="str">
        <f t="shared" si="58"/>
        <v>1w</v>
      </c>
      <c r="X3198" s="101">
        <f>_xll.qlCalendarAdvance(Calendar,X3197,W3198,"f",FALSE)</f>
        <v>61745</v>
      </c>
      <c r="Y3198" s="104">
        <f>_xll.qlCalendarAdvance(Calendar,X3198,NDays&amp;"D")</f>
        <v>61749</v>
      </c>
      <c r="Z3198" s="105" t="e">
        <v>#N/A</v>
      </c>
      <c r="AA3198" s="102" t="e">
        <v>#N/A</v>
      </c>
    </row>
    <row r="3199" spans="19:27" x14ac:dyDescent="0.2">
      <c r="S3199" s="61"/>
      <c r="T3199" s="82"/>
      <c r="W3199" s="103" t="str">
        <f t="shared" si="58"/>
        <v>1w</v>
      </c>
      <c r="X3199" s="101">
        <f>_xll.qlCalendarAdvance(Calendar,X3198,W3199,"f",FALSE)</f>
        <v>61752</v>
      </c>
      <c r="Y3199" s="104">
        <f>_xll.qlCalendarAdvance(Calendar,X3199,NDays&amp;"D")</f>
        <v>61756</v>
      </c>
      <c r="Z3199" s="105" t="e">
        <v>#N/A</v>
      </c>
      <c r="AA3199" s="102" t="e">
        <v>#N/A</v>
      </c>
    </row>
    <row r="3200" spans="19:27" x14ac:dyDescent="0.2">
      <c r="S3200" s="61"/>
      <c r="T3200" s="82"/>
      <c r="W3200" s="103" t="str">
        <f t="shared" si="58"/>
        <v>1w</v>
      </c>
      <c r="X3200" s="101">
        <f>_xll.qlCalendarAdvance(Calendar,X3199,W3200,"f",FALSE)</f>
        <v>61759</v>
      </c>
      <c r="Y3200" s="104">
        <f>_xll.qlCalendarAdvance(Calendar,X3200,NDays&amp;"D")</f>
        <v>61763</v>
      </c>
      <c r="Z3200" s="105" t="e">
        <v>#N/A</v>
      </c>
      <c r="AA3200" s="102" t="e">
        <v>#N/A</v>
      </c>
    </row>
    <row r="3201" spans="19:27" x14ac:dyDescent="0.2">
      <c r="S3201" s="61"/>
      <c r="T3201" s="82"/>
      <c r="W3201" s="103" t="str">
        <f t="shared" si="58"/>
        <v>1w</v>
      </c>
      <c r="X3201" s="101">
        <f>_xll.qlCalendarAdvance(Calendar,X3200,W3201,"f",FALSE)</f>
        <v>61766</v>
      </c>
      <c r="Y3201" s="104">
        <f>_xll.qlCalendarAdvance(Calendar,X3201,NDays&amp;"D")</f>
        <v>61770</v>
      </c>
      <c r="Z3201" s="105" t="e">
        <v>#N/A</v>
      </c>
      <c r="AA3201" s="102" t="e">
        <v>#N/A</v>
      </c>
    </row>
    <row r="3202" spans="19:27" x14ac:dyDescent="0.2">
      <c r="S3202" s="61"/>
      <c r="T3202" s="82"/>
      <c r="W3202" s="103" t="str">
        <f t="shared" si="58"/>
        <v>1w</v>
      </c>
      <c r="X3202" s="101">
        <f>_xll.qlCalendarAdvance(Calendar,X3201,W3202,"f",FALSE)</f>
        <v>61773</v>
      </c>
      <c r="Y3202" s="104">
        <f>_xll.qlCalendarAdvance(Calendar,X3202,NDays&amp;"D")</f>
        <v>61777</v>
      </c>
      <c r="Z3202" s="105" t="e">
        <v>#N/A</v>
      </c>
      <c r="AA3202" s="102" t="e">
        <v>#N/A</v>
      </c>
    </row>
    <row r="3203" spans="19:27" x14ac:dyDescent="0.2">
      <c r="S3203" s="61"/>
      <c r="T3203" s="82"/>
      <c r="W3203" s="103" t="str">
        <f t="shared" si="58"/>
        <v>1w</v>
      </c>
      <c r="X3203" s="101">
        <f>_xll.qlCalendarAdvance(Calendar,X3202,W3203,"f",FALSE)</f>
        <v>61780</v>
      </c>
      <c r="Y3203" s="104">
        <f>_xll.qlCalendarAdvance(Calendar,X3203,NDays&amp;"D")</f>
        <v>61784</v>
      </c>
      <c r="Z3203" s="105" t="e">
        <v>#N/A</v>
      </c>
      <c r="AA3203" s="102" t="e">
        <v>#N/A</v>
      </c>
    </row>
    <row r="3204" spans="19:27" x14ac:dyDescent="0.2">
      <c r="S3204" s="61"/>
      <c r="T3204" s="82"/>
      <c r="W3204" s="103" t="str">
        <f t="shared" si="58"/>
        <v>1w</v>
      </c>
      <c r="X3204" s="101">
        <f>_xll.qlCalendarAdvance(Calendar,X3203,W3204,"f",FALSE)</f>
        <v>61787</v>
      </c>
      <c r="Y3204" s="104">
        <f>_xll.qlCalendarAdvance(Calendar,X3204,NDays&amp;"D")</f>
        <v>61791</v>
      </c>
      <c r="Z3204" s="105" t="e">
        <v>#N/A</v>
      </c>
      <c r="AA3204" s="102" t="e">
        <v>#N/A</v>
      </c>
    </row>
    <row r="3205" spans="19:27" x14ac:dyDescent="0.2">
      <c r="S3205" s="61"/>
      <c r="T3205" s="82"/>
      <c r="W3205" s="103" t="str">
        <f t="shared" si="58"/>
        <v>1w</v>
      </c>
      <c r="X3205" s="101">
        <f>_xll.qlCalendarAdvance(Calendar,X3204,W3205,"f",FALSE)</f>
        <v>61794</v>
      </c>
      <c r="Y3205" s="104">
        <f>_xll.qlCalendarAdvance(Calendar,X3205,NDays&amp;"D")</f>
        <v>61798</v>
      </c>
      <c r="Z3205" s="105" t="e">
        <v>#N/A</v>
      </c>
      <c r="AA3205" s="102" t="e">
        <v>#N/A</v>
      </c>
    </row>
    <row r="3206" spans="19:27" x14ac:dyDescent="0.2">
      <c r="S3206" s="61"/>
      <c r="T3206" s="82"/>
      <c r="W3206" s="103" t="str">
        <f t="shared" si="58"/>
        <v>1w</v>
      </c>
      <c r="X3206" s="101">
        <f>_xll.qlCalendarAdvance(Calendar,X3205,W3206,"f",FALSE)</f>
        <v>61801</v>
      </c>
      <c r="Y3206" s="104">
        <f>_xll.qlCalendarAdvance(Calendar,X3206,NDays&amp;"D")</f>
        <v>61805</v>
      </c>
      <c r="Z3206" s="105" t="e">
        <v>#N/A</v>
      </c>
      <c r="AA3206" s="102" t="e">
        <v>#N/A</v>
      </c>
    </row>
    <row r="3207" spans="19:27" x14ac:dyDescent="0.2">
      <c r="S3207" s="61"/>
      <c r="T3207" s="82"/>
      <c r="W3207" s="103" t="str">
        <f t="shared" si="58"/>
        <v>1w</v>
      </c>
      <c r="X3207" s="101">
        <f>_xll.qlCalendarAdvance(Calendar,X3206,W3207,"f",FALSE)</f>
        <v>61808</v>
      </c>
      <c r="Y3207" s="104">
        <f>_xll.qlCalendarAdvance(Calendar,X3207,NDays&amp;"D")</f>
        <v>61812</v>
      </c>
      <c r="Z3207" s="105" t="e">
        <v>#N/A</v>
      </c>
      <c r="AA3207" s="102" t="e">
        <v>#N/A</v>
      </c>
    </row>
    <row r="3208" spans="19:27" x14ac:dyDescent="0.2">
      <c r="S3208" s="61"/>
      <c r="T3208" s="82"/>
      <c r="W3208" s="103" t="str">
        <f t="shared" si="58"/>
        <v>1w</v>
      </c>
      <c r="X3208" s="101">
        <f>_xll.qlCalendarAdvance(Calendar,X3207,W3208,"f",FALSE)</f>
        <v>61815</v>
      </c>
      <c r="Y3208" s="104">
        <f>_xll.qlCalendarAdvance(Calendar,X3208,NDays&amp;"D")</f>
        <v>61819</v>
      </c>
      <c r="Z3208" s="105" t="e">
        <v>#N/A</v>
      </c>
      <c r="AA3208" s="102" t="e">
        <v>#N/A</v>
      </c>
    </row>
    <row r="3209" spans="19:27" x14ac:dyDescent="0.2">
      <c r="S3209" s="61"/>
      <c r="T3209" s="82"/>
      <c r="W3209" s="103" t="str">
        <f t="shared" si="58"/>
        <v>1w</v>
      </c>
      <c r="X3209" s="101">
        <f>_xll.qlCalendarAdvance(Calendar,X3208,W3209,"f",FALSE)</f>
        <v>61822</v>
      </c>
      <c r="Y3209" s="104">
        <f>_xll.qlCalendarAdvance(Calendar,X3209,NDays&amp;"D")</f>
        <v>61826</v>
      </c>
      <c r="Z3209" s="105" t="e">
        <v>#N/A</v>
      </c>
      <c r="AA3209" s="102" t="e">
        <v>#N/A</v>
      </c>
    </row>
    <row r="3210" spans="19:27" x14ac:dyDescent="0.2">
      <c r="S3210" s="61"/>
      <c r="T3210" s="82"/>
      <c r="W3210" s="103" t="str">
        <f t="shared" si="58"/>
        <v>1w</v>
      </c>
      <c r="X3210" s="101">
        <f>_xll.qlCalendarAdvance(Calendar,X3209,W3210,"f",FALSE)</f>
        <v>61829</v>
      </c>
      <c r="Y3210" s="104">
        <f>_xll.qlCalendarAdvance(Calendar,X3210,NDays&amp;"D")</f>
        <v>61835</v>
      </c>
      <c r="Z3210" s="105" t="e">
        <v>#N/A</v>
      </c>
      <c r="AA3210" s="102" t="e">
        <v>#N/A</v>
      </c>
    </row>
    <row r="3211" spans="19:27" x14ac:dyDescent="0.2">
      <c r="S3211" s="61"/>
      <c r="T3211" s="82"/>
      <c r="W3211" s="103" t="str">
        <f t="shared" si="58"/>
        <v>1w</v>
      </c>
      <c r="X3211" s="101">
        <f>_xll.qlCalendarAdvance(Calendar,X3210,W3211,"f",FALSE)</f>
        <v>61836</v>
      </c>
      <c r="Y3211" s="104">
        <f>_xll.qlCalendarAdvance(Calendar,X3211,NDays&amp;"D")</f>
        <v>61840</v>
      </c>
      <c r="Z3211" s="105" t="e">
        <v>#N/A</v>
      </c>
      <c r="AA3211" s="102" t="e">
        <v>#N/A</v>
      </c>
    </row>
    <row r="3212" spans="19:27" x14ac:dyDescent="0.2">
      <c r="S3212" s="61"/>
      <c r="T3212" s="82"/>
      <c r="W3212" s="103" t="str">
        <f t="shared" si="58"/>
        <v>1w</v>
      </c>
      <c r="X3212" s="101">
        <f>_xll.qlCalendarAdvance(Calendar,X3211,W3212,"f",FALSE)</f>
        <v>61843</v>
      </c>
      <c r="Y3212" s="104">
        <f>_xll.qlCalendarAdvance(Calendar,X3212,NDays&amp;"D")</f>
        <v>61847</v>
      </c>
      <c r="Z3212" s="105" t="e">
        <v>#N/A</v>
      </c>
      <c r="AA3212" s="102" t="e">
        <v>#N/A</v>
      </c>
    </row>
    <row r="3213" spans="19:27" x14ac:dyDescent="0.2">
      <c r="S3213" s="61"/>
      <c r="T3213" s="82"/>
      <c r="W3213" s="103" t="str">
        <f t="shared" si="58"/>
        <v>1w</v>
      </c>
      <c r="X3213" s="101">
        <f>_xll.qlCalendarAdvance(Calendar,X3212,W3213,"f",FALSE)</f>
        <v>61850</v>
      </c>
      <c r="Y3213" s="104">
        <f>_xll.qlCalendarAdvance(Calendar,X3213,NDays&amp;"D")</f>
        <v>61854</v>
      </c>
      <c r="Z3213" s="105" t="e">
        <v>#N/A</v>
      </c>
      <c r="AA3213" s="102" t="e">
        <v>#N/A</v>
      </c>
    </row>
    <row r="3214" spans="19:27" x14ac:dyDescent="0.2">
      <c r="S3214" s="61"/>
      <c r="T3214" s="82"/>
      <c r="W3214" s="103" t="str">
        <f t="shared" si="58"/>
        <v>1w</v>
      </c>
      <c r="X3214" s="101">
        <f>_xll.qlCalendarAdvance(Calendar,X3213,W3214,"f",FALSE)</f>
        <v>61857</v>
      </c>
      <c r="Y3214" s="104">
        <f>_xll.qlCalendarAdvance(Calendar,X3214,NDays&amp;"D")</f>
        <v>61861</v>
      </c>
      <c r="Z3214" s="105" t="e">
        <v>#N/A</v>
      </c>
      <c r="AA3214" s="102" t="e">
        <v>#N/A</v>
      </c>
    </row>
    <row r="3215" spans="19:27" x14ac:dyDescent="0.2">
      <c r="S3215" s="61"/>
      <c r="T3215" s="82"/>
      <c r="W3215" s="103" t="str">
        <f t="shared" si="58"/>
        <v>1w</v>
      </c>
      <c r="X3215" s="101">
        <f>_xll.qlCalendarAdvance(Calendar,X3214,W3215,"f",FALSE)</f>
        <v>61864</v>
      </c>
      <c r="Y3215" s="104">
        <f>_xll.qlCalendarAdvance(Calendar,X3215,NDays&amp;"D")</f>
        <v>61868</v>
      </c>
      <c r="Z3215" s="105" t="e">
        <v>#N/A</v>
      </c>
      <c r="AA3215" s="102" t="e">
        <v>#N/A</v>
      </c>
    </row>
    <row r="3216" spans="19:27" x14ac:dyDescent="0.2">
      <c r="S3216" s="61"/>
      <c r="T3216" s="82"/>
      <c r="W3216" s="103" t="str">
        <f t="shared" si="58"/>
        <v>1w</v>
      </c>
      <c r="X3216" s="101">
        <f>_xll.qlCalendarAdvance(Calendar,X3215,W3216,"f",FALSE)</f>
        <v>61872</v>
      </c>
      <c r="Y3216" s="104">
        <f>_xll.qlCalendarAdvance(Calendar,X3216,NDays&amp;"D")</f>
        <v>61876</v>
      </c>
      <c r="Z3216" s="105" t="e">
        <v>#N/A</v>
      </c>
      <c r="AA3216" s="102" t="e">
        <v>#N/A</v>
      </c>
    </row>
    <row r="3217" spans="19:27" x14ac:dyDescent="0.2">
      <c r="S3217" s="61"/>
      <c r="T3217" s="82"/>
      <c r="W3217" s="103" t="str">
        <f t="shared" si="58"/>
        <v>1w</v>
      </c>
      <c r="X3217" s="101">
        <f>_xll.qlCalendarAdvance(Calendar,X3216,W3217,"f",FALSE)</f>
        <v>61879</v>
      </c>
      <c r="Y3217" s="104">
        <f>_xll.qlCalendarAdvance(Calendar,X3217,NDays&amp;"D")</f>
        <v>61884</v>
      </c>
      <c r="Z3217" s="105" t="e">
        <v>#N/A</v>
      </c>
      <c r="AA3217" s="102" t="e">
        <v>#N/A</v>
      </c>
    </row>
    <row r="3218" spans="19:27" x14ac:dyDescent="0.2">
      <c r="S3218" s="61"/>
      <c r="T3218" s="82"/>
      <c r="W3218" s="103" t="str">
        <f t="shared" si="58"/>
        <v>1w</v>
      </c>
      <c r="X3218" s="101">
        <f>_xll.qlCalendarAdvance(Calendar,X3217,W3218,"f",FALSE)</f>
        <v>61886</v>
      </c>
      <c r="Y3218" s="104">
        <f>_xll.qlCalendarAdvance(Calendar,X3218,NDays&amp;"D")</f>
        <v>61890</v>
      </c>
      <c r="Z3218" s="105" t="e">
        <v>#N/A</v>
      </c>
      <c r="AA3218" s="102" t="e">
        <v>#N/A</v>
      </c>
    </row>
    <row r="3219" spans="19:27" x14ac:dyDescent="0.2">
      <c r="S3219" s="61"/>
      <c r="T3219" s="82"/>
      <c r="W3219" s="103" t="str">
        <f t="shared" si="58"/>
        <v>1w</v>
      </c>
      <c r="X3219" s="101">
        <f>_xll.qlCalendarAdvance(Calendar,X3218,W3219,"f",FALSE)</f>
        <v>61893</v>
      </c>
      <c r="Y3219" s="104">
        <f>_xll.qlCalendarAdvance(Calendar,X3219,NDays&amp;"D")</f>
        <v>61897</v>
      </c>
      <c r="Z3219" s="105" t="e">
        <v>#N/A</v>
      </c>
      <c r="AA3219" s="102" t="e">
        <v>#N/A</v>
      </c>
    </row>
    <row r="3220" spans="19:27" x14ac:dyDescent="0.2">
      <c r="S3220" s="61"/>
      <c r="T3220" s="82"/>
      <c r="W3220" s="103" t="str">
        <f t="shared" si="58"/>
        <v>1w</v>
      </c>
      <c r="X3220" s="101">
        <f>_xll.qlCalendarAdvance(Calendar,X3219,W3220,"f",FALSE)</f>
        <v>61903</v>
      </c>
      <c r="Y3220" s="104">
        <f>_xll.qlCalendarAdvance(Calendar,X3220,NDays&amp;"D")</f>
        <v>61905</v>
      </c>
      <c r="Z3220" s="105" t="e">
        <v>#N/A</v>
      </c>
      <c r="AA3220" s="102" t="e">
        <v>#N/A</v>
      </c>
    </row>
    <row r="3221" spans="19:27" x14ac:dyDescent="0.2">
      <c r="S3221" s="61"/>
      <c r="T3221" s="82"/>
      <c r="W3221" s="103" t="str">
        <f t="shared" ref="W3221:W3284" si="59">W3220</f>
        <v>1w</v>
      </c>
      <c r="X3221" s="101">
        <f>_xll.qlCalendarAdvance(Calendar,X3220,W3221,"f",FALSE)</f>
        <v>61910</v>
      </c>
      <c r="Y3221" s="104">
        <f>_xll.qlCalendarAdvance(Calendar,X3221,NDays&amp;"D")</f>
        <v>61912</v>
      </c>
      <c r="Z3221" s="105" t="e">
        <v>#N/A</v>
      </c>
      <c r="AA3221" s="102" t="e">
        <v>#N/A</v>
      </c>
    </row>
    <row r="3222" spans="19:27" x14ac:dyDescent="0.2">
      <c r="S3222" s="61"/>
      <c r="T3222" s="82"/>
      <c r="W3222" s="103" t="str">
        <f t="shared" si="59"/>
        <v>1w</v>
      </c>
      <c r="X3222" s="101">
        <f>_xll.qlCalendarAdvance(Calendar,X3221,W3222,"f",FALSE)</f>
        <v>61917</v>
      </c>
      <c r="Y3222" s="104">
        <f>_xll.qlCalendarAdvance(Calendar,X3222,NDays&amp;"D")</f>
        <v>61919</v>
      </c>
      <c r="Z3222" s="105" t="e">
        <v>#N/A</v>
      </c>
      <c r="AA3222" s="102" t="e">
        <v>#N/A</v>
      </c>
    </row>
    <row r="3223" spans="19:27" x14ac:dyDescent="0.2">
      <c r="S3223" s="61"/>
      <c r="T3223" s="82"/>
      <c r="W3223" s="103" t="str">
        <f t="shared" si="59"/>
        <v>1w</v>
      </c>
      <c r="X3223" s="101">
        <f>_xll.qlCalendarAdvance(Calendar,X3222,W3223,"f",FALSE)</f>
        <v>61924</v>
      </c>
      <c r="Y3223" s="104">
        <f>_xll.qlCalendarAdvance(Calendar,X3223,NDays&amp;"D")</f>
        <v>61926</v>
      </c>
      <c r="Z3223" s="105" t="e">
        <v>#N/A</v>
      </c>
      <c r="AA3223" s="102" t="e">
        <v>#N/A</v>
      </c>
    </row>
    <row r="3224" spans="19:27" x14ac:dyDescent="0.2">
      <c r="S3224" s="61"/>
      <c r="T3224" s="82"/>
      <c r="W3224" s="103" t="str">
        <f t="shared" si="59"/>
        <v>1w</v>
      </c>
      <c r="X3224" s="101">
        <f>_xll.qlCalendarAdvance(Calendar,X3223,W3224,"f",FALSE)</f>
        <v>61931</v>
      </c>
      <c r="Y3224" s="104">
        <f>_xll.qlCalendarAdvance(Calendar,X3224,NDays&amp;"D")</f>
        <v>61933</v>
      </c>
      <c r="Z3224" s="105" t="e">
        <v>#N/A</v>
      </c>
      <c r="AA3224" s="102" t="e">
        <v>#N/A</v>
      </c>
    </row>
    <row r="3225" spans="19:27" x14ac:dyDescent="0.2">
      <c r="S3225" s="61"/>
      <c r="T3225" s="82"/>
      <c r="W3225" s="103" t="str">
        <f t="shared" si="59"/>
        <v>1w</v>
      </c>
      <c r="X3225" s="101">
        <f>_xll.qlCalendarAdvance(Calendar,X3224,W3225,"f",FALSE)</f>
        <v>61938</v>
      </c>
      <c r="Y3225" s="104">
        <f>_xll.qlCalendarAdvance(Calendar,X3225,NDays&amp;"D")</f>
        <v>61940</v>
      </c>
      <c r="Z3225" s="105" t="e">
        <v>#N/A</v>
      </c>
      <c r="AA3225" s="102" t="e">
        <v>#N/A</v>
      </c>
    </row>
    <row r="3226" spans="19:27" x14ac:dyDescent="0.2">
      <c r="S3226" s="61"/>
      <c r="T3226" s="82"/>
      <c r="W3226" s="103" t="str">
        <f t="shared" si="59"/>
        <v>1w</v>
      </c>
      <c r="X3226" s="101">
        <f>_xll.qlCalendarAdvance(Calendar,X3225,W3226,"f",FALSE)</f>
        <v>61945</v>
      </c>
      <c r="Y3226" s="104">
        <f>_xll.qlCalendarAdvance(Calendar,X3226,NDays&amp;"D")</f>
        <v>61947</v>
      </c>
      <c r="Z3226" s="105" t="e">
        <v>#N/A</v>
      </c>
      <c r="AA3226" s="102" t="e">
        <v>#N/A</v>
      </c>
    </row>
    <row r="3227" spans="19:27" x14ac:dyDescent="0.2">
      <c r="S3227" s="61"/>
      <c r="T3227" s="82"/>
      <c r="W3227" s="103" t="str">
        <f t="shared" si="59"/>
        <v>1w</v>
      </c>
      <c r="X3227" s="101">
        <f>_xll.qlCalendarAdvance(Calendar,X3226,W3227,"f",FALSE)</f>
        <v>61952</v>
      </c>
      <c r="Y3227" s="104">
        <f>_xll.qlCalendarAdvance(Calendar,X3227,NDays&amp;"D")</f>
        <v>61954</v>
      </c>
      <c r="Z3227" s="105" t="e">
        <v>#N/A</v>
      </c>
      <c r="AA3227" s="102" t="e">
        <v>#N/A</v>
      </c>
    </row>
    <row r="3228" spans="19:27" x14ac:dyDescent="0.2">
      <c r="S3228" s="61"/>
      <c r="T3228" s="82"/>
      <c r="W3228" s="103" t="str">
        <f t="shared" si="59"/>
        <v>1w</v>
      </c>
      <c r="X3228" s="101">
        <f>_xll.qlCalendarAdvance(Calendar,X3227,W3228,"f",FALSE)</f>
        <v>61959</v>
      </c>
      <c r="Y3228" s="104">
        <f>_xll.qlCalendarAdvance(Calendar,X3228,NDays&amp;"D")</f>
        <v>61961</v>
      </c>
      <c r="Z3228" s="105" t="e">
        <v>#N/A</v>
      </c>
      <c r="AA3228" s="102" t="e">
        <v>#N/A</v>
      </c>
    </row>
    <row r="3229" spans="19:27" x14ac:dyDescent="0.2">
      <c r="S3229" s="61"/>
      <c r="T3229" s="82"/>
      <c r="W3229" s="103" t="str">
        <f t="shared" si="59"/>
        <v>1w</v>
      </c>
      <c r="X3229" s="101">
        <f>_xll.qlCalendarAdvance(Calendar,X3228,W3229,"f",FALSE)</f>
        <v>61966</v>
      </c>
      <c r="Y3229" s="104">
        <f>_xll.qlCalendarAdvance(Calendar,X3229,NDays&amp;"D")</f>
        <v>61968</v>
      </c>
      <c r="Z3229" s="105" t="e">
        <v>#N/A</v>
      </c>
      <c r="AA3229" s="102" t="e">
        <v>#N/A</v>
      </c>
    </row>
    <row r="3230" spans="19:27" x14ac:dyDescent="0.2">
      <c r="S3230" s="61"/>
      <c r="T3230" s="82"/>
      <c r="W3230" s="103" t="str">
        <f t="shared" si="59"/>
        <v>1w</v>
      </c>
      <c r="X3230" s="101">
        <f>_xll.qlCalendarAdvance(Calendar,X3229,W3230,"f",FALSE)</f>
        <v>61973</v>
      </c>
      <c r="Y3230" s="104">
        <f>_xll.qlCalendarAdvance(Calendar,X3230,NDays&amp;"D")</f>
        <v>61975</v>
      </c>
      <c r="Z3230" s="105" t="e">
        <v>#N/A</v>
      </c>
      <c r="AA3230" s="102" t="e">
        <v>#N/A</v>
      </c>
    </row>
    <row r="3231" spans="19:27" x14ac:dyDescent="0.2">
      <c r="S3231" s="61"/>
      <c r="T3231" s="82"/>
      <c r="W3231" s="103" t="str">
        <f t="shared" si="59"/>
        <v>1w</v>
      </c>
      <c r="X3231" s="101">
        <f>_xll.qlCalendarAdvance(Calendar,X3230,W3231,"f",FALSE)</f>
        <v>61980</v>
      </c>
      <c r="Y3231" s="104">
        <f>_xll.qlCalendarAdvance(Calendar,X3231,NDays&amp;"D")</f>
        <v>61982</v>
      </c>
      <c r="Z3231" s="105" t="e">
        <v>#N/A</v>
      </c>
      <c r="AA3231" s="102" t="e">
        <v>#N/A</v>
      </c>
    </row>
    <row r="3232" spans="19:27" x14ac:dyDescent="0.2">
      <c r="S3232" s="61"/>
      <c r="T3232" s="82"/>
      <c r="W3232" s="103" t="str">
        <f t="shared" si="59"/>
        <v>1w</v>
      </c>
      <c r="X3232" s="101">
        <f>_xll.qlCalendarAdvance(Calendar,X3231,W3232,"f",FALSE)</f>
        <v>61987</v>
      </c>
      <c r="Y3232" s="104">
        <f>_xll.qlCalendarAdvance(Calendar,X3232,NDays&amp;"D")</f>
        <v>61989</v>
      </c>
      <c r="Z3232" s="105" t="e">
        <v>#N/A</v>
      </c>
      <c r="AA3232" s="102" t="e">
        <v>#N/A</v>
      </c>
    </row>
    <row r="3233" spans="19:27" x14ac:dyDescent="0.2">
      <c r="S3233" s="61"/>
      <c r="T3233" s="82"/>
      <c r="W3233" s="103" t="str">
        <f t="shared" si="59"/>
        <v>1w</v>
      </c>
      <c r="X3233" s="101">
        <f>_xll.qlCalendarAdvance(Calendar,X3232,W3233,"f",FALSE)</f>
        <v>61994</v>
      </c>
      <c r="Y3233" s="104">
        <f>_xll.qlCalendarAdvance(Calendar,X3233,NDays&amp;"D")</f>
        <v>61996</v>
      </c>
      <c r="Z3233" s="105" t="e">
        <v>#N/A</v>
      </c>
      <c r="AA3233" s="102" t="e">
        <v>#N/A</v>
      </c>
    </row>
    <row r="3234" spans="19:27" x14ac:dyDescent="0.2">
      <c r="S3234" s="61"/>
      <c r="T3234" s="82"/>
      <c r="W3234" s="103" t="str">
        <f t="shared" si="59"/>
        <v>1w</v>
      </c>
      <c r="X3234" s="101">
        <f>_xll.qlCalendarAdvance(Calendar,X3233,W3234,"f",FALSE)</f>
        <v>62001</v>
      </c>
      <c r="Y3234" s="104">
        <f>_xll.qlCalendarAdvance(Calendar,X3234,NDays&amp;"D")</f>
        <v>62003</v>
      </c>
      <c r="Z3234" s="105" t="e">
        <v>#N/A</v>
      </c>
      <c r="AA3234" s="102" t="e">
        <v>#N/A</v>
      </c>
    </row>
    <row r="3235" spans="19:27" x14ac:dyDescent="0.2">
      <c r="S3235" s="61"/>
      <c r="T3235" s="82"/>
      <c r="W3235" s="103" t="str">
        <f t="shared" si="59"/>
        <v>1w</v>
      </c>
      <c r="X3235" s="101">
        <f>_xll.qlCalendarAdvance(Calendar,X3234,W3235,"f",FALSE)</f>
        <v>62008</v>
      </c>
      <c r="Y3235" s="104">
        <f>_xll.qlCalendarAdvance(Calendar,X3235,NDays&amp;"D")</f>
        <v>62010</v>
      </c>
      <c r="Z3235" s="105" t="e">
        <v>#N/A</v>
      </c>
      <c r="AA3235" s="102" t="e">
        <v>#N/A</v>
      </c>
    </row>
    <row r="3236" spans="19:27" x14ac:dyDescent="0.2">
      <c r="S3236" s="61"/>
      <c r="T3236" s="82"/>
      <c r="W3236" s="103" t="str">
        <f t="shared" si="59"/>
        <v>1w</v>
      </c>
      <c r="X3236" s="101">
        <f>_xll.qlCalendarAdvance(Calendar,X3235,W3236,"f",FALSE)</f>
        <v>62015</v>
      </c>
      <c r="Y3236" s="104">
        <f>_xll.qlCalendarAdvance(Calendar,X3236,NDays&amp;"D")</f>
        <v>62017</v>
      </c>
      <c r="Z3236" s="105" t="e">
        <v>#N/A</v>
      </c>
      <c r="AA3236" s="102" t="e">
        <v>#N/A</v>
      </c>
    </row>
    <row r="3237" spans="19:27" x14ac:dyDescent="0.2">
      <c r="S3237" s="61"/>
      <c r="T3237" s="82"/>
      <c r="W3237" s="103" t="str">
        <f t="shared" si="59"/>
        <v>1w</v>
      </c>
      <c r="X3237" s="101">
        <f>_xll.qlCalendarAdvance(Calendar,X3236,W3237,"f",FALSE)</f>
        <v>62022</v>
      </c>
      <c r="Y3237" s="104">
        <f>_xll.qlCalendarAdvance(Calendar,X3237,NDays&amp;"D")</f>
        <v>62024</v>
      </c>
      <c r="Z3237" s="105" t="e">
        <v>#N/A</v>
      </c>
      <c r="AA3237" s="102" t="e">
        <v>#N/A</v>
      </c>
    </row>
    <row r="3238" spans="19:27" x14ac:dyDescent="0.2">
      <c r="S3238" s="61"/>
      <c r="T3238" s="82"/>
      <c r="W3238" s="103" t="str">
        <f t="shared" si="59"/>
        <v>1w</v>
      </c>
      <c r="X3238" s="101">
        <f>_xll.qlCalendarAdvance(Calendar,X3237,W3238,"f",FALSE)</f>
        <v>62029</v>
      </c>
      <c r="Y3238" s="104">
        <f>_xll.qlCalendarAdvance(Calendar,X3238,NDays&amp;"D")</f>
        <v>62031</v>
      </c>
      <c r="Z3238" s="105" t="e">
        <v>#N/A</v>
      </c>
      <c r="AA3238" s="102" t="e">
        <v>#N/A</v>
      </c>
    </row>
    <row r="3239" spans="19:27" x14ac:dyDescent="0.2">
      <c r="S3239" s="61"/>
      <c r="T3239" s="82"/>
      <c r="W3239" s="103" t="str">
        <f t="shared" si="59"/>
        <v>1w</v>
      </c>
      <c r="X3239" s="101">
        <f>_xll.qlCalendarAdvance(Calendar,X3238,W3239,"f",FALSE)</f>
        <v>62036</v>
      </c>
      <c r="Y3239" s="104">
        <f>_xll.qlCalendarAdvance(Calendar,X3239,NDays&amp;"D")</f>
        <v>62038</v>
      </c>
      <c r="Z3239" s="105" t="e">
        <v>#N/A</v>
      </c>
      <c r="AA3239" s="102" t="e">
        <v>#N/A</v>
      </c>
    </row>
    <row r="3240" spans="19:27" x14ac:dyDescent="0.2">
      <c r="S3240" s="61"/>
      <c r="T3240" s="82"/>
      <c r="W3240" s="103" t="str">
        <f t="shared" si="59"/>
        <v>1w</v>
      </c>
      <c r="X3240" s="101">
        <f>_xll.qlCalendarAdvance(Calendar,X3239,W3240,"f",FALSE)</f>
        <v>62043</v>
      </c>
      <c r="Y3240" s="104">
        <f>_xll.qlCalendarAdvance(Calendar,X3240,NDays&amp;"D")</f>
        <v>62045</v>
      </c>
      <c r="Z3240" s="105" t="e">
        <v>#N/A</v>
      </c>
      <c r="AA3240" s="102" t="e">
        <v>#N/A</v>
      </c>
    </row>
    <row r="3241" spans="19:27" x14ac:dyDescent="0.2">
      <c r="S3241" s="61"/>
      <c r="T3241" s="82"/>
      <c r="W3241" s="103" t="str">
        <f t="shared" si="59"/>
        <v>1w</v>
      </c>
      <c r="X3241" s="101">
        <f>_xll.qlCalendarAdvance(Calendar,X3240,W3241,"f",FALSE)</f>
        <v>62050</v>
      </c>
      <c r="Y3241" s="104">
        <f>_xll.qlCalendarAdvance(Calendar,X3241,NDays&amp;"D")</f>
        <v>62052</v>
      </c>
      <c r="Z3241" s="105" t="e">
        <v>#N/A</v>
      </c>
      <c r="AA3241" s="102" t="e">
        <v>#N/A</v>
      </c>
    </row>
    <row r="3242" spans="19:27" x14ac:dyDescent="0.2">
      <c r="S3242" s="61"/>
      <c r="T3242" s="82"/>
      <c r="W3242" s="103" t="str">
        <f t="shared" si="59"/>
        <v>1w</v>
      </c>
      <c r="X3242" s="101">
        <f>_xll.qlCalendarAdvance(Calendar,X3241,W3242,"f",FALSE)</f>
        <v>62057</v>
      </c>
      <c r="Y3242" s="104">
        <f>_xll.qlCalendarAdvance(Calendar,X3242,NDays&amp;"D")</f>
        <v>62059</v>
      </c>
      <c r="Z3242" s="105" t="e">
        <v>#N/A</v>
      </c>
      <c r="AA3242" s="102" t="e">
        <v>#N/A</v>
      </c>
    </row>
    <row r="3243" spans="19:27" x14ac:dyDescent="0.2">
      <c r="S3243" s="61"/>
      <c r="T3243" s="82"/>
      <c r="W3243" s="103" t="str">
        <f t="shared" si="59"/>
        <v>1w</v>
      </c>
      <c r="X3243" s="101">
        <f>_xll.qlCalendarAdvance(Calendar,X3242,W3243,"f",FALSE)</f>
        <v>62064</v>
      </c>
      <c r="Y3243" s="104">
        <f>_xll.qlCalendarAdvance(Calendar,X3243,NDays&amp;"D")</f>
        <v>62066</v>
      </c>
      <c r="Z3243" s="105" t="e">
        <v>#N/A</v>
      </c>
      <c r="AA3243" s="102" t="e">
        <v>#N/A</v>
      </c>
    </row>
    <row r="3244" spans="19:27" x14ac:dyDescent="0.2">
      <c r="S3244" s="61"/>
      <c r="T3244" s="82"/>
      <c r="W3244" s="103" t="str">
        <f t="shared" si="59"/>
        <v>1w</v>
      </c>
      <c r="X3244" s="101">
        <f>_xll.qlCalendarAdvance(Calendar,X3243,W3244,"f",FALSE)</f>
        <v>62071</v>
      </c>
      <c r="Y3244" s="104">
        <f>_xll.qlCalendarAdvance(Calendar,X3244,NDays&amp;"D")</f>
        <v>62073</v>
      </c>
      <c r="Z3244" s="105" t="e">
        <v>#N/A</v>
      </c>
      <c r="AA3244" s="102" t="e">
        <v>#N/A</v>
      </c>
    </row>
    <row r="3245" spans="19:27" x14ac:dyDescent="0.2">
      <c r="S3245" s="61"/>
      <c r="T3245" s="82"/>
      <c r="W3245" s="103" t="str">
        <f t="shared" si="59"/>
        <v>1w</v>
      </c>
      <c r="X3245" s="101">
        <f>_xll.qlCalendarAdvance(Calendar,X3244,W3245,"f",FALSE)</f>
        <v>62078</v>
      </c>
      <c r="Y3245" s="104">
        <f>_xll.qlCalendarAdvance(Calendar,X3245,NDays&amp;"D")</f>
        <v>62080</v>
      </c>
      <c r="Z3245" s="105" t="e">
        <v>#N/A</v>
      </c>
      <c r="AA3245" s="102" t="e">
        <v>#N/A</v>
      </c>
    </row>
    <row r="3246" spans="19:27" x14ac:dyDescent="0.2">
      <c r="S3246" s="61"/>
      <c r="T3246" s="82"/>
      <c r="W3246" s="103" t="str">
        <f t="shared" si="59"/>
        <v>1w</v>
      </c>
      <c r="X3246" s="101">
        <f>_xll.qlCalendarAdvance(Calendar,X3245,W3246,"f",FALSE)</f>
        <v>62085</v>
      </c>
      <c r="Y3246" s="104">
        <f>_xll.qlCalendarAdvance(Calendar,X3246,NDays&amp;"D")</f>
        <v>62092</v>
      </c>
      <c r="Z3246" s="105" t="e">
        <v>#N/A</v>
      </c>
      <c r="AA3246" s="102" t="e">
        <v>#N/A</v>
      </c>
    </row>
    <row r="3247" spans="19:27" x14ac:dyDescent="0.2">
      <c r="S3247" s="61"/>
      <c r="T3247" s="82"/>
      <c r="W3247" s="103" t="str">
        <f t="shared" si="59"/>
        <v>1w</v>
      </c>
      <c r="X3247" s="101">
        <f>_xll.qlCalendarAdvance(Calendar,X3246,W3247,"f",FALSE)</f>
        <v>62092</v>
      </c>
      <c r="Y3247" s="104">
        <f>_xll.qlCalendarAdvance(Calendar,X3247,NDays&amp;"D")</f>
        <v>62096</v>
      </c>
      <c r="Z3247" s="105" t="e">
        <v>#N/A</v>
      </c>
      <c r="AA3247" s="102" t="e">
        <v>#N/A</v>
      </c>
    </row>
    <row r="3248" spans="19:27" x14ac:dyDescent="0.2">
      <c r="S3248" s="61"/>
      <c r="T3248" s="82"/>
      <c r="W3248" s="103" t="str">
        <f t="shared" si="59"/>
        <v>1w</v>
      </c>
      <c r="X3248" s="101">
        <f>_xll.qlCalendarAdvance(Calendar,X3247,W3248,"f",FALSE)</f>
        <v>62100</v>
      </c>
      <c r="Y3248" s="104">
        <f>_xll.qlCalendarAdvance(Calendar,X3248,NDays&amp;"D")</f>
        <v>62102</v>
      </c>
      <c r="Z3248" s="105" t="e">
        <v>#N/A</v>
      </c>
      <c r="AA3248" s="102" t="e">
        <v>#N/A</v>
      </c>
    </row>
    <row r="3249" spans="19:27" x14ac:dyDescent="0.2">
      <c r="S3249" s="61"/>
      <c r="T3249" s="82"/>
      <c r="W3249" s="103" t="str">
        <f t="shared" si="59"/>
        <v>1w</v>
      </c>
      <c r="X3249" s="101">
        <f>_xll.qlCalendarAdvance(Calendar,X3248,W3249,"f",FALSE)</f>
        <v>62107</v>
      </c>
      <c r="Y3249" s="104">
        <f>_xll.qlCalendarAdvance(Calendar,X3249,NDays&amp;"D")</f>
        <v>62109</v>
      </c>
      <c r="Z3249" s="105" t="e">
        <v>#N/A</v>
      </c>
      <c r="AA3249" s="102" t="e">
        <v>#N/A</v>
      </c>
    </row>
    <row r="3250" spans="19:27" x14ac:dyDescent="0.2">
      <c r="S3250" s="61"/>
      <c r="T3250" s="82"/>
      <c r="W3250" s="103" t="str">
        <f t="shared" si="59"/>
        <v>1w</v>
      </c>
      <c r="X3250" s="101">
        <f>_xll.qlCalendarAdvance(Calendar,X3249,W3250,"f",FALSE)</f>
        <v>62114</v>
      </c>
      <c r="Y3250" s="104">
        <f>_xll.qlCalendarAdvance(Calendar,X3250,NDays&amp;"D")</f>
        <v>62116</v>
      </c>
      <c r="Z3250" s="105" t="e">
        <v>#N/A</v>
      </c>
      <c r="AA3250" s="102" t="e">
        <v>#N/A</v>
      </c>
    </row>
    <row r="3251" spans="19:27" x14ac:dyDescent="0.2">
      <c r="S3251" s="61"/>
      <c r="T3251" s="82"/>
      <c r="W3251" s="103" t="str">
        <f t="shared" si="59"/>
        <v>1w</v>
      </c>
      <c r="X3251" s="101">
        <f>_xll.qlCalendarAdvance(Calendar,X3250,W3251,"f",FALSE)</f>
        <v>62121</v>
      </c>
      <c r="Y3251" s="104">
        <f>_xll.qlCalendarAdvance(Calendar,X3251,NDays&amp;"D")</f>
        <v>62123</v>
      </c>
      <c r="Z3251" s="105" t="e">
        <v>#N/A</v>
      </c>
      <c r="AA3251" s="102" t="e">
        <v>#N/A</v>
      </c>
    </row>
    <row r="3252" spans="19:27" x14ac:dyDescent="0.2">
      <c r="S3252" s="61"/>
      <c r="T3252" s="82"/>
      <c r="W3252" s="103" t="str">
        <f t="shared" si="59"/>
        <v>1w</v>
      </c>
      <c r="X3252" s="101">
        <f>_xll.qlCalendarAdvance(Calendar,X3251,W3252,"f",FALSE)</f>
        <v>62128</v>
      </c>
      <c r="Y3252" s="104">
        <f>_xll.qlCalendarAdvance(Calendar,X3252,NDays&amp;"D")</f>
        <v>62130</v>
      </c>
      <c r="Z3252" s="105" t="e">
        <v>#N/A</v>
      </c>
      <c r="AA3252" s="102" t="e">
        <v>#N/A</v>
      </c>
    </row>
    <row r="3253" spans="19:27" x14ac:dyDescent="0.2">
      <c r="S3253" s="61"/>
      <c r="T3253" s="82"/>
      <c r="W3253" s="103" t="str">
        <f t="shared" si="59"/>
        <v>1w</v>
      </c>
      <c r="X3253" s="101">
        <f>_xll.qlCalendarAdvance(Calendar,X3252,W3253,"f",FALSE)</f>
        <v>62135</v>
      </c>
      <c r="Y3253" s="104">
        <f>_xll.qlCalendarAdvance(Calendar,X3253,NDays&amp;"D")</f>
        <v>62137</v>
      </c>
      <c r="Z3253" s="105" t="e">
        <v>#N/A</v>
      </c>
      <c r="AA3253" s="102" t="e">
        <v>#N/A</v>
      </c>
    </row>
    <row r="3254" spans="19:27" x14ac:dyDescent="0.2">
      <c r="S3254" s="61"/>
      <c r="T3254" s="82"/>
      <c r="W3254" s="103" t="str">
        <f t="shared" si="59"/>
        <v>1w</v>
      </c>
      <c r="X3254" s="101">
        <f>_xll.qlCalendarAdvance(Calendar,X3253,W3254,"f",FALSE)</f>
        <v>62142</v>
      </c>
      <c r="Y3254" s="104">
        <f>_xll.qlCalendarAdvance(Calendar,X3254,NDays&amp;"D")</f>
        <v>62144</v>
      </c>
      <c r="Z3254" s="105" t="e">
        <v>#N/A</v>
      </c>
      <c r="AA3254" s="102" t="e">
        <v>#N/A</v>
      </c>
    </row>
    <row r="3255" spans="19:27" x14ac:dyDescent="0.2">
      <c r="S3255" s="61"/>
      <c r="T3255" s="82"/>
      <c r="W3255" s="103" t="str">
        <f t="shared" si="59"/>
        <v>1w</v>
      </c>
      <c r="X3255" s="101">
        <f>_xll.qlCalendarAdvance(Calendar,X3254,W3255,"f",FALSE)</f>
        <v>62149</v>
      </c>
      <c r="Y3255" s="104">
        <f>_xll.qlCalendarAdvance(Calendar,X3255,NDays&amp;"D")</f>
        <v>62151</v>
      </c>
      <c r="Z3255" s="105" t="e">
        <v>#N/A</v>
      </c>
      <c r="AA3255" s="102" t="e">
        <v>#N/A</v>
      </c>
    </row>
    <row r="3256" spans="19:27" x14ac:dyDescent="0.2">
      <c r="S3256" s="61"/>
      <c r="T3256" s="82"/>
      <c r="W3256" s="103" t="str">
        <f t="shared" si="59"/>
        <v>1w</v>
      </c>
      <c r="X3256" s="101">
        <f>_xll.qlCalendarAdvance(Calendar,X3255,W3256,"f",FALSE)</f>
        <v>62156</v>
      </c>
      <c r="Y3256" s="104">
        <f>_xll.qlCalendarAdvance(Calendar,X3256,NDays&amp;"D")</f>
        <v>62158</v>
      </c>
      <c r="Z3256" s="105" t="e">
        <v>#N/A</v>
      </c>
      <c r="AA3256" s="102" t="e">
        <v>#N/A</v>
      </c>
    </row>
    <row r="3257" spans="19:27" x14ac:dyDescent="0.2">
      <c r="S3257" s="61"/>
      <c r="T3257" s="82"/>
      <c r="W3257" s="103" t="str">
        <f t="shared" si="59"/>
        <v>1w</v>
      </c>
      <c r="X3257" s="101">
        <f>_xll.qlCalendarAdvance(Calendar,X3256,W3257,"f",FALSE)</f>
        <v>62163</v>
      </c>
      <c r="Y3257" s="104">
        <f>_xll.qlCalendarAdvance(Calendar,X3257,NDays&amp;"D")</f>
        <v>62165</v>
      </c>
      <c r="Z3257" s="105" t="e">
        <v>#N/A</v>
      </c>
      <c r="AA3257" s="102" t="e">
        <v>#N/A</v>
      </c>
    </row>
    <row r="3258" spans="19:27" x14ac:dyDescent="0.2">
      <c r="S3258" s="61"/>
      <c r="T3258" s="82"/>
      <c r="W3258" s="103" t="str">
        <f t="shared" si="59"/>
        <v>1w</v>
      </c>
      <c r="X3258" s="101">
        <f>_xll.qlCalendarAdvance(Calendar,X3257,W3258,"f",FALSE)</f>
        <v>62170</v>
      </c>
      <c r="Y3258" s="104">
        <f>_xll.qlCalendarAdvance(Calendar,X3258,NDays&amp;"D")</f>
        <v>62172</v>
      </c>
      <c r="Z3258" s="105" t="e">
        <v>#N/A</v>
      </c>
      <c r="AA3258" s="102" t="e">
        <v>#N/A</v>
      </c>
    </row>
    <row r="3259" spans="19:27" x14ac:dyDescent="0.2">
      <c r="S3259" s="61"/>
      <c r="T3259" s="82"/>
      <c r="W3259" s="103" t="str">
        <f t="shared" si="59"/>
        <v>1w</v>
      </c>
      <c r="X3259" s="101">
        <f>_xll.qlCalendarAdvance(Calendar,X3258,W3259,"f",FALSE)</f>
        <v>62177</v>
      </c>
      <c r="Y3259" s="104">
        <f>_xll.qlCalendarAdvance(Calendar,X3259,NDays&amp;"D")</f>
        <v>62179</v>
      </c>
      <c r="Z3259" s="105" t="e">
        <v>#N/A</v>
      </c>
      <c r="AA3259" s="102" t="e">
        <v>#N/A</v>
      </c>
    </row>
    <row r="3260" spans="19:27" x14ac:dyDescent="0.2">
      <c r="S3260" s="61"/>
      <c r="T3260" s="82"/>
      <c r="W3260" s="103" t="str">
        <f t="shared" si="59"/>
        <v>1w</v>
      </c>
      <c r="X3260" s="101">
        <f>_xll.qlCalendarAdvance(Calendar,X3259,W3260,"f",FALSE)</f>
        <v>62184</v>
      </c>
      <c r="Y3260" s="104">
        <f>_xll.qlCalendarAdvance(Calendar,X3260,NDays&amp;"D")</f>
        <v>62186</v>
      </c>
      <c r="Z3260" s="105" t="e">
        <v>#N/A</v>
      </c>
      <c r="AA3260" s="102" t="e">
        <v>#N/A</v>
      </c>
    </row>
    <row r="3261" spans="19:27" x14ac:dyDescent="0.2">
      <c r="S3261" s="61"/>
      <c r="T3261" s="82"/>
      <c r="W3261" s="103" t="str">
        <f t="shared" si="59"/>
        <v>1w</v>
      </c>
      <c r="X3261" s="101">
        <f>_xll.qlCalendarAdvance(Calendar,X3260,W3261,"f",FALSE)</f>
        <v>62191</v>
      </c>
      <c r="Y3261" s="104">
        <f>_xll.qlCalendarAdvance(Calendar,X3261,NDays&amp;"D")</f>
        <v>62193</v>
      </c>
      <c r="Z3261" s="105" t="e">
        <v>#N/A</v>
      </c>
      <c r="AA3261" s="102" t="e">
        <v>#N/A</v>
      </c>
    </row>
    <row r="3262" spans="19:27" x14ac:dyDescent="0.2">
      <c r="S3262" s="61"/>
      <c r="T3262" s="82"/>
      <c r="W3262" s="103" t="str">
        <f t="shared" si="59"/>
        <v>1w</v>
      </c>
      <c r="X3262" s="101">
        <f>_xll.qlCalendarAdvance(Calendar,X3261,W3262,"f",FALSE)</f>
        <v>62198</v>
      </c>
      <c r="Y3262" s="104">
        <f>_xll.qlCalendarAdvance(Calendar,X3262,NDays&amp;"D")</f>
        <v>62200</v>
      </c>
      <c r="Z3262" s="105" t="e">
        <v>#N/A</v>
      </c>
      <c r="AA3262" s="102" t="e">
        <v>#N/A</v>
      </c>
    </row>
    <row r="3263" spans="19:27" x14ac:dyDescent="0.2">
      <c r="S3263" s="61"/>
      <c r="T3263" s="82"/>
      <c r="W3263" s="103" t="str">
        <f t="shared" si="59"/>
        <v>1w</v>
      </c>
      <c r="X3263" s="101">
        <f>_xll.qlCalendarAdvance(Calendar,X3262,W3263,"f",FALSE)</f>
        <v>62205</v>
      </c>
      <c r="Y3263" s="104">
        <f>_xll.qlCalendarAdvance(Calendar,X3263,NDays&amp;"D")</f>
        <v>62207</v>
      </c>
      <c r="Z3263" s="105" t="e">
        <v>#N/A</v>
      </c>
      <c r="AA3263" s="102" t="e">
        <v>#N/A</v>
      </c>
    </row>
    <row r="3264" spans="19:27" x14ac:dyDescent="0.2">
      <c r="S3264" s="61"/>
      <c r="T3264" s="82"/>
      <c r="W3264" s="103" t="str">
        <f t="shared" si="59"/>
        <v>1w</v>
      </c>
      <c r="X3264" s="101">
        <f>_xll.qlCalendarAdvance(Calendar,X3263,W3264,"f",FALSE)</f>
        <v>62212</v>
      </c>
      <c r="Y3264" s="104">
        <f>_xll.qlCalendarAdvance(Calendar,X3264,NDays&amp;"D")</f>
        <v>62215</v>
      </c>
      <c r="Z3264" s="105" t="e">
        <v>#N/A</v>
      </c>
      <c r="AA3264" s="102" t="e">
        <v>#N/A</v>
      </c>
    </row>
    <row r="3265" spans="19:27" x14ac:dyDescent="0.2">
      <c r="S3265" s="61"/>
      <c r="T3265" s="82"/>
      <c r="W3265" s="103" t="str">
        <f t="shared" si="59"/>
        <v>1w</v>
      </c>
      <c r="X3265" s="101">
        <f>_xll.qlCalendarAdvance(Calendar,X3264,W3265,"f",FALSE)</f>
        <v>62219</v>
      </c>
      <c r="Y3265" s="104">
        <f>_xll.qlCalendarAdvance(Calendar,X3265,NDays&amp;"D")</f>
        <v>62222</v>
      </c>
      <c r="Z3265" s="105" t="e">
        <v>#N/A</v>
      </c>
      <c r="AA3265" s="102" t="e">
        <v>#N/A</v>
      </c>
    </row>
    <row r="3266" spans="19:27" x14ac:dyDescent="0.2">
      <c r="S3266" s="61"/>
      <c r="T3266" s="82"/>
      <c r="W3266" s="103" t="str">
        <f t="shared" si="59"/>
        <v>1w</v>
      </c>
      <c r="X3266" s="101">
        <f>_xll.qlCalendarAdvance(Calendar,X3265,W3266,"f",FALSE)</f>
        <v>62226</v>
      </c>
      <c r="Y3266" s="104">
        <f>_xll.qlCalendarAdvance(Calendar,X3266,NDays&amp;"D")</f>
        <v>62228</v>
      </c>
      <c r="Z3266" s="105" t="e">
        <v>#N/A</v>
      </c>
      <c r="AA3266" s="102" t="e">
        <v>#N/A</v>
      </c>
    </row>
    <row r="3267" spans="19:27" x14ac:dyDescent="0.2">
      <c r="S3267" s="61"/>
      <c r="T3267" s="82"/>
      <c r="W3267" s="103" t="str">
        <f t="shared" si="59"/>
        <v>1w</v>
      </c>
      <c r="X3267" s="101">
        <f>_xll.qlCalendarAdvance(Calendar,X3266,W3267,"f",FALSE)</f>
        <v>62233</v>
      </c>
      <c r="Y3267" s="104">
        <f>_xll.qlCalendarAdvance(Calendar,X3267,NDays&amp;"D")</f>
        <v>62235</v>
      </c>
      <c r="Z3267" s="105" t="e">
        <v>#N/A</v>
      </c>
      <c r="AA3267" s="102" t="e">
        <v>#N/A</v>
      </c>
    </row>
    <row r="3268" spans="19:27" x14ac:dyDescent="0.2">
      <c r="S3268" s="61"/>
      <c r="T3268" s="82"/>
      <c r="W3268" s="103" t="str">
        <f t="shared" si="59"/>
        <v>1w</v>
      </c>
      <c r="X3268" s="101">
        <f>_xll.qlCalendarAdvance(Calendar,X3267,W3268,"f",FALSE)</f>
        <v>62240</v>
      </c>
      <c r="Y3268" s="104">
        <f>_xll.qlCalendarAdvance(Calendar,X3268,NDays&amp;"D")</f>
        <v>62242</v>
      </c>
      <c r="Z3268" s="105" t="e">
        <v>#N/A</v>
      </c>
      <c r="AA3268" s="102" t="e">
        <v>#N/A</v>
      </c>
    </row>
    <row r="3269" spans="19:27" x14ac:dyDescent="0.2">
      <c r="S3269" s="61"/>
      <c r="T3269" s="82"/>
      <c r="W3269" s="103" t="str">
        <f t="shared" si="59"/>
        <v>1w</v>
      </c>
      <c r="X3269" s="101">
        <f>_xll.qlCalendarAdvance(Calendar,X3268,W3269,"f",FALSE)</f>
        <v>62247</v>
      </c>
      <c r="Y3269" s="104">
        <f>_xll.qlCalendarAdvance(Calendar,X3269,NDays&amp;"D")</f>
        <v>62249</v>
      </c>
      <c r="Z3269" s="105" t="e">
        <v>#N/A</v>
      </c>
      <c r="AA3269" s="102" t="e">
        <v>#N/A</v>
      </c>
    </row>
    <row r="3270" spans="19:27" x14ac:dyDescent="0.2">
      <c r="S3270" s="61"/>
      <c r="T3270" s="82"/>
      <c r="W3270" s="103" t="str">
        <f t="shared" si="59"/>
        <v>1w</v>
      </c>
      <c r="X3270" s="101">
        <f>_xll.qlCalendarAdvance(Calendar,X3269,W3270,"f",FALSE)</f>
        <v>62254</v>
      </c>
      <c r="Y3270" s="104">
        <f>_xll.qlCalendarAdvance(Calendar,X3270,NDays&amp;"D")</f>
        <v>62256</v>
      </c>
      <c r="Z3270" s="105" t="e">
        <v>#N/A</v>
      </c>
      <c r="AA3270" s="102" t="e">
        <v>#N/A</v>
      </c>
    </row>
    <row r="3271" spans="19:27" x14ac:dyDescent="0.2">
      <c r="S3271" s="61"/>
      <c r="T3271" s="82"/>
      <c r="W3271" s="103" t="str">
        <f t="shared" si="59"/>
        <v>1w</v>
      </c>
      <c r="X3271" s="101">
        <f>_xll.qlCalendarAdvance(Calendar,X3270,W3271,"f",FALSE)</f>
        <v>62261</v>
      </c>
      <c r="Y3271" s="104">
        <f>_xll.qlCalendarAdvance(Calendar,X3271,NDays&amp;"D")</f>
        <v>62263</v>
      </c>
      <c r="Z3271" s="105" t="e">
        <v>#N/A</v>
      </c>
      <c r="AA3271" s="102" t="e">
        <v>#N/A</v>
      </c>
    </row>
    <row r="3272" spans="19:27" x14ac:dyDescent="0.2">
      <c r="S3272" s="61"/>
      <c r="T3272" s="82"/>
      <c r="W3272" s="103" t="str">
        <f t="shared" si="59"/>
        <v>1w</v>
      </c>
      <c r="X3272" s="101">
        <f>_xll.qlCalendarAdvance(Calendar,X3271,W3272,"f",FALSE)</f>
        <v>62268</v>
      </c>
      <c r="Y3272" s="104">
        <f>_xll.qlCalendarAdvance(Calendar,X3272,NDays&amp;"D")</f>
        <v>62270</v>
      </c>
      <c r="Z3272" s="105" t="e">
        <v>#N/A</v>
      </c>
      <c r="AA3272" s="102" t="e">
        <v>#N/A</v>
      </c>
    </row>
    <row r="3273" spans="19:27" x14ac:dyDescent="0.2">
      <c r="S3273" s="61"/>
      <c r="T3273" s="82"/>
      <c r="W3273" s="103" t="str">
        <f t="shared" si="59"/>
        <v>1w</v>
      </c>
      <c r="X3273" s="101">
        <f>_xll.qlCalendarAdvance(Calendar,X3272,W3273,"f",FALSE)</f>
        <v>62275</v>
      </c>
      <c r="Y3273" s="104">
        <f>_xll.qlCalendarAdvance(Calendar,X3273,NDays&amp;"D")</f>
        <v>62277</v>
      </c>
      <c r="Z3273" s="105" t="e">
        <v>#N/A</v>
      </c>
      <c r="AA3273" s="102" t="e">
        <v>#N/A</v>
      </c>
    </row>
    <row r="3274" spans="19:27" x14ac:dyDescent="0.2">
      <c r="S3274" s="61"/>
      <c r="T3274" s="82"/>
      <c r="W3274" s="103" t="str">
        <f t="shared" si="59"/>
        <v>1w</v>
      </c>
      <c r="X3274" s="101">
        <f>_xll.qlCalendarAdvance(Calendar,X3273,W3274,"f",FALSE)</f>
        <v>62282</v>
      </c>
      <c r="Y3274" s="104">
        <f>_xll.qlCalendarAdvance(Calendar,X3274,NDays&amp;"D")</f>
        <v>62284</v>
      </c>
      <c r="Z3274" s="105" t="e">
        <v>#N/A</v>
      </c>
      <c r="AA3274" s="102" t="e">
        <v>#N/A</v>
      </c>
    </row>
    <row r="3275" spans="19:27" x14ac:dyDescent="0.2">
      <c r="S3275" s="61"/>
      <c r="T3275" s="82"/>
      <c r="W3275" s="103" t="str">
        <f t="shared" si="59"/>
        <v>1w</v>
      </c>
      <c r="X3275" s="101">
        <f>_xll.qlCalendarAdvance(Calendar,X3274,W3275,"f",FALSE)</f>
        <v>62289</v>
      </c>
      <c r="Y3275" s="104">
        <f>_xll.qlCalendarAdvance(Calendar,X3275,NDays&amp;"D")</f>
        <v>62291</v>
      </c>
      <c r="Z3275" s="105" t="e">
        <v>#N/A</v>
      </c>
      <c r="AA3275" s="102" t="e">
        <v>#N/A</v>
      </c>
    </row>
    <row r="3276" spans="19:27" x14ac:dyDescent="0.2">
      <c r="S3276" s="61"/>
      <c r="T3276" s="82"/>
      <c r="W3276" s="103" t="str">
        <f t="shared" si="59"/>
        <v>1w</v>
      </c>
      <c r="X3276" s="101">
        <f>_xll.qlCalendarAdvance(Calendar,X3275,W3276,"f",FALSE)</f>
        <v>62296</v>
      </c>
      <c r="Y3276" s="104">
        <f>_xll.qlCalendarAdvance(Calendar,X3276,NDays&amp;"D")</f>
        <v>62298</v>
      </c>
      <c r="Z3276" s="105" t="e">
        <v>#N/A</v>
      </c>
      <c r="AA3276" s="102" t="e">
        <v>#N/A</v>
      </c>
    </row>
    <row r="3277" spans="19:27" x14ac:dyDescent="0.2">
      <c r="S3277" s="61"/>
      <c r="T3277" s="82"/>
      <c r="W3277" s="103" t="str">
        <f t="shared" si="59"/>
        <v>1w</v>
      </c>
      <c r="X3277" s="101">
        <f>_xll.qlCalendarAdvance(Calendar,X3276,W3277,"f",FALSE)</f>
        <v>62303</v>
      </c>
      <c r="Y3277" s="104">
        <f>_xll.qlCalendarAdvance(Calendar,X3277,NDays&amp;"D")</f>
        <v>62305</v>
      </c>
      <c r="Z3277" s="105" t="e">
        <v>#N/A</v>
      </c>
      <c r="AA3277" s="102" t="e">
        <v>#N/A</v>
      </c>
    </row>
    <row r="3278" spans="19:27" x14ac:dyDescent="0.2">
      <c r="S3278" s="61"/>
      <c r="T3278" s="82"/>
      <c r="W3278" s="103" t="str">
        <f t="shared" si="59"/>
        <v>1w</v>
      </c>
      <c r="X3278" s="101">
        <f>_xll.qlCalendarAdvance(Calendar,X3277,W3278,"f",FALSE)</f>
        <v>62310</v>
      </c>
      <c r="Y3278" s="104">
        <f>_xll.qlCalendarAdvance(Calendar,X3278,NDays&amp;"D")</f>
        <v>62312</v>
      </c>
      <c r="Z3278" s="105" t="e">
        <v>#N/A</v>
      </c>
      <c r="AA3278" s="102" t="e">
        <v>#N/A</v>
      </c>
    </row>
    <row r="3279" spans="19:27" x14ac:dyDescent="0.2">
      <c r="S3279" s="61"/>
      <c r="T3279" s="82"/>
      <c r="W3279" s="103" t="str">
        <f t="shared" si="59"/>
        <v>1w</v>
      </c>
      <c r="X3279" s="101">
        <f>_xll.qlCalendarAdvance(Calendar,X3278,W3279,"f",FALSE)</f>
        <v>62317</v>
      </c>
      <c r="Y3279" s="104">
        <f>_xll.qlCalendarAdvance(Calendar,X3279,NDays&amp;"D")</f>
        <v>62319</v>
      </c>
      <c r="Z3279" s="105" t="e">
        <v>#N/A</v>
      </c>
      <c r="AA3279" s="102" t="e">
        <v>#N/A</v>
      </c>
    </row>
    <row r="3280" spans="19:27" x14ac:dyDescent="0.2">
      <c r="S3280" s="61"/>
      <c r="T3280" s="82"/>
      <c r="W3280" s="103" t="str">
        <f t="shared" si="59"/>
        <v>1w</v>
      </c>
      <c r="X3280" s="101">
        <f>_xll.qlCalendarAdvance(Calendar,X3279,W3280,"f",FALSE)</f>
        <v>62324</v>
      </c>
      <c r="Y3280" s="104">
        <f>_xll.qlCalendarAdvance(Calendar,X3280,NDays&amp;"D")</f>
        <v>62326</v>
      </c>
      <c r="Z3280" s="105" t="e">
        <v>#N/A</v>
      </c>
      <c r="AA3280" s="102" t="e">
        <v>#N/A</v>
      </c>
    </row>
    <row r="3281" spans="19:27" x14ac:dyDescent="0.2">
      <c r="S3281" s="61"/>
      <c r="T3281" s="82"/>
      <c r="W3281" s="103" t="str">
        <f t="shared" si="59"/>
        <v>1w</v>
      </c>
      <c r="X3281" s="101">
        <f>_xll.qlCalendarAdvance(Calendar,X3280,W3281,"f",FALSE)</f>
        <v>62331</v>
      </c>
      <c r="Y3281" s="104">
        <f>_xll.qlCalendarAdvance(Calendar,X3281,NDays&amp;"D")</f>
        <v>62333</v>
      </c>
      <c r="Z3281" s="105" t="e">
        <v>#N/A</v>
      </c>
      <c r="AA3281" s="102" t="e">
        <v>#N/A</v>
      </c>
    </row>
    <row r="3282" spans="19:27" x14ac:dyDescent="0.2">
      <c r="S3282" s="61"/>
      <c r="T3282" s="82"/>
      <c r="W3282" s="103" t="str">
        <f t="shared" si="59"/>
        <v>1w</v>
      </c>
      <c r="X3282" s="101">
        <f>_xll.qlCalendarAdvance(Calendar,X3281,W3282,"f",FALSE)</f>
        <v>62338</v>
      </c>
      <c r="Y3282" s="104">
        <f>_xll.qlCalendarAdvance(Calendar,X3282,NDays&amp;"D")</f>
        <v>62340</v>
      </c>
      <c r="Z3282" s="105" t="e">
        <v>#N/A</v>
      </c>
      <c r="AA3282" s="102" t="e">
        <v>#N/A</v>
      </c>
    </row>
    <row r="3283" spans="19:27" x14ac:dyDescent="0.2">
      <c r="S3283" s="61"/>
      <c r="T3283" s="82"/>
      <c r="W3283" s="103" t="str">
        <f t="shared" si="59"/>
        <v>1w</v>
      </c>
      <c r="X3283" s="101">
        <f>_xll.qlCalendarAdvance(Calendar,X3282,W3283,"f",FALSE)</f>
        <v>62345</v>
      </c>
      <c r="Y3283" s="104">
        <f>_xll.qlCalendarAdvance(Calendar,X3283,NDays&amp;"D")</f>
        <v>62347</v>
      </c>
      <c r="Z3283" s="105" t="e">
        <v>#N/A</v>
      </c>
      <c r="AA3283" s="102" t="e">
        <v>#N/A</v>
      </c>
    </row>
    <row r="3284" spans="19:27" x14ac:dyDescent="0.2">
      <c r="S3284" s="61"/>
      <c r="T3284" s="82"/>
      <c r="W3284" s="103" t="str">
        <f t="shared" si="59"/>
        <v>1w</v>
      </c>
      <c r="X3284" s="101">
        <f>_xll.qlCalendarAdvance(Calendar,X3283,W3284,"f",FALSE)</f>
        <v>62352</v>
      </c>
      <c r="Y3284" s="104">
        <f>_xll.qlCalendarAdvance(Calendar,X3284,NDays&amp;"D")</f>
        <v>62354</v>
      </c>
      <c r="Z3284" s="105" t="e">
        <v>#N/A</v>
      </c>
      <c r="AA3284" s="102" t="e">
        <v>#N/A</v>
      </c>
    </row>
    <row r="3285" spans="19:27" x14ac:dyDescent="0.2">
      <c r="S3285" s="61"/>
      <c r="T3285" s="82"/>
      <c r="W3285" s="103" t="str">
        <f t="shared" ref="W3285:W3348" si="60">W3284</f>
        <v>1w</v>
      </c>
      <c r="X3285" s="101">
        <f>_xll.qlCalendarAdvance(Calendar,X3284,W3285,"f",FALSE)</f>
        <v>62359</v>
      </c>
      <c r="Y3285" s="104">
        <f>_xll.qlCalendarAdvance(Calendar,X3285,NDays&amp;"D")</f>
        <v>62361</v>
      </c>
      <c r="Z3285" s="105" t="e">
        <v>#N/A</v>
      </c>
      <c r="AA3285" s="102" t="e">
        <v>#N/A</v>
      </c>
    </row>
    <row r="3286" spans="19:27" x14ac:dyDescent="0.2">
      <c r="S3286" s="61"/>
      <c r="T3286" s="82"/>
      <c r="W3286" s="103" t="str">
        <f t="shared" si="60"/>
        <v>1w</v>
      </c>
      <c r="X3286" s="101">
        <f>_xll.qlCalendarAdvance(Calendar,X3285,W3286,"f",FALSE)</f>
        <v>62366</v>
      </c>
      <c r="Y3286" s="104">
        <f>_xll.qlCalendarAdvance(Calendar,X3286,NDays&amp;"D")</f>
        <v>62368</v>
      </c>
      <c r="Z3286" s="105" t="e">
        <v>#N/A</v>
      </c>
      <c r="AA3286" s="102" t="e">
        <v>#N/A</v>
      </c>
    </row>
    <row r="3287" spans="19:27" x14ac:dyDescent="0.2">
      <c r="S3287" s="61"/>
      <c r="T3287" s="82"/>
      <c r="W3287" s="103" t="str">
        <f t="shared" si="60"/>
        <v>1w</v>
      </c>
      <c r="X3287" s="101">
        <f>_xll.qlCalendarAdvance(Calendar,X3286,W3287,"f",FALSE)</f>
        <v>62373</v>
      </c>
      <c r="Y3287" s="104">
        <f>_xll.qlCalendarAdvance(Calendar,X3287,NDays&amp;"D")</f>
        <v>62375</v>
      </c>
      <c r="Z3287" s="105" t="e">
        <v>#N/A</v>
      </c>
      <c r="AA3287" s="102" t="e">
        <v>#N/A</v>
      </c>
    </row>
    <row r="3288" spans="19:27" x14ac:dyDescent="0.2">
      <c r="S3288" s="61"/>
      <c r="T3288" s="82"/>
      <c r="W3288" s="103" t="str">
        <f t="shared" si="60"/>
        <v>1w</v>
      </c>
      <c r="X3288" s="101">
        <f>_xll.qlCalendarAdvance(Calendar,X3287,W3288,"f",FALSE)</f>
        <v>62380</v>
      </c>
      <c r="Y3288" s="104">
        <f>_xll.qlCalendarAdvance(Calendar,X3288,NDays&amp;"D")</f>
        <v>62382</v>
      </c>
      <c r="Z3288" s="105" t="e">
        <v>#N/A</v>
      </c>
      <c r="AA3288" s="102" t="e">
        <v>#N/A</v>
      </c>
    </row>
    <row r="3289" spans="19:27" x14ac:dyDescent="0.2">
      <c r="S3289" s="61"/>
      <c r="T3289" s="82"/>
      <c r="W3289" s="103" t="str">
        <f t="shared" si="60"/>
        <v>1w</v>
      </c>
      <c r="X3289" s="101">
        <f>_xll.qlCalendarAdvance(Calendar,X3288,W3289,"f",FALSE)</f>
        <v>62387</v>
      </c>
      <c r="Y3289" s="104">
        <f>_xll.qlCalendarAdvance(Calendar,X3289,NDays&amp;"D")</f>
        <v>62389</v>
      </c>
      <c r="Z3289" s="105" t="e">
        <v>#N/A</v>
      </c>
      <c r="AA3289" s="102" t="e">
        <v>#N/A</v>
      </c>
    </row>
    <row r="3290" spans="19:27" x14ac:dyDescent="0.2">
      <c r="S3290" s="61"/>
      <c r="T3290" s="82"/>
      <c r="W3290" s="103" t="str">
        <f t="shared" si="60"/>
        <v>1w</v>
      </c>
      <c r="X3290" s="101">
        <f>_xll.qlCalendarAdvance(Calendar,X3289,W3290,"f",FALSE)</f>
        <v>62394</v>
      </c>
      <c r="Y3290" s="104">
        <f>_xll.qlCalendarAdvance(Calendar,X3290,NDays&amp;"D")</f>
        <v>62396</v>
      </c>
      <c r="Z3290" s="105" t="e">
        <v>#N/A</v>
      </c>
      <c r="AA3290" s="102" t="e">
        <v>#N/A</v>
      </c>
    </row>
    <row r="3291" spans="19:27" x14ac:dyDescent="0.2">
      <c r="S3291" s="61"/>
      <c r="T3291" s="82"/>
      <c r="W3291" s="103" t="str">
        <f t="shared" si="60"/>
        <v>1w</v>
      </c>
      <c r="X3291" s="101">
        <f>_xll.qlCalendarAdvance(Calendar,X3290,W3291,"f",FALSE)</f>
        <v>62401</v>
      </c>
      <c r="Y3291" s="104">
        <f>_xll.qlCalendarAdvance(Calendar,X3291,NDays&amp;"D")</f>
        <v>62403</v>
      </c>
      <c r="Z3291" s="105" t="e">
        <v>#N/A</v>
      </c>
      <c r="AA3291" s="102" t="e">
        <v>#N/A</v>
      </c>
    </row>
    <row r="3292" spans="19:27" x14ac:dyDescent="0.2">
      <c r="S3292" s="61"/>
      <c r="T3292" s="82"/>
      <c r="W3292" s="103" t="str">
        <f t="shared" si="60"/>
        <v>1w</v>
      </c>
      <c r="X3292" s="101">
        <f>_xll.qlCalendarAdvance(Calendar,X3291,W3292,"f",FALSE)</f>
        <v>62408</v>
      </c>
      <c r="Y3292" s="104">
        <f>_xll.qlCalendarAdvance(Calendar,X3292,NDays&amp;"D")</f>
        <v>62410</v>
      </c>
      <c r="Z3292" s="105" t="e">
        <v>#N/A</v>
      </c>
      <c r="AA3292" s="102" t="e">
        <v>#N/A</v>
      </c>
    </row>
    <row r="3293" spans="19:27" x14ac:dyDescent="0.2">
      <c r="S3293" s="61"/>
      <c r="T3293" s="82"/>
      <c r="W3293" s="103" t="str">
        <f t="shared" si="60"/>
        <v>1w</v>
      </c>
      <c r="X3293" s="101">
        <f>_xll.qlCalendarAdvance(Calendar,X3292,W3293,"f",FALSE)</f>
        <v>62415</v>
      </c>
      <c r="Y3293" s="104">
        <f>_xll.qlCalendarAdvance(Calendar,X3293,NDays&amp;"D")</f>
        <v>62417</v>
      </c>
      <c r="Z3293" s="105" t="e">
        <v>#N/A</v>
      </c>
      <c r="AA3293" s="102" t="e">
        <v>#N/A</v>
      </c>
    </row>
    <row r="3294" spans="19:27" x14ac:dyDescent="0.2">
      <c r="S3294" s="61"/>
      <c r="T3294" s="82"/>
      <c r="W3294" s="103" t="str">
        <f t="shared" si="60"/>
        <v>1w</v>
      </c>
      <c r="X3294" s="101">
        <f>_xll.qlCalendarAdvance(Calendar,X3293,W3294,"f",FALSE)</f>
        <v>62422</v>
      </c>
      <c r="Y3294" s="104">
        <f>_xll.qlCalendarAdvance(Calendar,X3294,NDays&amp;"D")</f>
        <v>62424</v>
      </c>
      <c r="Z3294" s="105" t="e">
        <v>#N/A</v>
      </c>
      <c r="AA3294" s="102" t="e">
        <v>#N/A</v>
      </c>
    </row>
    <row r="3295" spans="19:27" x14ac:dyDescent="0.2">
      <c r="S3295" s="61"/>
      <c r="T3295" s="82"/>
      <c r="W3295" s="103" t="str">
        <f t="shared" si="60"/>
        <v>1w</v>
      </c>
      <c r="X3295" s="101">
        <f>_xll.qlCalendarAdvance(Calendar,X3294,W3295,"f",FALSE)</f>
        <v>62429</v>
      </c>
      <c r="Y3295" s="104">
        <f>_xll.qlCalendarAdvance(Calendar,X3295,NDays&amp;"D")</f>
        <v>62431</v>
      </c>
      <c r="Z3295" s="105" t="e">
        <v>#N/A</v>
      </c>
      <c r="AA3295" s="102" t="e">
        <v>#N/A</v>
      </c>
    </row>
    <row r="3296" spans="19:27" x14ac:dyDescent="0.2">
      <c r="S3296" s="61"/>
      <c r="T3296" s="82"/>
      <c r="W3296" s="103" t="str">
        <f t="shared" si="60"/>
        <v>1w</v>
      </c>
      <c r="X3296" s="101">
        <f>_xll.qlCalendarAdvance(Calendar,X3295,W3296,"f",FALSE)</f>
        <v>62436</v>
      </c>
      <c r="Y3296" s="104">
        <f>_xll.qlCalendarAdvance(Calendar,X3296,NDays&amp;"D")</f>
        <v>62438</v>
      </c>
      <c r="Z3296" s="105" t="e">
        <v>#N/A</v>
      </c>
      <c r="AA3296" s="102" t="e">
        <v>#N/A</v>
      </c>
    </row>
    <row r="3297" spans="19:27" x14ac:dyDescent="0.2">
      <c r="S3297" s="61"/>
      <c r="T3297" s="82"/>
      <c r="W3297" s="103" t="str">
        <f t="shared" si="60"/>
        <v>1w</v>
      </c>
      <c r="X3297" s="101">
        <f>_xll.qlCalendarAdvance(Calendar,X3296,W3297,"f",FALSE)</f>
        <v>62443</v>
      </c>
      <c r="Y3297" s="104">
        <f>_xll.qlCalendarAdvance(Calendar,X3297,NDays&amp;"D")</f>
        <v>62445</v>
      </c>
      <c r="Z3297" s="105" t="e">
        <v>#N/A</v>
      </c>
      <c r="AA3297" s="102" t="e">
        <v>#N/A</v>
      </c>
    </row>
    <row r="3298" spans="19:27" x14ac:dyDescent="0.2">
      <c r="S3298" s="61"/>
      <c r="T3298" s="82"/>
      <c r="W3298" s="103" t="str">
        <f t="shared" si="60"/>
        <v>1w</v>
      </c>
      <c r="X3298" s="101">
        <f>_xll.qlCalendarAdvance(Calendar,X3297,W3298,"f",FALSE)</f>
        <v>62450</v>
      </c>
      <c r="Y3298" s="104">
        <f>_xll.qlCalendarAdvance(Calendar,X3298,NDays&amp;"D")</f>
        <v>62457</v>
      </c>
      <c r="Z3298" s="105" t="e">
        <v>#N/A</v>
      </c>
      <c r="AA3298" s="102" t="e">
        <v>#N/A</v>
      </c>
    </row>
    <row r="3299" spans="19:27" x14ac:dyDescent="0.2">
      <c r="S3299" s="61"/>
      <c r="T3299" s="82"/>
      <c r="W3299" s="103" t="str">
        <f t="shared" si="60"/>
        <v>1w</v>
      </c>
      <c r="X3299" s="101">
        <f>_xll.qlCalendarAdvance(Calendar,X3298,W3299,"f",FALSE)</f>
        <v>62457</v>
      </c>
      <c r="Y3299" s="104">
        <f>_xll.qlCalendarAdvance(Calendar,X3299,NDays&amp;"D")</f>
        <v>62463</v>
      </c>
      <c r="Z3299" s="105" t="e">
        <v>#N/A</v>
      </c>
      <c r="AA3299" s="102" t="e">
        <v>#N/A</v>
      </c>
    </row>
    <row r="3300" spans="19:27" x14ac:dyDescent="0.2">
      <c r="S3300" s="61"/>
      <c r="T3300" s="82"/>
      <c r="W3300" s="103" t="str">
        <f t="shared" si="60"/>
        <v>1w</v>
      </c>
      <c r="X3300" s="101">
        <f>_xll.qlCalendarAdvance(Calendar,X3299,W3300,"f",FALSE)</f>
        <v>62465</v>
      </c>
      <c r="Y3300" s="104">
        <f>_xll.qlCalendarAdvance(Calendar,X3300,NDays&amp;"D")</f>
        <v>62467</v>
      </c>
      <c r="Z3300" s="105" t="e">
        <v>#N/A</v>
      </c>
      <c r="AA3300" s="102" t="e">
        <v>#N/A</v>
      </c>
    </row>
    <row r="3301" spans="19:27" x14ac:dyDescent="0.2">
      <c r="S3301" s="61"/>
      <c r="T3301" s="82"/>
      <c r="W3301" s="103" t="str">
        <f t="shared" si="60"/>
        <v>1w</v>
      </c>
      <c r="X3301" s="101">
        <f>_xll.qlCalendarAdvance(Calendar,X3300,W3301,"f",FALSE)</f>
        <v>62472</v>
      </c>
      <c r="Y3301" s="104">
        <f>_xll.qlCalendarAdvance(Calendar,X3301,NDays&amp;"D")</f>
        <v>62474</v>
      </c>
      <c r="Z3301" s="105" t="e">
        <v>#N/A</v>
      </c>
      <c r="AA3301" s="102" t="e">
        <v>#N/A</v>
      </c>
    </row>
    <row r="3302" spans="19:27" x14ac:dyDescent="0.2">
      <c r="S3302" s="61"/>
      <c r="T3302" s="82"/>
      <c r="W3302" s="103" t="str">
        <f t="shared" si="60"/>
        <v>1w</v>
      </c>
      <c r="X3302" s="101">
        <f>_xll.qlCalendarAdvance(Calendar,X3301,W3302,"f",FALSE)</f>
        <v>62479</v>
      </c>
      <c r="Y3302" s="104">
        <f>_xll.qlCalendarAdvance(Calendar,X3302,NDays&amp;"D")</f>
        <v>62481</v>
      </c>
      <c r="Z3302" s="105" t="e">
        <v>#N/A</v>
      </c>
      <c r="AA3302" s="102" t="e">
        <v>#N/A</v>
      </c>
    </row>
    <row r="3303" spans="19:27" x14ac:dyDescent="0.2">
      <c r="S3303" s="61"/>
      <c r="T3303" s="82"/>
      <c r="W3303" s="103" t="str">
        <f t="shared" si="60"/>
        <v>1w</v>
      </c>
      <c r="X3303" s="101">
        <f>_xll.qlCalendarAdvance(Calendar,X3302,W3303,"f",FALSE)</f>
        <v>62486</v>
      </c>
      <c r="Y3303" s="104">
        <f>_xll.qlCalendarAdvance(Calendar,X3303,NDays&amp;"D")</f>
        <v>62488</v>
      </c>
      <c r="Z3303" s="105" t="e">
        <v>#N/A</v>
      </c>
      <c r="AA3303" s="102" t="e">
        <v>#N/A</v>
      </c>
    </row>
    <row r="3304" spans="19:27" x14ac:dyDescent="0.2">
      <c r="S3304" s="61"/>
      <c r="T3304" s="82"/>
      <c r="W3304" s="103" t="str">
        <f t="shared" si="60"/>
        <v>1w</v>
      </c>
      <c r="X3304" s="101">
        <f>_xll.qlCalendarAdvance(Calendar,X3303,W3304,"f",FALSE)</f>
        <v>62493</v>
      </c>
      <c r="Y3304" s="104">
        <f>_xll.qlCalendarAdvance(Calendar,X3304,NDays&amp;"D")</f>
        <v>62495</v>
      </c>
      <c r="Z3304" s="105" t="e">
        <v>#N/A</v>
      </c>
      <c r="AA3304" s="102" t="e">
        <v>#N/A</v>
      </c>
    </row>
    <row r="3305" spans="19:27" x14ac:dyDescent="0.2">
      <c r="S3305" s="61"/>
      <c r="T3305" s="82"/>
      <c r="W3305" s="103" t="str">
        <f t="shared" si="60"/>
        <v>1w</v>
      </c>
      <c r="X3305" s="101">
        <f>_xll.qlCalendarAdvance(Calendar,X3304,W3305,"f",FALSE)</f>
        <v>62500</v>
      </c>
      <c r="Y3305" s="104">
        <f>_xll.qlCalendarAdvance(Calendar,X3305,NDays&amp;"D")</f>
        <v>62502</v>
      </c>
      <c r="Z3305" s="105" t="e">
        <v>#N/A</v>
      </c>
      <c r="AA3305" s="102" t="e">
        <v>#N/A</v>
      </c>
    </row>
    <row r="3306" spans="19:27" x14ac:dyDescent="0.2">
      <c r="S3306" s="61"/>
      <c r="T3306" s="82"/>
      <c r="W3306" s="103" t="str">
        <f t="shared" si="60"/>
        <v>1w</v>
      </c>
      <c r="X3306" s="101">
        <f>_xll.qlCalendarAdvance(Calendar,X3305,W3306,"f",FALSE)</f>
        <v>62507</v>
      </c>
      <c r="Y3306" s="104">
        <f>_xll.qlCalendarAdvance(Calendar,X3306,NDays&amp;"D")</f>
        <v>62509</v>
      </c>
      <c r="Z3306" s="105" t="e">
        <v>#N/A</v>
      </c>
      <c r="AA3306" s="102" t="e">
        <v>#N/A</v>
      </c>
    </row>
    <row r="3307" spans="19:27" x14ac:dyDescent="0.2">
      <c r="S3307" s="61"/>
      <c r="T3307" s="82"/>
      <c r="W3307" s="103" t="str">
        <f t="shared" si="60"/>
        <v>1w</v>
      </c>
      <c r="X3307" s="101">
        <f>_xll.qlCalendarAdvance(Calendar,X3306,W3307,"f",FALSE)</f>
        <v>62514</v>
      </c>
      <c r="Y3307" s="104">
        <f>_xll.qlCalendarAdvance(Calendar,X3307,NDays&amp;"D")</f>
        <v>62516</v>
      </c>
      <c r="Z3307" s="105" t="e">
        <v>#N/A</v>
      </c>
      <c r="AA3307" s="102" t="e">
        <v>#N/A</v>
      </c>
    </row>
    <row r="3308" spans="19:27" x14ac:dyDescent="0.2">
      <c r="S3308" s="61"/>
      <c r="T3308" s="82"/>
      <c r="W3308" s="103" t="str">
        <f t="shared" si="60"/>
        <v>1w</v>
      </c>
      <c r="X3308" s="101">
        <f>_xll.qlCalendarAdvance(Calendar,X3307,W3308,"f",FALSE)</f>
        <v>62521</v>
      </c>
      <c r="Y3308" s="104">
        <f>_xll.qlCalendarAdvance(Calendar,X3308,NDays&amp;"D")</f>
        <v>62523</v>
      </c>
      <c r="Z3308" s="105" t="e">
        <v>#N/A</v>
      </c>
      <c r="AA3308" s="102" t="e">
        <v>#N/A</v>
      </c>
    </row>
    <row r="3309" spans="19:27" x14ac:dyDescent="0.2">
      <c r="S3309" s="61"/>
      <c r="T3309" s="82"/>
      <c r="W3309" s="103" t="str">
        <f t="shared" si="60"/>
        <v>1w</v>
      </c>
      <c r="X3309" s="101">
        <f>_xll.qlCalendarAdvance(Calendar,X3308,W3309,"f",FALSE)</f>
        <v>62528</v>
      </c>
      <c r="Y3309" s="104">
        <f>_xll.qlCalendarAdvance(Calendar,X3309,NDays&amp;"D")</f>
        <v>62530</v>
      </c>
      <c r="Z3309" s="105" t="e">
        <v>#N/A</v>
      </c>
      <c r="AA3309" s="102" t="e">
        <v>#N/A</v>
      </c>
    </row>
    <row r="3310" spans="19:27" x14ac:dyDescent="0.2">
      <c r="S3310" s="61"/>
      <c r="T3310" s="82"/>
      <c r="W3310" s="103" t="str">
        <f t="shared" si="60"/>
        <v>1w</v>
      </c>
      <c r="X3310" s="101">
        <f>_xll.qlCalendarAdvance(Calendar,X3309,W3310,"f",FALSE)</f>
        <v>62535</v>
      </c>
      <c r="Y3310" s="104">
        <f>_xll.qlCalendarAdvance(Calendar,X3310,NDays&amp;"D")</f>
        <v>62537</v>
      </c>
      <c r="Z3310" s="105" t="e">
        <v>#N/A</v>
      </c>
      <c r="AA3310" s="102" t="e">
        <v>#N/A</v>
      </c>
    </row>
    <row r="3311" spans="19:27" x14ac:dyDescent="0.2">
      <c r="S3311" s="61"/>
      <c r="T3311" s="82"/>
      <c r="W3311" s="103" t="str">
        <f t="shared" si="60"/>
        <v>1w</v>
      </c>
      <c r="X3311" s="101">
        <f>_xll.qlCalendarAdvance(Calendar,X3310,W3311,"f",FALSE)</f>
        <v>62542</v>
      </c>
      <c r="Y3311" s="104">
        <f>_xll.qlCalendarAdvance(Calendar,X3311,NDays&amp;"D")</f>
        <v>62544</v>
      </c>
      <c r="Z3311" s="105" t="e">
        <v>#N/A</v>
      </c>
      <c r="AA3311" s="102" t="e">
        <v>#N/A</v>
      </c>
    </row>
    <row r="3312" spans="19:27" x14ac:dyDescent="0.2">
      <c r="S3312" s="61"/>
      <c r="T3312" s="82"/>
      <c r="W3312" s="103" t="str">
        <f t="shared" si="60"/>
        <v>1w</v>
      </c>
      <c r="X3312" s="101">
        <f>_xll.qlCalendarAdvance(Calendar,X3311,W3312,"f",FALSE)</f>
        <v>62549</v>
      </c>
      <c r="Y3312" s="104">
        <f>_xll.qlCalendarAdvance(Calendar,X3312,NDays&amp;"D")</f>
        <v>62551</v>
      </c>
      <c r="Z3312" s="105" t="e">
        <v>#N/A</v>
      </c>
      <c r="AA3312" s="102" t="e">
        <v>#N/A</v>
      </c>
    </row>
    <row r="3313" spans="19:27" x14ac:dyDescent="0.2">
      <c r="S3313" s="61"/>
      <c r="T3313" s="82"/>
      <c r="W3313" s="103" t="str">
        <f t="shared" si="60"/>
        <v>1w</v>
      </c>
      <c r="X3313" s="101">
        <f>_xll.qlCalendarAdvance(Calendar,X3312,W3313,"f",FALSE)</f>
        <v>62556</v>
      </c>
      <c r="Y3313" s="104">
        <f>_xll.qlCalendarAdvance(Calendar,X3313,NDays&amp;"D")</f>
        <v>62558</v>
      </c>
      <c r="Z3313" s="105" t="e">
        <v>#N/A</v>
      </c>
      <c r="AA3313" s="102" t="e">
        <v>#N/A</v>
      </c>
    </row>
    <row r="3314" spans="19:27" x14ac:dyDescent="0.2">
      <c r="S3314" s="61"/>
      <c r="T3314" s="82"/>
      <c r="W3314" s="103" t="str">
        <f t="shared" si="60"/>
        <v>1w</v>
      </c>
      <c r="X3314" s="101">
        <f>_xll.qlCalendarAdvance(Calendar,X3313,W3314,"f",FALSE)</f>
        <v>62563</v>
      </c>
      <c r="Y3314" s="104">
        <f>_xll.qlCalendarAdvance(Calendar,X3314,NDays&amp;"D")</f>
        <v>62569</v>
      </c>
      <c r="Z3314" s="105" t="e">
        <v>#N/A</v>
      </c>
      <c r="AA3314" s="102" t="e">
        <v>#N/A</v>
      </c>
    </row>
    <row r="3315" spans="19:27" x14ac:dyDescent="0.2">
      <c r="S3315" s="61"/>
      <c r="T3315" s="82"/>
      <c r="W3315" s="103" t="str">
        <f t="shared" si="60"/>
        <v>1w</v>
      </c>
      <c r="X3315" s="101">
        <f>_xll.qlCalendarAdvance(Calendar,X3314,W3315,"f",FALSE)</f>
        <v>62570</v>
      </c>
      <c r="Y3315" s="104">
        <f>_xll.qlCalendarAdvance(Calendar,X3315,NDays&amp;"D")</f>
        <v>62572</v>
      </c>
      <c r="Z3315" s="105" t="e">
        <v>#N/A</v>
      </c>
      <c r="AA3315" s="102" t="e">
        <v>#N/A</v>
      </c>
    </row>
    <row r="3316" spans="19:27" x14ac:dyDescent="0.2">
      <c r="S3316" s="61"/>
      <c r="T3316" s="82"/>
      <c r="W3316" s="103" t="str">
        <f t="shared" si="60"/>
        <v>1w</v>
      </c>
      <c r="X3316" s="101">
        <f>_xll.qlCalendarAdvance(Calendar,X3315,W3316,"f",FALSE)</f>
        <v>62577</v>
      </c>
      <c r="Y3316" s="104">
        <f>_xll.qlCalendarAdvance(Calendar,X3316,NDays&amp;"D")</f>
        <v>62582</v>
      </c>
      <c r="Z3316" s="105" t="e">
        <v>#N/A</v>
      </c>
      <c r="AA3316" s="102" t="e">
        <v>#N/A</v>
      </c>
    </row>
    <row r="3317" spans="19:27" x14ac:dyDescent="0.2">
      <c r="S3317" s="61"/>
      <c r="T3317" s="82"/>
      <c r="W3317" s="103" t="str">
        <f t="shared" si="60"/>
        <v>1w</v>
      </c>
      <c r="X3317" s="101">
        <f>_xll.qlCalendarAdvance(Calendar,X3316,W3317,"f",FALSE)</f>
        <v>62584</v>
      </c>
      <c r="Y3317" s="104">
        <f>_xll.qlCalendarAdvance(Calendar,X3317,NDays&amp;"D")</f>
        <v>62586</v>
      </c>
      <c r="Z3317" s="105" t="e">
        <v>#N/A</v>
      </c>
      <c r="AA3317" s="102" t="e">
        <v>#N/A</v>
      </c>
    </row>
    <row r="3318" spans="19:27" x14ac:dyDescent="0.2">
      <c r="S3318" s="61"/>
      <c r="T3318" s="82"/>
      <c r="W3318" s="103" t="str">
        <f t="shared" si="60"/>
        <v>1w</v>
      </c>
      <c r="X3318" s="101">
        <f>_xll.qlCalendarAdvance(Calendar,X3317,W3318,"f",FALSE)</f>
        <v>62591</v>
      </c>
      <c r="Y3318" s="104">
        <f>_xll.qlCalendarAdvance(Calendar,X3318,NDays&amp;"D")</f>
        <v>62593</v>
      </c>
      <c r="Z3318" s="105" t="e">
        <v>#N/A</v>
      </c>
      <c r="AA3318" s="102" t="e">
        <v>#N/A</v>
      </c>
    </row>
    <row r="3319" spans="19:27" x14ac:dyDescent="0.2">
      <c r="S3319" s="61"/>
      <c r="T3319" s="82"/>
      <c r="W3319" s="103" t="str">
        <f t="shared" si="60"/>
        <v>1w</v>
      </c>
      <c r="X3319" s="101">
        <f>_xll.qlCalendarAdvance(Calendar,X3318,W3319,"f",FALSE)</f>
        <v>62598</v>
      </c>
      <c r="Y3319" s="104">
        <f>_xll.qlCalendarAdvance(Calendar,X3319,NDays&amp;"D")</f>
        <v>62600</v>
      </c>
      <c r="Z3319" s="105" t="e">
        <v>#N/A</v>
      </c>
      <c r="AA3319" s="102" t="e">
        <v>#N/A</v>
      </c>
    </row>
    <row r="3320" spans="19:27" x14ac:dyDescent="0.2">
      <c r="S3320" s="61"/>
      <c r="T3320" s="82"/>
      <c r="W3320" s="103" t="str">
        <f t="shared" si="60"/>
        <v>1w</v>
      </c>
      <c r="X3320" s="101">
        <f>_xll.qlCalendarAdvance(Calendar,X3319,W3320,"f",FALSE)</f>
        <v>62605</v>
      </c>
      <c r="Y3320" s="104">
        <f>_xll.qlCalendarAdvance(Calendar,X3320,NDays&amp;"D")</f>
        <v>62610</v>
      </c>
      <c r="Z3320" s="105" t="e">
        <v>#N/A</v>
      </c>
      <c r="AA3320" s="102" t="e">
        <v>#N/A</v>
      </c>
    </row>
    <row r="3321" spans="19:27" x14ac:dyDescent="0.2">
      <c r="S3321" s="61"/>
      <c r="T3321" s="82"/>
      <c r="W3321" s="103" t="str">
        <f t="shared" si="60"/>
        <v>1w</v>
      </c>
      <c r="X3321" s="101">
        <f>_xll.qlCalendarAdvance(Calendar,X3320,W3321,"f",FALSE)</f>
        <v>62612</v>
      </c>
      <c r="Y3321" s="104">
        <f>_xll.qlCalendarAdvance(Calendar,X3321,NDays&amp;"D")</f>
        <v>62614</v>
      </c>
      <c r="Z3321" s="105" t="e">
        <v>#N/A</v>
      </c>
      <c r="AA3321" s="102" t="e">
        <v>#N/A</v>
      </c>
    </row>
    <row r="3322" spans="19:27" x14ac:dyDescent="0.2">
      <c r="S3322" s="61"/>
      <c r="T3322" s="82"/>
      <c r="W3322" s="103" t="str">
        <f t="shared" si="60"/>
        <v>1w</v>
      </c>
      <c r="X3322" s="101">
        <f>_xll.qlCalendarAdvance(Calendar,X3321,W3322,"f",FALSE)</f>
        <v>62619</v>
      </c>
      <c r="Y3322" s="104">
        <f>_xll.qlCalendarAdvance(Calendar,X3322,NDays&amp;"D")</f>
        <v>62621</v>
      </c>
      <c r="Z3322" s="105" t="e">
        <v>#N/A</v>
      </c>
      <c r="AA3322" s="102" t="e">
        <v>#N/A</v>
      </c>
    </row>
    <row r="3323" spans="19:27" x14ac:dyDescent="0.2">
      <c r="S3323" s="61"/>
      <c r="T3323" s="82"/>
      <c r="W3323" s="103" t="str">
        <f t="shared" si="60"/>
        <v>1w</v>
      </c>
      <c r="X3323" s="101">
        <f>_xll.qlCalendarAdvance(Calendar,X3322,W3323,"f",FALSE)</f>
        <v>62626</v>
      </c>
      <c r="Y3323" s="104">
        <f>_xll.qlCalendarAdvance(Calendar,X3323,NDays&amp;"D")</f>
        <v>62631</v>
      </c>
      <c r="Z3323" s="105" t="e">
        <v>#N/A</v>
      </c>
      <c r="AA3323" s="102" t="e">
        <v>#N/A</v>
      </c>
    </row>
    <row r="3324" spans="19:27" x14ac:dyDescent="0.2">
      <c r="S3324" s="61"/>
      <c r="T3324" s="82"/>
      <c r="W3324" s="103" t="str">
        <f t="shared" si="60"/>
        <v>1w</v>
      </c>
      <c r="X3324" s="101">
        <f>_xll.qlCalendarAdvance(Calendar,X3323,W3324,"f",FALSE)</f>
        <v>62633</v>
      </c>
      <c r="Y3324" s="104">
        <f>_xll.qlCalendarAdvance(Calendar,X3324,NDays&amp;"D")</f>
        <v>62635</v>
      </c>
      <c r="Z3324" s="105" t="e">
        <v>#N/A</v>
      </c>
      <c r="AA3324" s="102" t="e">
        <v>#N/A</v>
      </c>
    </row>
    <row r="3325" spans="19:27" x14ac:dyDescent="0.2">
      <c r="S3325" s="61"/>
      <c r="T3325" s="82"/>
      <c r="W3325" s="103" t="str">
        <f t="shared" si="60"/>
        <v>1w</v>
      </c>
      <c r="X3325" s="101">
        <f>_xll.qlCalendarAdvance(Calendar,X3324,W3325,"f",FALSE)</f>
        <v>62640</v>
      </c>
      <c r="Y3325" s="104">
        <f>_xll.qlCalendarAdvance(Calendar,X3325,NDays&amp;"D")</f>
        <v>62642</v>
      </c>
      <c r="Z3325" s="105" t="e">
        <v>#N/A</v>
      </c>
      <c r="AA3325" s="102" t="e">
        <v>#N/A</v>
      </c>
    </row>
    <row r="3326" spans="19:27" x14ac:dyDescent="0.2">
      <c r="S3326" s="61"/>
      <c r="T3326" s="82"/>
      <c r="W3326" s="103" t="str">
        <f t="shared" si="60"/>
        <v>1w</v>
      </c>
      <c r="X3326" s="101">
        <f>_xll.qlCalendarAdvance(Calendar,X3325,W3326,"f",FALSE)</f>
        <v>62647</v>
      </c>
      <c r="Y3326" s="104">
        <f>_xll.qlCalendarAdvance(Calendar,X3326,NDays&amp;"D")</f>
        <v>62649</v>
      </c>
      <c r="Z3326" s="105" t="e">
        <v>#N/A</v>
      </c>
      <c r="AA3326" s="102" t="e">
        <v>#N/A</v>
      </c>
    </row>
    <row r="3327" spans="19:27" x14ac:dyDescent="0.2">
      <c r="S3327" s="61"/>
      <c r="T3327" s="82"/>
      <c r="W3327" s="103" t="str">
        <f t="shared" si="60"/>
        <v>1w</v>
      </c>
      <c r="X3327" s="101">
        <f>_xll.qlCalendarAdvance(Calendar,X3326,W3327,"f",FALSE)</f>
        <v>62654</v>
      </c>
      <c r="Y3327" s="104">
        <f>_xll.qlCalendarAdvance(Calendar,X3327,NDays&amp;"D")</f>
        <v>62656</v>
      </c>
      <c r="Z3327" s="105" t="e">
        <v>#N/A</v>
      </c>
      <c r="AA3327" s="102" t="e">
        <v>#N/A</v>
      </c>
    </row>
    <row r="3328" spans="19:27" x14ac:dyDescent="0.2">
      <c r="S3328" s="61"/>
      <c r="T3328" s="82"/>
      <c r="W3328" s="103" t="str">
        <f t="shared" si="60"/>
        <v>1w</v>
      </c>
      <c r="X3328" s="101">
        <f>_xll.qlCalendarAdvance(Calendar,X3327,W3328,"f",FALSE)</f>
        <v>62661</v>
      </c>
      <c r="Y3328" s="104">
        <f>_xll.qlCalendarAdvance(Calendar,X3328,NDays&amp;"D")</f>
        <v>62663</v>
      </c>
      <c r="Z3328" s="105" t="e">
        <v>#N/A</v>
      </c>
      <c r="AA3328" s="102" t="e">
        <v>#N/A</v>
      </c>
    </row>
    <row r="3329" spans="19:27" x14ac:dyDescent="0.2">
      <c r="S3329" s="61"/>
      <c r="T3329" s="82"/>
      <c r="W3329" s="103" t="str">
        <f t="shared" si="60"/>
        <v>1w</v>
      </c>
      <c r="X3329" s="101">
        <f>_xll.qlCalendarAdvance(Calendar,X3328,W3329,"f",FALSE)</f>
        <v>62668</v>
      </c>
      <c r="Y3329" s="104">
        <f>_xll.qlCalendarAdvance(Calendar,X3329,NDays&amp;"D")</f>
        <v>62670</v>
      </c>
      <c r="Z3329" s="105" t="e">
        <v>#N/A</v>
      </c>
      <c r="AA3329" s="102" t="e">
        <v>#N/A</v>
      </c>
    </row>
    <row r="3330" spans="19:27" x14ac:dyDescent="0.2">
      <c r="S3330" s="61"/>
      <c r="T3330" s="82"/>
      <c r="W3330" s="103" t="str">
        <f t="shared" si="60"/>
        <v>1w</v>
      </c>
      <c r="X3330" s="101">
        <f>_xll.qlCalendarAdvance(Calendar,X3329,W3330,"f",FALSE)</f>
        <v>62675</v>
      </c>
      <c r="Y3330" s="104">
        <f>_xll.qlCalendarAdvance(Calendar,X3330,NDays&amp;"D")</f>
        <v>62677</v>
      </c>
      <c r="Z3330" s="105" t="e">
        <v>#N/A</v>
      </c>
      <c r="AA3330" s="102" t="e">
        <v>#N/A</v>
      </c>
    </row>
    <row r="3331" spans="19:27" x14ac:dyDescent="0.2">
      <c r="S3331" s="61"/>
      <c r="T3331" s="82"/>
      <c r="W3331" s="103" t="str">
        <f t="shared" si="60"/>
        <v>1w</v>
      </c>
      <c r="X3331" s="101">
        <f>_xll.qlCalendarAdvance(Calendar,X3330,W3331,"f",FALSE)</f>
        <v>62682</v>
      </c>
      <c r="Y3331" s="104">
        <f>_xll.qlCalendarAdvance(Calendar,X3331,NDays&amp;"D")</f>
        <v>62684</v>
      </c>
      <c r="Z3331" s="105" t="e">
        <v>#N/A</v>
      </c>
      <c r="AA3331" s="102" t="e">
        <v>#N/A</v>
      </c>
    </row>
    <row r="3332" spans="19:27" x14ac:dyDescent="0.2">
      <c r="S3332" s="61"/>
      <c r="T3332" s="82"/>
      <c r="W3332" s="103" t="str">
        <f t="shared" si="60"/>
        <v>1w</v>
      </c>
      <c r="X3332" s="101">
        <f>_xll.qlCalendarAdvance(Calendar,X3331,W3332,"f",FALSE)</f>
        <v>62689</v>
      </c>
      <c r="Y3332" s="104">
        <f>_xll.qlCalendarAdvance(Calendar,X3332,NDays&amp;"D")</f>
        <v>62691</v>
      </c>
      <c r="Z3332" s="105" t="e">
        <v>#N/A</v>
      </c>
      <c r="AA3332" s="102" t="e">
        <v>#N/A</v>
      </c>
    </row>
    <row r="3333" spans="19:27" x14ac:dyDescent="0.2">
      <c r="S3333" s="61"/>
      <c r="T3333" s="82"/>
      <c r="W3333" s="103" t="str">
        <f t="shared" si="60"/>
        <v>1w</v>
      </c>
      <c r="X3333" s="101">
        <f>_xll.qlCalendarAdvance(Calendar,X3332,W3333,"f",FALSE)</f>
        <v>62696</v>
      </c>
      <c r="Y3333" s="104">
        <f>_xll.qlCalendarAdvance(Calendar,X3333,NDays&amp;"D")</f>
        <v>62698</v>
      </c>
      <c r="Z3333" s="105" t="e">
        <v>#N/A</v>
      </c>
      <c r="AA3333" s="102" t="e">
        <v>#N/A</v>
      </c>
    </row>
    <row r="3334" spans="19:27" x14ac:dyDescent="0.2">
      <c r="S3334" s="61"/>
      <c r="T3334" s="82"/>
      <c r="W3334" s="103" t="str">
        <f t="shared" si="60"/>
        <v>1w</v>
      </c>
      <c r="X3334" s="101">
        <f>_xll.qlCalendarAdvance(Calendar,X3333,W3334,"f",FALSE)</f>
        <v>62703</v>
      </c>
      <c r="Y3334" s="104">
        <f>_xll.qlCalendarAdvance(Calendar,X3334,NDays&amp;"D")</f>
        <v>62705</v>
      </c>
      <c r="Z3334" s="105" t="e">
        <v>#N/A</v>
      </c>
      <c r="AA3334" s="102" t="e">
        <v>#N/A</v>
      </c>
    </row>
    <row r="3335" spans="19:27" x14ac:dyDescent="0.2">
      <c r="S3335" s="61"/>
      <c r="T3335" s="82"/>
      <c r="W3335" s="103" t="str">
        <f t="shared" si="60"/>
        <v>1w</v>
      </c>
      <c r="X3335" s="101">
        <f>_xll.qlCalendarAdvance(Calendar,X3334,W3335,"f",FALSE)</f>
        <v>62710</v>
      </c>
      <c r="Y3335" s="104">
        <f>_xll.qlCalendarAdvance(Calendar,X3335,NDays&amp;"D")</f>
        <v>62712</v>
      </c>
      <c r="Z3335" s="105" t="e">
        <v>#N/A</v>
      </c>
      <c r="AA3335" s="102" t="e">
        <v>#N/A</v>
      </c>
    </row>
    <row r="3336" spans="19:27" x14ac:dyDescent="0.2">
      <c r="S3336" s="61"/>
      <c r="T3336" s="82"/>
      <c r="W3336" s="103" t="str">
        <f t="shared" si="60"/>
        <v>1w</v>
      </c>
      <c r="X3336" s="101">
        <f>_xll.qlCalendarAdvance(Calendar,X3335,W3336,"f",FALSE)</f>
        <v>62717</v>
      </c>
      <c r="Y3336" s="104">
        <f>_xll.qlCalendarAdvance(Calendar,X3336,NDays&amp;"D")</f>
        <v>62719</v>
      </c>
      <c r="Z3336" s="105" t="e">
        <v>#N/A</v>
      </c>
      <c r="AA3336" s="102" t="e">
        <v>#N/A</v>
      </c>
    </row>
    <row r="3337" spans="19:27" x14ac:dyDescent="0.2">
      <c r="S3337" s="61"/>
      <c r="T3337" s="82"/>
      <c r="W3337" s="103" t="str">
        <f t="shared" si="60"/>
        <v>1w</v>
      </c>
      <c r="X3337" s="101">
        <f>_xll.qlCalendarAdvance(Calendar,X3336,W3337,"f",FALSE)</f>
        <v>62724</v>
      </c>
      <c r="Y3337" s="104">
        <f>_xll.qlCalendarAdvance(Calendar,X3337,NDays&amp;"D")</f>
        <v>62726</v>
      </c>
      <c r="Z3337" s="105" t="e">
        <v>#N/A</v>
      </c>
      <c r="AA3337" s="102" t="e">
        <v>#N/A</v>
      </c>
    </row>
    <row r="3338" spans="19:27" x14ac:dyDescent="0.2">
      <c r="S3338" s="61"/>
      <c r="T3338" s="82"/>
      <c r="W3338" s="103" t="str">
        <f t="shared" si="60"/>
        <v>1w</v>
      </c>
      <c r="X3338" s="101">
        <f>_xll.qlCalendarAdvance(Calendar,X3337,W3338,"f",FALSE)</f>
        <v>62731</v>
      </c>
      <c r="Y3338" s="104">
        <f>_xll.qlCalendarAdvance(Calendar,X3338,NDays&amp;"D")</f>
        <v>62733</v>
      </c>
      <c r="Z3338" s="105" t="e">
        <v>#N/A</v>
      </c>
      <c r="AA3338" s="102" t="e">
        <v>#N/A</v>
      </c>
    </row>
    <row r="3339" spans="19:27" x14ac:dyDescent="0.2">
      <c r="S3339" s="61"/>
      <c r="T3339" s="82"/>
      <c r="W3339" s="103" t="str">
        <f t="shared" si="60"/>
        <v>1w</v>
      </c>
      <c r="X3339" s="101">
        <f>_xll.qlCalendarAdvance(Calendar,X3338,W3339,"f",FALSE)</f>
        <v>62738</v>
      </c>
      <c r="Y3339" s="104">
        <f>_xll.qlCalendarAdvance(Calendar,X3339,NDays&amp;"D")</f>
        <v>62740</v>
      </c>
      <c r="Z3339" s="105" t="e">
        <v>#N/A</v>
      </c>
      <c r="AA3339" s="102" t="e">
        <v>#N/A</v>
      </c>
    </row>
    <row r="3340" spans="19:27" x14ac:dyDescent="0.2">
      <c r="S3340" s="61"/>
      <c r="T3340" s="82"/>
      <c r="W3340" s="103" t="str">
        <f t="shared" si="60"/>
        <v>1w</v>
      </c>
      <c r="X3340" s="101">
        <f>_xll.qlCalendarAdvance(Calendar,X3339,W3340,"f",FALSE)</f>
        <v>62745</v>
      </c>
      <c r="Y3340" s="104">
        <f>_xll.qlCalendarAdvance(Calendar,X3340,NDays&amp;"D")</f>
        <v>62747</v>
      </c>
      <c r="Z3340" s="105" t="e">
        <v>#N/A</v>
      </c>
      <c r="AA3340" s="102" t="e">
        <v>#N/A</v>
      </c>
    </row>
    <row r="3341" spans="19:27" x14ac:dyDescent="0.2">
      <c r="S3341" s="61"/>
      <c r="T3341" s="82"/>
      <c r="W3341" s="103" t="str">
        <f t="shared" si="60"/>
        <v>1w</v>
      </c>
      <c r="X3341" s="101">
        <f>_xll.qlCalendarAdvance(Calendar,X3340,W3341,"f",FALSE)</f>
        <v>62752</v>
      </c>
      <c r="Y3341" s="104">
        <f>_xll.qlCalendarAdvance(Calendar,X3341,NDays&amp;"D")</f>
        <v>62754</v>
      </c>
      <c r="Z3341" s="105" t="e">
        <v>#N/A</v>
      </c>
      <c r="AA3341" s="102" t="e">
        <v>#N/A</v>
      </c>
    </row>
    <row r="3342" spans="19:27" x14ac:dyDescent="0.2">
      <c r="S3342" s="61"/>
      <c r="T3342" s="82"/>
      <c r="W3342" s="103" t="str">
        <f t="shared" si="60"/>
        <v>1w</v>
      </c>
      <c r="X3342" s="101">
        <f>_xll.qlCalendarAdvance(Calendar,X3341,W3342,"f",FALSE)</f>
        <v>62759</v>
      </c>
      <c r="Y3342" s="104">
        <f>_xll.qlCalendarAdvance(Calendar,X3342,NDays&amp;"D")</f>
        <v>62761</v>
      </c>
      <c r="Z3342" s="105" t="e">
        <v>#N/A</v>
      </c>
      <c r="AA3342" s="102" t="e">
        <v>#N/A</v>
      </c>
    </row>
    <row r="3343" spans="19:27" x14ac:dyDescent="0.2">
      <c r="S3343" s="61"/>
      <c r="T3343" s="82"/>
      <c r="W3343" s="103" t="str">
        <f t="shared" si="60"/>
        <v>1w</v>
      </c>
      <c r="X3343" s="101">
        <f>_xll.qlCalendarAdvance(Calendar,X3342,W3343,"f",FALSE)</f>
        <v>62766</v>
      </c>
      <c r="Y3343" s="104">
        <f>_xll.qlCalendarAdvance(Calendar,X3343,NDays&amp;"D")</f>
        <v>62768</v>
      </c>
      <c r="Z3343" s="105" t="e">
        <v>#N/A</v>
      </c>
      <c r="AA3343" s="102" t="e">
        <v>#N/A</v>
      </c>
    </row>
    <row r="3344" spans="19:27" x14ac:dyDescent="0.2">
      <c r="S3344" s="61"/>
      <c r="T3344" s="82"/>
      <c r="W3344" s="103" t="str">
        <f t="shared" si="60"/>
        <v>1w</v>
      </c>
      <c r="X3344" s="101">
        <f>_xll.qlCalendarAdvance(Calendar,X3343,W3344,"f",FALSE)</f>
        <v>62773</v>
      </c>
      <c r="Y3344" s="104">
        <f>_xll.qlCalendarAdvance(Calendar,X3344,NDays&amp;"D")</f>
        <v>62775</v>
      </c>
      <c r="Z3344" s="105" t="e">
        <v>#N/A</v>
      </c>
      <c r="AA3344" s="102" t="e">
        <v>#N/A</v>
      </c>
    </row>
    <row r="3345" spans="19:27" x14ac:dyDescent="0.2">
      <c r="S3345" s="61"/>
      <c r="T3345" s="82"/>
      <c r="W3345" s="103" t="str">
        <f t="shared" si="60"/>
        <v>1w</v>
      </c>
      <c r="X3345" s="101">
        <f>_xll.qlCalendarAdvance(Calendar,X3344,W3345,"f",FALSE)</f>
        <v>62780</v>
      </c>
      <c r="Y3345" s="104">
        <f>_xll.qlCalendarAdvance(Calendar,X3345,NDays&amp;"D")</f>
        <v>62782</v>
      </c>
      <c r="Z3345" s="105" t="e">
        <v>#N/A</v>
      </c>
      <c r="AA3345" s="102" t="e">
        <v>#N/A</v>
      </c>
    </row>
    <row r="3346" spans="19:27" x14ac:dyDescent="0.2">
      <c r="S3346" s="61"/>
      <c r="T3346" s="82"/>
      <c r="W3346" s="103" t="str">
        <f t="shared" si="60"/>
        <v>1w</v>
      </c>
      <c r="X3346" s="101">
        <f>_xll.qlCalendarAdvance(Calendar,X3345,W3346,"f",FALSE)</f>
        <v>62787</v>
      </c>
      <c r="Y3346" s="104">
        <f>_xll.qlCalendarAdvance(Calendar,X3346,NDays&amp;"D")</f>
        <v>62789</v>
      </c>
      <c r="Z3346" s="105" t="e">
        <v>#N/A</v>
      </c>
      <c r="AA3346" s="102" t="e">
        <v>#N/A</v>
      </c>
    </row>
    <row r="3347" spans="19:27" x14ac:dyDescent="0.2">
      <c r="S3347" s="61"/>
      <c r="T3347" s="82"/>
      <c r="W3347" s="103" t="str">
        <f t="shared" si="60"/>
        <v>1w</v>
      </c>
      <c r="X3347" s="101">
        <f>_xll.qlCalendarAdvance(Calendar,X3346,W3347,"f",FALSE)</f>
        <v>62794</v>
      </c>
      <c r="Y3347" s="104">
        <f>_xll.qlCalendarAdvance(Calendar,X3347,NDays&amp;"D")</f>
        <v>62796</v>
      </c>
      <c r="Z3347" s="105" t="e">
        <v>#N/A</v>
      </c>
      <c r="AA3347" s="102" t="e">
        <v>#N/A</v>
      </c>
    </row>
    <row r="3348" spans="19:27" x14ac:dyDescent="0.2">
      <c r="S3348" s="61"/>
      <c r="T3348" s="82"/>
      <c r="W3348" s="103" t="str">
        <f t="shared" si="60"/>
        <v>1w</v>
      </c>
      <c r="X3348" s="101">
        <f>_xll.qlCalendarAdvance(Calendar,X3347,W3348,"f",FALSE)</f>
        <v>62801</v>
      </c>
      <c r="Y3348" s="104">
        <f>_xll.qlCalendarAdvance(Calendar,X3348,NDays&amp;"D")</f>
        <v>62803</v>
      </c>
      <c r="Z3348" s="105" t="e">
        <v>#N/A</v>
      </c>
      <c r="AA3348" s="102" t="e">
        <v>#N/A</v>
      </c>
    </row>
    <row r="3349" spans="19:27" x14ac:dyDescent="0.2">
      <c r="S3349" s="61"/>
      <c r="T3349" s="82"/>
      <c r="W3349" s="103" t="str">
        <f t="shared" ref="W3349:W3412" si="61">W3348</f>
        <v>1w</v>
      </c>
      <c r="X3349" s="101">
        <f>_xll.qlCalendarAdvance(Calendar,X3348,W3349,"f",FALSE)</f>
        <v>62808</v>
      </c>
      <c r="Y3349" s="104">
        <f>_xll.qlCalendarAdvance(Calendar,X3349,NDays&amp;"D")</f>
        <v>62810</v>
      </c>
      <c r="Z3349" s="105" t="e">
        <v>#N/A</v>
      </c>
      <c r="AA3349" s="102" t="e">
        <v>#N/A</v>
      </c>
    </row>
    <row r="3350" spans="19:27" x14ac:dyDescent="0.2">
      <c r="S3350" s="61"/>
      <c r="T3350" s="82"/>
      <c r="W3350" s="103" t="str">
        <f t="shared" si="61"/>
        <v>1w</v>
      </c>
      <c r="X3350" s="101">
        <f>_xll.qlCalendarAdvance(Calendar,X3349,W3350,"f",FALSE)</f>
        <v>62815</v>
      </c>
      <c r="Y3350" s="104">
        <f>_xll.qlCalendarAdvance(Calendar,X3350,NDays&amp;"D")</f>
        <v>62821</v>
      </c>
      <c r="Z3350" s="105" t="e">
        <v>#N/A</v>
      </c>
      <c r="AA3350" s="102" t="e">
        <v>#N/A</v>
      </c>
    </row>
    <row r="3351" spans="19:27" x14ac:dyDescent="0.2">
      <c r="S3351" s="61"/>
      <c r="T3351" s="82"/>
      <c r="W3351" s="103" t="str">
        <f t="shared" si="61"/>
        <v>1w</v>
      </c>
      <c r="X3351" s="101">
        <f>_xll.qlCalendarAdvance(Calendar,X3350,W3351,"f",FALSE)</f>
        <v>62822</v>
      </c>
      <c r="Y3351" s="104">
        <f>_xll.qlCalendarAdvance(Calendar,X3351,NDays&amp;"D")</f>
        <v>62828</v>
      </c>
      <c r="Z3351" s="105" t="e">
        <v>#N/A</v>
      </c>
      <c r="AA3351" s="102" t="e">
        <v>#N/A</v>
      </c>
    </row>
    <row r="3352" spans="19:27" x14ac:dyDescent="0.2">
      <c r="S3352" s="61"/>
      <c r="T3352" s="82"/>
      <c r="W3352" s="103" t="str">
        <f t="shared" si="61"/>
        <v>1w</v>
      </c>
      <c r="X3352" s="101">
        <f>_xll.qlCalendarAdvance(Calendar,X3351,W3352,"f",FALSE)</f>
        <v>62830</v>
      </c>
      <c r="Y3352" s="104">
        <f>_xll.qlCalendarAdvance(Calendar,X3352,NDays&amp;"D")</f>
        <v>62834</v>
      </c>
      <c r="Z3352" s="105" t="e">
        <v>#N/A</v>
      </c>
      <c r="AA3352" s="102" t="e">
        <v>#N/A</v>
      </c>
    </row>
    <row r="3353" spans="19:27" x14ac:dyDescent="0.2">
      <c r="S3353" s="61"/>
      <c r="T3353" s="82"/>
      <c r="W3353" s="103" t="str">
        <f t="shared" si="61"/>
        <v>1w</v>
      </c>
      <c r="X3353" s="101">
        <f>_xll.qlCalendarAdvance(Calendar,X3352,W3353,"f",FALSE)</f>
        <v>62837</v>
      </c>
      <c r="Y3353" s="104">
        <f>_xll.qlCalendarAdvance(Calendar,X3353,NDays&amp;"D")</f>
        <v>62841</v>
      </c>
      <c r="Z3353" s="105" t="e">
        <v>#N/A</v>
      </c>
      <c r="AA3353" s="102" t="e">
        <v>#N/A</v>
      </c>
    </row>
    <row r="3354" spans="19:27" x14ac:dyDescent="0.2">
      <c r="S3354" s="61"/>
      <c r="T3354" s="82"/>
      <c r="W3354" s="103" t="str">
        <f t="shared" si="61"/>
        <v>1w</v>
      </c>
      <c r="X3354" s="101">
        <f>_xll.qlCalendarAdvance(Calendar,X3353,W3354,"f",FALSE)</f>
        <v>62844</v>
      </c>
      <c r="Y3354" s="104">
        <f>_xll.qlCalendarAdvance(Calendar,X3354,NDays&amp;"D")</f>
        <v>62848</v>
      </c>
      <c r="Z3354" s="105" t="e">
        <v>#N/A</v>
      </c>
      <c r="AA3354" s="102" t="e">
        <v>#N/A</v>
      </c>
    </row>
    <row r="3355" spans="19:27" x14ac:dyDescent="0.2">
      <c r="S3355" s="61"/>
      <c r="T3355" s="82"/>
      <c r="W3355" s="103" t="str">
        <f t="shared" si="61"/>
        <v>1w</v>
      </c>
      <c r="X3355" s="101">
        <f>_xll.qlCalendarAdvance(Calendar,X3354,W3355,"f",FALSE)</f>
        <v>62851</v>
      </c>
      <c r="Y3355" s="104">
        <f>_xll.qlCalendarAdvance(Calendar,X3355,NDays&amp;"D")</f>
        <v>62855</v>
      </c>
      <c r="Z3355" s="105" t="e">
        <v>#N/A</v>
      </c>
      <c r="AA3355" s="102" t="e">
        <v>#N/A</v>
      </c>
    </row>
    <row r="3356" spans="19:27" x14ac:dyDescent="0.2">
      <c r="S3356" s="61"/>
      <c r="T3356" s="82"/>
      <c r="W3356" s="103" t="str">
        <f t="shared" si="61"/>
        <v>1w</v>
      </c>
      <c r="X3356" s="101">
        <f>_xll.qlCalendarAdvance(Calendar,X3355,W3356,"f",FALSE)</f>
        <v>62858</v>
      </c>
      <c r="Y3356" s="104">
        <f>_xll.qlCalendarAdvance(Calendar,X3356,NDays&amp;"D")</f>
        <v>62862</v>
      </c>
      <c r="Z3356" s="105" t="e">
        <v>#N/A</v>
      </c>
      <c r="AA3356" s="102" t="e">
        <v>#N/A</v>
      </c>
    </row>
    <row r="3357" spans="19:27" x14ac:dyDescent="0.2">
      <c r="S3357" s="61"/>
      <c r="T3357" s="82"/>
      <c r="W3357" s="103" t="str">
        <f t="shared" si="61"/>
        <v>1w</v>
      </c>
      <c r="X3357" s="101">
        <f>_xll.qlCalendarAdvance(Calendar,X3356,W3357,"f",FALSE)</f>
        <v>62865</v>
      </c>
      <c r="Y3357" s="104">
        <f>_xll.qlCalendarAdvance(Calendar,X3357,NDays&amp;"D")</f>
        <v>62869</v>
      </c>
      <c r="Z3357" s="105" t="e">
        <v>#N/A</v>
      </c>
      <c r="AA3357" s="102" t="e">
        <v>#N/A</v>
      </c>
    </row>
    <row r="3358" spans="19:27" x14ac:dyDescent="0.2">
      <c r="S3358" s="61"/>
      <c r="T3358" s="82"/>
      <c r="W3358" s="103" t="str">
        <f t="shared" si="61"/>
        <v>1w</v>
      </c>
      <c r="X3358" s="101">
        <f>_xll.qlCalendarAdvance(Calendar,X3357,W3358,"f",FALSE)</f>
        <v>62872</v>
      </c>
      <c r="Y3358" s="104">
        <f>_xll.qlCalendarAdvance(Calendar,X3358,NDays&amp;"D")</f>
        <v>62876</v>
      </c>
      <c r="Z3358" s="105" t="e">
        <v>#N/A</v>
      </c>
      <c r="AA3358" s="102" t="e">
        <v>#N/A</v>
      </c>
    </row>
    <row r="3359" spans="19:27" x14ac:dyDescent="0.2">
      <c r="S3359" s="61"/>
      <c r="T3359" s="82"/>
      <c r="W3359" s="103" t="str">
        <f t="shared" si="61"/>
        <v>1w</v>
      </c>
      <c r="X3359" s="101">
        <f>_xll.qlCalendarAdvance(Calendar,X3358,W3359,"f",FALSE)</f>
        <v>62879</v>
      </c>
      <c r="Y3359" s="104">
        <f>_xll.qlCalendarAdvance(Calendar,X3359,NDays&amp;"D")</f>
        <v>62883</v>
      </c>
      <c r="Z3359" s="105" t="e">
        <v>#N/A</v>
      </c>
      <c r="AA3359" s="102" t="e">
        <v>#N/A</v>
      </c>
    </row>
    <row r="3360" spans="19:27" x14ac:dyDescent="0.2">
      <c r="S3360" s="61"/>
      <c r="T3360" s="82"/>
      <c r="W3360" s="103" t="str">
        <f t="shared" si="61"/>
        <v>1w</v>
      </c>
      <c r="X3360" s="101">
        <f>_xll.qlCalendarAdvance(Calendar,X3359,W3360,"f",FALSE)</f>
        <v>62886</v>
      </c>
      <c r="Y3360" s="104">
        <f>_xll.qlCalendarAdvance(Calendar,X3360,NDays&amp;"D")</f>
        <v>62890</v>
      </c>
      <c r="Z3360" s="105" t="e">
        <v>#N/A</v>
      </c>
      <c r="AA3360" s="102" t="e">
        <v>#N/A</v>
      </c>
    </row>
    <row r="3361" spans="19:27" x14ac:dyDescent="0.2">
      <c r="S3361" s="61"/>
      <c r="T3361" s="82"/>
      <c r="W3361" s="103" t="str">
        <f t="shared" si="61"/>
        <v>1w</v>
      </c>
      <c r="X3361" s="101">
        <f>_xll.qlCalendarAdvance(Calendar,X3360,W3361,"f",FALSE)</f>
        <v>62893</v>
      </c>
      <c r="Y3361" s="104">
        <f>_xll.qlCalendarAdvance(Calendar,X3361,NDays&amp;"D")</f>
        <v>62897</v>
      </c>
      <c r="Z3361" s="105" t="e">
        <v>#N/A</v>
      </c>
      <c r="AA3361" s="102" t="e">
        <v>#N/A</v>
      </c>
    </row>
    <row r="3362" spans="19:27" x14ac:dyDescent="0.2">
      <c r="S3362" s="61"/>
      <c r="T3362" s="82"/>
      <c r="W3362" s="103" t="str">
        <f t="shared" si="61"/>
        <v>1w</v>
      </c>
      <c r="X3362" s="101">
        <f>_xll.qlCalendarAdvance(Calendar,X3361,W3362,"f",FALSE)</f>
        <v>62900</v>
      </c>
      <c r="Y3362" s="104">
        <f>_xll.qlCalendarAdvance(Calendar,X3362,NDays&amp;"D")</f>
        <v>62904</v>
      </c>
      <c r="Z3362" s="105" t="e">
        <v>#N/A</v>
      </c>
      <c r="AA3362" s="102" t="e">
        <v>#N/A</v>
      </c>
    </row>
    <row r="3363" spans="19:27" x14ac:dyDescent="0.2">
      <c r="S3363" s="61"/>
      <c r="T3363" s="82"/>
      <c r="W3363" s="103" t="str">
        <f t="shared" si="61"/>
        <v>1w</v>
      </c>
      <c r="X3363" s="101">
        <f>_xll.qlCalendarAdvance(Calendar,X3362,W3363,"f",FALSE)</f>
        <v>62907</v>
      </c>
      <c r="Y3363" s="104">
        <f>_xll.qlCalendarAdvance(Calendar,X3363,NDays&amp;"D")</f>
        <v>62911</v>
      </c>
      <c r="Z3363" s="105" t="e">
        <v>#N/A</v>
      </c>
      <c r="AA3363" s="102" t="e">
        <v>#N/A</v>
      </c>
    </row>
    <row r="3364" spans="19:27" x14ac:dyDescent="0.2">
      <c r="S3364" s="61"/>
      <c r="T3364" s="82"/>
      <c r="W3364" s="103" t="str">
        <f t="shared" si="61"/>
        <v>1w</v>
      </c>
      <c r="X3364" s="101">
        <f>_xll.qlCalendarAdvance(Calendar,X3363,W3364,"f",FALSE)</f>
        <v>62914</v>
      </c>
      <c r="Y3364" s="104">
        <f>_xll.qlCalendarAdvance(Calendar,X3364,NDays&amp;"D")</f>
        <v>62918</v>
      </c>
      <c r="Z3364" s="105" t="e">
        <v>#N/A</v>
      </c>
      <c r="AA3364" s="102" t="e">
        <v>#N/A</v>
      </c>
    </row>
    <row r="3365" spans="19:27" x14ac:dyDescent="0.2">
      <c r="S3365" s="61"/>
      <c r="T3365" s="82"/>
      <c r="W3365" s="103" t="str">
        <f t="shared" si="61"/>
        <v>1w</v>
      </c>
      <c r="X3365" s="101">
        <f>_xll.qlCalendarAdvance(Calendar,X3364,W3365,"f",FALSE)</f>
        <v>62921</v>
      </c>
      <c r="Y3365" s="104">
        <f>_xll.qlCalendarAdvance(Calendar,X3365,NDays&amp;"D")</f>
        <v>62927</v>
      </c>
      <c r="Z3365" s="105" t="e">
        <v>#N/A</v>
      </c>
      <c r="AA3365" s="102" t="e">
        <v>#N/A</v>
      </c>
    </row>
    <row r="3366" spans="19:27" x14ac:dyDescent="0.2">
      <c r="S3366" s="61"/>
      <c r="T3366" s="82"/>
      <c r="W3366" s="103" t="str">
        <f t="shared" si="61"/>
        <v>1w</v>
      </c>
      <c r="X3366" s="101">
        <f>_xll.qlCalendarAdvance(Calendar,X3365,W3366,"f",FALSE)</f>
        <v>62928</v>
      </c>
      <c r="Y3366" s="104">
        <f>_xll.qlCalendarAdvance(Calendar,X3366,NDays&amp;"D")</f>
        <v>62932</v>
      </c>
      <c r="Z3366" s="105" t="e">
        <v>#N/A</v>
      </c>
      <c r="AA3366" s="102" t="e">
        <v>#N/A</v>
      </c>
    </row>
    <row r="3367" spans="19:27" x14ac:dyDescent="0.2">
      <c r="S3367" s="61"/>
      <c r="T3367" s="82"/>
      <c r="W3367" s="103" t="str">
        <f t="shared" si="61"/>
        <v>1w</v>
      </c>
      <c r="X3367" s="101">
        <f>_xll.qlCalendarAdvance(Calendar,X3366,W3367,"f",FALSE)</f>
        <v>62935</v>
      </c>
      <c r="Y3367" s="104">
        <f>_xll.qlCalendarAdvance(Calendar,X3367,NDays&amp;"D")</f>
        <v>62939</v>
      </c>
      <c r="Z3367" s="105" t="e">
        <v>#N/A</v>
      </c>
      <c r="AA3367" s="102" t="e">
        <v>#N/A</v>
      </c>
    </row>
    <row r="3368" spans="19:27" x14ac:dyDescent="0.2">
      <c r="S3368" s="61"/>
      <c r="T3368" s="82"/>
      <c r="W3368" s="103" t="str">
        <f t="shared" si="61"/>
        <v>1w</v>
      </c>
      <c r="X3368" s="101">
        <f>_xll.qlCalendarAdvance(Calendar,X3367,W3368,"f",FALSE)</f>
        <v>62942</v>
      </c>
      <c r="Y3368" s="104">
        <f>_xll.qlCalendarAdvance(Calendar,X3368,NDays&amp;"D")</f>
        <v>62946</v>
      </c>
      <c r="Z3368" s="105" t="e">
        <v>#N/A</v>
      </c>
      <c r="AA3368" s="102" t="e">
        <v>#N/A</v>
      </c>
    </row>
    <row r="3369" spans="19:27" x14ac:dyDescent="0.2">
      <c r="S3369" s="61"/>
      <c r="T3369" s="82"/>
      <c r="W3369" s="103" t="str">
        <f t="shared" si="61"/>
        <v>1w</v>
      </c>
      <c r="X3369" s="101">
        <f>_xll.qlCalendarAdvance(Calendar,X3368,W3369,"f",FALSE)</f>
        <v>62949</v>
      </c>
      <c r="Y3369" s="104">
        <f>_xll.qlCalendarAdvance(Calendar,X3369,NDays&amp;"D")</f>
        <v>62953</v>
      </c>
      <c r="Z3369" s="105" t="e">
        <v>#N/A</v>
      </c>
      <c r="AA3369" s="102" t="e">
        <v>#N/A</v>
      </c>
    </row>
    <row r="3370" spans="19:27" x14ac:dyDescent="0.2">
      <c r="S3370" s="61"/>
      <c r="T3370" s="82"/>
      <c r="W3370" s="103" t="str">
        <f t="shared" si="61"/>
        <v>1w</v>
      </c>
      <c r="X3370" s="101">
        <f>_xll.qlCalendarAdvance(Calendar,X3369,W3370,"f",FALSE)</f>
        <v>62956</v>
      </c>
      <c r="Y3370" s="104">
        <f>_xll.qlCalendarAdvance(Calendar,X3370,NDays&amp;"D")</f>
        <v>62960</v>
      </c>
      <c r="Z3370" s="105" t="e">
        <v>#N/A</v>
      </c>
      <c r="AA3370" s="102" t="e">
        <v>#N/A</v>
      </c>
    </row>
    <row r="3371" spans="19:27" x14ac:dyDescent="0.2">
      <c r="S3371" s="61"/>
      <c r="T3371" s="82"/>
      <c r="W3371" s="103" t="str">
        <f t="shared" si="61"/>
        <v>1w</v>
      </c>
      <c r="X3371" s="101">
        <f>_xll.qlCalendarAdvance(Calendar,X3370,W3371,"f",FALSE)</f>
        <v>62964</v>
      </c>
      <c r="Y3371" s="104">
        <f>_xll.qlCalendarAdvance(Calendar,X3371,NDays&amp;"D")</f>
        <v>62968</v>
      </c>
      <c r="Z3371" s="105" t="e">
        <v>#N/A</v>
      </c>
      <c r="AA3371" s="102" t="e">
        <v>#N/A</v>
      </c>
    </row>
    <row r="3372" spans="19:27" x14ac:dyDescent="0.2">
      <c r="S3372" s="61"/>
      <c r="T3372" s="82"/>
      <c r="W3372" s="103" t="str">
        <f t="shared" si="61"/>
        <v>1w</v>
      </c>
      <c r="X3372" s="101">
        <f>_xll.qlCalendarAdvance(Calendar,X3371,W3372,"f",FALSE)</f>
        <v>62971</v>
      </c>
      <c r="Y3372" s="104">
        <f>_xll.qlCalendarAdvance(Calendar,X3372,NDays&amp;"D")</f>
        <v>62976</v>
      </c>
      <c r="Z3372" s="105" t="e">
        <v>#N/A</v>
      </c>
      <c r="AA3372" s="102" t="e">
        <v>#N/A</v>
      </c>
    </row>
    <row r="3373" spans="19:27" x14ac:dyDescent="0.2">
      <c r="S3373" s="61"/>
      <c r="T3373" s="82"/>
      <c r="W3373" s="103" t="str">
        <f t="shared" si="61"/>
        <v>1w</v>
      </c>
      <c r="X3373" s="101">
        <f>_xll.qlCalendarAdvance(Calendar,X3372,W3373,"f",FALSE)</f>
        <v>62978</v>
      </c>
      <c r="Y3373" s="104">
        <f>_xll.qlCalendarAdvance(Calendar,X3373,NDays&amp;"D")</f>
        <v>62982</v>
      </c>
      <c r="Z3373" s="105" t="e">
        <v>#N/A</v>
      </c>
      <c r="AA3373" s="102" t="e">
        <v>#N/A</v>
      </c>
    </row>
    <row r="3374" spans="19:27" x14ac:dyDescent="0.2">
      <c r="S3374" s="61"/>
      <c r="T3374" s="82"/>
      <c r="W3374" s="103" t="str">
        <f t="shared" si="61"/>
        <v>1w</v>
      </c>
      <c r="X3374" s="101">
        <f>_xll.qlCalendarAdvance(Calendar,X3373,W3374,"f",FALSE)</f>
        <v>62985</v>
      </c>
      <c r="Y3374" s="104">
        <f>_xll.qlCalendarAdvance(Calendar,X3374,NDays&amp;"D")</f>
        <v>62989</v>
      </c>
      <c r="Z3374" s="105" t="e">
        <v>#N/A</v>
      </c>
      <c r="AA3374" s="102" t="e">
        <v>#N/A</v>
      </c>
    </row>
    <row r="3375" spans="19:27" x14ac:dyDescent="0.2">
      <c r="S3375" s="61"/>
      <c r="T3375" s="82"/>
      <c r="W3375" s="103" t="str">
        <f t="shared" si="61"/>
        <v>1w</v>
      </c>
      <c r="X3375" s="101">
        <f>_xll.qlCalendarAdvance(Calendar,X3374,W3375,"f",FALSE)</f>
        <v>62992</v>
      </c>
      <c r="Y3375" s="104">
        <f>_xll.qlCalendarAdvance(Calendar,X3375,NDays&amp;"D")</f>
        <v>62996</v>
      </c>
      <c r="Z3375" s="105" t="e">
        <v>#N/A</v>
      </c>
      <c r="AA3375" s="102" t="e">
        <v>#N/A</v>
      </c>
    </row>
    <row r="3376" spans="19:27" x14ac:dyDescent="0.2">
      <c r="S3376" s="61"/>
      <c r="T3376" s="82"/>
      <c r="W3376" s="103" t="str">
        <f t="shared" si="61"/>
        <v>1w</v>
      </c>
      <c r="X3376" s="101">
        <f>_xll.qlCalendarAdvance(Calendar,X3375,W3376,"f",FALSE)</f>
        <v>63002</v>
      </c>
      <c r="Y3376" s="104">
        <f>_xll.qlCalendarAdvance(Calendar,X3376,NDays&amp;"D")</f>
        <v>63004</v>
      </c>
      <c r="Z3376" s="105" t="e">
        <v>#N/A</v>
      </c>
      <c r="AA3376" s="102" t="e">
        <v>#N/A</v>
      </c>
    </row>
    <row r="3377" spans="19:27" x14ac:dyDescent="0.2">
      <c r="S3377" s="61"/>
      <c r="T3377" s="82"/>
      <c r="W3377" s="103" t="str">
        <f t="shared" si="61"/>
        <v>1w</v>
      </c>
      <c r="X3377" s="101">
        <f>_xll.qlCalendarAdvance(Calendar,X3376,W3377,"f",FALSE)</f>
        <v>63009</v>
      </c>
      <c r="Y3377" s="104">
        <f>_xll.qlCalendarAdvance(Calendar,X3377,NDays&amp;"D")</f>
        <v>63011</v>
      </c>
      <c r="Z3377" s="105" t="e">
        <v>#N/A</v>
      </c>
      <c r="AA3377" s="102" t="e">
        <v>#N/A</v>
      </c>
    </row>
    <row r="3378" spans="19:27" x14ac:dyDescent="0.2">
      <c r="S3378" s="61"/>
      <c r="T3378" s="82"/>
      <c r="W3378" s="103" t="str">
        <f t="shared" si="61"/>
        <v>1w</v>
      </c>
      <c r="X3378" s="101">
        <f>_xll.qlCalendarAdvance(Calendar,X3377,W3378,"f",FALSE)</f>
        <v>63016</v>
      </c>
      <c r="Y3378" s="104">
        <f>_xll.qlCalendarAdvance(Calendar,X3378,NDays&amp;"D")</f>
        <v>63018</v>
      </c>
      <c r="Z3378" s="105" t="e">
        <v>#N/A</v>
      </c>
      <c r="AA3378" s="102" t="e">
        <v>#N/A</v>
      </c>
    </row>
    <row r="3379" spans="19:27" x14ac:dyDescent="0.2">
      <c r="S3379" s="61"/>
      <c r="T3379" s="82"/>
      <c r="W3379" s="103" t="str">
        <f t="shared" si="61"/>
        <v>1w</v>
      </c>
      <c r="X3379" s="101">
        <f>_xll.qlCalendarAdvance(Calendar,X3378,W3379,"f",FALSE)</f>
        <v>63023</v>
      </c>
      <c r="Y3379" s="104">
        <f>_xll.qlCalendarAdvance(Calendar,X3379,NDays&amp;"D")</f>
        <v>63025</v>
      </c>
      <c r="Z3379" s="105" t="e">
        <v>#N/A</v>
      </c>
      <c r="AA3379" s="102" t="e">
        <v>#N/A</v>
      </c>
    </row>
    <row r="3380" spans="19:27" x14ac:dyDescent="0.2">
      <c r="S3380" s="61"/>
      <c r="T3380" s="82"/>
      <c r="W3380" s="103" t="str">
        <f t="shared" si="61"/>
        <v>1w</v>
      </c>
      <c r="X3380" s="101">
        <f>_xll.qlCalendarAdvance(Calendar,X3379,W3380,"f",FALSE)</f>
        <v>63030</v>
      </c>
      <c r="Y3380" s="104">
        <f>_xll.qlCalendarAdvance(Calendar,X3380,NDays&amp;"D")</f>
        <v>63032</v>
      </c>
      <c r="Z3380" s="105" t="e">
        <v>#N/A</v>
      </c>
      <c r="AA3380" s="102" t="e">
        <v>#N/A</v>
      </c>
    </row>
    <row r="3381" spans="19:27" x14ac:dyDescent="0.2">
      <c r="S3381" s="61"/>
      <c r="T3381" s="82"/>
      <c r="W3381" s="103" t="str">
        <f t="shared" si="61"/>
        <v>1w</v>
      </c>
      <c r="X3381" s="101">
        <f>_xll.qlCalendarAdvance(Calendar,X3380,W3381,"f",FALSE)</f>
        <v>63037</v>
      </c>
      <c r="Y3381" s="104">
        <f>_xll.qlCalendarAdvance(Calendar,X3381,NDays&amp;"D")</f>
        <v>63039</v>
      </c>
      <c r="Z3381" s="105" t="e">
        <v>#N/A</v>
      </c>
      <c r="AA3381" s="102" t="e">
        <v>#N/A</v>
      </c>
    </row>
    <row r="3382" spans="19:27" x14ac:dyDescent="0.2">
      <c r="S3382" s="61"/>
      <c r="T3382" s="82"/>
      <c r="W3382" s="103" t="str">
        <f t="shared" si="61"/>
        <v>1w</v>
      </c>
      <c r="X3382" s="101">
        <f>_xll.qlCalendarAdvance(Calendar,X3381,W3382,"f",FALSE)</f>
        <v>63044</v>
      </c>
      <c r="Y3382" s="104">
        <f>_xll.qlCalendarAdvance(Calendar,X3382,NDays&amp;"D")</f>
        <v>63046</v>
      </c>
      <c r="Z3382" s="105" t="e">
        <v>#N/A</v>
      </c>
      <c r="AA3382" s="102" t="e">
        <v>#N/A</v>
      </c>
    </row>
    <row r="3383" spans="19:27" x14ac:dyDescent="0.2">
      <c r="S3383" s="61"/>
      <c r="T3383" s="82"/>
      <c r="W3383" s="103" t="str">
        <f t="shared" si="61"/>
        <v>1w</v>
      </c>
      <c r="X3383" s="101">
        <f>_xll.qlCalendarAdvance(Calendar,X3382,W3383,"f",FALSE)</f>
        <v>63051</v>
      </c>
      <c r="Y3383" s="104">
        <f>_xll.qlCalendarAdvance(Calendar,X3383,NDays&amp;"D")</f>
        <v>63053</v>
      </c>
      <c r="Z3383" s="105" t="e">
        <v>#N/A</v>
      </c>
      <c r="AA3383" s="102" t="e">
        <v>#N/A</v>
      </c>
    </row>
    <row r="3384" spans="19:27" x14ac:dyDescent="0.2">
      <c r="S3384" s="61"/>
      <c r="T3384" s="82"/>
      <c r="W3384" s="103" t="str">
        <f t="shared" si="61"/>
        <v>1w</v>
      </c>
      <c r="X3384" s="101">
        <f>_xll.qlCalendarAdvance(Calendar,X3383,W3384,"f",FALSE)</f>
        <v>63058</v>
      </c>
      <c r="Y3384" s="104">
        <f>_xll.qlCalendarAdvance(Calendar,X3384,NDays&amp;"D")</f>
        <v>63060</v>
      </c>
      <c r="Z3384" s="105" t="e">
        <v>#N/A</v>
      </c>
      <c r="AA3384" s="102" t="e">
        <v>#N/A</v>
      </c>
    </row>
    <row r="3385" spans="19:27" x14ac:dyDescent="0.2">
      <c r="S3385" s="61"/>
      <c r="T3385" s="82"/>
      <c r="W3385" s="103" t="str">
        <f t="shared" si="61"/>
        <v>1w</v>
      </c>
      <c r="X3385" s="101">
        <f>_xll.qlCalendarAdvance(Calendar,X3384,W3385,"f",FALSE)</f>
        <v>63065</v>
      </c>
      <c r="Y3385" s="104">
        <f>_xll.qlCalendarAdvance(Calendar,X3385,NDays&amp;"D")</f>
        <v>63067</v>
      </c>
      <c r="Z3385" s="105" t="e">
        <v>#N/A</v>
      </c>
      <c r="AA3385" s="102" t="e">
        <v>#N/A</v>
      </c>
    </row>
    <row r="3386" spans="19:27" x14ac:dyDescent="0.2">
      <c r="S3386" s="61"/>
      <c r="T3386" s="82"/>
      <c r="W3386" s="103" t="str">
        <f t="shared" si="61"/>
        <v>1w</v>
      </c>
      <c r="X3386" s="101">
        <f>_xll.qlCalendarAdvance(Calendar,X3385,W3386,"f",FALSE)</f>
        <v>63072</v>
      </c>
      <c r="Y3386" s="104">
        <f>_xll.qlCalendarAdvance(Calendar,X3386,NDays&amp;"D")</f>
        <v>63074</v>
      </c>
      <c r="Z3386" s="105" t="e">
        <v>#N/A</v>
      </c>
      <c r="AA3386" s="102" t="e">
        <v>#N/A</v>
      </c>
    </row>
    <row r="3387" spans="19:27" x14ac:dyDescent="0.2">
      <c r="S3387" s="61"/>
      <c r="T3387" s="82"/>
      <c r="W3387" s="103" t="str">
        <f t="shared" si="61"/>
        <v>1w</v>
      </c>
      <c r="X3387" s="101">
        <f>_xll.qlCalendarAdvance(Calendar,X3386,W3387,"f",FALSE)</f>
        <v>63079</v>
      </c>
      <c r="Y3387" s="104">
        <f>_xll.qlCalendarAdvance(Calendar,X3387,NDays&amp;"D")</f>
        <v>63081</v>
      </c>
      <c r="Z3387" s="105" t="e">
        <v>#N/A</v>
      </c>
      <c r="AA3387" s="102" t="e">
        <v>#N/A</v>
      </c>
    </row>
    <row r="3388" spans="19:27" x14ac:dyDescent="0.2">
      <c r="S3388" s="61"/>
      <c r="T3388" s="82"/>
      <c r="W3388" s="103" t="str">
        <f t="shared" si="61"/>
        <v>1w</v>
      </c>
      <c r="X3388" s="101">
        <f>_xll.qlCalendarAdvance(Calendar,X3387,W3388,"f",FALSE)</f>
        <v>63086</v>
      </c>
      <c r="Y3388" s="104">
        <f>_xll.qlCalendarAdvance(Calendar,X3388,NDays&amp;"D")</f>
        <v>63088</v>
      </c>
      <c r="Z3388" s="105" t="e">
        <v>#N/A</v>
      </c>
      <c r="AA3388" s="102" t="e">
        <v>#N/A</v>
      </c>
    </row>
    <row r="3389" spans="19:27" x14ac:dyDescent="0.2">
      <c r="S3389" s="61"/>
      <c r="T3389" s="82"/>
      <c r="W3389" s="103" t="str">
        <f t="shared" si="61"/>
        <v>1w</v>
      </c>
      <c r="X3389" s="101">
        <f>_xll.qlCalendarAdvance(Calendar,X3388,W3389,"f",FALSE)</f>
        <v>63093</v>
      </c>
      <c r="Y3389" s="104">
        <f>_xll.qlCalendarAdvance(Calendar,X3389,NDays&amp;"D")</f>
        <v>63095</v>
      </c>
      <c r="Z3389" s="105" t="e">
        <v>#N/A</v>
      </c>
      <c r="AA3389" s="102" t="e">
        <v>#N/A</v>
      </c>
    </row>
    <row r="3390" spans="19:27" x14ac:dyDescent="0.2">
      <c r="S3390" s="61"/>
      <c r="T3390" s="82"/>
      <c r="W3390" s="103" t="str">
        <f t="shared" si="61"/>
        <v>1w</v>
      </c>
      <c r="X3390" s="101">
        <f>_xll.qlCalendarAdvance(Calendar,X3389,W3390,"f",FALSE)</f>
        <v>63100</v>
      </c>
      <c r="Y3390" s="104">
        <f>_xll.qlCalendarAdvance(Calendar,X3390,NDays&amp;"D")</f>
        <v>63102</v>
      </c>
      <c r="Z3390" s="105" t="e">
        <v>#N/A</v>
      </c>
      <c r="AA3390" s="102" t="e">
        <v>#N/A</v>
      </c>
    </row>
    <row r="3391" spans="19:27" x14ac:dyDescent="0.2">
      <c r="S3391" s="61"/>
      <c r="T3391" s="82"/>
      <c r="W3391" s="103" t="str">
        <f t="shared" si="61"/>
        <v>1w</v>
      </c>
      <c r="X3391" s="101">
        <f>_xll.qlCalendarAdvance(Calendar,X3390,W3391,"f",FALSE)</f>
        <v>63107</v>
      </c>
      <c r="Y3391" s="104">
        <f>_xll.qlCalendarAdvance(Calendar,X3391,NDays&amp;"D")</f>
        <v>63109</v>
      </c>
      <c r="Z3391" s="105" t="e">
        <v>#N/A</v>
      </c>
      <c r="AA3391" s="102" t="e">
        <v>#N/A</v>
      </c>
    </row>
    <row r="3392" spans="19:27" x14ac:dyDescent="0.2">
      <c r="S3392" s="61"/>
      <c r="T3392" s="82"/>
      <c r="W3392" s="103" t="str">
        <f t="shared" si="61"/>
        <v>1w</v>
      </c>
      <c r="X3392" s="101">
        <f>_xll.qlCalendarAdvance(Calendar,X3391,W3392,"f",FALSE)</f>
        <v>63114</v>
      </c>
      <c r="Y3392" s="104">
        <f>_xll.qlCalendarAdvance(Calendar,X3392,NDays&amp;"D")</f>
        <v>63116</v>
      </c>
      <c r="Z3392" s="105" t="e">
        <v>#N/A</v>
      </c>
      <c r="AA3392" s="102" t="e">
        <v>#N/A</v>
      </c>
    </row>
    <row r="3393" spans="19:27" x14ac:dyDescent="0.2">
      <c r="S3393" s="61"/>
      <c r="T3393" s="82"/>
      <c r="W3393" s="103" t="str">
        <f t="shared" si="61"/>
        <v>1w</v>
      </c>
      <c r="X3393" s="101">
        <f>_xll.qlCalendarAdvance(Calendar,X3392,W3393,"f",FALSE)</f>
        <v>63121</v>
      </c>
      <c r="Y3393" s="104">
        <f>_xll.qlCalendarAdvance(Calendar,X3393,NDays&amp;"D")</f>
        <v>63123</v>
      </c>
      <c r="Z3393" s="105" t="e">
        <v>#N/A</v>
      </c>
      <c r="AA3393" s="102" t="e">
        <v>#N/A</v>
      </c>
    </row>
    <row r="3394" spans="19:27" x14ac:dyDescent="0.2">
      <c r="S3394" s="61"/>
      <c r="T3394" s="82"/>
      <c r="W3394" s="103" t="str">
        <f t="shared" si="61"/>
        <v>1w</v>
      </c>
      <c r="X3394" s="101">
        <f>_xll.qlCalendarAdvance(Calendar,X3393,W3394,"f",FALSE)</f>
        <v>63128</v>
      </c>
      <c r="Y3394" s="104">
        <f>_xll.qlCalendarAdvance(Calendar,X3394,NDays&amp;"D")</f>
        <v>63130</v>
      </c>
      <c r="Z3394" s="105" t="e">
        <v>#N/A</v>
      </c>
      <c r="AA3394" s="102" t="e">
        <v>#N/A</v>
      </c>
    </row>
    <row r="3395" spans="19:27" x14ac:dyDescent="0.2">
      <c r="S3395" s="61"/>
      <c r="T3395" s="82"/>
      <c r="W3395" s="103" t="str">
        <f t="shared" si="61"/>
        <v>1w</v>
      </c>
      <c r="X3395" s="101">
        <f>_xll.qlCalendarAdvance(Calendar,X3394,W3395,"f",FALSE)</f>
        <v>63135</v>
      </c>
      <c r="Y3395" s="104">
        <f>_xll.qlCalendarAdvance(Calendar,X3395,NDays&amp;"D")</f>
        <v>63137</v>
      </c>
      <c r="Z3395" s="105" t="e">
        <v>#N/A</v>
      </c>
      <c r="AA3395" s="102" t="e">
        <v>#N/A</v>
      </c>
    </row>
    <row r="3396" spans="19:27" x14ac:dyDescent="0.2">
      <c r="S3396" s="61"/>
      <c r="T3396" s="82"/>
      <c r="W3396" s="103" t="str">
        <f t="shared" si="61"/>
        <v>1w</v>
      </c>
      <c r="X3396" s="101">
        <f>_xll.qlCalendarAdvance(Calendar,X3395,W3396,"f",FALSE)</f>
        <v>63142</v>
      </c>
      <c r="Y3396" s="104">
        <f>_xll.qlCalendarAdvance(Calendar,X3396,NDays&amp;"D")</f>
        <v>63144</v>
      </c>
      <c r="Z3396" s="105" t="e">
        <v>#N/A</v>
      </c>
      <c r="AA3396" s="102" t="e">
        <v>#N/A</v>
      </c>
    </row>
    <row r="3397" spans="19:27" x14ac:dyDescent="0.2">
      <c r="S3397" s="61"/>
      <c r="T3397" s="82"/>
      <c r="W3397" s="103" t="str">
        <f t="shared" si="61"/>
        <v>1w</v>
      </c>
      <c r="X3397" s="101">
        <f>_xll.qlCalendarAdvance(Calendar,X3396,W3397,"f",FALSE)</f>
        <v>63149</v>
      </c>
      <c r="Y3397" s="104">
        <f>_xll.qlCalendarAdvance(Calendar,X3397,NDays&amp;"D")</f>
        <v>63151</v>
      </c>
      <c r="Z3397" s="105" t="e">
        <v>#N/A</v>
      </c>
      <c r="AA3397" s="102" t="e">
        <v>#N/A</v>
      </c>
    </row>
    <row r="3398" spans="19:27" x14ac:dyDescent="0.2">
      <c r="S3398" s="61"/>
      <c r="T3398" s="82"/>
      <c r="W3398" s="103" t="str">
        <f t="shared" si="61"/>
        <v>1w</v>
      </c>
      <c r="X3398" s="101">
        <f>_xll.qlCalendarAdvance(Calendar,X3397,W3398,"f",FALSE)</f>
        <v>63156</v>
      </c>
      <c r="Y3398" s="104">
        <f>_xll.qlCalendarAdvance(Calendar,X3398,NDays&amp;"D")</f>
        <v>63158</v>
      </c>
      <c r="Z3398" s="105" t="e">
        <v>#N/A</v>
      </c>
      <c r="AA3398" s="102" t="e">
        <v>#N/A</v>
      </c>
    </row>
    <row r="3399" spans="19:27" x14ac:dyDescent="0.2">
      <c r="S3399" s="61"/>
      <c r="T3399" s="82"/>
      <c r="W3399" s="103" t="str">
        <f t="shared" si="61"/>
        <v>1w</v>
      </c>
      <c r="X3399" s="101">
        <f>_xll.qlCalendarAdvance(Calendar,X3398,W3399,"f",FALSE)</f>
        <v>63163</v>
      </c>
      <c r="Y3399" s="104">
        <f>_xll.qlCalendarAdvance(Calendar,X3399,NDays&amp;"D")</f>
        <v>63165</v>
      </c>
      <c r="Z3399" s="105" t="e">
        <v>#N/A</v>
      </c>
      <c r="AA3399" s="102" t="e">
        <v>#N/A</v>
      </c>
    </row>
    <row r="3400" spans="19:27" x14ac:dyDescent="0.2">
      <c r="S3400" s="61"/>
      <c r="T3400" s="82"/>
      <c r="W3400" s="103" t="str">
        <f t="shared" si="61"/>
        <v>1w</v>
      </c>
      <c r="X3400" s="101">
        <f>_xll.qlCalendarAdvance(Calendar,X3399,W3400,"f",FALSE)</f>
        <v>63170</v>
      </c>
      <c r="Y3400" s="104">
        <f>_xll.qlCalendarAdvance(Calendar,X3400,NDays&amp;"D")</f>
        <v>63172</v>
      </c>
      <c r="Z3400" s="105" t="e">
        <v>#N/A</v>
      </c>
      <c r="AA3400" s="102" t="e">
        <v>#N/A</v>
      </c>
    </row>
    <row r="3401" spans="19:27" x14ac:dyDescent="0.2">
      <c r="S3401" s="61"/>
      <c r="T3401" s="82"/>
      <c r="W3401" s="103" t="str">
        <f t="shared" si="61"/>
        <v>1w</v>
      </c>
      <c r="X3401" s="101">
        <f>_xll.qlCalendarAdvance(Calendar,X3400,W3401,"f",FALSE)</f>
        <v>63177</v>
      </c>
      <c r="Y3401" s="104">
        <f>_xll.qlCalendarAdvance(Calendar,X3401,NDays&amp;"D")</f>
        <v>63179</v>
      </c>
      <c r="Z3401" s="105" t="e">
        <v>#N/A</v>
      </c>
      <c r="AA3401" s="102" t="e">
        <v>#N/A</v>
      </c>
    </row>
    <row r="3402" spans="19:27" x14ac:dyDescent="0.2">
      <c r="S3402" s="61"/>
      <c r="T3402" s="82"/>
      <c r="W3402" s="103" t="str">
        <f t="shared" si="61"/>
        <v>1w</v>
      </c>
      <c r="X3402" s="101">
        <f>_xll.qlCalendarAdvance(Calendar,X3401,W3402,"f",FALSE)</f>
        <v>63185</v>
      </c>
      <c r="Y3402" s="104">
        <f>_xll.qlCalendarAdvance(Calendar,X3402,NDays&amp;"D")</f>
        <v>63187</v>
      </c>
      <c r="Z3402" s="105" t="e">
        <v>#N/A</v>
      </c>
      <c r="AA3402" s="102" t="e">
        <v>#N/A</v>
      </c>
    </row>
    <row r="3403" spans="19:27" x14ac:dyDescent="0.2">
      <c r="S3403" s="61"/>
      <c r="T3403" s="82"/>
      <c r="W3403" s="103" t="str">
        <f t="shared" si="61"/>
        <v>1w</v>
      </c>
      <c r="X3403" s="101">
        <f>_xll.qlCalendarAdvance(Calendar,X3402,W3403,"f",FALSE)</f>
        <v>63192</v>
      </c>
      <c r="Y3403" s="104">
        <f>_xll.qlCalendarAdvance(Calendar,X3403,NDays&amp;"D")</f>
        <v>63194</v>
      </c>
      <c r="Z3403" s="105" t="e">
        <v>#N/A</v>
      </c>
      <c r="AA3403" s="102" t="e">
        <v>#N/A</v>
      </c>
    </row>
    <row r="3404" spans="19:27" x14ac:dyDescent="0.2">
      <c r="S3404" s="61"/>
      <c r="T3404" s="82"/>
      <c r="W3404" s="103" t="str">
        <f t="shared" si="61"/>
        <v>1w</v>
      </c>
      <c r="X3404" s="101">
        <f>_xll.qlCalendarAdvance(Calendar,X3403,W3404,"f",FALSE)</f>
        <v>63199</v>
      </c>
      <c r="Y3404" s="104">
        <f>_xll.qlCalendarAdvance(Calendar,X3404,NDays&amp;"D")</f>
        <v>63201</v>
      </c>
      <c r="Z3404" s="105" t="e">
        <v>#N/A</v>
      </c>
      <c r="AA3404" s="102" t="e">
        <v>#N/A</v>
      </c>
    </row>
    <row r="3405" spans="19:27" x14ac:dyDescent="0.2">
      <c r="S3405" s="61"/>
      <c r="T3405" s="82"/>
      <c r="W3405" s="103" t="str">
        <f t="shared" si="61"/>
        <v>1w</v>
      </c>
      <c r="X3405" s="101">
        <f>_xll.qlCalendarAdvance(Calendar,X3404,W3405,"f",FALSE)</f>
        <v>63206</v>
      </c>
      <c r="Y3405" s="104">
        <f>_xll.qlCalendarAdvance(Calendar,X3405,NDays&amp;"D")</f>
        <v>63208</v>
      </c>
      <c r="Z3405" s="105" t="e">
        <v>#N/A</v>
      </c>
      <c r="AA3405" s="102" t="e">
        <v>#N/A</v>
      </c>
    </row>
    <row r="3406" spans="19:27" x14ac:dyDescent="0.2">
      <c r="S3406" s="61"/>
      <c r="T3406" s="82"/>
      <c r="W3406" s="103" t="str">
        <f t="shared" si="61"/>
        <v>1w</v>
      </c>
      <c r="X3406" s="101">
        <f>_xll.qlCalendarAdvance(Calendar,X3405,W3406,"f",FALSE)</f>
        <v>63213</v>
      </c>
      <c r="Y3406" s="104">
        <f>_xll.qlCalendarAdvance(Calendar,X3406,NDays&amp;"D")</f>
        <v>63215</v>
      </c>
      <c r="Z3406" s="105" t="e">
        <v>#N/A</v>
      </c>
      <c r="AA3406" s="102" t="e">
        <v>#N/A</v>
      </c>
    </row>
    <row r="3407" spans="19:27" x14ac:dyDescent="0.2">
      <c r="S3407" s="61"/>
      <c r="T3407" s="82"/>
      <c r="W3407" s="103" t="str">
        <f t="shared" si="61"/>
        <v>1w</v>
      </c>
      <c r="X3407" s="101">
        <f>_xll.qlCalendarAdvance(Calendar,X3406,W3407,"f",FALSE)</f>
        <v>63220</v>
      </c>
      <c r="Y3407" s="104">
        <f>_xll.qlCalendarAdvance(Calendar,X3407,NDays&amp;"D")</f>
        <v>63222</v>
      </c>
      <c r="Z3407" s="105" t="e">
        <v>#N/A</v>
      </c>
      <c r="AA3407" s="102" t="e">
        <v>#N/A</v>
      </c>
    </row>
    <row r="3408" spans="19:27" x14ac:dyDescent="0.2">
      <c r="S3408" s="61"/>
      <c r="T3408" s="82"/>
      <c r="W3408" s="103" t="str">
        <f t="shared" si="61"/>
        <v>1w</v>
      </c>
      <c r="X3408" s="101">
        <f>_xll.qlCalendarAdvance(Calendar,X3407,W3408,"f",FALSE)</f>
        <v>63227</v>
      </c>
      <c r="Y3408" s="104">
        <f>_xll.qlCalendarAdvance(Calendar,X3408,NDays&amp;"D")</f>
        <v>63229</v>
      </c>
      <c r="Z3408" s="105" t="e">
        <v>#N/A</v>
      </c>
      <c r="AA3408" s="102" t="e">
        <v>#N/A</v>
      </c>
    </row>
    <row r="3409" spans="19:27" x14ac:dyDescent="0.2">
      <c r="S3409" s="61"/>
      <c r="T3409" s="82"/>
      <c r="W3409" s="103" t="str">
        <f t="shared" si="61"/>
        <v>1w</v>
      </c>
      <c r="X3409" s="101">
        <f>_xll.qlCalendarAdvance(Calendar,X3408,W3409,"f",FALSE)</f>
        <v>63234</v>
      </c>
      <c r="Y3409" s="104">
        <f>_xll.qlCalendarAdvance(Calendar,X3409,NDays&amp;"D")</f>
        <v>63236</v>
      </c>
      <c r="Z3409" s="105" t="e">
        <v>#N/A</v>
      </c>
      <c r="AA3409" s="102" t="e">
        <v>#N/A</v>
      </c>
    </row>
    <row r="3410" spans="19:27" x14ac:dyDescent="0.2">
      <c r="S3410" s="61"/>
      <c r="T3410" s="82"/>
      <c r="W3410" s="103" t="str">
        <f t="shared" si="61"/>
        <v>1w</v>
      </c>
      <c r="X3410" s="101">
        <f>_xll.qlCalendarAdvance(Calendar,X3409,W3410,"f",FALSE)</f>
        <v>63241</v>
      </c>
      <c r="Y3410" s="104">
        <f>_xll.qlCalendarAdvance(Calendar,X3410,NDays&amp;"D")</f>
        <v>63243</v>
      </c>
      <c r="Z3410" s="105" t="e">
        <v>#N/A</v>
      </c>
      <c r="AA3410" s="102" t="e">
        <v>#N/A</v>
      </c>
    </row>
    <row r="3411" spans="19:27" x14ac:dyDescent="0.2">
      <c r="S3411" s="61"/>
      <c r="T3411" s="82"/>
      <c r="W3411" s="103" t="str">
        <f t="shared" si="61"/>
        <v>1w</v>
      </c>
      <c r="X3411" s="101">
        <f>_xll.qlCalendarAdvance(Calendar,X3410,W3411,"f",FALSE)</f>
        <v>63248</v>
      </c>
      <c r="Y3411" s="104">
        <f>_xll.qlCalendarAdvance(Calendar,X3411,NDays&amp;"D")</f>
        <v>63250</v>
      </c>
      <c r="Z3411" s="105" t="e">
        <v>#N/A</v>
      </c>
      <c r="AA3411" s="102" t="e">
        <v>#N/A</v>
      </c>
    </row>
    <row r="3412" spans="19:27" x14ac:dyDescent="0.2">
      <c r="S3412" s="61"/>
      <c r="T3412" s="82"/>
      <c r="W3412" s="103" t="str">
        <f t="shared" si="61"/>
        <v>1w</v>
      </c>
      <c r="X3412" s="101">
        <f>_xll.qlCalendarAdvance(Calendar,X3411,W3412,"f",FALSE)</f>
        <v>63255</v>
      </c>
      <c r="Y3412" s="104">
        <f>_xll.qlCalendarAdvance(Calendar,X3412,NDays&amp;"D")</f>
        <v>63257</v>
      </c>
      <c r="Z3412" s="105" t="e">
        <v>#N/A</v>
      </c>
      <c r="AA3412" s="102" t="e">
        <v>#N/A</v>
      </c>
    </row>
    <row r="3413" spans="19:27" x14ac:dyDescent="0.2">
      <c r="S3413" s="61"/>
      <c r="T3413" s="82"/>
      <c r="W3413" s="103" t="str">
        <f t="shared" ref="W3413:W3476" si="62">W3412</f>
        <v>1w</v>
      </c>
      <c r="X3413" s="101">
        <f>_xll.qlCalendarAdvance(Calendar,X3412,W3413,"f",FALSE)</f>
        <v>63262</v>
      </c>
      <c r="Y3413" s="104">
        <f>_xll.qlCalendarAdvance(Calendar,X3413,NDays&amp;"D")</f>
        <v>63264</v>
      </c>
      <c r="Z3413" s="105" t="e">
        <v>#N/A</v>
      </c>
      <c r="AA3413" s="102" t="e">
        <v>#N/A</v>
      </c>
    </row>
    <row r="3414" spans="19:27" x14ac:dyDescent="0.2">
      <c r="S3414" s="61"/>
      <c r="T3414" s="82"/>
      <c r="W3414" s="103" t="str">
        <f t="shared" si="62"/>
        <v>1w</v>
      </c>
      <c r="X3414" s="101">
        <f>_xll.qlCalendarAdvance(Calendar,X3413,W3414,"f",FALSE)</f>
        <v>63269</v>
      </c>
      <c r="Y3414" s="104">
        <f>_xll.qlCalendarAdvance(Calendar,X3414,NDays&amp;"D")</f>
        <v>63271</v>
      </c>
      <c r="Z3414" s="105" t="e">
        <v>#N/A</v>
      </c>
      <c r="AA3414" s="102" t="e">
        <v>#N/A</v>
      </c>
    </row>
    <row r="3415" spans="19:27" x14ac:dyDescent="0.2">
      <c r="S3415" s="61"/>
      <c r="T3415" s="82"/>
      <c r="W3415" s="103" t="str">
        <f t="shared" si="62"/>
        <v>1w</v>
      </c>
      <c r="X3415" s="101">
        <f>_xll.qlCalendarAdvance(Calendar,X3414,W3415,"f",FALSE)</f>
        <v>63276</v>
      </c>
      <c r="Y3415" s="104">
        <f>_xll.qlCalendarAdvance(Calendar,X3415,NDays&amp;"D")</f>
        <v>63278</v>
      </c>
      <c r="Z3415" s="105" t="e">
        <v>#N/A</v>
      </c>
      <c r="AA3415" s="102" t="e">
        <v>#N/A</v>
      </c>
    </row>
    <row r="3416" spans="19:27" x14ac:dyDescent="0.2">
      <c r="S3416" s="61"/>
      <c r="T3416" s="82"/>
      <c r="W3416" s="103" t="str">
        <f t="shared" si="62"/>
        <v>1w</v>
      </c>
      <c r="X3416" s="101">
        <f>_xll.qlCalendarAdvance(Calendar,X3415,W3416,"f",FALSE)</f>
        <v>63283</v>
      </c>
      <c r="Y3416" s="104">
        <f>_xll.qlCalendarAdvance(Calendar,X3416,NDays&amp;"D")</f>
        <v>63285</v>
      </c>
      <c r="Z3416" s="105" t="e">
        <v>#N/A</v>
      </c>
      <c r="AA3416" s="102" t="e">
        <v>#N/A</v>
      </c>
    </row>
    <row r="3417" spans="19:27" x14ac:dyDescent="0.2">
      <c r="S3417" s="61"/>
      <c r="T3417" s="82"/>
      <c r="W3417" s="103" t="str">
        <f t="shared" si="62"/>
        <v>1w</v>
      </c>
      <c r="X3417" s="101">
        <f>_xll.qlCalendarAdvance(Calendar,X3416,W3417,"f",FALSE)</f>
        <v>63290</v>
      </c>
      <c r="Y3417" s="104">
        <f>_xll.qlCalendarAdvance(Calendar,X3417,NDays&amp;"D")</f>
        <v>63292</v>
      </c>
      <c r="Z3417" s="105" t="e">
        <v>#N/A</v>
      </c>
      <c r="AA3417" s="102" t="e">
        <v>#N/A</v>
      </c>
    </row>
    <row r="3418" spans="19:27" x14ac:dyDescent="0.2">
      <c r="S3418" s="61"/>
      <c r="T3418" s="82"/>
      <c r="W3418" s="103" t="str">
        <f t="shared" si="62"/>
        <v>1w</v>
      </c>
      <c r="X3418" s="101">
        <f>_xll.qlCalendarAdvance(Calendar,X3417,W3418,"f",FALSE)</f>
        <v>63297</v>
      </c>
      <c r="Y3418" s="104">
        <f>_xll.qlCalendarAdvance(Calendar,X3418,NDays&amp;"D")</f>
        <v>63299</v>
      </c>
      <c r="Z3418" s="105" t="e">
        <v>#N/A</v>
      </c>
      <c r="AA3418" s="102" t="e">
        <v>#N/A</v>
      </c>
    </row>
    <row r="3419" spans="19:27" x14ac:dyDescent="0.2">
      <c r="S3419" s="61"/>
      <c r="T3419" s="82"/>
      <c r="W3419" s="103" t="str">
        <f t="shared" si="62"/>
        <v>1w</v>
      </c>
      <c r="X3419" s="101">
        <f>_xll.qlCalendarAdvance(Calendar,X3418,W3419,"f",FALSE)</f>
        <v>63304</v>
      </c>
      <c r="Y3419" s="104">
        <f>_xll.qlCalendarAdvance(Calendar,X3419,NDays&amp;"D")</f>
        <v>63306</v>
      </c>
      <c r="Z3419" s="105" t="e">
        <v>#N/A</v>
      </c>
      <c r="AA3419" s="102" t="e">
        <v>#N/A</v>
      </c>
    </row>
    <row r="3420" spans="19:27" x14ac:dyDescent="0.2">
      <c r="S3420" s="61"/>
      <c r="T3420" s="82"/>
      <c r="W3420" s="103" t="str">
        <f t="shared" si="62"/>
        <v>1w</v>
      </c>
      <c r="X3420" s="101">
        <f>_xll.qlCalendarAdvance(Calendar,X3419,W3420,"f",FALSE)</f>
        <v>63311</v>
      </c>
      <c r="Y3420" s="104">
        <f>_xll.qlCalendarAdvance(Calendar,X3420,NDays&amp;"D")</f>
        <v>63314</v>
      </c>
      <c r="Z3420" s="105" t="e">
        <v>#N/A</v>
      </c>
      <c r="AA3420" s="102" t="e">
        <v>#N/A</v>
      </c>
    </row>
    <row r="3421" spans="19:27" x14ac:dyDescent="0.2">
      <c r="S3421" s="61"/>
      <c r="T3421" s="82"/>
      <c r="W3421" s="103" t="str">
        <f t="shared" si="62"/>
        <v>1w</v>
      </c>
      <c r="X3421" s="101">
        <f>_xll.qlCalendarAdvance(Calendar,X3420,W3421,"f",FALSE)</f>
        <v>63318</v>
      </c>
      <c r="Y3421" s="104">
        <f>_xll.qlCalendarAdvance(Calendar,X3421,NDays&amp;"D")</f>
        <v>63320</v>
      </c>
      <c r="Z3421" s="105" t="e">
        <v>#N/A</v>
      </c>
      <c r="AA3421" s="102" t="e">
        <v>#N/A</v>
      </c>
    </row>
    <row r="3422" spans="19:27" x14ac:dyDescent="0.2">
      <c r="S3422" s="61"/>
      <c r="T3422" s="82"/>
      <c r="W3422" s="103" t="str">
        <f t="shared" si="62"/>
        <v>1w</v>
      </c>
      <c r="X3422" s="101">
        <f>_xll.qlCalendarAdvance(Calendar,X3421,W3422,"f",FALSE)</f>
        <v>63325</v>
      </c>
      <c r="Y3422" s="104">
        <f>_xll.qlCalendarAdvance(Calendar,X3422,NDays&amp;"D")</f>
        <v>63327</v>
      </c>
      <c r="Z3422" s="105" t="e">
        <v>#N/A</v>
      </c>
      <c r="AA3422" s="102" t="e">
        <v>#N/A</v>
      </c>
    </row>
    <row r="3423" spans="19:27" x14ac:dyDescent="0.2">
      <c r="S3423" s="61"/>
      <c r="T3423" s="82"/>
      <c r="W3423" s="103" t="str">
        <f t="shared" si="62"/>
        <v>1w</v>
      </c>
      <c r="X3423" s="101">
        <f>_xll.qlCalendarAdvance(Calendar,X3422,W3423,"f",FALSE)</f>
        <v>63332</v>
      </c>
      <c r="Y3423" s="104">
        <f>_xll.qlCalendarAdvance(Calendar,X3423,NDays&amp;"D")</f>
        <v>63334</v>
      </c>
      <c r="Z3423" s="105" t="e">
        <v>#N/A</v>
      </c>
      <c r="AA3423" s="102" t="e">
        <v>#N/A</v>
      </c>
    </row>
    <row r="3424" spans="19:27" x14ac:dyDescent="0.2">
      <c r="S3424" s="61"/>
      <c r="T3424" s="82"/>
      <c r="W3424" s="103" t="str">
        <f t="shared" si="62"/>
        <v>1w</v>
      </c>
      <c r="X3424" s="101">
        <f>_xll.qlCalendarAdvance(Calendar,X3423,W3424,"f",FALSE)</f>
        <v>63339</v>
      </c>
      <c r="Y3424" s="104">
        <f>_xll.qlCalendarAdvance(Calendar,X3424,NDays&amp;"D")</f>
        <v>63341</v>
      </c>
      <c r="Z3424" s="105" t="e">
        <v>#N/A</v>
      </c>
      <c r="AA3424" s="102" t="e">
        <v>#N/A</v>
      </c>
    </row>
    <row r="3425" spans="19:27" x14ac:dyDescent="0.2">
      <c r="S3425" s="61"/>
      <c r="T3425" s="82"/>
      <c r="W3425" s="103" t="str">
        <f t="shared" si="62"/>
        <v>1w</v>
      </c>
      <c r="X3425" s="101">
        <f>_xll.qlCalendarAdvance(Calendar,X3424,W3425,"f",FALSE)</f>
        <v>63346</v>
      </c>
      <c r="Y3425" s="104">
        <f>_xll.qlCalendarAdvance(Calendar,X3425,NDays&amp;"D")</f>
        <v>63348</v>
      </c>
      <c r="Z3425" s="105" t="e">
        <v>#N/A</v>
      </c>
      <c r="AA3425" s="102" t="e">
        <v>#N/A</v>
      </c>
    </row>
    <row r="3426" spans="19:27" x14ac:dyDescent="0.2">
      <c r="S3426" s="61"/>
      <c r="T3426" s="82"/>
      <c r="W3426" s="103" t="str">
        <f t="shared" si="62"/>
        <v>1w</v>
      </c>
      <c r="X3426" s="101">
        <f>_xll.qlCalendarAdvance(Calendar,X3425,W3426,"f",FALSE)</f>
        <v>63353</v>
      </c>
      <c r="Y3426" s="104">
        <f>_xll.qlCalendarAdvance(Calendar,X3426,NDays&amp;"D")</f>
        <v>63355</v>
      </c>
      <c r="Z3426" s="105" t="e">
        <v>#N/A</v>
      </c>
      <c r="AA3426" s="102" t="e">
        <v>#N/A</v>
      </c>
    </row>
    <row r="3427" spans="19:27" x14ac:dyDescent="0.2">
      <c r="S3427" s="61"/>
      <c r="T3427" s="82"/>
      <c r="W3427" s="103" t="str">
        <f t="shared" si="62"/>
        <v>1w</v>
      </c>
      <c r="X3427" s="101">
        <f>_xll.qlCalendarAdvance(Calendar,X3426,W3427,"f",FALSE)</f>
        <v>63360</v>
      </c>
      <c r="Y3427" s="104">
        <f>_xll.qlCalendarAdvance(Calendar,X3427,NDays&amp;"D")</f>
        <v>63362</v>
      </c>
      <c r="Z3427" s="105" t="e">
        <v>#N/A</v>
      </c>
      <c r="AA3427" s="102" t="e">
        <v>#N/A</v>
      </c>
    </row>
    <row r="3428" spans="19:27" x14ac:dyDescent="0.2">
      <c r="S3428" s="61"/>
      <c r="T3428" s="82"/>
      <c r="W3428" s="103" t="str">
        <f t="shared" si="62"/>
        <v>1w</v>
      </c>
      <c r="X3428" s="101">
        <f>_xll.qlCalendarAdvance(Calendar,X3427,W3428,"f",FALSE)</f>
        <v>63367</v>
      </c>
      <c r="Y3428" s="104">
        <f>_xll.qlCalendarAdvance(Calendar,X3428,NDays&amp;"D")</f>
        <v>63369</v>
      </c>
      <c r="Z3428" s="105" t="e">
        <v>#N/A</v>
      </c>
      <c r="AA3428" s="102" t="e">
        <v>#N/A</v>
      </c>
    </row>
    <row r="3429" spans="19:27" x14ac:dyDescent="0.2">
      <c r="S3429" s="61"/>
      <c r="T3429" s="82"/>
      <c r="W3429" s="103" t="str">
        <f t="shared" si="62"/>
        <v>1w</v>
      </c>
      <c r="X3429" s="101">
        <f>_xll.qlCalendarAdvance(Calendar,X3428,W3429,"f",FALSE)</f>
        <v>63374</v>
      </c>
      <c r="Y3429" s="104">
        <f>_xll.qlCalendarAdvance(Calendar,X3429,NDays&amp;"D")</f>
        <v>63376</v>
      </c>
      <c r="Z3429" s="105" t="e">
        <v>#N/A</v>
      </c>
      <c r="AA3429" s="102" t="e">
        <v>#N/A</v>
      </c>
    </row>
    <row r="3430" spans="19:27" x14ac:dyDescent="0.2">
      <c r="S3430" s="61"/>
      <c r="T3430" s="82"/>
      <c r="W3430" s="103" t="str">
        <f t="shared" si="62"/>
        <v>1w</v>
      </c>
      <c r="X3430" s="101">
        <f>_xll.qlCalendarAdvance(Calendar,X3429,W3430,"f",FALSE)</f>
        <v>63381</v>
      </c>
      <c r="Y3430" s="104">
        <f>_xll.qlCalendarAdvance(Calendar,X3430,NDays&amp;"D")</f>
        <v>63383</v>
      </c>
      <c r="Z3430" s="105" t="e">
        <v>#N/A</v>
      </c>
      <c r="AA3430" s="102" t="e">
        <v>#N/A</v>
      </c>
    </row>
    <row r="3431" spans="19:27" x14ac:dyDescent="0.2">
      <c r="S3431" s="61"/>
      <c r="T3431" s="82"/>
      <c r="W3431" s="103" t="str">
        <f t="shared" si="62"/>
        <v>1w</v>
      </c>
      <c r="X3431" s="101">
        <f>_xll.qlCalendarAdvance(Calendar,X3430,W3431,"f",FALSE)</f>
        <v>63388</v>
      </c>
      <c r="Y3431" s="104">
        <f>_xll.qlCalendarAdvance(Calendar,X3431,NDays&amp;"D")</f>
        <v>63390</v>
      </c>
      <c r="Z3431" s="105" t="e">
        <v>#N/A</v>
      </c>
      <c r="AA3431" s="102" t="e">
        <v>#N/A</v>
      </c>
    </row>
    <row r="3432" spans="19:27" x14ac:dyDescent="0.2">
      <c r="S3432" s="61"/>
      <c r="T3432" s="82"/>
      <c r="W3432" s="103" t="str">
        <f t="shared" si="62"/>
        <v>1w</v>
      </c>
      <c r="X3432" s="101">
        <f>_xll.qlCalendarAdvance(Calendar,X3431,W3432,"f",FALSE)</f>
        <v>63395</v>
      </c>
      <c r="Y3432" s="104">
        <f>_xll.qlCalendarAdvance(Calendar,X3432,NDays&amp;"D")</f>
        <v>63397</v>
      </c>
      <c r="Z3432" s="105" t="e">
        <v>#N/A</v>
      </c>
      <c r="AA3432" s="102" t="e">
        <v>#N/A</v>
      </c>
    </row>
    <row r="3433" spans="19:27" x14ac:dyDescent="0.2">
      <c r="S3433" s="61"/>
      <c r="T3433" s="82"/>
      <c r="W3433" s="103" t="str">
        <f t="shared" si="62"/>
        <v>1w</v>
      </c>
      <c r="X3433" s="101">
        <f>_xll.qlCalendarAdvance(Calendar,X3432,W3433,"f",FALSE)</f>
        <v>63402</v>
      </c>
      <c r="Y3433" s="104">
        <f>_xll.qlCalendarAdvance(Calendar,X3433,NDays&amp;"D")</f>
        <v>63404</v>
      </c>
      <c r="Z3433" s="105" t="e">
        <v>#N/A</v>
      </c>
      <c r="AA3433" s="102" t="e">
        <v>#N/A</v>
      </c>
    </row>
    <row r="3434" spans="19:27" x14ac:dyDescent="0.2">
      <c r="S3434" s="61"/>
      <c r="T3434" s="82"/>
      <c r="W3434" s="103" t="str">
        <f t="shared" si="62"/>
        <v>1w</v>
      </c>
      <c r="X3434" s="101">
        <f>_xll.qlCalendarAdvance(Calendar,X3433,W3434,"f",FALSE)</f>
        <v>63409</v>
      </c>
      <c r="Y3434" s="104">
        <f>_xll.qlCalendarAdvance(Calendar,X3434,NDays&amp;"D")</f>
        <v>63411</v>
      </c>
      <c r="Z3434" s="105" t="e">
        <v>#N/A</v>
      </c>
      <c r="AA3434" s="102" t="e">
        <v>#N/A</v>
      </c>
    </row>
    <row r="3435" spans="19:27" x14ac:dyDescent="0.2">
      <c r="S3435" s="61"/>
      <c r="T3435" s="82"/>
      <c r="W3435" s="103" t="str">
        <f t="shared" si="62"/>
        <v>1w</v>
      </c>
      <c r="X3435" s="101">
        <f>_xll.qlCalendarAdvance(Calendar,X3434,W3435,"f",FALSE)</f>
        <v>63416</v>
      </c>
      <c r="Y3435" s="104">
        <f>_xll.qlCalendarAdvance(Calendar,X3435,NDays&amp;"D")</f>
        <v>63418</v>
      </c>
      <c r="Z3435" s="105" t="e">
        <v>#N/A</v>
      </c>
      <c r="AA3435" s="102" t="e">
        <v>#N/A</v>
      </c>
    </row>
    <row r="3436" spans="19:27" x14ac:dyDescent="0.2">
      <c r="S3436" s="61"/>
      <c r="T3436" s="82"/>
      <c r="W3436" s="103" t="str">
        <f t="shared" si="62"/>
        <v>1w</v>
      </c>
      <c r="X3436" s="101">
        <f>_xll.qlCalendarAdvance(Calendar,X3435,W3436,"f",FALSE)</f>
        <v>63423</v>
      </c>
      <c r="Y3436" s="104">
        <f>_xll.qlCalendarAdvance(Calendar,X3436,NDays&amp;"D")</f>
        <v>63425</v>
      </c>
      <c r="Z3436" s="105" t="e">
        <v>#N/A</v>
      </c>
      <c r="AA3436" s="102" t="e">
        <v>#N/A</v>
      </c>
    </row>
    <row r="3437" spans="19:27" x14ac:dyDescent="0.2">
      <c r="S3437" s="61"/>
      <c r="T3437" s="82"/>
      <c r="W3437" s="103" t="str">
        <f t="shared" si="62"/>
        <v>1w</v>
      </c>
      <c r="X3437" s="101">
        <f>_xll.qlCalendarAdvance(Calendar,X3436,W3437,"f",FALSE)</f>
        <v>63430</v>
      </c>
      <c r="Y3437" s="104">
        <f>_xll.qlCalendarAdvance(Calendar,X3437,NDays&amp;"D")</f>
        <v>63432</v>
      </c>
      <c r="Z3437" s="105" t="e">
        <v>#N/A</v>
      </c>
      <c r="AA3437" s="102" t="e">
        <v>#N/A</v>
      </c>
    </row>
    <row r="3438" spans="19:27" x14ac:dyDescent="0.2">
      <c r="S3438" s="61"/>
      <c r="T3438" s="82"/>
      <c r="W3438" s="103" t="str">
        <f t="shared" si="62"/>
        <v>1w</v>
      </c>
      <c r="X3438" s="101">
        <f>_xll.qlCalendarAdvance(Calendar,X3437,W3438,"f",FALSE)</f>
        <v>63437</v>
      </c>
      <c r="Y3438" s="104">
        <f>_xll.qlCalendarAdvance(Calendar,X3438,NDays&amp;"D")</f>
        <v>63439</v>
      </c>
      <c r="Z3438" s="105" t="e">
        <v>#N/A</v>
      </c>
      <c r="AA3438" s="102" t="e">
        <v>#N/A</v>
      </c>
    </row>
    <row r="3439" spans="19:27" x14ac:dyDescent="0.2">
      <c r="S3439" s="61"/>
      <c r="T3439" s="82"/>
      <c r="W3439" s="103" t="str">
        <f t="shared" si="62"/>
        <v>1w</v>
      </c>
      <c r="X3439" s="101">
        <f>_xll.qlCalendarAdvance(Calendar,X3438,W3439,"f",FALSE)</f>
        <v>63444</v>
      </c>
      <c r="Y3439" s="104">
        <f>_xll.qlCalendarAdvance(Calendar,X3439,NDays&amp;"D")</f>
        <v>63446</v>
      </c>
      <c r="Z3439" s="105" t="e">
        <v>#N/A</v>
      </c>
      <c r="AA3439" s="102" t="e">
        <v>#N/A</v>
      </c>
    </row>
    <row r="3440" spans="19:27" x14ac:dyDescent="0.2">
      <c r="S3440" s="61"/>
      <c r="T3440" s="82"/>
      <c r="W3440" s="103" t="str">
        <f t="shared" si="62"/>
        <v>1w</v>
      </c>
      <c r="X3440" s="101">
        <f>_xll.qlCalendarAdvance(Calendar,X3439,W3440,"f",FALSE)</f>
        <v>63451</v>
      </c>
      <c r="Y3440" s="104">
        <f>_xll.qlCalendarAdvance(Calendar,X3440,NDays&amp;"D")</f>
        <v>63453</v>
      </c>
      <c r="Z3440" s="105" t="e">
        <v>#N/A</v>
      </c>
      <c r="AA3440" s="102" t="e">
        <v>#N/A</v>
      </c>
    </row>
    <row r="3441" spans="19:27" x14ac:dyDescent="0.2">
      <c r="S3441" s="61"/>
      <c r="T3441" s="82"/>
      <c r="W3441" s="103" t="str">
        <f t="shared" si="62"/>
        <v>1w</v>
      </c>
      <c r="X3441" s="101">
        <f>_xll.qlCalendarAdvance(Calendar,X3440,W3441,"f",FALSE)</f>
        <v>63458</v>
      </c>
      <c r="Y3441" s="104">
        <f>_xll.qlCalendarAdvance(Calendar,X3441,NDays&amp;"D")</f>
        <v>63460</v>
      </c>
      <c r="Z3441" s="105" t="e">
        <v>#N/A</v>
      </c>
      <c r="AA3441" s="102" t="e">
        <v>#N/A</v>
      </c>
    </row>
    <row r="3442" spans="19:27" x14ac:dyDescent="0.2">
      <c r="S3442" s="61"/>
      <c r="T3442" s="82"/>
      <c r="W3442" s="103" t="str">
        <f t="shared" si="62"/>
        <v>1w</v>
      </c>
      <c r="X3442" s="101">
        <f>_xll.qlCalendarAdvance(Calendar,X3441,W3442,"f",FALSE)</f>
        <v>63465</v>
      </c>
      <c r="Y3442" s="104">
        <f>_xll.qlCalendarAdvance(Calendar,X3442,NDays&amp;"D")</f>
        <v>63467</v>
      </c>
      <c r="Z3442" s="105" t="e">
        <v>#N/A</v>
      </c>
      <c r="AA3442" s="102" t="e">
        <v>#N/A</v>
      </c>
    </row>
    <row r="3443" spans="19:27" x14ac:dyDescent="0.2">
      <c r="S3443" s="61"/>
      <c r="T3443" s="82"/>
      <c r="W3443" s="103" t="str">
        <f t="shared" si="62"/>
        <v>1w</v>
      </c>
      <c r="X3443" s="101">
        <f>_xll.qlCalendarAdvance(Calendar,X3442,W3443,"f",FALSE)</f>
        <v>63472</v>
      </c>
      <c r="Y3443" s="104">
        <f>_xll.qlCalendarAdvance(Calendar,X3443,NDays&amp;"D")</f>
        <v>63474</v>
      </c>
      <c r="Z3443" s="105" t="e">
        <v>#N/A</v>
      </c>
      <c r="AA3443" s="102" t="e">
        <v>#N/A</v>
      </c>
    </row>
    <row r="3444" spans="19:27" x14ac:dyDescent="0.2">
      <c r="S3444" s="61"/>
      <c r="T3444" s="82"/>
      <c r="W3444" s="103" t="str">
        <f t="shared" si="62"/>
        <v>1w</v>
      </c>
      <c r="X3444" s="101">
        <f>_xll.qlCalendarAdvance(Calendar,X3443,W3444,"f",FALSE)</f>
        <v>63479</v>
      </c>
      <c r="Y3444" s="104">
        <f>_xll.qlCalendarAdvance(Calendar,X3444,NDays&amp;"D")</f>
        <v>63481</v>
      </c>
      <c r="Z3444" s="105" t="e">
        <v>#N/A</v>
      </c>
      <c r="AA3444" s="102" t="e">
        <v>#N/A</v>
      </c>
    </row>
    <row r="3445" spans="19:27" x14ac:dyDescent="0.2">
      <c r="S3445" s="61"/>
      <c r="T3445" s="82"/>
      <c r="W3445" s="103" t="str">
        <f t="shared" si="62"/>
        <v>1w</v>
      </c>
      <c r="X3445" s="101">
        <f>_xll.qlCalendarAdvance(Calendar,X3444,W3445,"f",FALSE)</f>
        <v>63486</v>
      </c>
      <c r="Y3445" s="104">
        <f>_xll.qlCalendarAdvance(Calendar,X3445,NDays&amp;"D")</f>
        <v>63488</v>
      </c>
      <c r="Z3445" s="105" t="e">
        <v>#N/A</v>
      </c>
      <c r="AA3445" s="102" t="e">
        <v>#N/A</v>
      </c>
    </row>
    <row r="3446" spans="19:27" x14ac:dyDescent="0.2">
      <c r="S3446" s="61"/>
      <c r="T3446" s="82"/>
      <c r="W3446" s="103" t="str">
        <f t="shared" si="62"/>
        <v>1w</v>
      </c>
      <c r="X3446" s="101">
        <f>_xll.qlCalendarAdvance(Calendar,X3445,W3446,"f",FALSE)</f>
        <v>63493</v>
      </c>
      <c r="Y3446" s="104">
        <f>_xll.qlCalendarAdvance(Calendar,X3446,NDays&amp;"D")</f>
        <v>63495</v>
      </c>
      <c r="Z3446" s="105" t="e">
        <v>#N/A</v>
      </c>
      <c r="AA3446" s="102" t="e">
        <v>#N/A</v>
      </c>
    </row>
    <row r="3447" spans="19:27" x14ac:dyDescent="0.2">
      <c r="S3447" s="61"/>
      <c r="T3447" s="82"/>
      <c r="W3447" s="103" t="str">
        <f t="shared" si="62"/>
        <v>1w</v>
      </c>
      <c r="X3447" s="101">
        <f>_xll.qlCalendarAdvance(Calendar,X3446,W3447,"f",FALSE)</f>
        <v>63500</v>
      </c>
      <c r="Y3447" s="104">
        <f>_xll.qlCalendarAdvance(Calendar,X3447,NDays&amp;"D")</f>
        <v>63502</v>
      </c>
      <c r="Z3447" s="105" t="e">
        <v>#N/A</v>
      </c>
      <c r="AA3447" s="102" t="e">
        <v>#N/A</v>
      </c>
    </row>
    <row r="3448" spans="19:27" x14ac:dyDescent="0.2">
      <c r="S3448" s="61"/>
      <c r="T3448" s="82"/>
      <c r="W3448" s="103" t="str">
        <f t="shared" si="62"/>
        <v>1w</v>
      </c>
      <c r="X3448" s="101">
        <f>_xll.qlCalendarAdvance(Calendar,X3447,W3448,"f",FALSE)</f>
        <v>63507</v>
      </c>
      <c r="Y3448" s="104">
        <f>_xll.qlCalendarAdvance(Calendar,X3448,NDays&amp;"D")</f>
        <v>63509</v>
      </c>
      <c r="Z3448" s="105" t="e">
        <v>#N/A</v>
      </c>
      <c r="AA3448" s="102" t="e">
        <v>#N/A</v>
      </c>
    </row>
    <row r="3449" spans="19:27" x14ac:dyDescent="0.2">
      <c r="S3449" s="61"/>
      <c r="T3449" s="82"/>
      <c r="W3449" s="103" t="str">
        <f t="shared" si="62"/>
        <v>1w</v>
      </c>
      <c r="X3449" s="101">
        <f>_xll.qlCalendarAdvance(Calendar,X3448,W3449,"f",FALSE)</f>
        <v>63514</v>
      </c>
      <c r="Y3449" s="104">
        <f>_xll.qlCalendarAdvance(Calendar,X3449,NDays&amp;"D")</f>
        <v>63516</v>
      </c>
      <c r="Z3449" s="105" t="e">
        <v>#N/A</v>
      </c>
      <c r="AA3449" s="102" t="e">
        <v>#N/A</v>
      </c>
    </row>
    <row r="3450" spans="19:27" x14ac:dyDescent="0.2">
      <c r="S3450" s="61"/>
      <c r="T3450" s="82"/>
      <c r="W3450" s="103" t="str">
        <f t="shared" si="62"/>
        <v>1w</v>
      </c>
      <c r="X3450" s="101">
        <f>_xll.qlCalendarAdvance(Calendar,X3449,W3450,"f",FALSE)</f>
        <v>63521</v>
      </c>
      <c r="Y3450" s="104">
        <f>_xll.qlCalendarAdvance(Calendar,X3450,NDays&amp;"D")</f>
        <v>63523</v>
      </c>
      <c r="Z3450" s="105" t="e">
        <v>#N/A</v>
      </c>
      <c r="AA3450" s="102" t="e">
        <v>#N/A</v>
      </c>
    </row>
    <row r="3451" spans="19:27" x14ac:dyDescent="0.2">
      <c r="S3451" s="61"/>
      <c r="T3451" s="82"/>
      <c r="W3451" s="103" t="str">
        <f t="shared" si="62"/>
        <v>1w</v>
      </c>
      <c r="X3451" s="101">
        <f>_xll.qlCalendarAdvance(Calendar,X3450,W3451,"f",FALSE)</f>
        <v>63528</v>
      </c>
      <c r="Y3451" s="104">
        <f>_xll.qlCalendarAdvance(Calendar,X3451,NDays&amp;"D")</f>
        <v>63530</v>
      </c>
      <c r="Z3451" s="105" t="e">
        <v>#N/A</v>
      </c>
      <c r="AA3451" s="102" t="e">
        <v>#N/A</v>
      </c>
    </row>
    <row r="3452" spans="19:27" x14ac:dyDescent="0.2">
      <c r="S3452" s="61"/>
      <c r="T3452" s="82"/>
      <c r="W3452" s="103" t="str">
        <f t="shared" si="62"/>
        <v>1w</v>
      </c>
      <c r="X3452" s="101">
        <f>_xll.qlCalendarAdvance(Calendar,X3451,W3452,"f",FALSE)</f>
        <v>63535</v>
      </c>
      <c r="Y3452" s="104">
        <f>_xll.qlCalendarAdvance(Calendar,X3452,NDays&amp;"D")</f>
        <v>63537</v>
      </c>
      <c r="Z3452" s="105" t="e">
        <v>#N/A</v>
      </c>
      <c r="AA3452" s="102" t="e">
        <v>#N/A</v>
      </c>
    </row>
    <row r="3453" spans="19:27" x14ac:dyDescent="0.2">
      <c r="S3453" s="61"/>
      <c r="T3453" s="82"/>
      <c r="W3453" s="103" t="str">
        <f t="shared" si="62"/>
        <v>1w</v>
      </c>
      <c r="X3453" s="101">
        <f>_xll.qlCalendarAdvance(Calendar,X3452,W3453,"f",FALSE)</f>
        <v>63542</v>
      </c>
      <c r="Y3453" s="104">
        <f>_xll.qlCalendarAdvance(Calendar,X3453,NDays&amp;"D")</f>
        <v>63544</v>
      </c>
      <c r="Z3453" s="105" t="e">
        <v>#N/A</v>
      </c>
      <c r="AA3453" s="102" t="e">
        <v>#N/A</v>
      </c>
    </row>
    <row r="3454" spans="19:27" x14ac:dyDescent="0.2">
      <c r="S3454" s="61"/>
      <c r="T3454" s="82"/>
      <c r="W3454" s="103" t="str">
        <f t="shared" si="62"/>
        <v>1w</v>
      </c>
      <c r="X3454" s="101">
        <f>_xll.qlCalendarAdvance(Calendar,X3453,W3454,"f",FALSE)</f>
        <v>63550</v>
      </c>
      <c r="Y3454" s="104">
        <f>_xll.qlCalendarAdvance(Calendar,X3454,NDays&amp;"D")</f>
        <v>63552</v>
      </c>
      <c r="Z3454" s="105" t="e">
        <v>#N/A</v>
      </c>
      <c r="AA3454" s="102" t="e">
        <v>#N/A</v>
      </c>
    </row>
    <row r="3455" spans="19:27" x14ac:dyDescent="0.2">
      <c r="S3455" s="61"/>
      <c r="T3455" s="82"/>
      <c r="W3455" s="103" t="str">
        <f t="shared" si="62"/>
        <v>1w</v>
      </c>
      <c r="X3455" s="101">
        <f>_xll.qlCalendarAdvance(Calendar,X3454,W3455,"f",FALSE)</f>
        <v>63557</v>
      </c>
      <c r="Y3455" s="104">
        <f>_xll.qlCalendarAdvance(Calendar,X3455,NDays&amp;"D")</f>
        <v>63559</v>
      </c>
      <c r="Z3455" s="105" t="e">
        <v>#N/A</v>
      </c>
      <c r="AA3455" s="102" t="e">
        <v>#N/A</v>
      </c>
    </row>
    <row r="3456" spans="19:27" x14ac:dyDescent="0.2">
      <c r="S3456" s="61"/>
      <c r="T3456" s="82"/>
      <c r="W3456" s="103" t="str">
        <f t="shared" si="62"/>
        <v>1w</v>
      </c>
      <c r="X3456" s="101">
        <f>_xll.qlCalendarAdvance(Calendar,X3455,W3456,"f",FALSE)</f>
        <v>63564</v>
      </c>
      <c r="Y3456" s="104">
        <f>_xll.qlCalendarAdvance(Calendar,X3456,NDays&amp;"D")</f>
        <v>63566</v>
      </c>
      <c r="Z3456" s="105" t="e">
        <v>#N/A</v>
      </c>
      <c r="AA3456" s="102" t="e">
        <v>#N/A</v>
      </c>
    </row>
    <row r="3457" spans="19:27" x14ac:dyDescent="0.2">
      <c r="S3457" s="61"/>
      <c r="T3457" s="82"/>
      <c r="W3457" s="103" t="str">
        <f t="shared" si="62"/>
        <v>1w</v>
      </c>
      <c r="X3457" s="101">
        <f>_xll.qlCalendarAdvance(Calendar,X3456,W3457,"f",FALSE)</f>
        <v>63571</v>
      </c>
      <c r="Y3457" s="104">
        <f>_xll.qlCalendarAdvance(Calendar,X3457,NDays&amp;"D")</f>
        <v>63573</v>
      </c>
      <c r="Z3457" s="105" t="e">
        <v>#N/A</v>
      </c>
      <c r="AA3457" s="102" t="e">
        <v>#N/A</v>
      </c>
    </row>
    <row r="3458" spans="19:27" x14ac:dyDescent="0.2">
      <c r="S3458" s="61"/>
      <c r="T3458" s="82"/>
      <c r="W3458" s="103" t="str">
        <f t="shared" si="62"/>
        <v>1w</v>
      </c>
      <c r="X3458" s="101">
        <f>_xll.qlCalendarAdvance(Calendar,X3457,W3458,"f",FALSE)</f>
        <v>63578</v>
      </c>
      <c r="Y3458" s="104">
        <f>_xll.qlCalendarAdvance(Calendar,X3458,NDays&amp;"D")</f>
        <v>63580</v>
      </c>
      <c r="Z3458" s="105" t="e">
        <v>#N/A</v>
      </c>
      <c r="AA3458" s="102" t="e">
        <v>#N/A</v>
      </c>
    </row>
    <row r="3459" spans="19:27" x14ac:dyDescent="0.2">
      <c r="S3459" s="61"/>
      <c r="T3459" s="82"/>
      <c r="W3459" s="103" t="str">
        <f t="shared" si="62"/>
        <v>1w</v>
      </c>
      <c r="X3459" s="101">
        <f>_xll.qlCalendarAdvance(Calendar,X3458,W3459,"f",FALSE)</f>
        <v>63585</v>
      </c>
      <c r="Y3459" s="104">
        <f>_xll.qlCalendarAdvance(Calendar,X3459,NDays&amp;"D")</f>
        <v>63587</v>
      </c>
      <c r="Z3459" s="105" t="e">
        <v>#N/A</v>
      </c>
      <c r="AA3459" s="102" t="e">
        <v>#N/A</v>
      </c>
    </row>
    <row r="3460" spans="19:27" x14ac:dyDescent="0.2">
      <c r="S3460" s="61"/>
      <c r="T3460" s="82"/>
      <c r="W3460" s="103" t="str">
        <f t="shared" si="62"/>
        <v>1w</v>
      </c>
      <c r="X3460" s="101">
        <f>_xll.qlCalendarAdvance(Calendar,X3459,W3460,"f",FALSE)</f>
        <v>63592</v>
      </c>
      <c r="Y3460" s="104">
        <f>_xll.qlCalendarAdvance(Calendar,X3460,NDays&amp;"D")</f>
        <v>63594</v>
      </c>
      <c r="Z3460" s="105" t="e">
        <v>#N/A</v>
      </c>
      <c r="AA3460" s="102" t="e">
        <v>#N/A</v>
      </c>
    </row>
    <row r="3461" spans="19:27" x14ac:dyDescent="0.2">
      <c r="S3461" s="61"/>
      <c r="T3461" s="82"/>
      <c r="W3461" s="103" t="str">
        <f t="shared" si="62"/>
        <v>1w</v>
      </c>
      <c r="X3461" s="101">
        <f>_xll.qlCalendarAdvance(Calendar,X3460,W3461,"f",FALSE)</f>
        <v>63599</v>
      </c>
      <c r="Y3461" s="104">
        <f>_xll.qlCalendarAdvance(Calendar,X3461,NDays&amp;"D")</f>
        <v>63601</v>
      </c>
      <c r="Z3461" s="105" t="e">
        <v>#N/A</v>
      </c>
      <c r="AA3461" s="102" t="e">
        <v>#N/A</v>
      </c>
    </row>
    <row r="3462" spans="19:27" x14ac:dyDescent="0.2">
      <c r="S3462" s="61"/>
      <c r="T3462" s="82"/>
      <c r="W3462" s="103" t="str">
        <f t="shared" si="62"/>
        <v>1w</v>
      </c>
      <c r="X3462" s="101">
        <f>_xll.qlCalendarAdvance(Calendar,X3461,W3462,"f",FALSE)</f>
        <v>63606</v>
      </c>
      <c r="Y3462" s="104">
        <f>_xll.qlCalendarAdvance(Calendar,X3462,NDays&amp;"D")</f>
        <v>63608</v>
      </c>
      <c r="Z3462" s="105" t="e">
        <v>#N/A</v>
      </c>
      <c r="AA3462" s="102" t="e">
        <v>#N/A</v>
      </c>
    </row>
    <row r="3463" spans="19:27" x14ac:dyDescent="0.2">
      <c r="S3463" s="61"/>
      <c r="T3463" s="82"/>
      <c r="W3463" s="103" t="str">
        <f t="shared" si="62"/>
        <v>1w</v>
      </c>
      <c r="X3463" s="101">
        <f>_xll.qlCalendarAdvance(Calendar,X3462,W3463,"f",FALSE)</f>
        <v>63613</v>
      </c>
      <c r="Y3463" s="104">
        <f>_xll.qlCalendarAdvance(Calendar,X3463,NDays&amp;"D")</f>
        <v>63615</v>
      </c>
      <c r="Z3463" s="105" t="e">
        <v>#N/A</v>
      </c>
      <c r="AA3463" s="102" t="e">
        <v>#N/A</v>
      </c>
    </row>
    <row r="3464" spans="19:27" x14ac:dyDescent="0.2">
      <c r="S3464" s="61"/>
      <c r="T3464" s="82"/>
      <c r="W3464" s="103" t="str">
        <f t="shared" si="62"/>
        <v>1w</v>
      </c>
      <c r="X3464" s="101">
        <f>_xll.qlCalendarAdvance(Calendar,X3463,W3464,"f",FALSE)</f>
        <v>63620</v>
      </c>
      <c r="Y3464" s="104">
        <f>_xll.qlCalendarAdvance(Calendar,X3464,NDays&amp;"D")</f>
        <v>63622</v>
      </c>
      <c r="Z3464" s="105" t="e">
        <v>#N/A</v>
      </c>
      <c r="AA3464" s="102" t="e">
        <v>#N/A</v>
      </c>
    </row>
    <row r="3465" spans="19:27" x14ac:dyDescent="0.2">
      <c r="S3465" s="61"/>
      <c r="T3465" s="82"/>
      <c r="W3465" s="103" t="str">
        <f t="shared" si="62"/>
        <v>1w</v>
      </c>
      <c r="X3465" s="101">
        <f>_xll.qlCalendarAdvance(Calendar,X3464,W3465,"f",FALSE)</f>
        <v>63627</v>
      </c>
      <c r="Y3465" s="104">
        <f>_xll.qlCalendarAdvance(Calendar,X3465,NDays&amp;"D")</f>
        <v>63629</v>
      </c>
      <c r="Z3465" s="105" t="e">
        <v>#N/A</v>
      </c>
      <c r="AA3465" s="102" t="e">
        <v>#N/A</v>
      </c>
    </row>
    <row r="3466" spans="19:27" x14ac:dyDescent="0.2">
      <c r="S3466" s="61"/>
      <c r="T3466" s="82"/>
      <c r="W3466" s="103" t="str">
        <f t="shared" si="62"/>
        <v>1w</v>
      </c>
      <c r="X3466" s="101">
        <f>_xll.qlCalendarAdvance(Calendar,X3465,W3466,"f",FALSE)</f>
        <v>63634</v>
      </c>
      <c r="Y3466" s="104">
        <f>_xll.qlCalendarAdvance(Calendar,X3466,NDays&amp;"D")</f>
        <v>63636</v>
      </c>
      <c r="Z3466" s="105" t="e">
        <v>#N/A</v>
      </c>
      <c r="AA3466" s="102" t="e">
        <v>#N/A</v>
      </c>
    </row>
    <row r="3467" spans="19:27" x14ac:dyDescent="0.2">
      <c r="S3467" s="61"/>
      <c r="T3467" s="82"/>
      <c r="W3467" s="103" t="str">
        <f t="shared" si="62"/>
        <v>1w</v>
      </c>
      <c r="X3467" s="101">
        <f>_xll.qlCalendarAdvance(Calendar,X3466,W3467,"f",FALSE)</f>
        <v>63641</v>
      </c>
      <c r="Y3467" s="104">
        <f>_xll.qlCalendarAdvance(Calendar,X3467,NDays&amp;"D")</f>
        <v>63643</v>
      </c>
      <c r="Z3467" s="105" t="e">
        <v>#N/A</v>
      </c>
      <c r="AA3467" s="102" t="e">
        <v>#N/A</v>
      </c>
    </row>
    <row r="3468" spans="19:27" x14ac:dyDescent="0.2">
      <c r="S3468" s="61"/>
      <c r="T3468" s="82"/>
      <c r="W3468" s="103" t="str">
        <f t="shared" si="62"/>
        <v>1w</v>
      </c>
      <c r="X3468" s="101">
        <f>_xll.qlCalendarAdvance(Calendar,X3467,W3468,"f",FALSE)</f>
        <v>63648</v>
      </c>
      <c r="Y3468" s="104">
        <f>_xll.qlCalendarAdvance(Calendar,X3468,NDays&amp;"D")</f>
        <v>63650</v>
      </c>
      <c r="Z3468" s="105" t="e">
        <v>#N/A</v>
      </c>
      <c r="AA3468" s="102" t="e">
        <v>#N/A</v>
      </c>
    </row>
    <row r="3469" spans="19:27" x14ac:dyDescent="0.2">
      <c r="S3469" s="61"/>
      <c r="T3469" s="82"/>
      <c r="W3469" s="103" t="str">
        <f t="shared" si="62"/>
        <v>1w</v>
      </c>
      <c r="X3469" s="101">
        <f>_xll.qlCalendarAdvance(Calendar,X3468,W3469,"f",FALSE)</f>
        <v>63655</v>
      </c>
      <c r="Y3469" s="104">
        <f>_xll.qlCalendarAdvance(Calendar,X3469,NDays&amp;"D")</f>
        <v>63661</v>
      </c>
      <c r="Z3469" s="105" t="e">
        <v>#N/A</v>
      </c>
      <c r="AA3469" s="102" t="e">
        <v>#N/A</v>
      </c>
    </row>
    <row r="3470" spans="19:27" x14ac:dyDescent="0.2">
      <c r="S3470" s="61"/>
      <c r="T3470" s="82"/>
      <c r="W3470" s="103" t="str">
        <f t="shared" si="62"/>
        <v>1w</v>
      </c>
      <c r="X3470" s="101">
        <f>_xll.qlCalendarAdvance(Calendar,X3469,W3470,"f",FALSE)</f>
        <v>63662</v>
      </c>
      <c r="Y3470" s="104">
        <f>_xll.qlCalendarAdvance(Calendar,X3470,NDays&amp;"D")</f>
        <v>63664</v>
      </c>
      <c r="Z3470" s="105" t="e">
        <v>#N/A</v>
      </c>
      <c r="AA3470" s="102" t="e">
        <v>#N/A</v>
      </c>
    </row>
    <row r="3471" spans="19:27" x14ac:dyDescent="0.2">
      <c r="S3471" s="61"/>
      <c r="T3471" s="82"/>
      <c r="W3471" s="103" t="str">
        <f t="shared" si="62"/>
        <v>1w</v>
      </c>
      <c r="X3471" s="101">
        <f>_xll.qlCalendarAdvance(Calendar,X3470,W3471,"f",FALSE)</f>
        <v>63669</v>
      </c>
      <c r="Y3471" s="104">
        <f>_xll.qlCalendarAdvance(Calendar,X3471,NDays&amp;"D")</f>
        <v>63671</v>
      </c>
      <c r="Z3471" s="105" t="e">
        <v>#N/A</v>
      </c>
      <c r="AA3471" s="102" t="e">
        <v>#N/A</v>
      </c>
    </row>
    <row r="3472" spans="19:27" x14ac:dyDescent="0.2">
      <c r="S3472" s="61"/>
      <c r="T3472" s="82"/>
      <c r="W3472" s="103" t="str">
        <f t="shared" si="62"/>
        <v>1w</v>
      </c>
      <c r="X3472" s="101">
        <f>_xll.qlCalendarAdvance(Calendar,X3471,W3472,"f",FALSE)</f>
        <v>63676</v>
      </c>
      <c r="Y3472" s="104">
        <f>_xll.qlCalendarAdvance(Calendar,X3472,NDays&amp;"D")</f>
        <v>63678</v>
      </c>
      <c r="Z3472" s="105" t="e">
        <v>#N/A</v>
      </c>
      <c r="AA3472" s="102" t="e">
        <v>#N/A</v>
      </c>
    </row>
    <row r="3473" spans="19:27" x14ac:dyDescent="0.2">
      <c r="S3473" s="61"/>
      <c r="T3473" s="82"/>
      <c r="W3473" s="103" t="str">
        <f t="shared" si="62"/>
        <v>1w</v>
      </c>
      <c r="X3473" s="101">
        <f>_xll.qlCalendarAdvance(Calendar,X3472,W3473,"f",FALSE)</f>
        <v>63683</v>
      </c>
      <c r="Y3473" s="104">
        <f>_xll.qlCalendarAdvance(Calendar,X3473,NDays&amp;"D")</f>
        <v>63685</v>
      </c>
      <c r="Z3473" s="105" t="e">
        <v>#N/A</v>
      </c>
      <c r="AA3473" s="102" t="e">
        <v>#N/A</v>
      </c>
    </row>
    <row r="3474" spans="19:27" x14ac:dyDescent="0.2">
      <c r="S3474" s="61"/>
      <c r="T3474" s="82"/>
      <c r="W3474" s="103" t="str">
        <f t="shared" si="62"/>
        <v>1w</v>
      </c>
      <c r="X3474" s="101">
        <f>_xll.qlCalendarAdvance(Calendar,X3473,W3474,"f",FALSE)</f>
        <v>63690</v>
      </c>
      <c r="Y3474" s="104">
        <f>_xll.qlCalendarAdvance(Calendar,X3474,NDays&amp;"D")</f>
        <v>63692</v>
      </c>
      <c r="Z3474" s="105" t="e">
        <v>#N/A</v>
      </c>
      <c r="AA3474" s="102" t="e">
        <v>#N/A</v>
      </c>
    </row>
    <row r="3475" spans="19:27" x14ac:dyDescent="0.2">
      <c r="S3475" s="61"/>
      <c r="T3475" s="82"/>
      <c r="W3475" s="103" t="str">
        <f t="shared" si="62"/>
        <v>1w</v>
      </c>
      <c r="X3475" s="101">
        <f>_xll.qlCalendarAdvance(Calendar,X3474,W3475,"f",FALSE)</f>
        <v>63697</v>
      </c>
      <c r="Y3475" s="104">
        <f>_xll.qlCalendarAdvance(Calendar,X3475,NDays&amp;"D")</f>
        <v>63702</v>
      </c>
      <c r="Z3475" s="105" t="e">
        <v>#N/A</v>
      </c>
      <c r="AA3475" s="102" t="e">
        <v>#N/A</v>
      </c>
    </row>
    <row r="3476" spans="19:27" x14ac:dyDescent="0.2">
      <c r="S3476" s="61"/>
      <c r="T3476" s="82"/>
      <c r="W3476" s="103" t="str">
        <f t="shared" si="62"/>
        <v>1w</v>
      </c>
      <c r="X3476" s="101">
        <f>_xll.qlCalendarAdvance(Calendar,X3475,W3476,"f",FALSE)</f>
        <v>63704</v>
      </c>
      <c r="Y3476" s="104">
        <f>_xll.qlCalendarAdvance(Calendar,X3476,NDays&amp;"D")</f>
        <v>63706</v>
      </c>
      <c r="Z3476" s="105" t="e">
        <v>#N/A</v>
      </c>
      <c r="AA3476" s="102" t="e">
        <v>#N/A</v>
      </c>
    </row>
    <row r="3477" spans="19:27" x14ac:dyDescent="0.2">
      <c r="S3477" s="61"/>
      <c r="T3477" s="82"/>
      <c r="W3477" s="103" t="str">
        <f t="shared" ref="W3477:W3540" si="63">W3476</f>
        <v>1w</v>
      </c>
      <c r="X3477" s="101">
        <f>_xll.qlCalendarAdvance(Calendar,X3476,W3477,"f",FALSE)</f>
        <v>63711</v>
      </c>
      <c r="Y3477" s="104">
        <f>_xll.qlCalendarAdvance(Calendar,X3477,NDays&amp;"D")</f>
        <v>63713</v>
      </c>
      <c r="Z3477" s="105" t="e">
        <v>#N/A</v>
      </c>
      <c r="AA3477" s="102" t="e">
        <v>#N/A</v>
      </c>
    </row>
    <row r="3478" spans="19:27" x14ac:dyDescent="0.2">
      <c r="S3478" s="61"/>
      <c r="T3478" s="82"/>
      <c r="W3478" s="103" t="str">
        <f t="shared" si="63"/>
        <v>1w</v>
      </c>
      <c r="X3478" s="101">
        <f>_xll.qlCalendarAdvance(Calendar,X3477,W3478,"f",FALSE)</f>
        <v>63718</v>
      </c>
      <c r="Y3478" s="104">
        <f>_xll.qlCalendarAdvance(Calendar,X3478,NDays&amp;"D")</f>
        <v>63720</v>
      </c>
      <c r="Z3478" s="105" t="e">
        <v>#N/A</v>
      </c>
      <c r="AA3478" s="102" t="e">
        <v>#N/A</v>
      </c>
    </row>
    <row r="3479" spans="19:27" x14ac:dyDescent="0.2">
      <c r="S3479" s="61"/>
      <c r="T3479" s="82"/>
      <c r="W3479" s="103" t="str">
        <f t="shared" si="63"/>
        <v>1w</v>
      </c>
      <c r="X3479" s="101">
        <f>_xll.qlCalendarAdvance(Calendar,X3478,W3479,"f",FALSE)</f>
        <v>63725</v>
      </c>
      <c r="Y3479" s="104">
        <f>_xll.qlCalendarAdvance(Calendar,X3479,NDays&amp;"D")</f>
        <v>63730</v>
      </c>
      <c r="Z3479" s="105" t="e">
        <v>#N/A</v>
      </c>
      <c r="AA3479" s="102" t="e">
        <v>#N/A</v>
      </c>
    </row>
    <row r="3480" spans="19:27" x14ac:dyDescent="0.2">
      <c r="S3480" s="61"/>
      <c r="T3480" s="82"/>
      <c r="W3480" s="103" t="str">
        <f t="shared" si="63"/>
        <v>1w</v>
      </c>
      <c r="X3480" s="101">
        <f>_xll.qlCalendarAdvance(Calendar,X3479,W3480,"f",FALSE)</f>
        <v>63732</v>
      </c>
      <c r="Y3480" s="104">
        <f>_xll.qlCalendarAdvance(Calendar,X3480,NDays&amp;"D")</f>
        <v>63734</v>
      </c>
      <c r="Z3480" s="105" t="e">
        <v>#N/A</v>
      </c>
      <c r="AA3480" s="102" t="e">
        <v>#N/A</v>
      </c>
    </row>
    <row r="3481" spans="19:27" x14ac:dyDescent="0.2">
      <c r="S3481" s="61"/>
      <c r="T3481" s="82"/>
      <c r="W3481" s="103" t="str">
        <f t="shared" si="63"/>
        <v>1w</v>
      </c>
      <c r="X3481" s="101">
        <f>_xll.qlCalendarAdvance(Calendar,X3480,W3481,"f",FALSE)</f>
        <v>63739</v>
      </c>
      <c r="Y3481" s="104">
        <f>_xll.qlCalendarAdvance(Calendar,X3481,NDays&amp;"D")</f>
        <v>63741</v>
      </c>
      <c r="Z3481" s="105" t="e">
        <v>#N/A</v>
      </c>
      <c r="AA3481" s="102" t="e">
        <v>#N/A</v>
      </c>
    </row>
    <row r="3482" spans="19:27" x14ac:dyDescent="0.2">
      <c r="S3482" s="61"/>
      <c r="T3482" s="82"/>
      <c r="W3482" s="103" t="str">
        <f t="shared" si="63"/>
        <v>1w</v>
      </c>
      <c r="X3482" s="101">
        <f>_xll.qlCalendarAdvance(Calendar,X3481,W3482,"f",FALSE)</f>
        <v>63746</v>
      </c>
      <c r="Y3482" s="104">
        <f>_xll.qlCalendarAdvance(Calendar,X3482,NDays&amp;"D")</f>
        <v>63748</v>
      </c>
      <c r="Z3482" s="105" t="e">
        <v>#N/A</v>
      </c>
      <c r="AA3482" s="102" t="e">
        <v>#N/A</v>
      </c>
    </row>
    <row r="3483" spans="19:27" x14ac:dyDescent="0.2">
      <c r="S3483" s="61"/>
      <c r="T3483" s="82"/>
      <c r="W3483" s="103" t="str">
        <f t="shared" si="63"/>
        <v>1w</v>
      </c>
      <c r="X3483" s="101">
        <f>_xll.qlCalendarAdvance(Calendar,X3482,W3483,"f",FALSE)</f>
        <v>63753</v>
      </c>
      <c r="Y3483" s="104">
        <f>_xll.qlCalendarAdvance(Calendar,X3483,NDays&amp;"D")</f>
        <v>63755</v>
      </c>
      <c r="Z3483" s="105" t="e">
        <v>#N/A</v>
      </c>
      <c r="AA3483" s="102" t="e">
        <v>#N/A</v>
      </c>
    </row>
    <row r="3484" spans="19:27" x14ac:dyDescent="0.2">
      <c r="S3484" s="61"/>
      <c r="T3484" s="82"/>
      <c r="W3484" s="103" t="str">
        <f t="shared" si="63"/>
        <v>1w</v>
      </c>
      <c r="X3484" s="101">
        <f>_xll.qlCalendarAdvance(Calendar,X3483,W3484,"f",FALSE)</f>
        <v>63760</v>
      </c>
      <c r="Y3484" s="104">
        <f>_xll.qlCalendarAdvance(Calendar,X3484,NDays&amp;"D")</f>
        <v>63762</v>
      </c>
      <c r="Z3484" s="105" t="e">
        <v>#N/A</v>
      </c>
      <c r="AA3484" s="102" t="e">
        <v>#N/A</v>
      </c>
    </row>
    <row r="3485" spans="19:27" x14ac:dyDescent="0.2">
      <c r="S3485" s="61"/>
      <c r="T3485" s="82"/>
      <c r="W3485" s="103" t="str">
        <f t="shared" si="63"/>
        <v>1w</v>
      </c>
      <c r="X3485" s="101">
        <f>_xll.qlCalendarAdvance(Calendar,X3484,W3485,"f",FALSE)</f>
        <v>63767</v>
      </c>
      <c r="Y3485" s="104">
        <f>_xll.qlCalendarAdvance(Calendar,X3485,NDays&amp;"D")</f>
        <v>63769</v>
      </c>
      <c r="Z3485" s="105" t="e">
        <v>#N/A</v>
      </c>
      <c r="AA3485" s="102" t="e">
        <v>#N/A</v>
      </c>
    </row>
    <row r="3486" spans="19:27" x14ac:dyDescent="0.2">
      <c r="S3486" s="61"/>
      <c r="T3486" s="82"/>
      <c r="W3486" s="103" t="str">
        <f t="shared" si="63"/>
        <v>1w</v>
      </c>
      <c r="X3486" s="101">
        <f>_xll.qlCalendarAdvance(Calendar,X3485,W3486,"f",FALSE)</f>
        <v>63774</v>
      </c>
      <c r="Y3486" s="104">
        <f>_xll.qlCalendarAdvance(Calendar,X3486,NDays&amp;"D")</f>
        <v>63776</v>
      </c>
      <c r="Z3486" s="105" t="e">
        <v>#N/A</v>
      </c>
      <c r="AA3486" s="102" t="e">
        <v>#N/A</v>
      </c>
    </row>
    <row r="3487" spans="19:27" x14ac:dyDescent="0.2">
      <c r="S3487" s="61"/>
      <c r="T3487" s="82"/>
      <c r="W3487" s="103" t="str">
        <f t="shared" si="63"/>
        <v>1w</v>
      </c>
      <c r="X3487" s="101">
        <f>_xll.qlCalendarAdvance(Calendar,X3486,W3487,"f",FALSE)</f>
        <v>63781</v>
      </c>
      <c r="Y3487" s="104">
        <f>_xll.qlCalendarAdvance(Calendar,X3487,NDays&amp;"D")</f>
        <v>63783</v>
      </c>
      <c r="Z3487" s="105" t="e">
        <v>#N/A</v>
      </c>
      <c r="AA3487" s="102" t="e">
        <v>#N/A</v>
      </c>
    </row>
    <row r="3488" spans="19:27" x14ac:dyDescent="0.2">
      <c r="S3488" s="61"/>
      <c r="T3488" s="82"/>
      <c r="W3488" s="103" t="str">
        <f t="shared" si="63"/>
        <v>1w</v>
      </c>
      <c r="X3488" s="101">
        <f>_xll.qlCalendarAdvance(Calendar,X3487,W3488,"f",FALSE)</f>
        <v>63788</v>
      </c>
      <c r="Y3488" s="104">
        <f>_xll.qlCalendarAdvance(Calendar,X3488,NDays&amp;"D")</f>
        <v>63790</v>
      </c>
      <c r="Z3488" s="105" t="e">
        <v>#N/A</v>
      </c>
      <c r="AA3488" s="102" t="e">
        <v>#N/A</v>
      </c>
    </row>
    <row r="3489" spans="19:27" x14ac:dyDescent="0.2">
      <c r="S3489" s="61"/>
      <c r="T3489" s="82"/>
      <c r="W3489" s="103" t="str">
        <f t="shared" si="63"/>
        <v>1w</v>
      </c>
      <c r="X3489" s="101">
        <f>_xll.qlCalendarAdvance(Calendar,X3488,W3489,"f",FALSE)</f>
        <v>63795</v>
      </c>
      <c r="Y3489" s="104">
        <f>_xll.qlCalendarAdvance(Calendar,X3489,NDays&amp;"D")</f>
        <v>63797</v>
      </c>
      <c r="Z3489" s="105" t="e">
        <v>#N/A</v>
      </c>
      <c r="AA3489" s="102" t="e">
        <v>#N/A</v>
      </c>
    </row>
    <row r="3490" spans="19:27" x14ac:dyDescent="0.2">
      <c r="S3490" s="61"/>
      <c r="T3490" s="82"/>
      <c r="W3490" s="103" t="str">
        <f t="shared" si="63"/>
        <v>1w</v>
      </c>
      <c r="X3490" s="101">
        <f>_xll.qlCalendarAdvance(Calendar,X3489,W3490,"f",FALSE)</f>
        <v>63802</v>
      </c>
      <c r="Y3490" s="104">
        <f>_xll.qlCalendarAdvance(Calendar,X3490,NDays&amp;"D")</f>
        <v>63804</v>
      </c>
      <c r="Z3490" s="105" t="e">
        <v>#N/A</v>
      </c>
      <c r="AA3490" s="102" t="e">
        <v>#N/A</v>
      </c>
    </row>
    <row r="3491" spans="19:27" x14ac:dyDescent="0.2">
      <c r="S3491" s="61"/>
      <c r="T3491" s="82"/>
      <c r="W3491" s="103" t="str">
        <f t="shared" si="63"/>
        <v>1w</v>
      </c>
      <c r="X3491" s="101">
        <f>_xll.qlCalendarAdvance(Calendar,X3490,W3491,"f",FALSE)</f>
        <v>63809</v>
      </c>
      <c r="Y3491" s="104">
        <f>_xll.qlCalendarAdvance(Calendar,X3491,NDays&amp;"D")</f>
        <v>63811</v>
      </c>
      <c r="Z3491" s="105" t="e">
        <v>#N/A</v>
      </c>
      <c r="AA3491" s="102" t="e">
        <v>#N/A</v>
      </c>
    </row>
    <row r="3492" spans="19:27" x14ac:dyDescent="0.2">
      <c r="S3492" s="61"/>
      <c r="T3492" s="82"/>
      <c r="W3492" s="103" t="str">
        <f t="shared" si="63"/>
        <v>1w</v>
      </c>
      <c r="X3492" s="101">
        <f>_xll.qlCalendarAdvance(Calendar,X3491,W3492,"f",FALSE)</f>
        <v>63816</v>
      </c>
      <c r="Y3492" s="104">
        <f>_xll.qlCalendarAdvance(Calendar,X3492,NDays&amp;"D")</f>
        <v>63818</v>
      </c>
      <c r="Z3492" s="105" t="e">
        <v>#N/A</v>
      </c>
      <c r="AA3492" s="102" t="e">
        <v>#N/A</v>
      </c>
    </row>
    <row r="3493" spans="19:27" x14ac:dyDescent="0.2">
      <c r="S3493" s="61"/>
      <c r="T3493" s="82"/>
      <c r="W3493" s="103" t="str">
        <f t="shared" si="63"/>
        <v>1w</v>
      </c>
      <c r="X3493" s="101">
        <f>_xll.qlCalendarAdvance(Calendar,X3492,W3493,"f",FALSE)</f>
        <v>63823</v>
      </c>
      <c r="Y3493" s="104">
        <f>_xll.qlCalendarAdvance(Calendar,X3493,NDays&amp;"D")</f>
        <v>63825</v>
      </c>
      <c r="Z3493" s="105" t="e">
        <v>#N/A</v>
      </c>
      <c r="AA3493" s="102" t="e">
        <v>#N/A</v>
      </c>
    </row>
    <row r="3494" spans="19:27" x14ac:dyDescent="0.2">
      <c r="S3494" s="61"/>
      <c r="T3494" s="82"/>
      <c r="W3494" s="103" t="str">
        <f t="shared" si="63"/>
        <v>1w</v>
      </c>
      <c r="X3494" s="101">
        <f>_xll.qlCalendarAdvance(Calendar,X3493,W3494,"f",FALSE)</f>
        <v>63830</v>
      </c>
      <c r="Y3494" s="104">
        <f>_xll.qlCalendarAdvance(Calendar,X3494,NDays&amp;"D")</f>
        <v>63832</v>
      </c>
      <c r="Z3494" s="105" t="e">
        <v>#N/A</v>
      </c>
      <c r="AA3494" s="102" t="e">
        <v>#N/A</v>
      </c>
    </row>
    <row r="3495" spans="19:27" x14ac:dyDescent="0.2">
      <c r="S3495" s="61"/>
      <c r="T3495" s="82"/>
      <c r="W3495" s="103" t="str">
        <f t="shared" si="63"/>
        <v>1w</v>
      </c>
      <c r="X3495" s="101">
        <f>_xll.qlCalendarAdvance(Calendar,X3494,W3495,"f",FALSE)</f>
        <v>63837</v>
      </c>
      <c r="Y3495" s="104">
        <f>_xll.qlCalendarAdvance(Calendar,X3495,NDays&amp;"D")</f>
        <v>63839</v>
      </c>
      <c r="Z3495" s="105" t="e">
        <v>#N/A</v>
      </c>
      <c r="AA3495" s="102" t="e">
        <v>#N/A</v>
      </c>
    </row>
    <row r="3496" spans="19:27" x14ac:dyDescent="0.2">
      <c r="S3496" s="61"/>
      <c r="T3496" s="82"/>
      <c r="W3496" s="103" t="str">
        <f t="shared" si="63"/>
        <v>1w</v>
      </c>
      <c r="X3496" s="101">
        <f>_xll.qlCalendarAdvance(Calendar,X3495,W3496,"f",FALSE)</f>
        <v>63844</v>
      </c>
      <c r="Y3496" s="104">
        <f>_xll.qlCalendarAdvance(Calendar,X3496,NDays&amp;"D")</f>
        <v>63846</v>
      </c>
      <c r="Z3496" s="105" t="e">
        <v>#N/A</v>
      </c>
      <c r="AA3496" s="102" t="e">
        <v>#N/A</v>
      </c>
    </row>
    <row r="3497" spans="19:27" x14ac:dyDescent="0.2">
      <c r="S3497" s="61"/>
      <c r="T3497" s="82"/>
      <c r="W3497" s="103" t="str">
        <f t="shared" si="63"/>
        <v>1w</v>
      </c>
      <c r="X3497" s="101">
        <f>_xll.qlCalendarAdvance(Calendar,X3496,W3497,"f",FALSE)</f>
        <v>63851</v>
      </c>
      <c r="Y3497" s="104">
        <f>_xll.qlCalendarAdvance(Calendar,X3497,NDays&amp;"D")</f>
        <v>63853</v>
      </c>
      <c r="Z3497" s="105" t="e">
        <v>#N/A</v>
      </c>
      <c r="AA3497" s="102" t="e">
        <v>#N/A</v>
      </c>
    </row>
    <row r="3498" spans="19:27" x14ac:dyDescent="0.2">
      <c r="S3498" s="61"/>
      <c r="T3498" s="82"/>
      <c r="W3498" s="103" t="str">
        <f t="shared" si="63"/>
        <v>1w</v>
      </c>
      <c r="X3498" s="101">
        <f>_xll.qlCalendarAdvance(Calendar,X3497,W3498,"f",FALSE)</f>
        <v>63858</v>
      </c>
      <c r="Y3498" s="104">
        <f>_xll.qlCalendarAdvance(Calendar,X3498,NDays&amp;"D")</f>
        <v>63860</v>
      </c>
      <c r="Z3498" s="105" t="e">
        <v>#N/A</v>
      </c>
      <c r="AA3498" s="102" t="e">
        <v>#N/A</v>
      </c>
    </row>
    <row r="3499" spans="19:27" x14ac:dyDescent="0.2">
      <c r="S3499" s="61"/>
      <c r="T3499" s="82"/>
      <c r="W3499" s="103" t="str">
        <f t="shared" si="63"/>
        <v>1w</v>
      </c>
      <c r="X3499" s="101">
        <f>_xll.qlCalendarAdvance(Calendar,X3498,W3499,"f",FALSE)</f>
        <v>63865</v>
      </c>
      <c r="Y3499" s="104">
        <f>_xll.qlCalendarAdvance(Calendar,X3499,NDays&amp;"D")</f>
        <v>63867</v>
      </c>
      <c r="Z3499" s="105" t="e">
        <v>#N/A</v>
      </c>
      <c r="AA3499" s="102" t="e">
        <v>#N/A</v>
      </c>
    </row>
    <row r="3500" spans="19:27" x14ac:dyDescent="0.2">
      <c r="S3500" s="61"/>
      <c r="T3500" s="82"/>
      <c r="W3500" s="103" t="str">
        <f t="shared" si="63"/>
        <v>1w</v>
      </c>
      <c r="X3500" s="101">
        <f>_xll.qlCalendarAdvance(Calendar,X3499,W3500,"f",FALSE)</f>
        <v>63872</v>
      </c>
      <c r="Y3500" s="104">
        <f>_xll.qlCalendarAdvance(Calendar,X3500,NDays&amp;"D")</f>
        <v>63874</v>
      </c>
      <c r="Z3500" s="105" t="e">
        <v>#N/A</v>
      </c>
      <c r="AA3500" s="102" t="e">
        <v>#N/A</v>
      </c>
    </row>
    <row r="3501" spans="19:27" x14ac:dyDescent="0.2">
      <c r="S3501" s="61"/>
      <c r="T3501" s="82"/>
      <c r="W3501" s="103" t="str">
        <f t="shared" si="63"/>
        <v>1w</v>
      </c>
      <c r="X3501" s="101">
        <f>_xll.qlCalendarAdvance(Calendar,X3500,W3501,"f",FALSE)</f>
        <v>63879</v>
      </c>
      <c r="Y3501" s="104">
        <f>_xll.qlCalendarAdvance(Calendar,X3501,NDays&amp;"D")</f>
        <v>63881</v>
      </c>
      <c r="Z3501" s="105" t="e">
        <v>#N/A</v>
      </c>
      <c r="AA3501" s="102" t="e">
        <v>#N/A</v>
      </c>
    </row>
    <row r="3502" spans="19:27" x14ac:dyDescent="0.2">
      <c r="S3502" s="61"/>
      <c r="T3502" s="82"/>
      <c r="W3502" s="103" t="str">
        <f t="shared" si="63"/>
        <v>1w</v>
      </c>
      <c r="X3502" s="101">
        <f>_xll.qlCalendarAdvance(Calendar,X3501,W3502,"f",FALSE)</f>
        <v>63886</v>
      </c>
      <c r="Y3502" s="104">
        <f>_xll.qlCalendarAdvance(Calendar,X3502,NDays&amp;"D")</f>
        <v>63888</v>
      </c>
      <c r="Z3502" s="105" t="e">
        <v>#N/A</v>
      </c>
      <c r="AA3502" s="102" t="e">
        <v>#N/A</v>
      </c>
    </row>
    <row r="3503" spans="19:27" x14ac:dyDescent="0.2">
      <c r="S3503" s="61"/>
      <c r="T3503" s="82"/>
      <c r="W3503" s="103" t="str">
        <f t="shared" si="63"/>
        <v>1w</v>
      </c>
      <c r="X3503" s="101">
        <f>_xll.qlCalendarAdvance(Calendar,X3502,W3503,"f",FALSE)</f>
        <v>63893</v>
      </c>
      <c r="Y3503" s="104">
        <f>_xll.qlCalendarAdvance(Calendar,X3503,NDays&amp;"D")</f>
        <v>63895</v>
      </c>
      <c r="Z3503" s="105" t="e">
        <v>#N/A</v>
      </c>
      <c r="AA3503" s="102" t="e">
        <v>#N/A</v>
      </c>
    </row>
    <row r="3504" spans="19:27" x14ac:dyDescent="0.2">
      <c r="S3504" s="61"/>
      <c r="T3504" s="82"/>
      <c r="W3504" s="103" t="str">
        <f t="shared" si="63"/>
        <v>1w</v>
      </c>
      <c r="X3504" s="101">
        <f>_xll.qlCalendarAdvance(Calendar,X3503,W3504,"f",FALSE)</f>
        <v>63900</v>
      </c>
      <c r="Y3504" s="104">
        <f>_xll.qlCalendarAdvance(Calendar,X3504,NDays&amp;"D")</f>
        <v>63902</v>
      </c>
      <c r="Z3504" s="105" t="e">
        <v>#N/A</v>
      </c>
      <c r="AA3504" s="102" t="e">
        <v>#N/A</v>
      </c>
    </row>
    <row r="3505" spans="19:27" x14ac:dyDescent="0.2">
      <c r="S3505" s="61"/>
      <c r="T3505" s="82"/>
      <c r="W3505" s="103" t="str">
        <f t="shared" si="63"/>
        <v>1w</v>
      </c>
      <c r="X3505" s="101">
        <f>_xll.qlCalendarAdvance(Calendar,X3504,W3505,"f",FALSE)</f>
        <v>63907</v>
      </c>
      <c r="Y3505" s="104">
        <f>_xll.qlCalendarAdvance(Calendar,X3505,NDays&amp;"D")</f>
        <v>63909</v>
      </c>
      <c r="Z3505" s="105" t="e">
        <v>#N/A</v>
      </c>
      <c r="AA3505" s="102" t="e">
        <v>#N/A</v>
      </c>
    </row>
    <row r="3506" spans="19:27" x14ac:dyDescent="0.2">
      <c r="S3506" s="61"/>
      <c r="T3506" s="82"/>
      <c r="W3506" s="103" t="str">
        <f t="shared" si="63"/>
        <v>1w</v>
      </c>
      <c r="X3506" s="101">
        <f>_xll.qlCalendarAdvance(Calendar,X3505,W3506,"f",FALSE)</f>
        <v>63915</v>
      </c>
      <c r="Y3506" s="104">
        <f>_xll.qlCalendarAdvance(Calendar,X3506,NDays&amp;"D")</f>
        <v>63921</v>
      </c>
      <c r="Z3506" s="105" t="e">
        <v>#N/A</v>
      </c>
      <c r="AA3506" s="102" t="e">
        <v>#N/A</v>
      </c>
    </row>
    <row r="3507" spans="19:27" x14ac:dyDescent="0.2">
      <c r="S3507" s="61"/>
      <c r="T3507" s="82"/>
      <c r="W3507" s="103" t="str">
        <f t="shared" si="63"/>
        <v>1w</v>
      </c>
      <c r="X3507" s="101">
        <f>_xll.qlCalendarAdvance(Calendar,X3506,W3507,"f",FALSE)</f>
        <v>63922</v>
      </c>
      <c r="Y3507" s="104">
        <f>_xll.qlCalendarAdvance(Calendar,X3507,NDays&amp;"D")</f>
        <v>63926</v>
      </c>
      <c r="Z3507" s="105" t="e">
        <v>#N/A</v>
      </c>
      <c r="AA3507" s="102" t="e">
        <v>#N/A</v>
      </c>
    </row>
    <row r="3508" spans="19:27" x14ac:dyDescent="0.2">
      <c r="S3508" s="61"/>
      <c r="T3508" s="82"/>
      <c r="W3508" s="103" t="str">
        <f t="shared" si="63"/>
        <v>1w</v>
      </c>
      <c r="X3508" s="101">
        <f>_xll.qlCalendarAdvance(Calendar,X3507,W3508,"f",FALSE)</f>
        <v>63929</v>
      </c>
      <c r="Y3508" s="104">
        <f>_xll.qlCalendarAdvance(Calendar,X3508,NDays&amp;"D")</f>
        <v>63933</v>
      </c>
      <c r="Z3508" s="105" t="e">
        <v>#N/A</v>
      </c>
      <c r="AA3508" s="102" t="e">
        <v>#N/A</v>
      </c>
    </row>
    <row r="3509" spans="19:27" x14ac:dyDescent="0.2">
      <c r="S3509" s="61"/>
      <c r="T3509" s="82"/>
      <c r="W3509" s="103" t="str">
        <f t="shared" si="63"/>
        <v>1w</v>
      </c>
      <c r="X3509" s="101">
        <f>_xll.qlCalendarAdvance(Calendar,X3508,W3509,"f",FALSE)</f>
        <v>63936</v>
      </c>
      <c r="Y3509" s="104">
        <f>_xll.qlCalendarAdvance(Calendar,X3509,NDays&amp;"D")</f>
        <v>63940</v>
      </c>
      <c r="Z3509" s="105" t="e">
        <v>#N/A</v>
      </c>
      <c r="AA3509" s="102" t="e">
        <v>#N/A</v>
      </c>
    </row>
    <row r="3510" spans="19:27" x14ac:dyDescent="0.2">
      <c r="S3510" s="61"/>
      <c r="T3510" s="82"/>
      <c r="W3510" s="103" t="str">
        <f t="shared" si="63"/>
        <v>1w</v>
      </c>
      <c r="X3510" s="101">
        <f>_xll.qlCalendarAdvance(Calendar,X3509,W3510,"f",FALSE)</f>
        <v>63943</v>
      </c>
      <c r="Y3510" s="104">
        <f>_xll.qlCalendarAdvance(Calendar,X3510,NDays&amp;"D")</f>
        <v>63947</v>
      </c>
      <c r="Z3510" s="105" t="e">
        <v>#N/A</v>
      </c>
      <c r="AA3510" s="102" t="e">
        <v>#N/A</v>
      </c>
    </row>
    <row r="3511" spans="19:27" x14ac:dyDescent="0.2">
      <c r="S3511" s="61"/>
      <c r="T3511" s="82"/>
      <c r="W3511" s="103" t="str">
        <f t="shared" si="63"/>
        <v>1w</v>
      </c>
      <c r="X3511" s="101">
        <f>_xll.qlCalendarAdvance(Calendar,X3510,W3511,"f",FALSE)</f>
        <v>63950</v>
      </c>
      <c r="Y3511" s="104">
        <f>_xll.qlCalendarAdvance(Calendar,X3511,NDays&amp;"D")</f>
        <v>63954</v>
      </c>
      <c r="Z3511" s="105" t="e">
        <v>#N/A</v>
      </c>
      <c r="AA3511" s="102" t="e">
        <v>#N/A</v>
      </c>
    </row>
    <row r="3512" spans="19:27" x14ac:dyDescent="0.2">
      <c r="S3512" s="61"/>
      <c r="T3512" s="82"/>
      <c r="W3512" s="103" t="str">
        <f t="shared" si="63"/>
        <v>1w</v>
      </c>
      <c r="X3512" s="101">
        <f>_xll.qlCalendarAdvance(Calendar,X3511,W3512,"f",FALSE)</f>
        <v>63957</v>
      </c>
      <c r="Y3512" s="104">
        <f>_xll.qlCalendarAdvance(Calendar,X3512,NDays&amp;"D")</f>
        <v>63961</v>
      </c>
      <c r="Z3512" s="105" t="e">
        <v>#N/A</v>
      </c>
      <c r="AA3512" s="102" t="e">
        <v>#N/A</v>
      </c>
    </row>
    <row r="3513" spans="19:27" x14ac:dyDescent="0.2">
      <c r="S3513" s="61"/>
      <c r="T3513" s="82"/>
      <c r="W3513" s="103" t="str">
        <f t="shared" si="63"/>
        <v>1w</v>
      </c>
      <c r="X3513" s="101">
        <f>_xll.qlCalendarAdvance(Calendar,X3512,W3513,"f",FALSE)</f>
        <v>63964</v>
      </c>
      <c r="Y3513" s="104">
        <f>_xll.qlCalendarAdvance(Calendar,X3513,NDays&amp;"D")</f>
        <v>63968</v>
      </c>
      <c r="Z3513" s="105" t="e">
        <v>#N/A</v>
      </c>
      <c r="AA3513" s="102" t="e">
        <v>#N/A</v>
      </c>
    </row>
    <row r="3514" spans="19:27" x14ac:dyDescent="0.2">
      <c r="S3514" s="61"/>
      <c r="T3514" s="82"/>
      <c r="W3514" s="103" t="str">
        <f t="shared" si="63"/>
        <v>1w</v>
      </c>
      <c r="X3514" s="101">
        <f>_xll.qlCalendarAdvance(Calendar,X3513,W3514,"f",FALSE)</f>
        <v>63971</v>
      </c>
      <c r="Y3514" s="104">
        <f>_xll.qlCalendarAdvance(Calendar,X3514,NDays&amp;"D")</f>
        <v>63975</v>
      </c>
      <c r="Z3514" s="105" t="e">
        <v>#N/A</v>
      </c>
      <c r="AA3514" s="102" t="e">
        <v>#N/A</v>
      </c>
    </row>
    <row r="3515" spans="19:27" x14ac:dyDescent="0.2">
      <c r="S3515" s="61"/>
      <c r="T3515" s="82"/>
      <c r="W3515" s="103" t="str">
        <f t="shared" si="63"/>
        <v>1w</v>
      </c>
      <c r="X3515" s="101">
        <f>_xll.qlCalendarAdvance(Calendar,X3514,W3515,"f",FALSE)</f>
        <v>63978</v>
      </c>
      <c r="Y3515" s="104">
        <f>_xll.qlCalendarAdvance(Calendar,X3515,NDays&amp;"D")</f>
        <v>63982</v>
      </c>
      <c r="Z3515" s="105" t="e">
        <v>#N/A</v>
      </c>
      <c r="AA3515" s="102" t="e">
        <v>#N/A</v>
      </c>
    </row>
    <row r="3516" spans="19:27" x14ac:dyDescent="0.2">
      <c r="S3516" s="61"/>
      <c r="T3516" s="82"/>
      <c r="W3516" s="103" t="str">
        <f t="shared" si="63"/>
        <v>1w</v>
      </c>
      <c r="X3516" s="101">
        <f>_xll.qlCalendarAdvance(Calendar,X3515,W3516,"f",FALSE)</f>
        <v>63985</v>
      </c>
      <c r="Y3516" s="104">
        <f>_xll.qlCalendarAdvance(Calendar,X3516,NDays&amp;"D")</f>
        <v>63989</v>
      </c>
      <c r="Z3516" s="105" t="e">
        <v>#N/A</v>
      </c>
      <c r="AA3516" s="102" t="e">
        <v>#N/A</v>
      </c>
    </row>
    <row r="3517" spans="19:27" x14ac:dyDescent="0.2">
      <c r="S3517" s="61"/>
      <c r="T3517" s="82"/>
      <c r="W3517" s="103" t="str">
        <f t="shared" si="63"/>
        <v>1w</v>
      </c>
      <c r="X3517" s="101">
        <f>_xll.qlCalendarAdvance(Calendar,X3516,W3517,"f",FALSE)</f>
        <v>63992</v>
      </c>
      <c r="Y3517" s="104">
        <f>_xll.qlCalendarAdvance(Calendar,X3517,NDays&amp;"D")</f>
        <v>63996</v>
      </c>
      <c r="Z3517" s="105" t="e">
        <v>#N/A</v>
      </c>
      <c r="AA3517" s="102" t="e">
        <v>#N/A</v>
      </c>
    </row>
    <row r="3518" spans="19:27" x14ac:dyDescent="0.2">
      <c r="S3518" s="61"/>
      <c r="T3518" s="82"/>
      <c r="W3518" s="103" t="str">
        <f t="shared" si="63"/>
        <v>1w</v>
      </c>
      <c r="X3518" s="101">
        <f>_xll.qlCalendarAdvance(Calendar,X3517,W3518,"f",FALSE)</f>
        <v>63999</v>
      </c>
      <c r="Y3518" s="104">
        <f>_xll.qlCalendarAdvance(Calendar,X3518,NDays&amp;"D")</f>
        <v>64003</v>
      </c>
      <c r="Z3518" s="105" t="e">
        <v>#N/A</v>
      </c>
      <c r="AA3518" s="102" t="e">
        <v>#N/A</v>
      </c>
    </row>
    <row r="3519" spans="19:27" x14ac:dyDescent="0.2">
      <c r="W3519" s="103" t="str">
        <f t="shared" si="63"/>
        <v>1w</v>
      </c>
      <c r="X3519" s="101">
        <f>_xll.qlCalendarAdvance(Calendar,X3518,W3519,"f",FALSE)</f>
        <v>64006</v>
      </c>
      <c r="Y3519" s="104">
        <f>_xll.qlCalendarAdvance(Calendar,X3519,NDays&amp;"D")</f>
        <v>64010</v>
      </c>
      <c r="Z3519" s="105" t="e">
        <v>#N/A</v>
      </c>
      <c r="AA3519" s="102" t="e">
        <v>#N/A</v>
      </c>
    </row>
    <row r="3520" spans="19:27" x14ac:dyDescent="0.2">
      <c r="W3520" s="103" t="str">
        <f t="shared" si="63"/>
        <v>1w</v>
      </c>
      <c r="X3520" s="101">
        <f>_xll.qlCalendarAdvance(Calendar,X3519,W3520,"f",FALSE)</f>
        <v>64013</v>
      </c>
      <c r="Y3520" s="104">
        <f>_xll.qlCalendarAdvance(Calendar,X3520,NDays&amp;"D")</f>
        <v>64019</v>
      </c>
      <c r="Z3520" s="105" t="e">
        <v>#N/A</v>
      </c>
      <c r="AA3520" s="102" t="e">
        <v>#N/A</v>
      </c>
    </row>
    <row r="3521" spans="23:27" x14ac:dyDescent="0.2">
      <c r="W3521" s="103" t="str">
        <f t="shared" si="63"/>
        <v>1w</v>
      </c>
      <c r="X3521" s="101">
        <f>_xll.qlCalendarAdvance(Calendar,X3520,W3521,"f",FALSE)</f>
        <v>64020</v>
      </c>
      <c r="Y3521" s="104">
        <f>_xll.qlCalendarAdvance(Calendar,X3521,NDays&amp;"D")</f>
        <v>64024</v>
      </c>
      <c r="Z3521" s="105" t="e">
        <v>#N/A</v>
      </c>
      <c r="AA3521" s="102" t="e">
        <v>#N/A</v>
      </c>
    </row>
    <row r="3522" spans="23:27" x14ac:dyDescent="0.2">
      <c r="W3522" s="103" t="str">
        <f t="shared" si="63"/>
        <v>1w</v>
      </c>
      <c r="X3522" s="101">
        <f>_xll.qlCalendarAdvance(Calendar,X3521,W3522,"f",FALSE)</f>
        <v>64027</v>
      </c>
      <c r="Y3522" s="104">
        <f>_xll.qlCalendarAdvance(Calendar,X3522,NDays&amp;"D")</f>
        <v>64031</v>
      </c>
      <c r="Z3522" s="105" t="e">
        <v>#N/A</v>
      </c>
      <c r="AA3522" s="102" t="e">
        <v>#N/A</v>
      </c>
    </row>
    <row r="3523" spans="23:27" x14ac:dyDescent="0.2">
      <c r="W3523" s="103" t="str">
        <f t="shared" si="63"/>
        <v>1w</v>
      </c>
      <c r="X3523" s="101">
        <f>_xll.qlCalendarAdvance(Calendar,X3522,W3523,"f",FALSE)</f>
        <v>64034</v>
      </c>
      <c r="Y3523" s="104">
        <f>_xll.qlCalendarAdvance(Calendar,X3523,NDays&amp;"D")</f>
        <v>64038</v>
      </c>
      <c r="Z3523" s="105" t="e">
        <v>#N/A</v>
      </c>
      <c r="AA3523" s="102" t="e">
        <v>#N/A</v>
      </c>
    </row>
    <row r="3524" spans="23:27" x14ac:dyDescent="0.2">
      <c r="W3524" s="103" t="str">
        <f t="shared" si="63"/>
        <v>1w</v>
      </c>
      <c r="X3524" s="101">
        <f>_xll.qlCalendarAdvance(Calendar,X3523,W3524,"f",FALSE)</f>
        <v>64041</v>
      </c>
      <c r="Y3524" s="104">
        <f>_xll.qlCalendarAdvance(Calendar,X3524,NDays&amp;"D")</f>
        <v>64045</v>
      </c>
      <c r="Z3524" s="105" t="e">
        <v>#N/A</v>
      </c>
      <c r="AA3524" s="102" t="e">
        <v>#N/A</v>
      </c>
    </row>
    <row r="3525" spans="23:27" x14ac:dyDescent="0.2">
      <c r="W3525" s="103" t="str">
        <f t="shared" si="63"/>
        <v>1w</v>
      </c>
      <c r="X3525" s="101">
        <f>_xll.qlCalendarAdvance(Calendar,X3524,W3525,"f",FALSE)</f>
        <v>64048</v>
      </c>
      <c r="Y3525" s="104">
        <f>_xll.qlCalendarAdvance(Calendar,X3525,NDays&amp;"D")</f>
        <v>64052</v>
      </c>
      <c r="Z3525" s="105" t="e">
        <v>#N/A</v>
      </c>
      <c r="AA3525" s="102" t="e">
        <v>#N/A</v>
      </c>
    </row>
    <row r="3526" spans="23:27" x14ac:dyDescent="0.2">
      <c r="W3526" s="103" t="str">
        <f t="shared" si="63"/>
        <v>1w</v>
      </c>
      <c r="X3526" s="101">
        <f>_xll.qlCalendarAdvance(Calendar,X3525,W3526,"f",FALSE)</f>
        <v>64056</v>
      </c>
      <c r="Y3526" s="104">
        <f>_xll.qlCalendarAdvance(Calendar,X3526,NDays&amp;"D")</f>
        <v>64060</v>
      </c>
      <c r="Z3526" s="105" t="e">
        <v>#N/A</v>
      </c>
      <c r="AA3526" s="102" t="e">
        <v>#N/A</v>
      </c>
    </row>
    <row r="3527" spans="23:27" x14ac:dyDescent="0.2">
      <c r="W3527" s="103" t="str">
        <f t="shared" si="63"/>
        <v>1w</v>
      </c>
      <c r="X3527" s="101">
        <f>_xll.qlCalendarAdvance(Calendar,X3526,W3527,"f",FALSE)</f>
        <v>64063</v>
      </c>
      <c r="Y3527" s="104">
        <f>_xll.qlCalendarAdvance(Calendar,X3527,NDays&amp;"D")</f>
        <v>64068</v>
      </c>
      <c r="Z3527" s="105" t="e">
        <v>#N/A</v>
      </c>
      <c r="AA3527" s="102" t="e">
        <v>#N/A</v>
      </c>
    </row>
    <row r="3528" spans="23:27" x14ac:dyDescent="0.2">
      <c r="W3528" s="103" t="str">
        <f t="shared" si="63"/>
        <v>1w</v>
      </c>
      <c r="X3528" s="101">
        <f>_xll.qlCalendarAdvance(Calendar,X3527,W3528,"f",FALSE)</f>
        <v>64070</v>
      </c>
      <c r="Y3528" s="104">
        <f>_xll.qlCalendarAdvance(Calendar,X3528,NDays&amp;"D")</f>
        <v>64074</v>
      </c>
      <c r="Z3528" s="105" t="e">
        <v>#N/A</v>
      </c>
      <c r="AA3528" s="102" t="e">
        <v>#N/A</v>
      </c>
    </row>
    <row r="3529" spans="23:27" x14ac:dyDescent="0.2">
      <c r="W3529" s="103" t="str">
        <f t="shared" si="63"/>
        <v>1w</v>
      </c>
      <c r="X3529" s="101">
        <f>_xll.qlCalendarAdvance(Calendar,X3528,W3529,"f",FALSE)</f>
        <v>64077</v>
      </c>
      <c r="Y3529" s="104">
        <f>_xll.qlCalendarAdvance(Calendar,X3529,NDays&amp;"D")</f>
        <v>64081</v>
      </c>
      <c r="Z3529" s="105" t="e">
        <v>#N/A</v>
      </c>
      <c r="AA3529" s="102" t="e">
        <v>#N/A</v>
      </c>
    </row>
    <row r="3530" spans="23:27" x14ac:dyDescent="0.2">
      <c r="W3530" s="103" t="str">
        <f t="shared" si="63"/>
        <v>1w</v>
      </c>
      <c r="X3530" s="101">
        <f>_xll.qlCalendarAdvance(Calendar,X3529,W3530,"f",FALSE)</f>
        <v>64084</v>
      </c>
      <c r="Y3530" s="104">
        <f>_xll.qlCalendarAdvance(Calendar,X3530,NDays&amp;"D")</f>
        <v>64088</v>
      </c>
      <c r="Z3530" s="105" t="e">
        <v>#N/A</v>
      </c>
      <c r="AA3530" s="102" t="e">
        <v>#N/A</v>
      </c>
    </row>
    <row r="3531" spans="23:27" x14ac:dyDescent="0.2">
      <c r="W3531" s="103" t="str">
        <f t="shared" si="63"/>
        <v>1w</v>
      </c>
      <c r="X3531" s="101">
        <f>_xll.qlCalendarAdvance(Calendar,X3530,W3531,"f",FALSE)</f>
        <v>64094</v>
      </c>
      <c r="Y3531" s="104">
        <f>_xll.qlCalendarAdvance(Calendar,X3531,NDays&amp;"D")</f>
        <v>64096</v>
      </c>
      <c r="Z3531" s="105" t="e">
        <v>#N/A</v>
      </c>
      <c r="AA3531" s="102" t="e">
        <v>#N/A</v>
      </c>
    </row>
    <row r="3532" spans="23:27" x14ac:dyDescent="0.2">
      <c r="W3532" s="103" t="str">
        <f t="shared" si="63"/>
        <v>1w</v>
      </c>
      <c r="X3532" s="101">
        <f>_xll.qlCalendarAdvance(Calendar,X3531,W3532,"f",FALSE)</f>
        <v>64101</v>
      </c>
      <c r="Y3532" s="104">
        <f>_xll.qlCalendarAdvance(Calendar,X3532,NDays&amp;"D")</f>
        <v>64103</v>
      </c>
      <c r="Z3532" s="105" t="e">
        <v>#N/A</v>
      </c>
      <c r="AA3532" s="102" t="e">
        <v>#N/A</v>
      </c>
    </row>
    <row r="3533" spans="23:27" x14ac:dyDescent="0.2">
      <c r="W3533" s="103" t="str">
        <f t="shared" si="63"/>
        <v>1w</v>
      </c>
      <c r="X3533" s="101">
        <f>_xll.qlCalendarAdvance(Calendar,X3532,W3533,"f",FALSE)</f>
        <v>64108</v>
      </c>
      <c r="Y3533" s="104">
        <f>_xll.qlCalendarAdvance(Calendar,X3533,NDays&amp;"D")</f>
        <v>64110</v>
      </c>
      <c r="Z3533" s="105" t="e">
        <v>#N/A</v>
      </c>
      <c r="AA3533" s="102" t="e">
        <v>#N/A</v>
      </c>
    </row>
    <row r="3534" spans="23:27" x14ac:dyDescent="0.2">
      <c r="W3534" s="103" t="str">
        <f t="shared" si="63"/>
        <v>1w</v>
      </c>
      <c r="X3534" s="101">
        <f>_xll.qlCalendarAdvance(Calendar,X3533,W3534,"f",FALSE)</f>
        <v>64115</v>
      </c>
      <c r="Y3534" s="104">
        <f>_xll.qlCalendarAdvance(Calendar,X3534,NDays&amp;"D")</f>
        <v>64117</v>
      </c>
      <c r="Z3534" s="105" t="e">
        <v>#N/A</v>
      </c>
      <c r="AA3534" s="102" t="e">
        <v>#N/A</v>
      </c>
    </row>
    <row r="3535" spans="23:27" x14ac:dyDescent="0.2">
      <c r="W3535" s="103" t="str">
        <f t="shared" si="63"/>
        <v>1w</v>
      </c>
      <c r="X3535" s="101">
        <f>_xll.qlCalendarAdvance(Calendar,X3534,W3535,"f",FALSE)</f>
        <v>64122</v>
      </c>
      <c r="Y3535" s="104">
        <f>_xll.qlCalendarAdvance(Calendar,X3535,NDays&amp;"D")</f>
        <v>64124</v>
      </c>
      <c r="Z3535" s="105" t="e">
        <v>#N/A</v>
      </c>
      <c r="AA3535" s="102" t="e">
        <v>#N/A</v>
      </c>
    </row>
    <row r="3536" spans="23:27" x14ac:dyDescent="0.2">
      <c r="W3536" s="103" t="str">
        <f t="shared" si="63"/>
        <v>1w</v>
      </c>
      <c r="X3536" s="101">
        <f>_xll.qlCalendarAdvance(Calendar,X3535,W3536,"f",FALSE)</f>
        <v>64129</v>
      </c>
      <c r="Y3536" s="104">
        <f>_xll.qlCalendarAdvance(Calendar,X3536,NDays&amp;"D")</f>
        <v>64131</v>
      </c>
      <c r="Z3536" s="105" t="e">
        <v>#N/A</v>
      </c>
      <c r="AA3536" s="102" t="e">
        <v>#N/A</v>
      </c>
    </row>
    <row r="3537" spans="2:27" x14ac:dyDescent="0.2">
      <c r="W3537" s="103" t="str">
        <f t="shared" si="63"/>
        <v>1w</v>
      </c>
      <c r="X3537" s="101">
        <f>_xll.qlCalendarAdvance(Calendar,X3536,W3537,"f",FALSE)</f>
        <v>64136</v>
      </c>
      <c r="Y3537" s="104">
        <f>_xll.qlCalendarAdvance(Calendar,X3537,NDays&amp;"D")</f>
        <v>64138</v>
      </c>
      <c r="Z3537" s="105" t="e">
        <v>#N/A</v>
      </c>
      <c r="AA3537" s="102" t="e">
        <v>#N/A</v>
      </c>
    </row>
    <row r="3538" spans="2:27" x14ac:dyDescent="0.2">
      <c r="W3538" s="103" t="str">
        <f t="shared" si="63"/>
        <v>1w</v>
      </c>
      <c r="X3538" s="101">
        <f>_xll.qlCalendarAdvance(Calendar,X3537,W3538,"f",FALSE)</f>
        <v>64143</v>
      </c>
      <c r="Y3538" s="104">
        <f>_xll.qlCalendarAdvance(Calendar,X3538,NDays&amp;"D")</f>
        <v>64145</v>
      </c>
      <c r="Z3538" s="105" t="e">
        <v>#N/A</v>
      </c>
      <c r="AA3538" s="102" t="e">
        <v>#N/A</v>
      </c>
    </row>
    <row r="3539" spans="2:27" x14ac:dyDescent="0.2">
      <c r="W3539" s="103" t="str">
        <f t="shared" si="63"/>
        <v>1w</v>
      </c>
      <c r="X3539" s="101">
        <f>_xll.qlCalendarAdvance(Calendar,X3538,W3539,"f",FALSE)</f>
        <v>64150</v>
      </c>
      <c r="Y3539" s="104">
        <f>_xll.qlCalendarAdvance(Calendar,X3539,NDays&amp;"D")</f>
        <v>64152</v>
      </c>
      <c r="Z3539" s="105" t="e">
        <v>#N/A</v>
      </c>
      <c r="AA3539" s="102" t="e">
        <v>#N/A</v>
      </c>
    </row>
    <row r="3540" spans="2:27" x14ac:dyDescent="0.2">
      <c r="W3540" s="103" t="str">
        <f t="shared" si="63"/>
        <v>1w</v>
      </c>
      <c r="X3540" s="101">
        <f>_xll.qlCalendarAdvance(Calendar,X3539,W3540,"f",FALSE)</f>
        <v>64157</v>
      </c>
      <c r="Y3540" s="104">
        <f>_xll.qlCalendarAdvance(Calendar,X3540,NDays&amp;"D")</f>
        <v>64159</v>
      </c>
      <c r="Z3540" s="105" t="e">
        <v>#N/A</v>
      </c>
      <c r="AA3540" s="102" t="e">
        <v>#N/A</v>
      </c>
    </row>
    <row r="3541" spans="2:27" x14ac:dyDescent="0.2">
      <c r="W3541" s="103" t="str">
        <f t="shared" ref="W3541:W3552" si="64">W3540</f>
        <v>1w</v>
      </c>
      <c r="X3541" s="101">
        <f>_xll.qlCalendarAdvance(Calendar,X3540,W3541,"f",FALSE)</f>
        <v>64164</v>
      </c>
      <c r="Y3541" s="104">
        <f>_xll.qlCalendarAdvance(Calendar,X3541,NDays&amp;"D")</f>
        <v>64166</v>
      </c>
      <c r="Z3541" s="105" t="e">
        <v>#N/A</v>
      </c>
      <c r="AA3541" s="102" t="e">
        <v>#N/A</v>
      </c>
    </row>
    <row r="3542" spans="2:27" x14ac:dyDescent="0.2">
      <c r="W3542" s="103" t="str">
        <f t="shared" si="64"/>
        <v>1w</v>
      </c>
      <c r="X3542" s="101">
        <f>_xll.qlCalendarAdvance(Calendar,X3541,W3542,"f",FALSE)</f>
        <v>64171</v>
      </c>
      <c r="Y3542" s="104">
        <f>_xll.qlCalendarAdvance(Calendar,X3542,NDays&amp;"D")</f>
        <v>64173</v>
      </c>
      <c r="Z3542" s="105" t="e">
        <v>#N/A</v>
      </c>
      <c r="AA3542" s="102" t="e">
        <v>#N/A</v>
      </c>
    </row>
    <row r="3543" spans="2:27" x14ac:dyDescent="0.2">
      <c r="B3543" s="101"/>
      <c r="C3543" s="104"/>
      <c r="D3543" s="105"/>
      <c r="E3543" s="105"/>
      <c r="W3543" s="103" t="str">
        <f t="shared" si="64"/>
        <v>1w</v>
      </c>
      <c r="X3543" s="101">
        <f>_xll.qlCalendarAdvance(Calendar,X3542,W3543,"f",FALSE)</f>
        <v>64178</v>
      </c>
      <c r="Y3543" s="104">
        <f>_xll.qlCalendarAdvance(Calendar,X3543,NDays&amp;"D")</f>
        <v>64180</v>
      </c>
      <c r="Z3543" s="105" t="e">
        <v>#N/A</v>
      </c>
      <c r="AA3543" s="102" t="e">
        <v>#N/A</v>
      </c>
    </row>
    <row r="3544" spans="2:27" x14ac:dyDescent="0.2">
      <c r="B3544" s="101"/>
      <c r="C3544" s="104"/>
      <c r="D3544" s="105"/>
      <c r="E3544" s="105"/>
      <c r="W3544" s="103" t="str">
        <f t="shared" si="64"/>
        <v>1w</v>
      </c>
      <c r="X3544" s="101">
        <f>_xll.qlCalendarAdvance(Calendar,X3543,W3544,"f",FALSE)</f>
        <v>64185</v>
      </c>
      <c r="Y3544" s="104">
        <f>_xll.qlCalendarAdvance(Calendar,X3544,NDays&amp;"D")</f>
        <v>64187</v>
      </c>
      <c r="Z3544" s="105" t="e">
        <v>#N/A</v>
      </c>
      <c r="AA3544" s="102" t="e">
        <v>#N/A</v>
      </c>
    </row>
    <row r="3545" spans="2:27" x14ac:dyDescent="0.2">
      <c r="B3545" s="101"/>
      <c r="C3545" s="104"/>
      <c r="D3545" s="105"/>
      <c r="E3545" s="105"/>
      <c r="W3545" s="103" t="str">
        <f t="shared" si="64"/>
        <v>1w</v>
      </c>
      <c r="X3545" s="101">
        <f>_xll.qlCalendarAdvance(Calendar,X3544,W3545,"f",FALSE)</f>
        <v>64192</v>
      </c>
      <c r="Y3545" s="104">
        <f>_xll.qlCalendarAdvance(Calendar,X3545,NDays&amp;"D")</f>
        <v>64194</v>
      </c>
      <c r="Z3545" s="105" t="e">
        <v>#N/A</v>
      </c>
      <c r="AA3545" s="102" t="e">
        <v>#N/A</v>
      </c>
    </row>
    <row r="3546" spans="2:27" x14ac:dyDescent="0.2">
      <c r="B3546" s="101"/>
      <c r="C3546" s="104"/>
      <c r="D3546" s="105"/>
      <c r="E3546" s="105"/>
      <c r="W3546" s="103" t="str">
        <f t="shared" si="64"/>
        <v>1w</v>
      </c>
      <c r="X3546" s="101">
        <f>_xll.qlCalendarAdvance(Calendar,X3545,W3546,"f",FALSE)</f>
        <v>64199</v>
      </c>
      <c r="Y3546" s="104">
        <f>_xll.qlCalendarAdvance(Calendar,X3546,NDays&amp;"D")</f>
        <v>64201</v>
      </c>
      <c r="Z3546" s="105" t="e">
        <v>#N/A</v>
      </c>
      <c r="AA3546" s="102" t="e">
        <v>#N/A</v>
      </c>
    </row>
    <row r="3547" spans="2:27" x14ac:dyDescent="0.2">
      <c r="B3547" s="101"/>
      <c r="C3547" s="104"/>
      <c r="D3547" s="105"/>
      <c r="E3547" s="105"/>
      <c r="W3547" s="103" t="str">
        <f t="shared" si="64"/>
        <v>1w</v>
      </c>
      <c r="X3547" s="101">
        <f>_xll.qlCalendarAdvance(Calendar,X3546,W3547,"f",FALSE)</f>
        <v>64206</v>
      </c>
      <c r="Y3547" s="104">
        <f>_xll.qlCalendarAdvance(Calendar,X3547,NDays&amp;"D")</f>
        <v>64208</v>
      </c>
      <c r="Z3547" s="105" t="e">
        <v>#N/A</v>
      </c>
      <c r="AA3547" s="102" t="e">
        <v>#N/A</v>
      </c>
    </row>
    <row r="3548" spans="2:27" x14ac:dyDescent="0.2">
      <c r="B3548" s="101"/>
      <c r="C3548" s="104"/>
      <c r="D3548" s="105"/>
      <c r="E3548" s="105"/>
      <c r="W3548" s="103" t="str">
        <f t="shared" si="64"/>
        <v>1w</v>
      </c>
      <c r="X3548" s="101">
        <f>_xll.qlCalendarAdvance(Calendar,X3547,W3548,"f",FALSE)</f>
        <v>64213</v>
      </c>
      <c r="Y3548" s="104">
        <f>_xll.qlCalendarAdvance(Calendar,X3548,NDays&amp;"D")</f>
        <v>64215</v>
      </c>
      <c r="Z3548" s="105" t="e">
        <v>#N/A</v>
      </c>
      <c r="AA3548" s="102" t="e">
        <v>#N/A</v>
      </c>
    </row>
    <row r="3549" spans="2:27" x14ac:dyDescent="0.2">
      <c r="B3549" s="101"/>
      <c r="C3549" s="104"/>
      <c r="D3549" s="105"/>
      <c r="E3549" s="105"/>
      <c r="W3549" s="103" t="str">
        <f t="shared" si="64"/>
        <v>1w</v>
      </c>
      <c r="X3549" s="101">
        <f>_xll.qlCalendarAdvance(Calendar,X3548,W3549,"f",FALSE)</f>
        <v>64220</v>
      </c>
      <c r="Y3549" s="104">
        <f>_xll.qlCalendarAdvance(Calendar,X3549,NDays&amp;"D")</f>
        <v>64222</v>
      </c>
      <c r="Z3549" s="105" t="e">
        <v>#N/A</v>
      </c>
      <c r="AA3549" s="102" t="e">
        <v>#N/A</v>
      </c>
    </row>
    <row r="3550" spans="2:27" x14ac:dyDescent="0.2">
      <c r="B3550" s="101"/>
      <c r="C3550" s="104"/>
      <c r="D3550" s="105"/>
      <c r="E3550" s="105"/>
      <c r="W3550" s="103" t="str">
        <f t="shared" si="64"/>
        <v>1w</v>
      </c>
      <c r="X3550" s="101">
        <f>_xll.qlCalendarAdvance(Calendar,X3549,W3550,"f",FALSE)</f>
        <v>64227</v>
      </c>
      <c r="Y3550" s="104">
        <f>_xll.qlCalendarAdvance(Calendar,X3550,NDays&amp;"D")</f>
        <v>64229</v>
      </c>
      <c r="Z3550" s="105" t="e">
        <v>#N/A</v>
      </c>
      <c r="AA3550" s="102" t="e">
        <v>#N/A</v>
      </c>
    </row>
    <row r="3551" spans="2:27" x14ac:dyDescent="0.2">
      <c r="B3551" s="101"/>
      <c r="C3551" s="104"/>
      <c r="D3551" s="105"/>
      <c r="E3551" s="105"/>
      <c r="W3551" s="103" t="str">
        <f t="shared" si="64"/>
        <v>1w</v>
      </c>
      <c r="X3551" s="101">
        <f>_xll.qlCalendarAdvance(Calendar,X3550,W3551,"f",FALSE)</f>
        <v>64234</v>
      </c>
      <c r="Y3551" s="104">
        <f>_xll.qlCalendarAdvance(Calendar,X3551,NDays&amp;"D")</f>
        <v>64236</v>
      </c>
      <c r="Z3551" s="105" t="e">
        <v>#N/A</v>
      </c>
      <c r="AA3551" s="102" t="e">
        <v>#N/A</v>
      </c>
    </row>
    <row r="3552" spans="2:27" ht="12" thickBot="1" x14ac:dyDescent="0.25">
      <c r="B3552" s="101"/>
      <c r="C3552" s="104"/>
      <c r="D3552" s="105"/>
      <c r="E3552" s="105"/>
      <c r="W3552" s="114" t="str">
        <f t="shared" si="64"/>
        <v>1w</v>
      </c>
      <c r="X3552" s="108">
        <f>_xll.qlCalendarAdvance(Calendar,X3551,W3552,"f",FALSE)</f>
        <v>64241</v>
      </c>
      <c r="Y3552" s="115">
        <f>_xll.qlCalendarAdvance(Calendar,X3552,NDays&amp;"D")</f>
        <v>64243</v>
      </c>
      <c r="Z3552" s="106" t="e">
        <v>#N/A</v>
      </c>
      <c r="AA3552" s="107" t="e">
        <v>#N/A</v>
      </c>
    </row>
    <row r="3553" spans="2:22" x14ac:dyDescent="0.2">
      <c r="B3553" s="101"/>
      <c r="C3553" s="104"/>
      <c r="D3553" s="105"/>
      <c r="E3553" s="105"/>
      <c r="V3553" s="111"/>
    </row>
    <row r="3554" spans="2:22" x14ac:dyDescent="0.2">
      <c r="B3554" s="101"/>
      <c r="C3554" s="104"/>
      <c r="D3554" s="105"/>
      <c r="E3554" s="105"/>
      <c r="V3554" s="111"/>
    </row>
    <row r="3555" spans="2:22" x14ac:dyDescent="0.2">
      <c r="B3555" s="101"/>
      <c r="C3555" s="104"/>
      <c r="D3555" s="105"/>
      <c r="E3555" s="105"/>
      <c r="V3555" s="111"/>
    </row>
    <row r="3556" spans="2:22" x14ac:dyDescent="0.2">
      <c r="B3556" s="101"/>
      <c r="C3556" s="104"/>
      <c r="D3556" s="105"/>
      <c r="E3556" s="105"/>
      <c r="V3556" s="111"/>
    </row>
    <row r="3557" spans="2:22" x14ac:dyDescent="0.2">
      <c r="B3557" s="101"/>
      <c r="C3557" s="104"/>
      <c r="D3557" s="105"/>
      <c r="E3557" s="105"/>
      <c r="V3557" s="111"/>
    </row>
    <row r="3558" spans="2:22" x14ac:dyDescent="0.2">
      <c r="B3558" s="101"/>
      <c r="C3558" s="104"/>
      <c r="D3558" s="105"/>
      <c r="E3558" s="105"/>
      <c r="V3558" s="111"/>
    </row>
    <row r="3559" spans="2:22" x14ac:dyDescent="0.2">
      <c r="B3559" s="101"/>
      <c r="C3559" s="104"/>
      <c r="D3559" s="105"/>
      <c r="E3559" s="105"/>
      <c r="V3559" s="111"/>
    </row>
    <row r="3560" spans="2:22" x14ac:dyDescent="0.2">
      <c r="B3560" s="101"/>
      <c r="C3560" s="104"/>
      <c r="D3560" s="105"/>
      <c r="E3560" s="10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123825</xdr:rowOff>
                  </from>
                  <to>
                    <xdr:col>10</xdr:col>
                    <xdr:colOff>247650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523875</xdr:colOff>
                    <xdr:row>27</xdr:row>
                    <xdr:rowOff>47625</xdr:rowOff>
                  </from>
                  <to>
                    <xdr:col>10</xdr:col>
                    <xdr:colOff>247650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47625</xdr:rowOff>
                  </from>
                  <to>
                    <xdr:col>10</xdr:col>
                    <xdr:colOff>247650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85725</xdr:rowOff>
                  </from>
                  <to>
                    <xdr:col>10</xdr:col>
                    <xdr:colOff>247650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19050</xdr:rowOff>
                  </from>
                  <to>
                    <xdr:col>10</xdr:col>
                    <xdr:colOff>247650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123825</xdr:rowOff>
                  </from>
                  <to>
                    <xdr:col>10</xdr:col>
                    <xdr:colOff>247650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85725</xdr:rowOff>
                  </from>
                  <to>
                    <xdr:col>10</xdr:col>
                    <xdr:colOff>247650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66675</xdr:rowOff>
                  </from>
                  <to>
                    <xdr:col>10</xdr:col>
                    <xdr:colOff>247650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533400</xdr:colOff>
                    <xdr:row>47</xdr:row>
                    <xdr:rowOff>0</xdr:rowOff>
                  </from>
                  <to>
                    <xdr:col>10</xdr:col>
                    <xdr:colOff>257175</xdr:colOff>
                    <xdr:row>48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General Settings</vt:lpstr>
      <vt:lpstr>RateHelpers</vt:lpstr>
      <vt:lpstr>Selected</vt:lpstr>
      <vt:lpstr>Deposits</vt:lpstr>
      <vt:lpstr>IMM FRA</vt:lpstr>
      <vt:lpstr>Swaps</vt:lpstr>
      <vt:lpstr>Monitor</vt:lpstr>
      <vt:lpstr>Accuracy</vt:lpstr>
      <vt:lpstr>BondBasisDayCounter</vt:lpstr>
      <vt:lpstr>Calendar</vt:lpstr>
      <vt:lpstr>CheckFRA</vt:lpstr>
      <vt:lpstr>Swaps!Conventions</vt:lpstr>
      <vt:lpstr>Currency</vt:lpstr>
      <vt:lpstr>DataTable</vt:lpstr>
      <vt:lpstr>DayCounter</vt:lpstr>
      <vt:lpstr>DepoInclusionCriteria</vt:lpstr>
      <vt:lpstr>Discounting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MAZZOCCHI PAOLO</cp:lastModifiedBy>
  <dcterms:created xsi:type="dcterms:W3CDTF">2014-09-15T09:52:36Z</dcterms:created>
  <dcterms:modified xsi:type="dcterms:W3CDTF">2015-09-25T12:37:48Z</dcterms:modified>
</cp:coreProperties>
</file>